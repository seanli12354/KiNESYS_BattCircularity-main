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updateLinks="never"/>
  <bookViews>
    <workbookView windowWidth="19200" windowHeight="8710" firstSheet="9" activeTab="11"/>
  </bookViews>
  <sheets>
    <sheet name="TechSelection" sheetId="21" r:id="rId1"/>
    <sheet name="InvCost_for_packManufacturing" sheetId="30" r:id="rId2"/>
    <sheet name="Revised__InvCost" sheetId="37" r:id="rId3"/>
    <sheet name="Road transport" sheetId="25" r:id="rId4"/>
    <sheet name="RoadTra_BY" sheetId="26" r:id="rId5"/>
    <sheet name="added_EnergyUse_for_Manu" sheetId="27" r:id="rId6"/>
    <sheet name="added_energyUse_for_US_1.0" sheetId="28" r:id="rId7"/>
    <sheet name="added_energyUse_for_CN_1.0" sheetId="29" r:id="rId8"/>
    <sheet name="Move_from_SceDemandProj" sheetId="31" r:id="rId9"/>
    <sheet name="Attached_sourcedAlumina_and" sheetId="32" r:id="rId10"/>
    <sheet name="EVehicleCAPEX-CNCheap" sheetId="33" r:id="rId11"/>
    <sheet name="Storage_trans" sheetId="34" r:id="rId12"/>
    <sheet name="Update_EV_COST" sheetId="35" r:id="rId13"/>
    <sheet name="Rep_CAPEX" sheetId="36" r:id="rId14"/>
  </sheets>
  <externalReferences>
    <externalReference r:id="rId15"/>
    <externalReference r:id="rId16"/>
    <externalReference r:id="rId17"/>
    <externalReference r:id="rId18"/>
  </externalReferences>
  <definedNames>
    <definedName name="FID_1">[1]AGR_Fuels!$A$2</definedName>
    <definedName name="GROWTH">'[2]TechRep-Doc'!#REF!</definedName>
    <definedName name="DISCRATE">'[2]TechRep-Doc'!#REF!</definedName>
    <definedName name="FuelList">#REF!</definedName>
    <definedName name="_xlnm._FilterDatabase" localSheetId="11" hidden="1">Storage_trans!$AQ$44:$CE$254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xli9</author>
  </authors>
  <commentList>
    <comment ref="BD1" authorId="0">
      <text>
        <r>
          <rPr>
            <b/>
            <sz val="9"/>
            <rFont val="Times New Roman"/>
            <charset val="134"/>
          </rPr>
          <t>xli9:</t>
        </r>
        <r>
          <rPr>
            <sz val="9"/>
            <rFont val="Times New Roman"/>
            <charset val="134"/>
          </rPr>
          <t xml:space="preserve">
Cell conversion/manufacturing: 65–75%/70% Pack integration/assembly: 25–35%</t>
        </r>
      </text>
    </comment>
    <comment ref="F3"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W11" authorId="0">
      <text>
        <r>
          <rPr>
            <b/>
            <sz val="9"/>
            <rFont val="Times New Roman"/>
            <charset val="134"/>
          </rPr>
          <t>xli9:</t>
        </r>
        <r>
          <rPr>
            <sz val="9"/>
            <rFont val="Times New Roman"/>
            <charset val="134"/>
          </rPr>
          <t xml:space="preserve">
at the factory (conversion) level</t>
        </r>
      </text>
    </comment>
    <comment ref="AW24" authorId="0">
      <text>
        <r>
          <rPr>
            <b/>
            <sz val="9"/>
            <rFont val="Times New Roman"/>
            <charset val="134"/>
          </rPr>
          <t>xli9:</t>
        </r>
        <r>
          <rPr>
            <sz val="9"/>
            <rFont val="Times New Roman"/>
            <charset val="134"/>
          </rPr>
          <t xml:space="preserve">
at the factory (conversion) level</t>
        </r>
      </text>
    </comment>
    <comment ref="B33" authorId="0">
      <text>
        <r>
          <rPr>
            <b/>
            <sz val="9"/>
            <rFont val="Times New Roman"/>
            <charset val="134"/>
          </rPr>
          <t>xli9:</t>
        </r>
        <r>
          <rPr>
            <sz val="9"/>
            <rFont val="Times New Roman"/>
            <charset val="134"/>
          </rPr>
          <t xml:space="preserve">
We directly sourced from Yao’s results in Table 1 (summarizing different cell cost) of Sodium-ion battery cost projections and their impact on the global energy 
system transition until 2050;
and the first-hand data is from the revised BatPac analysis from Critically assessing sodium-ion 
technology roadmaps and scenarios for 
techno-economic competitiveness against 
lithium-ion batteries</t>
        </r>
      </text>
    </comment>
    <comment ref="AW39" authorId="0">
      <text>
        <r>
          <rPr>
            <b/>
            <sz val="9"/>
            <rFont val="Times New Roman"/>
            <charset val="134"/>
          </rPr>
          <t>xli9:</t>
        </r>
        <r>
          <rPr>
            <sz val="9"/>
            <rFont val="Times New Roman"/>
            <charset val="134"/>
          </rPr>
          <t xml:space="preserve">
at the factory (conversion) level</t>
        </r>
      </text>
    </comment>
    <comment ref="AG41" authorId="0">
      <text>
        <r>
          <rPr>
            <b/>
            <sz val="9"/>
            <rFont val="Times New Roman"/>
            <charset val="134"/>
          </rPr>
          <t>xli9:</t>
        </r>
        <r>
          <rPr>
            <sz val="9"/>
            <rFont val="Times New Roman"/>
            <charset val="134"/>
          </rPr>
          <t xml:space="preserve">
same as recycling facilities 
JUST REMOVE IT BCZ ACT_COST ALREADY INCLUDE</t>
        </r>
      </text>
    </comment>
    <comment ref="AW53" authorId="0">
      <text>
        <r>
          <rPr>
            <b/>
            <sz val="9"/>
            <rFont val="Times New Roman"/>
            <charset val="134"/>
          </rPr>
          <t>xli9:</t>
        </r>
        <r>
          <rPr>
            <sz val="9"/>
            <rFont val="Times New Roman"/>
            <charset val="134"/>
          </rPr>
          <t xml:space="preserve">
at the factory (conversion) level</t>
        </r>
      </text>
    </comment>
    <comment ref="B55" authorId="0">
      <text>
        <r>
          <rPr>
            <b/>
            <sz val="9"/>
            <rFont val="Times New Roman"/>
            <charset val="134"/>
          </rPr>
          <t>xli9:</t>
        </r>
        <r>
          <rPr>
            <sz val="9"/>
            <rFont val="Times New Roman"/>
            <charset val="134"/>
          </rPr>
          <t xml:space="preserve">
at the factory (conversion) level</t>
        </r>
      </text>
    </comment>
    <comment ref="AW67" authorId="0">
      <text>
        <r>
          <rPr>
            <b/>
            <sz val="9"/>
            <rFont val="Times New Roman"/>
            <charset val="134"/>
          </rPr>
          <t>xli9:</t>
        </r>
        <r>
          <rPr>
            <sz val="9"/>
            <rFont val="Times New Roman"/>
            <charset val="134"/>
          </rPr>
          <t xml:space="preserve">
at the factory (conversion) level</t>
        </r>
      </text>
    </comment>
    <comment ref="AW83" authorId="0">
      <text>
        <r>
          <rPr>
            <b/>
            <sz val="9"/>
            <rFont val="Times New Roman"/>
            <charset val="134"/>
          </rPr>
          <t>xli9:</t>
        </r>
        <r>
          <rPr>
            <sz val="9"/>
            <rFont val="Times New Roman"/>
            <charset val="134"/>
          </rPr>
          <t xml:space="preserve">
at the factory (conversion) level</t>
        </r>
      </text>
    </comment>
    <comment ref="AW96" authorId="0">
      <text>
        <r>
          <rPr>
            <b/>
            <sz val="9"/>
            <rFont val="Times New Roman"/>
            <charset val="134"/>
          </rPr>
          <t>xli9:</t>
        </r>
        <r>
          <rPr>
            <sz val="9"/>
            <rFont val="Times New Roman"/>
            <charset val="134"/>
          </rPr>
          <t xml:space="preserve">
at the factory (conversion) level</t>
        </r>
      </text>
    </comment>
    <comment ref="AW113" authorId="0">
      <text>
        <r>
          <rPr>
            <b/>
            <sz val="9"/>
            <rFont val="Times New Roman"/>
            <charset val="134"/>
          </rPr>
          <t>xli9:</t>
        </r>
        <r>
          <rPr>
            <sz val="9"/>
            <rFont val="Times New Roman"/>
            <charset val="134"/>
          </rPr>
          <t xml:space="preserve">
at the factory (conversion) level</t>
        </r>
      </text>
    </comment>
  </commentList>
</comments>
</file>

<file path=xl/comments2.xml><?xml version="1.0" encoding="utf-8"?>
<comments xmlns="http://schemas.openxmlformats.org/spreadsheetml/2006/main">
  <authors>
    <author>xli9</author>
  </authors>
  <commentList>
    <comment ref="C50" authorId="0">
      <text>
        <r>
          <rPr>
            <b/>
            <sz val="9"/>
            <rFont val="Times New Roman"/>
            <charset val="134"/>
          </rPr>
          <t>xli9:</t>
        </r>
        <r>
          <rPr>
            <sz val="9"/>
            <rFont val="Times New Roman"/>
            <charset val="134"/>
          </rPr>
          <t xml:space="preserve">
Manually adjusted</t>
        </r>
      </text>
    </comment>
    <comment ref="C53" authorId="0">
      <text>
        <r>
          <rPr>
            <b/>
            <sz val="9"/>
            <rFont val="Times New Roman"/>
            <charset val="134"/>
          </rPr>
          <t>xli9:</t>
        </r>
        <r>
          <rPr>
            <sz val="9"/>
            <rFont val="Times New Roman"/>
            <charset val="134"/>
          </rPr>
          <t xml:space="preserve">
Manually adjusted</t>
        </r>
      </text>
    </comment>
    <comment ref="C56" authorId="0">
      <text>
        <r>
          <rPr>
            <b/>
            <sz val="9"/>
            <rFont val="Times New Roman"/>
            <charset val="134"/>
          </rPr>
          <t>xli9:</t>
        </r>
        <r>
          <rPr>
            <sz val="9"/>
            <rFont val="Times New Roman"/>
            <charset val="134"/>
          </rPr>
          <t xml:space="preserve">
Manually adjusted</t>
        </r>
      </text>
    </comment>
    <comment ref="A139" authorId="0">
      <text>
        <r>
          <rPr>
            <b/>
            <sz val="9"/>
            <rFont val="Times New Roman"/>
            <charset val="134"/>
          </rPr>
          <t>xli9:</t>
        </r>
        <r>
          <rPr>
            <sz val="9"/>
            <rFont val="Times New Roman"/>
            <charset val="134"/>
          </rPr>
          <t xml:space="preserve">
Cell conversion/manufacturing: 65–75%/70% Pack integration/assembly: 25–35%</t>
        </r>
      </text>
    </comment>
  </commentList>
</comments>
</file>

<file path=xl/comments3.xml><?xml version="1.0" encoding="utf-8"?>
<comments xmlns="http://schemas.openxmlformats.org/spreadsheetml/2006/main">
  <authors>
    <author>xli9</author>
    <author>Xiao Li</author>
  </authors>
  <commentList>
    <comment ref="P2" authorId="0">
      <text>
        <r>
          <rPr>
            <b/>
            <sz val="9"/>
            <rFont val="Times New Roman"/>
            <charset val="134"/>
          </rPr>
          <t>xli9:</t>
        </r>
        <r>
          <rPr>
            <sz val="9"/>
            <rFont val="Times New Roman"/>
            <charset val="134"/>
          </rPr>
          <t xml:space="preserve">
Because we considered V2G in another independent process, so we ignore this tag</t>
        </r>
      </text>
    </comment>
    <comment ref="F12" authorId="0">
      <text>
        <r>
          <rPr>
            <b/>
            <sz val="9"/>
            <rFont val="Times New Roman"/>
            <charset val="134"/>
          </rPr>
          <t>xli9:</t>
        </r>
        <r>
          <rPr>
            <sz val="9"/>
            <rFont val="Times New Roman"/>
            <charset val="134"/>
          </rPr>
          <t xml:space="preserve">
I just shorten it from 25 to 15, which is more real</t>
        </r>
      </text>
    </comment>
    <comment ref="F15" authorId="0">
      <text>
        <r>
          <rPr>
            <b/>
            <sz val="9"/>
            <rFont val="Times New Roman"/>
            <charset val="134"/>
          </rPr>
          <t>xli9:</t>
        </r>
        <r>
          <rPr>
            <sz val="9"/>
            <rFont val="Times New Roman"/>
            <charset val="134"/>
          </rPr>
          <t xml:space="preserve">
This does not make sense; for the same vehicle technology, EFF should be the same whether it uses gasoline or bio-gasoline (BGS).</t>
        </r>
      </text>
    </comment>
    <comment ref="CW63" authorId="0">
      <text>
        <r>
          <rPr>
            <b/>
            <sz val="9"/>
            <rFont val="Times New Roman"/>
            <charset val="134"/>
          </rPr>
          <t>xli9:</t>
        </r>
        <r>
          <rPr>
            <sz val="9"/>
            <rFont val="Times New Roman"/>
            <charset val="134"/>
          </rPr>
          <t xml:space="preserve">
We removed it , see below</t>
        </r>
      </text>
    </comment>
    <comment ref="M71" authorId="0">
      <text>
        <r>
          <rPr>
            <b/>
            <sz val="9"/>
            <rFont val="Times New Roman"/>
            <charset val="134"/>
          </rPr>
          <t>xli9:</t>
        </r>
        <r>
          <rPr>
            <sz val="9"/>
            <rFont val="Times New Roman"/>
            <charset val="134"/>
          </rPr>
          <t xml:space="preserve">
https://www.lightmetalage.com/news/industry-news/smelting/decline-of-u-s-primary-aluminum-production-and-the-growth-of-secondary-aluminum/?utm_source=chatgpt.com</t>
        </r>
      </text>
    </comment>
    <comment ref="AA71" authorId="0">
      <text>
        <r>
          <rPr>
            <b/>
            <sz val="9"/>
            <rFont val="Times New Roman"/>
            <charset val="134"/>
          </rPr>
          <t>xli9:</t>
        </r>
        <r>
          <rPr>
            <sz val="9"/>
            <rFont val="Times New Roman"/>
            <charset val="134"/>
          </rPr>
          <t xml:space="preserve">
US750 ktonne, CAN 2.9 Mtonne: https://en.wikipedia.org/wiki/Aluminum_industry_in_the_United_States?utm_source=chatgpt.com; https://www.statista.com/statistics/312839/primary-aluminum-production-in-the-united-states/?utm_source=chatgpt.com</t>
        </r>
      </text>
    </comment>
    <comment ref="B85" authorId="0">
      <text>
        <r>
          <rPr>
            <b/>
            <sz val="9"/>
            <rFont val="Times New Roman"/>
            <charset val="134"/>
          </rPr>
          <t>xli9:</t>
        </r>
        <r>
          <rPr>
            <sz val="9"/>
            <rFont val="Times New Roman"/>
            <charset val="134"/>
          </rPr>
          <t xml:space="preserve">
We have already predefine in PASTI, and this block is wrong, without focusing on battery scopes</t>
        </r>
      </text>
    </comment>
    <comment ref="D90" authorId="0">
      <text/>
    </comment>
    <comment ref="D101"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E104" authorId="1">
      <text>
        <r>
          <rPr>
            <b/>
            <sz val="9"/>
            <rFont val="Tahoma"/>
            <charset val="1"/>
          </rPr>
          <t>Xiao Li:</t>
        </r>
        <r>
          <rPr>
            <sz val="9"/>
            <rFont val="Tahoma"/>
            <charset val="1"/>
          </rPr>
          <t xml:space="preserve">
unit is m$/ktonne, so we use ACT_COST</t>
        </r>
      </text>
    </comment>
    <comment ref="D132" authorId="0">
      <text>
        <r>
          <rPr>
            <b/>
            <sz val="9"/>
            <rFont val="Times New Roman"/>
            <charset val="0"/>
          </rPr>
          <t>xli9:</t>
        </r>
        <r>
          <rPr>
            <sz val="9"/>
            <rFont val="Times New Roman"/>
            <charset val="0"/>
          </rPr>
          <t xml:space="preserve">
SHOULD ADD BACK (Sept 2026) bcz you need to be consistent into handling virgin makong and recycling, it should have NCAP_COST and lifetime as a project</t>
        </r>
      </text>
    </comment>
    <comment ref="L132" authorId="0">
      <text>
        <r>
          <rPr>
            <b/>
            <sz val="9"/>
            <rFont val="Times New Roman"/>
            <charset val="0"/>
          </rPr>
          <t>xli9:</t>
        </r>
        <r>
          <rPr>
            <sz val="9"/>
            <rFont val="Times New Roman"/>
            <charset val="0"/>
          </rPr>
          <t xml:space="preserve">
SHOULD ADD BACK (Sept 2026) bcz you need to be consistent into handling virgin makong and recycling, it should have NCAP_COST and lifetime as a project</t>
        </r>
      </text>
    </comment>
    <comment ref="B178" authorId="0">
      <text>
        <r>
          <rPr>
            <b/>
            <sz val="9"/>
            <rFont val="Times New Roman"/>
            <charset val="134"/>
          </rPr>
          <t>xli9:</t>
        </r>
        <r>
          <rPr>
            <sz val="9"/>
            <rFont val="Times New Roman"/>
            <charset val="134"/>
          </rPr>
          <t xml:space="preserve">
WE DELETE FUTURE BOUNDS TO AVOID THE ROUND LOGIC, AND ALSO AVOIDING FIXED multiply factors</t>
        </r>
      </text>
    </comment>
    <comment ref="B208" authorId="0">
      <text>
        <r>
          <rPr>
            <b/>
            <sz val="9"/>
            <rFont val="Times New Roman"/>
            <charset val="134"/>
          </rPr>
          <t>xli9:</t>
        </r>
        <r>
          <rPr>
            <sz val="9"/>
            <rFont val="Times New Roman"/>
            <charset val="134"/>
          </rPr>
          <t xml:space="preserve">
this is the observed mining intensity
MOVE TO BY</t>
        </r>
      </text>
    </comment>
    <comment ref="B280" authorId="0">
      <text>
        <r>
          <rPr>
            <b/>
            <sz val="9"/>
            <rFont val="Times New Roman"/>
            <charset val="134"/>
          </rPr>
          <t>We remove this bcz there exists a constraint to balance battery amounts with car amounts... so we just set start year for them two processes as base year and remove this existing stocks 
xli9:</t>
        </r>
        <r>
          <rPr>
            <sz val="9"/>
            <rFont val="Times New Roman"/>
            <charset val="134"/>
          </rPr>
          <t xml:space="preserve">
Since we hope to make CAPEX, EFF=1 all align with actual production capacity, so we translated original capacity to the real production capacity</t>
        </r>
      </text>
    </comment>
    <comment ref="B283" authorId="0">
      <text>
        <r>
          <rPr>
            <b/>
            <sz val="9"/>
            <rFont val="Times New Roman"/>
            <charset val="134"/>
          </rPr>
          <t>xli9:</t>
        </r>
        <r>
          <rPr>
            <sz val="9"/>
            <rFont val="Times New Roman"/>
            <charset val="134"/>
          </rPr>
          <t xml:space="preserve">
we then add it back but revise with balanced number
MOVE TO BY</t>
        </r>
      </text>
    </comment>
  </commentList>
</comments>
</file>

<file path=xl/comments4.xml><?xml version="1.0" encoding="utf-8"?>
<comments xmlns="http://schemas.openxmlformats.org/spreadsheetml/2006/main">
  <authors>
    <author>xli9</author>
  </authors>
  <commentList>
    <comment ref="M10" authorId="0">
      <text>
        <r>
          <rPr>
            <b/>
            <sz val="9"/>
            <rFont val="Times New Roman"/>
            <charset val="134"/>
          </rPr>
          <t>xli9:</t>
        </r>
        <r>
          <rPr>
            <sz val="9"/>
            <rFont val="Times New Roman"/>
            <charset val="134"/>
          </rPr>
          <t xml:space="preserve">
I need to set 70% because original CAPEX include batteries but should be deducted</t>
        </r>
      </text>
    </comment>
  </commentList>
</comments>
</file>

<file path=xl/comments5.xml><?xml version="1.0" encoding="utf-8"?>
<comments xmlns="http://schemas.openxmlformats.org/spreadsheetml/2006/main">
  <authors>
    <author>xli9</author>
  </authors>
  <commentList>
    <comment ref="G35" authorId="0">
      <text>
        <r>
          <rPr>
            <b/>
            <sz val="9"/>
            <rFont val="Times New Roman"/>
            <charset val="134"/>
          </rPr>
          <t xml:space="preserve">xli9:
</t>
        </r>
        <r>
          <rPr>
            <sz val="9"/>
            <rFont val="Times New Roman"/>
            <charset val="134"/>
          </rPr>
          <t>Amit data based on 2019 so this number original is 2000, but we start from 2020 so we revise it to be 2020 excluding 2000</t>
        </r>
      </text>
    </comment>
    <comment ref="D54" authorId="0">
      <text>
        <r>
          <rPr>
            <b/>
            <sz val="9"/>
            <rFont val="Times New Roman"/>
            <charset val="134"/>
          </rPr>
          <t xml:space="preserve">xli9:
</t>
        </r>
        <r>
          <rPr>
            <sz val="9"/>
            <rFont val="Times New Roman"/>
            <charset val="134"/>
          </rPr>
          <t>Amit data based on 2019 so this number original is 2000, but we start from 2020 so we revise it to be 2020 excluding 2000</t>
        </r>
      </text>
    </comment>
  </commentList>
</comments>
</file>

<file path=xl/comments6.xml><?xml version="1.0" encoding="utf-8"?>
<comments xmlns="http://schemas.openxmlformats.org/spreadsheetml/2006/main">
  <authors>
    <author>xli9</author>
  </authors>
  <commentList>
    <comment ref="AJ165" authorId="0">
      <text>
        <r>
          <rPr>
            <b/>
            <sz val="9"/>
            <rFont val="Times New Roman"/>
            <charset val="134"/>
          </rPr>
          <t>xli9:</t>
        </r>
        <r>
          <rPr>
            <sz val="9"/>
            <rFont val="Times New Roman"/>
            <charset val="134"/>
          </rPr>
          <t xml:space="preserve">
I need to set 70% because original CAPEX include batteries but should be deducted</t>
        </r>
      </text>
    </comment>
  </commentList>
</comments>
</file>

<file path=xl/sharedStrings.xml><?xml version="1.0" encoding="utf-8"?>
<sst xmlns="http://schemas.openxmlformats.org/spreadsheetml/2006/main" count="10657" uniqueCount="661">
  <si>
    <t>~TFM_AVA</t>
  </si>
  <si>
    <t>Region</t>
  </si>
  <si>
    <t>Process</t>
  </si>
  <si>
    <t>Africa_North</t>
  </si>
  <si>
    <t>*</t>
  </si>
  <si>
    <t>Africa_Other</t>
  </si>
  <si>
    <t>Australia</t>
  </si>
  <si>
    <t>Austria</t>
  </si>
  <si>
    <t>Baltics</t>
  </si>
  <si>
    <t>BeNeLux</t>
  </si>
  <si>
    <t>Brazil</t>
  </si>
  <si>
    <t>China</t>
  </si>
  <si>
    <t>CroSloven</t>
  </si>
  <si>
    <t>CzechSlovak</t>
  </si>
  <si>
    <t>France</t>
  </si>
  <si>
    <t>Germany</t>
  </si>
  <si>
    <t>GreeceCyp</t>
  </si>
  <si>
    <t>HunRomBul</t>
  </si>
  <si>
    <t>Iceland</t>
  </si>
  <si>
    <t>India</t>
  </si>
  <si>
    <t>Ireland</t>
  </si>
  <si>
    <t>ItalyMal</t>
  </si>
  <si>
    <t>Japan</t>
  </si>
  <si>
    <t>LatAm</t>
  </si>
  <si>
    <t>MidEast</t>
  </si>
  <si>
    <t>NorthAm</t>
  </si>
  <si>
    <t>Norway</t>
  </si>
  <si>
    <t>Poland</t>
  </si>
  <si>
    <t>ROW</t>
  </si>
  <si>
    <t>Russia</t>
  </si>
  <si>
    <t>SaudiArabia</t>
  </si>
  <si>
    <t>SouthAfrica</t>
  </si>
  <si>
    <t>SpainPor</t>
  </si>
  <si>
    <t>SweFinDen</t>
  </si>
  <si>
    <t>Switzerland</t>
  </si>
  <si>
    <t>Turkey</t>
  </si>
  <si>
    <t>UK</t>
  </si>
  <si>
    <t>Ukraine</t>
  </si>
  <si>
    <t>WestBalkans</t>
  </si>
  <si>
    <t>*The original pack CAPEX price is 10million USD/GWh is too rough, and we also wanna project cost trends over time, so we sourced from NREL's ATB report</t>
  </si>
  <si>
    <t>*Downloaded from ATB 2024: output file, only representative vehicle battery type is presented below</t>
  </si>
  <si>
    <t>year</t>
  </si>
  <si>
    <t>scenario</t>
  </si>
  <si>
    <t>vehicle_weight_category</t>
  </si>
  <si>
    <t>vehicle_class</t>
  </si>
  <si>
    <t>vehicle_powertrain</t>
  </si>
  <si>
    <t>vehicle_detail</t>
  </si>
  <si>
    <t>fuel_category</t>
  </si>
  <si>
    <t>fuel2_category</t>
  </si>
  <si>
    <t>metric</t>
  </si>
  <si>
    <t>value</t>
  </si>
  <si>
    <t>reference</t>
  </si>
  <si>
    <t>~TFM_INS: attribute=INVCOST</t>
  </si>
  <si>
    <t>~TFM_INS: attribute=ACT_COST</t>
  </si>
  <si>
    <t>Battery Electric Vehicle Assumptions | Transportation | 2024 | ATB | NLR</t>
  </si>
  <si>
    <t>Mid</t>
  </si>
  <si>
    <t>Light Duty</t>
  </si>
  <si>
    <t>Compact</t>
  </si>
  <si>
    <t>Battery Electric</t>
  </si>
  <si>
    <t>Battery Electric Vehicle (300-mile range)</t>
  </si>
  <si>
    <t>Electricity</t>
  </si>
  <si>
    <t>Battery Cost (2022$/kWh) (pack-level, rated capacity)</t>
  </si>
  <si>
    <t>ANL, Autonomie (2023)</t>
  </si>
  <si>
    <t>Whole pack CAPEX in NREL</t>
  </si>
  <si>
    <t>Sourced from before calculations</t>
  </si>
  <si>
    <t>AllRegions</t>
  </si>
  <si>
    <t>process</t>
  </si>
  <si>
    <t>Tra_EV_Batt-LFP_fromrecy</t>
  </si>
  <si>
    <t>Tra_EV_Batt-LFP_virgin</t>
  </si>
  <si>
    <t>Tra_EV_Batt-LFP_virgin_pack</t>
  </si>
  <si>
    <t xml:space="preserve">*However, 
(1) as suggested by Sally Benson's Nature energy in 2025, the learning-by-doing reduction only applied to other cost components (conversion cost) = whole pack CAPEX-material costs
(2) Argonne lab / EverBatt model/ Anna's provided data has its own CAPEX , we have already made the deduction in the SubRES_Transport table (avoiding Double-counting learning)
(3) energy economic cost only accounts for negligible proportion of CAPEX, so to make the paper cleaner we do not need to deduct this part
(4) but Argonne database do not have future cost projections
</t>
  </si>
  <si>
    <t>Tra_EV_Batt-LFP</t>
  </si>
  <si>
    <t>Tra_EV_Batt-LMO_fromrecy</t>
  </si>
  <si>
    <t>Tra_EV_Batt-LMO_virgin</t>
  </si>
  <si>
    <t>Tra_EV_Batt-LMO_virgin_pack</t>
  </si>
  <si>
    <t>Tra_EV_Batt-LMO</t>
  </si>
  <si>
    <t>Tra_EV_Batt-NCA_fromrecy</t>
  </si>
  <si>
    <t>Tra_EV_Batt-NCA_virgin</t>
  </si>
  <si>
    <t>Tra_EV_Batt-NCA_virgin_pack</t>
  </si>
  <si>
    <t>Tra_EV_Batt-NCA</t>
  </si>
  <si>
    <t>Tra_EV_Batt-NMC111_fromrecy</t>
  </si>
  <si>
    <t>Tra_EV_Batt-NMC111_virgin</t>
  </si>
  <si>
    <t>Tra_EV_Batt-NMC111_virgin_pack</t>
  </si>
  <si>
    <t xml:space="preserve">So we use Argonne baseline cost → deduct material cost → get conversion CAPEX →
apply NREL learning rate to conversion component.----no it seems that NorthAmerica too high so we included the regional learning rate differences in </t>
  </si>
  <si>
    <t>Tra_EV_Batt-NMC111</t>
  </si>
  <si>
    <t>Tra_EV_Batt-NMC532_fromrecy</t>
  </si>
  <si>
    <t>Tra_EV_Batt-NMC532_virgin</t>
  </si>
  <si>
    <t>Tra_EV_Batt-NMC532_virgin_pack</t>
  </si>
  <si>
    <t>Tra_EV_Batt-NMC532</t>
  </si>
  <si>
    <t>Tra_EV_Batt-NMC622_fromrecy</t>
  </si>
  <si>
    <t>Tra_EV_Batt-NMC622_virgin</t>
  </si>
  <si>
    <t>Tra_EV_Batt-NMC622_virgin_pack</t>
  </si>
  <si>
    <t>Tra_EV_Batt-NMC622</t>
  </si>
  <si>
    <t>Tra_EV_Batt-NMC811_fromrecy</t>
  </si>
  <si>
    <t>Tra_EV_Batt-NMC811_virgin</t>
  </si>
  <si>
    <t>Tra_EV_Batt-NMC811_virgin_pack</t>
  </si>
  <si>
    <t>Tra_EV_Batt-NMC811</t>
  </si>
  <si>
    <t>Tra_EV_Batt-Sodium_virgin</t>
  </si>
  <si>
    <t>Tra_EV_Batt-Sodium_virgin_pack</t>
  </si>
  <si>
    <t xml:space="preserve">Total CAPEX for batteries before deducting material flow costs (USD/kWh) </t>
  </si>
  <si>
    <t>Cell cost for Na-ion (USD24/kWh)</t>
  </si>
  <si>
    <t>Pack cost for Na-ion</t>
  </si>
  <si>
    <t>EV battery INVCOST (million $ per GWh) - virgin and recycled routes, 35 regions</t>
  </si>
  <si>
    <t>Blue = editable input.  Black = formula.  Yellow = key assumption to test.  INVCOST = BaseCost(chem) x FrontierIndex(route,year) x RegionMultiplier(tier,year).</t>
  </si>
  <si>
    <t>1.  BASE COST BY CHEMISTRY (2023, China frontier)</t>
  </si>
  <si>
    <t>Process - recycled</t>
  </si>
  <si>
    <t>Process - virgin</t>
  </si>
  <si>
    <t>Base 2023 recy</t>
  </si>
  <si>
    <t>Virgin/recy ratio</t>
  </si>
  <si>
    <t>Base 2023 virgin</t>
  </si>
  <si>
    <t>Base costs are your own 2023 China values. Virgin ratio defaults to 1.000 - REPLACE with real virgin capex data. Virgin process names are placeholders; overwrite column B.</t>
  </si>
  <si>
    <t>2.  FRONTIER DECAY  -  Index(t) = Floor + (1-Floor) x EXP(-lambda x (t-2023))</t>
  </si>
  <si>
    <t>Route</t>
  </si>
  <si>
    <t>Floor</t>
  </si>
  <si>
    <t>Lambda</t>
  </si>
  <si>
    <t>recy</t>
  </si>
  <si>
    <t>virgin</t>
  </si>
  <si>
    <t>Frontier index (2023 = 1.000)</t>
  </si>
  <si>
    <t>2023</t>
  </si>
  <si>
    <t>2050</t>
  </si>
  <si>
    <t>2100</t>
  </si>
  <si>
    <t>Recycling declines faster than virgin: less mature technology, more learning headroom. Anchor lambda to a published Li-ion learning rate (~15-20% per doubling) and cite it.</t>
  </si>
  <si>
    <t>3.  REGION TIERS  -  Mult(t) = Mfloor + (M2023 - Mfloor) x EXP(-k x (t-2023))</t>
  </si>
  <si>
    <t>Tier</t>
  </si>
  <si>
    <t>M 2023</t>
  </si>
  <si>
    <t>M floor</t>
  </si>
  <si>
    <t>k</t>
  </si>
  <si>
    <t>Rationale</t>
  </si>
  <si>
    <t>Frontier</t>
  </si>
  <si>
    <t>China. Global cost frontier, already near its floor.</t>
  </si>
  <si>
    <t>Developed</t>
  </si>
  <si>
    <t>High labour, energy, permitting costs; strong catch-up potential.</t>
  </si>
  <si>
    <t>Emerging</t>
  </si>
  <si>
    <t>Higher capital cost, no scale today; fastest convergence.</t>
  </si>
  <si>
    <t>Floors stay above 1.00: industrial electricity price, permitting and labour differences do not vanish, so full convergence to parity would not be credible. Tier column below is editable.</t>
  </si>
  <si>
    <t>4.  MULTIPLIER BY REGION</t>
  </si>
  <si>
    <t>Developed, second tier</t>
  </si>
  <si>
    <t>5.  INVCOST - RECYCLED ROUTE   (paste each block into VEDA)</t>
  </si>
  <si>
    <t>same as virgin conversion cost)</t>
  </si>
  <si>
    <t>6.  INVCOST - VIRGIN ROUTE   (paste each block into VEDA)</t>
  </si>
  <si>
    <t>na</t>
  </si>
  <si>
    <t>7.  ASSUMPTIONS AND SENSITIVITY</t>
  </si>
  <si>
    <t>MILESTONE YEARS: TIMES interpolates linearly between milestone years, but these trajectories are convex. With only 2023 / 2050 / 2100, the steep early decline is straightened out and costs in the 2030s-2040s are overstated - for NorthAm LFP recycling in 2035 the linearised value is roughly 14% above the true curve. That is exactly the period when recycling investment decisions are made. If results in the 2030s matter, add 2030 and 2035 back as milestone years.</t>
  </si>
  <si>
    <t>Both routes are included deliberately: recycled and virgin batteries compete directly, so the result is driven by their RELATIVE cost. Applying convergence to only one route would make the recycling share an artefact of inconsistent accounting. Same region multipliers for both; the routes differ only in frontier decay speed.</t>
  </si>
  <si>
    <t>Cite before submission: (a) source of the 2023 China base costs; (b) the published learning rate behind lambda (e.g. BloombergNEF ~18% per doubling, Our World in Data ~19% since 1998, EV experience rate 16 +/- 4%); (c) proxies behind the tier premia - industrial electricity prices (IEA / Eurostat / EIA) for the structural part, country WACC or risk premium for the converging part.</t>
  </si>
  <si>
    <t>The steeper recycling decline is a judgement about technology maturity, not a measured rate. It is the single most important sensitivity here - report it as a range, not a point value.</t>
  </si>
  <si>
    <t>Chemistry ordering inherits an inversion from the source data (NMC532 &gt; NMC811). Capex is close to chemistry-independent in practice, so consider collapsing all chemistries to one base cost with a ~5% LFP discount.</t>
  </si>
  <si>
    <t>NorthAm sits in Developed at 1.75; your original table implies 1.925 for NorthAm alone. Raise Developed M2023 to 1.80 to stay closer to that anchor.</t>
  </si>
  <si>
    <t>Bounding runs to report</t>
  </si>
  <si>
    <t>Case</t>
  </si>
  <si>
    <t>Setting</t>
  </si>
  <si>
    <t>Purpose</t>
  </si>
  <si>
    <t>Frozen gap (upper bound)</t>
  </si>
  <si>
    <t>all tier k = 0</t>
  </si>
  <si>
    <t>Regional gaps never close - reproduces your current table. Pessimistic bound.</t>
  </si>
  <si>
    <t>Central</t>
  </si>
  <si>
    <t>as delivered</t>
  </si>
  <si>
    <t>Gaps converge toward a structural floor above parity.</t>
  </si>
  <si>
    <t>Full convergence (lower)</t>
  </si>
  <si>
    <t>all tier floors = 1.00</t>
  </si>
  <si>
    <t>Every region reaches the frontier by 2100.</t>
  </si>
  <si>
    <t>If a headline result flips between the frozen-gap and full-convergence bounds it is assumption-driven and must be reported as conditional. If it holds across the range, it is robust and can be stated plainly.</t>
  </si>
  <si>
    <t>~TFM_FILL-R:w=RoadTra_BY; hcol=region</t>
  </si>
  <si>
    <t>~TFM_TOPINS</t>
  </si>
  <si>
    <t>TFM_TOPINS</t>
  </si>
  <si>
    <t>Scenario</t>
  </si>
  <si>
    <t>Attribute</t>
  </si>
  <si>
    <t>PSET_CO</t>
  </si>
  <si>
    <t>IO</t>
  </si>
  <si>
    <t>commodity</t>
  </si>
  <si>
    <t>pset_ci</t>
  </si>
  <si>
    <t>pset_co</t>
  </si>
  <si>
    <t>cset_cn</t>
  </si>
  <si>
    <t>BASE</t>
  </si>
  <si>
    <t>AF</t>
  </si>
  <si>
    <t>Trd[_]*</t>
  </si>
  <si>
    <t>*1</t>
  </si>
  <si>
    <t>Trd[_]*gsl*</t>
  </si>
  <si>
    <t>IN</t>
  </si>
  <si>
    <t>TRAGSL,TRABGS</t>
  </si>
  <si>
    <t>TRAELC</t>
  </si>
  <si>
    <t>TRDELC</t>
  </si>
  <si>
    <t>ELC</t>
  </si>
  <si>
    <t>Out</t>
  </si>
  <si>
    <t>EFF</t>
  </si>
  <si>
    <t>Trd[_]*dsl*</t>
  </si>
  <si>
    <t>TRADST,TRABDS</t>
  </si>
  <si>
    <t>Trd[_]*hh2*</t>
  </si>
  <si>
    <t>TRAGH2</t>
  </si>
  <si>
    <t>Trd[_]*cng*</t>
  </si>
  <si>
    <t>TRANGA</t>
  </si>
  <si>
    <t>~TFM_INS</t>
  </si>
  <si>
    <t>Trd[_]*elc*</t>
  </si>
  <si>
    <t>attribute</t>
  </si>
  <si>
    <t>PSET_PN</t>
  </si>
  <si>
    <t>PSET_CI</t>
  </si>
  <si>
    <t>CSET_CN</t>
  </si>
  <si>
    <t>limtype</t>
  </si>
  <si>
    <t>Trd[_]*lng*</t>
  </si>
  <si>
    <t>Share</t>
  </si>
  <si>
    <t>Trd[_]*-pih*</t>
  </si>
  <si>
    <t>FX</t>
  </si>
  <si>
    <t>LIFE</t>
  </si>
  <si>
    <t>~TFM_MIG</t>
  </si>
  <si>
    <t>*START</t>
  </si>
  <si>
    <t>-TRDELC</t>
  </si>
  <si>
    <t>attribute2</t>
  </si>
  <si>
    <t>pset_pn</t>
  </si>
  <si>
    <t>INVCOST</t>
  </si>
  <si>
    <t>*.03</t>
  </si>
  <si>
    <t>FIXOM</t>
  </si>
  <si>
    <t>CEFF</t>
  </si>
  <si>
    <t>TRAGSL</t>
  </si>
  <si>
    <t>TRABGS</t>
  </si>
  <si>
    <t>*.02</t>
  </si>
  <si>
    <t>~TFM_INS-TS: attribute=FLO_MARK</t>
  </si>
  <si>
    <t>attrib_cond</t>
  </si>
  <si>
    <t>top_check</t>
  </si>
  <si>
    <t>-FLO_MARK</t>
  </si>
  <si>
    <t>OUT</t>
  </si>
  <si>
    <t>Trd_2w_*</t>
  </si>
  <si>
    <t>Trd_3w_*</t>
  </si>
  <si>
    <t>Trd_bus*</t>
  </si>
  <si>
    <t>Trd_car*</t>
  </si>
  <si>
    <t>Trd_hdt*</t>
  </si>
  <si>
    <t>Trd_lcv*</t>
  </si>
  <si>
    <t>~TFM_UPD</t>
  </si>
  <si>
    <t>Trd_2w_gsl</t>
  </si>
  <si>
    <t>Trd_3w_gsl</t>
  </si>
  <si>
    <t>Trd_bus_dsl</t>
  </si>
  <si>
    <t>Trd_car_gsl</t>
  </si>
  <si>
    <t>Trd_hdt_dsl</t>
  </si>
  <si>
    <t>Trd_lcv_dsl</t>
  </si>
  <si>
    <t>tempering the Eff improvement in smaller Evs</t>
  </si>
  <si>
    <t>*.5</t>
  </si>
  <si>
    <t>Trd_2w,Trd_3w</t>
  </si>
  <si>
    <t>pset_set</t>
  </si>
  <si>
    <t>other_indexes</t>
  </si>
  <si>
    <t>ELE</t>
  </si>
  <si>
    <t>-INVCOST</t>
  </si>
  <si>
    <t>-Util_Rep_Batt*</t>
  </si>
  <si>
    <t>FLO_FUNC</t>
  </si>
  <si>
    <t>AuxStoIN</t>
  </si>
  <si>
    <t>Tra*</t>
  </si>
  <si>
    <t>*This original table seems too far from USGS evidence</t>
  </si>
  <si>
    <t>Pset_CO</t>
  </si>
  <si>
    <t>2019, 2024</t>
  </si>
  <si>
    <t>FLO_BND</t>
  </si>
  <si>
    <t>UP</t>
  </si>
  <si>
    <t>MINBatMaterials_LI</t>
  </si>
  <si>
    <t>m_lithium</t>
  </si>
  <si>
    <t>MINBatMaterials_NI</t>
  </si>
  <si>
    <t>m_nickel</t>
  </si>
  <si>
    <t>MINBatMaterials_COB</t>
  </si>
  <si>
    <t>m_cobalt</t>
  </si>
  <si>
    <t>MINBatMaterials_COB_direct</t>
  </si>
  <si>
    <t>MINBatMaterials_MN</t>
  </si>
  <si>
    <t>m_manganese</t>
  </si>
  <si>
    <t>MINBatMaterials_AL</t>
  </si>
  <si>
    <t>m_aluminum</t>
  </si>
  <si>
    <t>MINBatMaterials_COP</t>
  </si>
  <si>
    <t>m_copper</t>
  </si>
  <si>
    <t>MINBatMaterials_GR</t>
  </si>
  <si>
    <t>m_graphite</t>
  </si>
  <si>
    <t>ktonne</t>
  </si>
  <si>
    <t>*According to BloomBerg that ~2.5times more demand in 2024 vs. 2017 [means that 2.5 times higher demand every seven years] [https://about.bnef.com/blog/lithium-ion-battery-pack-prices-see-largest-drop-since-2017-falling-to-115-per-kilowatt-hour-bloombergnef/]; and a 18% learning rate also from Bloomberg</t>
  </si>
  <si>
    <t>*From USGS, 2024 annual mining</t>
  </si>
  <si>
    <r>
      <rPr>
        <sz val="8.25"/>
        <color rgb="FF3D3D3A"/>
        <rFont val="Arial"/>
        <charset val="134"/>
      </rPr>
      <t>Li</t>
    </r>
    <r>
      <rPr>
        <sz val="7.5"/>
        <color rgb="FF3D3D3A"/>
        <rFont val="Arial"/>
        <charset val="134"/>
      </rPr>
      <t>kt/yr</t>
    </r>
  </si>
  <si>
    <r>
      <rPr>
        <sz val="8.25"/>
        <color rgb="FF3D3D3A"/>
        <rFont val="Arial"/>
        <charset val="134"/>
      </rPr>
      <t>Co</t>
    </r>
    <r>
      <rPr>
        <sz val="7.5"/>
        <color rgb="FF3D3D3A"/>
        <rFont val="Arial"/>
        <charset val="134"/>
      </rPr>
      <t>kt/yr</t>
    </r>
  </si>
  <si>
    <r>
      <rPr>
        <sz val="8.25"/>
        <color rgb="FF3D3D3A"/>
        <rFont val="Arial"/>
        <charset val="134"/>
      </rPr>
      <t>Ni</t>
    </r>
    <r>
      <rPr>
        <sz val="7.5"/>
        <color rgb="FF3D3D3A"/>
        <rFont val="Arial"/>
        <charset val="134"/>
      </rPr>
      <t>kt/yr</t>
    </r>
  </si>
  <si>
    <r>
      <rPr>
        <sz val="8.25"/>
        <color rgb="FF3D3D3A"/>
        <rFont val="Arial"/>
        <charset val="134"/>
      </rPr>
      <t>Mn</t>
    </r>
    <r>
      <rPr>
        <sz val="7.5"/>
        <color rgb="FF3D3D3A"/>
        <rFont val="Arial"/>
        <charset val="134"/>
      </rPr>
      <t>kt/yr</t>
    </r>
  </si>
  <si>
    <r>
      <rPr>
        <sz val="8.25"/>
        <color rgb="FF3D3D3A"/>
        <rFont val="Arial"/>
        <charset val="134"/>
      </rPr>
      <t>Cu</t>
    </r>
    <r>
      <rPr>
        <sz val="7.5"/>
        <color rgb="FF3D3D3A"/>
        <rFont val="Arial"/>
        <charset val="134"/>
      </rPr>
      <t>kt/yr</t>
    </r>
  </si>
  <si>
    <r>
      <rPr>
        <sz val="8.25"/>
        <color rgb="FF3D3D3A"/>
        <rFont val="Arial"/>
        <charset val="134"/>
      </rPr>
      <t>Al</t>
    </r>
    <r>
      <rPr>
        <sz val="7.5"/>
        <color rgb="FF3D3D3A"/>
        <rFont val="Arial"/>
        <charset val="134"/>
      </rPr>
      <t>kt/yr</t>
    </r>
  </si>
  <si>
    <r>
      <rPr>
        <sz val="8.25"/>
        <color rgb="FF3D3D3A"/>
        <rFont val="Arial"/>
        <charset val="134"/>
      </rPr>
      <t>Graphite</t>
    </r>
    <r>
      <rPr>
        <sz val="7.5"/>
        <color rgb="FF3D3D3A"/>
        <rFont val="Arial"/>
        <charset val="134"/>
      </rPr>
      <t>kt/yr</t>
    </r>
  </si>
  <si>
    <t>Li</t>
  </si>
  <si>
    <t>Ni</t>
  </si>
  <si>
    <t>Co</t>
  </si>
  <si>
    <t>Mn</t>
  </si>
  <si>
    <t>Al</t>
  </si>
  <si>
    <t>Cu</t>
  </si>
  <si>
    <t>Graphite</t>
  </si>
  <si>
    <t>World</t>
  </si>
  <si>
    <t>NAF</t>
  </si>
  <si>
    <t>—</t>
  </si>
  <si>
    <t>SSA</t>
  </si>
  <si>
    <t>AUS</t>
  </si>
  <si>
    <t>AUT</t>
  </si>
  <si>
    <t>BAL</t>
  </si>
  <si>
    <t>BNL</t>
  </si>
  <si>
    <t>BRA</t>
  </si>
  <si>
    <t>MINBatMaterials_COB_byCop</t>
  </si>
  <si>
    <t>CHN</t>
  </si>
  <si>
    <t>MINBatMaterials_COB_byNI_sulfide</t>
  </si>
  <si>
    <t>CRS</t>
  </si>
  <si>
    <t>MINBatMaterials_COB_byNI_HPAL</t>
  </si>
  <si>
    <t>CZS</t>
  </si>
  <si>
    <t>FRA</t>
  </si>
  <si>
    <t>DEU</t>
  </si>
  <si>
    <t>GRC</t>
  </si>
  <si>
    <t>HRB</t>
  </si>
  <si>
    <t>ISL</t>
  </si>
  <si>
    <t>Korea</t>
  </si>
  <si>
    <t>IND</t>
  </si>
  <si>
    <t>ACT_COST</t>
  </si>
  <si>
    <t>PyroRecy-LFP</t>
  </si>
  <si>
    <t>IRL</t>
  </si>
  <si>
    <t>PyroRecy-LMO</t>
  </si>
  <si>
    <t>ITA</t>
  </si>
  <si>
    <t>PyroRecy-NCA</t>
  </si>
  <si>
    <t>JPN</t>
  </si>
  <si>
    <t>PyroRecy-NMC111</t>
  </si>
  <si>
    <t>LAM</t>
  </si>
  <si>
    <t>PyroRecy-NMC532</t>
  </si>
  <si>
    <t>MEA</t>
  </si>
  <si>
    <t>PyroRecy-NMC622</t>
  </si>
  <si>
    <t>NAM</t>
  </si>
  <si>
    <t>PyroRecy-NMC811</t>
  </si>
  <si>
    <t>NOR</t>
  </si>
  <si>
    <t>HydRecy-LFP</t>
  </si>
  <si>
    <t>POL</t>
  </si>
  <si>
    <t>HydRecy-LMO</t>
  </si>
  <si>
    <t>HydRecy-NCA</t>
  </si>
  <si>
    <t>RUS</t>
  </si>
  <si>
    <t>HydRecy-NMC111</t>
  </si>
  <si>
    <t>SAU</t>
  </si>
  <si>
    <t>HydRecy-NMC532</t>
  </si>
  <si>
    <t>ZAF</t>
  </si>
  <si>
    <t>HydRecy-NMC622</t>
  </si>
  <si>
    <t>ESP</t>
  </si>
  <si>
    <t>HydRecy-NMC811</t>
  </si>
  <si>
    <t>SFD</t>
  </si>
  <si>
    <t>DirRecy-LFP</t>
  </si>
  <si>
    <t>CHE</t>
  </si>
  <si>
    <t>DirRecy-LMO</t>
  </si>
  <si>
    <t>TUR</t>
  </si>
  <si>
    <t>DirRecy-NCA</t>
  </si>
  <si>
    <t>DirRecy-NMC111</t>
  </si>
  <si>
    <t>UKR</t>
  </si>
  <si>
    <t>DirRecy-NMC532</t>
  </si>
  <si>
    <t>WBK</t>
  </si>
  <si>
    <t>DirRecy-NMC622</t>
  </si>
  <si>
    <t>DirRecy-NMC811</t>
  </si>
  <si>
    <t>NCAP_COST</t>
  </si>
  <si>
    <t>NCAP_TLIFE</t>
  </si>
  <si>
    <t>PRC_RESID</t>
  </si>
  <si>
    <t>Translated from ETP2024</t>
  </si>
  <si>
    <t>**According to ETP2024, actual production is around 1/3 of capacity</t>
  </si>
  <si>
    <t>Tra_EV_Batt-LFP_virgin, Tra_EV_Batt-LFP_virgin_pack</t>
  </si>
  <si>
    <t>Tra_EV_Batt-NMC622_virgin, Tra_EV_Batt-NMC622_virgin_pack</t>
  </si>
  <si>
    <t>Tra_EV_Batt-NMC811_virgin, Tra_EV_Batt-NMC811_virgin_pack</t>
  </si>
  <si>
    <t>Tra_EV_Batt-NMC532_virgin, Tra_EV_Batt-NMC532_virgin_pack</t>
  </si>
  <si>
    <t>Tra_EV_Batt-NCA_virgin, Tra_EV_Batt-NCA_virgin_pack</t>
  </si>
  <si>
    <t>Tra_EV_Batt-LMO_virgin, Tra_EV_Batt-LMO_virgin_pack</t>
  </si>
  <si>
    <t>Tra_EV_Batt-Sodium_virgin, Tra_EV_Batt-Sodium_virgin_pack</t>
  </si>
  <si>
    <t>Tra_EV_Batt-NMC111_virgin, Tra_EV_Batt-NMC111_virgin_pack</t>
  </si>
  <si>
    <t>Below are from test balance running</t>
  </si>
  <si>
    <t>lim_type</t>
  </si>
  <si>
    <t>time_slice</t>
  </si>
  <si>
    <t>commodity_group</t>
  </si>
  <si>
    <t>currency</t>
  </si>
  <si>
    <t>stage</t>
  </si>
  <si>
    <t>sow</t>
  </si>
  <si>
    <t>year2</t>
  </si>
  <si>
    <t>Trd_2w_elc</t>
  </si>
  <si>
    <t>-</t>
  </si>
  <si>
    <t>ANNUAL</t>
  </si>
  <si>
    <t>2019</t>
  </si>
  <si>
    <t>Trd_3w_bdl</t>
  </si>
  <si>
    <t>Trd_3w_dsl</t>
  </si>
  <si>
    <t>Trd_bus_bdl</t>
  </si>
  <si>
    <t>Trd_bus_elc</t>
  </si>
  <si>
    <t>Trd_bus_eth</t>
  </si>
  <si>
    <t>Trd_bus_gsl</t>
  </si>
  <si>
    <t>Trd_bus_lpg</t>
  </si>
  <si>
    <t>Trd_bus_nga</t>
  </si>
  <si>
    <t>Trd_car_bdl</t>
  </si>
  <si>
    <t>Trd_car_dsl</t>
  </si>
  <si>
    <t>Trd_car_elc</t>
  </si>
  <si>
    <t>Trd_car_eth</t>
  </si>
  <si>
    <t>Trd_car_lpg</t>
  </si>
  <si>
    <t>Trd_car_nga</t>
  </si>
  <si>
    <t>Trd_hdt_bdl</t>
  </si>
  <si>
    <t>Trd_hdt_gsl</t>
  </si>
  <si>
    <t>Trd_lcv_bdl</t>
  </si>
  <si>
    <t>Trd_lcv_elc</t>
  </si>
  <si>
    <t>Trd_lcv_gsl</t>
  </si>
  <si>
    <t>Trd_lcv_lpg</t>
  </si>
  <si>
    <t>Trd_lcv_nga</t>
  </si>
  <si>
    <t>~TFM_UPD: attribute= INPUT</t>
  </si>
  <si>
    <t>INDELC</t>
  </si>
  <si>
    <t>INDCOA</t>
  </si>
  <si>
    <t>INDNGA</t>
  </si>
  <si>
    <t>INDOIL</t>
  </si>
  <si>
    <t>Original data_provided by Anna</t>
  </si>
  <si>
    <t>Location</t>
  </si>
  <si>
    <t xml:space="preserve">Energy use (MJ/kWh battery produced) </t>
  </si>
  <si>
    <r>
      <rPr>
        <sz val="12"/>
        <color rgb="FF000000"/>
        <rFont val="Aptos Narrow"/>
        <charset val="134"/>
      </rPr>
      <t>Chemistry</t>
    </r>
    <r>
      <rPr>
        <sz val="12"/>
        <color rgb="FF000000"/>
        <rFont val="Aptos Narrow"/>
        <charset val="134"/>
      </rPr>
      <t xml:space="preserve"> </t>
    </r>
  </si>
  <si>
    <r>
      <rPr>
        <sz val="12"/>
        <color rgb="FF000000"/>
        <rFont val="Aptos Narrow"/>
        <charset val="134"/>
      </rPr>
      <t>LCO</t>
    </r>
    <r>
      <rPr>
        <sz val="12"/>
        <color rgb="FF000000"/>
        <rFont val="Aptos Narrow"/>
        <charset val="134"/>
      </rPr>
      <t xml:space="preserve"> </t>
    </r>
  </si>
  <si>
    <t>NMC111</t>
  </si>
  <si>
    <t>NMC532</t>
  </si>
  <si>
    <t>NMC622</t>
  </si>
  <si>
    <t>NMC811</t>
  </si>
  <si>
    <t>NCA</t>
  </si>
  <si>
    <r>
      <rPr>
        <sz val="12"/>
        <color rgb="FF000000"/>
        <rFont val="Aptos Narrow"/>
        <charset val="134"/>
      </rPr>
      <t>LMO</t>
    </r>
    <r>
      <rPr>
        <sz val="12"/>
        <color rgb="FF000000"/>
        <rFont val="Aptos Narrow"/>
        <charset val="134"/>
      </rPr>
      <t xml:space="preserve"> </t>
    </r>
  </si>
  <si>
    <r>
      <rPr>
        <sz val="12"/>
        <color rgb="FF000000"/>
        <rFont val="Aptos Narrow"/>
        <charset val="134"/>
      </rPr>
      <t>LFP</t>
    </r>
    <r>
      <rPr>
        <sz val="12"/>
        <color rgb="FF000000"/>
        <rFont val="Aptos Narrow"/>
        <charset val="134"/>
      </rPr>
      <t xml:space="preserve"> </t>
    </r>
  </si>
  <si>
    <t>US</t>
  </si>
  <si>
    <r>
      <rPr>
        <sz val="12"/>
        <color rgb="FF000000"/>
        <rFont val="Aptos Narrow"/>
        <charset val="134"/>
      </rPr>
      <t xml:space="preserve">     </t>
    </r>
    <r>
      <rPr>
        <sz val="12"/>
        <color rgb="FF000000"/>
        <rFont val="Aptos Narrow"/>
        <charset val="134"/>
      </rPr>
      <t>Total Energy</t>
    </r>
  </si>
  <si>
    <r>
      <rPr>
        <sz val="12"/>
        <color rgb="FF000000"/>
        <rFont val="Aptos Narrow"/>
        <charset val="134"/>
      </rPr>
      <t xml:space="preserve">     </t>
    </r>
    <r>
      <rPr>
        <sz val="12"/>
        <color rgb="FF000000"/>
        <rFont val="Aptos Narrow"/>
        <charset val="134"/>
      </rPr>
      <t>Fossil fuels</t>
    </r>
  </si>
  <si>
    <r>
      <rPr>
        <sz val="12"/>
        <color rgb="FF000000"/>
        <rFont val="Aptos Narrow"/>
        <charset val="134"/>
      </rPr>
      <t xml:space="preserve">     </t>
    </r>
    <r>
      <rPr>
        <sz val="12"/>
        <color rgb="FF000000"/>
        <rFont val="Aptos Narrow"/>
        <charset val="134"/>
      </rPr>
      <t>Coal</t>
    </r>
  </si>
  <si>
    <r>
      <rPr>
        <sz val="12"/>
        <color rgb="FF000000"/>
        <rFont val="Aptos Narrow"/>
        <charset val="134"/>
      </rPr>
      <t xml:space="preserve">     </t>
    </r>
    <r>
      <rPr>
        <sz val="12"/>
        <color rgb="FF000000"/>
        <rFont val="Aptos Narrow"/>
        <charset val="134"/>
      </rPr>
      <t>Natural gas</t>
    </r>
  </si>
  <si>
    <r>
      <rPr>
        <sz val="12"/>
        <color rgb="FF000000"/>
        <rFont val="Aptos Narrow"/>
        <charset val="134"/>
      </rPr>
      <t xml:space="preserve">     </t>
    </r>
    <r>
      <rPr>
        <sz val="12"/>
        <color rgb="FF000000"/>
        <rFont val="Aptos Narrow"/>
        <charset val="134"/>
      </rPr>
      <t>Petroleum</t>
    </r>
  </si>
  <si>
    <r>
      <rPr>
        <sz val="12"/>
        <color rgb="FF000000"/>
        <rFont val="Aptos Narrow"/>
        <charset val="134"/>
      </rPr>
      <t>** Assumed to be cell manufacturing</t>
    </r>
    <r>
      <rPr>
        <sz val="12"/>
        <color rgb="FF000000"/>
        <rFont val="Aptos Narrow"/>
        <charset val="134"/>
      </rPr>
      <t xml:space="preserve"> </t>
    </r>
  </si>
  <si>
    <t>Other countries</t>
  </si>
  <si>
    <t>2050, 2100</t>
  </si>
  <si>
    <r>
      <rPr>
        <sz val="12"/>
        <color rgb="FF000000"/>
        <rFont val="Aptos Narrow"/>
        <charset val="134"/>
      </rPr>
      <t>Pyrometallurgical</t>
    </r>
    <r>
      <rPr>
        <sz val="12"/>
        <color rgb="FF000000"/>
        <rFont val="Aptos Narrow"/>
        <charset val="134"/>
      </rPr>
      <t xml:space="preserve"> </t>
    </r>
  </si>
  <si>
    <t>ktonne/GWh</t>
  </si>
  <si>
    <t>if energy use for LFP and LMO=1.0*that for NMC611</t>
  </si>
  <si>
    <r>
      <rPr>
        <sz val="12"/>
        <color rgb="FF000000"/>
        <rFont val="Aptos Narrow"/>
        <charset val="134"/>
      </rPr>
      <t xml:space="preserve">Fill the data gap of EverBatt, </t>
    </r>
    <r>
      <rPr>
        <sz val="12"/>
        <color rgb="FF000000"/>
        <rFont val="Aptos Narrow"/>
        <charset val="134"/>
      </rPr>
      <t xml:space="preserve">
</t>
    </r>
    <r>
      <rPr>
        <sz val="12"/>
        <color rgb="FF000000"/>
        <rFont val="Aptos Narrow"/>
        <charset val="134"/>
      </rPr>
      <t>by using a sensitivity analysis</t>
    </r>
  </si>
  <si>
    <t>if energy use for LFP and LMO=1.15*that for NMC611</t>
  </si>
  <si>
    <t>if energy use for LFP and LMO=0.85*that for NMC611</t>
  </si>
  <si>
    <r>
      <rPr>
        <sz val="12"/>
        <color rgb="FF000000"/>
        <rFont val="Aptos Narrow"/>
        <charset val="134"/>
      </rPr>
      <t>Energy use (PJ/GWh battery produced)</t>
    </r>
    <r>
      <rPr>
        <sz val="12"/>
        <color rgb="FF000000"/>
        <rFont val="Aptos Narrow"/>
        <charset val="134"/>
      </rPr>
      <t xml:space="preserve"> </t>
    </r>
  </si>
  <si>
    <t>INPUT</t>
  </si>
  <si>
    <t>PJ/ktonne</t>
  </si>
  <si>
    <r>
      <rPr>
        <sz val="12"/>
        <color rgb="FF000000"/>
        <rFont val="Aptos Narrow"/>
        <charset val="134"/>
      </rPr>
      <t>Hydrometallurgical</t>
    </r>
    <r>
      <rPr>
        <sz val="12"/>
        <color rgb="FF000000"/>
        <rFont val="Aptos Narrow"/>
        <charset val="134"/>
      </rPr>
      <t xml:space="preserve"> </t>
    </r>
  </si>
  <si>
    <r>
      <rPr>
        <sz val="12"/>
        <color rgb="FF000000"/>
        <rFont val="Aptos Narrow"/>
        <charset val="134"/>
      </rPr>
      <t>Energy use (MJ/kWh battery produced)</t>
    </r>
    <r>
      <rPr>
        <sz val="12"/>
        <color rgb="FF000000"/>
        <rFont val="Aptos Narrow"/>
        <charset val="134"/>
      </rPr>
      <t xml:space="preserve"> </t>
    </r>
  </si>
  <si>
    <r>
      <rPr>
        <sz val="12"/>
        <color rgb="FF000000"/>
        <rFont val="Aptos Narrow"/>
        <charset val="134"/>
      </rPr>
      <t>Direct</t>
    </r>
    <r>
      <rPr>
        <sz val="12"/>
        <color rgb="FF000000"/>
        <rFont val="Aptos Narrow"/>
        <charset val="134"/>
      </rPr>
      <t xml:space="preserve"> </t>
    </r>
  </si>
  <si>
    <r>
      <rPr>
        <sz val="12"/>
        <color rgb="FF000000"/>
        <rFont val="Aptos Narrow"/>
        <charset val="134"/>
      </rPr>
      <t>*** LMO and LFP cathode production from recycled materials is not included in EverBatt</t>
    </r>
    <r>
      <rPr>
        <sz val="12"/>
        <color rgb="FF000000"/>
        <rFont val="Aptos Narrow"/>
        <charset val="134"/>
      </rPr>
      <t xml:space="preserve"> </t>
    </r>
  </si>
  <si>
    <r>
      <rPr>
        <sz val="12"/>
        <color rgb="FF000000"/>
        <rFont val="Aptos Narrow"/>
        <charset val="134"/>
      </rPr>
      <t>**** All recycled chemistries are assumed to be priducing the same cathode chemistry for manufacture with recyclked materials</t>
    </r>
    <r>
      <rPr>
        <sz val="12"/>
        <color rgb="FF000000"/>
        <rFont val="Aptos Narrow"/>
        <charset val="134"/>
      </rPr>
      <t xml:space="preserve"> </t>
    </r>
  </si>
  <si>
    <t>COAHCO</t>
  </si>
  <si>
    <t>GASNGA</t>
  </si>
  <si>
    <t>OILDST</t>
  </si>
  <si>
    <t>CN</t>
  </si>
  <si>
    <t>~TFM_INS-TS: attribute=COM_PROJ</t>
  </si>
  <si>
    <t>driver</t>
  </si>
  <si>
    <t>elasticity</t>
  </si>
  <si>
    <t>override</t>
  </si>
  <si>
    <t>TAD</t>
  </si>
  <si>
    <t>GDP</t>
  </si>
  <si>
    <t>High2</t>
  </si>
  <si>
    <t>TAI</t>
  </si>
  <si>
    <t>TTF</t>
  </si>
  <si>
    <t>TTP</t>
  </si>
  <si>
    <t>POP</t>
  </si>
  <si>
    <t>TWD</t>
  </si>
  <si>
    <t>TWI</t>
  </si>
  <si>
    <t>Trd_2w</t>
  </si>
  <si>
    <t>Trd_3w</t>
  </si>
  <si>
    <t>Trd_bus</t>
  </si>
  <si>
    <t>Trd_car</t>
  </si>
  <si>
    <t>GDPPCAP</t>
  </si>
  <si>
    <t>Trd_hdt</t>
  </si>
  <si>
    <t>Trd_lcv</t>
  </si>
  <si>
    <t>Med2</t>
  </si>
  <si>
    <t>Med1</t>
  </si>
  <si>
    <t>Country</t>
  </si>
  <si>
    <t>Alumina production 2024 (kt)</t>
  </si>
  <si>
    <t>Equivalent primary Al (kt)</t>
  </si>
  <si>
    <t>TIMES region</t>
  </si>
  <si>
    <t>Countries included</t>
  </si>
  <si>
    <t>Al₂O₃ (kt)</t>
  </si>
  <si>
    <t>Al equivalent (kt)</t>
  </si>
  <si>
    <t>United States</t>
  </si>
  <si>
    <t>North African countries</t>
  </si>
  <si>
    <t>Guinea + Jamaica? + other Africa (South Africa excluded)</t>
  </si>
  <si>
    <t>Canada</t>
  </si>
  <si>
    <t>Estonia, Latvia, Lithuania</t>
  </si>
  <si>
    <t>Belgium, Netherlands, Luxembourg</t>
  </si>
  <si>
    <t>Greece</t>
  </si>
  <si>
    <t>Guinea</t>
  </si>
  <si>
    <t>Croatia, Slovenia</t>
  </si>
  <si>
    <t>Indonesia</t>
  </si>
  <si>
    <t>Czechia, Slovakia</t>
  </si>
  <si>
    <t>Jamaica</t>
  </si>
  <si>
    <t>Kazakhstan</t>
  </si>
  <si>
    <t>Greece + Cyprus</t>
  </si>
  <si>
    <t>Hungary, Romania, Bulgaria</t>
  </si>
  <si>
    <t>Saudi Arabia</t>
  </si>
  <si>
    <t>Spain</t>
  </si>
  <si>
    <t>United Arab Emirates</t>
  </si>
  <si>
    <t>Italy + Malta</t>
  </si>
  <si>
    <t>Vietnam</t>
  </si>
  <si>
    <t>Latin America except Brazil (no reported alumina in USGS table)</t>
  </si>
  <si>
    <t>UAE</t>
  </si>
  <si>
    <t>USA + Canada</t>
  </si>
  <si>
    <t>Remaining Asia &amp; Oceania (Indonesia + Vietnam + Kazakhstan + others)</t>
  </si>
  <si>
    <t>South Africa</t>
  </si>
  <si>
    <t>Spain + Portugal</t>
  </si>
  <si>
    <t>Sweden + Finland + Denmark</t>
  </si>
  <si>
    <t>United Kingdom</t>
  </si>
  <si>
    <t>~TFM_UPD: attribute= INVCOST</t>
  </si>
  <si>
    <t>Trd_car_elc_120</t>
  </si>
  <si>
    <t>*0.95</t>
  </si>
  <si>
    <t>*1.05</t>
  </si>
  <si>
    <t>*1.00</t>
  </si>
  <si>
    <t>Trd_car_elc_160</t>
  </si>
  <si>
    <t>Trd_car_elc_200</t>
  </si>
  <si>
    <t>Trd_car_elc_250</t>
  </si>
  <si>
    <t>Trd_car_elc_300</t>
  </si>
  <si>
    <t>Trd_car_elc_350</t>
  </si>
  <si>
    <t>Trd_car_elc_400</t>
  </si>
  <si>
    <t>Trd_car_elc_500</t>
  </si>
  <si>
    <t>Trd_lcv_elc_120</t>
  </si>
  <si>
    <t>Trd_lcv_elc_160</t>
  </si>
  <si>
    <t>Trd_lcv_elc_200</t>
  </si>
  <si>
    <t>Trd_lcv_elc_250</t>
  </si>
  <si>
    <t>Trd_lcv_elc_300</t>
  </si>
  <si>
    <t>Trd_lcv_elc_350</t>
  </si>
  <si>
    <t>Trd_lcv_elc_400</t>
  </si>
  <si>
    <t>Trd_lcv_elc_500</t>
  </si>
  <si>
    <t>Trd_hdt_elc_150</t>
  </si>
  <si>
    <t>Trd_hdt_elc_179</t>
  </si>
  <si>
    <t>Proportion (US = 1.00)</t>
  </si>
  <si>
    <t>Trd_hdt_elc_207</t>
  </si>
  <si>
    <t>*0.80</t>
  </si>
  <si>
    <t>Trd_hdt_elc_236</t>
  </si>
  <si>
    <t>*0.75</t>
  </si>
  <si>
    <t>Trd_hdt_elc_264</t>
  </si>
  <si>
    <t>Trd_hdt_elc_350</t>
  </si>
  <si>
    <t>Trd_hdt_elc_500</t>
  </si>
  <si>
    <t>Trd_hdt_elc_600</t>
  </si>
  <si>
    <t>Trd_2w_elc150_120</t>
  </si>
  <si>
    <t>*0.85</t>
  </si>
  <si>
    <t>Trd_2w_elc150_131</t>
  </si>
  <si>
    <t>Trd_2w_elc150_143</t>
  </si>
  <si>
    <t>*0.90</t>
  </si>
  <si>
    <t>Trd_2w_elc150_154</t>
  </si>
  <si>
    <t>Trd_2w_elc150_166</t>
  </si>
  <si>
    <t>Trd_2w_elc150_177</t>
  </si>
  <si>
    <t>Trd_2w_elc150_189</t>
  </si>
  <si>
    <t>Trd_2w_elc150_200</t>
  </si>
  <si>
    <t>Trd_2w_elc500_120</t>
  </si>
  <si>
    <t>*1.10</t>
  </si>
  <si>
    <t>Trd_2w_elc500_131</t>
  </si>
  <si>
    <t>*0.70</t>
  </si>
  <si>
    <t>Trd_2w_elc500_143</t>
  </si>
  <si>
    <t>Trd_2w_elc500_154</t>
  </si>
  <si>
    <t>Trd_2w_elc500_166</t>
  </si>
  <si>
    <t>Trd_2w_elc500_177</t>
  </si>
  <si>
    <t>Trd_2w_elc500_189</t>
  </si>
  <si>
    <t>Trd_2w_elc500_200</t>
  </si>
  <si>
    <t>Trd_3w_elc_120</t>
  </si>
  <si>
    <t>Trd_3w_elc_131</t>
  </si>
  <si>
    <t>Trd_3w_elc_143</t>
  </si>
  <si>
    <t>Trd_3w_elc_154</t>
  </si>
  <si>
    <t>Trd_3w_elc_166</t>
  </si>
  <si>
    <t>Trd_3w_elc_177</t>
  </si>
  <si>
    <t>Trd_3w_elc_189</t>
  </si>
  <si>
    <t>Trd_3w_elc_200</t>
  </si>
  <si>
    <t>Trd_2w_elc50_100</t>
  </si>
  <si>
    <t>Trd_2w_elc50_109</t>
  </si>
  <si>
    <t>Trd_2w_elc50_117</t>
  </si>
  <si>
    <t>Trd_2w_elc50_126</t>
  </si>
  <si>
    <t>Trd_2w_elc50_134</t>
  </si>
  <si>
    <t>Trd_2w_elc50_143</t>
  </si>
  <si>
    <t>Trd_2w_elc50_151</t>
  </si>
  <si>
    <t>Trd_2w_elc50_160</t>
  </si>
  <si>
    <t>Trd_bus_elc_120</t>
  </si>
  <si>
    <t>Trd_bus_elc_134</t>
  </si>
  <si>
    <t>Trd_bus_elc_149</t>
  </si>
  <si>
    <t>Trd_bus_elc_163</t>
  </si>
  <si>
    <t>Trd_bus_elc_177</t>
  </si>
  <si>
    <t>Trd_bus_elc_191</t>
  </si>
  <si>
    <t>Trd_bus_elc_206</t>
  </si>
  <si>
    <t>Trd_bus_elc_220</t>
  </si>
  <si>
    <t>Application</t>
  </si>
  <si>
    <t>Year</t>
  </si>
  <si>
    <t>Use_for</t>
  </si>
  <si>
    <t>Note</t>
  </si>
  <si>
    <t>Transport_EV_general</t>
  </si>
  <si>
    <t>Transport EV battery PASTI</t>
  </si>
  <si>
    <t>Back-loaded proxy normalized to 2010-2019 historical EV deployment shape</t>
  </si>
  <si>
    <t>allregions</t>
  </si>
  <si>
    <t>PASTI</t>
  </si>
  <si>
    <t>*virgin*, -Tra_EV_Batt-Sodium*</t>
  </si>
  <si>
    <t>Whole Sector/All stocks</t>
  </si>
  <si>
    <t>China_e_bus_optional</t>
  </si>
  <si>
    <t>China electric bus battery PASTI</t>
  </si>
  <si>
    <t>Optional profile for China e-bus because deployment peaked earlier around 2015-2018</t>
  </si>
  <si>
    <t>Grid_storage_Liion</t>
  </si>
  <si>
    <t>Grid battery storage PASTI</t>
  </si>
  <si>
    <t>Grid battery storage should use a later/back-loaded curve than transport EVs</t>
  </si>
  <si>
    <t>Proxy from global battery storage annual deployment shape</t>
  </si>
  <si>
    <t>MINBatMaterials*</t>
  </si>
  <si>
    <t>NEW DATA Calculated from Global EV outlook 2019</t>
  </si>
  <si>
    <t>~TFM_UPD: attribute= PASTI</t>
  </si>
  <si>
    <t>China past deployment curve special</t>
  </si>
  <si>
    <t>PASTI_share_default</t>
  </si>
  <si>
    <t>China_PASTI_share</t>
  </si>
  <si>
    <t>curve_used_default</t>
  </si>
  <si>
    <t>curve_used_china</t>
  </si>
  <si>
    <t>note</t>
  </si>
  <si>
    <t>Mining_facility_representative</t>
  </si>
  <si>
    <t>Representative mining-capacity vintage curve; COB_direct treated as aggregate cobalt-production route including by-product routes.</t>
  </si>
  <si>
    <t>Mining curve kept the same for China; COB_direct treated as aggregate cobalt-production route including by-product routes.</t>
  </si>
  <si>
    <t>Back-loaded transport EV battery vintage curve based on historical EV deployment shape.</t>
  </si>
  <si>
    <t>Transport_EV_global</t>
  </si>
  <si>
    <t>Transport_EV_China</t>
  </si>
  <si>
    <t>China transport EV curve is shifted earlier than the global curve to reflect earlier China EV/e-bus deployment in the 2010s.</t>
  </si>
  <si>
    <t xml:space="preserve"> Tra_EV_Batt-NMC532_virgin_pack</t>
  </si>
  <si>
    <t xml:space="preserve"> Tra_EV_Batt-LMO_virgin_pack</t>
  </si>
  <si>
    <t>OLD STOCK DATA FOR EV, TOO HIGH</t>
  </si>
  <si>
    <t>~TFM_UPD: UP~EUR15~INVCOST</t>
  </si>
  <si>
    <t>vehicle_category</t>
  </si>
  <si>
    <t>vehicle_code</t>
  </si>
  <si>
    <t>capacity_source_code</t>
  </si>
  <si>
    <t>variable_name</t>
  </si>
  <si>
    <t>variable_value</t>
  </si>
  <si>
    <t>installed_kwh</t>
  </si>
  <si>
    <t>mapping_note</t>
  </si>
  <si>
    <t>e3_generic_battery_cost_2020_2015eur_per_kwh</t>
  </si>
  <si>
    <t>battery_capex_2020_2015eur_per_vehicle</t>
  </si>
  <si>
    <t>ev_capex_2020_2015eur_per_vehicle</t>
  </si>
  <si>
    <t>capex_without_battery_2020_2015eur_per_vehicle</t>
  </si>
  <si>
    <t>e3_generic_battery_cost_2030_2015eur_per_kwh</t>
  </si>
  <si>
    <t>battery_capex_2030_2015eur_per_vehicle</t>
  </si>
  <si>
    <t>ev_capex_2030_2015eur_per_vehicle</t>
  </si>
  <si>
    <t>capex_without_battery_2030_2015eur_per_vehicle</t>
  </si>
  <si>
    <t>e3_generic_battery_cost_2040_2015eur_per_kwh</t>
  </si>
  <si>
    <t>battery_capex_2040_2015eur_per_vehicle</t>
  </si>
  <si>
    <t>ev_capex_2040_2015eur_per_vehicle</t>
  </si>
  <si>
    <t>capex_without_battery_2040_2015eur_per_vehicle</t>
  </si>
  <si>
    <t>e3_generic_battery_cost_2050_2015eur_per_kwh</t>
  </si>
  <si>
    <t>battery_capex_2050_2015eur_per_vehicle</t>
  </si>
  <si>
    <t>ev_capex_2050_2015eur_per_vehicle</t>
  </si>
  <si>
    <t>capex_without_battery_2050_2015eur_per_vehicle</t>
  </si>
  <si>
    <t>Medium size battery electric car</t>
  </si>
  <si>
    <t>electric_range_km</t>
  </si>
  <si>
    <t>Battery electric LCV</t>
  </si>
  <si>
    <t>ICE gasoline plug-in hybrid LCV</t>
  </si>
  <si>
    <t>Trd_lcv_gsl-pih_83</t>
  </si>
  <si>
    <t>specific_energy_reduction_vs_2015_gasoline_vehicle</t>
  </si>
  <si>
    <t>Trd_lcv_gsl-pih_84</t>
  </si>
  <si>
    <t>Trd_lcv_gsl-pih_85</t>
  </si>
  <si>
    <t>Trd_lcv_gsl-pih_86</t>
  </si>
  <si>
    <t>Trd_lcv_gsl-pih_87</t>
  </si>
  <si>
    <t>Trd_lcv_gsl-pih_92</t>
  </si>
  <si>
    <t>Trd_lcv_gsl-pih_93</t>
  </si>
  <si>
    <t>Trd_lcv_gsl-pih_93_high</t>
  </si>
  <si>
    <t>Pasted capacity list has one Trd_lcv_gsl-pih_93 entry; 93.0% row kept separate with the same 18 kWh capacity.</t>
  </si>
  <si>
    <t>7.5-16t battery electric truck</t>
  </si>
  <si>
    <t>Battery electric motorcycle (equivalent to 50-250 cc motorcycle)</t>
  </si>
  <si>
    <t>Battery electric motorcycle (equivalent to 250-750 cc motorcycle)</t>
  </si>
  <si>
    <t>Battery electric motorcycle (equivalent to &gt;750 cc motorcycle)</t>
  </si>
  <si>
    <t>Trd_2w_elc750_assumed_120</t>
  </si>
  <si>
    <t>Uses the pasted Trd_3w_elc capacity series because it is the only 6-10 kWh range series; verify if Trd_3w_elc is meant to be a separate three-wheeler technology.</t>
  </si>
  <si>
    <t>Trd_2w_elc750_assumed_131</t>
  </si>
  <si>
    <t>Trd_2w_elc750_assumed_143</t>
  </si>
  <si>
    <t>Trd_2w_elc750_assumed_154</t>
  </si>
  <si>
    <t>Trd_2w_elc750_assumed_166</t>
  </si>
  <si>
    <t>Trd_2w_elc750_assumed_177</t>
  </si>
  <si>
    <t>Trd_2w_elc750_assumed_189</t>
  </si>
  <si>
    <t>Trd_2w_elc750_assumed_200</t>
  </si>
  <si>
    <t>Battery electric moped</t>
  </si>
  <si>
    <t>Battery electric bus</t>
  </si>
  <si>
    <t>Util_Rep_Batt-LFP</t>
  </si>
  <si>
    <t>Util_Rep_Batt-LMO</t>
  </si>
  <si>
    <t>Util_Rep_Batt-NCA</t>
  </si>
  <si>
    <t>Util_Rep_Batt-NMC111</t>
  </si>
  <si>
    <t>Util_Rep_Batt-NMC532</t>
  </si>
  <si>
    <t>Util_Rep_Batt-NMC622</t>
  </si>
  <si>
    <t>Util_Rep_Batt-NMC811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</si>
</sst>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0_-;\-* #,##0_-;_-* &quot;-&quot;_-;_-@_-"/>
    <numFmt numFmtId="43" formatCode="_-* #,##0.00_-;\-* #,##0.00_-;_-* &quot;-&quot;??_-;_-@_-"/>
    <numFmt numFmtId="176" formatCode="_-&quot;$&quot;* #,##0.00_-;\-&quot;$&quot;* #,##0.00_-;_-&quot;$&quot;* \-??_-;_-@_-"/>
    <numFmt numFmtId="177" formatCode="_-&quot;$&quot;* #,##0_-;\-&quot;$&quot;* #,##0_-;_-&quot;$&quot;* &quot;-&quot;_-;_-@_-"/>
    <numFmt numFmtId="178" formatCode="0.0"/>
    <numFmt numFmtId="179" formatCode="0.0000"/>
    <numFmt numFmtId="180" formatCode="#,##0.000"/>
    <numFmt numFmtId="181" formatCode="0.00_);[Red]\(0.00\)"/>
    <numFmt numFmtId="182" formatCode="0.000"/>
    <numFmt numFmtId="183" formatCode="0.00000"/>
  </numFmts>
  <fonts count="62">
    <font>
      <sz val="10"/>
      <name val="Arial"/>
      <charset val="134"/>
    </font>
    <font>
      <sz val="11"/>
      <color theme="1"/>
      <name val="Calibri"/>
      <charset val="134"/>
      <scheme val="minor"/>
    </font>
    <font>
      <sz val="10"/>
      <color rgb="FFFF0000"/>
      <name val="Arial"/>
      <charset val="134"/>
    </font>
    <font>
      <b/>
      <sz val="11"/>
      <color theme="3"/>
      <name val="Calibri"/>
      <charset val="134"/>
      <scheme val="minor"/>
    </font>
    <font>
      <b/>
      <sz val="11"/>
      <color theme="1"/>
      <name val="Calibri"/>
      <charset val="134"/>
      <scheme val="minor"/>
    </font>
    <font>
      <b/>
      <sz val="10"/>
      <color rgb="FFFF0000"/>
      <name val="Arial"/>
      <charset val="134"/>
    </font>
    <font>
      <sz val="10.2"/>
      <color rgb="FF212529"/>
      <name val="Segoe UI"/>
      <charset val="134"/>
    </font>
    <font>
      <b/>
      <sz val="10"/>
      <name val="Arial"/>
      <charset val="134"/>
    </font>
    <font>
      <sz val="12"/>
      <color rgb="FF000000"/>
      <name val="Aptos Narrow"/>
      <charset val="134"/>
    </font>
    <font>
      <b/>
      <i/>
      <u/>
      <sz val="24"/>
      <color rgb="FF000000"/>
      <name val="Aptos Narrow"/>
      <charset val="134"/>
    </font>
    <font>
      <i/>
      <u/>
      <sz val="10"/>
      <name val="Arial"/>
      <charset val="134"/>
    </font>
    <font>
      <b/>
      <sz val="11"/>
      <color rgb="FF000000"/>
      <name val="Calibri"/>
      <charset val="134"/>
      <scheme val="minor"/>
    </font>
    <font>
      <b/>
      <sz val="11"/>
      <color indexed="8"/>
      <name val="Calibri"/>
      <charset val="134"/>
    </font>
    <font>
      <sz val="11"/>
      <color rgb="FF000000"/>
      <name val="Calibri"/>
      <charset val="134"/>
      <scheme val="minor"/>
    </font>
    <font>
      <sz val="12"/>
      <color rgb="FF000000"/>
      <name val="Calibri"/>
      <charset val="134"/>
      <scheme val="minor"/>
    </font>
    <font>
      <sz val="9"/>
      <name val="Arial"/>
      <charset val="134"/>
    </font>
    <font>
      <b/>
      <sz val="9"/>
      <name val="Arial"/>
      <charset val="134"/>
    </font>
    <font>
      <sz val="11"/>
      <color rgb="FF000000"/>
      <name val="Calibri"/>
      <charset val="134"/>
    </font>
    <font>
      <sz val="8"/>
      <color rgb="FF3974D2"/>
      <name val="Segoe UI"/>
      <charset val="134"/>
    </font>
    <font>
      <sz val="8.25"/>
      <color rgb="FF3D3D3A"/>
      <name val="Arial"/>
      <charset val="134"/>
    </font>
    <font>
      <sz val="7.5"/>
      <color rgb="FF3D3D3A"/>
      <name val="Arial"/>
      <charset val="134"/>
    </font>
    <font>
      <sz val="8.25"/>
      <color rgb="FF141413"/>
      <name val="Arial"/>
      <charset val="134"/>
    </font>
    <font>
      <sz val="9"/>
      <color rgb="FF141413"/>
      <name val="Arial"/>
      <charset val="134"/>
    </font>
    <font>
      <sz val="9"/>
      <color rgb="FF73726C"/>
      <name val="Arial"/>
      <charset val="134"/>
    </font>
    <font>
      <sz val="11"/>
      <color rgb="FFFF0000"/>
      <name val="Calibri"/>
      <charset val="134"/>
      <scheme val="minor"/>
    </font>
    <font>
      <b/>
      <sz val="11"/>
      <color rgb="FFFF0000"/>
      <name val="Calibri"/>
      <charset val="134"/>
    </font>
    <font>
      <sz val="9"/>
      <color rgb="FF3D3D3A"/>
      <name val="Arial"/>
      <charset val="134"/>
    </font>
    <font>
      <sz val="12"/>
      <color theme="1"/>
      <name val="Calibri"/>
      <charset val="134"/>
      <scheme val="minor"/>
    </font>
    <font>
      <sz val="11"/>
      <color theme="1"/>
      <name val="Calibri"/>
      <charset val="1"/>
    </font>
    <font>
      <b/>
      <sz val="14"/>
      <name val="Arial"/>
      <charset val="1"/>
    </font>
    <font>
      <i/>
      <sz val="9"/>
      <color rgb="FF595959"/>
      <name val="Arial"/>
      <charset val="1"/>
    </font>
    <font>
      <b/>
      <sz val="11"/>
      <color rgb="FF1F4E79"/>
      <name val="Arial"/>
      <charset val="1"/>
    </font>
    <font>
      <b/>
      <sz val="9"/>
      <color rgb="FFFFFFFF"/>
      <name val="Arial"/>
      <charset val="1"/>
    </font>
    <font>
      <sz val="10"/>
      <color rgb="FF0000FF"/>
      <name val="Arial"/>
      <charset val="1"/>
    </font>
    <font>
      <b/>
      <sz val="10"/>
      <color rgb="FFC00000"/>
      <name val="Arial"/>
      <charset val="1"/>
    </font>
    <font>
      <i/>
      <sz val="11"/>
      <color theme="1"/>
      <name val="Calibri"/>
      <charset val="134"/>
      <scheme val="minor"/>
    </font>
    <font>
      <i/>
      <u/>
      <sz val="11"/>
      <color theme="1"/>
      <name val="Calibri"/>
      <charset val="134"/>
      <scheme val="minor"/>
    </font>
    <font>
      <sz val="11"/>
      <color theme="5"/>
      <name val="Calibri"/>
      <charset val="134"/>
      <scheme val="minor"/>
    </font>
    <font>
      <i/>
      <sz val="11"/>
      <color rgb="FFFF0000"/>
      <name val="Calibri"/>
      <charset val="134"/>
      <scheme val="minor"/>
    </font>
    <font>
      <sz val="10"/>
      <color theme="5"/>
      <name val="Arial"/>
      <charset val="134"/>
    </font>
    <font>
      <u/>
      <sz val="11"/>
      <color rgb="FF0000FF"/>
      <name val="Calibri"/>
      <charset val="134"/>
      <scheme val="minor"/>
    </font>
    <font>
      <u/>
      <sz val="11"/>
      <color rgb="FF800080"/>
      <name val="Calibri"/>
      <charset val="134"/>
      <scheme val="minor"/>
    </font>
    <font>
      <b/>
      <sz val="18"/>
      <color theme="3"/>
      <name val="Calibri"/>
      <charset val="134"/>
      <scheme val="minor"/>
    </font>
    <font>
      <i/>
      <sz val="11"/>
      <color rgb="FF7F7F7F"/>
      <name val="Calibri"/>
      <charset val="134"/>
      <scheme val="minor"/>
    </font>
    <font>
      <b/>
      <sz val="15"/>
      <color theme="3"/>
      <name val="Calibri"/>
      <charset val="134"/>
      <scheme val="minor"/>
    </font>
    <font>
      <b/>
      <sz val="13"/>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rgb="FFFFFFFF"/>
      <name val="Calibri"/>
      <charset val="134"/>
      <scheme val="minor"/>
    </font>
    <font>
      <sz val="11"/>
      <color rgb="FFFA7D00"/>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
      <b/>
      <sz val="9"/>
      <name val="Times New Roman"/>
      <charset val="134"/>
    </font>
    <font>
      <sz val="10"/>
      <name val="SimSun"/>
      <charset val="134"/>
    </font>
    <font>
      <sz val="9"/>
      <name val="Times New Roman"/>
      <charset val="134"/>
    </font>
    <font>
      <sz val="9"/>
      <name val="Tahoma"/>
      <charset val="1"/>
    </font>
    <font>
      <b/>
      <sz val="9"/>
      <name val="Tahoma"/>
      <charset val="1"/>
    </font>
    <font>
      <b/>
      <sz val="9"/>
      <name val="Times New Roman"/>
      <charset val="0"/>
    </font>
    <font>
      <sz val="9"/>
      <name val="Times New Roman"/>
      <charset val="0"/>
    </font>
  </fonts>
  <fills count="56">
    <fill>
      <patternFill patternType="none"/>
    </fill>
    <fill>
      <patternFill patternType="gray125"/>
    </fill>
    <fill>
      <patternFill patternType="solid">
        <fgColor rgb="FFFFFF00"/>
        <bgColor indexed="64"/>
      </patternFill>
    </fill>
    <fill>
      <patternFill patternType="solid">
        <fgColor theme="0" tint="-0.349990010261536"/>
        <bgColor indexed="64"/>
      </patternFill>
    </fill>
    <fill>
      <patternFill patternType="solid">
        <fgColor theme="3" tint="0.8"/>
        <bgColor indexed="64"/>
      </patternFill>
    </fill>
    <fill>
      <patternFill patternType="solid">
        <fgColor theme="0" tint="-0.35"/>
        <bgColor indexed="64"/>
      </patternFill>
    </fill>
    <fill>
      <patternFill patternType="solid">
        <fgColor theme="4"/>
        <bgColor indexed="64"/>
      </patternFill>
    </fill>
    <fill>
      <patternFill patternType="solid">
        <fgColor rgb="FFFFC000"/>
        <bgColor indexed="64"/>
      </patternFill>
    </fill>
    <fill>
      <patternFill patternType="solid">
        <fgColor theme="0" tint="-0.349979996681213"/>
        <bgColor indexed="64"/>
      </patternFill>
    </fill>
    <fill>
      <patternFill patternType="solid">
        <fgColor theme="3" tint="0.800000011920929"/>
        <bgColor indexed="64"/>
      </patternFill>
    </fill>
    <fill>
      <patternFill patternType="solid">
        <fgColor rgb="FFFBE2D5"/>
        <bgColor indexed="64"/>
      </patternFill>
    </fill>
    <fill>
      <patternFill patternType="solid">
        <fgColor rgb="FFD9D9D9"/>
        <bgColor indexed="64"/>
      </patternFill>
    </fill>
    <fill>
      <patternFill patternType="solid">
        <fgColor rgb="FFDAE9F8"/>
        <bgColor indexed="64"/>
      </patternFill>
    </fill>
    <fill>
      <patternFill patternType="solid">
        <fgColor rgb="FFA6A6A6"/>
        <bgColor indexed="64"/>
      </patternFill>
    </fill>
    <fill>
      <patternFill patternType="solid">
        <fgColor rgb="FFFFFFFF"/>
        <bgColor indexed="64"/>
      </patternFill>
    </fill>
    <fill>
      <patternFill patternType="solid">
        <fgColor theme="9" tint="0.799979984760284"/>
        <bgColor indexed="64"/>
      </patternFill>
    </fill>
    <fill>
      <patternFill patternType="solid">
        <fgColor theme="8" tint="0.799979984760284"/>
        <bgColor indexed="64"/>
      </patternFill>
    </fill>
    <fill>
      <patternFill patternType="solid">
        <fgColor theme="4" tint="0.799979984760284"/>
        <bgColor indexed="64"/>
      </patternFill>
    </fill>
    <fill>
      <patternFill patternType="solid">
        <fgColor theme="0" tint="-0.149979993700981"/>
        <bgColor indexed="64"/>
      </patternFill>
    </fill>
    <fill>
      <patternFill patternType="solid">
        <fgColor theme="2"/>
        <bgColor indexed="64"/>
      </patternFill>
    </fill>
    <fill>
      <patternFill patternType="solid">
        <fgColor rgb="FFFF0000"/>
        <bgColor indexed="64"/>
      </patternFill>
    </fill>
    <fill>
      <patternFill patternType="solid">
        <fgColor theme="0" tint="-0.249980002641678"/>
        <bgColor indexed="64"/>
      </patternFill>
    </fill>
    <fill>
      <patternFill patternType="solid">
        <fgColor theme="0" tint="-0.499980002641678"/>
        <bgColor indexed="64"/>
      </patternFill>
    </fill>
    <fill>
      <patternFill patternType="solid">
        <fgColor theme="3" tint="0.599960029125214"/>
        <bgColor indexed="64"/>
      </patternFill>
    </fill>
    <fill>
      <patternFill patternType="solid">
        <fgColor theme="3" tint="0.799860000610352"/>
        <bgColor indexed="64"/>
      </patternFill>
    </fill>
    <fill>
      <patternFill patternType="solid">
        <fgColor theme="5"/>
        <bgColor indexed="64"/>
      </patternFill>
    </fill>
    <fill>
      <patternFill patternType="solid">
        <fgColor theme="3"/>
        <bgColor indexed="64"/>
      </patternFill>
    </fill>
    <fill>
      <patternFill patternType="solid">
        <fgColor rgb="FF1F4E79"/>
        <bgColor indexed="64"/>
      </patternFill>
    </fill>
    <fill>
      <patternFill patternType="solid">
        <fgColor rgb="FFDDEBF7"/>
        <bgColor indexed="64"/>
      </patternFill>
    </fill>
    <fill>
      <patternFill patternType="solid">
        <fgColor theme="4" tint="0.800000011920929"/>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599990010261536"/>
        <bgColor indexed="64"/>
      </patternFill>
    </fill>
    <fill>
      <patternFill patternType="solid">
        <fgColor theme="4" tint="0.399980008602142"/>
        <bgColor indexed="64"/>
      </patternFill>
    </fill>
    <fill>
      <patternFill patternType="solid">
        <fgColor theme="5" tint="0.799979984760284"/>
        <bgColor indexed="64"/>
      </patternFill>
    </fill>
    <fill>
      <patternFill patternType="solid">
        <fgColor theme="5" tint="0.599990010261536"/>
        <bgColor indexed="64"/>
      </patternFill>
    </fill>
    <fill>
      <patternFill patternType="solid">
        <fgColor theme="5" tint="0.399980008602142"/>
        <bgColor indexed="64"/>
      </patternFill>
    </fill>
    <fill>
      <patternFill patternType="solid">
        <fgColor theme="6" tint="0.799979984760284"/>
        <bgColor indexed="64"/>
      </patternFill>
    </fill>
    <fill>
      <patternFill patternType="solid">
        <fgColor theme="6" tint="0.599990010261536"/>
        <bgColor indexed="64"/>
      </patternFill>
    </fill>
    <fill>
      <patternFill patternType="solid">
        <fgColor theme="6" tint="0.399980008602142"/>
        <bgColor indexed="64"/>
      </patternFill>
    </fill>
    <fill>
      <patternFill patternType="solid">
        <fgColor theme="7"/>
        <bgColor indexed="64"/>
      </patternFill>
    </fill>
    <fill>
      <patternFill patternType="solid">
        <fgColor theme="7" tint="0.799979984760284"/>
        <bgColor indexed="64"/>
      </patternFill>
    </fill>
    <fill>
      <patternFill patternType="solid">
        <fgColor theme="7" tint="0.599990010261536"/>
        <bgColor indexed="64"/>
      </patternFill>
    </fill>
    <fill>
      <patternFill patternType="solid">
        <fgColor theme="7" tint="0.399980008602142"/>
        <bgColor indexed="64"/>
      </patternFill>
    </fill>
    <fill>
      <patternFill patternType="solid">
        <fgColor theme="8"/>
        <bgColor indexed="64"/>
      </patternFill>
    </fill>
    <fill>
      <patternFill patternType="solid">
        <fgColor theme="8" tint="0.599990010261536"/>
        <bgColor indexed="64"/>
      </patternFill>
    </fill>
    <fill>
      <patternFill patternType="solid">
        <fgColor theme="8" tint="0.399980008602142"/>
        <bgColor indexed="64"/>
      </patternFill>
    </fill>
    <fill>
      <patternFill patternType="solid">
        <fgColor theme="9"/>
        <bgColor indexed="64"/>
      </patternFill>
    </fill>
    <fill>
      <patternFill patternType="solid">
        <fgColor theme="9" tint="0.599990010261536"/>
        <bgColor indexed="64"/>
      </patternFill>
    </fill>
    <fill>
      <patternFill patternType="solid">
        <fgColor theme="9" tint="0.399980008602142"/>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medium">
        <color theme="4" tint="0.399760007858276"/>
      </bottom>
      <diagonal/>
    </border>
    <border>
      <left style="thin">
        <color auto="1"/>
      </left>
      <right style="thin">
        <color auto="1"/>
      </right>
      <top style="thin">
        <color auto="1"/>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000264167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1" fillId="0" borderId="0" applyFont="0" applyFill="0" applyBorder="0" applyProtection="0"/>
    <xf numFmtId="176" fontId="1" fillId="0" borderId="0" applyFont="0" applyFill="0" applyBorder="0" applyProtection="0"/>
    <xf numFmtId="9" fontId="1" fillId="0" borderId="0" applyFont="0" applyFill="0" applyBorder="0" applyProtection="0"/>
    <xf numFmtId="41" fontId="1" fillId="0" borderId="0" applyFont="0" applyFill="0" applyBorder="0" applyProtection="0"/>
    <xf numFmtId="177" fontId="1" fillId="0" borderId="0" applyFont="0" applyFill="0" applyBorder="0" applyProtection="0"/>
    <xf numFmtId="0" fontId="40" fillId="0" borderId="0" applyNumberFormat="0" applyFill="0" applyBorder="0" applyProtection="0"/>
    <xf numFmtId="0" fontId="41" fillId="0" borderId="0" applyNumberFormat="0" applyFill="0" applyBorder="0" applyProtection="0"/>
    <xf numFmtId="0" fontId="1" fillId="31" borderId="5" applyNumberFormat="0" applyFont="0" applyProtection="0"/>
    <xf numFmtId="0" fontId="24" fillId="0" borderId="0" applyNumberFormat="0" applyFill="0" applyBorder="0" applyProtection="0"/>
    <xf numFmtId="0" fontId="42" fillId="0" borderId="0" applyNumberFormat="0" applyFill="0" applyBorder="0" applyProtection="0"/>
    <xf numFmtId="0" fontId="43" fillId="0" borderId="0" applyNumberFormat="0" applyFill="0" applyBorder="0" applyProtection="0"/>
    <xf numFmtId="0" fontId="44" fillId="0" borderId="6" applyNumberFormat="0" applyFill="0" applyProtection="0"/>
    <xf numFmtId="0" fontId="45" fillId="0" borderId="6" applyNumberFormat="0" applyFill="0" applyProtection="0"/>
    <xf numFmtId="0" fontId="3" fillId="0" borderId="7" applyNumberFormat="0" applyFill="0" applyProtection="0"/>
    <xf numFmtId="0" fontId="3" fillId="0" borderId="0" applyNumberFormat="0" applyFill="0" applyBorder="0" applyProtection="0"/>
    <xf numFmtId="0" fontId="46" fillId="32" borderId="8" applyNumberFormat="0" applyProtection="0"/>
    <xf numFmtId="0" fontId="47" fillId="33" borderId="9" applyNumberFormat="0" applyProtection="0"/>
    <xf numFmtId="0" fontId="48" fillId="33" borderId="8" applyNumberFormat="0" applyProtection="0"/>
    <xf numFmtId="0" fontId="49" fillId="34" borderId="10" applyNumberFormat="0" applyProtection="0"/>
    <xf numFmtId="0" fontId="50" fillId="0" borderId="11" applyNumberFormat="0" applyFill="0" applyProtection="0"/>
    <xf numFmtId="0" fontId="4" fillId="0" borderId="12" applyNumberFormat="0" applyFill="0" applyProtection="0"/>
    <xf numFmtId="0" fontId="51" fillId="35" borderId="0" applyNumberFormat="0" applyBorder="0" applyProtection="0"/>
    <xf numFmtId="0" fontId="52" fillId="36" borderId="0" applyNumberFormat="0" applyBorder="0" applyProtection="0"/>
    <xf numFmtId="0" fontId="53" fillId="37" borderId="0" applyNumberFormat="0" applyBorder="0" applyProtection="0"/>
    <xf numFmtId="0" fontId="54" fillId="6" borderId="0" applyNumberFormat="0" applyBorder="0" applyProtection="0"/>
    <xf numFmtId="0" fontId="1" fillId="17" borderId="0" applyNumberFormat="0" applyBorder="0" applyProtection="0"/>
    <xf numFmtId="0" fontId="1" fillId="38" borderId="0" applyNumberFormat="0" applyBorder="0" applyProtection="0"/>
    <xf numFmtId="0" fontId="54" fillId="39" borderId="0" applyNumberFormat="0" applyBorder="0" applyProtection="0"/>
    <xf numFmtId="0" fontId="54" fillId="25" borderId="0" applyNumberFormat="0" applyBorder="0" applyProtection="0"/>
    <xf numFmtId="0" fontId="1" fillId="40" borderId="0" applyNumberFormat="0" applyBorder="0" applyProtection="0"/>
    <xf numFmtId="0" fontId="1" fillId="41" borderId="0" applyNumberFormat="0" applyBorder="0" applyProtection="0"/>
    <xf numFmtId="0" fontId="54" fillId="42" borderId="0" applyNumberFormat="0" applyBorder="0" applyProtection="0"/>
    <xf numFmtId="0" fontId="54" fillId="30" borderId="0" applyNumberFormat="0" applyBorder="0" applyProtection="0"/>
    <xf numFmtId="0" fontId="1" fillId="43" borderId="0" applyNumberFormat="0" applyBorder="0" applyProtection="0"/>
    <xf numFmtId="0" fontId="1" fillId="44" borderId="0" applyNumberFormat="0" applyBorder="0" applyProtection="0"/>
    <xf numFmtId="0" fontId="54" fillId="45" borderId="0" applyNumberFormat="0" applyBorder="0" applyProtection="0"/>
    <xf numFmtId="0" fontId="54" fillId="46" borderId="0" applyNumberFormat="0" applyBorder="0" applyProtection="0"/>
    <xf numFmtId="0" fontId="1" fillId="47" borderId="0" applyNumberFormat="0" applyBorder="0" applyProtection="0"/>
    <xf numFmtId="0" fontId="1" fillId="48" borderId="0" applyNumberFormat="0" applyBorder="0" applyProtection="0"/>
    <xf numFmtId="0" fontId="54" fillId="49" borderId="0" applyNumberFormat="0" applyBorder="0" applyProtection="0"/>
    <xf numFmtId="0" fontId="54" fillId="50" borderId="0" applyNumberFormat="0" applyBorder="0" applyProtection="0"/>
    <xf numFmtId="0" fontId="1" fillId="16" borderId="0" applyNumberFormat="0" applyBorder="0" applyProtection="0"/>
    <xf numFmtId="0" fontId="1" fillId="51" borderId="0" applyNumberFormat="0" applyBorder="0" applyProtection="0"/>
    <xf numFmtId="0" fontId="54" fillId="52" borderId="0" applyNumberFormat="0" applyBorder="0" applyProtection="0"/>
    <xf numFmtId="0" fontId="54" fillId="53" borderId="0" applyNumberFormat="0" applyBorder="0" applyProtection="0"/>
    <xf numFmtId="0" fontId="1" fillId="15" borderId="0" applyNumberFormat="0" applyBorder="0" applyProtection="0"/>
    <xf numFmtId="0" fontId="1" fillId="54" borderId="0" applyNumberFormat="0" applyBorder="0" applyProtection="0"/>
    <xf numFmtId="0" fontId="54" fillId="55" borderId="0" applyNumberFormat="0" applyBorder="0" applyProtection="0"/>
    <xf numFmtId="0" fontId="0" fillId="0" borderId="0"/>
    <xf numFmtId="0" fontId="0" fillId="0" borderId="0"/>
    <xf numFmtId="0" fontId="0" fillId="0" borderId="0"/>
    <xf numFmtId="0" fontId="1" fillId="0" borderId="0"/>
  </cellStyleXfs>
  <cellXfs count="232">
    <xf numFmtId="0" fontId="0" fillId="0" borderId="0" xfId="0"/>
    <xf numFmtId="0" fontId="1" fillId="0" borderId="0" xfId="0" applyFont="1" applyFill="1" applyAlignment="1"/>
    <xf numFmtId="0" fontId="0" fillId="0" borderId="0" xfId="49"/>
    <xf numFmtId="0" fontId="0" fillId="0" borderId="1" xfId="49" applyFont="1" applyFill="1" applyBorder="1" applyAlignment="1"/>
    <xf numFmtId="0" fontId="0" fillId="0" borderId="0" xfId="0" applyFont="1" applyFill="1" applyAlignment="1"/>
    <xf numFmtId="0" fontId="0" fillId="0" borderId="0" xfId="49" applyFont="1" applyFill="1" applyAlignment="1">
      <alignment horizontal="center"/>
    </xf>
    <xf numFmtId="0" fontId="1" fillId="0" borderId="0" xfId="0" applyFont="1" applyFill="1" applyAlignment="1">
      <alignment vertical="center"/>
    </xf>
    <xf numFmtId="0" fontId="2" fillId="0" borderId="0" xfId="49" applyFont="1" applyFill="1" applyAlignment="1">
      <alignment horizontal="center"/>
    </xf>
    <xf numFmtId="1" fontId="1" fillId="0" borderId="0" xfId="0" applyNumberFormat="1" applyFont="1" applyFill="1" applyAlignment="1"/>
    <xf numFmtId="0" fontId="3" fillId="0" borderId="2" xfId="14" applyBorder="1"/>
    <xf numFmtId="0" fontId="4" fillId="0" borderId="0" xfId="0" applyFont="1" applyFill="1" applyAlignment="1"/>
    <xf numFmtId="1" fontId="4" fillId="0" borderId="0" xfId="0" applyNumberFormat="1" applyFont="1" applyFill="1" applyAlignment="1"/>
    <xf numFmtId="10" fontId="1" fillId="0" borderId="0" xfId="0" applyNumberFormat="1" applyFont="1" applyFill="1" applyAlignment="1">
      <alignment vertical="center"/>
    </xf>
    <xf numFmtId="1" fontId="1" fillId="2" borderId="0" xfId="0" applyNumberFormat="1" applyFont="1" applyFill="1" applyAlignment="1"/>
    <xf numFmtId="0" fontId="0" fillId="3" borderId="0" xfId="0" applyFill="1"/>
    <xf numFmtId="0" fontId="0" fillId="4" borderId="0" xfId="0" applyFill="1"/>
    <xf numFmtId="0" fontId="5" fillId="2" borderId="0" xfId="0" applyFont="1" applyFill="1" applyAlignment="1">
      <alignment horizontal="center"/>
    </xf>
    <xf numFmtId="0" fontId="0" fillId="0" borderId="0" xfId="0" applyNumberFormat="1"/>
    <xf numFmtId="0" fontId="6" fillId="0" borderId="0" xfId="0" applyFont="1"/>
    <xf numFmtId="0" fontId="0" fillId="5" borderId="0" xfId="0" applyFill="1"/>
    <xf numFmtId="0" fontId="4" fillId="0" borderId="0" xfId="0" applyFont="1" applyFill="1" applyAlignment="1">
      <alignment horizontal="right"/>
    </xf>
    <xf numFmtId="0" fontId="0" fillId="6" borderId="0" xfId="0" applyFont="1" applyFill="1" applyAlignment="1"/>
    <xf numFmtId="2" fontId="1" fillId="7" borderId="0" xfId="0" applyNumberFormat="1" applyFont="1" applyFill="1" applyAlignment="1"/>
    <xf numFmtId="0" fontId="7" fillId="0" borderId="0" xfId="0" applyFont="1" applyAlignment="1">
      <alignment horizontal="center" wrapText="1"/>
    </xf>
    <xf numFmtId="0" fontId="7" fillId="0" borderId="0" xfId="0" applyFont="1" applyAlignment="1">
      <alignment horizontal="right" wrapText="1"/>
    </xf>
    <xf numFmtId="0" fontId="0" fillId="0" borderId="0" xfId="0" applyAlignment="1">
      <alignment wrapText="1"/>
    </xf>
    <xf numFmtId="0" fontId="0" fillId="0" borderId="0" xfId="0" applyAlignment="1">
      <alignment horizontal="right" wrapText="1"/>
    </xf>
    <xf numFmtId="0" fontId="7" fillId="0" borderId="0" xfId="0" applyFont="1" applyAlignment="1">
      <alignment wrapText="1"/>
    </xf>
    <xf numFmtId="3" fontId="0" fillId="0" borderId="0" xfId="0" applyNumberFormat="1" applyAlignment="1">
      <alignment horizontal="right" wrapText="1"/>
    </xf>
    <xf numFmtId="3" fontId="7" fillId="0" borderId="0" xfId="0" applyNumberFormat="1" applyFont="1" applyAlignment="1">
      <alignment horizontal="right" wrapText="1"/>
    </xf>
    <xf numFmtId="3" fontId="0" fillId="0" borderId="0" xfId="0" applyNumberFormat="1" applyAlignment="1">
      <alignment wrapText="1"/>
    </xf>
    <xf numFmtId="3" fontId="7" fillId="0" borderId="0" xfId="0" applyNumberFormat="1" applyFont="1" applyAlignment="1">
      <alignment wrapText="1"/>
    </xf>
    <xf numFmtId="0" fontId="0" fillId="8" borderId="0" xfId="0" applyFill="1"/>
    <xf numFmtId="0" fontId="0" fillId="9" borderId="0" xfId="0" applyFill="1"/>
    <xf numFmtId="0" fontId="0" fillId="0" borderId="0" xfId="0" applyFill="1"/>
    <xf numFmtId="0" fontId="8" fillId="0" borderId="0" xfId="0" applyFont="1" applyFill="1" applyAlignment="1">
      <alignment horizontal="center"/>
    </xf>
    <xf numFmtId="0" fontId="8" fillId="0" borderId="0" xfId="0" applyFont="1" applyFill="1" applyAlignment="1"/>
    <xf numFmtId="0" fontId="8" fillId="10" borderId="0" xfId="0" applyFont="1" applyFill="1" applyAlignment="1">
      <alignment horizontal="center" wrapText="1"/>
    </xf>
    <xf numFmtId="0" fontId="9" fillId="0" borderId="0" xfId="0" applyFont="1" applyFill="1" applyAlignment="1"/>
    <xf numFmtId="0" fontId="8" fillId="11" borderId="0" xfId="0" applyFont="1" applyFill="1" applyAlignment="1"/>
    <xf numFmtId="0" fontId="8" fillId="12" borderId="0" xfId="0" applyFont="1" applyFill="1" applyAlignment="1"/>
    <xf numFmtId="0" fontId="8" fillId="13" borderId="0" xfId="0" applyFont="1" applyFill="1" applyAlignment="1"/>
    <xf numFmtId="0" fontId="8" fillId="10" borderId="0" xfId="0" applyFont="1" applyFill="1" applyAlignment="1"/>
    <xf numFmtId="0" fontId="8" fillId="0" borderId="0" xfId="0" applyFont="1" applyFill="1" applyAlignment="1" applyProtection="1">
      <protection locked="0"/>
    </xf>
    <xf numFmtId="178" fontId="8" fillId="11" borderId="0" xfId="0" applyNumberFormat="1" applyFont="1" applyFill="1" applyAlignment="1"/>
    <xf numFmtId="0" fontId="10" fillId="14" borderId="0" xfId="0" applyFont="1" applyFill="1" applyAlignment="1">
      <alignment horizontal="center"/>
    </xf>
    <xf numFmtId="178" fontId="8" fillId="0" borderId="0" xfId="0" applyNumberFormat="1" applyFont="1" applyFill="1" applyAlignment="1"/>
    <xf numFmtId="178" fontId="8" fillId="15" borderId="0" xfId="0" applyNumberFormat="1" applyFont="1" applyFill="1" applyAlignment="1"/>
    <xf numFmtId="178" fontId="8" fillId="10" borderId="0" xfId="0" applyNumberFormat="1" applyFont="1" applyFill="1" applyAlignment="1"/>
    <xf numFmtId="0" fontId="10" fillId="0" borderId="0" xfId="0" applyFont="1" applyFill="1" applyAlignment="1">
      <alignment horizontal="center"/>
    </xf>
    <xf numFmtId="0" fontId="11" fillId="0" borderId="0" xfId="0" applyFont="1" applyFill="1" applyAlignment="1"/>
    <xf numFmtId="2" fontId="12" fillId="0" borderId="1" xfId="0" applyNumberFormat="1" applyFont="1" applyFill="1" applyBorder="1" applyAlignment="1" applyProtection="1"/>
    <xf numFmtId="0" fontId="8" fillId="6" borderId="0" xfId="0" applyFont="1" applyFill="1" applyAlignment="1"/>
    <xf numFmtId="0" fontId="13" fillId="16" borderId="0" xfId="0" applyFont="1" applyFill="1" applyAlignment="1"/>
    <xf numFmtId="0" fontId="14" fillId="16" borderId="0" xfId="0" applyFont="1" applyFill="1" applyAlignment="1"/>
    <xf numFmtId="2" fontId="12" fillId="9" borderId="1" xfId="0" applyNumberFormat="1" applyFont="1" applyFill="1" applyBorder="1" applyAlignment="1" applyProtection="1"/>
    <xf numFmtId="0" fontId="8" fillId="16" borderId="0" xfId="0" applyFont="1" applyFill="1" applyAlignment="1"/>
    <xf numFmtId="0" fontId="8" fillId="6" borderId="0" xfId="0" applyFont="1" applyFill="1" applyAlignment="1">
      <alignment horizontal="center"/>
    </xf>
    <xf numFmtId="0" fontId="1" fillId="6" borderId="0" xfId="0" applyFont="1" applyFill="1" applyAlignment="1"/>
    <xf numFmtId="0" fontId="0" fillId="0" borderId="0" xfId="0" applyFont="1" applyFill="1" applyBorder="1" applyAlignment="1"/>
    <xf numFmtId="0" fontId="12" fillId="6" borderId="1" xfId="0" applyNumberFormat="1" applyFont="1" applyFill="1" applyBorder="1" applyAlignment="1" applyProtection="1"/>
    <xf numFmtId="0" fontId="1" fillId="6" borderId="1" xfId="0" applyFont="1" applyFill="1" applyBorder="1" applyAlignment="1"/>
    <xf numFmtId="2" fontId="12" fillId="6" borderId="1" xfId="0" applyNumberFormat="1" applyFont="1" applyFill="1" applyBorder="1" applyAlignment="1" applyProtection="1"/>
    <xf numFmtId="0" fontId="6" fillId="6" borderId="0" xfId="0" applyFont="1" applyFill="1" applyAlignment="1"/>
    <xf numFmtId="179" fontId="12" fillId="6" borderId="1" xfId="0" applyNumberFormat="1" applyFont="1" applyFill="1" applyBorder="1" applyAlignment="1" applyProtection="1"/>
    <xf numFmtId="179" fontId="1" fillId="6" borderId="0" xfId="0" applyNumberFormat="1" applyFont="1" applyFill="1" applyAlignment="1"/>
    <xf numFmtId="0" fontId="12" fillId="0" borderId="1" xfId="0" applyNumberFormat="1" applyFont="1" applyFill="1" applyBorder="1" applyAlignment="1" applyProtection="1"/>
    <xf numFmtId="0" fontId="1" fillId="0" borderId="1" xfId="0" applyFont="1" applyFill="1" applyBorder="1" applyAlignment="1"/>
    <xf numFmtId="0" fontId="6" fillId="0" borderId="0" xfId="0" applyFont="1" applyFill="1" applyAlignment="1"/>
    <xf numFmtId="180" fontId="1" fillId="6" borderId="1" xfId="0" applyNumberFormat="1" applyFont="1" applyFill="1" applyBorder="1" applyAlignment="1"/>
    <xf numFmtId="180" fontId="0" fillId="0" borderId="0" xfId="0" applyNumberFormat="1" applyFont="1" applyFill="1" applyAlignment="1"/>
    <xf numFmtId="0" fontId="8" fillId="17" borderId="0" xfId="0" applyFont="1" applyFill="1" applyAlignment="1">
      <alignment horizontal="center"/>
    </xf>
    <xf numFmtId="0" fontId="8" fillId="17" borderId="0" xfId="0" applyFont="1" applyFill="1" applyAlignment="1"/>
    <xf numFmtId="0" fontId="8" fillId="17" borderId="0" xfId="0" applyFont="1" applyFill="1" applyAlignment="1" applyProtection="1">
      <protection locked="0"/>
    </xf>
    <xf numFmtId="178" fontId="8" fillId="17" borderId="0" xfId="0" applyNumberFormat="1" applyFont="1" applyFill="1" applyAlignment="1"/>
    <xf numFmtId="0" fontId="1" fillId="0" borderId="0" xfId="0" applyFont="1" applyFill="1" applyAlignment="1">
      <alignment horizontal="center"/>
    </xf>
    <xf numFmtId="178" fontId="1" fillId="18" borderId="0" xfId="0" applyNumberFormat="1" applyFont="1" applyFill="1" applyAlignment="1">
      <alignment horizontal="center"/>
    </xf>
    <xf numFmtId="178" fontId="1" fillId="0" borderId="0" xfId="0" applyNumberFormat="1" applyFont="1" applyFill="1" applyAlignment="1">
      <alignment horizontal="center"/>
    </xf>
    <xf numFmtId="0" fontId="8" fillId="0" borderId="0" xfId="0" applyFont="1" applyFill="1" applyAlignment="1" applyProtection="1">
      <alignment horizontal="center"/>
      <protection locked="0"/>
    </xf>
    <xf numFmtId="0" fontId="1" fillId="18" borderId="0" xfId="0" applyFont="1" applyFill="1" applyAlignment="1"/>
    <xf numFmtId="0" fontId="0" fillId="0" borderId="0" xfId="0" applyFont="1"/>
    <xf numFmtId="0" fontId="0" fillId="6" borderId="0" xfId="0" applyFill="1"/>
    <xf numFmtId="0" fontId="0" fillId="7" borderId="0" xfId="49" applyFill="1"/>
    <xf numFmtId="0" fontId="0" fillId="7" borderId="0" xfId="0" applyFill="1"/>
    <xf numFmtId="0" fontId="0" fillId="19" borderId="0" xfId="0" applyFill="1"/>
    <xf numFmtId="0" fontId="0" fillId="20" borderId="0" xfId="0" applyFill="1"/>
    <xf numFmtId="0" fontId="0" fillId="2" borderId="0" xfId="0" applyFill="1"/>
    <xf numFmtId="0" fontId="15" fillId="0" borderId="0" xfId="0" applyFont="1"/>
    <xf numFmtId="0" fontId="0" fillId="21" borderId="0" xfId="0" applyFill="1"/>
    <xf numFmtId="0" fontId="16" fillId="0" borderId="0" xfId="0" applyFont="1"/>
    <xf numFmtId="0" fontId="0" fillId="22" borderId="0" xfId="0" applyFill="1"/>
    <xf numFmtId="178" fontId="0" fillId="0" borderId="0" xfId="0" applyNumberFormat="1"/>
    <xf numFmtId="3" fontId="0" fillId="0" borderId="0" xfId="0" applyNumberFormat="1"/>
    <xf numFmtId="0" fontId="0" fillId="3" borderId="1" xfId="49" applyFill="1" applyBorder="1"/>
    <xf numFmtId="0" fontId="0" fillId="2" borderId="0" xfId="49" applyFill="1"/>
    <xf numFmtId="0" fontId="0" fillId="7" borderId="1" xfId="49" applyFill="1" applyBorder="1"/>
    <xf numFmtId="0" fontId="0" fillId="3" borderId="0" xfId="49" applyFill="1"/>
    <xf numFmtId="0" fontId="0" fillId="7" borderId="1" xfId="0" applyFill="1" applyBorder="1"/>
    <xf numFmtId="0" fontId="0" fillId="3" borderId="1" xfId="0" applyFill="1" applyBorder="1"/>
    <xf numFmtId="0" fontId="17" fillId="2" borderId="0" xfId="0" applyFont="1" applyFill="1"/>
    <xf numFmtId="0" fontId="18" fillId="0" borderId="0" xfId="0" applyFont="1"/>
    <xf numFmtId="0" fontId="17" fillId="3" borderId="0" xfId="0" applyFont="1" applyFill="1"/>
    <xf numFmtId="0" fontId="17" fillId="19" borderId="0" xfId="0" applyFont="1" applyFill="1"/>
    <xf numFmtId="0" fontId="0" fillId="19" borderId="0" xfId="49" applyFill="1"/>
    <xf numFmtId="0" fontId="5" fillId="19" borderId="0" xfId="0" applyFont="1" applyFill="1"/>
    <xf numFmtId="0" fontId="0" fillId="19" borderId="1" xfId="0" applyFill="1" applyBorder="1"/>
    <xf numFmtId="0" fontId="6" fillId="3" borderId="0" xfId="0" applyFont="1" applyFill="1"/>
    <xf numFmtId="0" fontId="7" fillId="2" borderId="0" xfId="49" applyFont="1" applyFill="1"/>
    <xf numFmtId="0" fontId="7" fillId="7" borderId="0" xfId="0" applyFont="1" applyFill="1"/>
    <xf numFmtId="0" fontId="5" fillId="7" borderId="0" xfId="0" applyFont="1" applyFill="1"/>
    <xf numFmtId="0" fontId="7" fillId="3" borderId="0" xfId="49" applyFont="1" applyFill="1"/>
    <xf numFmtId="0" fontId="17" fillId="20" borderId="0" xfId="0" applyFont="1" applyFill="1"/>
    <xf numFmtId="0" fontId="6" fillId="20" borderId="0" xfId="0" applyFont="1" applyFill="1"/>
    <xf numFmtId="0" fontId="0" fillId="20" borderId="0" xfId="49" applyFill="1"/>
    <xf numFmtId="0" fontId="2" fillId="20" borderId="0" xfId="0" applyFont="1" applyFill="1"/>
    <xf numFmtId="0" fontId="0" fillId="20" borderId="1" xfId="0" applyFill="1" applyBorder="1"/>
    <xf numFmtId="0" fontId="0" fillId="23" borderId="0" xfId="0" applyFill="1"/>
    <xf numFmtId="0" fontId="19" fillId="0" borderId="0" xfId="0" applyFont="1" applyAlignment="1">
      <alignment horizontal="left"/>
    </xf>
    <xf numFmtId="0" fontId="19" fillId="0" borderId="0" xfId="0" applyFont="1" applyAlignment="1">
      <alignment horizontal="right"/>
    </xf>
    <xf numFmtId="0" fontId="20" fillId="0" borderId="0" xfId="0" applyFont="1" applyAlignment="1">
      <alignment horizontal="left"/>
    </xf>
    <xf numFmtId="0" fontId="20" fillId="0" borderId="0" xfId="0" applyFont="1" applyAlignment="1">
      <alignment horizontal="righ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right"/>
    </xf>
    <xf numFmtId="0" fontId="21" fillId="0" borderId="0" xfId="0" applyFont="1" applyAlignment="1">
      <alignment horizontal="right"/>
    </xf>
    <xf numFmtId="0" fontId="21" fillId="2" borderId="0" xfId="0" applyFont="1" applyFill="1" applyAlignment="1">
      <alignment horizontal="right"/>
    </xf>
    <xf numFmtId="181" fontId="21" fillId="0" borderId="0" xfId="0" applyNumberFormat="1" applyFont="1" applyAlignment="1">
      <alignment horizontal="right"/>
    </xf>
    <xf numFmtId="181" fontId="19" fillId="0" borderId="0" xfId="0" applyNumberFormat="1" applyFont="1" applyAlignment="1">
      <alignment horizontal="right"/>
    </xf>
    <xf numFmtId="0" fontId="22" fillId="0" borderId="0" xfId="0" applyFont="1" applyAlignment="1">
      <alignment horizontal="right"/>
    </xf>
    <xf numFmtId="3" fontId="22" fillId="0" borderId="0" xfId="0" applyNumberFormat="1" applyFont="1" applyAlignment="1">
      <alignment horizontal="right"/>
    </xf>
    <xf numFmtId="3" fontId="21" fillId="0" borderId="0" xfId="0" applyNumberFormat="1" applyFont="1" applyAlignment="1">
      <alignment horizontal="right"/>
    </xf>
    <xf numFmtId="0" fontId="1" fillId="3" borderId="0" xfId="0" applyFont="1" applyFill="1" applyAlignment="1"/>
    <xf numFmtId="0" fontId="0" fillId="24" borderId="1" xfId="49" applyFill="1" applyBorder="1"/>
    <xf numFmtId="0" fontId="0" fillId="0" borderId="0" xfId="0" applyFill="1" applyBorder="1"/>
    <xf numFmtId="0" fontId="0" fillId="0" borderId="1" xfId="0" applyBorder="1" applyAlignment="1">
      <alignment horizontal="center"/>
    </xf>
    <xf numFmtId="0" fontId="24" fillId="0" borderId="1" xfId="0" applyFont="1" applyFill="1" applyBorder="1" applyAlignment="1"/>
    <xf numFmtId="0" fontId="0" fillId="0" borderId="0" xfId="49" applyFill="1" applyBorder="1"/>
    <xf numFmtId="182" fontId="0" fillId="24" borderId="1" xfId="49" applyNumberFormat="1" applyFill="1" applyBorder="1"/>
    <xf numFmtId="0" fontId="25" fillId="0" borderId="1" xfId="0" applyFont="1" applyFill="1" applyBorder="1" applyAlignment="1"/>
    <xf numFmtId="3" fontId="19" fillId="0" borderId="0" xfId="0" applyNumberFormat="1" applyFont="1" applyAlignment="1">
      <alignment horizontal="right"/>
    </xf>
    <xf numFmtId="0" fontId="26" fillId="0" borderId="0" xfId="0" applyFont="1" applyAlignment="1">
      <alignment horizontal="left"/>
    </xf>
    <xf numFmtId="0" fontId="26" fillId="0" borderId="0" xfId="0" applyFont="1" applyAlignment="1">
      <alignment horizontal="right"/>
    </xf>
    <xf numFmtId="3" fontId="26" fillId="0" borderId="0" xfId="0" applyNumberFormat="1" applyFont="1" applyAlignment="1">
      <alignment horizontal="right"/>
    </xf>
    <xf numFmtId="0" fontId="0" fillId="24" borderId="3" xfId="49" applyFill="1" applyBorder="1"/>
    <xf numFmtId="0" fontId="0" fillId="0" borderId="0" xfId="0" applyBorder="1"/>
    <xf numFmtId="0" fontId="2" fillId="0" borderId="1" xfId="49" applyFont="1" applyFill="1" applyBorder="1"/>
    <xf numFmtId="0" fontId="24" fillId="0" borderId="1" xfId="49" applyFont="1" applyFill="1" applyBorder="1" applyAlignment="1">
      <alignment horizontal="left"/>
    </xf>
    <xf numFmtId="0" fontId="0" fillId="0" borderId="0" xfId="49" applyBorder="1"/>
    <xf numFmtId="0" fontId="0" fillId="5" borderId="1" xfId="0" applyFill="1" applyBorder="1" applyAlignment="1">
      <alignment horizontal="center"/>
    </xf>
    <xf numFmtId="0" fontId="0" fillId="24" borderId="0" xfId="49" applyFill="1" applyBorder="1"/>
    <xf numFmtId="0" fontId="0" fillId="5" borderId="0" xfId="0" applyFill="1" applyBorder="1"/>
    <xf numFmtId="182" fontId="0" fillId="5" borderId="0" xfId="49" applyNumberFormat="1" applyFill="1" applyBorder="1"/>
    <xf numFmtId="0" fontId="18" fillId="0" borderId="0" xfId="0" applyFont="1" applyBorder="1"/>
    <xf numFmtId="182" fontId="0" fillId="0" borderId="0" xfId="49" applyNumberFormat="1" applyFill="1" applyBorder="1"/>
    <xf numFmtId="0" fontId="24" fillId="0" borderId="1" xfId="49" applyFont="1" applyFill="1" applyBorder="1" applyAlignment="1">
      <alignment horizontal="center" vertical="center"/>
    </xf>
    <xf numFmtId="0" fontId="2" fillId="0" borderId="1" xfId="49" applyFont="1" applyFill="1" applyBorder="1" applyAlignment="1">
      <alignment horizontal="center"/>
    </xf>
    <xf numFmtId="0" fontId="2" fillId="5" borderId="1" xfId="49" applyFont="1" applyFill="1" applyBorder="1" applyAlignment="1">
      <alignment horizontal="center"/>
    </xf>
    <xf numFmtId="0" fontId="6" fillId="2" borderId="0" xfId="0" applyFont="1" applyFill="1"/>
    <xf numFmtId="0" fontId="0" fillId="25" borderId="0" xfId="0" applyFill="1"/>
    <xf numFmtId="0" fontId="1" fillId="25" borderId="0" xfId="0" applyFont="1" applyFill="1" applyAlignment="1">
      <alignment vertical="center"/>
    </xf>
    <xf numFmtId="0" fontId="27" fillId="0" borderId="0" xfId="0" applyNumberFormat="1" applyFont="1" applyFill="1" applyAlignment="1"/>
    <xf numFmtId="0" fontId="0" fillId="26" borderId="0" xfId="0" applyFill="1"/>
    <xf numFmtId="0" fontId="28" fillId="0" borderId="0" xfId="0" applyFont="1" applyFill="1" applyAlignment="1"/>
    <xf numFmtId="0" fontId="29" fillId="0" borderId="0" xfId="0" applyFont="1" applyFill="1" applyAlignment="1"/>
    <xf numFmtId="0" fontId="30" fillId="0" borderId="0" xfId="0" applyFont="1" applyFill="1" applyAlignment="1"/>
    <xf numFmtId="0" fontId="31" fillId="0" borderId="0" xfId="0" applyFont="1" applyFill="1" applyAlignment="1"/>
    <xf numFmtId="0" fontId="32" fillId="27" borderId="4" xfId="0" applyFont="1" applyFill="1" applyBorder="1" applyAlignment="1">
      <alignment horizontal="center" vertical="center" wrapText="1"/>
    </xf>
    <xf numFmtId="0" fontId="33" fillId="0" borderId="4" xfId="0" applyFont="1" applyFill="1" applyBorder="1" applyAlignment="1"/>
    <xf numFmtId="182" fontId="33" fillId="0" borderId="4" xfId="0" applyNumberFormat="1" applyFont="1" applyFill="1" applyBorder="1" applyAlignment="1"/>
    <xf numFmtId="182" fontId="33" fillId="2" borderId="4" xfId="0" applyNumberFormat="1" applyFont="1" applyFill="1" applyBorder="1" applyAlignment="1"/>
    <xf numFmtId="182" fontId="0" fillId="0" borderId="4" xfId="0" applyNumberFormat="1" applyFont="1" applyFill="1" applyBorder="1" applyAlignment="1"/>
    <xf numFmtId="0" fontId="0" fillId="0" borderId="4" xfId="0" applyFont="1" applyFill="1" applyBorder="1" applyAlignment="1"/>
    <xf numFmtId="179" fontId="33" fillId="2" borderId="4" xfId="0" applyNumberFormat="1" applyFont="1" applyFill="1" applyBorder="1" applyAlignment="1"/>
    <xf numFmtId="0" fontId="7" fillId="0" borderId="0" xfId="0" applyFont="1" applyFill="1" applyAlignment="1"/>
    <xf numFmtId="179" fontId="0" fillId="0" borderId="4" xfId="0" applyNumberFormat="1" applyFont="1" applyFill="1" applyBorder="1" applyAlignment="1"/>
    <xf numFmtId="183" fontId="33" fillId="2" borderId="4" xfId="0" applyNumberFormat="1" applyFont="1" applyFill="1" applyBorder="1" applyAlignment="1"/>
    <xf numFmtId="0" fontId="30" fillId="0" borderId="4" xfId="0" applyFont="1" applyFill="1" applyBorder="1" applyAlignment="1"/>
    <xf numFmtId="0" fontId="0" fillId="28" borderId="4" xfId="0" applyFont="1" applyFill="1" applyBorder="1" applyAlignment="1"/>
    <xf numFmtId="0" fontId="33" fillId="28" borderId="4" xfId="0" applyFont="1" applyFill="1" applyBorder="1" applyAlignment="1"/>
    <xf numFmtId="179" fontId="0" fillId="28" borderId="4" xfId="0" applyNumberFormat="1" applyFont="1" applyFill="1" applyBorder="1" applyAlignment="1"/>
    <xf numFmtId="0" fontId="0" fillId="2" borderId="4" xfId="0" applyFont="1" applyFill="1" applyBorder="1" applyAlignment="1"/>
    <xf numFmtId="0" fontId="33" fillId="2" borderId="4" xfId="0" applyFont="1" applyFill="1" applyBorder="1" applyAlignment="1"/>
    <xf numFmtId="179" fontId="0" fillId="2" borderId="4" xfId="0" applyNumberFormat="1" applyFont="1" applyFill="1" applyBorder="1" applyAlignment="1"/>
    <xf numFmtId="0" fontId="34" fillId="26" borderId="0" xfId="0" applyFont="1" applyFill="1" applyAlignment="1"/>
    <xf numFmtId="0" fontId="28" fillId="26" borderId="0" xfId="0" applyFont="1" applyFill="1" applyAlignment="1"/>
    <xf numFmtId="0" fontId="32" fillId="26" borderId="4" xfId="0" applyFont="1" applyFill="1" applyBorder="1" applyAlignment="1">
      <alignment horizontal="center" vertical="center" wrapText="1"/>
    </xf>
    <xf numFmtId="0" fontId="0" fillId="26" borderId="4" xfId="0" applyFont="1" applyFill="1" applyBorder="1" applyAlignment="1"/>
    <xf numFmtId="0" fontId="0" fillId="26" borderId="4" xfId="0" applyFont="1" applyFill="1" applyBorder="1" applyAlignment="1">
      <alignment horizontal="center"/>
    </xf>
    <xf numFmtId="179" fontId="0" fillId="26" borderId="4" xfId="0" applyNumberFormat="1" applyFont="1" applyFill="1" applyBorder="1" applyAlignment="1"/>
    <xf numFmtId="0" fontId="34" fillId="0" borderId="0" xfId="0" applyFont="1" applyFill="1" applyAlignment="1"/>
    <xf numFmtId="0" fontId="0" fillId="28" borderId="4" xfId="0" applyFont="1" applyFill="1" applyBorder="1" applyAlignment="1">
      <alignment horizontal="center"/>
    </xf>
    <xf numFmtId="0" fontId="0" fillId="0" borderId="4" xfId="0" applyFont="1" applyFill="1" applyBorder="1" applyAlignment="1">
      <alignment horizontal="center"/>
    </xf>
    <xf numFmtId="0" fontId="34" fillId="2" borderId="0" xfId="0" applyFont="1" applyFill="1" applyBorder="1" applyAlignment="1">
      <alignment vertical="top" wrapText="1"/>
    </xf>
    <xf numFmtId="0" fontId="0" fillId="0" borderId="0" xfId="0" applyFont="1" applyFill="1" applyBorder="1" applyAlignment="1">
      <alignment vertical="top" wrapText="1"/>
    </xf>
    <xf numFmtId="0" fontId="24" fillId="0" borderId="0" xfId="0" applyFont="1" applyFill="1" applyAlignment="1"/>
    <xf numFmtId="0" fontId="35" fillId="21" borderId="0" xfId="0" applyFont="1" applyFill="1" applyAlignment="1"/>
    <xf numFmtId="0" fontId="28" fillId="0" borderId="0" xfId="0" applyFont="1" applyFill="1" applyBorder="1" applyAlignment="1"/>
    <xf numFmtId="0" fontId="36" fillId="0" borderId="0" xfId="0" applyFont="1" applyFill="1" applyAlignment="1">
      <alignment vertical="center"/>
    </xf>
    <xf numFmtId="0" fontId="0" fillId="6" borderId="0" xfId="49" applyFill="1" applyAlignment="1">
      <alignment horizontal="center"/>
    </xf>
    <xf numFmtId="0" fontId="37" fillId="0" borderId="0" xfId="0" applyFont="1" applyFill="1" applyAlignment="1"/>
    <xf numFmtId="0" fontId="1" fillId="29" borderId="0" xfId="0" applyFont="1" applyFill="1" applyAlignment="1">
      <alignment vertical="center"/>
    </xf>
    <xf numFmtId="0" fontId="1" fillId="29" borderId="0" xfId="0" applyNumberFormat="1" applyFont="1" applyFill="1" applyAlignment="1">
      <alignment vertical="center"/>
    </xf>
    <xf numFmtId="0" fontId="36" fillId="0" borderId="0" xfId="0" applyNumberFormat="1" applyFont="1" applyFill="1" applyAlignment="1">
      <alignment vertical="center"/>
    </xf>
    <xf numFmtId="0" fontId="0" fillId="18" borderId="1" xfId="49" applyFill="1" applyBorder="1"/>
    <xf numFmtId="0" fontId="0" fillId="18" borderId="0" xfId="49" applyFill="1"/>
    <xf numFmtId="0" fontId="0" fillId="6" borderId="1" xfId="49" applyFill="1" applyBorder="1"/>
    <xf numFmtId="0" fontId="1" fillId="0" borderId="0" xfId="0" applyFont="1" applyFill="1" applyAlignment="1">
      <alignment wrapText="1"/>
    </xf>
    <xf numFmtId="0" fontId="32" fillId="0" borderId="0" xfId="0" applyFont="1" applyFill="1" applyBorder="1" applyAlignment="1">
      <alignment horizontal="center" vertical="center" wrapText="1"/>
    </xf>
    <xf numFmtId="182" fontId="0" fillId="0" borderId="0" xfId="0" applyNumberFormat="1" applyFont="1" applyFill="1" applyBorder="1" applyAlignment="1"/>
    <xf numFmtId="0" fontId="2" fillId="6" borderId="0" xfId="49" applyFont="1" applyFill="1" applyAlignment="1">
      <alignment horizontal="center"/>
    </xf>
    <xf numFmtId="0" fontId="0" fillId="0" borderId="0" xfId="49" applyAlignment="1">
      <alignment horizontal="center"/>
    </xf>
    <xf numFmtId="0" fontId="0" fillId="0" borderId="1" xfId="49" applyFill="1" applyBorder="1"/>
    <xf numFmtId="0" fontId="35" fillId="0" borderId="0" xfId="0" applyFont="1" applyFill="1" applyAlignment="1"/>
    <xf numFmtId="0" fontId="0" fillId="0" borderId="0" xfId="49" applyFill="1" applyAlignment="1">
      <alignment horizontal="center"/>
    </xf>
    <xf numFmtId="0" fontId="38" fillId="0" borderId="0" xfId="0" applyFont="1" applyFill="1" applyAlignment="1"/>
    <xf numFmtId="0" fontId="30" fillId="0" borderId="0" xfId="0" applyFont="1" applyFill="1" applyBorder="1" applyAlignment="1"/>
    <xf numFmtId="179" fontId="0" fillId="0" borderId="0" xfId="0" applyNumberFormat="1" applyFont="1" applyFill="1" applyBorder="1" applyAlignment="1"/>
    <xf numFmtId="0" fontId="1" fillId="29" borderId="0" xfId="0" applyFont="1" applyFill="1" applyAlignment="1"/>
    <xf numFmtId="0" fontId="1" fillId="0" borderId="0" xfId="0" applyFont="1" applyFill="1" applyBorder="1" applyAlignment="1"/>
    <xf numFmtId="0" fontId="0" fillId="0" borderId="0" xfId="49" applyFill="1" applyBorder="1" applyAlignment="1">
      <alignment horizontal="center"/>
    </xf>
    <xf numFmtId="0" fontId="39" fillId="0" borderId="0" xfId="49" applyFont="1" applyFill="1" applyBorder="1" applyAlignment="1">
      <alignment horizontal="center"/>
    </xf>
    <xf numFmtId="0" fontId="24" fillId="6" borderId="0" xfId="0" applyFont="1" applyFill="1" applyAlignment="1"/>
    <xf numFmtId="0" fontId="34" fillId="0" borderId="0" xfId="0" applyFont="1" applyFill="1" applyBorder="1" applyAlignment="1"/>
    <xf numFmtId="0" fontId="0" fillId="0" borderId="0" xfId="0" applyFont="1" applyFill="1" applyBorder="1" applyAlignment="1">
      <alignment horizontal="center"/>
    </xf>
    <xf numFmtId="0" fontId="0" fillId="30" borderId="0" xfId="49" applyFill="1" applyBorder="1" applyAlignment="1">
      <alignment horizontal="center"/>
    </xf>
    <xf numFmtId="0" fontId="1" fillId="30" borderId="0" xfId="0" applyFont="1" applyFill="1" applyBorder="1" applyAlignment="1"/>
    <xf numFmtId="0" fontId="1" fillId="30" borderId="0" xfId="0" applyFont="1" applyFill="1" applyAlignment="1"/>
    <xf numFmtId="0" fontId="31" fillId="0" borderId="0" xfId="0" applyFont="1" applyFill="1" applyBorder="1" applyAlignment="1"/>
    <xf numFmtId="0" fontId="34" fillId="0" borderId="0" xfId="0" applyFont="1" applyFill="1" applyBorder="1" applyAlignment="1">
      <alignment vertical="top" wrapText="1"/>
    </xf>
    <xf numFmtId="0" fontId="7" fillId="0" borderId="0" xfId="0" applyFont="1" applyFill="1" applyBorder="1" applyAlignment="1"/>
    <xf numFmtId="0" fontId="33" fillId="0" borderId="0" xfId="0" applyFont="1" applyFill="1" applyBorder="1" applyAlignment="1"/>
    <xf numFmtId="0" fontId="15" fillId="0" borderId="0" xfId="50" applyFont="1"/>
    <xf numFmtId="0" fontId="0" fillId="0" borderId="0" xfId="0" quotePrefix="1"/>
    <xf numFmtId="0" fontId="0" fillId="8" borderId="0" xfId="0" applyFill="1" quotePrefix="1"/>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 3" xfId="50"/>
    <cellStyle name="Normal 3 2" xfId="51"/>
    <cellStyle name="Normal 5" xf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externalLink" Target="externalLinks/externalLink4.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107950</xdr:colOff>
      <xdr:row>0</xdr:row>
      <xdr:rowOff>76200</xdr:rowOff>
    </xdr:from>
    <xdr:to>
      <xdr:col>17</xdr:col>
      <xdr:colOff>88900</xdr:colOff>
      <xdr:row>3</xdr:row>
      <xdr:rowOff>0</xdr:rowOff>
    </xdr:to>
    <xdr:cxnSp>
      <xdr:nvCxnSpPr>
        <xdr:cNvPr id="2" name="Straight Arrow Connector 1"/>
        <xdr:cNvCxnSpPr/>
      </xdr:nvCxnSpPr>
      <xdr:spPr>
        <a:xfrm>
          <a:off x="19366230" y="76200"/>
          <a:ext cx="12094210" cy="476250"/>
        </a:xfrm>
        <a:prstGeom prst="straightConnector1">
          <a:avLst/>
        </a:prstGeom>
        <a:ln>
          <a:solidFill>
            <a:schemeClr val="accent1"/>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xdr:col>
      <xdr:colOff>2792095</xdr:colOff>
      <xdr:row>2</xdr:row>
      <xdr:rowOff>73660</xdr:rowOff>
    </xdr:from>
    <xdr:to>
      <xdr:col>1</xdr:col>
      <xdr:colOff>3257550</xdr:colOff>
      <xdr:row>3</xdr:row>
      <xdr:rowOff>140970</xdr:rowOff>
    </xdr:to>
    <xdr:sp>
      <xdr:nvSpPr>
        <xdr:cNvPr id="3" name="Down Arrow 2"/>
        <xdr:cNvSpPr/>
      </xdr:nvSpPr>
      <xdr:spPr>
        <a:xfrm>
          <a:off x="3401060" y="441960"/>
          <a:ext cx="465455" cy="251460"/>
        </a:xfrm>
        <a:prstGeom prst="downArrow">
          <a:avLst/>
        </a:prstGeom>
      </xdr:spPr>
      <xdr:style>
        <a:lnRef idx="2">
          <a:schemeClr val="accent1">
            <a:lumMod val="75000"/>
          </a:schemeClr>
        </a:lnRef>
        <a:fillRef idx="1">
          <a:schemeClr val="accent1"/>
        </a:fillRef>
        <a:effectRef idx="0">
          <a:srgbClr val="FFFFFF"/>
        </a:effectRef>
        <a:fontRef idx="minor">
          <a:schemeClr val="bg1"/>
        </a:fontRef>
      </xdr:style>
      <xdr:txBody>
        <a:bodyPr vertOverflow="clip" horzOverflow="clip" wrap="square" rtlCol="0" anchor="t"/>
        <a:p>
          <a:pPr algn="l"/>
          <a:endParaRPr lang="en-US" sz="1100"/>
        </a:p>
      </xdr:txBody>
    </xdr:sp>
    <xdr:clientData/>
  </xdr:twoCellAnchor>
  <xdr:twoCellAnchor>
    <xdr:from>
      <xdr:col>1</xdr:col>
      <xdr:colOff>2571750</xdr:colOff>
      <xdr:row>5</xdr:row>
      <xdr:rowOff>33020</xdr:rowOff>
    </xdr:from>
    <xdr:to>
      <xdr:col>1</xdr:col>
      <xdr:colOff>3037205</xdr:colOff>
      <xdr:row>6</xdr:row>
      <xdr:rowOff>100330</xdr:rowOff>
    </xdr:to>
    <xdr:sp>
      <xdr:nvSpPr>
        <xdr:cNvPr id="4" name="Down Arrow 3"/>
        <xdr:cNvSpPr/>
      </xdr:nvSpPr>
      <xdr:spPr>
        <a:xfrm>
          <a:off x="3180715" y="2700020"/>
          <a:ext cx="465455" cy="251460"/>
        </a:xfrm>
        <a:prstGeom prst="downArrow">
          <a:avLst/>
        </a:prstGeom>
      </xdr:spPr>
      <xdr:style>
        <a:lnRef idx="2">
          <a:schemeClr val="accent1">
            <a:lumMod val="75000"/>
          </a:schemeClr>
        </a:lnRef>
        <a:fillRef idx="1">
          <a:schemeClr val="accent1"/>
        </a:fillRef>
        <a:effectRef idx="0">
          <a:srgbClr val="FFFFFF"/>
        </a:effectRef>
        <a:fontRef idx="minor">
          <a:schemeClr val="bg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946785</xdr:colOff>
      <xdr:row>280</xdr:row>
      <xdr:rowOff>96520</xdr:rowOff>
    </xdr:from>
    <xdr:to>
      <xdr:col>1</xdr:col>
      <xdr:colOff>1014730</xdr:colOff>
      <xdr:row>282</xdr:row>
      <xdr:rowOff>119380</xdr:rowOff>
    </xdr:to>
    <xdr:cxnSp>
      <xdr:nvCxnSpPr>
        <xdr:cNvPr id="2" name="Straight Arrow Connector 1"/>
        <xdr:cNvCxnSpPr/>
      </xdr:nvCxnSpPr>
      <xdr:spPr>
        <a:xfrm flipH="1">
          <a:off x="1844675" y="46375320"/>
          <a:ext cx="67945" cy="340360"/>
        </a:xfrm>
        <a:prstGeom prst="straightConnector1">
          <a:avLst/>
        </a:prstGeom>
        <a:ln>
          <a:solidFill>
            <a:schemeClr val="accent1"/>
          </a:solidFill>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TMPL_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bRES_Transpor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xli9\OneDrive%20-%20McGill%20University\Desktop\manu11_Battery_ISIE\KiNESYS_BattCircularity-main\KiNESYS_BattCircularity-main-AK_July\BY_Tran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iscuss_log"/>
      <sheetName val="Cover"/>
      <sheetName val="Small_cars"/>
      <sheetName val="Large_cars"/>
      <sheetName val="Medium_cars"/>
      <sheetName val="LCVs"/>
      <sheetName val="Hdt"/>
      <sheetName val="2-3wheelers"/>
      <sheetName val="Bus_coach"/>
      <sheetName val="Critical_materials"/>
      <sheetName val="Repurposed_Bat_AuxStout"/>
      <sheetName val="R_strategies_n_GridBattery"/>
      <sheetName val="AlternativeMinFlow-just for tes"/>
      <sheetName val="R_strategies_RecycledEV_batt"/>
      <sheetName val="EnergyUseFromEverBatt_Min_"/>
      <sheetName val="Recyc_energy_use_Anna__SAME"/>
      <sheetName val="Recyc_energy_use_Anna_15per_mor"/>
      <sheetName val="Recyc_energy_use_Anna_15less"/>
      <sheetName val="LIB mass distribution"/>
      <sheetName val="HGVs&lt;16t"/>
      <sheetName val="HGVs&gt;16t"/>
      <sheetName val="Aviation"/>
      <sheetName val="Rail"/>
      <sheetName val="Inland_navigation"/>
      <sheetName val="Maritime"/>
      <sheetName val="Infrastructure"/>
      <sheetName val="Existing battery stock-PREDEFIN"/>
    </sheetNames>
    <sheetDataSet>
      <sheetData sheetId="0"/>
      <sheetData sheetId="1"/>
      <sheetData sheetId="2"/>
      <sheetData sheetId="3"/>
      <sheetData sheetId="4"/>
      <sheetData sheetId="5"/>
      <sheetData sheetId="6"/>
      <sheetData sheetId="7"/>
      <sheetData sheetId="8"/>
      <sheetData sheetId="9"/>
      <sheetData sheetId="10"/>
      <sheetData sheetId="11">
        <row r="131">
          <cell r="D131">
            <v>80.3831766666667</v>
          </cell>
          <cell r="E131">
            <v>55.48673</v>
          </cell>
          <cell r="F131">
            <v>106.82505</v>
          </cell>
        </row>
        <row r="132">
          <cell r="D132">
            <v>95.4086</v>
          </cell>
          <cell r="E132">
            <v>66.32565</v>
          </cell>
          <cell r="F132">
            <v>126.26355</v>
          </cell>
        </row>
        <row r="133">
          <cell r="D133">
            <v>85.3476966666666</v>
          </cell>
          <cell r="E133">
            <v>56.10147</v>
          </cell>
          <cell r="F133">
            <v>116.32796</v>
          </cell>
        </row>
        <row r="134">
          <cell r="D134">
            <v>85.52157</v>
          </cell>
          <cell r="E134">
            <v>55.55951</v>
          </cell>
          <cell r="F134">
            <v>117.30431</v>
          </cell>
        </row>
        <row r="135">
          <cell r="D135">
            <v>90.0929166666666</v>
          </cell>
          <cell r="E135">
            <v>59.3677</v>
          </cell>
          <cell r="F135">
            <v>122.66905</v>
          </cell>
        </row>
        <row r="136">
          <cell r="D136">
            <v>86.9222166666667</v>
          </cell>
          <cell r="E136">
            <v>57.33755</v>
          </cell>
          <cell r="F136">
            <v>118.2723</v>
          </cell>
        </row>
        <row r="137">
          <cell r="D137">
            <v>89.5526666666667</v>
          </cell>
          <cell r="E137">
            <v>59.98948</v>
          </cell>
          <cell r="F137">
            <v>120.87452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lec"/>
      <sheetName val="Transport"/>
      <sheetName val="storage"/>
      <sheetName val="SHAPES"/>
      <sheetName val="Misc"/>
      <sheetName val="pumped hydro"/>
      <sheetName val="non-TRA elec dem"/>
      <sheetName val="INDELC_generator"/>
    </sheetNames>
    <sheetDataSet>
      <sheetData sheetId="0"/>
      <sheetData sheetId="1"/>
      <sheetData sheetId="2">
        <row r="2">
          <cell r="J2">
            <v>1</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atb.nrel.gov/transportation/2024/battery_electric_vehicle_assumptions"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A281"/>
  <sheetViews>
    <sheetView zoomScale="80" zoomScaleNormal="80" workbookViewId="0">
      <selection activeCell="E12" sqref="E12"/>
    </sheetView>
  </sheetViews>
  <sheetFormatPr defaultColWidth="9.09090909090909" defaultRowHeight="11.5"/>
  <cols>
    <col min="1" max="1" width="15" style="231" customWidth="1"/>
    <col min="2" max="2" width="8.85454545454546" style="231" customWidth="1"/>
    <col min="3" max="3" width="4.71818181818182" style="231" customWidth="1"/>
    <col min="4" max="4" width="8.85454545454546" style="231" customWidth="1"/>
    <col min="5" max="5" width="4.42727272727273" style="231" customWidth="1"/>
    <col min="6" max="6" width="4.28181818181818" style="231" customWidth="1"/>
    <col min="7" max="7" width="4.42727272727273" style="231" customWidth="1"/>
    <col min="8" max="8" width="4.57272727272727" style="231" customWidth="1"/>
    <col min="9" max="9" width="4" style="231" customWidth="1"/>
    <col min="10" max="10" width="4.42727272727273" style="231" customWidth="1"/>
    <col min="11" max="11" width="4.57272727272727" style="231" customWidth="1"/>
    <col min="12" max="12" width="4.42727272727273" style="231" customWidth="1"/>
    <col min="13" max="13" width="4" style="231" customWidth="1"/>
    <col min="14" max="14" width="4.28181818181818" style="231" customWidth="1"/>
    <col min="15" max="16" width="4.42727272727273" style="231" customWidth="1"/>
    <col min="17" max="18" width="4.57272727272727" style="231" customWidth="1"/>
    <col min="19" max="19" width="4.42727272727273" style="231" customWidth="1"/>
    <col min="20" max="20" width="5" style="231" customWidth="1"/>
    <col min="21" max="21" width="11.7181818181818" style="231" customWidth="1"/>
    <col min="22" max="22" width="10.7181818181818" style="231" customWidth="1"/>
    <col min="23" max="23" width="13.1454545454545" style="231" customWidth="1"/>
    <col min="24" max="259" width="11.4272727272727" style="231" customWidth="1"/>
    <col min="260" max="16384" width="9.14545454545454" style="231"/>
  </cols>
  <sheetData>
    <row r="1" ht="12.5" spans="1:27">
      <c r="A1"/>
      <c r="B1"/>
      <c r="C1"/>
      <c r="D1"/>
      <c r="E1"/>
      <c r="F1"/>
      <c r="G1"/>
      <c r="H1"/>
      <c r="I1"/>
      <c r="J1"/>
      <c r="K1"/>
      <c r="L1"/>
      <c r="M1"/>
      <c r="N1"/>
      <c r="O1"/>
      <c r="P1"/>
      <c r="Q1"/>
      <c r="R1"/>
      <c r="S1"/>
      <c r="T1"/>
      <c r="U1"/>
    </row>
    <row r="2" ht="12.5" spans="1:27">
      <c r="A2"/>
      <c r="B2"/>
      <c r="C2"/>
      <c r="D2"/>
      <c r="E2"/>
      <c r="F2"/>
      <c r="G2"/>
      <c r="H2"/>
      <c r="I2"/>
      <c r="J2"/>
      <c r="K2"/>
      <c r="L2"/>
      <c r="M2"/>
      <c r="N2"/>
      <c r="O2"/>
      <c r="P2"/>
      <c r="Q2"/>
      <c r="R2"/>
      <c r="S2"/>
      <c r="T2"/>
      <c r="U2"/>
    </row>
    <row r="3" ht="12.5" spans="1:27">
      <c r="A3" t="s">
        <v>0</v>
      </c>
      <c r="B3"/>
      <c r="C3"/>
      <c r="D3"/>
      <c r="E3"/>
      <c r="F3"/>
      <c r="G3"/>
      <c r="H3"/>
      <c r="I3"/>
      <c r="J3"/>
      <c r="K3"/>
      <c r="L3"/>
      <c r="M3"/>
      <c r="N3"/>
      <c r="O3"/>
      <c r="P3"/>
      <c r="Q3"/>
      <c r="R3"/>
      <c r="S3"/>
      <c r="T3"/>
      <c r="U3"/>
      <c r="V3" s="87"/>
      <c r="W3" s="87"/>
      <c r="X3" s="87"/>
      <c r="Y3" s="87"/>
      <c r="Z3" s="87"/>
      <c r="AA3" s="87"/>
    </row>
    <row r="4" ht="12.5" spans="1:27">
      <c r="A4" t="s">
        <v>1</v>
      </c>
      <c r="B4" t="s">
        <v>2</v>
      </c>
      <c r="C4"/>
      <c r="D4"/>
      <c r="E4"/>
      <c r="F4"/>
      <c r="G4"/>
      <c r="H4"/>
      <c r="I4"/>
      <c r="J4"/>
      <c r="K4"/>
      <c r="L4"/>
      <c r="M4"/>
      <c r="N4"/>
      <c r="O4"/>
      <c r="P4"/>
      <c r="Q4"/>
      <c r="R4"/>
      <c r="S4"/>
      <c r="T4"/>
      <c r="U4"/>
      <c r="V4" s="87"/>
      <c r="W4" s="87"/>
      <c r="X4" s="87"/>
      <c r="Y4" s="87"/>
      <c r="Z4" s="87"/>
      <c r="AA4" s="87"/>
    </row>
    <row r="5" ht="12.5" spans="1:27">
      <c r="A5" t="s">
        <v>3</v>
      </c>
      <c r="B5" t="s">
        <v>4</v>
      </c>
      <c r="C5"/>
      <c r="D5"/>
      <c r="E5"/>
      <c r="F5"/>
      <c r="G5"/>
      <c r="H5"/>
      <c r="I5"/>
      <c r="J5"/>
      <c r="K5"/>
      <c r="L5"/>
      <c r="M5"/>
      <c r="N5"/>
      <c r="O5"/>
      <c r="P5"/>
      <c r="Q5"/>
      <c r="R5"/>
      <c r="S5"/>
      <c r="T5"/>
      <c r="U5"/>
      <c r="V5" s="87"/>
      <c r="W5" s="87"/>
      <c r="X5" s="87"/>
      <c r="Y5" s="87"/>
      <c r="Z5" s="87"/>
      <c r="AA5" s="87"/>
    </row>
    <row r="6" ht="12.5" spans="1:27">
      <c r="A6" t="s">
        <v>5</v>
      </c>
      <c r="B6" t="s">
        <v>4</v>
      </c>
      <c r="C6"/>
      <c r="D6"/>
      <c r="E6"/>
      <c r="F6"/>
      <c r="G6"/>
      <c r="H6"/>
      <c r="I6"/>
      <c r="J6"/>
      <c r="K6"/>
      <c r="L6"/>
      <c r="M6"/>
      <c r="N6"/>
      <c r="O6"/>
      <c r="P6"/>
      <c r="Q6"/>
      <c r="R6"/>
      <c r="S6"/>
      <c r="T6"/>
      <c r="U6"/>
      <c r="V6" s="87"/>
      <c r="W6" s="87"/>
      <c r="X6" s="87"/>
      <c r="Y6" s="87"/>
      <c r="Z6" s="87"/>
      <c r="AA6" s="87"/>
    </row>
    <row r="7" ht="12.5" spans="1:27">
      <c r="A7" t="s">
        <v>6</v>
      </c>
      <c r="B7" t="s">
        <v>4</v>
      </c>
      <c r="C7"/>
      <c r="D7"/>
      <c r="E7"/>
      <c r="F7"/>
      <c r="G7"/>
      <c r="H7"/>
      <c r="I7"/>
      <c r="J7"/>
      <c r="K7"/>
      <c r="L7"/>
      <c r="M7"/>
      <c r="N7"/>
      <c r="O7"/>
      <c r="P7"/>
      <c r="Q7"/>
      <c r="R7"/>
      <c r="S7"/>
      <c r="T7"/>
      <c r="U7"/>
      <c r="V7" s="87"/>
      <c r="W7" s="87"/>
      <c r="X7" s="87"/>
      <c r="Y7" s="87"/>
      <c r="Z7" s="87"/>
      <c r="AA7" s="87"/>
    </row>
    <row r="8" ht="12.5" spans="1:27">
      <c r="A8" t="s">
        <v>7</v>
      </c>
      <c r="B8" t="s">
        <v>4</v>
      </c>
      <c r="C8"/>
      <c r="D8"/>
      <c r="E8"/>
      <c r="F8"/>
      <c r="G8"/>
      <c r="H8"/>
      <c r="I8"/>
      <c r="J8"/>
      <c r="K8"/>
      <c r="L8"/>
      <c r="M8"/>
      <c r="N8"/>
      <c r="O8"/>
      <c r="P8"/>
      <c r="Q8"/>
      <c r="R8"/>
      <c r="S8"/>
      <c r="T8"/>
      <c r="U8"/>
      <c r="V8" s="87"/>
      <c r="W8" s="87"/>
      <c r="X8" s="87"/>
      <c r="Y8" s="87"/>
      <c r="Z8" s="87"/>
      <c r="AA8" s="87"/>
    </row>
    <row r="9" ht="12.5" spans="1:27">
      <c r="A9" t="s">
        <v>8</v>
      </c>
      <c r="B9" t="s">
        <v>4</v>
      </c>
      <c r="C9"/>
      <c r="D9"/>
      <c r="E9"/>
      <c r="F9"/>
      <c r="G9"/>
      <c r="H9"/>
      <c r="I9"/>
      <c r="J9"/>
      <c r="K9"/>
      <c r="L9"/>
      <c r="M9"/>
      <c r="N9"/>
      <c r="O9"/>
      <c r="P9"/>
      <c r="Q9"/>
      <c r="R9"/>
      <c r="S9"/>
      <c r="T9"/>
      <c r="U9"/>
      <c r="V9" s="87"/>
      <c r="W9" s="87"/>
      <c r="X9" s="87"/>
      <c r="Y9" s="87"/>
      <c r="Z9" s="87"/>
      <c r="AA9" s="87"/>
    </row>
    <row r="10" ht="12.5" spans="1:27">
      <c r="A10" t="s">
        <v>9</v>
      </c>
      <c r="B10" t="s">
        <v>4</v>
      </c>
      <c r="C10"/>
      <c r="D10"/>
      <c r="E10"/>
      <c r="F10"/>
      <c r="G10"/>
      <c r="H10"/>
      <c r="I10"/>
      <c r="J10"/>
      <c r="K10"/>
      <c r="L10"/>
      <c r="M10"/>
      <c r="N10"/>
      <c r="O10"/>
      <c r="P10"/>
      <c r="Q10"/>
      <c r="R10"/>
      <c r="S10"/>
      <c r="T10"/>
      <c r="U10"/>
      <c r="V10" s="87"/>
      <c r="W10" s="87"/>
      <c r="X10" s="87"/>
      <c r="Y10" s="87"/>
      <c r="Z10" s="87"/>
      <c r="AA10" s="87"/>
    </row>
    <row r="11" ht="12.5" spans="1:27">
      <c r="A11" t="s">
        <v>10</v>
      </c>
      <c r="B11" t="s">
        <v>4</v>
      </c>
      <c r="C11"/>
      <c r="D11"/>
      <c r="E11"/>
      <c r="F11"/>
      <c r="G11"/>
      <c r="H11"/>
      <c r="I11"/>
      <c r="J11"/>
      <c r="K11"/>
      <c r="L11"/>
      <c r="M11"/>
      <c r="N11"/>
      <c r="O11"/>
      <c r="P11"/>
      <c r="Q11"/>
      <c r="R11"/>
      <c r="S11"/>
      <c r="T11"/>
      <c r="U11"/>
      <c r="V11" s="87"/>
      <c r="W11" s="87"/>
      <c r="X11" s="87"/>
      <c r="Y11" s="87"/>
      <c r="Z11" s="87"/>
      <c r="AA11" s="87"/>
    </row>
    <row r="12" ht="12.5" spans="1:27">
      <c r="A12" t="s">
        <v>11</v>
      </c>
      <c r="B12" t="s">
        <v>4</v>
      </c>
      <c r="C12"/>
      <c r="D12"/>
      <c r="E12"/>
      <c r="F12"/>
      <c r="G12"/>
      <c r="H12"/>
      <c r="I12"/>
      <c r="J12"/>
      <c r="K12"/>
      <c r="L12"/>
      <c r="M12"/>
      <c r="N12"/>
      <c r="O12"/>
      <c r="P12"/>
      <c r="Q12"/>
      <c r="R12"/>
      <c r="S12"/>
      <c r="T12"/>
      <c r="U12"/>
      <c r="V12" s="87"/>
      <c r="W12" s="87"/>
      <c r="X12" s="87"/>
      <c r="Y12" s="87"/>
      <c r="Z12" s="87"/>
      <c r="AA12" s="87"/>
    </row>
    <row r="13" ht="12.5" spans="1:27">
      <c r="A13" t="s">
        <v>12</v>
      </c>
      <c r="B13" t="s">
        <v>4</v>
      </c>
      <c r="C13"/>
      <c r="D13"/>
      <c r="E13"/>
      <c r="F13"/>
      <c r="G13"/>
      <c r="H13"/>
      <c r="I13"/>
      <c r="J13"/>
      <c r="K13"/>
      <c r="L13"/>
      <c r="M13"/>
      <c r="N13"/>
      <c r="O13"/>
      <c r="P13"/>
      <c r="Q13"/>
      <c r="R13"/>
      <c r="S13"/>
      <c r="T13"/>
      <c r="U13"/>
      <c r="V13" s="87"/>
      <c r="W13" s="87"/>
      <c r="X13" s="87"/>
      <c r="Y13" s="87"/>
      <c r="Z13" s="87"/>
      <c r="AA13" s="87"/>
    </row>
    <row r="14" ht="12.5" spans="1:27">
      <c r="A14" t="s">
        <v>13</v>
      </c>
      <c r="B14" t="s">
        <v>4</v>
      </c>
      <c r="C14"/>
      <c r="D14"/>
      <c r="E14"/>
      <c r="F14"/>
      <c r="G14"/>
      <c r="H14"/>
      <c r="I14"/>
      <c r="J14"/>
      <c r="K14"/>
      <c r="L14"/>
      <c r="M14"/>
      <c r="N14"/>
      <c r="O14"/>
      <c r="P14"/>
      <c r="Q14"/>
      <c r="R14"/>
      <c r="S14"/>
      <c r="T14"/>
      <c r="U14"/>
      <c r="V14" s="87"/>
      <c r="W14" s="87"/>
      <c r="X14" s="87"/>
      <c r="Y14" s="87"/>
      <c r="Z14" s="87"/>
      <c r="AA14" s="87"/>
    </row>
    <row r="15" ht="12.5" spans="1:27">
      <c r="A15" t="s">
        <v>14</v>
      </c>
      <c r="B15" t="s">
        <v>4</v>
      </c>
      <c r="C15"/>
      <c r="D15"/>
      <c r="E15"/>
      <c r="F15"/>
      <c r="G15"/>
      <c r="H15"/>
      <c r="I15"/>
      <c r="J15"/>
      <c r="K15"/>
      <c r="L15"/>
      <c r="M15"/>
      <c r="N15"/>
      <c r="O15"/>
      <c r="P15"/>
      <c r="Q15"/>
      <c r="R15"/>
      <c r="S15"/>
      <c r="T15"/>
      <c r="U15"/>
      <c r="V15" s="87"/>
      <c r="W15" s="87"/>
      <c r="X15" s="87"/>
      <c r="Y15" s="87"/>
      <c r="Z15" s="87"/>
      <c r="AA15" s="87"/>
    </row>
    <row r="16" ht="12.5" spans="1:27">
      <c r="A16" t="s">
        <v>15</v>
      </c>
      <c r="B16" t="s">
        <v>4</v>
      </c>
      <c r="C16"/>
      <c r="D16"/>
      <c r="E16"/>
      <c r="F16"/>
      <c r="G16"/>
      <c r="H16"/>
      <c r="I16"/>
      <c r="J16"/>
      <c r="K16"/>
      <c r="L16"/>
      <c r="M16"/>
      <c r="N16"/>
      <c r="O16"/>
      <c r="P16"/>
      <c r="Q16"/>
      <c r="R16"/>
      <c r="S16"/>
      <c r="T16"/>
      <c r="U16"/>
      <c r="V16" s="87"/>
      <c r="W16" s="87"/>
      <c r="X16" s="87"/>
      <c r="Y16" s="87"/>
      <c r="Z16" s="87"/>
      <c r="AA16" s="87"/>
    </row>
    <row r="17" ht="12.5" spans="1:27">
      <c r="A17" t="s">
        <v>16</v>
      </c>
      <c r="B17" t="s">
        <v>4</v>
      </c>
      <c r="C17"/>
      <c r="D17"/>
      <c r="E17"/>
      <c r="F17"/>
      <c r="G17"/>
      <c r="H17"/>
      <c r="I17"/>
      <c r="J17"/>
      <c r="K17"/>
      <c r="L17"/>
      <c r="M17"/>
      <c r="N17"/>
      <c r="O17"/>
      <c r="P17"/>
      <c r="Q17"/>
      <c r="R17"/>
      <c r="S17"/>
      <c r="T17"/>
      <c r="U17"/>
      <c r="V17" s="87"/>
      <c r="W17" s="87"/>
      <c r="X17" s="87"/>
      <c r="Y17" s="87"/>
      <c r="Z17" s="87"/>
      <c r="AA17" s="87"/>
    </row>
    <row r="18" ht="12.5" spans="1:27">
      <c r="A18" t="s">
        <v>17</v>
      </c>
      <c r="B18" t="s">
        <v>4</v>
      </c>
      <c r="C18"/>
      <c r="D18"/>
      <c r="E18"/>
      <c r="F18"/>
      <c r="G18"/>
      <c r="H18"/>
      <c r="I18"/>
      <c r="J18"/>
      <c r="K18"/>
      <c r="L18"/>
      <c r="M18"/>
      <c r="N18"/>
      <c r="O18"/>
      <c r="P18"/>
      <c r="Q18"/>
      <c r="R18"/>
      <c r="S18"/>
      <c r="T18"/>
      <c r="U18"/>
      <c r="V18" s="87"/>
      <c r="W18" s="87"/>
      <c r="X18" s="87"/>
      <c r="Y18" s="87"/>
      <c r="Z18" s="87"/>
      <c r="AA18" s="87"/>
    </row>
    <row r="19" ht="12.5" spans="1:27">
      <c r="A19" t="s">
        <v>18</v>
      </c>
      <c r="B19" t="s">
        <v>4</v>
      </c>
      <c r="C19"/>
      <c r="D19"/>
      <c r="E19"/>
      <c r="F19"/>
      <c r="G19"/>
      <c r="H19"/>
      <c r="I19"/>
      <c r="J19"/>
      <c r="K19"/>
      <c r="L19"/>
      <c r="M19"/>
      <c r="N19"/>
      <c r="O19"/>
      <c r="P19"/>
      <c r="Q19"/>
      <c r="R19"/>
      <c r="S19"/>
      <c r="T19"/>
      <c r="U19"/>
      <c r="V19" s="87"/>
      <c r="W19" s="87"/>
      <c r="X19" s="87"/>
      <c r="Y19" s="87"/>
      <c r="Z19" s="87"/>
      <c r="AA19" s="87"/>
    </row>
    <row r="20" ht="12.5" spans="1:27">
      <c r="A20" t="s">
        <v>19</v>
      </c>
      <c r="B20" t="s">
        <v>4</v>
      </c>
      <c r="C20"/>
      <c r="D20"/>
      <c r="E20"/>
      <c r="F20"/>
      <c r="G20"/>
      <c r="H20"/>
      <c r="I20"/>
      <c r="J20"/>
      <c r="K20"/>
      <c r="L20"/>
      <c r="M20"/>
      <c r="N20"/>
      <c r="O20"/>
      <c r="P20"/>
      <c r="Q20"/>
      <c r="R20"/>
      <c r="S20"/>
      <c r="T20"/>
      <c r="U20"/>
      <c r="V20" s="87"/>
      <c r="W20" s="87"/>
      <c r="X20" s="87"/>
      <c r="Y20" s="87"/>
      <c r="Z20" s="87"/>
      <c r="AA20" s="87"/>
    </row>
    <row r="21" ht="12.5" spans="1:27">
      <c r="A21" t="s">
        <v>20</v>
      </c>
      <c r="B21" t="s">
        <v>4</v>
      </c>
      <c r="C21"/>
      <c r="D21"/>
      <c r="E21"/>
      <c r="F21"/>
      <c r="G21"/>
      <c r="H21"/>
      <c r="I21"/>
      <c r="J21"/>
      <c r="K21"/>
      <c r="L21"/>
      <c r="M21"/>
      <c r="N21"/>
      <c r="O21"/>
      <c r="P21"/>
      <c r="Q21"/>
      <c r="R21"/>
      <c r="S21"/>
      <c r="T21"/>
      <c r="U21"/>
      <c r="V21" s="87"/>
      <c r="W21" s="87"/>
      <c r="X21" s="87"/>
      <c r="Y21" s="87"/>
      <c r="Z21" s="87"/>
      <c r="AA21" s="87"/>
    </row>
    <row r="22" ht="12.5" spans="1:27">
      <c r="A22" t="s">
        <v>21</v>
      </c>
      <c r="B22" t="s">
        <v>4</v>
      </c>
      <c r="C22"/>
      <c r="D22"/>
      <c r="E22"/>
      <c r="F22"/>
      <c r="G22"/>
      <c r="H22"/>
      <c r="I22"/>
      <c r="J22"/>
      <c r="K22"/>
      <c r="L22"/>
      <c r="M22"/>
      <c r="N22"/>
      <c r="O22"/>
      <c r="P22"/>
      <c r="Q22"/>
      <c r="R22"/>
      <c r="S22"/>
      <c r="T22"/>
      <c r="U22"/>
      <c r="V22" s="87"/>
      <c r="W22" s="87"/>
      <c r="X22" s="87"/>
      <c r="Y22" s="87"/>
      <c r="Z22" s="87"/>
      <c r="AA22" s="87"/>
    </row>
    <row r="23" ht="12.5" spans="1:27">
      <c r="A23" t="s">
        <v>22</v>
      </c>
      <c r="B23" t="s">
        <v>4</v>
      </c>
      <c r="C23"/>
      <c r="D23"/>
      <c r="E23"/>
      <c r="F23"/>
      <c r="G23"/>
      <c r="H23"/>
      <c r="I23"/>
      <c r="J23"/>
      <c r="K23"/>
      <c r="L23"/>
      <c r="M23"/>
      <c r="N23"/>
      <c r="O23"/>
      <c r="P23"/>
      <c r="Q23"/>
      <c r="R23"/>
      <c r="S23"/>
      <c r="T23"/>
      <c r="U23"/>
      <c r="V23" s="87"/>
      <c r="W23" s="87"/>
      <c r="X23" s="87"/>
      <c r="Y23" s="87"/>
      <c r="Z23" s="87"/>
      <c r="AA23" s="87"/>
    </row>
    <row r="24" ht="12.5" spans="1:27">
      <c r="A24" t="s">
        <v>23</v>
      </c>
      <c r="B24" t="s">
        <v>4</v>
      </c>
      <c r="C24"/>
      <c r="D24"/>
      <c r="E24"/>
      <c r="F24"/>
      <c r="G24"/>
      <c r="H24"/>
      <c r="I24"/>
      <c r="J24"/>
      <c r="K24"/>
      <c r="L24"/>
      <c r="M24"/>
      <c r="N24"/>
      <c r="O24"/>
      <c r="P24"/>
      <c r="Q24"/>
      <c r="R24"/>
      <c r="S24"/>
      <c r="T24"/>
      <c r="U24"/>
      <c r="V24" s="87"/>
      <c r="W24" s="87"/>
      <c r="X24" s="87"/>
      <c r="Y24" s="87"/>
      <c r="Z24" s="87"/>
      <c r="AA24" s="87"/>
    </row>
    <row r="25" ht="12.5" spans="1:27">
      <c r="A25" t="s">
        <v>24</v>
      </c>
      <c r="B25" t="s">
        <v>4</v>
      </c>
      <c r="C25"/>
      <c r="D25"/>
      <c r="E25"/>
      <c r="F25"/>
      <c r="G25"/>
      <c r="H25"/>
      <c r="I25"/>
      <c r="J25"/>
      <c r="K25"/>
      <c r="L25"/>
      <c r="M25"/>
      <c r="N25"/>
      <c r="O25"/>
      <c r="P25"/>
      <c r="Q25"/>
      <c r="R25"/>
      <c r="S25"/>
      <c r="T25"/>
      <c r="U25"/>
      <c r="V25" s="87"/>
      <c r="W25" s="87"/>
      <c r="X25" s="87"/>
      <c r="Y25" s="87"/>
      <c r="Z25" s="87"/>
      <c r="AA25" s="87"/>
    </row>
    <row r="26" ht="12.5" spans="1:27">
      <c r="A26" t="s">
        <v>25</v>
      </c>
      <c r="B26" t="s">
        <v>4</v>
      </c>
      <c r="C26"/>
      <c r="D26"/>
      <c r="E26"/>
      <c r="F26"/>
      <c r="G26"/>
      <c r="H26"/>
      <c r="I26"/>
      <c r="J26"/>
      <c r="K26"/>
      <c r="L26"/>
      <c r="M26"/>
      <c r="N26"/>
      <c r="O26"/>
      <c r="P26"/>
      <c r="Q26"/>
      <c r="R26"/>
      <c r="S26"/>
      <c r="T26"/>
      <c r="U26"/>
      <c r="V26" s="87"/>
      <c r="W26" s="87"/>
      <c r="X26" s="87"/>
      <c r="Y26" s="87"/>
      <c r="Z26" s="87"/>
      <c r="AA26" s="87"/>
    </row>
    <row r="27" ht="12.5" spans="1:27">
      <c r="A27" t="s">
        <v>26</v>
      </c>
      <c r="B27" t="s">
        <v>4</v>
      </c>
      <c r="C27"/>
      <c r="D27"/>
      <c r="E27"/>
      <c r="F27"/>
      <c r="G27"/>
      <c r="H27"/>
      <c r="I27"/>
      <c r="J27"/>
      <c r="K27"/>
      <c r="L27"/>
      <c r="M27"/>
      <c r="N27"/>
      <c r="O27"/>
      <c r="P27"/>
      <c r="Q27"/>
      <c r="R27"/>
      <c r="S27"/>
      <c r="T27"/>
      <c r="U27"/>
      <c r="V27" s="87"/>
      <c r="W27" s="87"/>
      <c r="X27" s="87"/>
      <c r="Y27" s="87"/>
      <c r="Z27" s="87"/>
      <c r="AA27" s="87"/>
    </row>
    <row r="28" ht="12.5" spans="1:27">
      <c r="A28" t="s">
        <v>27</v>
      </c>
      <c r="B28" t="s">
        <v>4</v>
      </c>
      <c r="C28"/>
      <c r="D28"/>
      <c r="E28"/>
      <c r="F28"/>
      <c r="G28"/>
      <c r="H28"/>
      <c r="I28"/>
      <c r="J28"/>
      <c r="K28"/>
      <c r="L28"/>
      <c r="M28"/>
      <c r="N28"/>
      <c r="O28"/>
      <c r="P28"/>
      <c r="Q28"/>
      <c r="R28"/>
      <c r="S28"/>
      <c r="T28"/>
      <c r="U28"/>
      <c r="V28" s="87"/>
      <c r="W28" s="87"/>
      <c r="X28" s="87"/>
      <c r="Y28" s="87"/>
      <c r="Z28" s="87"/>
      <c r="AA28" s="87"/>
    </row>
    <row r="29" ht="12.5" spans="1:27">
      <c r="A29" t="s">
        <v>28</v>
      </c>
      <c r="B29" t="s">
        <v>4</v>
      </c>
      <c r="C29"/>
      <c r="D29"/>
      <c r="E29"/>
      <c r="F29"/>
      <c r="G29"/>
      <c r="H29"/>
      <c r="I29"/>
      <c r="J29"/>
      <c r="K29"/>
      <c r="L29"/>
      <c r="M29"/>
      <c r="N29"/>
      <c r="O29"/>
      <c r="P29"/>
      <c r="Q29"/>
      <c r="R29"/>
      <c r="S29"/>
      <c r="T29"/>
      <c r="U29"/>
      <c r="V29" s="87"/>
      <c r="W29" s="87"/>
      <c r="X29" s="87"/>
      <c r="Y29" s="87"/>
      <c r="Z29" s="87"/>
      <c r="AA29" s="87"/>
    </row>
    <row r="30" ht="12.5" spans="1:27">
      <c r="A30" t="s">
        <v>29</v>
      </c>
      <c r="B30" t="s">
        <v>4</v>
      </c>
      <c r="H30" s="87"/>
      <c r="I30" s="87"/>
      <c r="J30" s="87"/>
      <c r="K30" s="87"/>
      <c r="L30" s="87"/>
      <c r="M30" s="87"/>
      <c r="N30" s="87"/>
      <c r="O30" s="87"/>
      <c r="P30" s="87"/>
      <c r="Q30" s="87"/>
      <c r="R30" s="87"/>
      <c r="S30" s="87"/>
      <c r="T30" s="87"/>
      <c r="U30" s="87"/>
      <c r="V30" s="87"/>
      <c r="W30" s="87"/>
      <c r="X30" s="87"/>
      <c r="Y30" s="87"/>
      <c r="Z30" s="87"/>
      <c r="AA30" s="87"/>
    </row>
    <row r="31" ht="12.5" spans="1:27">
      <c r="A31" t="s">
        <v>30</v>
      </c>
      <c r="B31" t="s">
        <v>4</v>
      </c>
      <c r="H31" s="87"/>
      <c r="I31" s="87"/>
      <c r="J31" s="87"/>
      <c r="K31" s="87"/>
      <c r="L31" s="87"/>
      <c r="M31" s="87"/>
      <c r="N31" s="87"/>
      <c r="O31" s="87"/>
      <c r="P31" s="87"/>
      <c r="Q31" s="87"/>
      <c r="R31" s="87"/>
      <c r="S31" s="87"/>
      <c r="T31" s="87"/>
      <c r="U31" s="87"/>
      <c r="V31" s="87"/>
      <c r="W31" s="87"/>
      <c r="X31" s="87"/>
      <c r="Y31" s="87"/>
      <c r="Z31" s="87"/>
      <c r="AA31" s="87"/>
    </row>
    <row r="32" ht="12.5" spans="1:27">
      <c r="A32" t="s">
        <v>31</v>
      </c>
      <c r="B32" t="s">
        <v>4</v>
      </c>
      <c r="H32" s="87"/>
      <c r="I32" s="87"/>
      <c r="J32" s="87"/>
      <c r="K32" s="87"/>
      <c r="L32" s="87"/>
      <c r="M32" s="87"/>
      <c r="N32" s="87"/>
      <c r="O32" s="87"/>
      <c r="P32" s="87"/>
      <c r="Q32" s="87"/>
      <c r="R32" s="87"/>
      <c r="S32" s="87"/>
      <c r="T32" s="87"/>
      <c r="U32" s="87"/>
      <c r="V32" s="87"/>
      <c r="W32" s="87"/>
      <c r="X32" s="87"/>
      <c r="Y32" s="87"/>
      <c r="Z32" s="87"/>
      <c r="AA32" s="87"/>
    </row>
    <row r="33" ht="12.5" spans="1:27">
      <c r="A33" t="s">
        <v>32</v>
      </c>
      <c r="B33" t="s">
        <v>4</v>
      </c>
      <c r="H33" s="87"/>
      <c r="I33" s="87"/>
      <c r="J33" s="87"/>
      <c r="K33" s="87"/>
      <c r="L33" s="87"/>
      <c r="M33" s="87"/>
      <c r="N33" s="87"/>
      <c r="O33" s="87"/>
      <c r="P33" s="87"/>
      <c r="Q33" s="87"/>
      <c r="R33" s="87"/>
      <c r="S33" s="87"/>
      <c r="T33" s="87"/>
      <c r="U33" s="87"/>
      <c r="V33" s="87"/>
      <c r="W33" s="87"/>
      <c r="X33" s="87"/>
      <c r="Y33" s="87"/>
      <c r="Z33" s="87"/>
      <c r="AA33" s="87"/>
    </row>
    <row r="34" ht="12.5" spans="1:27">
      <c r="A34" t="s">
        <v>33</v>
      </c>
      <c r="B34" t="s">
        <v>4</v>
      </c>
      <c r="H34" s="87"/>
      <c r="I34" s="87"/>
      <c r="J34" s="87"/>
      <c r="K34" s="87"/>
      <c r="L34" s="87"/>
      <c r="M34" s="87"/>
      <c r="N34" s="87"/>
      <c r="O34" s="87"/>
      <c r="P34" s="87"/>
      <c r="Q34" s="87"/>
      <c r="R34" s="87"/>
      <c r="S34" s="87"/>
      <c r="T34" s="87"/>
      <c r="U34" s="87"/>
      <c r="V34" s="87"/>
      <c r="W34" s="87"/>
      <c r="X34" s="87"/>
      <c r="Y34" s="87"/>
      <c r="Z34" s="87"/>
      <c r="AA34" s="87"/>
    </row>
    <row r="35" ht="12.5" spans="1:27">
      <c r="A35" s="231" t="s">
        <v>34</v>
      </c>
      <c r="B35" t="s">
        <v>4</v>
      </c>
      <c r="H35" s="87"/>
      <c r="I35" s="87"/>
      <c r="J35" s="87"/>
      <c r="K35" s="87"/>
      <c r="L35" s="87"/>
      <c r="M35" s="87"/>
      <c r="N35" s="87"/>
      <c r="O35" s="87"/>
      <c r="P35" s="87"/>
      <c r="Q35" s="87"/>
      <c r="R35" s="87"/>
      <c r="S35" s="87"/>
      <c r="T35" s="87"/>
      <c r="U35" s="87"/>
      <c r="V35" s="87"/>
      <c r="W35" s="87"/>
      <c r="X35" s="87"/>
      <c r="Y35" s="87"/>
      <c r="Z35" s="87"/>
      <c r="AA35" s="87"/>
    </row>
    <row r="36" ht="12.5" spans="1:27">
      <c r="A36" s="231" t="s">
        <v>35</v>
      </c>
      <c r="B36" t="s">
        <v>4</v>
      </c>
      <c r="H36" s="87"/>
      <c r="I36" s="87"/>
      <c r="J36" s="87"/>
      <c r="K36" s="87"/>
      <c r="L36" s="87"/>
      <c r="M36" s="87"/>
      <c r="N36" s="87"/>
      <c r="O36" s="87"/>
      <c r="P36" s="87"/>
      <c r="Q36" s="87"/>
      <c r="R36" s="87"/>
      <c r="S36" s="87"/>
      <c r="T36" s="87"/>
      <c r="U36" s="87"/>
      <c r="V36" s="87"/>
      <c r="W36" s="87"/>
      <c r="X36" s="87"/>
      <c r="Y36" s="87"/>
      <c r="Z36" s="87"/>
      <c r="AA36" s="87"/>
    </row>
    <row r="37" ht="12.5" spans="1:27">
      <c r="A37" s="231" t="s">
        <v>36</v>
      </c>
      <c r="B37" t="s">
        <v>4</v>
      </c>
      <c r="H37" s="87"/>
      <c r="I37" s="87"/>
      <c r="J37" s="87"/>
      <c r="K37" s="87"/>
      <c r="L37" s="87"/>
      <c r="M37" s="87"/>
      <c r="N37" s="87"/>
      <c r="O37" s="87"/>
      <c r="P37" s="87"/>
      <c r="Q37" s="87"/>
      <c r="R37" s="87"/>
      <c r="S37" s="87"/>
      <c r="T37" s="87"/>
      <c r="U37" s="87"/>
      <c r="V37" s="87"/>
      <c r="W37" s="87"/>
      <c r="X37" s="87"/>
      <c r="Y37" s="87"/>
      <c r="Z37" s="87"/>
      <c r="AA37" s="87"/>
    </row>
    <row r="38" ht="12.5" spans="1:27">
      <c r="A38" s="231" t="s">
        <v>37</v>
      </c>
      <c r="B38" t="s">
        <v>4</v>
      </c>
      <c r="H38" s="87"/>
      <c r="I38" s="87"/>
      <c r="J38" s="87"/>
      <c r="K38" s="87"/>
      <c r="L38" s="87"/>
      <c r="M38" s="87"/>
      <c r="N38" s="87"/>
      <c r="O38" s="87"/>
      <c r="P38" s="87"/>
      <c r="Q38" s="87"/>
      <c r="R38" s="87"/>
      <c r="S38" s="87"/>
      <c r="T38" s="87"/>
      <c r="U38" s="87"/>
      <c r="V38" s="87"/>
      <c r="W38" s="87"/>
      <c r="X38" s="87"/>
      <c r="Y38" s="87"/>
      <c r="Z38" s="87"/>
      <c r="AA38" s="87"/>
    </row>
    <row r="39" ht="12.5" spans="1:27">
      <c r="A39" s="231" t="s">
        <v>38</v>
      </c>
      <c r="B39" t="s">
        <v>4</v>
      </c>
      <c r="H39" s="87"/>
      <c r="I39" s="87"/>
      <c r="J39" s="87"/>
      <c r="K39" s="87"/>
      <c r="L39" s="87"/>
      <c r="M39" s="87"/>
      <c r="N39" s="87"/>
      <c r="O39" s="87"/>
      <c r="P39" s="87"/>
      <c r="Q39" s="87"/>
      <c r="R39" s="87"/>
      <c r="S39" s="87"/>
      <c r="T39" s="87"/>
      <c r="U39" s="87"/>
      <c r="V39" s="87"/>
      <c r="W39" s="87"/>
      <c r="X39" s="87"/>
      <c r="Y39" s="87"/>
      <c r="Z39" s="87"/>
      <c r="AA39" s="87"/>
    </row>
    <row r="40" spans="1:27">
      <c r="H40" s="87"/>
      <c r="I40" s="87"/>
      <c r="J40" s="87"/>
      <c r="K40" s="87"/>
      <c r="L40" s="87"/>
      <c r="M40" s="87"/>
      <c r="N40" s="87"/>
      <c r="O40" s="87"/>
      <c r="P40" s="87"/>
      <c r="Q40" s="87"/>
      <c r="R40" s="87"/>
      <c r="S40" s="87"/>
      <c r="T40" s="87"/>
      <c r="U40" s="87"/>
      <c r="V40" s="87"/>
      <c r="W40" s="87"/>
      <c r="X40" s="87"/>
      <c r="Y40" s="87"/>
      <c r="Z40" s="87"/>
      <c r="AA40" s="87"/>
    </row>
    <row r="41" spans="1:27">
      <c r="H41" s="87"/>
      <c r="I41" s="87"/>
      <c r="J41" s="87"/>
      <c r="K41" s="87"/>
      <c r="L41" s="87"/>
      <c r="M41" s="87"/>
      <c r="N41" s="87"/>
      <c r="O41" s="87"/>
      <c r="P41" s="87"/>
      <c r="Q41" s="87"/>
      <c r="R41" s="87"/>
      <c r="S41" s="87"/>
      <c r="T41" s="87"/>
      <c r="U41" s="87"/>
      <c r="V41" s="87"/>
      <c r="W41" s="87"/>
      <c r="X41" s="87"/>
      <c r="Y41" s="87"/>
      <c r="Z41" s="87"/>
      <c r="AA41" s="87"/>
    </row>
    <row r="42" spans="1:27">
      <c r="H42" s="87"/>
      <c r="I42" s="87"/>
      <c r="J42" s="87"/>
      <c r="K42" s="87"/>
      <c r="L42" s="87"/>
      <c r="M42" s="87"/>
      <c r="N42" s="87"/>
      <c r="O42" s="87"/>
      <c r="P42" s="87"/>
      <c r="Q42" s="87"/>
      <c r="R42" s="87"/>
      <c r="S42" s="87"/>
      <c r="T42" s="87"/>
      <c r="U42" s="87"/>
      <c r="V42" s="87"/>
      <c r="W42" s="87"/>
      <c r="X42" s="87"/>
      <c r="Y42" s="87"/>
      <c r="Z42" s="87"/>
      <c r="AA42" s="87"/>
    </row>
    <row r="43" spans="1:27">
      <c r="H43" s="87"/>
      <c r="I43" s="87"/>
      <c r="J43" s="87"/>
      <c r="K43" s="87"/>
      <c r="L43" s="87"/>
      <c r="M43" s="87"/>
      <c r="N43" s="87"/>
      <c r="O43" s="87"/>
      <c r="P43" s="87"/>
      <c r="Q43" s="87"/>
      <c r="R43" s="87"/>
      <c r="S43" s="87"/>
      <c r="T43" s="87"/>
      <c r="U43" s="87"/>
      <c r="V43" s="87"/>
      <c r="W43" s="87"/>
      <c r="X43" s="87"/>
      <c r="Y43" s="87"/>
      <c r="Z43" s="87"/>
      <c r="AA43" s="87"/>
    </row>
    <row r="44" spans="1:27">
      <c r="H44" s="87"/>
      <c r="I44" s="87"/>
      <c r="J44" s="87"/>
      <c r="K44" s="87"/>
      <c r="L44" s="87"/>
      <c r="M44" s="87"/>
      <c r="N44" s="87"/>
      <c r="O44" s="87"/>
      <c r="P44" s="87"/>
      <c r="Q44" s="87"/>
      <c r="R44" s="87"/>
      <c r="S44" s="87"/>
      <c r="T44" s="87"/>
      <c r="U44" s="87"/>
      <c r="V44" s="87"/>
      <c r="W44" s="87"/>
      <c r="X44" s="87"/>
      <c r="Y44" s="87"/>
      <c r="Z44" s="87"/>
      <c r="AA44" s="87"/>
    </row>
    <row r="45" spans="1:27">
      <c r="H45" s="87"/>
      <c r="I45" s="87"/>
      <c r="J45" s="87"/>
      <c r="K45" s="87"/>
      <c r="L45" s="87"/>
      <c r="M45" s="87"/>
      <c r="N45" s="87"/>
      <c r="O45" s="87"/>
      <c r="P45" s="87"/>
      <c r="Q45" s="87"/>
      <c r="R45" s="87"/>
      <c r="S45" s="87"/>
      <c r="T45" s="87"/>
      <c r="U45" s="87"/>
      <c r="V45" s="87"/>
      <c r="W45" s="87"/>
      <c r="X45" s="87"/>
      <c r="Y45" s="87"/>
      <c r="Z45" s="87"/>
      <c r="AA45" s="87"/>
    </row>
    <row r="46" spans="1:27">
      <c r="H46" s="87"/>
      <c r="I46" s="87"/>
      <c r="J46" s="87"/>
      <c r="K46" s="87"/>
      <c r="L46" s="87"/>
      <c r="M46" s="87"/>
      <c r="N46" s="87"/>
      <c r="O46" s="87"/>
      <c r="P46" s="87"/>
      <c r="Q46" s="87"/>
      <c r="R46" s="87"/>
      <c r="S46" s="87"/>
      <c r="T46" s="87"/>
      <c r="U46" s="87"/>
      <c r="V46" s="87"/>
      <c r="W46" s="87"/>
      <c r="X46" s="87"/>
      <c r="Y46" s="87"/>
      <c r="Z46" s="87"/>
      <c r="AA46" s="87"/>
    </row>
    <row r="47" spans="1:27">
      <c r="H47" s="87"/>
      <c r="I47" s="87"/>
      <c r="J47" s="87"/>
      <c r="K47" s="87"/>
      <c r="L47" s="87"/>
      <c r="M47" s="87"/>
      <c r="N47" s="87"/>
      <c r="O47" s="87"/>
      <c r="P47" s="87"/>
      <c r="Q47" s="87"/>
      <c r="R47" s="87"/>
      <c r="S47" s="87"/>
      <c r="T47" s="87"/>
      <c r="U47" s="87"/>
      <c r="V47" s="87"/>
      <c r="W47" s="87"/>
      <c r="X47" s="87"/>
      <c r="Y47" s="87"/>
      <c r="Z47" s="87"/>
      <c r="AA47" s="87"/>
    </row>
    <row r="48" spans="1:27">
      <c r="H48" s="87"/>
      <c r="I48" s="87"/>
      <c r="J48" s="87"/>
      <c r="K48" s="87"/>
      <c r="L48" s="87"/>
      <c r="M48" s="87"/>
      <c r="N48" s="87"/>
      <c r="O48" s="87"/>
      <c r="P48" s="87"/>
      <c r="Q48" s="87"/>
      <c r="R48" s="87"/>
      <c r="S48" s="87"/>
      <c r="T48" s="87"/>
      <c r="U48" s="87"/>
      <c r="V48" s="87"/>
      <c r="W48" s="87"/>
      <c r="X48" s="87"/>
      <c r="Y48" s="87"/>
      <c r="Z48" s="87"/>
      <c r="AA48" s="87"/>
    </row>
    <row r="49" spans="8:27">
      <c r="H49" s="87"/>
      <c r="I49" s="87"/>
      <c r="J49" s="87"/>
      <c r="K49" s="87"/>
      <c r="L49" s="87"/>
      <c r="M49" s="87"/>
      <c r="N49" s="87"/>
      <c r="O49" s="87"/>
      <c r="P49" s="87"/>
      <c r="Q49" s="87"/>
      <c r="R49" s="87"/>
      <c r="S49" s="87"/>
      <c r="T49" s="87"/>
      <c r="U49" s="87"/>
      <c r="V49" s="87"/>
      <c r="W49" s="87"/>
      <c r="X49" s="87"/>
      <c r="Y49" s="87"/>
      <c r="Z49" s="87"/>
      <c r="AA49" s="87"/>
    </row>
    <row r="50" spans="8:27">
      <c r="H50" s="87"/>
      <c r="I50" s="87"/>
      <c r="J50" s="87"/>
      <c r="K50" s="87"/>
      <c r="L50" s="87"/>
      <c r="M50" s="87"/>
      <c r="N50" s="87"/>
      <c r="O50" s="87"/>
      <c r="P50" s="87"/>
      <c r="Q50" s="87"/>
      <c r="R50" s="87"/>
      <c r="S50" s="87"/>
      <c r="T50" s="87"/>
      <c r="U50" s="87"/>
      <c r="V50" s="87"/>
      <c r="W50" s="87"/>
      <c r="X50" s="87"/>
      <c r="Y50" s="87"/>
      <c r="Z50" s="87"/>
      <c r="AA50" s="87"/>
    </row>
    <row r="51" spans="8:27">
      <c r="H51" s="87"/>
      <c r="I51" s="87"/>
      <c r="J51" s="87"/>
      <c r="K51" s="87"/>
      <c r="L51" s="87"/>
      <c r="M51" s="87"/>
      <c r="N51" s="87"/>
      <c r="O51" s="87"/>
      <c r="P51" s="87"/>
      <c r="Q51" s="87"/>
      <c r="R51" s="87"/>
      <c r="S51" s="87"/>
      <c r="T51" s="87"/>
      <c r="U51" s="87"/>
      <c r="V51" s="87"/>
      <c r="W51" s="87"/>
      <c r="X51" s="87"/>
      <c r="Y51" s="87"/>
      <c r="Z51" s="87"/>
      <c r="AA51" s="87"/>
    </row>
    <row r="52" spans="8:27">
      <c r="H52" s="87"/>
      <c r="I52" s="87"/>
      <c r="J52" s="87"/>
      <c r="K52" s="87"/>
      <c r="L52" s="87"/>
      <c r="M52" s="87"/>
      <c r="N52" s="87"/>
      <c r="O52" s="87"/>
      <c r="P52" s="87"/>
      <c r="Q52" s="87"/>
      <c r="R52" s="87"/>
      <c r="S52" s="87"/>
      <c r="T52" s="87"/>
      <c r="U52" s="87"/>
      <c r="V52" s="87"/>
      <c r="W52" s="87"/>
      <c r="X52" s="87"/>
      <c r="Y52" s="87"/>
      <c r="Z52" s="87"/>
      <c r="AA52" s="87"/>
    </row>
    <row r="53" spans="8:27">
      <c r="H53" s="87"/>
      <c r="I53" s="87"/>
      <c r="J53" s="87"/>
      <c r="K53" s="87"/>
      <c r="L53" s="87"/>
      <c r="M53" s="87"/>
      <c r="N53" s="87"/>
      <c r="O53" s="87"/>
      <c r="P53" s="87"/>
      <c r="Q53" s="87"/>
      <c r="R53" s="87"/>
      <c r="S53" s="87"/>
      <c r="T53" s="87"/>
      <c r="U53" s="87"/>
      <c r="V53" s="87"/>
      <c r="W53" s="87"/>
      <c r="X53" s="87"/>
      <c r="Y53" s="87"/>
      <c r="Z53" s="87"/>
      <c r="AA53" s="87"/>
    </row>
    <row r="54" spans="8:27">
      <c r="H54" s="87"/>
      <c r="I54" s="87"/>
      <c r="J54" s="87"/>
      <c r="K54" s="87"/>
      <c r="L54" s="87"/>
      <c r="M54" s="87"/>
      <c r="N54" s="87"/>
      <c r="O54" s="87"/>
      <c r="P54" s="87"/>
      <c r="Q54" s="87"/>
      <c r="R54" s="87"/>
      <c r="S54" s="87"/>
      <c r="T54" s="87"/>
      <c r="U54" s="87"/>
      <c r="V54" s="87"/>
      <c r="W54" s="87"/>
      <c r="X54" s="87"/>
      <c r="Y54" s="87"/>
      <c r="Z54" s="87"/>
      <c r="AA54" s="87"/>
    </row>
    <row r="55" spans="8:27">
      <c r="H55" s="87"/>
      <c r="I55" s="87"/>
      <c r="J55" s="87"/>
      <c r="K55" s="87"/>
      <c r="L55" s="87"/>
      <c r="M55" s="87"/>
      <c r="N55" s="87"/>
      <c r="O55" s="87"/>
      <c r="P55" s="87"/>
      <c r="Q55" s="87"/>
      <c r="R55" s="87"/>
      <c r="S55" s="87"/>
      <c r="T55" s="87"/>
      <c r="U55" s="87"/>
      <c r="V55" s="87"/>
      <c r="W55" s="87"/>
      <c r="X55" s="87"/>
      <c r="Y55" s="87"/>
      <c r="Z55" s="87"/>
      <c r="AA55" s="87"/>
    </row>
    <row r="56" spans="8:27">
      <c r="H56" s="87"/>
      <c r="I56" s="87"/>
      <c r="J56" s="87"/>
      <c r="K56" s="87"/>
      <c r="L56" s="87"/>
      <c r="M56" s="87"/>
      <c r="N56" s="87"/>
      <c r="O56" s="87"/>
      <c r="P56" s="87"/>
      <c r="Q56" s="87"/>
      <c r="R56" s="87"/>
      <c r="S56" s="87"/>
      <c r="T56" s="87"/>
      <c r="U56" s="87"/>
      <c r="V56" s="87"/>
      <c r="W56" s="87"/>
      <c r="X56" s="87"/>
      <c r="Y56" s="87"/>
      <c r="Z56" s="87"/>
      <c r="AA56" s="87"/>
    </row>
    <row r="57" spans="8:27">
      <c r="H57" s="87"/>
      <c r="I57" s="87"/>
      <c r="J57" s="87"/>
      <c r="K57" s="87"/>
      <c r="L57" s="87"/>
      <c r="M57" s="87"/>
      <c r="N57" s="87"/>
      <c r="O57" s="87"/>
      <c r="P57" s="87"/>
      <c r="Q57" s="87"/>
      <c r="R57" s="87"/>
      <c r="S57" s="87"/>
      <c r="T57" s="87"/>
      <c r="U57" s="87"/>
      <c r="V57" s="87"/>
      <c r="W57" s="87"/>
      <c r="X57" s="87"/>
      <c r="Y57" s="87"/>
      <c r="Z57" s="87"/>
      <c r="AA57" s="87"/>
    </row>
    <row r="58" spans="8:27">
      <c r="H58" s="87"/>
      <c r="I58" s="87"/>
      <c r="J58" s="87"/>
      <c r="K58" s="87"/>
      <c r="L58" s="87"/>
      <c r="M58" s="87"/>
      <c r="N58" s="87"/>
      <c r="O58" s="87"/>
      <c r="P58" s="87"/>
      <c r="Q58" s="87"/>
      <c r="R58" s="87"/>
      <c r="S58" s="87"/>
      <c r="T58" s="87"/>
      <c r="U58" s="87"/>
      <c r="V58" s="87"/>
      <c r="W58" s="87"/>
      <c r="X58" s="87"/>
      <c r="Y58" s="87"/>
      <c r="Z58" s="87"/>
      <c r="AA58" s="87"/>
    </row>
    <row r="59" spans="8:27">
      <c r="H59" s="87"/>
      <c r="I59" s="87"/>
      <c r="J59" s="87"/>
      <c r="K59" s="87"/>
      <c r="L59" s="87"/>
      <c r="M59" s="87"/>
      <c r="N59" s="87"/>
      <c r="O59" s="87"/>
      <c r="P59" s="87"/>
      <c r="Q59" s="87"/>
      <c r="R59" s="87"/>
      <c r="S59" s="87"/>
      <c r="T59" s="87"/>
      <c r="U59" s="87"/>
      <c r="V59" s="87"/>
      <c r="W59" s="87"/>
      <c r="X59" s="87"/>
      <c r="Y59" s="87"/>
      <c r="Z59" s="87"/>
      <c r="AA59" s="87"/>
    </row>
    <row r="60" spans="8:27">
      <c r="H60" s="87"/>
      <c r="I60" s="87"/>
      <c r="J60" s="87"/>
      <c r="K60" s="87"/>
      <c r="L60" s="87"/>
      <c r="M60" s="87"/>
      <c r="N60" s="87"/>
      <c r="O60" s="87"/>
      <c r="P60" s="87"/>
      <c r="Q60" s="87"/>
      <c r="R60" s="87"/>
      <c r="S60" s="87"/>
      <c r="T60" s="87"/>
      <c r="U60" s="87"/>
      <c r="V60" s="87"/>
      <c r="W60" s="87"/>
      <c r="X60" s="87"/>
      <c r="Y60" s="87"/>
      <c r="Z60" s="87"/>
      <c r="AA60" s="87"/>
    </row>
    <row r="61" spans="8:27">
      <c r="H61" s="87"/>
      <c r="I61" s="87"/>
      <c r="J61" s="87"/>
      <c r="K61" s="87"/>
      <c r="L61" s="87"/>
      <c r="M61" s="87"/>
      <c r="N61" s="87"/>
      <c r="O61" s="87"/>
      <c r="P61" s="87"/>
      <c r="Q61" s="87"/>
      <c r="R61" s="87"/>
      <c r="S61" s="87"/>
      <c r="T61" s="87"/>
      <c r="U61" s="87"/>
      <c r="V61" s="87"/>
      <c r="W61" s="87"/>
      <c r="X61" s="87"/>
      <c r="Y61" s="87"/>
      <c r="Z61" s="87"/>
      <c r="AA61" s="87"/>
    </row>
    <row r="62" spans="8:27">
      <c r="H62" s="87"/>
      <c r="I62" s="87"/>
      <c r="J62" s="87"/>
      <c r="K62" s="87"/>
      <c r="L62" s="87"/>
      <c r="M62" s="87"/>
      <c r="N62" s="87"/>
      <c r="O62" s="87"/>
      <c r="P62" s="87"/>
      <c r="Q62" s="87"/>
      <c r="R62" s="87"/>
      <c r="S62" s="87"/>
      <c r="T62" s="87"/>
      <c r="U62" s="87"/>
      <c r="V62" s="87"/>
      <c r="W62" s="87"/>
      <c r="X62" s="87"/>
      <c r="Y62" s="87"/>
      <c r="Z62" s="87"/>
      <c r="AA62" s="87"/>
    </row>
    <row r="63" spans="8:27">
      <c r="H63" s="87"/>
      <c r="I63" s="87"/>
      <c r="J63" s="87"/>
      <c r="K63" s="87"/>
      <c r="L63" s="87"/>
      <c r="M63" s="87"/>
      <c r="N63" s="87"/>
      <c r="O63" s="87"/>
      <c r="P63" s="87"/>
      <c r="Q63" s="87"/>
      <c r="R63" s="87"/>
      <c r="S63" s="87"/>
      <c r="T63" s="87"/>
      <c r="U63" s="87"/>
      <c r="V63" s="87"/>
      <c r="W63" s="87"/>
      <c r="X63" s="87"/>
      <c r="Y63" s="87"/>
      <c r="Z63" s="87"/>
      <c r="AA63" s="87"/>
    </row>
    <row r="64" spans="8:27">
      <c r="H64" s="87"/>
      <c r="I64" s="87"/>
      <c r="J64" s="87"/>
      <c r="K64" s="87"/>
      <c r="L64" s="87"/>
      <c r="M64" s="87"/>
      <c r="N64" s="87"/>
      <c r="O64" s="87"/>
      <c r="P64" s="87"/>
      <c r="Q64" s="87"/>
      <c r="R64" s="87"/>
      <c r="S64" s="87"/>
      <c r="T64" s="87"/>
      <c r="U64" s="87"/>
      <c r="V64" s="87"/>
      <c r="W64" s="87"/>
      <c r="X64" s="87"/>
      <c r="Y64" s="87"/>
      <c r="Z64" s="87"/>
      <c r="AA64" s="87"/>
    </row>
    <row r="65" spans="8:27">
      <c r="H65" s="87"/>
      <c r="I65" s="87"/>
      <c r="J65" s="87"/>
      <c r="K65" s="87"/>
      <c r="L65" s="87"/>
      <c r="M65" s="87"/>
      <c r="N65" s="87"/>
      <c r="O65" s="87"/>
      <c r="P65" s="87"/>
      <c r="Q65" s="87"/>
      <c r="R65" s="87"/>
      <c r="S65" s="87"/>
      <c r="T65" s="87"/>
      <c r="U65" s="87"/>
      <c r="V65" s="87"/>
      <c r="W65" s="87"/>
      <c r="X65" s="87"/>
      <c r="Y65" s="87"/>
      <c r="Z65" s="87"/>
      <c r="AA65" s="87"/>
    </row>
    <row r="66" spans="8:27">
      <c r="H66" s="87"/>
      <c r="I66" s="87"/>
      <c r="J66" s="87"/>
      <c r="K66" s="87"/>
      <c r="L66" s="87"/>
      <c r="M66" s="87"/>
      <c r="N66" s="87"/>
      <c r="O66" s="87"/>
      <c r="P66" s="87"/>
      <c r="Q66" s="87"/>
      <c r="R66" s="87"/>
      <c r="S66" s="87"/>
      <c r="T66" s="87"/>
      <c r="U66" s="87"/>
      <c r="V66" s="87"/>
      <c r="W66" s="87"/>
      <c r="X66" s="87"/>
      <c r="Y66" s="87"/>
      <c r="Z66" s="87"/>
      <c r="AA66" s="87"/>
    </row>
    <row r="67" spans="8:27">
      <c r="H67" s="87"/>
      <c r="I67" s="87"/>
      <c r="J67" s="87"/>
      <c r="K67" s="87"/>
      <c r="L67" s="87"/>
      <c r="M67" s="87"/>
      <c r="N67" s="87"/>
      <c r="O67" s="87"/>
      <c r="P67" s="87"/>
      <c r="Q67" s="87"/>
      <c r="R67" s="87"/>
      <c r="S67" s="87"/>
      <c r="T67" s="87"/>
      <c r="U67" s="87"/>
      <c r="V67" s="87"/>
      <c r="W67" s="87"/>
      <c r="X67" s="87"/>
      <c r="Y67" s="87"/>
      <c r="Z67" s="87"/>
      <c r="AA67" s="87"/>
    </row>
    <row r="68" spans="8:27">
      <c r="H68" s="87"/>
      <c r="I68" s="87"/>
      <c r="J68" s="87"/>
      <c r="K68" s="87"/>
      <c r="L68" s="87"/>
      <c r="M68" s="87"/>
      <c r="N68" s="87"/>
      <c r="O68" s="87"/>
      <c r="P68" s="87"/>
      <c r="Q68" s="87"/>
      <c r="R68" s="87"/>
      <c r="S68" s="87"/>
      <c r="T68" s="87"/>
      <c r="U68" s="87"/>
      <c r="V68" s="87"/>
      <c r="W68" s="87"/>
      <c r="X68" s="87"/>
      <c r="Y68" s="87"/>
      <c r="Z68" s="87"/>
      <c r="AA68" s="87"/>
    </row>
    <row r="69" spans="8:27">
      <c r="H69" s="87"/>
      <c r="I69" s="87"/>
      <c r="J69" s="87"/>
      <c r="K69" s="87"/>
      <c r="L69" s="87"/>
      <c r="M69" s="87"/>
      <c r="N69" s="87"/>
      <c r="O69" s="87"/>
      <c r="P69" s="87"/>
      <c r="Q69" s="87"/>
      <c r="R69" s="87"/>
      <c r="S69" s="87"/>
      <c r="T69" s="87"/>
      <c r="U69" s="87"/>
      <c r="V69" s="87"/>
      <c r="W69" s="87"/>
      <c r="X69" s="87"/>
      <c r="Y69" s="87"/>
      <c r="Z69" s="87"/>
      <c r="AA69" s="87"/>
    </row>
    <row r="70" spans="8:27">
      <c r="H70" s="87"/>
      <c r="I70" s="87"/>
      <c r="J70" s="87"/>
      <c r="K70" s="87"/>
      <c r="L70" s="87"/>
      <c r="M70" s="87"/>
      <c r="N70" s="87"/>
      <c r="O70" s="87"/>
      <c r="P70" s="87"/>
      <c r="Q70" s="87"/>
      <c r="R70" s="87"/>
      <c r="S70" s="87"/>
      <c r="T70" s="87"/>
      <c r="U70" s="87"/>
      <c r="V70" s="87"/>
      <c r="W70" s="87"/>
      <c r="X70" s="87"/>
      <c r="Y70" s="87"/>
      <c r="Z70" s="87"/>
      <c r="AA70" s="87"/>
    </row>
    <row r="71" spans="8:27">
      <c r="H71" s="87"/>
      <c r="I71" s="87"/>
      <c r="J71" s="87"/>
      <c r="K71" s="87"/>
      <c r="L71" s="87"/>
      <c r="M71" s="87"/>
      <c r="N71" s="87"/>
      <c r="O71" s="87"/>
      <c r="P71" s="87"/>
      <c r="Q71" s="87"/>
      <c r="R71" s="87"/>
      <c r="S71" s="87"/>
      <c r="T71" s="87"/>
      <c r="U71" s="87"/>
      <c r="V71" s="87"/>
      <c r="W71" s="87"/>
      <c r="X71" s="87"/>
      <c r="Y71" s="87"/>
      <c r="Z71" s="87"/>
      <c r="AA71" s="87"/>
    </row>
    <row r="72" spans="8:27">
      <c r="H72" s="87"/>
      <c r="I72" s="87"/>
      <c r="J72" s="87"/>
      <c r="K72" s="87"/>
      <c r="L72" s="87"/>
      <c r="M72" s="87"/>
      <c r="N72" s="87"/>
      <c r="O72" s="87"/>
      <c r="P72" s="87"/>
      <c r="Q72" s="87"/>
      <c r="R72" s="87"/>
      <c r="S72" s="87"/>
      <c r="T72" s="87"/>
      <c r="U72" s="87"/>
      <c r="V72" s="87"/>
      <c r="W72" s="87"/>
      <c r="X72" s="87"/>
      <c r="Y72" s="87"/>
      <c r="Z72" s="87"/>
      <c r="AA72" s="87"/>
    </row>
    <row r="73" spans="8:27">
      <c r="H73" s="87"/>
      <c r="I73" s="87"/>
      <c r="J73" s="87"/>
      <c r="K73" s="87"/>
      <c r="L73" s="87"/>
      <c r="M73" s="87"/>
      <c r="N73" s="87"/>
      <c r="O73" s="87"/>
      <c r="P73" s="87"/>
      <c r="Q73" s="87"/>
      <c r="R73" s="87"/>
      <c r="S73" s="87"/>
      <c r="T73" s="87"/>
      <c r="U73" s="87"/>
      <c r="V73" s="87"/>
      <c r="W73" s="87"/>
      <c r="X73" s="87"/>
      <c r="Y73" s="87"/>
      <c r="Z73" s="87"/>
      <c r="AA73" s="87"/>
    </row>
    <row r="74" spans="8:27">
      <c r="H74" s="87"/>
      <c r="I74" s="87"/>
      <c r="J74" s="87"/>
      <c r="K74" s="87"/>
      <c r="L74" s="87"/>
      <c r="M74" s="87"/>
      <c r="N74" s="87"/>
      <c r="O74" s="87"/>
      <c r="P74" s="87"/>
      <c r="Q74" s="87"/>
      <c r="R74" s="87"/>
      <c r="S74" s="87"/>
      <c r="T74" s="87"/>
      <c r="U74" s="87"/>
      <c r="V74" s="87"/>
      <c r="W74" s="87"/>
      <c r="X74" s="87"/>
      <c r="Y74" s="87"/>
      <c r="Z74" s="87"/>
      <c r="AA74" s="87"/>
    </row>
    <row r="75" spans="8:27">
      <c r="H75" s="87"/>
      <c r="I75" s="87"/>
      <c r="J75" s="87"/>
      <c r="K75" s="87"/>
      <c r="L75" s="87"/>
      <c r="M75" s="87"/>
      <c r="N75" s="87"/>
      <c r="O75" s="87"/>
      <c r="P75" s="87"/>
      <c r="Q75" s="87"/>
      <c r="R75" s="87"/>
      <c r="S75" s="87"/>
      <c r="T75" s="87"/>
      <c r="U75" s="87"/>
      <c r="V75" s="87"/>
      <c r="W75" s="87"/>
      <c r="X75" s="87"/>
      <c r="Y75" s="87"/>
      <c r="Z75" s="87"/>
      <c r="AA75" s="87"/>
    </row>
    <row r="76" spans="8:27">
      <c r="H76" s="87"/>
      <c r="I76" s="87"/>
      <c r="J76" s="87"/>
      <c r="K76" s="87"/>
      <c r="L76" s="87"/>
      <c r="M76" s="87"/>
      <c r="N76" s="87"/>
      <c r="O76" s="87"/>
      <c r="P76" s="87"/>
      <c r="Q76" s="87"/>
      <c r="R76" s="87"/>
      <c r="S76" s="87"/>
      <c r="T76" s="87"/>
      <c r="U76" s="87"/>
      <c r="V76" s="87"/>
      <c r="W76" s="87"/>
      <c r="X76" s="87"/>
      <c r="Y76" s="87"/>
      <c r="Z76" s="87"/>
      <c r="AA76" s="87"/>
    </row>
    <row r="77" spans="8:27">
      <c r="H77" s="87"/>
      <c r="I77" s="87"/>
      <c r="J77" s="87"/>
      <c r="K77" s="87"/>
      <c r="L77" s="87"/>
      <c r="M77" s="87"/>
      <c r="N77" s="87"/>
      <c r="O77" s="87"/>
      <c r="P77" s="87"/>
      <c r="Q77" s="87"/>
      <c r="R77" s="87"/>
      <c r="S77" s="87"/>
      <c r="T77" s="87"/>
      <c r="U77" s="87"/>
      <c r="V77" s="87"/>
      <c r="W77" s="87"/>
      <c r="X77" s="87"/>
      <c r="Y77" s="87"/>
      <c r="Z77" s="87"/>
      <c r="AA77" s="87"/>
    </row>
    <row r="78" spans="8:27">
      <c r="H78" s="87"/>
      <c r="I78" s="87"/>
      <c r="J78" s="87"/>
      <c r="K78" s="87"/>
      <c r="L78" s="87"/>
      <c r="M78" s="87"/>
      <c r="N78" s="87"/>
      <c r="O78" s="87"/>
      <c r="P78" s="87"/>
      <c r="Q78" s="87"/>
      <c r="R78" s="87"/>
      <c r="S78" s="87"/>
      <c r="T78" s="87"/>
      <c r="U78" s="87"/>
      <c r="V78" s="87"/>
      <c r="W78" s="87"/>
      <c r="X78" s="87"/>
      <c r="Y78" s="87"/>
      <c r="Z78" s="87"/>
      <c r="AA78" s="87"/>
    </row>
    <row r="79" spans="8:27">
      <c r="H79" s="87"/>
      <c r="I79" s="87"/>
      <c r="J79" s="87"/>
      <c r="K79" s="87"/>
      <c r="L79" s="87"/>
      <c r="M79" s="87"/>
      <c r="N79" s="87"/>
      <c r="O79" s="87"/>
      <c r="P79" s="87"/>
      <c r="Q79" s="87"/>
      <c r="R79" s="87"/>
      <c r="S79" s="87"/>
      <c r="T79" s="87"/>
      <c r="U79" s="87"/>
      <c r="V79" s="87"/>
      <c r="W79" s="87"/>
      <c r="X79" s="87"/>
      <c r="Y79" s="87"/>
      <c r="Z79" s="87"/>
      <c r="AA79" s="87"/>
    </row>
    <row r="80" spans="8:27">
      <c r="H80" s="87"/>
      <c r="I80" s="87"/>
      <c r="J80" s="87"/>
      <c r="K80" s="87"/>
      <c r="L80" s="87"/>
      <c r="M80" s="87"/>
      <c r="N80" s="87"/>
      <c r="O80" s="87"/>
      <c r="P80" s="87"/>
      <c r="Q80" s="87"/>
      <c r="R80" s="87"/>
      <c r="S80" s="87"/>
      <c r="T80" s="87"/>
      <c r="U80" s="87"/>
      <c r="V80" s="87"/>
      <c r="W80" s="87"/>
      <c r="X80" s="87"/>
      <c r="Y80" s="87"/>
      <c r="Z80" s="87"/>
      <c r="AA80" s="87"/>
    </row>
    <row r="81" spans="8:27">
      <c r="H81" s="87"/>
      <c r="I81" s="87"/>
      <c r="J81" s="87"/>
      <c r="K81" s="87"/>
      <c r="L81" s="87"/>
      <c r="M81" s="87"/>
      <c r="N81" s="87"/>
      <c r="O81" s="87"/>
      <c r="P81" s="87"/>
      <c r="Q81" s="87"/>
      <c r="R81" s="87"/>
      <c r="S81" s="87"/>
      <c r="T81" s="87"/>
      <c r="U81" s="87"/>
      <c r="V81" s="87"/>
      <c r="W81" s="87"/>
      <c r="X81" s="87"/>
      <c r="Y81" s="87"/>
      <c r="Z81" s="87"/>
      <c r="AA81" s="87"/>
    </row>
    <row r="82" spans="8:27">
      <c r="H82" s="87"/>
      <c r="I82" s="87"/>
      <c r="J82" s="87"/>
      <c r="K82" s="87"/>
      <c r="L82" s="87"/>
      <c r="M82" s="87"/>
      <c r="N82" s="87"/>
      <c r="O82" s="87"/>
      <c r="P82" s="87"/>
      <c r="Q82" s="87"/>
      <c r="R82" s="87"/>
      <c r="S82" s="87"/>
      <c r="T82" s="87"/>
      <c r="U82" s="87"/>
      <c r="V82" s="87"/>
      <c r="W82" s="87"/>
      <c r="X82" s="87"/>
      <c r="Y82" s="87"/>
      <c r="Z82" s="87"/>
      <c r="AA82" s="87"/>
    </row>
    <row r="83" spans="8:27">
      <c r="H83" s="87"/>
      <c r="I83" s="87"/>
      <c r="J83" s="87"/>
      <c r="K83" s="87"/>
      <c r="L83" s="87"/>
      <c r="M83" s="87"/>
      <c r="N83" s="87"/>
      <c r="O83" s="87"/>
      <c r="P83" s="87"/>
      <c r="Q83" s="87"/>
      <c r="R83" s="87"/>
      <c r="S83" s="87"/>
      <c r="T83" s="87"/>
      <c r="U83" s="87"/>
      <c r="V83" s="87"/>
      <c r="W83" s="87"/>
      <c r="X83" s="87"/>
      <c r="Y83" s="87"/>
      <c r="Z83" s="87"/>
      <c r="AA83" s="87"/>
    </row>
    <row r="84" spans="8:27">
      <c r="H84" s="87"/>
      <c r="I84" s="87"/>
      <c r="J84" s="87"/>
      <c r="K84" s="87"/>
      <c r="L84" s="87"/>
      <c r="M84" s="87"/>
      <c r="N84" s="87"/>
      <c r="O84" s="87"/>
      <c r="P84" s="87"/>
      <c r="Q84" s="87"/>
      <c r="R84" s="87"/>
      <c r="S84" s="87"/>
      <c r="T84" s="87"/>
      <c r="U84" s="87"/>
      <c r="V84" s="87"/>
      <c r="W84" s="87"/>
      <c r="X84" s="87"/>
      <c r="Y84" s="87"/>
      <c r="Z84" s="87"/>
      <c r="AA84" s="87"/>
    </row>
    <row r="85" spans="8:27">
      <c r="H85" s="87"/>
      <c r="I85" s="87"/>
      <c r="J85" s="87"/>
      <c r="K85" s="87"/>
      <c r="L85" s="87"/>
      <c r="M85" s="87"/>
      <c r="N85" s="87"/>
      <c r="O85" s="87"/>
      <c r="P85" s="87"/>
      <c r="Q85" s="87"/>
      <c r="R85" s="87"/>
      <c r="S85" s="87"/>
      <c r="T85" s="87"/>
      <c r="U85" s="87"/>
      <c r="V85" s="87"/>
      <c r="W85" s="87"/>
      <c r="X85" s="87"/>
      <c r="Y85" s="87"/>
      <c r="Z85" s="87"/>
      <c r="AA85" s="87"/>
    </row>
    <row r="86" spans="8:27">
      <c r="H86" s="87"/>
      <c r="I86" s="87"/>
      <c r="J86" s="87"/>
      <c r="K86" s="87"/>
      <c r="L86" s="87"/>
      <c r="M86" s="87"/>
      <c r="N86" s="87"/>
      <c r="O86" s="87"/>
      <c r="P86" s="87"/>
      <c r="Q86" s="87"/>
      <c r="R86" s="87"/>
      <c r="S86" s="87"/>
      <c r="T86" s="87"/>
      <c r="U86" s="87"/>
      <c r="V86" s="87"/>
      <c r="W86" s="87"/>
      <c r="X86" s="87"/>
      <c r="Y86" s="87"/>
      <c r="Z86" s="87"/>
      <c r="AA86" s="87"/>
    </row>
    <row r="87" spans="8:27">
      <c r="H87" s="87"/>
      <c r="I87" s="87"/>
      <c r="J87" s="87"/>
      <c r="K87" s="87"/>
      <c r="L87" s="87"/>
      <c r="M87" s="87"/>
      <c r="N87" s="87"/>
      <c r="O87" s="87"/>
      <c r="P87" s="87"/>
      <c r="Q87" s="87"/>
      <c r="R87" s="87"/>
      <c r="S87" s="87"/>
      <c r="T87" s="87"/>
      <c r="U87" s="87"/>
      <c r="V87" s="87"/>
      <c r="W87" s="87"/>
      <c r="X87" s="87"/>
      <c r="Y87" s="87"/>
      <c r="Z87" s="87"/>
      <c r="AA87" s="87"/>
    </row>
    <row r="88" spans="8:27">
      <c r="H88" s="87"/>
      <c r="I88" s="87"/>
      <c r="J88" s="87"/>
      <c r="K88" s="87"/>
      <c r="L88" s="87"/>
      <c r="M88" s="87"/>
      <c r="N88" s="87"/>
      <c r="O88" s="87"/>
      <c r="P88" s="87"/>
      <c r="Q88" s="87"/>
      <c r="R88" s="87"/>
      <c r="S88" s="87"/>
      <c r="T88" s="87"/>
      <c r="U88" s="87"/>
      <c r="V88" s="87"/>
      <c r="W88" s="87"/>
      <c r="X88" s="87"/>
      <c r="Y88" s="87"/>
      <c r="Z88" s="87"/>
      <c r="AA88" s="87"/>
    </row>
    <row r="89" spans="8:27">
      <c r="H89" s="87"/>
      <c r="I89" s="87"/>
      <c r="J89" s="87"/>
      <c r="K89" s="87"/>
      <c r="L89" s="87"/>
      <c r="M89" s="87"/>
      <c r="N89" s="87"/>
      <c r="O89" s="87"/>
      <c r="P89" s="87"/>
      <c r="Q89" s="87"/>
      <c r="R89" s="87"/>
      <c r="S89" s="87"/>
      <c r="T89" s="87"/>
      <c r="U89" s="87"/>
      <c r="V89" s="87"/>
      <c r="W89" s="87"/>
      <c r="X89" s="87"/>
      <c r="Y89" s="87"/>
      <c r="Z89" s="87"/>
      <c r="AA89" s="87"/>
    </row>
    <row r="90" spans="8:27">
      <c r="H90" s="87"/>
      <c r="I90" s="87"/>
      <c r="J90" s="87"/>
      <c r="K90" s="87"/>
      <c r="L90" s="87"/>
      <c r="M90" s="87"/>
      <c r="N90" s="87"/>
      <c r="O90" s="87"/>
      <c r="P90" s="87"/>
      <c r="Q90" s="87"/>
      <c r="R90" s="87"/>
      <c r="S90" s="87"/>
      <c r="T90" s="87"/>
      <c r="U90" s="87"/>
      <c r="V90" s="87"/>
      <c r="W90" s="87"/>
      <c r="X90" s="87"/>
      <c r="Y90" s="87"/>
      <c r="Z90" s="87"/>
      <c r="AA90" s="87"/>
    </row>
    <row r="91" spans="8:27">
      <c r="H91" s="87"/>
      <c r="I91" s="87"/>
      <c r="J91" s="87"/>
      <c r="K91" s="87"/>
      <c r="L91" s="87"/>
      <c r="M91" s="87"/>
      <c r="N91" s="87"/>
      <c r="O91" s="87"/>
      <c r="P91" s="87"/>
      <c r="Q91" s="87"/>
      <c r="R91" s="87"/>
      <c r="S91" s="87"/>
      <c r="T91" s="87"/>
      <c r="U91" s="87"/>
      <c r="V91" s="87"/>
      <c r="W91" s="87"/>
      <c r="X91" s="87"/>
      <c r="Y91" s="87"/>
      <c r="Z91" s="87"/>
      <c r="AA91" s="87"/>
    </row>
    <row r="92" spans="8:27">
      <c r="H92" s="87"/>
      <c r="I92" s="87"/>
      <c r="J92" s="87"/>
      <c r="K92" s="87"/>
      <c r="L92" s="87"/>
      <c r="M92" s="87"/>
      <c r="N92" s="87"/>
      <c r="O92" s="87"/>
      <c r="P92" s="87"/>
      <c r="Q92" s="87"/>
      <c r="R92" s="87"/>
      <c r="S92" s="87"/>
      <c r="T92" s="87"/>
      <c r="U92" s="87"/>
      <c r="V92" s="87"/>
      <c r="W92" s="87"/>
      <c r="X92" s="87"/>
      <c r="Y92" s="87"/>
      <c r="Z92" s="87"/>
      <c r="AA92" s="87"/>
    </row>
    <row r="93" spans="8:27">
      <c r="H93" s="87"/>
      <c r="I93" s="87"/>
      <c r="J93" s="87"/>
      <c r="K93" s="87"/>
      <c r="L93" s="87"/>
      <c r="M93" s="87"/>
      <c r="N93" s="87"/>
      <c r="O93" s="87"/>
      <c r="P93" s="87"/>
      <c r="Q93" s="87"/>
      <c r="R93" s="87"/>
      <c r="S93" s="87"/>
      <c r="T93" s="87"/>
      <c r="U93" s="87"/>
      <c r="V93" s="87"/>
      <c r="W93" s="87"/>
      <c r="X93" s="87"/>
      <c r="Y93" s="87"/>
      <c r="Z93" s="87"/>
      <c r="AA93" s="87"/>
    </row>
    <row r="94" spans="8:27">
      <c r="H94" s="87"/>
      <c r="I94" s="87"/>
      <c r="J94" s="87"/>
      <c r="K94" s="87"/>
      <c r="L94" s="87"/>
      <c r="M94" s="87"/>
      <c r="N94" s="87"/>
      <c r="O94" s="87"/>
      <c r="P94" s="87"/>
      <c r="Q94" s="87"/>
      <c r="R94" s="87"/>
      <c r="S94" s="87"/>
      <c r="T94" s="87"/>
      <c r="U94" s="87"/>
      <c r="V94" s="87"/>
      <c r="W94" s="87"/>
      <c r="X94" s="87"/>
      <c r="Y94" s="87"/>
      <c r="Z94" s="87"/>
      <c r="AA94" s="87"/>
    </row>
    <row r="95" spans="8:27">
      <c r="H95" s="87"/>
      <c r="I95" s="87"/>
      <c r="J95" s="87"/>
      <c r="K95" s="87"/>
      <c r="L95" s="87"/>
      <c r="M95" s="87"/>
      <c r="N95" s="87"/>
      <c r="O95" s="87"/>
      <c r="P95" s="87"/>
      <c r="Q95" s="87"/>
      <c r="R95" s="87"/>
      <c r="S95" s="87"/>
      <c r="T95" s="87"/>
      <c r="U95" s="87"/>
      <c r="V95" s="87"/>
      <c r="W95" s="87"/>
      <c r="X95" s="87"/>
      <c r="Y95" s="87"/>
      <c r="Z95" s="87"/>
      <c r="AA95" s="87"/>
    </row>
    <row r="96" spans="8:27">
      <c r="H96" s="87"/>
      <c r="I96" s="87"/>
      <c r="J96" s="87"/>
      <c r="K96" s="87"/>
      <c r="L96" s="87"/>
      <c r="M96" s="87"/>
      <c r="N96" s="87"/>
      <c r="O96" s="87"/>
      <c r="P96" s="87"/>
      <c r="Q96" s="87"/>
      <c r="R96" s="87"/>
      <c r="S96" s="87"/>
      <c r="T96" s="87"/>
      <c r="U96" s="87"/>
      <c r="V96" s="87"/>
      <c r="W96" s="87"/>
      <c r="X96" s="87"/>
      <c r="Y96" s="87"/>
      <c r="Z96" s="87"/>
      <c r="AA96" s="87"/>
    </row>
    <row r="97" spans="8:27">
      <c r="H97" s="87"/>
      <c r="I97" s="87"/>
      <c r="J97" s="87"/>
      <c r="K97" s="87"/>
      <c r="L97" s="87"/>
      <c r="M97" s="87"/>
      <c r="N97" s="87"/>
      <c r="O97" s="87"/>
      <c r="P97" s="87"/>
      <c r="Q97" s="87"/>
      <c r="R97" s="87"/>
      <c r="S97" s="87"/>
      <c r="T97" s="87"/>
      <c r="U97" s="87"/>
      <c r="V97" s="87"/>
      <c r="W97" s="87"/>
      <c r="X97" s="87"/>
      <c r="Y97" s="87"/>
      <c r="Z97" s="87"/>
      <c r="AA97" s="87"/>
    </row>
    <row r="98" spans="8:27">
      <c r="H98" s="87"/>
      <c r="I98" s="87"/>
      <c r="J98" s="87"/>
      <c r="K98" s="87"/>
      <c r="L98" s="87"/>
      <c r="M98" s="87"/>
      <c r="N98" s="87"/>
      <c r="O98" s="87"/>
      <c r="P98" s="87"/>
      <c r="Q98" s="87"/>
      <c r="R98" s="87"/>
      <c r="S98" s="87"/>
      <c r="T98" s="87"/>
      <c r="U98" s="87"/>
      <c r="V98" s="87"/>
      <c r="W98" s="87"/>
      <c r="X98" s="87"/>
      <c r="Y98" s="87"/>
      <c r="Z98" s="87"/>
      <c r="AA98" s="87"/>
    </row>
    <row r="99" spans="8:27">
      <c r="H99" s="87"/>
      <c r="I99" s="87"/>
      <c r="J99" s="87"/>
      <c r="K99" s="87"/>
      <c r="L99" s="87"/>
      <c r="M99" s="87"/>
      <c r="N99" s="87"/>
      <c r="O99" s="87"/>
      <c r="P99" s="87"/>
      <c r="Q99" s="87"/>
      <c r="R99" s="87"/>
      <c r="S99" s="87"/>
      <c r="T99" s="87"/>
      <c r="U99" s="87"/>
      <c r="V99" s="87"/>
      <c r="W99" s="87"/>
      <c r="X99" s="87"/>
      <c r="Y99" s="87"/>
      <c r="Z99" s="87"/>
      <c r="AA99" s="87"/>
    </row>
    <row r="100" spans="8:27">
      <c r="H100" s="87"/>
      <c r="I100" s="87"/>
      <c r="J100" s="87"/>
      <c r="K100" s="87"/>
      <c r="L100" s="87"/>
      <c r="M100" s="87"/>
      <c r="N100" s="87"/>
      <c r="O100" s="87"/>
      <c r="P100" s="87"/>
      <c r="Q100" s="87"/>
      <c r="R100" s="87"/>
      <c r="S100" s="87"/>
      <c r="T100" s="87"/>
      <c r="U100" s="87"/>
      <c r="V100" s="87"/>
      <c r="W100" s="87"/>
      <c r="X100" s="87"/>
      <c r="Y100" s="87"/>
      <c r="Z100" s="87"/>
      <c r="AA100" s="87"/>
    </row>
    <row r="101" spans="8:27">
      <c r="H101" s="87"/>
      <c r="I101" s="87"/>
      <c r="J101" s="87"/>
      <c r="K101" s="87"/>
      <c r="L101" s="87"/>
      <c r="M101" s="87"/>
      <c r="N101" s="87"/>
      <c r="O101" s="87"/>
      <c r="P101" s="87"/>
      <c r="Q101" s="87"/>
      <c r="R101" s="87"/>
      <c r="S101" s="87"/>
      <c r="T101" s="87"/>
      <c r="U101" s="87"/>
      <c r="V101" s="87"/>
      <c r="W101" s="87"/>
      <c r="X101" s="87"/>
      <c r="Y101" s="87"/>
      <c r="Z101" s="87"/>
      <c r="AA101" s="87"/>
    </row>
    <row r="102" spans="8:27">
      <c r="H102" s="87"/>
      <c r="I102" s="87"/>
      <c r="J102" s="87"/>
      <c r="K102" s="87"/>
      <c r="L102" s="87"/>
      <c r="M102" s="87"/>
      <c r="N102" s="87"/>
      <c r="O102" s="87"/>
      <c r="P102" s="87"/>
      <c r="Q102" s="87"/>
      <c r="R102" s="87"/>
      <c r="S102" s="87"/>
      <c r="T102" s="87"/>
      <c r="U102" s="87"/>
      <c r="V102" s="87"/>
      <c r="W102" s="87"/>
      <c r="X102" s="87"/>
      <c r="Y102" s="87"/>
      <c r="Z102" s="87"/>
      <c r="AA102" s="87"/>
    </row>
    <row r="103" spans="8:27">
      <c r="H103" s="87"/>
      <c r="I103" s="87"/>
      <c r="J103" s="87"/>
      <c r="K103" s="87"/>
      <c r="L103" s="87"/>
      <c r="M103" s="87"/>
      <c r="N103" s="87"/>
      <c r="O103" s="87"/>
      <c r="P103" s="87"/>
      <c r="Q103" s="87"/>
      <c r="R103" s="87"/>
      <c r="S103" s="87"/>
      <c r="T103" s="87"/>
      <c r="U103" s="87"/>
      <c r="V103" s="87"/>
      <c r="W103" s="87"/>
      <c r="X103" s="87"/>
      <c r="Y103" s="87"/>
      <c r="Z103" s="87"/>
      <c r="AA103" s="87"/>
    </row>
    <row r="104" spans="8:27">
      <c r="H104" s="87"/>
      <c r="I104" s="87"/>
      <c r="J104" s="87"/>
      <c r="K104" s="87"/>
      <c r="L104" s="87"/>
      <c r="M104" s="87"/>
      <c r="N104" s="87"/>
      <c r="O104" s="87"/>
      <c r="P104" s="87"/>
      <c r="Q104" s="87"/>
      <c r="R104" s="87"/>
      <c r="S104" s="87"/>
      <c r="T104" s="87"/>
      <c r="U104" s="87"/>
      <c r="V104" s="87"/>
      <c r="W104" s="87"/>
      <c r="X104" s="87"/>
      <c r="Y104" s="87"/>
      <c r="Z104" s="87"/>
      <c r="AA104" s="87"/>
    </row>
    <row r="105" spans="8:27">
      <c r="H105" s="87"/>
      <c r="I105" s="87"/>
      <c r="J105" s="87"/>
      <c r="K105" s="87"/>
      <c r="L105" s="87"/>
      <c r="M105" s="87"/>
      <c r="N105" s="87"/>
      <c r="O105" s="87"/>
      <c r="P105" s="87"/>
      <c r="Q105" s="87"/>
      <c r="R105" s="87"/>
      <c r="S105" s="87"/>
      <c r="T105" s="87"/>
      <c r="U105" s="87"/>
      <c r="V105" s="87"/>
      <c r="W105" s="87"/>
      <c r="X105" s="87"/>
      <c r="Y105" s="87"/>
      <c r="Z105" s="87"/>
      <c r="AA105" s="87"/>
    </row>
    <row r="106" spans="8:27">
      <c r="H106" s="87"/>
      <c r="I106" s="87"/>
      <c r="J106" s="87"/>
      <c r="K106" s="87"/>
      <c r="L106" s="87"/>
      <c r="M106" s="87"/>
      <c r="N106" s="87"/>
      <c r="O106" s="87"/>
      <c r="P106" s="87"/>
      <c r="Q106" s="87"/>
      <c r="R106" s="87"/>
      <c r="S106" s="87"/>
      <c r="T106" s="87"/>
      <c r="U106" s="87"/>
      <c r="V106" s="87"/>
      <c r="W106" s="87"/>
      <c r="X106" s="87"/>
      <c r="Y106" s="87"/>
      <c r="Z106" s="87"/>
      <c r="AA106" s="87"/>
    </row>
    <row r="107" spans="8:27">
      <c r="H107" s="87"/>
      <c r="I107" s="87"/>
      <c r="J107" s="87"/>
      <c r="K107" s="87"/>
      <c r="L107" s="87"/>
      <c r="M107" s="87"/>
      <c r="N107" s="87"/>
      <c r="O107" s="87"/>
      <c r="P107" s="87"/>
      <c r="Q107" s="87"/>
      <c r="R107" s="87"/>
      <c r="S107" s="87"/>
      <c r="T107" s="87"/>
      <c r="U107" s="87"/>
      <c r="V107" s="87"/>
      <c r="W107" s="87"/>
      <c r="X107" s="87"/>
      <c r="Y107" s="87"/>
      <c r="Z107" s="87"/>
      <c r="AA107" s="87"/>
    </row>
    <row r="108" spans="8:27">
      <c r="H108" s="87"/>
      <c r="I108" s="87"/>
      <c r="J108" s="87"/>
      <c r="K108" s="87"/>
      <c r="L108" s="87"/>
      <c r="M108" s="87"/>
      <c r="N108" s="87"/>
      <c r="O108" s="87"/>
      <c r="P108" s="87"/>
      <c r="Q108" s="87"/>
      <c r="R108" s="87"/>
      <c r="S108" s="87"/>
      <c r="T108" s="87"/>
      <c r="U108" s="87"/>
      <c r="V108" s="87"/>
      <c r="W108" s="87"/>
      <c r="X108" s="87"/>
      <c r="Y108" s="87"/>
      <c r="Z108" s="87"/>
      <c r="AA108" s="87"/>
    </row>
    <row r="109" spans="8:27">
      <c r="H109" s="87"/>
      <c r="I109" s="87"/>
      <c r="J109" s="87"/>
      <c r="K109" s="87"/>
      <c r="L109" s="87"/>
      <c r="M109" s="87"/>
      <c r="N109" s="87"/>
      <c r="O109" s="87"/>
      <c r="P109" s="87"/>
      <c r="Q109" s="87"/>
      <c r="R109" s="87"/>
      <c r="S109" s="87"/>
      <c r="T109" s="87"/>
      <c r="U109" s="87"/>
      <c r="V109" s="87"/>
      <c r="W109" s="87"/>
      <c r="X109" s="87"/>
      <c r="Y109" s="87"/>
      <c r="Z109" s="87"/>
      <c r="AA109" s="87"/>
    </row>
    <row r="110" spans="8:27">
      <c r="H110" s="87"/>
      <c r="I110" s="87"/>
      <c r="J110" s="87"/>
      <c r="K110" s="87"/>
      <c r="L110" s="87"/>
      <c r="M110" s="87"/>
      <c r="N110" s="87"/>
      <c r="O110" s="87"/>
      <c r="P110" s="87"/>
      <c r="Q110" s="87"/>
      <c r="R110" s="87"/>
      <c r="S110" s="87"/>
      <c r="T110" s="87"/>
      <c r="U110" s="87"/>
      <c r="V110" s="87"/>
      <c r="W110" s="87"/>
      <c r="X110" s="87"/>
      <c r="Y110" s="87"/>
      <c r="Z110" s="87"/>
      <c r="AA110" s="87"/>
    </row>
    <row r="111" spans="8:27">
      <c r="H111" s="87"/>
      <c r="I111" s="87"/>
      <c r="J111" s="87"/>
      <c r="K111" s="87"/>
      <c r="L111" s="87"/>
      <c r="M111" s="87"/>
      <c r="N111" s="87"/>
      <c r="O111" s="87"/>
      <c r="P111" s="87"/>
      <c r="Q111" s="87"/>
      <c r="R111" s="87"/>
      <c r="S111" s="87"/>
      <c r="T111" s="87"/>
      <c r="U111" s="87"/>
      <c r="V111" s="87"/>
      <c r="W111" s="87"/>
      <c r="X111" s="87"/>
      <c r="Y111" s="87"/>
      <c r="Z111" s="87"/>
      <c r="AA111" s="87"/>
    </row>
    <row r="112" spans="8:27">
      <c r="H112" s="87"/>
      <c r="I112" s="87"/>
      <c r="J112" s="87"/>
      <c r="K112" s="87"/>
      <c r="L112" s="87"/>
      <c r="M112" s="87"/>
      <c r="N112" s="87"/>
      <c r="O112" s="87"/>
      <c r="P112" s="87"/>
      <c r="Q112" s="87"/>
      <c r="R112" s="87"/>
      <c r="S112" s="87"/>
      <c r="T112" s="87"/>
      <c r="U112" s="87"/>
      <c r="V112" s="87"/>
      <c r="W112" s="87"/>
      <c r="X112" s="87"/>
      <c r="Y112" s="87"/>
      <c r="Z112" s="87"/>
      <c r="AA112" s="87"/>
    </row>
    <row r="113" spans="8:27">
      <c r="H113" s="87"/>
      <c r="I113" s="87"/>
      <c r="J113" s="87"/>
      <c r="K113" s="87"/>
      <c r="L113" s="87"/>
      <c r="M113" s="87"/>
      <c r="N113" s="87"/>
      <c r="O113" s="87"/>
      <c r="P113" s="87"/>
      <c r="Q113" s="87"/>
      <c r="R113" s="87"/>
      <c r="S113" s="87"/>
      <c r="T113" s="87"/>
      <c r="U113" s="87"/>
      <c r="V113" s="87"/>
      <c r="W113" s="87"/>
      <c r="X113" s="87"/>
      <c r="Y113" s="87"/>
      <c r="Z113" s="87"/>
      <c r="AA113" s="87"/>
    </row>
    <row r="114" spans="8:27">
      <c r="H114" s="87"/>
      <c r="I114" s="87"/>
      <c r="J114" s="87"/>
      <c r="K114" s="87"/>
      <c r="L114" s="87"/>
      <c r="M114" s="87"/>
      <c r="N114" s="87"/>
      <c r="O114" s="87"/>
      <c r="P114" s="87"/>
      <c r="Q114" s="87"/>
      <c r="R114" s="87"/>
      <c r="S114" s="87"/>
      <c r="T114" s="87"/>
      <c r="U114" s="87"/>
      <c r="V114" s="87"/>
      <c r="W114" s="87"/>
      <c r="X114" s="87"/>
      <c r="Y114" s="87"/>
      <c r="Z114" s="87"/>
      <c r="AA114" s="87"/>
    </row>
    <row r="115" spans="8:27">
      <c r="H115" s="87"/>
      <c r="I115" s="87"/>
      <c r="J115" s="87"/>
      <c r="K115" s="87"/>
      <c r="L115" s="87"/>
      <c r="M115" s="87"/>
      <c r="N115" s="87"/>
      <c r="O115" s="87"/>
      <c r="P115" s="87"/>
      <c r="Q115" s="87"/>
      <c r="R115" s="87"/>
      <c r="S115" s="87"/>
      <c r="T115" s="87"/>
      <c r="U115" s="87"/>
      <c r="V115" s="87"/>
      <c r="W115" s="87"/>
      <c r="X115" s="87"/>
      <c r="Y115" s="87"/>
      <c r="Z115" s="87"/>
      <c r="AA115" s="87"/>
    </row>
    <row r="116" spans="8:27">
      <c r="H116" s="87"/>
      <c r="I116" s="87"/>
      <c r="J116" s="87"/>
      <c r="K116" s="87"/>
      <c r="L116" s="87"/>
      <c r="M116" s="87"/>
      <c r="N116" s="87"/>
      <c r="O116" s="87"/>
      <c r="P116" s="87"/>
      <c r="Q116" s="87"/>
      <c r="R116" s="87"/>
      <c r="S116" s="87"/>
      <c r="T116" s="87"/>
      <c r="U116" s="87"/>
      <c r="V116" s="87"/>
      <c r="W116" s="87"/>
      <c r="X116" s="87"/>
      <c r="Y116" s="87"/>
      <c r="Z116" s="87"/>
      <c r="AA116" s="87"/>
    </row>
    <row r="117" spans="8:27">
      <c r="H117" s="87"/>
      <c r="I117" s="87"/>
      <c r="J117" s="87"/>
      <c r="K117" s="87"/>
      <c r="L117" s="87"/>
      <c r="M117" s="87"/>
      <c r="N117" s="87"/>
      <c r="O117" s="87"/>
      <c r="P117" s="87"/>
      <c r="Q117" s="87"/>
      <c r="R117" s="87"/>
      <c r="S117" s="87"/>
      <c r="T117" s="87"/>
      <c r="U117" s="87"/>
      <c r="V117" s="87"/>
      <c r="W117" s="87"/>
      <c r="X117" s="87"/>
      <c r="Y117" s="87"/>
      <c r="Z117" s="87"/>
      <c r="AA117" s="87"/>
    </row>
    <row r="118" spans="8:27">
      <c r="H118" s="87"/>
      <c r="I118" s="87"/>
      <c r="J118" s="87"/>
      <c r="K118" s="87"/>
      <c r="L118" s="87"/>
      <c r="M118" s="87"/>
      <c r="N118" s="87"/>
      <c r="O118" s="87"/>
      <c r="P118" s="87"/>
      <c r="Q118" s="87"/>
      <c r="R118" s="87"/>
      <c r="S118" s="87"/>
      <c r="T118" s="87"/>
      <c r="U118" s="87"/>
      <c r="V118" s="87"/>
      <c r="W118" s="87"/>
      <c r="X118" s="87"/>
      <c r="Y118" s="87"/>
      <c r="Z118" s="87"/>
      <c r="AA118" s="87"/>
    </row>
    <row r="119" spans="8:27">
      <c r="H119" s="87"/>
      <c r="I119" s="87"/>
      <c r="J119" s="87"/>
      <c r="K119" s="87"/>
      <c r="L119" s="87"/>
      <c r="M119" s="87"/>
      <c r="N119" s="87"/>
      <c r="O119" s="87"/>
      <c r="P119" s="87"/>
      <c r="Q119" s="87"/>
      <c r="R119" s="87"/>
      <c r="S119" s="87"/>
      <c r="T119" s="87"/>
      <c r="U119" s="87"/>
      <c r="V119" s="87"/>
      <c r="W119" s="87"/>
      <c r="X119" s="87"/>
      <c r="Y119" s="87"/>
      <c r="Z119" s="87"/>
      <c r="AA119" s="87"/>
    </row>
    <row r="120" spans="8:27">
      <c r="H120" s="87"/>
      <c r="I120" s="87"/>
      <c r="J120" s="87"/>
      <c r="K120" s="87"/>
      <c r="L120" s="87"/>
      <c r="M120" s="87"/>
      <c r="N120" s="87"/>
      <c r="O120" s="87"/>
      <c r="P120" s="87"/>
      <c r="Q120" s="87"/>
      <c r="R120" s="87"/>
      <c r="S120" s="87"/>
      <c r="T120" s="87"/>
      <c r="U120" s="87"/>
      <c r="V120" s="87"/>
      <c r="W120" s="87"/>
      <c r="X120" s="87"/>
      <c r="Y120" s="87"/>
      <c r="Z120" s="87"/>
      <c r="AA120" s="87"/>
    </row>
    <row r="121" spans="8:27">
      <c r="H121" s="87"/>
      <c r="I121" s="87"/>
      <c r="J121" s="87"/>
      <c r="K121" s="87"/>
      <c r="L121" s="87"/>
      <c r="M121" s="87"/>
      <c r="N121" s="87"/>
      <c r="O121" s="87"/>
      <c r="P121" s="87"/>
      <c r="Q121" s="87"/>
      <c r="R121" s="87"/>
      <c r="S121" s="87"/>
      <c r="T121" s="87"/>
      <c r="U121" s="87"/>
      <c r="V121" s="87"/>
      <c r="W121" s="87"/>
      <c r="X121" s="87"/>
      <c r="Y121" s="87"/>
      <c r="Z121" s="87"/>
      <c r="AA121" s="87"/>
    </row>
    <row r="122" spans="8:27">
      <c r="H122" s="87"/>
      <c r="I122" s="87"/>
      <c r="J122" s="87"/>
      <c r="K122" s="87"/>
      <c r="L122" s="87"/>
      <c r="M122" s="87"/>
      <c r="N122" s="87"/>
      <c r="O122" s="87"/>
      <c r="P122" s="87"/>
      <c r="Q122" s="87"/>
      <c r="R122" s="87"/>
      <c r="S122" s="87"/>
      <c r="T122" s="87"/>
      <c r="U122" s="87"/>
      <c r="V122" s="87"/>
      <c r="W122" s="87"/>
      <c r="X122" s="87"/>
      <c r="Y122" s="87"/>
      <c r="Z122" s="87"/>
      <c r="AA122" s="87"/>
    </row>
    <row r="123" spans="8:27">
      <c r="H123" s="87"/>
      <c r="I123" s="87"/>
      <c r="J123" s="87"/>
      <c r="K123" s="87"/>
      <c r="L123" s="87"/>
      <c r="M123" s="87"/>
      <c r="N123" s="87"/>
      <c r="O123" s="87"/>
      <c r="P123" s="87"/>
      <c r="Q123" s="87"/>
      <c r="R123" s="87"/>
      <c r="S123" s="87"/>
      <c r="T123" s="87"/>
      <c r="U123" s="87"/>
      <c r="V123" s="87"/>
      <c r="W123" s="87"/>
      <c r="X123" s="87"/>
      <c r="Y123" s="87"/>
      <c r="Z123" s="87"/>
      <c r="AA123" s="87"/>
    </row>
    <row r="124" spans="8:27">
      <c r="H124" s="87"/>
      <c r="I124" s="87"/>
      <c r="J124" s="87"/>
      <c r="K124" s="87"/>
      <c r="L124" s="87"/>
      <c r="M124" s="87"/>
      <c r="N124" s="87"/>
      <c r="O124" s="87"/>
      <c r="P124" s="87"/>
      <c r="Q124" s="87"/>
      <c r="R124" s="87"/>
      <c r="S124" s="87"/>
      <c r="T124" s="87"/>
      <c r="U124" s="87"/>
      <c r="V124" s="87"/>
      <c r="W124" s="87"/>
      <c r="X124" s="87"/>
      <c r="Y124" s="87"/>
      <c r="Z124" s="87"/>
      <c r="AA124" s="87"/>
    </row>
    <row r="125" spans="8:27">
      <c r="H125" s="87"/>
      <c r="I125" s="87"/>
      <c r="J125" s="87"/>
      <c r="K125" s="87"/>
      <c r="L125" s="87"/>
      <c r="M125" s="87"/>
      <c r="N125" s="87"/>
      <c r="O125" s="87"/>
      <c r="P125" s="87"/>
      <c r="Q125" s="87"/>
      <c r="R125" s="87"/>
      <c r="S125" s="87"/>
      <c r="T125" s="87"/>
      <c r="U125" s="87"/>
      <c r="V125" s="87"/>
      <c r="W125" s="87"/>
      <c r="X125" s="87"/>
      <c r="Y125" s="87"/>
      <c r="Z125" s="87"/>
      <c r="AA125" s="87"/>
    </row>
    <row r="126" spans="8:27">
      <c r="H126" s="87"/>
      <c r="I126" s="87"/>
      <c r="J126" s="87"/>
      <c r="K126" s="87"/>
      <c r="L126" s="87"/>
      <c r="M126" s="87"/>
      <c r="N126" s="87"/>
      <c r="O126" s="87"/>
      <c r="P126" s="87"/>
      <c r="Q126" s="87"/>
      <c r="R126" s="87"/>
      <c r="S126" s="87"/>
      <c r="T126" s="87"/>
      <c r="U126" s="87"/>
      <c r="V126" s="87"/>
      <c r="W126" s="87"/>
      <c r="X126" s="87"/>
      <c r="Y126" s="87"/>
      <c r="Z126" s="87"/>
      <c r="AA126" s="87"/>
    </row>
    <row r="127" spans="8:27">
      <c r="H127" s="87"/>
      <c r="I127" s="87"/>
      <c r="J127" s="87"/>
      <c r="K127" s="87"/>
      <c r="L127" s="87"/>
      <c r="M127" s="87"/>
      <c r="N127" s="87"/>
      <c r="O127" s="87"/>
      <c r="P127" s="87"/>
      <c r="Q127" s="87"/>
      <c r="R127" s="87"/>
      <c r="S127" s="87"/>
      <c r="T127" s="87"/>
      <c r="U127" s="87"/>
      <c r="V127" s="87"/>
      <c r="W127" s="87"/>
      <c r="X127" s="87"/>
      <c r="Y127" s="87"/>
      <c r="Z127" s="87"/>
      <c r="AA127" s="87"/>
    </row>
    <row r="128" spans="8:27">
      <c r="H128" s="87"/>
      <c r="I128" s="87"/>
      <c r="J128" s="87"/>
      <c r="K128" s="87"/>
      <c r="L128" s="87"/>
      <c r="M128" s="87"/>
      <c r="N128" s="87"/>
      <c r="O128" s="87"/>
      <c r="P128" s="87"/>
      <c r="Q128" s="87"/>
      <c r="R128" s="87"/>
      <c r="S128" s="87"/>
      <c r="T128" s="87"/>
      <c r="U128" s="87"/>
      <c r="V128" s="87"/>
      <c r="W128" s="87"/>
      <c r="X128" s="87"/>
      <c r="Y128" s="87"/>
      <c r="Z128" s="87"/>
      <c r="AA128" s="87"/>
    </row>
    <row r="129" spans="8:27">
      <c r="H129" s="87"/>
      <c r="I129" s="87"/>
      <c r="J129" s="87"/>
      <c r="K129" s="87"/>
      <c r="L129" s="87"/>
      <c r="M129" s="87"/>
      <c r="N129" s="87"/>
      <c r="O129" s="87"/>
      <c r="P129" s="87"/>
      <c r="Q129" s="87"/>
      <c r="R129" s="87"/>
      <c r="S129" s="87"/>
      <c r="T129" s="87"/>
      <c r="U129" s="87"/>
      <c r="V129" s="87"/>
      <c r="W129" s="87"/>
      <c r="X129" s="87"/>
      <c r="Y129" s="87"/>
      <c r="Z129" s="87"/>
      <c r="AA129" s="87"/>
    </row>
    <row r="130" spans="8:27">
      <c r="H130" s="87"/>
      <c r="I130" s="87"/>
      <c r="J130" s="87"/>
      <c r="K130" s="87"/>
      <c r="L130" s="87"/>
      <c r="M130" s="87"/>
      <c r="N130" s="87"/>
      <c r="O130" s="87"/>
      <c r="P130" s="87"/>
      <c r="Q130" s="87"/>
      <c r="R130" s="87"/>
      <c r="S130" s="87"/>
      <c r="T130" s="87"/>
      <c r="U130" s="87"/>
      <c r="V130" s="87"/>
      <c r="W130" s="87"/>
      <c r="X130" s="87"/>
      <c r="Y130" s="87"/>
      <c r="Z130" s="87"/>
      <c r="AA130" s="87"/>
    </row>
    <row r="131" spans="8:27">
      <c r="H131" s="87"/>
      <c r="I131" s="87"/>
      <c r="J131" s="87"/>
      <c r="K131" s="87"/>
      <c r="L131" s="87"/>
      <c r="M131" s="87"/>
      <c r="N131" s="87"/>
      <c r="O131" s="87"/>
      <c r="P131" s="87"/>
      <c r="Q131" s="87"/>
      <c r="R131" s="87"/>
      <c r="S131" s="87"/>
      <c r="T131" s="87"/>
      <c r="U131" s="87"/>
      <c r="V131" s="87"/>
      <c r="W131" s="87"/>
      <c r="X131" s="87"/>
      <c r="Y131" s="87"/>
      <c r="Z131" s="87"/>
      <c r="AA131" s="87"/>
    </row>
    <row r="132" spans="8:27">
      <c r="H132" s="87"/>
      <c r="I132" s="87"/>
      <c r="J132" s="87"/>
      <c r="K132" s="87"/>
      <c r="L132" s="87"/>
      <c r="M132" s="87"/>
      <c r="N132" s="87"/>
      <c r="O132" s="87"/>
      <c r="P132" s="87"/>
      <c r="Q132" s="87"/>
      <c r="R132" s="87"/>
      <c r="S132" s="87"/>
      <c r="T132" s="87"/>
      <c r="U132" s="87"/>
      <c r="V132" s="87"/>
      <c r="W132" s="87"/>
      <c r="X132" s="87"/>
      <c r="Y132" s="87"/>
      <c r="Z132" s="87"/>
      <c r="AA132" s="87"/>
    </row>
    <row r="133" spans="8:27">
      <c r="H133" s="87"/>
      <c r="I133" s="87"/>
      <c r="J133" s="87"/>
      <c r="K133" s="87"/>
      <c r="L133" s="87"/>
      <c r="M133" s="87"/>
      <c r="N133" s="87"/>
      <c r="O133" s="87"/>
      <c r="P133" s="87"/>
      <c r="Q133" s="87"/>
      <c r="R133" s="87"/>
      <c r="S133" s="87"/>
      <c r="T133" s="87"/>
      <c r="U133" s="87"/>
      <c r="V133" s="87"/>
      <c r="W133" s="87"/>
      <c r="X133" s="87"/>
      <c r="Y133" s="87"/>
      <c r="Z133" s="87"/>
      <c r="AA133" s="87"/>
    </row>
    <row r="134" spans="8:27">
      <c r="H134" s="87"/>
      <c r="I134" s="87"/>
      <c r="J134" s="87"/>
      <c r="K134" s="87"/>
      <c r="L134" s="87"/>
      <c r="M134" s="87"/>
      <c r="N134" s="87"/>
      <c r="O134" s="87"/>
      <c r="P134" s="87"/>
      <c r="Q134" s="87"/>
      <c r="R134" s="87"/>
      <c r="S134" s="87"/>
      <c r="T134" s="87"/>
      <c r="U134" s="87"/>
      <c r="V134" s="87"/>
      <c r="W134" s="87"/>
      <c r="X134" s="87"/>
      <c r="Y134" s="87"/>
      <c r="Z134" s="87"/>
      <c r="AA134" s="87"/>
    </row>
    <row r="135" spans="8:27">
      <c r="H135" s="87"/>
      <c r="I135" s="87"/>
      <c r="J135" s="87"/>
      <c r="K135" s="87"/>
      <c r="L135" s="87"/>
      <c r="M135" s="87"/>
      <c r="N135" s="87"/>
      <c r="O135" s="87"/>
      <c r="P135" s="87"/>
      <c r="Q135" s="87"/>
      <c r="R135" s="87"/>
      <c r="S135" s="87"/>
      <c r="T135" s="87"/>
      <c r="U135" s="87"/>
      <c r="V135" s="87"/>
      <c r="W135" s="87"/>
      <c r="X135" s="87"/>
      <c r="Y135" s="87"/>
      <c r="Z135" s="87"/>
      <c r="AA135" s="87"/>
    </row>
    <row r="136" spans="8:27">
      <c r="H136" s="87"/>
      <c r="I136" s="87"/>
      <c r="J136" s="87"/>
      <c r="K136" s="87"/>
      <c r="L136" s="87"/>
      <c r="M136" s="87"/>
      <c r="N136" s="87"/>
      <c r="O136" s="87"/>
      <c r="P136" s="87"/>
      <c r="Q136" s="87"/>
      <c r="R136" s="87"/>
      <c r="S136" s="87"/>
      <c r="T136" s="87"/>
      <c r="U136" s="87"/>
      <c r="V136" s="87"/>
      <c r="W136" s="87"/>
      <c r="X136" s="87"/>
      <c r="Y136" s="87"/>
      <c r="Z136" s="87"/>
      <c r="AA136" s="87"/>
    </row>
    <row r="137" spans="8:27">
      <c r="H137" s="87"/>
      <c r="I137" s="87"/>
      <c r="J137" s="87"/>
      <c r="K137" s="87"/>
      <c r="L137" s="87"/>
      <c r="M137" s="87"/>
      <c r="N137" s="87"/>
      <c r="O137" s="87"/>
      <c r="P137" s="87"/>
      <c r="Q137" s="87"/>
      <c r="R137" s="87"/>
      <c r="S137" s="87"/>
      <c r="T137" s="87"/>
      <c r="U137" s="87"/>
      <c r="V137" s="87"/>
      <c r="W137" s="87"/>
      <c r="X137" s="87"/>
      <c r="Y137" s="87"/>
      <c r="Z137" s="87"/>
      <c r="AA137" s="87"/>
    </row>
    <row r="138" spans="8:27">
      <c r="H138" s="87"/>
      <c r="I138" s="87"/>
      <c r="J138" s="87"/>
      <c r="K138" s="87"/>
      <c r="L138" s="87"/>
      <c r="M138" s="87"/>
      <c r="N138" s="87"/>
      <c r="O138" s="87"/>
      <c r="P138" s="87"/>
      <c r="Q138" s="87"/>
      <c r="R138" s="87"/>
      <c r="S138" s="87"/>
      <c r="T138" s="87"/>
      <c r="U138" s="87"/>
      <c r="V138" s="87"/>
      <c r="W138" s="87"/>
      <c r="X138" s="87"/>
      <c r="Y138" s="87"/>
      <c r="Z138" s="87"/>
      <c r="AA138" s="87"/>
    </row>
    <row r="139" spans="8:27">
      <c r="H139" s="87"/>
      <c r="I139" s="87"/>
      <c r="J139" s="87"/>
      <c r="K139" s="87"/>
      <c r="L139" s="87"/>
      <c r="M139" s="87"/>
      <c r="N139" s="87"/>
      <c r="O139" s="87"/>
      <c r="P139" s="87"/>
      <c r="Q139" s="87"/>
      <c r="R139" s="87"/>
      <c r="S139" s="87"/>
      <c r="T139" s="87"/>
      <c r="U139" s="87"/>
      <c r="V139" s="87"/>
      <c r="W139" s="87"/>
      <c r="X139" s="87"/>
      <c r="Y139" s="87"/>
      <c r="Z139" s="87"/>
      <c r="AA139" s="87"/>
    </row>
    <row r="140" spans="8:27">
      <c r="H140" s="87"/>
      <c r="I140" s="87"/>
      <c r="J140" s="87"/>
      <c r="K140" s="87"/>
      <c r="L140" s="87"/>
      <c r="M140" s="87"/>
      <c r="N140" s="87"/>
      <c r="O140" s="87"/>
      <c r="P140" s="87"/>
      <c r="Q140" s="87"/>
      <c r="R140" s="87"/>
      <c r="S140" s="87"/>
      <c r="T140" s="87"/>
      <c r="U140" s="87"/>
      <c r="V140" s="87"/>
      <c r="W140" s="87"/>
      <c r="X140" s="87"/>
      <c r="Y140" s="87"/>
      <c r="Z140" s="87"/>
      <c r="AA140" s="87"/>
    </row>
    <row r="141" spans="8:27">
      <c r="H141" s="87"/>
      <c r="I141" s="87"/>
      <c r="J141" s="87"/>
      <c r="K141" s="87"/>
      <c r="L141" s="87"/>
      <c r="M141" s="87"/>
      <c r="N141" s="87"/>
      <c r="O141" s="87"/>
      <c r="P141" s="87"/>
      <c r="Q141" s="87"/>
      <c r="R141" s="87"/>
      <c r="S141" s="87"/>
      <c r="T141" s="87"/>
      <c r="U141" s="87"/>
      <c r="V141" s="87"/>
      <c r="W141" s="87"/>
      <c r="X141" s="87"/>
      <c r="Y141" s="87"/>
      <c r="Z141" s="87"/>
      <c r="AA141" s="87"/>
    </row>
    <row r="142" spans="8:27">
      <c r="H142" s="87"/>
      <c r="I142" s="87"/>
      <c r="J142" s="87"/>
      <c r="K142" s="87"/>
      <c r="L142" s="87"/>
      <c r="M142" s="87"/>
      <c r="N142" s="87"/>
      <c r="O142" s="87"/>
      <c r="P142" s="87"/>
      <c r="Q142" s="87"/>
      <c r="R142" s="87"/>
      <c r="S142" s="87"/>
      <c r="T142" s="87"/>
      <c r="U142" s="87"/>
      <c r="V142" s="87"/>
      <c r="W142" s="87"/>
      <c r="X142" s="87"/>
      <c r="Y142" s="87"/>
      <c r="Z142" s="87"/>
      <c r="AA142" s="87"/>
    </row>
    <row r="143" spans="8:27">
      <c r="H143" s="87"/>
      <c r="I143" s="87"/>
      <c r="J143" s="87"/>
      <c r="K143" s="87"/>
      <c r="L143" s="87"/>
      <c r="M143" s="87"/>
      <c r="N143" s="87"/>
      <c r="O143" s="87"/>
      <c r="P143" s="87"/>
      <c r="Q143" s="87"/>
      <c r="R143" s="87"/>
      <c r="S143" s="87"/>
      <c r="T143" s="87"/>
      <c r="U143" s="87"/>
      <c r="V143" s="87"/>
      <c r="W143" s="87"/>
      <c r="X143" s="87"/>
      <c r="Y143" s="87"/>
      <c r="Z143" s="87"/>
      <c r="AA143" s="87"/>
    </row>
    <row r="144" spans="8:27">
      <c r="H144" s="87"/>
      <c r="I144" s="87"/>
      <c r="J144" s="87"/>
      <c r="K144" s="87"/>
      <c r="L144" s="87"/>
      <c r="M144" s="87"/>
      <c r="N144" s="87"/>
      <c r="O144" s="87"/>
      <c r="P144" s="87"/>
      <c r="Q144" s="87"/>
      <c r="R144" s="87"/>
      <c r="S144" s="87"/>
      <c r="T144" s="87"/>
      <c r="U144" s="87"/>
      <c r="V144" s="87"/>
      <c r="W144" s="87"/>
      <c r="X144" s="87"/>
      <c r="Y144" s="87"/>
      <c r="Z144" s="87"/>
      <c r="AA144" s="87"/>
    </row>
    <row r="145" spans="8:27">
      <c r="H145" s="87"/>
      <c r="I145" s="87"/>
      <c r="J145" s="87"/>
      <c r="K145" s="87"/>
      <c r="L145" s="87"/>
      <c r="M145" s="87"/>
      <c r="N145" s="87"/>
      <c r="O145" s="87"/>
      <c r="P145" s="87"/>
      <c r="Q145" s="87"/>
      <c r="R145" s="87"/>
      <c r="S145" s="87"/>
      <c r="T145" s="87"/>
      <c r="U145" s="87"/>
      <c r="V145" s="87"/>
      <c r="W145" s="87"/>
      <c r="X145" s="87"/>
      <c r="Y145" s="87"/>
      <c r="Z145" s="87"/>
      <c r="AA145" s="87"/>
    </row>
    <row r="146" spans="8:27">
      <c r="H146" s="87"/>
      <c r="I146" s="87"/>
      <c r="J146" s="87"/>
      <c r="K146" s="87"/>
      <c r="L146" s="87"/>
      <c r="M146" s="87"/>
      <c r="N146" s="87"/>
      <c r="O146" s="87"/>
      <c r="P146" s="87"/>
      <c r="Q146" s="87"/>
      <c r="R146" s="87"/>
      <c r="S146" s="87"/>
      <c r="T146" s="87"/>
      <c r="U146" s="87"/>
      <c r="V146" s="87"/>
      <c r="W146" s="87"/>
      <c r="X146" s="87"/>
      <c r="Y146" s="87"/>
      <c r="Z146" s="87"/>
      <c r="AA146" s="87"/>
    </row>
    <row r="147" spans="8:27">
      <c r="H147" s="87"/>
      <c r="I147" s="87"/>
      <c r="J147" s="87"/>
      <c r="K147" s="87"/>
      <c r="L147" s="87"/>
      <c r="M147" s="87"/>
      <c r="N147" s="87"/>
      <c r="O147" s="87"/>
      <c r="P147" s="87"/>
      <c r="Q147" s="87"/>
      <c r="R147" s="87"/>
      <c r="S147" s="87"/>
      <c r="T147" s="87"/>
      <c r="U147" s="87"/>
      <c r="V147" s="87"/>
      <c r="W147" s="87"/>
      <c r="X147" s="87"/>
      <c r="Y147" s="87"/>
      <c r="Z147" s="87"/>
      <c r="AA147" s="87"/>
    </row>
    <row r="148" spans="8:27">
      <c r="H148" s="87"/>
      <c r="I148" s="87"/>
      <c r="J148" s="87"/>
      <c r="K148" s="87"/>
      <c r="L148" s="87"/>
      <c r="M148" s="87"/>
      <c r="N148" s="87"/>
      <c r="O148" s="87"/>
      <c r="P148" s="87"/>
      <c r="Q148" s="87"/>
      <c r="R148" s="87"/>
      <c r="S148" s="87"/>
      <c r="T148" s="87"/>
      <c r="U148" s="87"/>
      <c r="V148" s="87"/>
      <c r="W148" s="87"/>
      <c r="X148" s="87"/>
      <c r="Y148" s="87"/>
      <c r="Z148" s="87"/>
      <c r="AA148" s="87"/>
    </row>
    <row r="149" spans="8:27">
      <c r="H149" s="87"/>
      <c r="I149" s="87"/>
      <c r="J149" s="87"/>
      <c r="K149" s="87"/>
      <c r="L149" s="87"/>
      <c r="M149" s="87"/>
      <c r="N149" s="87"/>
      <c r="O149" s="87"/>
      <c r="P149" s="87"/>
      <c r="Q149" s="87"/>
      <c r="R149" s="87"/>
      <c r="S149" s="87"/>
      <c r="T149" s="87"/>
      <c r="U149" s="87"/>
      <c r="V149" s="87"/>
      <c r="W149" s="87"/>
      <c r="X149" s="87"/>
      <c r="Y149" s="87"/>
      <c r="Z149" s="87"/>
      <c r="AA149" s="87"/>
    </row>
    <row r="150" spans="8:27">
      <c r="H150" s="87"/>
      <c r="I150" s="87"/>
      <c r="J150" s="87"/>
      <c r="K150" s="87"/>
      <c r="L150" s="87"/>
      <c r="M150" s="87"/>
      <c r="N150" s="87"/>
      <c r="O150" s="87"/>
      <c r="P150" s="87"/>
      <c r="Q150" s="87"/>
      <c r="R150" s="87"/>
      <c r="S150" s="87"/>
      <c r="T150" s="87"/>
      <c r="U150" s="87"/>
      <c r="V150" s="87"/>
      <c r="W150" s="87"/>
      <c r="X150" s="87"/>
      <c r="Y150" s="87"/>
      <c r="Z150" s="87"/>
      <c r="AA150" s="87"/>
    </row>
    <row r="151" spans="8:27">
      <c r="H151" s="87"/>
      <c r="I151" s="87"/>
      <c r="J151" s="87"/>
      <c r="K151" s="87"/>
      <c r="L151" s="87"/>
      <c r="M151" s="87"/>
      <c r="N151" s="87"/>
      <c r="O151" s="87"/>
      <c r="P151" s="87"/>
      <c r="Q151" s="87"/>
      <c r="R151" s="87"/>
      <c r="S151" s="87"/>
      <c r="T151" s="87"/>
      <c r="U151" s="87"/>
      <c r="V151" s="87"/>
      <c r="W151" s="87"/>
      <c r="X151" s="87"/>
      <c r="Y151" s="87"/>
      <c r="Z151" s="87"/>
      <c r="AA151" s="87"/>
    </row>
    <row r="152" spans="8:27">
      <c r="H152" s="87"/>
      <c r="I152" s="87"/>
      <c r="J152" s="87"/>
      <c r="K152" s="87"/>
      <c r="L152" s="87"/>
      <c r="M152" s="87"/>
      <c r="N152" s="87"/>
      <c r="O152" s="87"/>
      <c r="P152" s="87"/>
      <c r="Q152" s="87"/>
      <c r="R152" s="87"/>
      <c r="S152" s="87"/>
      <c r="T152" s="87"/>
      <c r="U152" s="87"/>
      <c r="V152" s="87"/>
      <c r="W152" s="87"/>
      <c r="X152" s="87"/>
      <c r="Y152" s="87"/>
      <c r="Z152" s="87"/>
      <c r="AA152" s="87"/>
    </row>
    <row r="153" spans="8:27">
      <c r="H153" s="87"/>
      <c r="I153" s="87"/>
      <c r="J153" s="87"/>
      <c r="K153" s="87"/>
      <c r="L153" s="87"/>
      <c r="M153" s="87"/>
      <c r="N153" s="87"/>
      <c r="O153" s="87"/>
      <c r="P153" s="87"/>
      <c r="Q153" s="87"/>
      <c r="R153" s="87"/>
      <c r="S153" s="87"/>
      <c r="T153" s="87"/>
      <c r="U153" s="87"/>
      <c r="V153" s="87"/>
      <c r="W153" s="87"/>
      <c r="X153" s="87"/>
      <c r="Y153" s="87"/>
      <c r="Z153" s="87"/>
      <c r="AA153" s="87"/>
    </row>
    <row r="154" spans="8:27">
      <c r="H154" s="87"/>
      <c r="I154" s="87"/>
      <c r="J154" s="87"/>
      <c r="K154" s="87"/>
      <c r="L154" s="87"/>
      <c r="M154" s="87"/>
      <c r="N154" s="87"/>
      <c r="O154" s="87"/>
      <c r="P154" s="87"/>
      <c r="Q154" s="87"/>
      <c r="R154" s="87"/>
      <c r="S154" s="87"/>
      <c r="T154" s="87"/>
      <c r="U154" s="87"/>
      <c r="V154" s="87"/>
      <c r="W154" s="87"/>
      <c r="X154" s="87"/>
      <c r="Y154" s="87"/>
      <c r="Z154" s="87"/>
      <c r="AA154" s="87"/>
    </row>
    <row r="155" spans="8:27">
      <c r="H155" s="87"/>
      <c r="I155" s="87"/>
      <c r="J155" s="87"/>
      <c r="K155" s="87"/>
      <c r="L155" s="87"/>
      <c r="M155" s="87"/>
      <c r="N155" s="87"/>
      <c r="O155" s="87"/>
      <c r="P155" s="87"/>
      <c r="Q155" s="87"/>
      <c r="R155" s="87"/>
      <c r="S155" s="87"/>
      <c r="T155" s="87"/>
      <c r="U155" s="87"/>
      <c r="V155" s="87"/>
      <c r="W155" s="87"/>
      <c r="X155" s="87"/>
      <c r="Y155" s="87"/>
      <c r="Z155" s="87"/>
      <c r="AA155" s="87"/>
    </row>
    <row r="156" spans="8:27">
      <c r="H156" s="87"/>
      <c r="I156" s="87"/>
      <c r="J156" s="87"/>
      <c r="K156" s="87"/>
      <c r="L156" s="87"/>
      <c r="M156" s="87"/>
      <c r="N156" s="87"/>
      <c r="O156" s="87"/>
      <c r="P156" s="87"/>
      <c r="Q156" s="87"/>
      <c r="R156" s="87"/>
      <c r="S156" s="87"/>
      <c r="T156" s="87"/>
      <c r="U156" s="87"/>
      <c r="V156" s="87"/>
      <c r="W156" s="87"/>
      <c r="X156" s="87"/>
      <c r="Y156" s="87"/>
      <c r="Z156" s="87"/>
      <c r="AA156" s="87"/>
    </row>
    <row r="157" spans="8:27">
      <c r="H157" s="87"/>
      <c r="I157" s="87"/>
      <c r="J157" s="87"/>
      <c r="K157" s="87"/>
      <c r="L157" s="87"/>
      <c r="M157" s="87"/>
      <c r="N157" s="87"/>
      <c r="O157" s="87"/>
      <c r="P157" s="87"/>
      <c r="Q157" s="87"/>
      <c r="R157" s="87"/>
      <c r="S157" s="87"/>
      <c r="T157" s="87"/>
      <c r="U157" s="87"/>
      <c r="V157" s="87"/>
      <c r="W157" s="87"/>
      <c r="X157" s="87"/>
      <c r="Y157" s="87"/>
      <c r="Z157" s="87"/>
      <c r="AA157" s="87"/>
    </row>
    <row r="158" spans="8:27">
      <c r="H158" s="87"/>
      <c r="I158" s="87"/>
      <c r="J158" s="87"/>
      <c r="K158" s="87"/>
      <c r="L158" s="87"/>
      <c r="M158" s="87"/>
      <c r="N158" s="87"/>
      <c r="O158" s="87"/>
      <c r="P158" s="87"/>
      <c r="Q158" s="87"/>
      <c r="R158" s="87"/>
      <c r="S158" s="87"/>
      <c r="T158" s="87"/>
      <c r="U158" s="87"/>
      <c r="V158" s="87"/>
      <c r="W158" s="87"/>
      <c r="X158" s="87"/>
      <c r="Y158" s="87"/>
      <c r="Z158" s="87"/>
      <c r="AA158" s="87"/>
    </row>
    <row r="159" spans="8:27">
      <c r="H159" s="87"/>
      <c r="I159" s="87"/>
      <c r="J159" s="87"/>
      <c r="K159" s="87"/>
      <c r="L159" s="87"/>
      <c r="M159" s="87"/>
      <c r="N159" s="87"/>
      <c r="O159" s="87"/>
      <c r="P159" s="87"/>
      <c r="Q159" s="87"/>
      <c r="R159" s="87"/>
      <c r="S159" s="87"/>
      <c r="T159" s="87"/>
      <c r="U159" s="87"/>
      <c r="V159" s="87"/>
      <c r="W159" s="87"/>
      <c r="X159" s="87"/>
      <c r="Y159" s="87"/>
      <c r="Z159" s="87"/>
      <c r="AA159" s="87"/>
    </row>
    <row r="160" spans="8:27">
      <c r="H160" s="87"/>
      <c r="I160" s="87"/>
      <c r="J160" s="87"/>
      <c r="K160" s="87"/>
      <c r="L160" s="87"/>
      <c r="M160" s="87"/>
      <c r="N160" s="87"/>
      <c r="O160" s="87"/>
      <c r="P160" s="87"/>
      <c r="Q160" s="87"/>
      <c r="R160" s="87"/>
      <c r="S160" s="87"/>
      <c r="T160" s="87"/>
      <c r="U160" s="87"/>
      <c r="V160" s="87"/>
      <c r="W160" s="87"/>
      <c r="X160" s="87"/>
      <c r="Y160" s="87"/>
      <c r="Z160" s="87"/>
      <c r="AA160" s="87"/>
    </row>
    <row r="161" spans="8:27">
      <c r="H161" s="87"/>
      <c r="I161" s="87"/>
      <c r="J161" s="87"/>
      <c r="K161" s="87"/>
      <c r="L161" s="87"/>
      <c r="M161" s="87"/>
      <c r="N161" s="87"/>
      <c r="O161" s="87"/>
      <c r="P161" s="87"/>
      <c r="Q161" s="87"/>
      <c r="R161" s="87"/>
      <c r="S161" s="87"/>
      <c r="T161" s="87"/>
      <c r="U161" s="87"/>
      <c r="V161" s="87"/>
      <c r="W161" s="87"/>
      <c r="X161" s="87"/>
      <c r="Y161" s="87"/>
      <c r="Z161" s="87"/>
      <c r="AA161" s="87"/>
    </row>
    <row r="162" spans="8:27">
      <c r="H162" s="87"/>
      <c r="I162" s="87"/>
      <c r="J162" s="87"/>
      <c r="K162" s="87"/>
      <c r="L162" s="87"/>
      <c r="M162" s="87"/>
      <c r="N162" s="87"/>
      <c r="O162" s="87"/>
      <c r="P162" s="87"/>
      <c r="Q162" s="87"/>
      <c r="R162" s="87"/>
      <c r="S162" s="87"/>
      <c r="T162" s="87"/>
      <c r="U162" s="87"/>
      <c r="V162" s="87"/>
      <c r="W162" s="87"/>
      <c r="X162" s="87"/>
      <c r="Y162" s="87"/>
      <c r="Z162" s="87"/>
      <c r="AA162" s="87"/>
    </row>
    <row r="163" spans="8:27">
      <c r="H163" s="87"/>
      <c r="I163" s="87"/>
      <c r="J163" s="87"/>
      <c r="K163" s="87"/>
      <c r="L163" s="87"/>
      <c r="M163" s="87"/>
      <c r="N163" s="87"/>
      <c r="O163" s="87"/>
      <c r="P163" s="87"/>
      <c r="Q163" s="87"/>
      <c r="R163" s="87"/>
      <c r="S163" s="87"/>
      <c r="T163" s="87"/>
      <c r="U163" s="87"/>
      <c r="V163" s="87"/>
      <c r="W163" s="87"/>
      <c r="X163" s="87"/>
      <c r="Y163" s="87"/>
      <c r="Z163" s="87"/>
      <c r="AA163" s="87"/>
    </row>
    <row r="164" spans="8:27">
      <c r="H164" s="87"/>
      <c r="I164" s="87"/>
      <c r="J164" s="87"/>
      <c r="K164" s="87"/>
      <c r="L164" s="87"/>
      <c r="M164" s="87"/>
      <c r="N164" s="87"/>
      <c r="O164" s="87"/>
      <c r="P164" s="87"/>
      <c r="Q164" s="87"/>
      <c r="R164" s="87"/>
      <c r="S164" s="87"/>
      <c r="T164" s="87"/>
      <c r="U164" s="87"/>
      <c r="V164" s="87"/>
      <c r="W164" s="87"/>
      <c r="X164" s="87"/>
      <c r="Y164" s="87"/>
      <c r="Z164" s="87"/>
      <c r="AA164" s="87"/>
    </row>
    <row r="165" spans="8:27">
      <c r="H165" s="87"/>
      <c r="I165" s="87"/>
      <c r="J165" s="87"/>
      <c r="K165" s="87"/>
      <c r="L165" s="87"/>
      <c r="M165" s="87"/>
      <c r="N165" s="87"/>
      <c r="O165" s="87"/>
      <c r="P165" s="87"/>
      <c r="Q165" s="87"/>
      <c r="R165" s="87"/>
      <c r="S165" s="87"/>
      <c r="T165" s="87"/>
      <c r="U165" s="87"/>
      <c r="V165" s="87"/>
      <c r="W165" s="87"/>
      <c r="X165" s="87"/>
      <c r="Y165" s="87"/>
      <c r="Z165" s="87"/>
      <c r="AA165" s="87"/>
    </row>
    <row r="166" spans="8:27">
      <c r="H166" s="87"/>
      <c r="I166" s="87"/>
      <c r="J166" s="87"/>
      <c r="K166" s="87"/>
      <c r="L166" s="87"/>
      <c r="M166" s="87"/>
      <c r="N166" s="87"/>
      <c r="O166" s="87"/>
      <c r="P166" s="87"/>
      <c r="Q166" s="87"/>
      <c r="R166" s="87"/>
      <c r="S166" s="87"/>
      <c r="T166" s="87"/>
      <c r="U166" s="87"/>
      <c r="V166" s="87"/>
      <c r="W166" s="87"/>
      <c r="X166" s="87"/>
      <c r="Y166" s="87"/>
      <c r="Z166" s="87"/>
      <c r="AA166" s="87"/>
    </row>
    <row r="167" spans="8:27">
      <c r="H167" s="87"/>
      <c r="I167" s="87"/>
      <c r="J167" s="87"/>
      <c r="K167" s="87"/>
      <c r="L167" s="87"/>
      <c r="M167" s="87"/>
      <c r="N167" s="87"/>
      <c r="O167" s="87"/>
      <c r="P167" s="87"/>
      <c r="Q167" s="87"/>
      <c r="R167" s="87"/>
      <c r="S167" s="87"/>
      <c r="T167" s="87"/>
      <c r="U167" s="87"/>
      <c r="V167" s="87"/>
      <c r="W167" s="87"/>
      <c r="X167" s="87"/>
      <c r="Y167" s="87"/>
      <c r="Z167" s="87"/>
      <c r="AA167" s="87"/>
    </row>
    <row r="168" spans="8:27">
      <c r="H168" s="87"/>
      <c r="I168" s="87"/>
      <c r="J168" s="87"/>
      <c r="K168" s="87"/>
      <c r="L168" s="87"/>
      <c r="M168" s="87"/>
      <c r="N168" s="87"/>
      <c r="O168" s="87"/>
      <c r="P168" s="87"/>
      <c r="Q168" s="87"/>
      <c r="R168" s="87"/>
      <c r="S168" s="87"/>
      <c r="T168" s="87"/>
      <c r="U168" s="87"/>
      <c r="V168" s="87"/>
      <c r="W168" s="87"/>
      <c r="X168" s="87"/>
      <c r="Y168" s="87"/>
      <c r="Z168" s="87"/>
      <c r="AA168" s="87"/>
    </row>
    <row r="169" spans="8:27">
      <c r="H169" s="87"/>
      <c r="I169" s="87"/>
      <c r="J169" s="87"/>
      <c r="K169" s="87"/>
      <c r="L169" s="87"/>
      <c r="M169" s="87"/>
      <c r="N169" s="87"/>
      <c r="O169" s="87"/>
      <c r="P169" s="87"/>
      <c r="Q169" s="87"/>
      <c r="R169" s="87"/>
      <c r="S169" s="87"/>
      <c r="T169" s="87"/>
      <c r="U169" s="87"/>
      <c r="V169" s="87"/>
      <c r="W169" s="87"/>
      <c r="X169" s="87"/>
      <c r="Y169" s="87"/>
      <c r="Z169" s="87"/>
      <c r="AA169" s="87"/>
    </row>
    <row r="170" spans="8:27">
      <c r="H170" s="87"/>
      <c r="I170" s="87"/>
      <c r="J170" s="87"/>
      <c r="K170" s="87"/>
      <c r="L170" s="87"/>
      <c r="M170" s="87"/>
      <c r="N170" s="87"/>
      <c r="O170" s="87"/>
      <c r="P170" s="87"/>
      <c r="Q170" s="87"/>
      <c r="R170" s="87"/>
      <c r="S170" s="87"/>
      <c r="T170" s="87"/>
      <c r="U170" s="87"/>
      <c r="V170" s="87"/>
      <c r="W170" s="87"/>
      <c r="X170" s="87"/>
      <c r="Y170" s="87"/>
      <c r="Z170" s="87"/>
      <c r="AA170" s="87"/>
    </row>
    <row r="171" spans="8:27">
      <c r="H171" s="87"/>
      <c r="I171" s="87"/>
      <c r="J171" s="87"/>
      <c r="K171" s="87"/>
      <c r="L171" s="87"/>
      <c r="M171" s="87"/>
      <c r="N171" s="87"/>
      <c r="O171" s="87"/>
      <c r="P171" s="87"/>
      <c r="Q171" s="87"/>
      <c r="R171" s="87"/>
      <c r="S171" s="87"/>
      <c r="T171" s="87"/>
      <c r="U171" s="87"/>
      <c r="V171" s="87"/>
      <c r="W171" s="87"/>
      <c r="X171" s="87"/>
      <c r="Y171" s="87"/>
      <c r="Z171" s="87"/>
      <c r="AA171" s="87"/>
    </row>
    <row r="172" spans="8:27">
      <c r="H172" s="87"/>
      <c r="I172" s="87"/>
      <c r="J172" s="87"/>
      <c r="K172" s="87"/>
      <c r="L172" s="87"/>
      <c r="M172" s="87"/>
      <c r="N172" s="87"/>
      <c r="O172" s="87"/>
      <c r="P172" s="87"/>
      <c r="Q172" s="87"/>
      <c r="R172" s="87"/>
      <c r="S172" s="87"/>
      <c r="T172" s="87"/>
      <c r="U172" s="87"/>
      <c r="V172" s="87"/>
      <c r="W172" s="87"/>
      <c r="X172" s="87"/>
      <c r="Y172" s="87"/>
      <c r="Z172" s="87"/>
      <c r="AA172" s="87"/>
    </row>
    <row r="173" spans="8:27">
      <c r="H173" s="87"/>
      <c r="I173" s="87"/>
      <c r="J173" s="87"/>
      <c r="K173" s="87"/>
      <c r="L173" s="87"/>
      <c r="M173" s="87"/>
      <c r="N173" s="87"/>
      <c r="O173" s="87"/>
      <c r="P173" s="87"/>
      <c r="Q173" s="87"/>
      <c r="R173" s="87"/>
      <c r="S173" s="87"/>
      <c r="T173" s="87"/>
      <c r="U173" s="87"/>
      <c r="V173" s="87"/>
      <c r="W173" s="87"/>
      <c r="X173" s="87"/>
      <c r="Y173" s="87"/>
      <c r="Z173" s="87"/>
      <c r="AA173" s="87"/>
    </row>
    <row r="174" spans="8:27">
      <c r="H174" s="87"/>
      <c r="I174" s="87"/>
      <c r="J174" s="87"/>
      <c r="K174" s="87"/>
      <c r="L174" s="87"/>
      <c r="M174" s="87"/>
      <c r="N174" s="87"/>
      <c r="O174" s="87"/>
      <c r="P174" s="87"/>
      <c r="Q174" s="87"/>
      <c r="R174" s="87"/>
      <c r="S174" s="87"/>
      <c r="T174" s="87"/>
      <c r="U174" s="87"/>
      <c r="V174" s="87"/>
      <c r="W174" s="87"/>
      <c r="X174" s="87"/>
      <c r="Y174" s="87"/>
      <c r="Z174" s="87"/>
      <c r="AA174" s="87"/>
    </row>
    <row r="175" spans="8:27">
      <c r="H175" s="87"/>
      <c r="I175" s="87"/>
      <c r="J175" s="87"/>
      <c r="K175" s="87"/>
      <c r="L175" s="87"/>
      <c r="M175" s="87"/>
      <c r="N175" s="87"/>
      <c r="O175" s="87"/>
      <c r="P175" s="87"/>
      <c r="Q175" s="87"/>
      <c r="R175" s="87"/>
      <c r="S175" s="87"/>
      <c r="T175" s="87"/>
      <c r="U175" s="87"/>
      <c r="V175" s="87"/>
      <c r="W175" s="87"/>
      <c r="X175" s="87"/>
      <c r="Y175" s="87"/>
      <c r="Z175" s="87"/>
      <c r="AA175" s="87"/>
    </row>
    <row r="176" spans="8:27">
      <c r="H176" s="87"/>
      <c r="I176" s="87"/>
      <c r="J176" s="87"/>
      <c r="K176" s="87"/>
      <c r="L176" s="87"/>
      <c r="M176" s="87"/>
      <c r="N176" s="87"/>
      <c r="O176" s="87"/>
      <c r="P176" s="87"/>
      <c r="Q176" s="87"/>
      <c r="R176" s="87"/>
      <c r="S176" s="87"/>
      <c r="T176" s="87"/>
      <c r="U176" s="87"/>
      <c r="V176" s="87"/>
      <c r="W176" s="87"/>
      <c r="X176" s="87"/>
      <c r="Y176" s="87"/>
      <c r="Z176" s="87"/>
      <c r="AA176" s="87"/>
    </row>
    <row r="177" spans="8:27">
      <c r="H177" s="87"/>
      <c r="I177" s="87"/>
      <c r="J177" s="87"/>
      <c r="K177" s="87"/>
      <c r="L177" s="87"/>
      <c r="M177" s="87"/>
      <c r="N177" s="87"/>
      <c r="O177" s="87"/>
      <c r="P177" s="87"/>
      <c r="Q177" s="87"/>
      <c r="R177" s="87"/>
      <c r="S177" s="87"/>
      <c r="T177" s="87"/>
      <c r="U177" s="87"/>
      <c r="V177" s="87"/>
      <c r="W177" s="87"/>
      <c r="X177" s="87"/>
      <c r="Y177" s="87"/>
      <c r="Z177" s="87"/>
      <c r="AA177" s="87"/>
    </row>
    <row r="178" spans="8:27">
      <c r="H178" s="87"/>
      <c r="I178" s="87"/>
      <c r="J178" s="87"/>
      <c r="K178" s="87"/>
      <c r="L178" s="87"/>
      <c r="M178" s="87"/>
      <c r="N178" s="87"/>
      <c r="O178" s="87"/>
      <c r="P178" s="87"/>
      <c r="Q178" s="87"/>
      <c r="R178" s="87"/>
      <c r="S178" s="87"/>
      <c r="T178" s="87"/>
      <c r="U178" s="87"/>
      <c r="V178" s="87"/>
      <c r="W178" s="87"/>
      <c r="X178" s="87"/>
      <c r="Y178" s="87"/>
      <c r="Z178" s="87"/>
      <c r="AA178" s="87"/>
    </row>
    <row r="179" spans="8:27">
      <c r="H179" s="87"/>
      <c r="I179" s="87"/>
      <c r="J179" s="87"/>
      <c r="K179" s="87"/>
      <c r="L179" s="87"/>
      <c r="M179" s="87"/>
      <c r="N179" s="87"/>
      <c r="O179" s="87"/>
      <c r="P179" s="87"/>
      <c r="Q179" s="87"/>
      <c r="R179" s="87"/>
      <c r="S179" s="87"/>
      <c r="T179" s="87"/>
      <c r="U179" s="87"/>
      <c r="V179" s="87"/>
      <c r="W179" s="87"/>
      <c r="X179" s="87"/>
      <c r="Y179" s="87"/>
      <c r="Z179" s="87"/>
      <c r="AA179" s="87"/>
    </row>
    <row r="180" spans="8:27">
      <c r="H180" s="87"/>
      <c r="I180" s="87"/>
      <c r="J180" s="87"/>
      <c r="K180" s="87"/>
      <c r="L180" s="87"/>
      <c r="M180" s="87"/>
      <c r="N180" s="87"/>
      <c r="O180" s="87"/>
      <c r="P180" s="87"/>
      <c r="Q180" s="87"/>
      <c r="R180" s="87"/>
      <c r="S180" s="87"/>
      <c r="T180" s="87"/>
      <c r="U180" s="87"/>
      <c r="V180" s="87"/>
      <c r="W180" s="87"/>
      <c r="X180" s="87"/>
      <c r="Y180" s="87"/>
      <c r="Z180" s="87"/>
      <c r="AA180" s="87"/>
    </row>
    <row r="181" spans="8:27">
      <c r="H181" s="87"/>
      <c r="I181" s="87"/>
      <c r="J181" s="87"/>
      <c r="K181" s="87"/>
      <c r="L181" s="87"/>
      <c r="M181" s="87"/>
      <c r="N181" s="87"/>
      <c r="O181" s="87"/>
      <c r="P181" s="87"/>
      <c r="Q181" s="87"/>
      <c r="R181" s="87"/>
      <c r="S181" s="87"/>
      <c r="T181" s="87"/>
      <c r="U181" s="87"/>
      <c r="V181" s="87"/>
      <c r="W181" s="87"/>
      <c r="X181" s="87"/>
      <c r="Y181" s="87"/>
      <c r="Z181" s="87"/>
      <c r="AA181" s="87"/>
    </row>
    <row r="182" spans="8:27">
      <c r="H182" s="87"/>
      <c r="I182" s="87"/>
      <c r="J182" s="87"/>
      <c r="K182" s="87"/>
      <c r="L182" s="87"/>
      <c r="M182" s="87"/>
      <c r="N182" s="87"/>
      <c r="O182" s="87"/>
      <c r="P182" s="87"/>
      <c r="Q182" s="87"/>
      <c r="R182" s="87"/>
      <c r="S182" s="87"/>
      <c r="T182" s="87"/>
      <c r="U182" s="87"/>
      <c r="V182" s="87"/>
      <c r="W182" s="87"/>
      <c r="X182" s="87"/>
      <c r="Y182" s="87"/>
      <c r="Z182" s="87"/>
      <c r="AA182" s="87"/>
    </row>
    <row r="183" spans="8:27">
      <c r="H183" s="87"/>
      <c r="I183" s="87"/>
      <c r="J183" s="87"/>
      <c r="K183" s="87"/>
      <c r="L183" s="87"/>
      <c r="M183" s="87"/>
      <c r="N183" s="87"/>
      <c r="O183" s="87"/>
      <c r="P183" s="87"/>
      <c r="Q183" s="87"/>
      <c r="R183" s="87"/>
      <c r="S183" s="87"/>
      <c r="T183" s="87"/>
      <c r="U183" s="87"/>
      <c r="V183" s="87"/>
      <c r="W183" s="87"/>
      <c r="X183" s="87"/>
      <c r="Y183" s="87"/>
      <c r="Z183" s="87"/>
      <c r="AA183" s="87"/>
    </row>
    <row r="184" spans="8:27">
      <c r="H184" s="87"/>
      <c r="I184" s="87"/>
      <c r="J184" s="87"/>
      <c r="K184" s="87"/>
      <c r="L184" s="87"/>
      <c r="M184" s="87"/>
      <c r="N184" s="87"/>
      <c r="O184" s="87"/>
      <c r="P184" s="87"/>
      <c r="Q184" s="87"/>
      <c r="R184" s="87"/>
      <c r="S184" s="87"/>
      <c r="T184" s="87"/>
      <c r="U184" s="87"/>
      <c r="V184" s="87"/>
      <c r="W184" s="87"/>
      <c r="X184" s="87"/>
      <c r="Y184" s="87"/>
      <c r="Z184" s="87"/>
      <c r="AA184" s="87"/>
    </row>
    <row r="185" spans="8:27">
      <c r="H185" s="87"/>
      <c r="I185" s="87"/>
      <c r="J185" s="87"/>
      <c r="K185" s="87"/>
      <c r="L185" s="87"/>
      <c r="M185" s="87"/>
      <c r="N185" s="87"/>
      <c r="O185" s="87"/>
      <c r="P185" s="87"/>
      <c r="Q185" s="87"/>
      <c r="R185" s="87"/>
      <c r="S185" s="87"/>
      <c r="T185" s="87"/>
      <c r="U185" s="87"/>
      <c r="V185" s="87"/>
      <c r="W185" s="87"/>
      <c r="X185" s="87"/>
      <c r="Y185" s="87"/>
      <c r="Z185" s="87"/>
      <c r="AA185" s="87"/>
    </row>
    <row r="186" spans="8:27">
      <c r="H186" s="87"/>
      <c r="I186" s="87"/>
      <c r="J186" s="87"/>
      <c r="K186" s="87"/>
      <c r="L186" s="87"/>
      <c r="M186" s="87"/>
      <c r="N186" s="87"/>
      <c r="O186" s="87"/>
      <c r="P186" s="87"/>
      <c r="Q186" s="87"/>
      <c r="R186" s="87"/>
      <c r="S186" s="87"/>
      <c r="T186" s="87"/>
      <c r="U186" s="87"/>
      <c r="V186" s="87"/>
      <c r="W186" s="87"/>
      <c r="X186" s="87"/>
      <c r="Y186" s="87"/>
      <c r="Z186" s="87"/>
      <c r="AA186" s="87"/>
    </row>
    <row r="187" spans="8:27">
      <c r="H187" s="87"/>
      <c r="I187" s="87"/>
      <c r="J187" s="87"/>
      <c r="K187" s="87"/>
      <c r="L187" s="87"/>
      <c r="M187" s="87"/>
      <c r="N187" s="87"/>
      <c r="O187" s="87"/>
      <c r="P187" s="87"/>
      <c r="Q187" s="87"/>
      <c r="R187" s="87"/>
      <c r="S187" s="87"/>
      <c r="T187" s="87"/>
      <c r="U187" s="87"/>
      <c r="V187" s="87"/>
      <c r="W187" s="87"/>
      <c r="X187" s="87"/>
      <c r="Y187" s="87"/>
      <c r="Z187" s="87"/>
      <c r="AA187" s="87"/>
    </row>
    <row r="188" spans="8:27">
      <c r="H188" s="87"/>
      <c r="I188" s="87"/>
      <c r="J188" s="87"/>
      <c r="K188" s="87"/>
      <c r="L188" s="87"/>
      <c r="M188" s="87"/>
      <c r="N188" s="87"/>
      <c r="O188" s="87"/>
      <c r="P188" s="87"/>
      <c r="Q188" s="87"/>
      <c r="R188" s="87"/>
      <c r="S188" s="87"/>
      <c r="T188" s="87"/>
      <c r="U188" s="87"/>
      <c r="V188" s="87"/>
      <c r="W188" s="87"/>
      <c r="X188" s="87"/>
      <c r="Y188" s="87"/>
      <c r="Z188" s="87"/>
      <c r="AA188" s="87"/>
    </row>
    <row r="189" spans="8:27">
      <c r="H189" s="87"/>
      <c r="I189" s="87"/>
      <c r="J189" s="87"/>
      <c r="K189" s="87"/>
      <c r="L189" s="87"/>
      <c r="M189" s="87"/>
      <c r="N189" s="87"/>
      <c r="O189" s="87"/>
      <c r="P189" s="87"/>
      <c r="Q189" s="87"/>
      <c r="R189" s="87"/>
      <c r="S189" s="87"/>
      <c r="T189" s="87"/>
      <c r="U189" s="87"/>
      <c r="V189" s="87"/>
      <c r="W189" s="87"/>
      <c r="X189" s="87"/>
      <c r="Y189" s="87"/>
      <c r="Z189" s="87"/>
      <c r="AA189" s="87"/>
    </row>
    <row r="190" spans="8:27">
      <c r="H190" s="87"/>
      <c r="I190" s="87"/>
      <c r="J190" s="87"/>
      <c r="K190" s="87"/>
      <c r="L190" s="87"/>
      <c r="M190" s="87"/>
      <c r="N190" s="87"/>
      <c r="O190" s="87"/>
      <c r="P190" s="87"/>
      <c r="Q190" s="87"/>
      <c r="R190" s="87"/>
      <c r="S190" s="87"/>
      <c r="T190" s="87"/>
      <c r="U190" s="87"/>
      <c r="V190" s="87"/>
      <c r="W190" s="87"/>
      <c r="X190" s="87"/>
      <c r="Y190" s="87"/>
      <c r="Z190" s="87"/>
      <c r="AA190" s="87"/>
    </row>
    <row r="191" spans="8:27">
      <c r="H191" s="87"/>
      <c r="I191" s="87"/>
      <c r="J191" s="87"/>
      <c r="K191" s="87"/>
      <c r="L191" s="87"/>
      <c r="M191" s="87"/>
      <c r="N191" s="87"/>
      <c r="O191" s="87"/>
      <c r="P191" s="87"/>
      <c r="Q191" s="87"/>
      <c r="R191" s="87"/>
      <c r="S191" s="87"/>
      <c r="T191" s="87"/>
      <c r="U191" s="87"/>
      <c r="V191" s="87"/>
      <c r="W191" s="87"/>
      <c r="X191" s="87"/>
      <c r="Y191" s="87"/>
      <c r="Z191" s="87"/>
      <c r="AA191" s="87"/>
    </row>
    <row r="192" spans="8:27">
      <c r="H192" s="87"/>
      <c r="I192" s="87"/>
      <c r="J192" s="87"/>
      <c r="K192" s="87"/>
      <c r="L192" s="87"/>
      <c r="M192" s="87"/>
      <c r="N192" s="87"/>
      <c r="O192" s="87"/>
      <c r="P192" s="87"/>
      <c r="Q192" s="87"/>
      <c r="R192" s="87"/>
      <c r="S192" s="87"/>
      <c r="T192" s="87"/>
      <c r="U192" s="87"/>
      <c r="V192" s="87"/>
      <c r="W192" s="87"/>
      <c r="X192" s="87"/>
      <c r="Y192" s="87"/>
      <c r="Z192" s="87"/>
      <c r="AA192" s="87"/>
    </row>
    <row r="193" spans="8:27">
      <c r="H193" s="87"/>
      <c r="I193" s="87"/>
      <c r="J193" s="87"/>
      <c r="K193" s="87"/>
      <c r="L193" s="87"/>
      <c r="M193" s="87"/>
      <c r="N193" s="87"/>
      <c r="O193" s="87"/>
      <c r="P193" s="87"/>
      <c r="Q193" s="87"/>
      <c r="R193" s="87"/>
      <c r="S193" s="87"/>
      <c r="T193" s="87"/>
      <c r="U193" s="87"/>
      <c r="V193" s="87"/>
      <c r="W193" s="87"/>
      <c r="X193" s="87"/>
      <c r="Y193" s="87"/>
      <c r="Z193" s="87"/>
      <c r="AA193" s="87"/>
    </row>
    <row r="194" spans="8:27">
      <c r="H194" s="87"/>
      <c r="I194" s="87"/>
      <c r="J194" s="87"/>
      <c r="K194" s="87"/>
      <c r="L194" s="87"/>
      <c r="M194" s="87"/>
      <c r="N194" s="87"/>
      <c r="O194" s="87"/>
      <c r="P194" s="87"/>
      <c r="Q194" s="87"/>
      <c r="R194" s="87"/>
      <c r="S194" s="87"/>
      <c r="T194" s="87"/>
      <c r="U194" s="87"/>
      <c r="V194" s="87"/>
      <c r="W194" s="87"/>
      <c r="X194" s="87"/>
      <c r="Y194" s="87"/>
      <c r="Z194" s="87"/>
      <c r="AA194" s="87"/>
    </row>
    <row r="195" spans="8:27">
      <c r="H195" s="87"/>
      <c r="I195" s="87"/>
      <c r="J195" s="87"/>
      <c r="K195" s="87"/>
      <c r="L195" s="87"/>
      <c r="M195" s="87"/>
      <c r="N195" s="87"/>
      <c r="O195" s="87"/>
      <c r="P195" s="87"/>
      <c r="Q195" s="87"/>
      <c r="R195" s="87"/>
      <c r="S195" s="87"/>
      <c r="T195" s="87"/>
      <c r="U195" s="87"/>
      <c r="V195" s="87"/>
      <c r="W195" s="87"/>
      <c r="X195" s="87"/>
      <c r="Y195" s="87"/>
      <c r="Z195" s="87"/>
      <c r="AA195" s="87"/>
    </row>
    <row r="196" spans="8:27">
      <c r="H196" s="87"/>
      <c r="I196" s="87"/>
      <c r="J196" s="87"/>
      <c r="K196" s="87"/>
      <c r="L196" s="87"/>
      <c r="M196" s="87"/>
      <c r="N196" s="87"/>
      <c r="O196" s="87"/>
      <c r="P196" s="87"/>
      <c r="Q196" s="87"/>
      <c r="R196" s="87"/>
      <c r="S196" s="87"/>
      <c r="T196" s="87"/>
      <c r="U196" s="87"/>
      <c r="V196" s="87"/>
      <c r="W196" s="87"/>
      <c r="X196" s="87"/>
      <c r="Y196" s="87"/>
      <c r="Z196" s="87"/>
      <c r="AA196" s="87"/>
    </row>
    <row r="197" spans="8:27">
      <c r="H197" s="87"/>
      <c r="I197" s="87"/>
      <c r="J197" s="87"/>
      <c r="K197" s="87"/>
      <c r="L197" s="87"/>
      <c r="M197" s="87"/>
      <c r="N197" s="87"/>
      <c r="O197" s="87"/>
      <c r="P197" s="87"/>
      <c r="Q197" s="87"/>
      <c r="R197" s="87"/>
      <c r="S197" s="87"/>
      <c r="T197" s="87"/>
      <c r="U197" s="87"/>
      <c r="V197" s="87"/>
      <c r="W197" s="87"/>
      <c r="X197" s="87"/>
      <c r="Y197" s="87"/>
      <c r="Z197" s="87"/>
      <c r="AA197" s="87"/>
    </row>
    <row r="198" spans="8:27">
      <c r="H198" s="87"/>
      <c r="I198" s="87"/>
      <c r="J198" s="87"/>
      <c r="K198" s="87"/>
      <c r="L198" s="87"/>
      <c r="M198" s="87"/>
      <c r="N198" s="87"/>
      <c r="O198" s="87"/>
      <c r="P198" s="87"/>
      <c r="Q198" s="87"/>
      <c r="R198" s="87"/>
      <c r="S198" s="87"/>
      <c r="T198" s="87"/>
      <c r="U198" s="87"/>
      <c r="V198" s="87"/>
      <c r="W198" s="87"/>
      <c r="X198" s="87"/>
      <c r="Y198" s="87"/>
      <c r="Z198" s="87"/>
      <c r="AA198" s="87"/>
    </row>
    <row r="199" spans="8:27">
      <c r="H199" s="87"/>
      <c r="I199" s="87"/>
      <c r="J199" s="87"/>
      <c r="K199" s="87"/>
      <c r="L199" s="87"/>
      <c r="M199" s="87"/>
      <c r="N199" s="87"/>
      <c r="O199" s="87"/>
      <c r="P199" s="87"/>
      <c r="Q199" s="87"/>
      <c r="R199" s="87"/>
      <c r="S199" s="87"/>
      <c r="T199" s="87"/>
      <c r="U199" s="87"/>
      <c r="V199" s="87"/>
      <c r="W199" s="87"/>
      <c r="X199" s="87"/>
      <c r="Y199" s="87"/>
      <c r="Z199" s="87"/>
      <c r="AA199" s="87"/>
    </row>
    <row r="200" spans="8:27">
      <c r="H200" s="87"/>
      <c r="I200" s="87"/>
      <c r="J200" s="87"/>
      <c r="K200" s="87"/>
      <c r="L200" s="87"/>
      <c r="M200" s="87"/>
      <c r="N200" s="87"/>
      <c r="O200" s="87"/>
      <c r="P200" s="87"/>
      <c r="Q200" s="87"/>
      <c r="R200" s="87"/>
      <c r="S200" s="87"/>
      <c r="T200" s="87"/>
      <c r="U200" s="87"/>
      <c r="V200" s="87"/>
      <c r="W200" s="87"/>
      <c r="X200" s="87"/>
      <c r="Y200" s="87"/>
      <c r="Z200" s="87"/>
      <c r="AA200" s="87"/>
    </row>
    <row r="201" spans="8:27">
      <c r="H201" s="87"/>
      <c r="I201" s="87"/>
      <c r="J201" s="87"/>
      <c r="K201" s="87"/>
      <c r="L201" s="87"/>
      <c r="M201" s="87"/>
      <c r="N201" s="87"/>
      <c r="O201" s="87"/>
      <c r="P201" s="87"/>
      <c r="Q201" s="87"/>
      <c r="R201" s="87"/>
      <c r="S201" s="87"/>
      <c r="T201" s="87"/>
      <c r="U201" s="87"/>
      <c r="V201" s="87"/>
      <c r="W201" s="87"/>
      <c r="X201" s="87"/>
      <c r="Y201" s="87"/>
      <c r="Z201" s="87"/>
      <c r="AA201" s="87"/>
    </row>
    <row r="202" spans="8:27">
      <c r="H202" s="87"/>
      <c r="I202" s="87"/>
      <c r="J202" s="87"/>
      <c r="K202" s="87"/>
      <c r="L202" s="87"/>
      <c r="M202" s="87"/>
      <c r="N202" s="87"/>
      <c r="O202" s="87"/>
      <c r="P202" s="87"/>
      <c r="Q202" s="87"/>
      <c r="R202" s="87"/>
      <c r="S202" s="87"/>
      <c r="T202" s="87"/>
      <c r="U202" s="87"/>
      <c r="V202" s="87"/>
      <c r="W202" s="87"/>
      <c r="X202" s="87"/>
      <c r="Y202" s="87"/>
      <c r="Z202" s="87"/>
      <c r="AA202" s="87"/>
    </row>
    <row r="203" spans="8:27">
      <c r="H203" s="87"/>
      <c r="I203" s="87"/>
      <c r="J203" s="87"/>
      <c r="K203" s="87"/>
      <c r="L203" s="87"/>
      <c r="M203" s="87"/>
      <c r="N203" s="87"/>
      <c r="O203" s="87"/>
      <c r="P203" s="87"/>
      <c r="Q203" s="87"/>
      <c r="R203" s="87"/>
      <c r="S203" s="87"/>
      <c r="T203" s="87"/>
      <c r="U203" s="87"/>
      <c r="V203" s="87"/>
      <c r="W203" s="87"/>
      <c r="X203" s="87"/>
      <c r="Y203" s="87"/>
      <c r="Z203" s="87"/>
      <c r="AA203" s="87"/>
    </row>
    <row r="204" spans="8:27">
      <c r="H204" s="87"/>
      <c r="I204" s="87"/>
      <c r="J204" s="87"/>
      <c r="K204" s="87"/>
      <c r="L204" s="87"/>
      <c r="M204" s="87"/>
      <c r="N204" s="87"/>
      <c r="O204" s="87"/>
      <c r="P204" s="87"/>
      <c r="Q204" s="87"/>
      <c r="R204" s="87"/>
      <c r="S204" s="87"/>
      <c r="T204" s="87"/>
      <c r="U204" s="87"/>
      <c r="V204" s="87"/>
      <c r="W204" s="87"/>
      <c r="X204" s="87"/>
      <c r="Y204" s="87"/>
      <c r="Z204" s="87"/>
      <c r="AA204" s="87"/>
    </row>
    <row r="205" spans="8:27">
      <c r="H205" s="87"/>
      <c r="I205" s="87"/>
      <c r="J205" s="87"/>
      <c r="K205" s="87"/>
      <c r="L205" s="87"/>
      <c r="M205" s="87"/>
      <c r="N205" s="87"/>
      <c r="O205" s="87"/>
      <c r="P205" s="87"/>
      <c r="Q205" s="87"/>
      <c r="R205" s="87"/>
      <c r="S205" s="87"/>
      <c r="T205" s="87"/>
      <c r="U205" s="87"/>
      <c r="V205" s="87"/>
      <c r="W205" s="87"/>
      <c r="X205" s="87"/>
      <c r="Y205" s="87"/>
      <c r="Z205" s="87"/>
      <c r="AA205" s="87"/>
    </row>
    <row r="206" spans="8:27">
      <c r="H206" s="87"/>
      <c r="I206" s="87"/>
      <c r="J206" s="87"/>
      <c r="K206" s="87"/>
      <c r="L206" s="87"/>
      <c r="M206" s="87"/>
      <c r="N206" s="87"/>
      <c r="O206" s="87"/>
      <c r="P206" s="87"/>
      <c r="Q206" s="87"/>
      <c r="R206" s="87"/>
      <c r="S206" s="87"/>
      <c r="T206" s="87"/>
      <c r="U206" s="87"/>
      <c r="V206" s="87"/>
      <c r="W206" s="87"/>
      <c r="X206" s="87"/>
      <c r="Y206" s="87"/>
      <c r="Z206" s="87"/>
      <c r="AA206" s="87"/>
    </row>
    <row r="207" spans="8:27">
      <c r="H207" s="87"/>
      <c r="I207" s="87"/>
      <c r="J207" s="87"/>
      <c r="K207" s="87"/>
      <c r="L207" s="87"/>
      <c r="M207" s="87"/>
      <c r="N207" s="87"/>
      <c r="O207" s="87"/>
      <c r="P207" s="87"/>
      <c r="Q207" s="87"/>
      <c r="R207" s="87"/>
      <c r="S207" s="87"/>
      <c r="T207" s="87"/>
      <c r="U207" s="87"/>
      <c r="V207" s="87"/>
      <c r="W207" s="87"/>
      <c r="X207" s="87"/>
      <c r="Y207" s="87"/>
      <c r="Z207" s="87"/>
      <c r="AA207" s="87"/>
    </row>
    <row r="208" spans="8:27">
      <c r="H208" s="87"/>
      <c r="I208" s="87"/>
      <c r="J208" s="87"/>
      <c r="K208" s="87"/>
      <c r="L208" s="87"/>
      <c r="M208" s="87"/>
      <c r="N208" s="87"/>
      <c r="O208" s="87"/>
      <c r="P208" s="87"/>
      <c r="Q208" s="87"/>
      <c r="R208" s="87"/>
      <c r="S208" s="87"/>
      <c r="T208" s="87"/>
      <c r="U208" s="87"/>
      <c r="V208" s="87"/>
      <c r="W208" s="87"/>
      <c r="X208" s="87"/>
      <c r="Y208" s="87"/>
      <c r="Z208" s="87"/>
      <c r="AA208" s="87"/>
    </row>
    <row r="209" spans="8:27">
      <c r="H209" s="87"/>
      <c r="I209" s="87"/>
      <c r="J209" s="87"/>
      <c r="K209" s="87"/>
      <c r="L209" s="87"/>
      <c r="M209" s="87"/>
      <c r="N209" s="87"/>
      <c r="O209" s="87"/>
      <c r="P209" s="87"/>
      <c r="Q209" s="87"/>
      <c r="R209" s="87"/>
      <c r="S209" s="87"/>
      <c r="T209" s="87"/>
      <c r="U209" s="87"/>
      <c r="V209" s="87"/>
      <c r="W209" s="87"/>
      <c r="X209" s="87"/>
      <c r="Y209" s="87"/>
      <c r="Z209" s="87"/>
      <c r="AA209" s="87"/>
    </row>
    <row r="210" spans="8:27">
      <c r="H210" s="87"/>
      <c r="I210" s="87"/>
      <c r="J210" s="87"/>
      <c r="K210" s="87"/>
      <c r="L210" s="87"/>
      <c r="M210" s="87"/>
      <c r="N210" s="87"/>
      <c r="O210" s="87"/>
      <c r="P210" s="87"/>
      <c r="Q210" s="87"/>
      <c r="R210" s="87"/>
      <c r="S210" s="87"/>
      <c r="T210" s="87"/>
      <c r="U210" s="87"/>
      <c r="V210" s="87"/>
      <c r="W210" s="87"/>
      <c r="X210" s="87"/>
      <c r="Y210" s="87"/>
      <c r="Z210" s="87"/>
      <c r="AA210" s="87"/>
    </row>
    <row r="211" spans="8:27">
      <c r="H211" s="87"/>
      <c r="I211" s="87"/>
      <c r="J211" s="87"/>
      <c r="K211" s="87"/>
      <c r="L211" s="87"/>
      <c r="M211" s="87"/>
      <c r="N211" s="87"/>
      <c r="O211" s="87"/>
      <c r="P211" s="87"/>
      <c r="Q211" s="87"/>
      <c r="R211" s="87"/>
      <c r="S211" s="87"/>
      <c r="T211" s="87"/>
      <c r="U211" s="87"/>
      <c r="V211" s="87"/>
      <c r="W211" s="87"/>
      <c r="X211" s="87"/>
      <c r="Y211" s="87"/>
      <c r="Z211" s="87"/>
      <c r="AA211" s="87"/>
    </row>
    <row r="212" spans="8:27">
      <c r="H212" s="87"/>
      <c r="I212" s="87"/>
      <c r="J212" s="87"/>
      <c r="K212" s="87"/>
      <c r="L212" s="87"/>
      <c r="M212" s="87"/>
      <c r="N212" s="87"/>
      <c r="O212" s="87"/>
      <c r="P212" s="87"/>
      <c r="Q212" s="87"/>
      <c r="R212" s="87"/>
      <c r="S212" s="87"/>
      <c r="T212" s="87"/>
      <c r="U212" s="87"/>
      <c r="V212" s="87"/>
      <c r="W212" s="87"/>
      <c r="X212" s="87"/>
      <c r="Y212" s="87"/>
      <c r="Z212" s="87"/>
      <c r="AA212" s="87"/>
    </row>
    <row r="213" spans="8:27">
      <c r="H213" s="87"/>
      <c r="I213" s="87"/>
      <c r="J213" s="87"/>
      <c r="K213" s="87"/>
      <c r="L213" s="87"/>
      <c r="M213" s="87"/>
      <c r="N213" s="87"/>
      <c r="O213" s="87"/>
      <c r="P213" s="87"/>
      <c r="Q213" s="87"/>
      <c r="R213" s="87"/>
      <c r="S213" s="87"/>
      <c r="T213" s="87"/>
      <c r="U213" s="87"/>
      <c r="V213" s="87"/>
      <c r="W213" s="87"/>
      <c r="X213" s="87"/>
      <c r="Y213" s="87"/>
      <c r="Z213" s="87"/>
      <c r="AA213" s="87"/>
    </row>
    <row r="214" spans="8:27">
      <c r="H214" s="87"/>
      <c r="I214" s="87"/>
      <c r="J214" s="87"/>
      <c r="K214" s="87"/>
      <c r="L214" s="87"/>
      <c r="M214" s="87"/>
      <c r="N214" s="87"/>
      <c r="O214" s="87"/>
      <c r="P214" s="87"/>
      <c r="Q214" s="87"/>
      <c r="R214" s="87"/>
      <c r="S214" s="87"/>
      <c r="T214" s="87"/>
      <c r="U214" s="87"/>
      <c r="V214" s="87"/>
      <c r="W214" s="87"/>
      <c r="X214" s="87"/>
      <c r="Y214" s="87"/>
      <c r="Z214" s="87"/>
      <c r="AA214" s="87"/>
    </row>
    <row r="215" spans="8:27">
      <c r="H215" s="87"/>
      <c r="I215" s="87"/>
      <c r="J215" s="87"/>
      <c r="K215" s="87"/>
      <c r="L215" s="87"/>
      <c r="M215" s="87"/>
      <c r="N215" s="87"/>
      <c r="O215" s="87"/>
      <c r="P215" s="87"/>
      <c r="Q215" s="87"/>
      <c r="R215" s="87"/>
      <c r="S215" s="87"/>
      <c r="T215" s="87"/>
      <c r="U215" s="87"/>
      <c r="V215" s="87"/>
      <c r="W215" s="87"/>
      <c r="X215" s="87"/>
      <c r="Y215" s="87"/>
      <c r="Z215" s="87"/>
      <c r="AA215" s="87"/>
    </row>
    <row r="216" spans="8:27">
      <c r="H216" s="87"/>
      <c r="I216" s="87"/>
      <c r="J216" s="87"/>
      <c r="K216" s="87"/>
      <c r="L216" s="87"/>
      <c r="M216" s="87"/>
      <c r="N216" s="87"/>
      <c r="O216" s="87"/>
      <c r="P216" s="87"/>
      <c r="Q216" s="87"/>
      <c r="R216" s="87"/>
      <c r="S216" s="87"/>
      <c r="T216" s="87"/>
      <c r="U216" s="87"/>
      <c r="V216" s="87"/>
      <c r="W216" s="87"/>
      <c r="X216" s="87"/>
      <c r="Y216" s="87"/>
      <c r="Z216" s="87"/>
      <c r="AA216" s="87"/>
    </row>
    <row r="217" spans="8:27">
      <c r="H217" s="87"/>
      <c r="I217" s="87"/>
      <c r="J217" s="87"/>
      <c r="K217" s="87"/>
      <c r="L217" s="87"/>
      <c r="M217" s="87"/>
      <c r="N217" s="87"/>
      <c r="O217" s="87"/>
      <c r="P217" s="87"/>
      <c r="Q217" s="87"/>
      <c r="R217" s="87"/>
      <c r="S217" s="87"/>
      <c r="T217" s="87"/>
      <c r="U217" s="87"/>
      <c r="V217" s="87"/>
      <c r="W217" s="87"/>
      <c r="X217" s="87"/>
      <c r="Y217" s="87"/>
      <c r="Z217" s="87"/>
      <c r="AA217" s="87"/>
    </row>
    <row r="218" spans="8:27">
      <c r="H218" s="87"/>
      <c r="I218" s="87"/>
      <c r="J218" s="87"/>
      <c r="K218" s="87"/>
      <c r="L218" s="87"/>
      <c r="M218" s="87"/>
      <c r="N218" s="87"/>
      <c r="O218" s="87"/>
      <c r="P218" s="87"/>
      <c r="Q218" s="87"/>
      <c r="R218" s="87"/>
      <c r="S218" s="87"/>
      <c r="T218" s="87"/>
      <c r="U218" s="87"/>
      <c r="V218" s="87"/>
      <c r="W218" s="87"/>
      <c r="X218" s="87"/>
      <c r="Y218" s="87"/>
      <c r="Z218" s="87"/>
      <c r="AA218" s="87"/>
    </row>
    <row r="219" spans="8:27">
      <c r="H219" s="87"/>
      <c r="I219" s="87"/>
      <c r="J219" s="87"/>
      <c r="K219" s="87"/>
      <c r="L219" s="87"/>
      <c r="M219" s="87"/>
      <c r="N219" s="87"/>
      <c r="O219" s="87"/>
      <c r="P219" s="87"/>
      <c r="Q219" s="87"/>
      <c r="R219" s="87"/>
      <c r="S219" s="87"/>
      <c r="T219" s="87"/>
      <c r="U219" s="87"/>
      <c r="V219" s="87"/>
      <c r="W219" s="87"/>
      <c r="X219" s="87"/>
      <c r="Y219" s="87"/>
      <c r="Z219" s="87"/>
      <c r="AA219" s="87"/>
    </row>
    <row r="220" spans="8:27">
      <c r="H220" s="87"/>
      <c r="I220" s="87"/>
      <c r="J220" s="87"/>
      <c r="K220" s="87"/>
      <c r="L220" s="87"/>
      <c r="M220" s="87"/>
      <c r="N220" s="87"/>
      <c r="O220" s="87"/>
      <c r="P220" s="87"/>
      <c r="Q220" s="87"/>
      <c r="R220" s="87"/>
      <c r="S220" s="87"/>
      <c r="T220" s="87"/>
      <c r="U220" s="87"/>
      <c r="V220" s="87"/>
      <c r="W220" s="87"/>
      <c r="X220" s="87"/>
      <c r="Y220" s="87"/>
      <c r="Z220" s="87"/>
      <c r="AA220" s="87"/>
    </row>
    <row r="221" spans="8:27">
      <c r="H221" s="87"/>
      <c r="I221" s="87"/>
      <c r="J221" s="87"/>
      <c r="K221" s="87"/>
      <c r="L221" s="87"/>
      <c r="M221" s="87"/>
      <c r="N221" s="87"/>
      <c r="O221" s="87"/>
      <c r="P221" s="87"/>
      <c r="Q221" s="87"/>
      <c r="R221" s="87"/>
      <c r="S221" s="87"/>
      <c r="T221" s="87"/>
      <c r="U221" s="87"/>
      <c r="V221" s="87"/>
      <c r="W221" s="87"/>
      <c r="X221" s="87"/>
      <c r="Y221" s="87"/>
      <c r="Z221" s="87"/>
      <c r="AA221" s="87"/>
    </row>
    <row r="222" spans="8:27">
      <c r="H222" s="87"/>
      <c r="I222" s="87"/>
      <c r="J222" s="87"/>
      <c r="K222" s="87"/>
      <c r="L222" s="87"/>
      <c r="M222" s="87"/>
      <c r="N222" s="87"/>
      <c r="O222" s="87"/>
      <c r="P222" s="87"/>
      <c r="Q222" s="87"/>
      <c r="R222" s="87"/>
      <c r="S222" s="87"/>
      <c r="T222" s="87"/>
      <c r="U222" s="87"/>
      <c r="V222" s="87"/>
      <c r="W222" s="87"/>
      <c r="X222" s="87"/>
      <c r="Y222" s="87"/>
      <c r="Z222" s="87"/>
      <c r="AA222" s="87"/>
    </row>
    <row r="223" spans="8:27">
      <c r="H223" s="87"/>
      <c r="I223" s="87"/>
      <c r="J223" s="87"/>
      <c r="K223" s="87"/>
      <c r="L223" s="87"/>
      <c r="M223" s="87"/>
      <c r="N223" s="87"/>
      <c r="O223" s="87"/>
      <c r="P223" s="87"/>
      <c r="Q223" s="87"/>
      <c r="R223" s="87"/>
      <c r="S223" s="87"/>
      <c r="T223" s="87"/>
      <c r="U223" s="87"/>
      <c r="V223" s="87"/>
      <c r="W223" s="87"/>
      <c r="X223" s="87"/>
      <c r="Y223" s="87"/>
      <c r="Z223" s="87"/>
      <c r="AA223" s="87"/>
    </row>
    <row r="224" spans="8:27">
      <c r="H224" s="87"/>
      <c r="I224" s="87"/>
      <c r="J224" s="87"/>
      <c r="K224" s="87"/>
      <c r="L224" s="87"/>
      <c r="M224" s="87"/>
      <c r="N224" s="87"/>
      <c r="O224" s="87"/>
      <c r="P224" s="87"/>
      <c r="Q224" s="87"/>
      <c r="R224" s="87"/>
      <c r="S224" s="87"/>
      <c r="T224" s="87"/>
      <c r="U224" s="87"/>
      <c r="V224" s="87"/>
      <c r="W224" s="87"/>
      <c r="X224" s="87"/>
      <c r="Y224" s="87"/>
      <c r="Z224" s="87"/>
      <c r="AA224" s="87"/>
    </row>
    <row r="225" spans="8:27">
      <c r="H225" s="87"/>
      <c r="I225" s="87"/>
      <c r="J225" s="87"/>
      <c r="K225" s="87"/>
      <c r="L225" s="87"/>
      <c r="M225" s="87"/>
      <c r="N225" s="87"/>
      <c r="O225" s="87"/>
      <c r="P225" s="87"/>
      <c r="Q225" s="87"/>
      <c r="R225" s="87"/>
      <c r="S225" s="87"/>
      <c r="T225" s="87"/>
      <c r="U225" s="87"/>
      <c r="V225" s="87"/>
      <c r="W225" s="87"/>
      <c r="X225" s="87"/>
      <c r="Y225" s="87"/>
      <c r="Z225" s="87"/>
      <c r="AA225" s="87"/>
    </row>
    <row r="226" spans="8:27">
      <c r="H226" s="87"/>
      <c r="I226" s="87"/>
      <c r="J226" s="87"/>
      <c r="K226" s="87"/>
      <c r="L226" s="87"/>
      <c r="M226" s="87"/>
      <c r="N226" s="87"/>
      <c r="O226" s="87"/>
      <c r="P226" s="87"/>
      <c r="Q226" s="87"/>
      <c r="R226" s="87"/>
      <c r="S226" s="87"/>
      <c r="T226" s="87"/>
      <c r="U226" s="87"/>
      <c r="V226" s="87"/>
      <c r="W226" s="87"/>
      <c r="X226" s="87"/>
      <c r="Y226" s="87"/>
      <c r="Z226" s="87"/>
      <c r="AA226" s="87"/>
    </row>
    <row r="227" spans="8:27">
      <c r="H227" s="87"/>
      <c r="I227" s="87"/>
      <c r="J227" s="87"/>
      <c r="K227" s="87"/>
      <c r="L227" s="87"/>
      <c r="M227" s="87"/>
      <c r="N227" s="87"/>
      <c r="O227" s="87"/>
      <c r="P227" s="87"/>
      <c r="Q227" s="87"/>
      <c r="R227" s="87"/>
      <c r="S227" s="87"/>
      <c r="T227" s="87"/>
      <c r="U227" s="87"/>
      <c r="V227" s="87"/>
      <c r="W227" s="87"/>
      <c r="X227" s="87"/>
      <c r="Y227" s="87"/>
      <c r="Z227" s="87"/>
      <c r="AA227" s="87"/>
    </row>
    <row r="228" spans="8:27">
      <c r="H228" s="87"/>
      <c r="I228" s="87"/>
      <c r="J228" s="87"/>
      <c r="K228" s="87"/>
      <c r="L228" s="87"/>
      <c r="M228" s="87"/>
      <c r="N228" s="87"/>
      <c r="O228" s="87"/>
      <c r="P228" s="87"/>
      <c r="Q228" s="87"/>
      <c r="R228" s="87"/>
      <c r="S228" s="87"/>
      <c r="T228" s="87"/>
      <c r="U228" s="87"/>
      <c r="V228" s="87"/>
      <c r="W228" s="87"/>
      <c r="X228" s="87"/>
      <c r="Y228" s="87"/>
      <c r="Z228" s="87"/>
      <c r="AA228" s="87"/>
    </row>
    <row r="229" spans="8:27">
      <c r="H229" s="87"/>
      <c r="I229" s="87"/>
      <c r="J229" s="87"/>
      <c r="K229" s="87"/>
      <c r="L229" s="87"/>
      <c r="M229" s="87"/>
      <c r="N229" s="87"/>
      <c r="O229" s="87"/>
      <c r="P229" s="87"/>
      <c r="Q229" s="87"/>
      <c r="R229" s="87"/>
      <c r="S229" s="87"/>
      <c r="T229" s="87"/>
      <c r="U229" s="87"/>
      <c r="V229" s="87"/>
      <c r="W229" s="87"/>
      <c r="X229" s="87"/>
      <c r="Y229" s="87"/>
      <c r="Z229" s="87"/>
      <c r="AA229" s="87"/>
    </row>
    <row r="230" spans="8:27">
      <c r="H230" s="87"/>
      <c r="I230" s="87"/>
      <c r="J230" s="87"/>
      <c r="K230" s="87"/>
      <c r="L230" s="87"/>
      <c r="M230" s="87"/>
      <c r="N230" s="87"/>
      <c r="O230" s="87"/>
      <c r="P230" s="87"/>
      <c r="Q230" s="87"/>
      <c r="R230" s="87"/>
      <c r="S230" s="87"/>
      <c r="T230" s="87"/>
      <c r="U230" s="87"/>
      <c r="V230" s="87"/>
      <c r="W230" s="87"/>
      <c r="X230" s="87"/>
      <c r="Y230" s="87"/>
      <c r="Z230" s="87"/>
      <c r="AA230" s="87"/>
    </row>
    <row r="231" spans="8:27">
      <c r="H231" s="87"/>
      <c r="I231" s="87"/>
      <c r="J231" s="87"/>
      <c r="K231" s="87"/>
      <c r="L231" s="87"/>
      <c r="M231" s="87"/>
      <c r="N231" s="87"/>
      <c r="O231" s="87"/>
      <c r="P231" s="87"/>
      <c r="Q231" s="87"/>
      <c r="R231" s="87"/>
      <c r="S231" s="87"/>
      <c r="T231" s="87"/>
      <c r="U231" s="87"/>
      <c r="V231" s="87"/>
      <c r="W231" s="87"/>
      <c r="X231" s="87"/>
      <c r="Y231" s="87"/>
      <c r="Z231" s="87"/>
      <c r="AA231" s="87"/>
    </row>
    <row r="232" spans="8:27">
      <c r="H232" s="87"/>
      <c r="I232" s="87"/>
      <c r="J232" s="87"/>
      <c r="K232" s="87"/>
      <c r="L232" s="87"/>
      <c r="M232" s="87"/>
      <c r="N232" s="87"/>
      <c r="O232" s="87"/>
      <c r="P232" s="87"/>
      <c r="Q232" s="87"/>
      <c r="R232" s="87"/>
      <c r="S232" s="87"/>
      <c r="T232" s="87"/>
      <c r="U232" s="87"/>
      <c r="V232" s="87"/>
      <c r="W232" s="87"/>
      <c r="X232" s="87"/>
      <c r="Y232" s="87"/>
      <c r="Z232" s="87"/>
      <c r="AA232" s="87"/>
    </row>
    <row r="233" spans="8:27">
      <c r="H233" s="87"/>
      <c r="I233" s="87"/>
      <c r="J233" s="87"/>
      <c r="K233" s="87"/>
      <c r="L233" s="87"/>
      <c r="M233" s="87"/>
      <c r="N233" s="87"/>
      <c r="O233" s="87"/>
      <c r="P233" s="87"/>
      <c r="Q233" s="87"/>
      <c r="R233" s="87"/>
      <c r="S233" s="87"/>
      <c r="T233" s="87"/>
      <c r="U233" s="87"/>
      <c r="V233" s="87"/>
      <c r="W233" s="87"/>
      <c r="X233" s="87"/>
      <c r="Y233" s="87"/>
      <c r="Z233" s="87"/>
      <c r="AA233" s="87"/>
    </row>
    <row r="234" spans="8:27">
      <c r="H234" s="87"/>
      <c r="I234" s="87"/>
      <c r="J234" s="87"/>
      <c r="K234" s="87"/>
      <c r="L234" s="87"/>
      <c r="M234" s="87"/>
      <c r="N234" s="87"/>
      <c r="O234" s="87"/>
      <c r="P234" s="87"/>
      <c r="Q234" s="87"/>
      <c r="R234" s="87"/>
      <c r="S234" s="87"/>
      <c r="T234" s="87"/>
      <c r="U234" s="87"/>
      <c r="V234" s="87"/>
      <c r="W234" s="87"/>
      <c r="X234" s="87"/>
      <c r="Y234" s="87"/>
      <c r="Z234" s="87"/>
      <c r="AA234" s="87"/>
    </row>
    <row r="235" spans="8:27">
      <c r="H235" s="87"/>
      <c r="I235" s="87"/>
      <c r="J235" s="87"/>
      <c r="K235" s="87"/>
      <c r="L235" s="87"/>
      <c r="M235" s="87"/>
      <c r="N235" s="87"/>
      <c r="O235" s="87"/>
      <c r="P235" s="87"/>
      <c r="Q235" s="87"/>
      <c r="R235" s="87"/>
      <c r="S235" s="87"/>
      <c r="T235" s="87"/>
      <c r="U235" s="87"/>
      <c r="V235" s="87"/>
      <c r="W235" s="87"/>
      <c r="X235" s="87"/>
      <c r="Y235" s="87"/>
      <c r="Z235" s="87"/>
      <c r="AA235" s="87"/>
    </row>
    <row r="236" spans="8:27">
      <c r="H236" s="87"/>
      <c r="I236" s="87"/>
      <c r="J236" s="87"/>
      <c r="K236" s="87"/>
      <c r="L236" s="87"/>
      <c r="M236" s="87"/>
      <c r="N236" s="87"/>
      <c r="O236" s="87"/>
      <c r="P236" s="87"/>
      <c r="Q236" s="87"/>
      <c r="R236" s="87"/>
      <c r="S236" s="87"/>
      <c r="T236" s="87"/>
      <c r="U236" s="87"/>
      <c r="V236" s="87"/>
      <c r="W236" s="87"/>
      <c r="X236" s="87"/>
      <c r="Y236" s="87"/>
      <c r="Z236" s="87"/>
      <c r="AA236" s="87"/>
    </row>
    <row r="237" spans="8:27">
      <c r="H237" s="87"/>
      <c r="I237" s="87"/>
      <c r="J237" s="87"/>
      <c r="K237" s="87"/>
      <c r="L237" s="87"/>
      <c r="M237" s="87"/>
      <c r="N237" s="87"/>
      <c r="O237" s="87"/>
      <c r="P237" s="87"/>
      <c r="Q237" s="87"/>
      <c r="R237" s="87"/>
      <c r="S237" s="87"/>
      <c r="T237" s="87"/>
      <c r="U237" s="87"/>
      <c r="V237" s="87"/>
      <c r="W237" s="87"/>
      <c r="X237" s="87"/>
      <c r="Y237" s="87"/>
      <c r="Z237" s="87"/>
      <c r="AA237" s="87"/>
    </row>
    <row r="238" spans="8:27">
      <c r="H238" s="87"/>
      <c r="I238" s="87"/>
      <c r="J238" s="87"/>
      <c r="K238" s="87"/>
      <c r="L238" s="87"/>
      <c r="M238" s="87"/>
      <c r="N238" s="87"/>
      <c r="O238" s="87"/>
      <c r="P238" s="87"/>
      <c r="Q238" s="87"/>
      <c r="R238" s="87"/>
      <c r="S238" s="87"/>
      <c r="T238" s="87"/>
      <c r="U238" s="87"/>
      <c r="V238" s="87"/>
      <c r="W238" s="87"/>
      <c r="X238" s="87"/>
      <c r="Y238" s="87"/>
      <c r="Z238" s="87"/>
      <c r="AA238" s="87"/>
    </row>
    <row r="239" spans="8:27">
      <c r="H239" s="87"/>
      <c r="I239" s="87"/>
      <c r="J239" s="87"/>
      <c r="K239" s="87"/>
      <c r="L239" s="87"/>
      <c r="M239" s="87"/>
      <c r="N239" s="87"/>
      <c r="O239" s="87"/>
      <c r="P239" s="87"/>
      <c r="Q239" s="87"/>
      <c r="R239" s="87"/>
      <c r="S239" s="87"/>
      <c r="T239" s="87"/>
      <c r="U239" s="87"/>
      <c r="V239" s="87"/>
      <c r="W239" s="87"/>
      <c r="X239" s="87"/>
      <c r="Y239" s="87"/>
      <c r="Z239" s="87"/>
      <c r="AA239" s="87"/>
    </row>
    <row r="240" spans="8:27">
      <c r="H240" s="87"/>
      <c r="I240" s="87"/>
      <c r="J240" s="87"/>
      <c r="K240" s="87"/>
      <c r="L240" s="87"/>
      <c r="M240" s="87"/>
      <c r="N240" s="87"/>
      <c r="O240" s="87"/>
      <c r="P240" s="87"/>
      <c r="Q240" s="87"/>
      <c r="R240" s="87"/>
      <c r="S240" s="87"/>
      <c r="T240" s="87"/>
      <c r="U240" s="87"/>
      <c r="V240" s="87"/>
      <c r="W240" s="87"/>
      <c r="X240" s="87"/>
      <c r="Y240" s="87"/>
      <c r="Z240" s="87"/>
      <c r="AA240" s="87"/>
    </row>
    <row r="241" spans="8:27">
      <c r="H241" s="87"/>
      <c r="I241" s="87"/>
      <c r="J241" s="87"/>
      <c r="K241" s="87"/>
      <c r="L241" s="87"/>
      <c r="M241" s="87"/>
      <c r="N241" s="87"/>
      <c r="O241" s="87"/>
      <c r="P241" s="87"/>
      <c r="Q241" s="87"/>
      <c r="R241" s="87"/>
      <c r="S241" s="87"/>
      <c r="T241" s="87"/>
      <c r="U241" s="87"/>
      <c r="V241" s="87"/>
      <c r="W241" s="87"/>
      <c r="X241" s="87"/>
      <c r="Y241" s="87"/>
      <c r="Z241" s="87"/>
      <c r="AA241" s="87"/>
    </row>
    <row r="242" spans="8:27">
      <c r="H242" s="87"/>
      <c r="I242" s="87"/>
      <c r="J242" s="87"/>
      <c r="K242" s="87"/>
      <c r="L242" s="87"/>
      <c r="M242" s="87"/>
      <c r="N242" s="87"/>
      <c r="O242" s="87"/>
      <c r="P242" s="87"/>
      <c r="Q242" s="87"/>
      <c r="R242" s="87"/>
      <c r="S242" s="87"/>
      <c r="T242" s="87"/>
      <c r="U242" s="87"/>
      <c r="V242" s="87"/>
      <c r="W242" s="87"/>
      <c r="X242" s="87"/>
      <c r="Y242" s="87"/>
      <c r="Z242" s="87"/>
      <c r="AA242" s="87"/>
    </row>
    <row r="243" spans="8:27">
      <c r="H243" s="87"/>
      <c r="I243" s="87"/>
      <c r="J243" s="87"/>
      <c r="K243" s="87"/>
      <c r="L243" s="87"/>
      <c r="M243" s="87"/>
      <c r="N243" s="87"/>
      <c r="O243" s="87"/>
      <c r="P243" s="87"/>
      <c r="Q243" s="87"/>
      <c r="R243" s="87"/>
      <c r="S243" s="87"/>
      <c r="T243" s="87"/>
      <c r="U243" s="87"/>
      <c r="V243" s="87"/>
      <c r="W243" s="87"/>
      <c r="X243" s="87"/>
      <c r="Y243" s="87"/>
      <c r="Z243" s="87"/>
      <c r="AA243" s="87"/>
    </row>
    <row r="244" spans="8:27">
      <c r="H244" s="87"/>
      <c r="I244" s="87"/>
      <c r="J244" s="87"/>
      <c r="K244" s="87"/>
      <c r="L244" s="87"/>
      <c r="M244" s="87"/>
      <c r="N244" s="87"/>
      <c r="O244" s="87"/>
      <c r="P244" s="87"/>
      <c r="Q244" s="87"/>
      <c r="R244" s="87"/>
      <c r="S244" s="87"/>
      <c r="T244" s="87"/>
      <c r="U244" s="87"/>
      <c r="V244" s="87"/>
      <c r="W244" s="87"/>
      <c r="X244" s="87"/>
      <c r="Y244" s="87"/>
      <c r="Z244" s="87"/>
      <c r="AA244" s="87"/>
    </row>
    <row r="245" spans="8:27">
      <c r="H245" s="87"/>
      <c r="I245" s="87"/>
      <c r="J245" s="87"/>
      <c r="K245" s="87"/>
      <c r="L245" s="87"/>
      <c r="M245" s="87"/>
      <c r="N245" s="87"/>
      <c r="O245" s="87"/>
      <c r="P245" s="87"/>
      <c r="Q245" s="87"/>
      <c r="R245" s="87"/>
      <c r="S245" s="87"/>
      <c r="T245" s="87"/>
      <c r="U245" s="87"/>
      <c r="V245" s="87"/>
      <c r="W245" s="87"/>
      <c r="X245" s="87"/>
      <c r="Y245" s="87"/>
      <c r="Z245" s="87"/>
      <c r="AA245" s="87"/>
    </row>
    <row r="246" spans="8:27">
      <c r="H246" s="87"/>
      <c r="I246" s="87"/>
      <c r="J246" s="87"/>
      <c r="K246" s="87"/>
      <c r="L246" s="87"/>
      <c r="M246" s="87"/>
      <c r="N246" s="87"/>
      <c r="O246" s="87"/>
      <c r="P246" s="87"/>
      <c r="Q246" s="87"/>
      <c r="R246" s="87"/>
      <c r="S246" s="87"/>
      <c r="T246" s="87"/>
      <c r="U246" s="87"/>
      <c r="V246" s="87"/>
      <c r="W246" s="87"/>
      <c r="X246" s="87"/>
      <c r="Y246" s="87"/>
      <c r="Z246" s="87"/>
      <c r="AA246" s="87"/>
    </row>
    <row r="247" spans="8:27">
      <c r="H247" s="87"/>
      <c r="I247" s="87"/>
      <c r="J247" s="87"/>
      <c r="K247" s="87"/>
      <c r="L247" s="87"/>
      <c r="M247" s="87"/>
      <c r="N247" s="87"/>
      <c r="O247" s="87"/>
      <c r="P247" s="87"/>
      <c r="Q247" s="87"/>
      <c r="R247" s="87"/>
      <c r="S247" s="87"/>
      <c r="T247" s="87"/>
      <c r="U247" s="87"/>
      <c r="V247" s="87"/>
      <c r="W247" s="87"/>
      <c r="X247" s="87"/>
      <c r="Y247" s="87"/>
      <c r="Z247" s="87"/>
      <c r="AA247" s="87"/>
    </row>
    <row r="248" spans="8:27">
      <c r="H248" s="87"/>
      <c r="I248" s="87"/>
      <c r="J248" s="87"/>
      <c r="K248" s="87"/>
      <c r="L248" s="87"/>
      <c r="M248" s="87"/>
      <c r="N248" s="87"/>
      <c r="O248" s="87"/>
      <c r="P248" s="87"/>
      <c r="Q248" s="87"/>
      <c r="R248" s="87"/>
      <c r="S248" s="87"/>
      <c r="T248" s="87"/>
      <c r="U248" s="87"/>
      <c r="V248" s="87"/>
      <c r="W248" s="87"/>
      <c r="X248" s="87"/>
      <c r="Y248" s="87"/>
      <c r="Z248" s="87"/>
      <c r="AA248" s="87"/>
    </row>
    <row r="249" spans="8:27">
      <c r="H249" s="87"/>
      <c r="I249" s="87"/>
      <c r="J249" s="87"/>
      <c r="K249" s="87"/>
      <c r="L249" s="87"/>
      <c r="M249" s="87"/>
      <c r="N249" s="87"/>
      <c r="O249" s="87"/>
      <c r="P249" s="87"/>
      <c r="Q249" s="87"/>
      <c r="R249" s="87"/>
      <c r="S249" s="87"/>
      <c r="T249" s="87"/>
      <c r="U249" s="87"/>
      <c r="V249" s="87"/>
      <c r="W249" s="87"/>
      <c r="X249" s="87"/>
      <c r="Y249" s="87"/>
      <c r="Z249" s="87"/>
      <c r="AA249" s="87"/>
    </row>
    <row r="250" spans="8:27">
      <c r="H250" s="87"/>
      <c r="I250" s="87"/>
      <c r="J250" s="87"/>
      <c r="K250" s="87"/>
      <c r="L250" s="87"/>
      <c r="M250" s="87"/>
      <c r="N250" s="87"/>
      <c r="O250" s="87"/>
      <c r="P250" s="87"/>
      <c r="Q250" s="87"/>
      <c r="R250" s="87"/>
      <c r="S250" s="87"/>
      <c r="T250" s="87"/>
      <c r="U250" s="87"/>
      <c r="V250" s="87"/>
      <c r="W250" s="87"/>
      <c r="X250" s="87"/>
      <c r="Y250" s="87"/>
      <c r="Z250" s="87"/>
      <c r="AA250" s="87"/>
    </row>
    <row r="251" spans="8:27">
      <c r="H251" s="87"/>
      <c r="I251" s="87"/>
      <c r="J251" s="87"/>
      <c r="K251" s="87"/>
      <c r="L251" s="87"/>
      <c r="M251" s="87"/>
      <c r="N251" s="87"/>
      <c r="O251" s="87"/>
      <c r="P251" s="87"/>
      <c r="Q251" s="87"/>
      <c r="R251" s="87"/>
      <c r="S251" s="87"/>
      <c r="T251" s="87"/>
      <c r="U251" s="87"/>
      <c r="V251" s="87"/>
      <c r="W251" s="87"/>
      <c r="X251" s="87"/>
      <c r="Y251" s="87"/>
      <c r="Z251" s="87"/>
      <c r="AA251" s="87"/>
    </row>
    <row r="252" spans="8:27">
      <c r="H252" s="87"/>
      <c r="I252" s="87"/>
      <c r="J252" s="87"/>
      <c r="K252" s="87"/>
      <c r="L252" s="87"/>
      <c r="M252" s="87"/>
      <c r="N252" s="87"/>
      <c r="O252" s="87"/>
      <c r="P252" s="87"/>
      <c r="Q252" s="87"/>
      <c r="R252" s="87"/>
      <c r="S252" s="87"/>
      <c r="T252" s="87"/>
      <c r="U252" s="87"/>
      <c r="V252" s="87"/>
      <c r="W252" s="87"/>
      <c r="X252" s="87"/>
      <c r="Y252" s="87"/>
      <c r="Z252" s="87"/>
      <c r="AA252" s="87"/>
    </row>
    <row r="253" spans="8:27">
      <c r="H253" s="87"/>
      <c r="I253" s="87"/>
      <c r="J253" s="87"/>
      <c r="K253" s="87"/>
      <c r="L253" s="87"/>
      <c r="M253" s="87"/>
      <c r="N253" s="87"/>
      <c r="O253" s="87"/>
      <c r="P253" s="87"/>
      <c r="Q253" s="87"/>
      <c r="R253" s="87"/>
      <c r="S253" s="87"/>
      <c r="T253" s="87"/>
      <c r="U253" s="87"/>
      <c r="V253" s="87"/>
      <c r="W253" s="87"/>
      <c r="X253" s="87"/>
      <c r="Y253" s="87"/>
      <c r="Z253" s="87"/>
      <c r="AA253" s="87"/>
    </row>
    <row r="254" spans="8:27">
      <c r="H254" s="87"/>
      <c r="I254" s="87"/>
      <c r="J254" s="87"/>
      <c r="K254" s="87"/>
      <c r="L254" s="87"/>
      <c r="M254" s="87"/>
      <c r="N254" s="87"/>
      <c r="O254" s="87"/>
      <c r="P254" s="87"/>
      <c r="Q254" s="87"/>
      <c r="R254" s="87"/>
      <c r="S254" s="87"/>
      <c r="T254" s="87"/>
      <c r="U254" s="87"/>
      <c r="V254" s="87"/>
      <c r="W254" s="87"/>
      <c r="X254" s="87"/>
      <c r="Y254" s="87"/>
      <c r="Z254" s="87"/>
      <c r="AA254" s="87"/>
    </row>
    <row r="255" spans="8:27">
      <c r="H255" s="87"/>
      <c r="I255" s="87"/>
      <c r="J255" s="87"/>
      <c r="K255" s="87"/>
      <c r="L255" s="87"/>
      <c r="M255" s="87"/>
      <c r="N255" s="87"/>
      <c r="O255" s="87"/>
      <c r="P255" s="87"/>
      <c r="Q255" s="87"/>
      <c r="R255" s="87"/>
      <c r="S255" s="87"/>
      <c r="T255" s="87"/>
      <c r="U255" s="87"/>
      <c r="V255" s="87"/>
      <c r="W255" s="87"/>
      <c r="X255" s="87"/>
      <c r="Y255" s="87"/>
      <c r="Z255" s="87"/>
      <c r="AA255" s="87"/>
    </row>
    <row r="256" spans="8:27">
      <c r="H256" s="87"/>
      <c r="I256" s="87"/>
      <c r="J256" s="87"/>
      <c r="K256" s="87"/>
      <c r="L256" s="87"/>
      <c r="M256" s="87"/>
      <c r="N256" s="87"/>
      <c r="O256" s="87"/>
      <c r="P256" s="87"/>
      <c r="Q256" s="87"/>
      <c r="R256" s="87"/>
      <c r="S256" s="87"/>
      <c r="T256" s="87"/>
      <c r="U256" s="87"/>
      <c r="V256" s="87"/>
      <c r="W256" s="87"/>
      <c r="X256" s="87"/>
      <c r="Y256" s="87"/>
      <c r="Z256" s="87"/>
      <c r="AA256" s="87"/>
    </row>
    <row r="257" spans="8:27">
      <c r="H257" s="87"/>
      <c r="I257" s="87"/>
      <c r="J257" s="87"/>
      <c r="K257" s="87"/>
      <c r="L257" s="87"/>
      <c r="M257" s="87"/>
      <c r="N257" s="87"/>
      <c r="O257" s="87"/>
      <c r="P257" s="87"/>
      <c r="Q257" s="87"/>
      <c r="R257" s="87"/>
      <c r="S257" s="87"/>
      <c r="T257" s="87"/>
      <c r="U257" s="87"/>
      <c r="V257" s="87"/>
      <c r="W257" s="87"/>
      <c r="X257" s="87"/>
      <c r="Y257" s="87"/>
      <c r="Z257" s="87"/>
      <c r="AA257" s="87"/>
    </row>
    <row r="258" spans="8:27">
      <c r="H258" s="87"/>
      <c r="I258" s="87"/>
      <c r="J258" s="87"/>
      <c r="K258" s="87"/>
      <c r="L258" s="87"/>
      <c r="M258" s="87"/>
      <c r="N258" s="87"/>
      <c r="O258" s="87"/>
      <c r="P258" s="87"/>
      <c r="Q258" s="87"/>
      <c r="R258" s="87"/>
      <c r="S258" s="87"/>
      <c r="T258" s="87"/>
      <c r="U258" s="87"/>
      <c r="V258" s="87"/>
      <c r="W258" s="87"/>
      <c r="X258" s="87"/>
      <c r="Y258" s="87"/>
      <c r="Z258" s="87"/>
      <c r="AA258" s="87"/>
    </row>
    <row r="259" spans="8:27">
      <c r="H259" s="87"/>
      <c r="I259" s="87"/>
      <c r="J259" s="87"/>
      <c r="K259" s="87"/>
      <c r="L259" s="87"/>
      <c r="M259" s="87"/>
      <c r="N259" s="87"/>
      <c r="O259" s="87"/>
      <c r="P259" s="87"/>
      <c r="Q259" s="87"/>
      <c r="R259" s="87"/>
      <c r="S259" s="87"/>
      <c r="T259" s="87"/>
      <c r="U259" s="87"/>
      <c r="V259" s="87"/>
      <c r="W259" s="87"/>
      <c r="X259" s="87"/>
      <c r="Y259" s="87"/>
      <c r="Z259" s="87"/>
      <c r="AA259" s="87"/>
    </row>
    <row r="260" spans="8:27">
      <c r="H260" s="87"/>
      <c r="I260" s="87"/>
      <c r="J260" s="87"/>
      <c r="K260" s="87"/>
      <c r="L260" s="87"/>
      <c r="M260" s="87"/>
      <c r="N260" s="87"/>
      <c r="O260" s="87"/>
      <c r="P260" s="87"/>
      <c r="Q260" s="87"/>
      <c r="R260" s="87"/>
      <c r="S260" s="87"/>
      <c r="T260" s="87"/>
      <c r="U260" s="87"/>
      <c r="V260" s="87"/>
      <c r="W260" s="87"/>
      <c r="X260" s="87"/>
      <c r="Y260" s="87"/>
      <c r="Z260" s="87"/>
      <c r="AA260" s="87"/>
    </row>
    <row r="261" spans="8:27">
      <c r="H261" s="87"/>
      <c r="I261" s="87"/>
      <c r="J261" s="87"/>
      <c r="K261" s="87"/>
      <c r="L261" s="87"/>
      <c r="M261" s="87"/>
      <c r="N261" s="87"/>
      <c r="O261" s="87"/>
      <c r="P261" s="87"/>
      <c r="Q261" s="87"/>
      <c r="R261" s="87"/>
      <c r="S261" s="87"/>
      <c r="T261" s="87"/>
      <c r="U261" s="87"/>
      <c r="V261" s="87"/>
      <c r="W261" s="87"/>
      <c r="X261" s="87"/>
      <c r="Y261" s="87"/>
      <c r="Z261" s="87"/>
      <c r="AA261" s="87"/>
    </row>
    <row r="262" spans="8:27">
      <c r="H262" s="87"/>
      <c r="I262" s="87"/>
      <c r="J262" s="87"/>
      <c r="K262" s="87"/>
      <c r="L262" s="87"/>
      <c r="M262" s="87"/>
      <c r="N262" s="87"/>
      <c r="O262" s="87"/>
      <c r="P262" s="87"/>
      <c r="Q262" s="87"/>
      <c r="R262" s="87"/>
      <c r="S262" s="87"/>
      <c r="T262" s="87"/>
      <c r="U262" s="87"/>
      <c r="V262" s="87"/>
      <c r="W262" s="87"/>
      <c r="X262" s="87"/>
      <c r="Y262" s="87"/>
      <c r="Z262" s="87"/>
      <c r="AA262" s="87"/>
    </row>
    <row r="263" spans="8:27">
      <c r="H263" s="87"/>
      <c r="I263" s="87"/>
      <c r="J263" s="87"/>
      <c r="K263" s="87"/>
      <c r="L263" s="87"/>
      <c r="M263" s="87"/>
      <c r="N263" s="87"/>
      <c r="O263" s="87"/>
      <c r="P263" s="87"/>
      <c r="Q263" s="87"/>
      <c r="R263" s="87"/>
      <c r="S263" s="87"/>
      <c r="T263" s="87"/>
      <c r="U263" s="87"/>
      <c r="V263" s="87"/>
      <c r="W263" s="87"/>
      <c r="X263" s="87"/>
      <c r="Y263" s="87"/>
      <c r="Z263" s="87"/>
      <c r="AA263" s="87"/>
    </row>
    <row r="264" spans="8:27">
      <c r="H264" s="87"/>
      <c r="I264" s="87"/>
      <c r="J264" s="87"/>
      <c r="K264" s="87"/>
      <c r="L264" s="87"/>
      <c r="M264" s="87"/>
      <c r="N264" s="87"/>
      <c r="O264" s="87"/>
      <c r="P264" s="87"/>
      <c r="Q264" s="87"/>
      <c r="R264" s="87"/>
      <c r="S264" s="87"/>
      <c r="T264" s="87"/>
      <c r="U264" s="87"/>
      <c r="V264" s="87"/>
      <c r="W264" s="87"/>
      <c r="X264" s="87"/>
      <c r="Y264" s="87"/>
      <c r="Z264" s="87"/>
      <c r="AA264" s="87"/>
    </row>
    <row r="265" spans="8:27">
      <c r="H265" s="87"/>
      <c r="I265" s="87"/>
      <c r="J265" s="87"/>
      <c r="K265" s="87"/>
      <c r="L265" s="87"/>
      <c r="M265" s="87"/>
      <c r="N265" s="87"/>
      <c r="O265" s="87"/>
      <c r="P265" s="87"/>
      <c r="Q265" s="87"/>
      <c r="R265" s="87"/>
      <c r="S265" s="87"/>
      <c r="T265" s="87"/>
      <c r="U265" s="87"/>
      <c r="V265" s="87"/>
      <c r="W265" s="87"/>
      <c r="X265" s="87"/>
      <c r="Y265" s="87"/>
      <c r="Z265" s="87"/>
      <c r="AA265" s="87"/>
    </row>
    <row r="266" spans="8:27">
      <c r="H266" s="87"/>
      <c r="I266" s="87"/>
      <c r="J266" s="87"/>
      <c r="K266" s="87"/>
      <c r="L266" s="87"/>
      <c r="M266" s="87"/>
      <c r="N266" s="87"/>
      <c r="O266" s="87"/>
      <c r="P266" s="87"/>
      <c r="Q266" s="87"/>
      <c r="R266" s="87"/>
      <c r="S266" s="87"/>
      <c r="T266" s="87"/>
      <c r="U266" s="87"/>
      <c r="V266" s="87"/>
      <c r="W266" s="87"/>
      <c r="X266" s="87"/>
      <c r="Y266" s="87"/>
      <c r="Z266" s="87"/>
      <c r="AA266" s="87"/>
    </row>
    <row r="267" spans="8:27">
      <c r="H267" s="87"/>
      <c r="I267" s="87"/>
      <c r="J267" s="87"/>
      <c r="K267" s="87"/>
      <c r="L267" s="87"/>
      <c r="M267" s="87"/>
      <c r="N267" s="87"/>
      <c r="O267" s="87"/>
      <c r="P267" s="87"/>
      <c r="Q267" s="87"/>
      <c r="R267" s="87"/>
      <c r="S267" s="87"/>
      <c r="T267" s="87"/>
      <c r="U267" s="87"/>
      <c r="V267" s="87"/>
      <c r="W267" s="87"/>
      <c r="X267" s="87"/>
      <c r="Y267" s="87"/>
      <c r="Z267" s="87"/>
      <c r="AA267" s="87"/>
    </row>
    <row r="268" spans="8:27">
      <c r="H268" s="87"/>
      <c r="I268" s="87"/>
      <c r="J268" s="87"/>
      <c r="K268" s="87"/>
      <c r="L268" s="87"/>
      <c r="M268" s="87"/>
      <c r="N268" s="87"/>
      <c r="O268" s="87"/>
      <c r="P268" s="87"/>
      <c r="Q268" s="87"/>
      <c r="R268" s="87"/>
      <c r="S268" s="87"/>
      <c r="T268" s="87"/>
      <c r="U268" s="87"/>
      <c r="V268" s="87"/>
      <c r="W268" s="87"/>
      <c r="X268" s="87"/>
      <c r="Y268" s="87"/>
      <c r="Z268" s="87"/>
      <c r="AA268" s="87"/>
    </row>
    <row r="269" spans="8:27">
      <c r="H269" s="87"/>
      <c r="I269" s="87"/>
      <c r="J269" s="87"/>
      <c r="K269" s="87"/>
      <c r="L269" s="87"/>
      <c r="M269" s="87"/>
      <c r="N269" s="87"/>
      <c r="O269" s="87"/>
      <c r="P269" s="87"/>
      <c r="Q269" s="87"/>
      <c r="R269" s="87"/>
      <c r="S269" s="87"/>
      <c r="T269" s="87"/>
      <c r="U269" s="87"/>
      <c r="V269" s="87"/>
      <c r="W269" s="87"/>
      <c r="X269" s="87"/>
      <c r="Y269" s="87"/>
      <c r="Z269" s="87"/>
      <c r="AA269" s="87"/>
    </row>
    <row r="270" spans="8:27">
      <c r="H270" s="87"/>
      <c r="I270" s="87"/>
      <c r="J270" s="87"/>
      <c r="K270" s="87"/>
      <c r="L270" s="87"/>
      <c r="M270" s="87"/>
      <c r="N270" s="87"/>
      <c r="O270" s="87"/>
      <c r="P270" s="87"/>
      <c r="Q270" s="87"/>
      <c r="R270" s="87"/>
      <c r="S270" s="87"/>
      <c r="T270" s="87"/>
      <c r="U270" s="87"/>
      <c r="V270" s="87"/>
      <c r="W270" s="87"/>
      <c r="X270" s="87"/>
      <c r="Y270" s="87"/>
      <c r="Z270" s="87"/>
      <c r="AA270" s="87"/>
    </row>
    <row r="271" spans="8:27">
      <c r="H271" s="87"/>
      <c r="I271" s="87"/>
      <c r="J271" s="87"/>
      <c r="K271" s="87"/>
      <c r="L271" s="87"/>
      <c r="M271" s="87"/>
      <c r="N271" s="87"/>
      <c r="O271" s="87"/>
      <c r="P271" s="87"/>
      <c r="Q271" s="87"/>
      <c r="R271" s="87"/>
      <c r="S271" s="87"/>
      <c r="T271" s="87"/>
      <c r="U271" s="87"/>
      <c r="V271" s="87"/>
      <c r="W271" s="87"/>
      <c r="X271" s="87"/>
      <c r="Y271" s="87"/>
      <c r="Z271" s="87"/>
      <c r="AA271" s="87"/>
    </row>
    <row r="272" spans="8:27">
      <c r="H272" s="87"/>
      <c r="I272" s="87"/>
      <c r="J272" s="87"/>
      <c r="K272" s="87"/>
      <c r="L272" s="87"/>
      <c r="M272" s="87"/>
      <c r="N272" s="87"/>
      <c r="O272" s="87"/>
      <c r="P272" s="87"/>
      <c r="Q272" s="87"/>
      <c r="R272" s="87"/>
      <c r="S272" s="87"/>
      <c r="T272" s="87"/>
      <c r="U272" s="87"/>
      <c r="V272" s="87"/>
      <c r="W272" s="87"/>
      <c r="X272" s="87"/>
      <c r="Y272" s="87"/>
      <c r="Z272" s="87"/>
      <c r="AA272" s="87"/>
    </row>
    <row r="273" spans="8:27">
      <c r="H273" s="87"/>
      <c r="I273" s="87"/>
      <c r="J273" s="87"/>
      <c r="K273" s="87"/>
      <c r="L273" s="87"/>
      <c r="M273" s="87"/>
      <c r="N273" s="87"/>
      <c r="O273" s="87"/>
      <c r="P273" s="87"/>
      <c r="Q273" s="87"/>
      <c r="R273" s="87"/>
      <c r="S273" s="87"/>
      <c r="T273" s="87"/>
      <c r="U273" s="87"/>
      <c r="V273" s="87"/>
      <c r="W273" s="87"/>
      <c r="X273" s="87"/>
      <c r="Y273" s="87"/>
      <c r="Z273" s="87"/>
      <c r="AA273" s="87"/>
    </row>
    <row r="274" spans="8:27">
      <c r="H274" s="87"/>
      <c r="I274" s="87"/>
      <c r="J274" s="87"/>
      <c r="K274" s="87"/>
      <c r="L274" s="87"/>
      <c r="M274" s="87"/>
      <c r="N274" s="87"/>
      <c r="O274" s="87"/>
      <c r="P274" s="87"/>
      <c r="Q274" s="87"/>
      <c r="R274" s="87"/>
      <c r="S274" s="87"/>
      <c r="T274" s="87"/>
      <c r="U274" s="87"/>
      <c r="V274" s="87"/>
      <c r="W274" s="87"/>
      <c r="X274" s="87"/>
      <c r="Y274" s="87"/>
      <c r="Z274" s="87"/>
      <c r="AA274" s="87"/>
    </row>
    <row r="275" spans="8:27">
      <c r="H275" s="87"/>
      <c r="I275" s="87"/>
      <c r="J275" s="87"/>
      <c r="K275" s="87"/>
      <c r="L275" s="87"/>
      <c r="M275" s="87"/>
      <c r="N275" s="87"/>
      <c r="O275" s="87"/>
      <c r="P275" s="87"/>
      <c r="Q275" s="87"/>
      <c r="R275" s="87"/>
      <c r="S275" s="87"/>
      <c r="T275" s="87"/>
      <c r="U275" s="87"/>
      <c r="V275" s="87"/>
      <c r="W275" s="87"/>
      <c r="X275" s="87"/>
      <c r="Y275" s="87"/>
      <c r="Z275" s="87"/>
      <c r="AA275" s="87"/>
    </row>
    <row r="276" spans="8:27">
      <c r="H276" s="87"/>
      <c r="I276" s="87"/>
      <c r="J276" s="87"/>
      <c r="K276" s="87"/>
      <c r="L276" s="87"/>
      <c r="M276" s="87"/>
      <c r="N276" s="87"/>
      <c r="O276" s="87"/>
      <c r="P276" s="87"/>
      <c r="Q276" s="87"/>
      <c r="R276" s="87"/>
      <c r="S276" s="87"/>
      <c r="T276" s="87"/>
      <c r="U276" s="87"/>
      <c r="V276" s="87"/>
      <c r="W276" s="87"/>
      <c r="X276" s="87"/>
      <c r="Y276" s="87"/>
      <c r="Z276" s="87"/>
      <c r="AA276" s="87"/>
    </row>
    <row r="277" spans="8:27">
      <c r="H277" s="87"/>
      <c r="I277" s="87"/>
      <c r="J277" s="87"/>
      <c r="K277" s="87"/>
      <c r="L277" s="87"/>
      <c r="M277" s="87"/>
      <c r="N277" s="87"/>
      <c r="O277" s="87"/>
      <c r="P277" s="87"/>
      <c r="Q277" s="87"/>
      <c r="R277" s="87"/>
      <c r="S277" s="87"/>
      <c r="T277" s="87"/>
      <c r="U277" s="87"/>
      <c r="V277" s="87"/>
      <c r="W277" s="87"/>
      <c r="X277" s="87"/>
      <c r="Y277" s="87"/>
      <c r="Z277" s="87"/>
      <c r="AA277" s="87"/>
    </row>
    <row r="278" spans="8:27">
      <c r="H278" s="87"/>
      <c r="I278" s="87"/>
      <c r="J278" s="87"/>
      <c r="K278" s="87"/>
      <c r="L278" s="87"/>
      <c r="M278" s="87"/>
      <c r="N278" s="87"/>
      <c r="O278" s="87"/>
      <c r="P278" s="87"/>
      <c r="Q278" s="87"/>
      <c r="R278" s="87"/>
      <c r="S278" s="87"/>
      <c r="T278" s="87"/>
      <c r="U278" s="87"/>
      <c r="V278" s="87"/>
      <c r="W278" s="87"/>
      <c r="X278" s="87"/>
      <c r="Y278" s="87"/>
      <c r="Z278" s="87"/>
      <c r="AA278" s="87"/>
    </row>
    <row r="279" spans="8:27">
      <c r="H279" s="87"/>
      <c r="I279" s="87"/>
      <c r="J279" s="87"/>
      <c r="K279" s="87"/>
      <c r="L279" s="87"/>
      <c r="M279" s="87"/>
      <c r="N279" s="87"/>
      <c r="O279" s="87"/>
      <c r="P279" s="87"/>
      <c r="Q279" s="87"/>
      <c r="R279" s="87"/>
      <c r="S279" s="87"/>
      <c r="T279" s="87"/>
      <c r="U279" s="87"/>
      <c r="V279" s="87"/>
      <c r="W279" s="87"/>
      <c r="X279" s="87"/>
      <c r="Y279" s="87"/>
      <c r="Z279" s="87"/>
      <c r="AA279" s="87"/>
    </row>
    <row r="280" spans="8:27">
      <c r="H280" s="87"/>
      <c r="I280" s="87"/>
      <c r="J280" s="87"/>
      <c r="K280" s="87"/>
      <c r="L280" s="87"/>
      <c r="M280" s="87"/>
      <c r="N280" s="87"/>
      <c r="O280" s="87"/>
      <c r="P280" s="87"/>
      <c r="Q280" s="87"/>
      <c r="R280" s="87"/>
      <c r="S280" s="87"/>
      <c r="T280" s="87"/>
      <c r="U280" s="87"/>
      <c r="V280" s="87"/>
      <c r="W280" s="87"/>
      <c r="X280" s="87"/>
      <c r="Y280" s="87"/>
      <c r="Z280" s="87"/>
      <c r="AA280" s="87"/>
    </row>
    <row r="281" spans="8:27">
      <c r="H281" s="87"/>
      <c r="I281" s="87"/>
      <c r="J281" s="87"/>
      <c r="K281" s="87"/>
      <c r="L281" s="87"/>
      <c r="M281" s="87"/>
      <c r="N281" s="87"/>
      <c r="O281" s="87"/>
      <c r="P281" s="87"/>
      <c r="Q281" s="87"/>
      <c r="R281" s="87"/>
      <c r="S281" s="87"/>
      <c r="T281" s="87"/>
      <c r="U281" s="87"/>
      <c r="V281" s="87"/>
      <c r="W281" s="87"/>
      <c r="X281" s="87"/>
      <c r="Y281" s="87"/>
      <c r="Z281" s="87"/>
      <c r="AA281" s="87"/>
    </row>
  </sheetData>
  <pageMargins left="0.75" right="0.75" top="1" bottom="1" header="0.5" footer="0.5"/>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B1:CP264"/>
  <sheetViews>
    <sheetView zoomScale="53" zoomScaleNormal="53" topLeftCell="Z1" workbookViewId="0">
      <selection activeCell="BB3" sqref="BB3:BB4"/>
    </sheetView>
  </sheetViews>
  <sheetFormatPr defaultColWidth="8.72727272727273" defaultRowHeight="14.5"/>
  <cols>
    <col min="1" max="1" width="8.71818181818182" style="1"/>
    <col min="2" max="2" width="130.854545454545" style="1" customWidth="1"/>
    <col min="3" max="5" width="12.8545454545455" style="1"/>
    <col min="6" max="6" width="30.1454545454545" style="1" customWidth="1"/>
    <col min="7" max="7" width="34.8545454545455" style="1" customWidth="1"/>
    <col min="8" max="8" width="32.5727272727273" style="1" customWidth="1"/>
    <col min="9" max="9" width="30.7181818181818" style="1" customWidth="1"/>
    <col min="10" max="11" width="12.8545454545455" style="1"/>
    <col min="12" max="12" width="34.8545454545455" style="1" customWidth="1"/>
    <col min="13" max="15" width="12.8545454545455" style="1"/>
    <col min="16" max="16" width="8.71818181818182" style="1"/>
    <col min="17" max="17" width="34.8545454545455" style="1" customWidth="1"/>
    <col min="18" max="18" width="14.7181818181818" style="1" customWidth="1"/>
    <col min="19" max="20" width="12.8545454545455" style="1"/>
    <col min="21" max="21" width="23.4272727272727" style="1" customWidth="1"/>
    <col min="22" max="22" width="34.8545454545455" style="1" customWidth="1"/>
    <col min="23" max="26" width="12.8545454545455" style="1"/>
    <col min="27" max="27" width="50" style="1" customWidth="1"/>
    <col min="28" max="40" width="12.8545454545455" style="1"/>
    <col min="41" max="44" width="8.71818181818182" style="1"/>
    <col min="45" max="47" width="12.8545454545455" style="195"/>
    <col min="48" max="48" width="12.8545454545455" style="1"/>
    <col min="49" max="49" width="63.7181818181818" style="1" customWidth="1"/>
    <col min="50" max="54" width="12.8545454545455" style="1"/>
    <col min="55" max="55" width="12.8545454545455" style="1" customWidth="1"/>
    <col min="56" max="56" width="12.8545454545455" style="1"/>
    <col min="57" max="57" width="30" style="196" customWidth="1"/>
    <col min="58" max="58" width="22" style="196" customWidth="1"/>
    <col min="59" max="87" width="12" style="196" customWidth="1"/>
    <col min="88" max="89" width="8.71818181818182" style="196"/>
    <col min="90" max="94" width="8.71818181818182" style="162"/>
    <col min="95" max="16384" width="8.71818181818182" style="1"/>
  </cols>
  <sheetData>
    <row r="1" s="1" customFormat="1" spans="2:94">
      <c r="B1" s="1" t="s">
        <v>39</v>
      </c>
      <c r="R1" s="1" t="s">
        <v>40</v>
      </c>
      <c r="S1" s="6" t="s">
        <v>41</v>
      </c>
      <c r="T1" s="6" t="s">
        <v>42</v>
      </c>
      <c r="U1" s="6" t="s">
        <v>43</v>
      </c>
      <c r="V1" s="6" t="s">
        <v>44</v>
      </c>
      <c r="W1" s="6" t="s">
        <v>45</v>
      </c>
      <c r="X1" s="6" t="s">
        <v>46</v>
      </c>
      <c r="Y1" s="6" t="s">
        <v>47</v>
      </c>
      <c r="Z1" s="6" t="s">
        <v>48</v>
      </c>
      <c r="AA1" s="6" t="s">
        <v>49</v>
      </c>
      <c r="AB1" s="6" t="s">
        <v>50</v>
      </c>
      <c r="AC1" s="6" t="s">
        <v>51</v>
      </c>
      <c r="AH1" s="197">
        <v>2023</v>
      </c>
      <c r="AI1" s="197">
        <v>2025</v>
      </c>
      <c r="AJ1" s="197">
        <v>2030</v>
      </c>
      <c r="AK1" s="197">
        <v>2035</v>
      </c>
      <c r="AL1" s="197">
        <v>2040</v>
      </c>
      <c r="AM1" s="197">
        <v>2045</v>
      </c>
      <c r="AN1" s="197">
        <v>2050</v>
      </c>
      <c r="AS1" s="195"/>
      <c r="AT1" s="195"/>
      <c r="AU1" s="195"/>
      <c r="AW1" s="81" t="s">
        <v>52</v>
      </c>
      <c r="AX1" s="81"/>
      <c r="AY1" s="198"/>
      <c r="AZ1" s="58"/>
      <c r="BA1" s="58"/>
      <c r="BD1" s="58" t="s">
        <v>53</v>
      </c>
      <c r="BE1" s="58"/>
      <c r="BF1" s="58"/>
      <c r="BG1" s="58"/>
      <c r="BH1" s="58"/>
      <c r="BI1" s="196"/>
      <c r="BJ1" s="196"/>
      <c r="BK1" s="196"/>
      <c r="BL1" s="196"/>
      <c r="BM1" s="196"/>
      <c r="BN1" s="196"/>
      <c r="BO1" s="58" t="s">
        <v>52</v>
      </c>
      <c r="BP1" s="58"/>
      <c r="BQ1" s="58"/>
      <c r="BR1" s="58"/>
      <c r="BS1" s="58"/>
      <c r="BT1" s="196"/>
      <c r="BU1" s="196"/>
      <c r="BV1" s="196"/>
      <c r="BW1" s="196"/>
      <c r="BX1" s="196"/>
      <c r="BY1" s="196"/>
      <c r="BZ1" s="196"/>
      <c r="CA1" s="196"/>
      <c r="CB1" s="196"/>
      <c r="CC1" s="196"/>
      <c r="CD1" s="196"/>
      <c r="CE1" s="196"/>
      <c r="CF1" s="196"/>
      <c r="CG1" s="196"/>
      <c r="CH1" s="196"/>
      <c r="CI1" s="196"/>
      <c r="CJ1" s="196"/>
      <c r="CK1" s="196"/>
      <c r="CL1" s="162"/>
      <c r="CM1" s="162"/>
      <c r="CN1" s="162"/>
      <c r="CO1" s="162"/>
      <c r="CP1" s="162"/>
    </row>
    <row r="2" s="1" customFormat="1" spans="2:94">
      <c r="B2" s="199" t="s">
        <v>54</v>
      </c>
      <c r="S2" s="200">
        <v>2023</v>
      </c>
      <c r="T2" s="200" t="s">
        <v>55</v>
      </c>
      <c r="U2" s="200" t="s">
        <v>56</v>
      </c>
      <c r="V2" s="200" t="s">
        <v>57</v>
      </c>
      <c r="W2" s="200" t="s">
        <v>58</v>
      </c>
      <c r="X2" s="200" t="s">
        <v>59</v>
      </c>
      <c r="Y2" s="200" t="s">
        <v>60</v>
      </c>
      <c r="Z2" s="200"/>
      <c r="AA2" s="200" t="s">
        <v>61</v>
      </c>
      <c r="AB2" s="201">
        <v>132.92732205738</v>
      </c>
      <c r="AC2" s="200" t="s">
        <v>62</v>
      </c>
      <c r="AG2" s="1" t="s">
        <v>63</v>
      </c>
      <c r="AH2" s="202">
        <v>132.92732205738</v>
      </c>
      <c r="AI2" s="202">
        <v>120.58407072348</v>
      </c>
      <c r="AJ2" s="202">
        <v>104.442895902227</v>
      </c>
      <c r="AK2" s="202">
        <v>94.9480871838431</v>
      </c>
      <c r="AL2" s="202">
        <v>92.1084750593323</v>
      </c>
      <c r="AM2" s="202">
        <v>88.9611647549709</v>
      </c>
      <c r="AN2" s="202">
        <v>85.4532784654588</v>
      </c>
      <c r="AS2" s="195"/>
      <c r="AT2" s="195"/>
      <c r="AU2" s="195"/>
      <c r="BV2" s="196"/>
      <c r="BW2" s="196"/>
      <c r="BX2" s="196"/>
      <c r="BY2" s="196"/>
      <c r="BZ2" s="196"/>
      <c r="CA2" s="196"/>
      <c r="CB2" s="196"/>
      <c r="CC2" s="196"/>
      <c r="CD2" s="196"/>
      <c r="CE2" s="196"/>
      <c r="CF2" s="196"/>
      <c r="CG2" s="196"/>
      <c r="CH2" s="196"/>
      <c r="CI2" s="196"/>
      <c r="CJ2" s="196"/>
      <c r="CK2" s="196"/>
      <c r="CL2" s="162"/>
      <c r="CM2" s="162"/>
      <c r="CN2" s="162"/>
      <c r="CO2" s="162"/>
      <c r="CP2" s="162"/>
    </row>
    <row r="3" s="1" customFormat="1" spans="2:94">
      <c r="F3" s="203" t="s">
        <v>64</v>
      </c>
      <c r="G3" s="204"/>
      <c r="H3" s="204"/>
      <c r="I3" s="204"/>
      <c r="S3" s="200">
        <v>2025</v>
      </c>
      <c r="T3" s="200" t="s">
        <v>55</v>
      </c>
      <c r="U3" s="200" t="s">
        <v>56</v>
      </c>
      <c r="V3" s="200" t="s">
        <v>57</v>
      </c>
      <c r="W3" s="200" t="s">
        <v>58</v>
      </c>
      <c r="X3" s="200" t="s">
        <v>59</v>
      </c>
      <c r="Y3" s="200" t="s">
        <v>60</v>
      </c>
      <c r="Z3" s="200"/>
      <c r="AA3" s="200" t="s">
        <v>61</v>
      </c>
      <c r="AB3" s="201">
        <v>120.58407072348</v>
      </c>
      <c r="AC3" s="200" t="s">
        <v>62</v>
      </c>
      <c r="AH3" s="1">
        <f xml:space="preserve">AH2</f>
        <v>132.92732205738</v>
      </c>
      <c r="AI3" s="1">
        <f t="shared" ref="AI3:AN3" si="0" xml:space="preserve">AI2</f>
        <v>120.58407072348</v>
      </c>
      <c r="AJ3" s="1">
        <f t="shared" si="0"/>
        <v>104.442895902227</v>
      </c>
      <c r="AK3" s="1">
        <f t="shared" si="0"/>
        <v>94.9480871838431</v>
      </c>
      <c r="AL3" s="1">
        <f t="shared" si="0"/>
        <v>92.1084750593323</v>
      </c>
      <c r="AM3" s="1">
        <f t="shared" si="0"/>
        <v>88.9611647549709</v>
      </c>
      <c r="AN3" s="1">
        <f t="shared" si="0"/>
        <v>85.4532784654588</v>
      </c>
      <c r="AS3" s="195" t="s">
        <v>65</v>
      </c>
      <c r="AT3" s="195" t="s">
        <v>11</v>
      </c>
      <c r="AU3" s="195" t="s">
        <v>25</v>
      </c>
      <c r="AW3" s="198" t="s">
        <v>66</v>
      </c>
      <c r="AX3" s="198" t="s">
        <v>41</v>
      </c>
      <c r="AY3" s="205" t="s">
        <v>65</v>
      </c>
      <c r="AZ3" s="205" t="s">
        <v>11</v>
      </c>
      <c r="BA3" s="205" t="s">
        <v>25</v>
      </c>
      <c r="BD3" s="58" t="s">
        <v>66</v>
      </c>
      <c r="BE3" s="58" t="s">
        <v>41</v>
      </c>
      <c r="BF3" s="58" t="s">
        <v>65</v>
      </c>
      <c r="BG3" s="58" t="s">
        <v>11</v>
      </c>
      <c r="BH3" s="58" t="s">
        <v>25</v>
      </c>
      <c r="BI3" s="196"/>
      <c r="BJ3" s="196"/>
      <c r="BK3" s="196"/>
      <c r="BL3" s="196"/>
      <c r="BM3" s="196"/>
      <c r="BN3" s="196"/>
      <c r="BO3" s="58" t="s">
        <v>66</v>
      </c>
      <c r="BP3" s="58" t="s">
        <v>41</v>
      </c>
      <c r="BQ3" s="58" t="s">
        <v>65</v>
      </c>
      <c r="BR3" s="58" t="s">
        <v>11</v>
      </c>
      <c r="BS3" s="58" t="s">
        <v>25</v>
      </c>
      <c r="BT3" s="196"/>
      <c r="BU3" s="196"/>
      <c r="BV3" s="196"/>
      <c r="BW3" s="196"/>
      <c r="BX3" s="196"/>
      <c r="BY3" s="196"/>
      <c r="BZ3" s="196"/>
      <c r="CA3" s="196"/>
      <c r="CB3" s="196"/>
      <c r="CC3" s="196"/>
      <c r="CD3" s="196"/>
      <c r="CE3" s="196"/>
      <c r="CF3" s="196"/>
      <c r="CG3" s="196"/>
      <c r="CH3" s="196"/>
      <c r="CI3" s="196"/>
      <c r="CJ3" s="196"/>
      <c r="CK3" s="196"/>
      <c r="CL3" s="162"/>
      <c r="CM3" s="162"/>
      <c r="CN3" s="162"/>
      <c r="CO3" s="162"/>
      <c r="CP3" s="162"/>
    </row>
    <row r="4" s="1" customFormat="1" spans="2:94">
      <c r="F4" s="203" t="s">
        <v>66</v>
      </c>
      <c r="G4" s="203" t="s">
        <v>65</v>
      </c>
      <c r="H4" s="203" t="s">
        <v>11</v>
      </c>
      <c r="I4" s="203" t="s">
        <v>25</v>
      </c>
      <c r="S4" s="200">
        <v>2030</v>
      </c>
      <c r="T4" s="200" t="s">
        <v>55</v>
      </c>
      <c r="U4" s="200" t="s">
        <v>56</v>
      </c>
      <c r="V4" s="200" t="s">
        <v>57</v>
      </c>
      <c r="W4" s="200" t="s">
        <v>58</v>
      </c>
      <c r="X4" s="200" t="s">
        <v>59</v>
      </c>
      <c r="Y4" s="200" t="s">
        <v>60</v>
      </c>
      <c r="Z4" s="200"/>
      <c r="AA4" s="200" t="s">
        <v>61</v>
      </c>
      <c r="AB4" s="201">
        <v>104.442895902227</v>
      </c>
      <c r="AC4" s="200" t="s">
        <v>62</v>
      </c>
      <c r="AH4" s="1">
        <f t="shared" ref="AH4:AH12" si="1" xml:space="preserve">AH3</f>
        <v>132.92732205738</v>
      </c>
      <c r="AI4" s="1">
        <f t="shared" ref="AI4:AI12" si="2" xml:space="preserve">AI3</f>
        <v>120.58407072348</v>
      </c>
      <c r="AJ4" s="1">
        <f t="shared" ref="AJ4:AJ12" si="3" xml:space="preserve">AJ3</f>
        <v>104.442895902227</v>
      </c>
      <c r="AK4" s="1">
        <f t="shared" ref="AK4:AK12" si="4" xml:space="preserve">AK3</f>
        <v>94.9480871838431</v>
      </c>
      <c r="AL4" s="1">
        <f t="shared" ref="AL4:AL12" si="5" xml:space="preserve">AL3</f>
        <v>92.1084750593323</v>
      </c>
      <c r="AM4" s="1">
        <f t="shared" ref="AM4:AM12" si="6" xml:space="preserve">AM3</f>
        <v>88.9611647549709</v>
      </c>
      <c r="AN4" s="1">
        <f t="shared" ref="AN4:AN12" si="7" xml:space="preserve">AN3</f>
        <v>85.4532784654588</v>
      </c>
      <c r="AS4" s="195">
        <v>80.3831766666667</v>
      </c>
      <c r="AT4" s="195">
        <v>55.48673</v>
      </c>
      <c r="AU4" s="195">
        <v>106.82505</v>
      </c>
      <c r="AW4" s="198" t="s">
        <v>67</v>
      </c>
      <c r="AX4" s="198">
        <v>2023</v>
      </c>
      <c r="AY4" s="198">
        <f xml:space="preserve">G5</f>
        <v>80.3831766666667</v>
      </c>
      <c r="AZ4" s="198">
        <f xml:space="preserve">H5</f>
        <v>55.48673</v>
      </c>
      <c r="BA4" s="198">
        <f xml:space="preserve">I5</f>
        <v>106.82505</v>
      </c>
      <c r="BD4" s="58" t="s">
        <v>68</v>
      </c>
      <c r="BE4" s="58">
        <v>2023</v>
      </c>
      <c r="BF4" s="58">
        <f t="shared" ref="BF4:BF11" si="8" xml:space="preserve">AS4*70%</f>
        <v>56.2682236666667</v>
      </c>
      <c r="BG4" s="58">
        <f t="shared" ref="BG4:BG11" si="9" xml:space="preserve">AT4*70%</f>
        <v>38.840711</v>
      </c>
      <c r="BH4" s="58">
        <f t="shared" ref="BH4:BH11" si="10" xml:space="preserve">AU4*70%</f>
        <v>74.777535</v>
      </c>
      <c r="BI4" s="196"/>
      <c r="BJ4" s="196"/>
      <c r="BK4" s="196"/>
      <c r="BL4" s="196"/>
      <c r="BM4" s="196"/>
      <c r="BN4" s="196"/>
      <c r="BO4" s="58" t="s">
        <v>69</v>
      </c>
      <c r="BP4" s="58">
        <v>2023</v>
      </c>
      <c r="BQ4" s="58">
        <f t="shared" ref="BQ4:BQ11" si="11" xml:space="preserve">AS4*30%</f>
        <v>24.114953</v>
      </c>
      <c r="BR4" s="58">
        <f t="shared" ref="BR4:BR11" si="12" xml:space="preserve">AT4*30%</f>
        <v>16.646019</v>
      </c>
      <c r="BS4" s="58">
        <f t="shared" ref="BS4:BS11" si="13" xml:space="preserve">AU4*30%</f>
        <v>32.047515</v>
      </c>
      <c r="BT4" s="196"/>
      <c r="BU4" s="196"/>
      <c r="BV4" s="196"/>
      <c r="BW4" s="196"/>
      <c r="BX4" s="196"/>
      <c r="BY4" s="196"/>
      <c r="BZ4" s="196"/>
      <c r="CA4" s="196"/>
      <c r="CB4" s="196"/>
      <c r="CC4" s="196"/>
      <c r="CD4" s="196"/>
      <c r="CE4" s="196"/>
      <c r="CF4" s="196"/>
      <c r="CG4" s="196"/>
      <c r="CH4" s="196"/>
      <c r="CI4" s="196"/>
      <c r="CJ4" s="196"/>
      <c r="CK4" s="196"/>
      <c r="CL4" s="162"/>
      <c r="CM4" s="162"/>
      <c r="CN4" s="162"/>
      <c r="CO4" s="162"/>
      <c r="CP4" s="162"/>
    </row>
    <row r="5" s="1" customFormat="1" ht="152" customHeight="1" spans="2:94">
      <c r="B5" s="206" t="s">
        <v>70</v>
      </c>
      <c r="F5" s="203" t="s">
        <v>71</v>
      </c>
      <c r="G5" s="204">
        <f xml:space="preserve">[3]R_strategies_n_GridBattery!$D$131</f>
        <v>80.3831766666667</v>
      </c>
      <c r="H5" s="204">
        <f xml:space="preserve">[3]R_strategies_n_GridBattery!$E$131</f>
        <v>55.48673</v>
      </c>
      <c r="I5" s="204">
        <f xml:space="preserve">[3]R_strategies_n_GridBattery!$F$131</f>
        <v>106.82505</v>
      </c>
      <c r="S5" s="200">
        <v>2035</v>
      </c>
      <c r="T5" s="200" t="s">
        <v>55</v>
      </c>
      <c r="U5" s="200" t="s">
        <v>56</v>
      </c>
      <c r="V5" s="200" t="s">
        <v>57</v>
      </c>
      <c r="W5" s="200" t="s">
        <v>58</v>
      </c>
      <c r="X5" s="200" t="s">
        <v>59</v>
      </c>
      <c r="Y5" s="200" t="s">
        <v>60</v>
      </c>
      <c r="Z5" s="200"/>
      <c r="AA5" s="200" t="s">
        <v>61</v>
      </c>
      <c r="AB5" s="201">
        <v>94.9480871838431</v>
      </c>
      <c r="AC5" s="200" t="s">
        <v>62</v>
      </c>
      <c r="AH5" s="1">
        <f t="shared" si="1"/>
        <v>132.92732205738</v>
      </c>
      <c r="AI5" s="1">
        <f t="shared" si="2"/>
        <v>120.58407072348</v>
      </c>
      <c r="AJ5" s="1">
        <f t="shared" si="3"/>
        <v>104.442895902227</v>
      </c>
      <c r="AK5" s="1">
        <f t="shared" si="4"/>
        <v>94.9480871838431</v>
      </c>
      <c r="AL5" s="1">
        <f t="shared" si="5"/>
        <v>92.1084750593323</v>
      </c>
      <c r="AM5" s="1">
        <f t="shared" si="6"/>
        <v>88.9611647549709</v>
      </c>
      <c r="AN5" s="1">
        <f t="shared" si="7"/>
        <v>85.4532784654588</v>
      </c>
      <c r="AS5" s="195">
        <v>95.4086</v>
      </c>
      <c r="AT5" s="195">
        <v>66.32565</v>
      </c>
      <c r="AU5" s="195">
        <v>126.26355</v>
      </c>
      <c r="AW5" s="198" t="s">
        <v>72</v>
      </c>
      <c r="AX5" s="198">
        <f xml:space="preserve">AX4</f>
        <v>2023</v>
      </c>
      <c r="AY5" s="198">
        <f t="shared" ref="AY5:AY10" si="14" xml:space="preserve">G6</f>
        <v>95.4086</v>
      </c>
      <c r="AZ5" s="198">
        <f t="shared" ref="AZ5:AZ10" si="15" xml:space="preserve">H6</f>
        <v>66.32565</v>
      </c>
      <c r="BA5" s="198">
        <f t="shared" ref="BA5:BA10" si="16" xml:space="preserve">I6</f>
        <v>126.26355</v>
      </c>
      <c r="BD5" s="58" t="s">
        <v>73</v>
      </c>
      <c r="BE5" s="58">
        <v>2023</v>
      </c>
      <c r="BF5" s="58">
        <f t="shared" si="8"/>
        <v>66.78602</v>
      </c>
      <c r="BG5" s="58">
        <f t="shared" si="9"/>
        <v>46.427955</v>
      </c>
      <c r="BH5" s="58">
        <f t="shared" si="10"/>
        <v>88.384485</v>
      </c>
      <c r="BI5" s="207"/>
      <c r="BJ5" s="196"/>
      <c r="BK5" s="196"/>
      <c r="BL5" s="196"/>
      <c r="BM5" s="196"/>
      <c r="BN5" s="196"/>
      <c r="BO5" s="58" t="s">
        <v>74</v>
      </c>
      <c r="BP5" s="58">
        <v>2023</v>
      </c>
      <c r="BQ5" s="58">
        <f t="shared" si="11"/>
        <v>28.62258</v>
      </c>
      <c r="BR5" s="58">
        <f t="shared" si="12"/>
        <v>19.897695</v>
      </c>
      <c r="BS5" s="58">
        <f t="shared" si="13"/>
        <v>37.879065</v>
      </c>
      <c r="BT5" s="196"/>
      <c r="BU5" s="196"/>
      <c r="BV5" s="196"/>
      <c r="BW5" s="196"/>
      <c r="BX5" s="196"/>
      <c r="BY5" s="196"/>
      <c r="BZ5" s="196"/>
      <c r="CA5" s="196"/>
      <c r="CB5" s="196"/>
      <c r="CC5" s="196"/>
      <c r="CD5" s="196"/>
      <c r="CE5" s="196"/>
      <c r="CF5" s="196"/>
      <c r="CG5" s="196"/>
      <c r="CH5" s="196"/>
      <c r="CI5" s="196"/>
      <c r="CJ5" s="196"/>
      <c r="CK5" s="196"/>
      <c r="CL5" s="162"/>
      <c r="CM5" s="162"/>
      <c r="CN5" s="162"/>
      <c r="CO5" s="162"/>
      <c r="CP5" s="162"/>
    </row>
    <row r="6" s="1" customFormat="1" spans="2:94">
      <c r="F6" s="203" t="s">
        <v>75</v>
      </c>
      <c r="G6" s="204">
        <f xml:space="preserve">[3]R_strategies_n_GridBattery!$D$132</f>
        <v>95.4086</v>
      </c>
      <c r="H6" s="204">
        <f xml:space="preserve">[3]R_strategies_n_GridBattery!$E$132</f>
        <v>66.32565</v>
      </c>
      <c r="I6" s="204">
        <f xml:space="preserve">[3]R_strategies_n_GridBattery!$F$132</f>
        <v>126.26355</v>
      </c>
      <c r="S6" s="200">
        <v>2040</v>
      </c>
      <c r="T6" s="200" t="s">
        <v>55</v>
      </c>
      <c r="U6" s="200" t="s">
        <v>56</v>
      </c>
      <c r="V6" s="200" t="s">
        <v>57</v>
      </c>
      <c r="W6" s="200" t="s">
        <v>58</v>
      </c>
      <c r="X6" s="200" t="s">
        <v>59</v>
      </c>
      <c r="Y6" s="200" t="s">
        <v>60</v>
      </c>
      <c r="Z6" s="200"/>
      <c r="AA6" s="200" t="s">
        <v>61</v>
      </c>
      <c r="AB6" s="201">
        <v>92.1084750593323</v>
      </c>
      <c r="AC6" s="200" t="s">
        <v>62</v>
      </c>
      <c r="AH6" s="1">
        <f t="shared" si="1"/>
        <v>132.92732205738</v>
      </c>
      <c r="AI6" s="1">
        <f t="shared" si="2"/>
        <v>120.58407072348</v>
      </c>
      <c r="AJ6" s="1">
        <f t="shared" si="3"/>
        <v>104.442895902227</v>
      </c>
      <c r="AK6" s="1">
        <f t="shared" si="4"/>
        <v>94.9480871838431</v>
      </c>
      <c r="AL6" s="1">
        <f t="shared" si="5"/>
        <v>92.1084750593323</v>
      </c>
      <c r="AM6" s="1">
        <f t="shared" si="6"/>
        <v>88.9611647549709</v>
      </c>
      <c r="AN6" s="1">
        <f t="shared" si="7"/>
        <v>85.4532784654588</v>
      </c>
      <c r="AS6" s="195">
        <v>85.3476966666666</v>
      </c>
      <c r="AT6" s="195">
        <v>56.10147</v>
      </c>
      <c r="AU6" s="195">
        <v>116.32796</v>
      </c>
      <c r="AW6" s="198" t="s">
        <v>76</v>
      </c>
      <c r="AX6" s="198">
        <f t="shared" ref="AX6:AX11" si="17" xml:space="preserve">AX5</f>
        <v>2023</v>
      </c>
      <c r="AY6" s="198">
        <f t="shared" si="14"/>
        <v>85.3476966666666</v>
      </c>
      <c r="AZ6" s="198">
        <f t="shared" si="15"/>
        <v>56.10147</v>
      </c>
      <c r="BA6" s="198">
        <f t="shared" si="16"/>
        <v>116.32796</v>
      </c>
      <c r="BD6" s="58" t="s">
        <v>77</v>
      </c>
      <c r="BE6" s="58">
        <v>2023</v>
      </c>
      <c r="BF6" s="58">
        <f t="shared" si="8"/>
        <v>59.7433876666666</v>
      </c>
      <c r="BG6" s="58">
        <f t="shared" si="9"/>
        <v>39.271029</v>
      </c>
      <c r="BH6" s="58">
        <f t="shared" si="10"/>
        <v>81.429572</v>
      </c>
      <c r="BI6" s="208"/>
      <c r="BJ6" s="196"/>
      <c r="BK6" s="196"/>
      <c r="BL6" s="196"/>
      <c r="BM6" s="196"/>
      <c r="BN6" s="196"/>
      <c r="BO6" s="58" t="s">
        <v>78</v>
      </c>
      <c r="BP6" s="58">
        <v>2023</v>
      </c>
      <c r="BQ6" s="58">
        <f t="shared" si="11"/>
        <v>25.604309</v>
      </c>
      <c r="BR6" s="58">
        <f t="shared" si="12"/>
        <v>16.830441</v>
      </c>
      <c r="BS6" s="58">
        <f t="shared" si="13"/>
        <v>34.898388</v>
      </c>
      <c r="BT6" s="196"/>
      <c r="BU6" s="196"/>
      <c r="BV6" s="196"/>
      <c r="BW6" s="196"/>
      <c r="BX6" s="196"/>
      <c r="BY6" s="196"/>
      <c r="BZ6" s="196"/>
      <c r="CA6" s="196"/>
      <c r="CB6" s="196"/>
      <c r="CC6" s="196"/>
      <c r="CD6" s="196"/>
      <c r="CE6" s="196"/>
      <c r="CF6" s="196"/>
      <c r="CG6" s="196"/>
      <c r="CH6" s="196"/>
      <c r="CI6" s="196"/>
      <c r="CJ6" s="196"/>
      <c r="CK6" s="196"/>
      <c r="CL6" s="162"/>
      <c r="CM6" s="162"/>
      <c r="CN6" s="162"/>
      <c r="CO6" s="162"/>
      <c r="CP6" s="162"/>
    </row>
    <row r="7" s="1" customFormat="1" spans="2:94">
      <c r="F7" s="203" t="s">
        <v>79</v>
      </c>
      <c r="G7" s="204">
        <f xml:space="preserve">[3]R_strategies_n_GridBattery!$D$133</f>
        <v>85.3476966666666</v>
      </c>
      <c r="H7" s="204">
        <f xml:space="preserve">[3]R_strategies_n_GridBattery!$E$133</f>
        <v>56.10147</v>
      </c>
      <c r="I7" s="204">
        <f xml:space="preserve">[3]R_strategies_n_GridBattery!$F$133</f>
        <v>116.32796</v>
      </c>
      <c r="S7" s="200">
        <v>2045</v>
      </c>
      <c r="T7" s="200" t="s">
        <v>55</v>
      </c>
      <c r="U7" s="200" t="s">
        <v>56</v>
      </c>
      <c r="V7" s="200" t="s">
        <v>57</v>
      </c>
      <c r="W7" s="200" t="s">
        <v>58</v>
      </c>
      <c r="X7" s="200" t="s">
        <v>59</v>
      </c>
      <c r="Y7" s="200" t="s">
        <v>60</v>
      </c>
      <c r="Z7" s="200"/>
      <c r="AA7" s="200" t="s">
        <v>61</v>
      </c>
      <c r="AB7" s="201">
        <v>88.9611647549709</v>
      </c>
      <c r="AC7" s="200" t="s">
        <v>62</v>
      </c>
      <c r="AH7" s="1">
        <f t="shared" si="1"/>
        <v>132.92732205738</v>
      </c>
      <c r="AI7" s="1">
        <f t="shared" si="2"/>
        <v>120.58407072348</v>
      </c>
      <c r="AJ7" s="1">
        <f t="shared" si="3"/>
        <v>104.442895902227</v>
      </c>
      <c r="AK7" s="1">
        <f t="shared" si="4"/>
        <v>94.9480871838431</v>
      </c>
      <c r="AL7" s="1">
        <f t="shared" si="5"/>
        <v>92.1084750593323</v>
      </c>
      <c r="AM7" s="1">
        <f t="shared" si="6"/>
        <v>88.9611647549709</v>
      </c>
      <c r="AN7" s="1">
        <f t="shared" si="7"/>
        <v>85.4532784654588</v>
      </c>
      <c r="AS7" s="195">
        <v>85.52157</v>
      </c>
      <c r="AT7" s="195">
        <v>55.55951</v>
      </c>
      <c r="AU7" s="195">
        <v>117.30431</v>
      </c>
      <c r="AW7" s="198" t="s">
        <v>80</v>
      </c>
      <c r="AX7" s="198">
        <f t="shared" si="17"/>
        <v>2023</v>
      </c>
      <c r="AY7" s="198">
        <f t="shared" si="14"/>
        <v>85.52157</v>
      </c>
      <c r="AZ7" s="198">
        <f t="shared" si="15"/>
        <v>55.55951</v>
      </c>
      <c r="BA7" s="198">
        <f t="shared" si="16"/>
        <v>117.30431</v>
      </c>
      <c r="BD7" s="58" t="s">
        <v>81</v>
      </c>
      <c r="BE7" s="58">
        <v>2023</v>
      </c>
      <c r="BF7" s="58">
        <f t="shared" si="8"/>
        <v>59.865099</v>
      </c>
      <c r="BG7" s="58">
        <f t="shared" si="9"/>
        <v>38.891657</v>
      </c>
      <c r="BH7" s="58">
        <f t="shared" si="10"/>
        <v>82.113017</v>
      </c>
      <c r="BI7" s="208"/>
      <c r="BJ7" s="196"/>
      <c r="BK7" s="196"/>
      <c r="BL7" s="196"/>
      <c r="BM7" s="196"/>
      <c r="BN7" s="196"/>
      <c r="BO7" s="58" t="s">
        <v>82</v>
      </c>
      <c r="BP7" s="58">
        <v>2023</v>
      </c>
      <c r="BQ7" s="58">
        <f t="shared" si="11"/>
        <v>25.656471</v>
      </c>
      <c r="BR7" s="58">
        <f t="shared" si="12"/>
        <v>16.667853</v>
      </c>
      <c r="BS7" s="58">
        <f t="shared" si="13"/>
        <v>35.191293</v>
      </c>
      <c r="BT7" s="196"/>
      <c r="BU7" s="196"/>
      <c r="BV7" s="196"/>
      <c r="BW7" s="196"/>
      <c r="BX7" s="196"/>
      <c r="BY7" s="196"/>
      <c r="BZ7" s="196"/>
      <c r="CA7" s="196"/>
      <c r="CB7" s="196"/>
      <c r="CC7" s="196"/>
      <c r="CD7" s="196"/>
      <c r="CE7" s="196"/>
      <c r="CF7" s="196"/>
      <c r="CG7" s="196"/>
      <c r="CH7" s="196"/>
      <c r="CI7" s="196"/>
      <c r="CJ7" s="196"/>
      <c r="CK7" s="196"/>
      <c r="CL7" s="162"/>
      <c r="CM7" s="162"/>
      <c r="CN7" s="162"/>
      <c r="CO7" s="162"/>
      <c r="CP7" s="162"/>
    </row>
    <row r="8" s="1" customFormat="1" ht="29" spans="2:94">
      <c r="B8" s="206" t="s">
        <v>83</v>
      </c>
      <c r="F8" s="203" t="s">
        <v>84</v>
      </c>
      <c r="G8" s="204">
        <f xml:space="preserve">[3]R_strategies_n_GridBattery!$D$134</f>
        <v>85.52157</v>
      </c>
      <c r="H8" s="204">
        <f xml:space="preserve">[3]R_strategies_n_GridBattery!$E$134</f>
        <v>55.55951</v>
      </c>
      <c r="I8" s="204">
        <f xml:space="preserve">[3]R_strategies_n_GridBattery!$F$134</f>
        <v>117.30431</v>
      </c>
      <c r="S8" s="200">
        <v>2050</v>
      </c>
      <c r="T8" s="200" t="s">
        <v>55</v>
      </c>
      <c r="U8" s="200" t="s">
        <v>56</v>
      </c>
      <c r="V8" s="200" t="s">
        <v>57</v>
      </c>
      <c r="W8" s="200" t="s">
        <v>58</v>
      </c>
      <c r="X8" s="200" t="s">
        <v>59</v>
      </c>
      <c r="Y8" s="200" t="s">
        <v>60</v>
      </c>
      <c r="Z8" s="200"/>
      <c r="AA8" s="200" t="s">
        <v>61</v>
      </c>
      <c r="AB8" s="201">
        <v>85.4532784654588</v>
      </c>
      <c r="AC8" s="200" t="s">
        <v>62</v>
      </c>
      <c r="AH8" s="1">
        <f t="shared" si="1"/>
        <v>132.92732205738</v>
      </c>
      <c r="AI8" s="1">
        <f t="shared" si="2"/>
        <v>120.58407072348</v>
      </c>
      <c r="AJ8" s="1">
        <f t="shared" si="3"/>
        <v>104.442895902227</v>
      </c>
      <c r="AK8" s="1">
        <f t="shared" si="4"/>
        <v>94.9480871838431</v>
      </c>
      <c r="AL8" s="1">
        <f t="shared" si="5"/>
        <v>92.1084750593323</v>
      </c>
      <c r="AM8" s="1">
        <f t="shared" si="6"/>
        <v>88.9611647549709</v>
      </c>
      <c r="AN8" s="1">
        <f t="shared" si="7"/>
        <v>85.4532784654588</v>
      </c>
      <c r="AS8" s="195">
        <v>90.0929166666666</v>
      </c>
      <c r="AT8" s="195">
        <v>59.3677</v>
      </c>
      <c r="AU8" s="195">
        <v>122.66905</v>
      </c>
      <c r="AW8" s="198" t="s">
        <v>85</v>
      </c>
      <c r="AX8" s="198">
        <f t="shared" si="17"/>
        <v>2023</v>
      </c>
      <c r="AY8" s="198">
        <f t="shared" si="14"/>
        <v>90.0929166666666</v>
      </c>
      <c r="AZ8" s="198">
        <f t="shared" si="15"/>
        <v>59.3677</v>
      </c>
      <c r="BA8" s="198">
        <f t="shared" si="16"/>
        <v>122.66905</v>
      </c>
      <c r="BD8" s="58" t="s">
        <v>86</v>
      </c>
      <c r="BE8" s="58">
        <v>2023</v>
      </c>
      <c r="BF8" s="58">
        <f t="shared" si="8"/>
        <v>63.0650416666666</v>
      </c>
      <c r="BG8" s="58">
        <f t="shared" si="9"/>
        <v>41.55739</v>
      </c>
      <c r="BH8" s="58">
        <f t="shared" si="10"/>
        <v>85.868335</v>
      </c>
      <c r="BI8" s="208"/>
      <c r="BJ8" s="196"/>
      <c r="BK8" s="196"/>
      <c r="BL8" s="196"/>
      <c r="BM8" s="196"/>
      <c r="BN8" s="196"/>
      <c r="BO8" s="58" t="s">
        <v>87</v>
      </c>
      <c r="BP8" s="58">
        <v>2023</v>
      </c>
      <c r="BQ8" s="58">
        <f t="shared" si="11"/>
        <v>27.027875</v>
      </c>
      <c r="BR8" s="58">
        <f t="shared" si="12"/>
        <v>17.81031</v>
      </c>
      <c r="BS8" s="58">
        <f t="shared" si="13"/>
        <v>36.800715</v>
      </c>
      <c r="BT8" s="196"/>
      <c r="BU8" s="196"/>
      <c r="BV8" s="196"/>
      <c r="BW8" s="196"/>
      <c r="BX8" s="196"/>
      <c r="BY8" s="196"/>
      <c r="BZ8" s="196"/>
      <c r="CA8" s="196"/>
      <c r="CB8" s="196"/>
      <c r="CC8" s="196"/>
      <c r="CD8" s="196"/>
      <c r="CE8" s="196"/>
      <c r="CF8" s="196"/>
      <c r="CG8" s="196"/>
      <c r="CH8" s="196"/>
      <c r="CI8" s="196"/>
      <c r="CJ8" s="196"/>
      <c r="CK8" s="196"/>
      <c r="CL8" s="162"/>
      <c r="CM8" s="162"/>
      <c r="CN8" s="162"/>
      <c r="CO8" s="162"/>
      <c r="CP8" s="162"/>
    </row>
    <row r="9" s="1" customFormat="1" spans="2:94">
      <c r="F9" s="203" t="s">
        <v>88</v>
      </c>
      <c r="G9" s="204">
        <f xml:space="preserve">[3]R_strategies_n_GridBattery!$D$135</f>
        <v>90.0929166666666</v>
      </c>
      <c r="H9" s="204">
        <f xml:space="preserve">[3]R_strategies_n_GridBattery!$E$135</f>
        <v>59.3677</v>
      </c>
      <c r="I9" s="204">
        <f xml:space="preserve">[3]R_strategies_n_GridBattery!$F$135</f>
        <v>122.66905</v>
      </c>
      <c r="AH9" s="1">
        <f t="shared" si="1"/>
        <v>132.92732205738</v>
      </c>
      <c r="AI9" s="1">
        <f t="shared" si="2"/>
        <v>120.58407072348</v>
      </c>
      <c r="AJ9" s="1">
        <f t="shared" si="3"/>
        <v>104.442895902227</v>
      </c>
      <c r="AK9" s="1">
        <f t="shared" si="4"/>
        <v>94.9480871838431</v>
      </c>
      <c r="AL9" s="1">
        <f t="shared" si="5"/>
        <v>92.1084750593323</v>
      </c>
      <c r="AM9" s="1">
        <f t="shared" si="6"/>
        <v>88.9611647549709</v>
      </c>
      <c r="AN9" s="1">
        <f t="shared" si="7"/>
        <v>85.4532784654588</v>
      </c>
      <c r="AS9" s="195">
        <v>86.9222166666667</v>
      </c>
      <c r="AT9" s="195">
        <v>57.33755</v>
      </c>
      <c r="AU9" s="195">
        <v>118.2723</v>
      </c>
      <c r="AW9" s="198" t="s">
        <v>89</v>
      </c>
      <c r="AX9" s="198">
        <f t="shared" si="17"/>
        <v>2023</v>
      </c>
      <c r="AY9" s="198">
        <f t="shared" si="14"/>
        <v>86.9222166666667</v>
      </c>
      <c r="AZ9" s="198">
        <f t="shared" si="15"/>
        <v>57.33755</v>
      </c>
      <c r="BA9" s="198">
        <f t="shared" si="16"/>
        <v>118.2723</v>
      </c>
      <c r="BD9" s="58" t="s">
        <v>90</v>
      </c>
      <c r="BE9" s="58">
        <v>2023</v>
      </c>
      <c r="BF9" s="58">
        <f t="shared" si="8"/>
        <v>60.8455516666667</v>
      </c>
      <c r="BG9" s="58">
        <f t="shared" si="9"/>
        <v>40.136285</v>
      </c>
      <c r="BH9" s="58">
        <f t="shared" si="10"/>
        <v>82.79061</v>
      </c>
      <c r="BI9" s="208"/>
      <c r="BJ9" s="196"/>
      <c r="BK9" s="196"/>
      <c r="BL9" s="196"/>
      <c r="BM9" s="196"/>
      <c r="BN9" s="196"/>
      <c r="BO9" s="58" t="s">
        <v>91</v>
      </c>
      <c r="BP9" s="58">
        <v>2023</v>
      </c>
      <c r="BQ9" s="58">
        <f t="shared" si="11"/>
        <v>26.076665</v>
      </c>
      <c r="BR9" s="58">
        <f t="shared" si="12"/>
        <v>17.201265</v>
      </c>
      <c r="BS9" s="58">
        <f t="shared" si="13"/>
        <v>35.48169</v>
      </c>
      <c r="BT9" s="196"/>
      <c r="BU9" s="196"/>
      <c r="BV9" s="196"/>
      <c r="BW9" s="196"/>
      <c r="BX9" s="196"/>
      <c r="BY9" s="196"/>
      <c r="BZ9" s="196"/>
      <c r="CA9" s="196"/>
      <c r="CB9" s="196"/>
      <c r="CC9" s="196"/>
      <c r="CD9" s="196"/>
      <c r="CE9" s="196"/>
      <c r="CF9" s="196"/>
      <c r="CG9" s="196"/>
      <c r="CH9" s="196"/>
      <c r="CI9" s="196"/>
      <c r="CJ9" s="196"/>
      <c r="CK9" s="196"/>
      <c r="CL9" s="162"/>
      <c r="CM9" s="162"/>
      <c r="CN9" s="162"/>
      <c r="CO9" s="162"/>
      <c r="CP9" s="162"/>
    </row>
    <row r="10" s="1" customFormat="1" spans="2:94">
      <c r="F10" s="203" t="s">
        <v>92</v>
      </c>
      <c r="G10" s="204">
        <f xml:space="preserve">[3]R_strategies_n_GridBattery!$D$136</f>
        <v>86.9222166666667</v>
      </c>
      <c r="H10" s="204">
        <f xml:space="preserve">[3]R_strategies_n_GridBattery!$E$136</f>
        <v>57.33755</v>
      </c>
      <c r="I10" s="204">
        <f xml:space="preserve">[3]R_strategies_n_GridBattery!$F$136</f>
        <v>118.2723</v>
      </c>
      <c r="AH10" s="1">
        <f t="shared" si="1"/>
        <v>132.92732205738</v>
      </c>
      <c r="AI10" s="1">
        <f t="shared" si="2"/>
        <v>120.58407072348</v>
      </c>
      <c r="AJ10" s="1">
        <f t="shared" si="3"/>
        <v>104.442895902227</v>
      </c>
      <c r="AK10" s="1">
        <f t="shared" si="4"/>
        <v>94.9480871838431</v>
      </c>
      <c r="AL10" s="1">
        <f t="shared" si="5"/>
        <v>92.1084750593323</v>
      </c>
      <c r="AM10" s="1">
        <f t="shared" si="6"/>
        <v>88.9611647549709</v>
      </c>
      <c r="AN10" s="1">
        <f t="shared" si="7"/>
        <v>85.4532784654588</v>
      </c>
      <c r="AS10" s="195">
        <v>89.5526666666667</v>
      </c>
      <c r="AT10" s="195">
        <v>59.98948</v>
      </c>
      <c r="AU10" s="195">
        <v>120.87452</v>
      </c>
      <c r="AW10" s="198" t="s">
        <v>93</v>
      </c>
      <c r="AX10" s="198">
        <f t="shared" si="17"/>
        <v>2023</v>
      </c>
      <c r="AY10" s="198">
        <f t="shared" si="14"/>
        <v>89.5526666666667</v>
      </c>
      <c r="AZ10" s="198">
        <f t="shared" si="15"/>
        <v>59.98948</v>
      </c>
      <c r="BA10" s="198">
        <f t="shared" si="16"/>
        <v>120.87452</v>
      </c>
      <c r="BD10" s="58" t="s">
        <v>94</v>
      </c>
      <c r="BE10" s="58">
        <v>2023</v>
      </c>
      <c r="BF10" s="58">
        <f t="shared" si="8"/>
        <v>62.6868666666667</v>
      </c>
      <c r="BG10" s="58">
        <f t="shared" si="9"/>
        <v>41.992636</v>
      </c>
      <c r="BH10" s="58">
        <f t="shared" si="10"/>
        <v>84.612164</v>
      </c>
      <c r="BI10" s="208"/>
      <c r="BJ10" s="196"/>
      <c r="BK10" s="196"/>
      <c r="BL10" s="196"/>
      <c r="BM10" s="196"/>
      <c r="BN10" s="196"/>
      <c r="BO10" s="58" t="s">
        <v>95</v>
      </c>
      <c r="BP10" s="58">
        <v>2023</v>
      </c>
      <c r="BQ10" s="58">
        <f t="shared" si="11"/>
        <v>26.8658</v>
      </c>
      <c r="BR10" s="58">
        <f t="shared" si="12"/>
        <v>17.996844</v>
      </c>
      <c r="BS10" s="58">
        <f t="shared" si="13"/>
        <v>36.262356</v>
      </c>
      <c r="BT10" s="196"/>
      <c r="BU10" s="196"/>
      <c r="BV10" s="196"/>
      <c r="BW10" s="196"/>
      <c r="BX10" s="196"/>
      <c r="BY10" s="196"/>
      <c r="BZ10" s="196"/>
      <c r="CA10" s="196"/>
      <c r="CB10" s="196"/>
      <c r="CC10" s="196"/>
      <c r="CD10" s="196"/>
      <c r="CE10" s="196"/>
      <c r="CF10" s="196"/>
      <c r="CG10" s="196"/>
      <c r="CH10" s="196"/>
      <c r="CI10" s="196"/>
      <c r="CJ10" s="196"/>
      <c r="CK10" s="196"/>
      <c r="CL10" s="162"/>
      <c r="CM10" s="162"/>
      <c r="CN10" s="162"/>
      <c r="CO10" s="162"/>
      <c r="CP10" s="162"/>
    </row>
    <row r="11" s="1" customFormat="1" spans="2:94">
      <c r="F11" s="203" t="s">
        <v>96</v>
      </c>
      <c r="G11" s="204">
        <f xml:space="preserve">[3]R_strategies_n_GridBattery!$D$137</f>
        <v>89.5526666666667</v>
      </c>
      <c r="H11" s="204">
        <f xml:space="preserve">[3]R_strategies_n_GridBattery!$E$137</f>
        <v>59.98948</v>
      </c>
      <c r="I11" s="204">
        <f xml:space="preserve">[3]R_strategies_n_GridBattery!$F$137</f>
        <v>120.87452</v>
      </c>
      <c r="AH11" s="1">
        <f t="shared" si="1"/>
        <v>132.92732205738</v>
      </c>
      <c r="AI11" s="1">
        <f t="shared" si="2"/>
        <v>120.58407072348</v>
      </c>
      <c r="AJ11" s="1">
        <f t="shared" si="3"/>
        <v>104.442895902227</v>
      </c>
      <c r="AK11" s="1">
        <f t="shared" si="4"/>
        <v>94.9480871838431</v>
      </c>
      <c r="AL11" s="1">
        <f t="shared" si="5"/>
        <v>92.1084750593323</v>
      </c>
      <c r="AM11" s="1">
        <f t="shared" si="6"/>
        <v>88.9611647549709</v>
      </c>
      <c r="AN11" s="1">
        <f t="shared" si="7"/>
        <v>85.4532784654588</v>
      </c>
      <c r="AS11" s="195">
        <v>162.093333333333</v>
      </c>
      <c r="AT11" s="195">
        <v>162.093333333333</v>
      </c>
      <c r="AU11" s="195">
        <v>162.093333333333</v>
      </c>
      <c r="AW11" s="209"/>
      <c r="AX11" s="198"/>
      <c r="AY11" s="209"/>
      <c r="AZ11" s="209"/>
      <c r="BA11" s="209"/>
      <c r="BB11" s="194"/>
      <c r="BD11" s="58" t="s">
        <v>97</v>
      </c>
      <c r="BE11" s="58">
        <v>2023</v>
      </c>
      <c r="BF11" s="58">
        <f t="shared" si="8"/>
        <v>113.465333333333</v>
      </c>
      <c r="BG11" s="58">
        <f t="shared" si="9"/>
        <v>113.465333333333</v>
      </c>
      <c r="BH11" s="58">
        <f t="shared" si="10"/>
        <v>113.465333333333</v>
      </c>
      <c r="BI11" s="208"/>
      <c r="BJ11" s="196"/>
      <c r="BK11" s="196"/>
      <c r="BL11" s="196"/>
      <c r="BM11" s="196"/>
      <c r="BN11" s="196"/>
      <c r="BO11" s="58" t="s">
        <v>98</v>
      </c>
      <c r="BP11" s="58">
        <v>2023</v>
      </c>
      <c r="BQ11" s="58">
        <f t="shared" si="11"/>
        <v>48.6279999999999</v>
      </c>
      <c r="BR11" s="58">
        <f t="shared" si="12"/>
        <v>48.6279999999999</v>
      </c>
      <c r="BS11" s="58">
        <f t="shared" si="13"/>
        <v>48.6279999999999</v>
      </c>
      <c r="BT11" s="196"/>
      <c r="BU11" s="196"/>
      <c r="BV11" s="196"/>
      <c r="BW11" s="196"/>
      <c r="BX11" s="196"/>
      <c r="BY11" s="196"/>
      <c r="BZ11" s="196"/>
      <c r="CA11" s="196"/>
      <c r="CB11" s="196"/>
      <c r="CC11" s="196"/>
      <c r="CD11" s="196"/>
      <c r="CE11" s="196"/>
      <c r="CF11" s="196"/>
      <c r="CG11" s="196"/>
      <c r="CH11" s="196"/>
      <c r="CI11" s="196"/>
      <c r="CJ11" s="196"/>
      <c r="CK11" s="196"/>
      <c r="CL11" s="162"/>
      <c r="CM11" s="162"/>
      <c r="CN11" s="162"/>
      <c r="CO11" s="162"/>
      <c r="CP11" s="162"/>
    </row>
    <row r="12" s="1" customFormat="1" spans="2:94">
      <c r="AH12" s="1">
        <f t="shared" si="1"/>
        <v>132.92732205738</v>
      </c>
      <c r="AI12" s="1">
        <f t="shared" si="2"/>
        <v>120.58407072348</v>
      </c>
      <c r="AJ12" s="1">
        <f t="shared" si="3"/>
        <v>104.442895902227</v>
      </c>
      <c r="AK12" s="1">
        <f t="shared" si="4"/>
        <v>94.9480871838431</v>
      </c>
      <c r="AL12" s="1">
        <f t="shared" si="5"/>
        <v>92.1084750593323</v>
      </c>
      <c r="AM12" s="1">
        <f t="shared" si="6"/>
        <v>88.9611647549709</v>
      </c>
      <c r="AN12" s="1">
        <f t="shared" si="7"/>
        <v>85.4532784654588</v>
      </c>
      <c r="AS12" s="195"/>
      <c r="AT12" s="195"/>
      <c r="AU12" s="195"/>
      <c r="BI12" s="208"/>
      <c r="BJ12" s="196"/>
      <c r="BK12" s="196"/>
      <c r="BL12" s="196"/>
      <c r="BM12" s="196"/>
      <c r="BN12" s="196"/>
      <c r="BT12" s="196"/>
      <c r="BU12" s="196"/>
      <c r="BV12" s="196"/>
      <c r="BW12" s="196"/>
      <c r="BX12" s="196"/>
      <c r="BY12" s="196"/>
      <c r="BZ12" s="196"/>
      <c r="CA12" s="196"/>
      <c r="CB12" s="196"/>
      <c r="CC12" s="196"/>
      <c r="CD12" s="196"/>
      <c r="CE12" s="196"/>
      <c r="CF12" s="196"/>
      <c r="CG12" s="196"/>
      <c r="CH12" s="196"/>
      <c r="CI12" s="196"/>
      <c r="CJ12" s="196"/>
      <c r="CK12" s="196"/>
      <c r="CL12" s="162"/>
      <c r="CM12" s="162"/>
      <c r="CN12" s="162"/>
      <c r="CO12" s="162"/>
      <c r="CP12" s="162"/>
    </row>
    <row r="13" spans="2:94">
      <c r="BE13" s="1"/>
      <c r="BF13" s="1"/>
      <c r="BG13" s="1"/>
      <c r="BH13" s="1"/>
      <c r="BO13" s="1"/>
      <c r="BP13" s="1"/>
      <c r="BQ13" s="1"/>
      <c r="BR13" s="1"/>
      <c r="BS13" s="1"/>
    </row>
    <row r="14" s="1" customFormat="1" spans="2:94">
      <c r="AL14" s="1">
        <f xml:space="preserve">AL2/AK2</f>
        <v>0.97009300335864</v>
      </c>
      <c r="AM14" s="1">
        <f xml:space="preserve">AM2/AL2</f>
        <v>0.965830393974778</v>
      </c>
      <c r="AN14" s="1">
        <f xml:space="preserve">AN2/AM2</f>
        <v>0.96056834126246</v>
      </c>
      <c r="AS14" s="195"/>
      <c r="AT14" s="195"/>
      <c r="AU14" s="195"/>
      <c r="BI14" s="196"/>
      <c r="BJ14" s="196"/>
      <c r="BK14" s="196"/>
      <c r="BL14" s="196"/>
      <c r="BM14" s="196"/>
      <c r="BN14" s="196"/>
      <c r="BT14" s="196"/>
      <c r="BU14" s="196"/>
      <c r="BV14" s="196"/>
      <c r="BW14" s="196"/>
      <c r="BX14" s="196"/>
      <c r="BY14" s="196"/>
      <c r="BZ14" s="196"/>
      <c r="CA14" s="196"/>
      <c r="CB14" s="196"/>
      <c r="CC14" s="196"/>
      <c r="CD14" s="196"/>
      <c r="CE14" s="196"/>
      <c r="CF14" s="196"/>
      <c r="CG14" s="196"/>
      <c r="CH14" s="196"/>
      <c r="CI14" s="196"/>
      <c r="CJ14" s="196"/>
      <c r="CK14" s="196"/>
      <c r="CL14" s="162"/>
      <c r="CM14" s="162"/>
      <c r="CN14" s="162"/>
      <c r="CO14" s="162"/>
      <c r="CP14" s="162"/>
    </row>
    <row r="15" spans="2:94">
      <c r="AW15"/>
      <c r="AX15"/>
      <c r="AY15" s="210"/>
      <c r="BE15" s="1"/>
      <c r="BF15" s="1"/>
      <c r="BG15" s="1"/>
      <c r="BH15" s="1"/>
      <c r="BO15" s="1"/>
      <c r="BP15" s="1"/>
      <c r="BQ15" s="1"/>
      <c r="BR15" s="1"/>
      <c r="BS15" s="1"/>
    </row>
    <row r="16" s="1" customFormat="1" spans="2:94">
      <c r="AS16" s="195" t="s">
        <v>65</v>
      </c>
      <c r="AT16" s="195" t="s">
        <v>11</v>
      </c>
      <c r="AU16" s="195" t="s">
        <v>25</v>
      </c>
      <c r="AW16" s="210" t="s">
        <v>66</v>
      </c>
      <c r="AX16" s="210" t="s">
        <v>41</v>
      </c>
      <c r="AY16" s="211" t="s">
        <v>65</v>
      </c>
      <c r="AZ16" s="211" t="s">
        <v>11</v>
      </c>
      <c r="BA16" s="211" t="s">
        <v>25</v>
      </c>
      <c r="BD16" s="1" t="s">
        <v>66</v>
      </c>
      <c r="BE16" s="1" t="s">
        <v>41</v>
      </c>
      <c r="BF16" s="1" t="s">
        <v>65</v>
      </c>
      <c r="BG16" s="1" t="s">
        <v>11</v>
      </c>
      <c r="BH16" s="1" t="s">
        <v>25</v>
      </c>
      <c r="BI16" s="196"/>
      <c r="BJ16" s="196"/>
      <c r="BK16" s="196"/>
      <c r="BL16" s="196"/>
      <c r="BM16" s="196"/>
      <c r="BN16" s="196"/>
      <c r="BO16" s="1" t="s">
        <v>66</v>
      </c>
      <c r="BP16" s="1" t="s">
        <v>41</v>
      </c>
      <c r="BQ16" s="1" t="s">
        <v>65</v>
      </c>
      <c r="BR16" s="1" t="s">
        <v>11</v>
      </c>
      <c r="BS16" s="1" t="s">
        <v>25</v>
      </c>
      <c r="BT16" s="196"/>
      <c r="BU16" s="196"/>
      <c r="BV16" s="196"/>
      <c r="BW16" s="196"/>
      <c r="BX16" s="196"/>
      <c r="BY16" s="196"/>
      <c r="BZ16" s="196"/>
      <c r="CA16" s="196"/>
      <c r="CB16" s="196"/>
      <c r="CC16" s="196"/>
      <c r="CD16" s="196"/>
      <c r="CE16" s="196"/>
      <c r="CF16" s="196"/>
      <c r="CG16" s="196"/>
      <c r="CH16" s="196"/>
      <c r="CI16" s="196"/>
      <c r="CJ16" s="196"/>
      <c r="CK16" s="196"/>
      <c r="CL16" s="162"/>
      <c r="CM16" s="162"/>
      <c r="CN16" s="162"/>
      <c r="CO16" s="162"/>
      <c r="CP16" s="162"/>
    </row>
    <row r="17" s="1" customFormat="1" spans="2:94">
      <c r="AS17" s="195">
        <v>72.9190245476188</v>
      </c>
      <c r="AT17" s="195">
        <v>50.3343907857141</v>
      </c>
      <c r="AU17" s="195">
        <v>96.9055810714282</v>
      </c>
      <c r="AW17" s="210" t="s">
        <v>67</v>
      </c>
      <c r="AX17" s="210">
        <v>2025</v>
      </c>
      <c r="AY17" s="210">
        <f t="shared" ref="AY17:AY24" si="18" xml:space="preserve">AY4*AI2/AH2</f>
        <v>72.9190245476188</v>
      </c>
      <c r="AZ17" s="210">
        <f xml:space="preserve">AZ4*AI2/AH2</f>
        <v>50.3343907857141</v>
      </c>
      <c r="BA17" s="210">
        <f xml:space="preserve">BA4*AI2/AH2</f>
        <v>96.9055810714282</v>
      </c>
      <c r="BD17" s="1" t="s">
        <v>68</v>
      </c>
      <c r="BE17" s="1">
        <v>2025</v>
      </c>
      <c r="BF17" s="1">
        <f t="shared" ref="BF17:BF24" si="19" xml:space="preserve">AS17*70%</f>
        <v>51.0433171833332</v>
      </c>
      <c r="BG17" s="1">
        <f t="shared" ref="BG17:BG24" si="20" xml:space="preserve">AT17*70%</f>
        <v>35.2340735499999</v>
      </c>
      <c r="BH17" s="1">
        <f t="shared" ref="BH17:BH24" si="21" xml:space="preserve">AU17*70%</f>
        <v>67.8339067499997</v>
      </c>
      <c r="BI17" s="196"/>
      <c r="BJ17" s="196"/>
      <c r="BK17" s="196"/>
      <c r="BL17" s="196"/>
      <c r="BM17" s="196"/>
      <c r="BN17" s="196"/>
      <c r="BO17" s="1" t="s">
        <v>69</v>
      </c>
      <c r="BP17" s="1">
        <v>2025</v>
      </c>
      <c r="BQ17" s="1">
        <f t="shared" ref="BQ17:BQ24" si="22" xml:space="preserve">AS17*30%</f>
        <v>21.8757073642856</v>
      </c>
      <c r="BR17" s="1">
        <f t="shared" ref="BR17:BR24" si="23" xml:space="preserve">AT17*30%</f>
        <v>15.1003172357142</v>
      </c>
      <c r="BS17" s="1">
        <f t="shared" ref="BS17:BS24" si="24" xml:space="preserve">AU17*30%</f>
        <v>29.0716743214285</v>
      </c>
      <c r="BT17" s="196"/>
      <c r="BU17" s="196"/>
      <c r="BV17" s="196"/>
      <c r="BW17" s="196"/>
      <c r="BX17" s="196"/>
      <c r="BY17" s="196"/>
      <c r="BZ17" s="196"/>
      <c r="CA17" s="196"/>
      <c r="CB17" s="196"/>
      <c r="CC17" s="196"/>
      <c r="CD17" s="196"/>
      <c r="CE17" s="196"/>
      <c r="CF17" s="196"/>
      <c r="CG17" s="196"/>
      <c r="CH17" s="196"/>
      <c r="CI17" s="196"/>
      <c r="CJ17" s="196"/>
      <c r="CK17" s="196"/>
      <c r="CL17" s="162"/>
      <c r="CM17" s="162"/>
      <c r="CN17" s="162"/>
      <c r="CO17" s="162"/>
      <c r="CP17" s="162"/>
    </row>
    <row r="18" s="1" customFormat="1" spans="2:94">
      <c r="AS18" s="195">
        <v>86.5492299999997</v>
      </c>
      <c r="AT18" s="195">
        <v>60.1668396428569</v>
      </c>
      <c r="AU18" s="195">
        <v>114.5390775</v>
      </c>
      <c r="AW18" s="210" t="s">
        <v>72</v>
      </c>
      <c r="AX18" s="210">
        <f t="shared" ref="AX18:AX24" si="25" xml:space="preserve">AX17</f>
        <v>2025</v>
      </c>
      <c r="AY18" s="210">
        <f t="shared" si="18"/>
        <v>86.5492299999997</v>
      </c>
      <c r="AZ18" s="210">
        <f t="shared" ref="AZ18:AZ24" si="26" xml:space="preserve">AZ5*AI3/AH3</f>
        <v>60.1668396428569</v>
      </c>
      <c r="BA18" s="210">
        <f t="shared" ref="BA18:BA24" si="27" xml:space="preserve">BA5*AI3/AH3</f>
        <v>114.5390775</v>
      </c>
      <c r="BD18" s="1" t="s">
        <v>73</v>
      </c>
      <c r="BE18" s="1">
        <v>2025</v>
      </c>
      <c r="BF18" s="1">
        <f t="shared" si="19"/>
        <v>60.5844609999998</v>
      </c>
      <c r="BG18" s="1">
        <f t="shared" si="20"/>
        <v>42.1167877499998</v>
      </c>
      <c r="BH18" s="1">
        <f t="shared" si="21"/>
        <v>80.17735425</v>
      </c>
      <c r="BI18" s="196"/>
      <c r="BJ18" s="196"/>
      <c r="BK18" s="196"/>
      <c r="BL18" s="196"/>
      <c r="BM18" s="196"/>
      <c r="BN18" s="196"/>
      <c r="BO18" s="1" t="s">
        <v>74</v>
      </c>
      <c r="BP18" s="1">
        <v>2025</v>
      </c>
      <c r="BQ18" s="1">
        <f t="shared" si="22"/>
        <v>25.9647689999999</v>
      </c>
      <c r="BR18" s="1">
        <f t="shared" si="23"/>
        <v>18.0500518928571</v>
      </c>
      <c r="BS18" s="1">
        <f t="shared" si="24"/>
        <v>34.36172325</v>
      </c>
      <c r="BT18" s="196"/>
      <c r="BU18" s="196"/>
      <c r="BV18" s="196"/>
      <c r="BW18" s="196"/>
      <c r="BX18" s="196"/>
      <c r="BY18" s="196"/>
      <c r="BZ18" s="196"/>
      <c r="CA18" s="196"/>
      <c r="CB18" s="196"/>
      <c r="CC18" s="196"/>
      <c r="CD18" s="196"/>
      <c r="CE18" s="196"/>
      <c r="CF18" s="196"/>
      <c r="CG18" s="196"/>
      <c r="CH18" s="196"/>
      <c r="CI18" s="196"/>
      <c r="CJ18" s="196"/>
      <c r="CK18" s="196"/>
      <c r="CL18" s="162"/>
      <c r="CM18" s="162"/>
      <c r="CN18" s="162"/>
      <c r="CO18" s="162"/>
      <c r="CP18" s="162"/>
    </row>
    <row r="19" s="1" customFormat="1" spans="2:94">
      <c r="AS19" s="195">
        <v>77.4225534047616</v>
      </c>
      <c r="AT19" s="195">
        <v>50.8920477857141</v>
      </c>
      <c r="AU19" s="195">
        <v>105.526078</v>
      </c>
      <c r="AW19" s="210" t="s">
        <v>76</v>
      </c>
      <c r="AX19" s="210">
        <f t="shared" si="25"/>
        <v>2025</v>
      </c>
      <c r="AY19" s="210">
        <f t="shared" si="18"/>
        <v>77.4225534047616</v>
      </c>
      <c r="AZ19" s="210">
        <f t="shared" si="26"/>
        <v>50.8920477857141</v>
      </c>
      <c r="BA19" s="210">
        <f t="shared" si="27"/>
        <v>105.526078</v>
      </c>
      <c r="BD19" s="1" t="s">
        <v>77</v>
      </c>
      <c r="BE19" s="1">
        <v>2025</v>
      </c>
      <c r="BF19" s="1">
        <f t="shared" si="19"/>
        <v>54.1957873833331</v>
      </c>
      <c r="BG19" s="1">
        <f t="shared" si="20"/>
        <v>35.6244334499999</v>
      </c>
      <c r="BH19" s="1">
        <f t="shared" si="21"/>
        <v>73.8682546</v>
      </c>
      <c r="BI19" s="196"/>
      <c r="BJ19" s="196"/>
      <c r="BK19" s="196"/>
      <c r="BL19" s="196"/>
      <c r="BM19" s="196"/>
      <c r="BN19" s="196"/>
      <c r="BO19" s="1" t="s">
        <v>78</v>
      </c>
      <c r="BP19" s="1">
        <v>2025</v>
      </c>
      <c r="BQ19" s="1">
        <f t="shared" si="22"/>
        <v>23.2267660214285</v>
      </c>
      <c r="BR19" s="1">
        <f t="shared" si="23"/>
        <v>15.2676143357142</v>
      </c>
      <c r="BS19" s="1">
        <f t="shared" si="24"/>
        <v>31.6578234</v>
      </c>
      <c r="BT19" s="196"/>
      <c r="BU19" s="196"/>
      <c r="BV19" s="196"/>
      <c r="BW19" s="196"/>
      <c r="BX19" s="196"/>
      <c r="BY19" s="196"/>
      <c r="BZ19" s="196"/>
      <c r="CA19" s="196"/>
      <c r="CB19" s="196"/>
      <c r="CC19" s="196"/>
      <c r="CD19" s="196"/>
      <c r="CE19" s="196"/>
      <c r="CF19" s="196"/>
      <c r="CG19" s="196"/>
      <c r="CH19" s="196"/>
      <c r="CI19" s="196"/>
      <c r="CJ19" s="196"/>
      <c r="CK19" s="196"/>
      <c r="CL19" s="162"/>
      <c r="CM19" s="162"/>
      <c r="CN19" s="162"/>
      <c r="CO19" s="162"/>
      <c r="CP19" s="162"/>
    </row>
    <row r="20" s="1" customFormat="1" spans="2:94">
      <c r="AS20" s="195">
        <v>77.5802813571426</v>
      </c>
      <c r="AT20" s="195">
        <v>50.400412642857</v>
      </c>
      <c r="AU20" s="195">
        <v>106.411766928571</v>
      </c>
      <c r="AW20" s="210" t="s">
        <v>80</v>
      </c>
      <c r="AX20" s="210">
        <f t="shared" si="25"/>
        <v>2025</v>
      </c>
      <c r="AY20" s="210">
        <f t="shared" si="18"/>
        <v>77.5802813571426</v>
      </c>
      <c r="AZ20" s="210">
        <f t="shared" si="26"/>
        <v>50.400412642857</v>
      </c>
      <c r="BA20" s="210">
        <f t="shared" si="27"/>
        <v>106.411766928571</v>
      </c>
      <c r="BD20" s="1" t="s">
        <v>81</v>
      </c>
      <c r="BE20" s="1">
        <v>2025</v>
      </c>
      <c r="BF20" s="1">
        <f t="shared" si="19"/>
        <v>54.3061969499998</v>
      </c>
      <c r="BG20" s="1">
        <f t="shared" si="20"/>
        <v>35.2802888499999</v>
      </c>
      <c r="BH20" s="1">
        <f t="shared" si="21"/>
        <v>74.4882368499997</v>
      </c>
      <c r="BI20" s="196"/>
      <c r="BJ20" s="196"/>
      <c r="BK20" s="196"/>
      <c r="BL20" s="196"/>
      <c r="BM20" s="196"/>
      <c r="BN20" s="196"/>
      <c r="BO20" s="1" t="s">
        <v>82</v>
      </c>
      <c r="BP20" s="1">
        <v>2025</v>
      </c>
      <c r="BQ20" s="1">
        <f t="shared" si="22"/>
        <v>23.2740844071428</v>
      </c>
      <c r="BR20" s="1">
        <f t="shared" si="23"/>
        <v>15.1201237928571</v>
      </c>
      <c r="BS20" s="1">
        <f t="shared" si="24"/>
        <v>31.9235300785713</v>
      </c>
      <c r="BT20" s="196"/>
      <c r="BU20" s="196"/>
      <c r="BV20" s="196"/>
      <c r="BW20" s="196"/>
      <c r="BX20" s="196"/>
      <c r="BY20" s="196"/>
      <c r="BZ20" s="196"/>
      <c r="CA20" s="196"/>
      <c r="CB20" s="196"/>
      <c r="CC20" s="196"/>
      <c r="CD20" s="196"/>
      <c r="CE20" s="196"/>
      <c r="CF20" s="196"/>
      <c r="CG20" s="196"/>
      <c r="CH20" s="196"/>
      <c r="CI20" s="196"/>
      <c r="CJ20" s="196"/>
      <c r="CK20" s="196"/>
      <c r="CL20" s="162"/>
      <c r="CM20" s="162"/>
      <c r="CN20" s="162"/>
      <c r="CO20" s="162"/>
      <c r="CP20" s="162"/>
    </row>
    <row r="21" s="1" customFormat="1" spans="2:94">
      <c r="AS21" s="195">
        <v>81.727145833333</v>
      </c>
      <c r="AT21" s="195">
        <v>53.8549849999998</v>
      </c>
      <c r="AU21" s="195">
        <v>111.2783525</v>
      </c>
      <c r="AW21" s="210" t="s">
        <v>85</v>
      </c>
      <c r="AX21" s="210">
        <f t="shared" si="25"/>
        <v>2025</v>
      </c>
      <c r="AY21" s="210">
        <f t="shared" si="18"/>
        <v>81.727145833333</v>
      </c>
      <c r="AZ21" s="210">
        <f t="shared" si="26"/>
        <v>53.8549849999998</v>
      </c>
      <c r="BA21" s="210">
        <f t="shared" si="27"/>
        <v>111.2783525</v>
      </c>
      <c r="BD21" s="1" t="s">
        <v>86</v>
      </c>
      <c r="BE21" s="1">
        <v>2025</v>
      </c>
      <c r="BF21" s="1">
        <f t="shared" si="19"/>
        <v>57.2090020833331</v>
      </c>
      <c r="BG21" s="1">
        <f t="shared" si="20"/>
        <v>37.6984894999999</v>
      </c>
      <c r="BH21" s="1">
        <f t="shared" si="21"/>
        <v>77.89484675</v>
      </c>
      <c r="BI21" s="196"/>
      <c r="BJ21" s="196"/>
      <c r="BK21" s="196"/>
      <c r="BL21" s="196"/>
      <c r="BM21" s="196"/>
      <c r="BN21" s="196"/>
      <c r="BO21" s="1" t="s">
        <v>87</v>
      </c>
      <c r="BP21" s="1">
        <v>2025</v>
      </c>
      <c r="BQ21" s="1">
        <f t="shared" si="22"/>
        <v>24.5181437499999</v>
      </c>
      <c r="BR21" s="1">
        <f t="shared" si="23"/>
        <v>16.1564954999999</v>
      </c>
      <c r="BS21" s="1">
        <f t="shared" si="24"/>
        <v>33.38350575</v>
      </c>
      <c r="BT21" s="196"/>
      <c r="BU21" s="196"/>
      <c r="BV21" s="196"/>
      <c r="BW21" s="196"/>
      <c r="BX21" s="196"/>
      <c r="BY21" s="196"/>
      <c r="BZ21" s="196"/>
      <c r="CA21" s="196"/>
      <c r="CB21" s="196"/>
      <c r="CC21" s="196"/>
      <c r="CD21" s="196"/>
      <c r="CE21" s="196"/>
      <c r="CF21" s="196"/>
      <c r="CG21" s="196"/>
      <c r="CH21" s="196"/>
      <c r="CI21" s="196"/>
      <c r="CJ21" s="196"/>
      <c r="CK21" s="196"/>
      <c r="CL21" s="162"/>
      <c r="CM21" s="162"/>
      <c r="CN21" s="162"/>
      <c r="CO21" s="162"/>
      <c r="CP21" s="162"/>
    </row>
    <row r="22" s="1" customFormat="1" spans="2:94">
      <c r="AS22" s="195">
        <v>78.8508679761902</v>
      </c>
      <c r="AT22" s="195">
        <v>52.0133489285712</v>
      </c>
      <c r="AU22" s="195">
        <v>107.289872142857</v>
      </c>
      <c r="AW22" s="210" t="s">
        <v>89</v>
      </c>
      <c r="AX22" s="210">
        <f t="shared" si="25"/>
        <v>2025</v>
      </c>
      <c r="AY22" s="210">
        <f t="shared" si="18"/>
        <v>78.8508679761902</v>
      </c>
      <c r="AZ22" s="210">
        <f t="shared" si="26"/>
        <v>52.0133489285712</v>
      </c>
      <c r="BA22" s="210">
        <f t="shared" si="27"/>
        <v>107.289872142857</v>
      </c>
      <c r="BD22" s="1" t="s">
        <v>90</v>
      </c>
      <c r="BE22" s="1">
        <v>2025</v>
      </c>
      <c r="BF22" s="1">
        <f t="shared" si="19"/>
        <v>55.1956075833331</v>
      </c>
      <c r="BG22" s="1">
        <f t="shared" si="20"/>
        <v>36.4093442499998</v>
      </c>
      <c r="BH22" s="1">
        <f t="shared" si="21"/>
        <v>75.1029104999999</v>
      </c>
      <c r="BI22" s="196"/>
      <c r="BJ22" s="196"/>
      <c r="BK22" s="196"/>
      <c r="BL22" s="196"/>
      <c r="BM22" s="196"/>
      <c r="BN22" s="196"/>
      <c r="BO22" s="1" t="s">
        <v>91</v>
      </c>
      <c r="BP22" s="1">
        <v>2025</v>
      </c>
      <c r="BQ22" s="1">
        <f t="shared" si="22"/>
        <v>23.6552603928571</v>
      </c>
      <c r="BR22" s="1">
        <f t="shared" si="23"/>
        <v>15.6040046785714</v>
      </c>
      <c r="BS22" s="1">
        <f t="shared" si="24"/>
        <v>32.1869616428571</v>
      </c>
      <c r="BT22" s="196"/>
      <c r="BU22" s="196"/>
      <c r="BV22" s="196"/>
      <c r="BW22" s="196"/>
      <c r="BX22" s="196"/>
      <c r="BY22" s="196"/>
      <c r="BZ22" s="196"/>
      <c r="CA22" s="196"/>
      <c r="CB22" s="196"/>
      <c r="CC22" s="196"/>
      <c r="CD22" s="196"/>
      <c r="CE22" s="196"/>
      <c r="CF22" s="196"/>
      <c r="CG22" s="196"/>
      <c r="CH22" s="196"/>
      <c r="CI22" s="196"/>
      <c r="CJ22" s="196"/>
      <c r="CK22" s="196"/>
      <c r="CL22" s="162"/>
      <c r="CM22" s="162"/>
      <c r="CN22" s="162"/>
      <c r="CO22" s="162"/>
      <c r="CP22" s="162"/>
    </row>
    <row r="23" s="1" customFormat="1" spans="2:94">
      <c r="AS23" s="195">
        <v>81.2370619047616</v>
      </c>
      <c r="AT23" s="195">
        <v>54.4190282857141</v>
      </c>
      <c r="AU23" s="195">
        <v>109.650457428571</v>
      </c>
      <c r="AW23" s="210" t="s">
        <v>93</v>
      </c>
      <c r="AX23" s="210">
        <f t="shared" si="25"/>
        <v>2025</v>
      </c>
      <c r="AY23" s="210">
        <f t="shared" si="18"/>
        <v>81.2370619047616</v>
      </c>
      <c r="AZ23" s="210">
        <f t="shared" si="26"/>
        <v>54.4190282857141</v>
      </c>
      <c r="BA23" s="210">
        <f t="shared" si="27"/>
        <v>109.650457428571</v>
      </c>
      <c r="BD23" s="1" t="s">
        <v>94</v>
      </c>
      <c r="BE23" s="1">
        <v>2025</v>
      </c>
      <c r="BF23" s="1">
        <f t="shared" si="19"/>
        <v>56.8659433333331</v>
      </c>
      <c r="BG23" s="1">
        <f t="shared" si="20"/>
        <v>38.0933197999999</v>
      </c>
      <c r="BH23" s="1">
        <f t="shared" si="21"/>
        <v>76.7553201999997</v>
      </c>
      <c r="BI23" s="196"/>
      <c r="BJ23" s="196"/>
      <c r="BK23" s="196"/>
      <c r="BL23" s="196"/>
      <c r="BM23" s="196"/>
      <c r="BN23" s="196"/>
      <c r="BO23" s="1" t="s">
        <v>95</v>
      </c>
      <c r="BP23" s="1">
        <v>2025</v>
      </c>
      <c r="BQ23" s="1">
        <f t="shared" si="22"/>
        <v>24.3711185714285</v>
      </c>
      <c r="BR23" s="1">
        <f t="shared" si="23"/>
        <v>16.3257084857142</v>
      </c>
      <c r="BS23" s="1">
        <f t="shared" si="24"/>
        <v>32.8951372285713</v>
      </c>
      <c r="BT23" s="196"/>
      <c r="BU23" s="196"/>
      <c r="BV23" s="196"/>
      <c r="BW23" s="196"/>
      <c r="BX23" s="196"/>
      <c r="BY23" s="196"/>
      <c r="BZ23" s="196"/>
      <c r="CA23" s="196"/>
      <c r="CB23" s="196"/>
      <c r="CC23" s="196"/>
      <c r="CD23" s="196"/>
      <c r="CE23" s="196"/>
      <c r="CF23" s="196"/>
      <c r="CG23" s="196"/>
      <c r="CH23" s="196"/>
      <c r="CI23" s="196"/>
      <c r="CJ23" s="196"/>
      <c r="CK23" s="196"/>
      <c r="CL23" s="162"/>
      <c r="CM23" s="162"/>
      <c r="CN23" s="162"/>
      <c r="CO23" s="162"/>
      <c r="CP23" s="162"/>
    </row>
    <row r="24" s="1" customFormat="1" spans="2:94">
      <c r="AS24" s="212">
        <v>147.041809523809</v>
      </c>
      <c r="AT24" s="212">
        <v>147.041809523809</v>
      </c>
      <c r="AU24" s="212">
        <v>147.041809523809</v>
      </c>
      <c r="AW24" s="7"/>
      <c r="AX24" s="213"/>
      <c r="AY24" s="213"/>
      <c r="AZ24" s="213"/>
      <c r="BA24" s="213"/>
      <c r="BD24" s="1" t="s">
        <v>97</v>
      </c>
      <c r="BE24" s="1">
        <v>2025</v>
      </c>
      <c r="BF24" s="1">
        <f t="shared" si="19"/>
        <v>102.929266666666</v>
      </c>
      <c r="BG24" s="1">
        <f t="shared" si="20"/>
        <v>102.929266666666</v>
      </c>
      <c r="BH24" s="1">
        <f t="shared" si="21"/>
        <v>102.929266666666</v>
      </c>
      <c r="BI24" s="196"/>
      <c r="BJ24" s="196"/>
      <c r="BK24" s="196"/>
      <c r="BL24" s="196"/>
      <c r="BM24" s="196"/>
      <c r="BN24" s="196"/>
      <c r="BO24" s="1" t="s">
        <v>98</v>
      </c>
      <c r="BP24" s="1">
        <v>2025</v>
      </c>
      <c r="BQ24" s="1">
        <f t="shared" si="22"/>
        <v>44.1125428571427</v>
      </c>
      <c r="BR24" s="1">
        <f t="shared" si="23"/>
        <v>44.1125428571427</v>
      </c>
      <c r="BS24" s="1">
        <f t="shared" si="24"/>
        <v>44.1125428571427</v>
      </c>
      <c r="BT24" s="196"/>
      <c r="BU24" s="196"/>
      <c r="BV24" s="196"/>
      <c r="BW24" s="196"/>
      <c r="BX24" s="196"/>
      <c r="BY24" s="196"/>
      <c r="BZ24" s="196"/>
      <c r="CA24" s="196"/>
      <c r="CB24" s="196"/>
      <c r="CC24" s="196"/>
      <c r="CD24" s="196"/>
      <c r="CE24" s="196"/>
      <c r="CF24" s="196"/>
      <c r="CG24" s="196"/>
      <c r="CH24" s="196"/>
      <c r="CI24" s="196"/>
      <c r="CJ24" s="196"/>
      <c r="CK24" s="196"/>
      <c r="CL24" s="162"/>
      <c r="CM24" s="162"/>
      <c r="CN24" s="162"/>
      <c r="CO24" s="162"/>
      <c r="CP24" s="162"/>
    </row>
    <row r="25" s="194" customFormat="1" spans="2:94">
      <c r="AS25" s="214"/>
      <c r="AT25" s="214"/>
      <c r="AU25" s="214"/>
      <c r="AW25" s="1"/>
      <c r="AX25" s="1"/>
      <c r="AY25" s="1"/>
      <c r="AZ25" s="1"/>
      <c r="BA25" s="1"/>
      <c r="BB25" s="1"/>
      <c r="BI25" s="196"/>
      <c r="BJ25" s="196"/>
      <c r="BK25" s="196"/>
      <c r="BL25" s="196"/>
      <c r="BM25" s="196"/>
      <c r="BN25" s="196"/>
      <c r="BT25" s="196"/>
      <c r="BU25" s="196"/>
      <c r="BV25" s="196"/>
      <c r="BW25" s="196"/>
      <c r="BX25" s="196"/>
      <c r="BY25" s="196"/>
      <c r="BZ25" s="196"/>
      <c r="CA25" s="196"/>
      <c r="CB25" s="196"/>
      <c r="CC25" s="196"/>
      <c r="CD25" s="196"/>
      <c r="CE25" s="196"/>
      <c r="CF25" s="196"/>
      <c r="CG25" s="196"/>
      <c r="CH25" s="196"/>
      <c r="CI25" s="196"/>
      <c r="CJ25" s="196"/>
      <c r="CK25" s="196"/>
      <c r="CL25" s="162"/>
      <c r="CM25" s="162"/>
      <c r="CN25" s="162"/>
      <c r="CO25" s="162"/>
      <c r="CP25" s="162"/>
    </row>
    <row r="26" spans="2:94">
      <c r="BE26" s="1"/>
      <c r="BF26" s="1"/>
      <c r="BG26" s="1"/>
      <c r="BH26" s="1"/>
      <c r="BO26" s="1"/>
      <c r="BP26" s="1"/>
      <c r="BQ26" s="1"/>
      <c r="BR26" s="1"/>
      <c r="BS26" s="1"/>
    </row>
    <row r="27" spans="2:94">
      <c r="F27" s="1" t="s">
        <v>99</v>
      </c>
      <c r="BE27" s="1"/>
      <c r="BF27" s="1"/>
      <c r="BG27" s="1"/>
      <c r="BH27" s="1"/>
      <c r="BI27" s="207"/>
      <c r="BO27" s="1"/>
      <c r="BP27" s="1"/>
      <c r="BQ27" s="1"/>
      <c r="BR27" s="1"/>
      <c r="BS27" s="1"/>
    </row>
    <row r="28" spans="2:94">
      <c r="G28" s="203" t="s">
        <v>65</v>
      </c>
      <c r="H28" s="203" t="s">
        <v>11</v>
      </c>
      <c r="I28" s="203" t="s">
        <v>25</v>
      </c>
      <c r="BE28" s="1"/>
      <c r="BF28" s="1"/>
      <c r="BG28" s="1"/>
      <c r="BH28" s="1"/>
      <c r="BI28" s="215"/>
      <c r="BO28" s="1"/>
      <c r="BP28" s="1"/>
      <c r="BQ28" s="1"/>
      <c r="BR28" s="1"/>
      <c r="BS28" s="1"/>
    </row>
    <row r="29" spans="2:94">
      <c r="F29" s="203" t="s">
        <v>71</v>
      </c>
      <c r="G29" s="1">
        <v>99.0769266666667</v>
      </c>
      <c r="H29" s="1">
        <v>74.18048</v>
      </c>
      <c r="I29" s="1">
        <v>125.5188</v>
      </c>
      <c r="BE29" s="1"/>
      <c r="BF29" s="1"/>
      <c r="BG29" s="1"/>
      <c r="BH29" s="1"/>
      <c r="BI29" s="215"/>
      <c r="BO29" s="1"/>
      <c r="BP29" s="1"/>
      <c r="BQ29" s="1"/>
      <c r="BR29" s="1"/>
      <c r="BS29" s="1"/>
    </row>
    <row r="30" spans="2:94">
      <c r="F30" s="203" t="s">
        <v>75</v>
      </c>
      <c r="G30" s="1">
        <v>115.8002</v>
      </c>
      <c r="H30" s="1">
        <v>86.71725</v>
      </c>
      <c r="I30" s="1">
        <v>146.65515</v>
      </c>
      <c r="AW30" s="34"/>
      <c r="AX30" s="34"/>
      <c r="AY30" s="213"/>
      <c r="BE30" s="1"/>
      <c r="BF30" s="1"/>
      <c r="BG30" s="1"/>
      <c r="BH30" s="1"/>
      <c r="BI30" s="215"/>
      <c r="BO30" s="1"/>
      <c r="BP30" s="1"/>
      <c r="BQ30" s="1"/>
      <c r="BR30" s="1"/>
      <c r="BS30" s="1"/>
    </row>
    <row r="31" spans="2:94">
      <c r="F31" s="203" t="s">
        <v>79</v>
      </c>
      <c r="G31" s="1">
        <v>116.609496666667</v>
      </c>
      <c r="H31" s="1">
        <v>87.36327</v>
      </c>
      <c r="I31" s="1">
        <v>147.58976</v>
      </c>
      <c r="AS31" s="195" t="s">
        <v>65</v>
      </c>
      <c r="AT31" s="195" t="s">
        <v>11</v>
      </c>
      <c r="AU31" s="195" t="s">
        <v>25</v>
      </c>
      <c r="AW31" s="213" t="s">
        <v>66</v>
      </c>
      <c r="AX31" s="213" t="s">
        <v>41</v>
      </c>
      <c r="AY31" s="211" t="s">
        <v>65</v>
      </c>
      <c r="AZ31" s="211" t="s">
        <v>11</v>
      </c>
      <c r="BA31" s="211" t="s">
        <v>25</v>
      </c>
      <c r="BD31" s="1" t="s">
        <v>66</v>
      </c>
      <c r="BE31" s="1" t="s">
        <v>41</v>
      </c>
      <c r="BF31" s="1" t="s">
        <v>65</v>
      </c>
      <c r="BG31" s="1" t="s">
        <v>11</v>
      </c>
      <c r="BH31" s="1" t="s">
        <v>25</v>
      </c>
      <c r="BO31" s="1" t="s">
        <v>66</v>
      </c>
      <c r="BP31" s="1" t="s">
        <v>41</v>
      </c>
      <c r="BQ31" s="1" t="s">
        <v>65</v>
      </c>
      <c r="BR31" s="1" t="s">
        <v>11</v>
      </c>
      <c r="BS31" s="1" t="s">
        <v>25</v>
      </c>
    </row>
    <row r="32" spans="2:94">
      <c r="B32" s="67" t="s">
        <v>100</v>
      </c>
      <c r="C32" s="67" t="s">
        <v>101</v>
      </c>
      <c r="F32" s="203" t="s">
        <v>84</v>
      </c>
      <c r="G32" s="1">
        <v>119.49202</v>
      </c>
      <c r="H32" s="1">
        <v>89.52996</v>
      </c>
      <c r="I32" s="1">
        <v>151.27476</v>
      </c>
      <c r="AS32" s="195">
        <v>63.1582102380952</v>
      </c>
      <c r="AT32" s="195">
        <v>43.5967164285714</v>
      </c>
      <c r="AU32" s="195">
        <v>83.9339678571427</v>
      </c>
      <c r="AW32" s="213" t="s">
        <v>67</v>
      </c>
      <c r="AX32" s="213">
        <v>2030</v>
      </c>
      <c r="AY32" s="213">
        <f xml:space="preserve">AY17*AJ2/AI2</f>
        <v>63.1582102380952</v>
      </c>
      <c r="AZ32" s="213">
        <f xml:space="preserve">AZ17*AJ2/AI2</f>
        <v>43.5967164285714</v>
      </c>
      <c r="BA32" s="213">
        <f xml:space="preserve">BA17*AJ2/AI2</f>
        <v>83.9339678571427</v>
      </c>
      <c r="BD32" s="1" t="s">
        <v>68</v>
      </c>
      <c r="BE32" s="1">
        <v>2030</v>
      </c>
      <c r="BF32" s="1">
        <f t="shared" ref="BF32:BF39" si="28" xml:space="preserve">AS32*70%</f>
        <v>44.2107471666666</v>
      </c>
      <c r="BG32" s="1">
        <f t="shared" ref="BG32:BG39" si="29" xml:space="preserve">AT32*70%</f>
        <v>30.5177015</v>
      </c>
      <c r="BH32" s="1">
        <f t="shared" ref="BH32:BH39" si="30" xml:space="preserve">AU32*70%</f>
        <v>58.7537774999999</v>
      </c>
      <c r="BO32" s="1" t="s">
        <v>69</v>
      </c>
      <c r="BP32" s="1">
        <v>2030</v>
      </c>
      <c r="BQ32" s="1">
        <f t="shared" ref="BQ32:BQ39" si="31" xml:space="preserve">AS32*30%</f>
        <v>18.9474630714286</v>
      </c>
      <c r="BR32" s="1">
        <f t="shared" ref="BR32:BR39" si="32" xml:space="preserve">AT32*30%</f>
        <v>13.0790149285714</v>
      </c>
      <c r="BS32" s="1">
        <f t="shared" ref="BS32:BS39" si="33" xml:space="preserve">AU32*30%</f>
        <v>25.1801903571428</v>
      </c>
    </row>
    <row r="33" spans="2:71">
      <c r="B33" s="67">
        <v>121.57</v>
      </c>
      <c r="C33" s="67">
        <f xml:space="preserve">B33/0.75</f>
        <v>162.093333333333</v>
      </c>
      <c r="F33" s="203" t="s">
        <v>88</v>
      </c>
      <c r="G33" s="1">
        <v>122.491716666667</v>
      </c>
      <c r="H33" s="1">
        <v>91.7665</v>
      </c>
      <c r="I33" s="1">
        <v>155.06785</v>
      </c>
      <c r="AS33" s="195">
        <v>74.9638999999999</v>
      </c>
      <c r="AT33" s="195">
        <v>52.1130107142856</v>
      </c>
      <c r="AU33" s="195">
        <v>99.2070749999999</v>
      </c>
      <c r="AW33" s="213" t="s">
        <v>72</v>
      </c>
      <c r="AX33" s="213">
        <f t="shared" ref="AX33:AX39" si="34" xml:space="preserve">AX32</f>
        <v>2030</v>
      </c>
      <c r="AY33" s="213">
        <f t="shared" ref="AY33:AY39" si="35" xml:space="preserve">AY18*AJ3/AI3</f>
        <v>74.9638999999999</v>
      </c>
      <c r="AZ33" s="213">
        <f t="shared" ref="AZ33:AZ39" si="36" xml:space="preserve">AZ18*AJ3/AI3</f>
        <v>52.1130107142856</v>
      </c>
      <c r="BA33" s="213">
        <f t="shared" ref="BA33:BA39" si="37" xml:space="preserve">BA18*AJ3/AI3</f>
        <v>99.2070749999999</v>
      </c>
      <c r="BD33" s="1" t="s">
        <v>73</v>
      </c>
      <c r="BE33" s="1">
        <v>2030</v>
      </c>
      <c r="BF33" s="1">
        <f t="shared" si="28"/>
        <v>52.4747299999999</v>
      </c>
      <c r="BG33" s="1">
        <f t="shared" si="29"/>
        <v>36.4791074999999</v>
      </c>
      <c r="BH33" s="1">
        <f t="shared" si="30"/>
        <v>69.4449524999999</v>
      </c>
      <c r="BO33" s="1" t="s">
        <v>74</v>
      </c>
      <c r="BP33" s="1">
        <v>2030</v>
      </c>
      <c r="BQ33" s="1">
        <f t="shared" si="31"/>
        <v>22.48917</v>
      </c>
      <c r="BR33" s="1">
        <f t="shared" si="32"/>
        <v>15.6339032142857</v>
      </c>
      <c r="BS33" s="1">
        <f t="shared" si="33"/>
        <v>29.7621225</v>
      </c>
    </row>
    <row r="34" spans="2:71">
      <c r="F34" s="203" t="s">
        <v>92</v>
      </c>
      <c r="G34" s="1">
        <v>117.948416666667</v>
      </c>
      <c r="H34" s="1">
        <v>88.36375</v>
      </c>
      <c r="I34" s="1">
        <v>149.2985</v>
      </c>
      <c r="AS34" s="195">
        <v>67.0589045238094</v>
      </c>
      <c r="AT34" s="195">
        <v>44.0797264285714</v>
      </c>
      <c r="AU34" s="195">
        <v>91.4005399999999</v>
      </c>
      <c r="AW34" s="213" t="s">
        <v>76</v>
      </c>
      <c r="AX34" s="213">
        <f t="shared" si="34"/>
        <v>2030</v>
      </c>
      <c r="AY34" s="213">
        <f t="shared" si="35"/>
        <v>67.0589045238094</v>
      </c>
      <c r="AZ34" s="213">
        <f t="shared" si="36"/>
        <v>44.0797264285714</v>
      </c>
      <c r="BA34" s="213">
        <f t="shared" si="37"/>
        <v>91.4005399999999</v>
      </c>
      <c r="BD34" s="1" t="s">
        <v>77</v>
      </c>
      <c r="BE34" s="1">
        <v>2030</v>
      </c>
      <c r="BF34" s="1">
        <f t="shared" si="28"/>
        <v>46.9412331666666</v>
      </c>
      <c r="BG34" s="1">
        <f t="shared" si="29"/>
        <v>30.8558085</v>
      </c>
      <c r="BH34" s="1">
        <f t="shared" si="30"/>
        <v>63.9803779999999</v>
      </c>
      <c r="BI34" s="207"/>
      <c r="BO34" s="1" t="s">
        <v>78</v>
      </c>
      <c r="BP34" s="1">
        <v>2030</v>
      </c>
      <c r="BQ34" s="1">
        <f t="shared" si="31"/>
        <v>20.1176713571428</v>
      </c>
      <c r="BR34" s="1">
        <f t="shared" si="32"/>
        <v>13.2239179285714</v>
      </c>
      <c r="BS34" s="1">
        <f t="shared" si="33"/>
        <v>27.420162</v>
      </c>
    </row>
    <row r="35" spans="2:71">
      <c r="F35" s="203" t="s">
        <v>96</v>
      </c>
      <c r="G35" s="1">
        <v>117.830666666667</v>
      </c>
      <c r="H35" s="1">
        <v>88.26748</v>
      </c>
      <c r="I35" s="1">
        <v>149.15252</v>
      </c>
      <c r="AS35" s="195">
        <v>67.1955192857142</v>
      </c>
      <c r="AT35" s="195">
        <v>43.6539007142857</v>
      </c>
      <c r="AU35" s="195">
        <v>92.167672142857</v>
      </c>
      <c r="AW35" s="213" t="s">
        <v>80</v>
      </c>
      <c r="AX35" s="213">
        <f t="shared" si="34"/>
        <v>2030</v>
      </c>
      <c r="AY35" s="213">
        <f t="shared" si="35"/>
        <v>67.1955192857142</v>
      </c>
      <c r="AZ35" s="213">
        <f t="shared" si="36"/>
        <v>43.6539007142857</v>
      </c>
      <c r="BA35" s="213">
        <f t="shared" si="37"/>
        <v>92.167672142857</v>
      </c>
      <c r="BD35" s="1" t="s">
        <v>81</v>
      </c>
      <c r="BE35" s="1">
        <v>2030</v>
      </c>
      <c r="BF35" s="1">
        <f t="shared" si="28"/>
        <v>47.0368634999999</v>
      </c>
      <c r="BG35" s="1">
        <f t="shared" si="29"/>
        <v>30.5577305</v>
      </c>
      <c r="BH35" s="1">
        <f t="shared" si="30"/>
        <v>64.5173704999999</v>
      </c>
      <c r="BI35" s="216"/>
      <c r="BO35" s="1" t="s">
        <v>82</v>
      </c>
      <c r="BP35" s="1">
        <v>2030</v>
      </c>
      <c r="BQ35" s="1">
        <f t="shared" si="31"/>
        <v>20.1586557857143</v>
      </c>
      <c r="BR35" s="1">
        <f t="shared" si="32"/>
        <v>13.0961702142857</v>
      </c>
      <c r="BS35" s="1">
        <f t="shared" si="33"/>
        <v>27.6503016428571</v>
      </c>
    </row>
    <row r="36" spans="2:71">
      <c r="AS36" s="195">
        <v>70.7872916666665</v>
      </c>
      <c r="AT36" s="195">
        <v>46.6460499999999</v>
      </c>
      <c r="AU36" s="195">
        <v>96.3828249999999</v>
      </c>
      <c r="AW36" s="213" t="s">
        <v>85</v>
      </c>
      <c r="AX36" s="213">
        <f t="shared" si="34"/>
        <v>2030</v>
      </c>
      <c r="AY36" s="213">
        <f t="shared" si="35"/>
        <v>70.7872916666665</v>
      </c>
      <c r="AZ36" s="213">
        <f t="shared" si="36"/>
        <v>46.6460499999999</v>
      </c>
      <c r="BA36" s="213">
        <f t="shared" si="37"/>
        <v>96.3828249999999</v>
      </c>
      <c r="BD36" s="1" t="s">
        <v>86</v>
      </c>
      <c r="BE36" s="1">
        <v>2030</v>
      </c>
      <c r="BF36" s="1">
        <f t="shared" si="28"/>
        <v>49.5511041666665</v>
      </c>
      <c r="BG36" s="1">
        <f t="shared" si="29"/>
        <v>32.6522349999999</v>
      </c>
      <c r="BH36" s="1">
        <f t="shared" si="30"/>
        <v>67.4679774999999</v>
      </c>
      <c r="BI36" s="216"/>
      <c r="BO36" s="1" t="s">
        <v>87</v>
      </c>
      <c r="BP36" s="1">
        <v>2030</v>
      </c>
      <c r="BQ36" s="1">
        <f t="shared" si="31"/>
        <v>21.2361875</v>
      </c>
      <c r="BR36" s="1">
        <f t="shared" si="32"/>
        <v>13.993815</v>
      </c>
      <c r="BS36" s="1">
        <f t="shared" si="33"/>
        <v>28.9148475</v>
      </c>
    </row>
    <row r="37" spans="2:71">
      <c r="AS37" s="195">
        <v>68.2960273809523</v>
      </c>
      <c r="AT37" s="195">
        <v>45.0509321428571</v>
      </c>
      <c r="AU37" s="195">
        <v>92.9282357142856</v>
      </c>
      <c r="AW37" s="213" t="s">
        <v>89</v>
      </c>
      <c r="AX37" s="213">
        <f t="shared" si="34"/>
        <v>2030</v>
      </c>
      <c r="AY37" s="213">
        <f t="shared" si="35"/>
        <v>68.2960273809523</v>
      </c>
      <c r="AZ37" s="213">
        <f t="shared" si="36"/>
        <v>45.0509321428571</v>
      </c>
      <c r="BA37" s="213">
        <f t="shared" si="37"/>
        <v>92.9282357142856</v>
      </c>
      <c r="BD37" s="1" t="s">
        <v>90</v>
      </c>
      <c r="BE37" s="1">
        <v>2030</v>
      </c>
      <c r="BF37" s="1">
        <f t="shared" si="28"/>
        <v>47.8072191666666</v>
      </c>
      <c r="BG37" s="1">
        <f t="shared" si="29"/>
        <v>31.5356525</v>
      </c>
      <c r="BH37" s="1">
        <f t="shared" si="30"/>
        <v>65.0497649999999</v>
      </c>
      <c r="BI37" s="216"/>
      <c r="BO37" s="1" t="s">
        <v>91</v>
      </c>
      <c r="BP37" s="1">
        <v>2030</v>
      </c>
      <c r="BQ37" s="1">
        <f t="shared" si="31"/>
        <v>20.4888082142857</v>
      </c>
      <c r="BR37" s="1">
        <f t="shared" si="32"/>
        <v>13.5152796428571</v>
      </c>
      <c r="BS37" s="1">
        <f t="shared" si="33"/>
        <v>27.8784707142857</v>
      </c>
    </row>
    <row r="38" spans="2:71">
      <c r="AS38" s="195">
        <v>70.3628095238094</v>
      </c>
      <c r="AT38" s="195">
        <v>47.1345914285714</v>
      </c>
      <c r="AU38" s="195">
        <v>94.972837142857</v>
      </c>
      <c r="AW38" s="213" t="s">
        <v>93</v>
      </c>
      <c r="AX38" s="213">
        <f t="shared" si="34"/>
        <v>2030</v>
      </c>
      <c r="AY38" s="213">
        <f t="shared" si="35"/>
        <v>70.3628095238094</v>
      </c>
      <c r="AZ38" s="213">
        <f t="shared" si="36"/>
        <v>47.1345914285714</v>
      </c>
      <c r="BA38" s="213">
        <f t="shared" si="37"/>
        <v>94.972837142857</v>
      </c>
      <c r="BD38" s="1" t="s">
        <v>94</v>
      </c>
      <c r="BE38" s="1">
        <v>2030</v>
      </c>
      <c r="BF38" s="1">
        <f t="shared" si="28"/>
        <v>49.2539666666666</v>
      </c>
      <c r="BG38" s="1">
        <f t="shared" si="29"/>
        <v>32.994214</v>
      </c>
      <c r="BH38" s="1">
        <f t="shared" si="30"/>
        <v>66.4809859999999</v>
      </c>
      <c r="BI38" s="216"/>
      <c r="BO38" s="1" t="s">
        <v>95</v>
      </c>
      <c r="BP38" s="1">
        <v>2030</v>
      </c>
      <c r="BQ38" s="1">
        <f t="shared" si="31"/>
        <v>21.1088428571428</v>
      </c>
      <c r="BR38" s="1">
        <f t="shared" si="32"/>
        <v>14.1403774285714</v>
      </c>
      <c r="BS38" s="1">
        <f t="shared" si="33"/>
        <v>28.4918511428571</v>
      </c>
    </row>
    <row r="39" spans="2:71">
      <c r="AS39" s="195">
        <v>127.359047619047</v>
      </c>
      <c r="AT39" s="195">
        <v>127.359047619047</v>
      </c>
      <c r="AU39" s="195">
        <v>127.359047619047</v>
      </c>
      <c r="AW39" s="7"/>
      <c r="AX39" s="213"/>
      <c r="AY39" s="213"/>
      <c r="AZ39" s="213"/>
      <c r="BA39" s="213"/>
      <c r="BD39" s="1" t="s">
        <v>97</v>
      </c>
      <c r="BE39" s="1">
        <v>2030</v>
      </c>
      <c r="BF39" s="1">
        <f t="shared" si="28"/>
        <v>89.1513333333329</v>
      </c>
      <c r="BG39" s="1">
        <f t="shared" si="29"/>
        <v>89.1513333333329</v>
      </c>
      <c r="BH39" s="1">
        <f t="shared" si="30"/>
        <v>89.1513333333329</v>
      </c>
      <c r="BI39" s="216"/>
      <c r="BO39" s="1" t="s">
        <v>98</v>
      </c>
      <c r="BP39" s="1">
        <v>2030</v>
      </c>
      <c r="BQ39" s="1">
        <f t="shared" si="31"/>
        <v>38.2077142857141</v>
      </c>
      <c r="BR39" s="1">
        <f t="shared" si="32"/>
        <v>38.2077142857141</v>
      </c>
      <c r="BS39" s="1">
        <f t="shared" si="33"/>
        <v>38.2077142857141</v>
      </c>
    </row>
    <row r="40" spans="2:71">
      <c r="BE40" s="1"/>
      <c r="BF40" s="1"/>
      <c r="BG40" s="1"/>
      <c r="BH40" s="1"/>
      <c r="BI40" s="216"/>
      <c r="BO40" s="1"/>
      <c r="BP40" s="1"/>
      <c r="BQ40" s="1"/>
      <c r="BR40" s="1"/>
      <c r="BS40" s="1"/>
    </row>
    <row r="41" spans="2:71">
      <c r="AG41" s="217" t="s">
        <v>52</v>
      </c>
      <c r="AH41" s="217"/>
      <c r="AI41" s="217"/>
      <c r="AJ41" s="217"/>
      <c r="AK41" s="217"/>
      <c r="BE41" s="1"/>
      <c r="BF41" s="1"/>
      <c r="BG41" s="1"/>
      <c r="BH41" s="1"/>
      <c r="BI41" s="216"/>
      <c r="BO41" s="1"/>
      <c r="BP41" s="1"/>
      <c r="BQ41" s="1"/>
      <c r="BR41" s="1"/>
      <c r="BS41" s="1"/>
    </row>
    <row r="42" spans="2:71">
      <c r="AG42" s="217"/>
      <c r="AH42" s="217"/>
      <c r="AI42" s="217"/>
      <c r="AJ42" s="217"/>
      <c r="AK42" s="217"/>
      <c r="BE42" s="1"/>
      <c r="BF42" s="1"/>
      <c r="BG42" s="1"/>
      <c r="BH42" s="1"/>
      <c r="BI42" s="216"/>
      <c r="BO42" s="1"/>
      <c r="BP42" s="1"/>
      <c r="BQ42" s="1"/>
      <c r="BR42" s="1"/>
      <c r="BS42" s="1"/>
    </row>
    <row r="43" spans="2:71">
      <c r="B43" s="218"/>
      <c r="C43" s="218"/>
      <c r="D43" s="218"/>
      <c r="E43" s="218"/>
      <c r="AG43" s="217"/>
      <c r="AH43" s="217"/>
      <c r="AI43" s="217"/>
      <c r="AJ43" s="217"/>
      <c r="AK43" s="217"/>
      <c r="BE43" s="1"/>
      <c r="BF43" s="1"/>
      <c r="BG43" s="1"/>
      <c r="BH43" s="1"/>
      <c r="BI43" s="216"/>
      <c r="BO43" s="1"/>
      <c r="BP43" s="1"/>
      <c r="BQ43" s="1"/>
      <c r="BR43" s="1"/>
      <c r="BS43" s="1"/>
    </row>
    <row r="44" spans="2:71">
      <c r="B44" s="218"/>
      <c r="C44" s="218"/>
      <c r="D44" s="218"/>
      <c r="E44" s="218"/>
      <c r="AG44" s="217"/>
      <c r="AH44" s="217"/>
      <c r="AI44" s="217"/>
      <c r="AJ44" s="217"/>
      <c r="AK44" s="217"/>
      <c r="AW44" s="34"/>
      <c r="AX44" s="34"/>
      <c r="AY44" s="213"/>
      <c r="BE44" s="1"/>
      <c r="BF44" s="1"/>
      <c r="BG44" s="1"/>
      <c r="BH44" s="1"/>
      <c r="BI44" s="216"/>
      <c r="BO44" s="1"/>
      <c r="BP44" s="1"/>
      <c r="BQ44" s="1"/>
      <c r="BR44" s="1"/>
      <c r="BS44" s="1"/>
    </row>
    <row r="45" spans="2:71">
      <c r="B45" s="218"/>
      <c r="C45" s="218"/>
      <c r="D45" s="218"/>
      <c r="E45" s="218"/>
      <c r="AG45" s="217" t="s">
        <v>66</v>
      </c>
      <c r="AH45" s="217" t="s">
        <v>41</v>
      </c>
      <c r="AI45" s="217" t="s">
        <v>65</v>
      </c>
      <c r="AJ45" s="217" t="s">
        <v>11</v>
      </c>
      <c r="AK45" s="217" t="s">
        <v>25</v>
      </c>
      <c r="AS45" s="195" t="s">
        <v>65</v>
      </c>
      <c r="AT45" s="195" t="s">
        <v>11</v>
      </c>
      <c r="AU45" s="195" t="s">
        <v>25</v>
      </c>
      <c r="AW45" s="213" t="s">
        <v>66</v>
      </c>
      <c r="AX45" s="213" t="s">
        <v>41</v>
      </c>
      <c r="AY45" s="211" t="s">
        <v>65</v>
      </c>
      <c r="AZ45" s="211" t="s">
        <v>11</v>
      </c>
      <c r="BA45" s="211" t="s">
        <v>25</v>
      </c>
      <c r="BD45" s="1" t="s">
        <v>66</v>
      </c>
      <c r="BE45" s="1" t="s">
        <v>41</v>
      </c>
      <c r="BF45" s="1" t="s">
        <v>65</v>
      </c>
      <c r="BG45" s="1" t="s">
        <v>11</v>
      </c>
      <c r="BH45" s="1" t="s">
        <v>25</v>
      </c>
      <c r="BI45" s="216"/>
      <c r="BO45" s="1" t="s">
        <v>66</v>
      </c>
      <c r="BP45" s="1" t="s">
        <v>41</v>
      </c>
      <c r="BQ45" s="1" t="s">
        <v>65</v>
      </c>
      <c r="BR45" s="1" t="s">
        <v>11</v>
      </c>
      <c r="BS45" s="1" t="s">
        <v>25</v>
      </c>
    </row>
    <row r="46" spans="2:71">
      <c r="B46" s="133"/>
      <c r="C46" s="219"/>
      <c r="D46" s="218"/>
      <c r="E46" s="218"/>
      <c r="AG46" s="217" t="s">
        <v>68</v>
      </c>
      <c r="AH46" s="217">
        <v>2023</v>
      </c>
      <c r="AI46" s="217">
        <v>0.1</v>
      </c>
      <c r="AJ46" s="217">
        <f xml:space="preserve">AI46</f>
        <v>0.1</v>
      </c>
      <c r="AK46" s="217">
        <f xml:space="preserve">AJ46</f>
        <v>0.1</v>
      </c>
      <c r="AS46" s="195">
        <v>57.4165547619049</v>
      </c>
      <c r="AT46" s="195">
        <v>39.6333785714287</v>
      </c>
      <c r="AU46" s="195">
        <v>76.3036071428573</v>
      </c>
      <c r="AW46" s="213" t="s">
        <v>67</v>
      </c>
      <c r="AX46" s="213">
        <v>2035</v>
      </c>
      <c r="AY46" s="213">
        <f xml:space="preserve">AY32*AK2/AJ2</f>
        <v>57.4165547619049</v>
      </c>
      <c r="AZ46" s="213">
        <f xml:space="preserve">AZ32*AK2/AJ2</f>
        <v>39.6333785714287</v>
      </c>
      <c r="BA46" s="213">
        <f xml:space="preserve">BA32*AK2/AJ2</f>
        <v>76.3036071428573</v>
      </c>
      <c r="BD46" s="1" t="s">
        <v>68</v>
      </c>
      <c r="BE46" s="1">
        <v>2035</v>
      </c>
      <c r="BF46" s="1">
        <f t="shared" ref="BF46:BF53" si="38" xml:space="preserve">AS46*70%</f>
        <v>40.1915883333334</v>
      </c>
      <c r="BG46" s="1">
        <f t="shared" ref="BG46:BG53" si="39" xml:space="preserve">AT46*70%</f>
        <v>27.7433650000001</v>
      </c>
      <c r="BH46" s="1">
        <f t="shared" ref="BH46:BH53" si="40" xml:space="preserve">AU46*70%</f>
        <v>53.4125250000001</v>
      </c>
      <c r="BI46" s="216"/>
      <c r="BO46" s="1" t="s">
        <v>69</v>
      </c>
      <c r="BP46" s="1">
        <v>2035</v>
      </c>
      <c r="BQ46" s="1">
        <f t="shared" ref="BQ46:BQ53" si="41" xml:space="preserve">AS46*30%</f>
        <v>17.2249664285715</v>
      </c>
      <c r="BR46" s="1">
        <f t="shared" ref="BR46:BR53" si="42" xml:space="preserve">AT46*30%</f>
        <v>11.8900135714286</v>
      </c>
      <c r="BS46" s="1">
        <f t="shared" ref="BS46:BS53" si="43" xml:space="preserve">AU46*30%</f>
        <v>22.8910821428572</v>
      </c>
    </row>
    <row r="47" spans="2:71">
      <c r="B47" s="219"/>
      <c r="C47" s="136"/>
      <c r="D47" s="136"/>
      <c r="E47" s="136"/>
      <c r="AG47" s="217" t="s">
        <v>73</v>
      </c>
      <c r="AH47" s="217">
        <v>2023</v>
      </c>
      <c r="AI47" s="217">
        <v>0.1</v>
      </c>
      <c r="AJ47" s="217">
        <f xml:space="preserve">AJ46</f>
        <v>0.1</v>
      </c>
      <c r="AK47" s="217">
        <f xml:space="preserve">AK46</f>
        <v>0.1</v>
      </c>
      <c r="AS47" s="195">
        <v>68.1490000000002</v>
      </c>
      <c r="AT47" s="195">
        <v>47.3754642857144</v>
      </c>
      <c r="AU47" s="195">
        <v>90.1882500000002</v>
      </c>
      <c r="AW47" s="213" t="s">
        <v>72</v>
      </c>
      <c r="AX47" s="213">
        <f t="shared" ref="AX47:AX53" si="44" xml:space="preserve">AX46</f>
        <v>2035</v>
      </c>
      <c r="AY47" s="213">
        <f t="shared" ref="AY47:AY53" si="45" xml:space="preserve">AY33*AK3/AJ3</f>
        <v>68.1490000000002</v>
      </c>
      <c r="AZ47" s="213">
        <f t="shared" ref="AZ47:AZ53" si="46" xml:space="preserve">AZ33*AK3/AJ3</f>
        <v>47.3754642857144</v>
      </c>
      <c r="BA47" s="213">
        <f t="shared" ref="BA47:BA53" si="47" xml:space="preserve">BA33*AK3/AJ3</f>
        <v>90.1882500000002</v>
      </c>
      <c r="BD47" s="1" t="s">
        <v>73</v>
      </c>
      <c r="BE47" s="1">
        <v>2035</v>
      </c>
      <c r="BF47" s="1">
        <f t="shared" si="38"/>
        <v>47.7043000000001</v>
      </c>
      <c r="BG47" s="1">
        <f t="shared" si="39"/>
        <v>33.1628250000001</v>
      </c>
      <c r="BH47" s="1">
        <f t="shared" si="40"/>
        <v>63.1317750000001</v>
      </c>
      <c r="BI47" s="216"/>
      <c r="BO47" s="1" t="s">
        <v>74</v>
      </c>
      <c r="BP47" s="1">
        <v>2035</v>
      </c>
      <c r="BQ47" s="1">
        <f t="shared" si="41"/>
        <v>20.4447000000001</v>
      </c>
      <c r="BR47" s="1">
        <f t="shared" si="42"/>
        <v>14.2126392857143</v>
      </c>
      <c r="BS47" s="1">
        <f t="shared" si="43"/>
        <v>27.0564750000001</v>
      </c>
    </row>
    <row r="48" spans="2:71">
      <c r="B48" s="219"/>
      <c r="C48" s="219"/>
      <c r="D48" s="219"/>
      <c r="E48" s="219"/>
      <c r="AG48" s="217" t="s">
        <v>77</v>
      </c>
      <c r="AH48" s="217">
        <v>2023</v>
      </c>
      <c r="AI48" s="217">
        <f t="shared" ref="AI48:AI53" si="48" xml:space="preserve">AI47</f>
        <v>0.1</v>
      </c>
      <c r="AJ48" s="217">
        <f t="shared" ref="AJ48:AJ53" si="49" xml:space="preserve">AJ47</f>
        <v>0.1</v>
      </c>
      <c r="AK48" s="217">
        <f t="shared" ref="AK48:AK53" si="50" xml:space="preserve">AK47</f>
        <v>0.1</v>
      </c>
      <c r="AS48" s="195">
        <v>60.9626404761906</v>
      </c>
      <c r="AT48" s="195">
        <v>40.0724785714287</v>
      </c>
      <c r="AU48" s="195">
        <v>83.0914000000002</v>
      </c>
      <c r="AW48" s="213" t="s">
        <v>76</v>
      </c>
      <c r="AX48" s="213">
        <f t="shared" si="44"/>
        <v>2035</v>
      </c>
      <c r="AY48" s="213">
        <f t="shared" si="45"/>
        <v>60.9626404761906</v>
      </c>
      <c r="AZ48" s="213">
        <f t="shared" si="46"/>
        <v>40.0724785714287</v>
      </c>
      <c r="BA48" s="213">
        <f t="shared" si="47"/>
        <v>83.0914000000002</v>
      </c>
      <c r="BD48" s="1" t="s">
        <v>77</v>
      </c>
      <c r="BE48" s="1">
        <v>2035</v>
      </c>
      <c r="BF48" s="1">
        <f t="shared" si="38"/>
        <v>42.6738483333334</v>
      </c>
      <c r="BG48" s="1">
        <f t="shared" si="39"/>
        <v>28.0507350000001</v>
      </c>
      <c r="BH48" s="1">
        <f t="shared" si="40"/>
        <v>58.1639800000001</v>
      </c>
      <c r="BI48" s="216"/>
      <c r="BO48" s="1" t="s">
        <v>78</v>
      </c>
      <c r="BP48" s="1">
        <v>2035</v>
      </c>
      <c r="BQ48" s="1">
        <f t="shared" si="41"/>
        <v>18.2887921428572</v>
      </c>
      <c r="BR48" s="1">
        <f t="shared" si="42"/>
        <v>12.0217435714286</v>
      </c>
      <c r="BS48" s="1">
        <f t="shared" si="43"/>
        <v>24.9274200000001</v>
      </c>
    </row>
    <row r="49" spans="2:71">
      <c r="B49" s="219"/>
      <c r="C49" s="219"/>
      <c r="D49" s="219"/>
      <c r="E49" s="219"/>
      <c r="AG49" s="217" t="s">
        <v>81</v>
      </c>
      <c r="AH49" s="217">
        <v>2023</v>
      </c>
      <c r="AI49" s="217">
        <f t="shared" si="48"/>
        <v>0.1</v>
      </c>
      <c r="AJ49" s="217">
        <f t="shared" si="49"/>
        <v>0.1</v>
      </c>
      <c r="AK49" s="217">
        <f t="shared" si="50"/>
        <v>0.1</v>
      </c>
      <c r="AS49" s="195">
        <v>61.0868357142859</v>
      </c>
      <c r="AT49" s="195">
        <v>39.6853642857144</v>
      </c>
      <c r="AU49" s="195">
        <v>83.7887928571431</v>
      </c>
      <c r="AW49" s="213" t="s">
        <v>80</v>
      </c>
      <c r="AX49" s="213">
        <f t="shared" si="44"/>
        <v>2035</v>
      </c>
      <c r="AY49" s="213">
        <f t="shared" si="45"/>
        <v>61.0868357142859</v>
      </c>
      <c r="AZ49" s="213">
        <f t="shared" si="46"/>
        <v>39.6853642857144</v>
      </c>
      <c r="BA49" s="213">
        <f t="shared" si="47"/>
        <v>83.7887928571431</v>
      </c>
      <c r="BD49" s="1" t="s">
        <v>81</v>
      </c>
      <c r="BE49" s="1">
        <v>2035</v>
      </c>
      <c r="BF49" s="1">
        <f t="shared" si="38"/>
        <v>42.7607850000001</v>
      </c>
      <c r="BG49" s="1">
        <f t="shared" si="39"/>
        <v>27.7797550000001</v>
      </c>
      <c r="BH49" s="1">
        <f t="shared" si="40"/>
        <v>58.6521550000002</v>
      </c>
      <c r="BI49" s="216"/>
      <c r="BO49" s="1" t="s">
        <v>82</v>
      </c>
      <c r="BP49" s="1">
        <v>2035</v>
      </c>
      <c r="BQ49" s="1">
        <f t="shared" si="41"/>
        <v>18.3260507142858</v>
      </c>
      <c r="BR49" s="1">
        <f t="shared" si="42"/>
        <v>11.9056092857143</v>
      </c>
      <c r="BS49" s="1">
        <f t="shared" si="43"/>
        <v>25.1366378571429</v>
      </c>
    </row>
    <row r="50" spans="2:71">
      <c r="B50" s="219"/>
      <c r="C50" s="219"/>
      <c r="D50" s="219"/>
      <c r="E50" s="219"/>
      <c r="AG50" s="217" t="s">
        <v>86</v>
      </c>
      <c r="AH50" s="217">
        <v>2023</v>
      </c>
      <c r="AI50" s="217">
        <f t="shared" si="48"/>
        <v>0.1</v>
      </c>
      <c r="AJ50" s="217">
        <f t="shared" si="49"/>
        <v>0.1</v>
      </c>
      <c r="AK50" s="217">
        <f t="shared" si="50"/>
        <v>0.1</v>
      </c>
      <c r="AS50" s="195">
        <v>64.3520833333335</v>
      </c>
      <c r="AT50" s="195">
        <v>42.4055000000001</v>
      </c>
      <c r="AU50" s="195">
        <v>87.6207500000002</v>
      </c>
      <c r="AW50" s="213" t="s">
        <v>85</v>
      </c>
      <c r="AX50" s="213">
        <f t="shared" si="44"/>
        <v>2035</v>
      </c>
      <c r="AY50" s="213">
        <f t="shared" si="45"/>
        <v>64.3520833333335</v>
      </c>
      <c r="AZ50" s="213">
        <f t="shared" si="46"/>
        <v>42.4055000000001</v>
      </c>
      <c r="BA50" s="213">
        <f t="shared" si="47"/>
        <v>87.6207500000002</v>
      </c>
      <c r="BD50" s="1" t="s">
        <v>86</v>
      </c>
      <c r="BE50" s="1">
        <v>2035</v>
      </c>
      <c r="BF50" s="1">
        <f t="shared" si="38"/>
        <v>45.0464583333334</v>
      </c>
      <c r="BG50" s="1">
        <f t="shared" si="39"/>
        <v>29.6838500000001</v>
      </c>
      <c r="BH50" s="1">
        <f t="shared" si="40"/>
        <v>61.3345250000001</v>
      </c>
      <c r="BI50" s="216"/>
      <c r="BO50" s="1" t="s">
        <v>87</v>
      </c>
      <c r="BP50" s="1">
        <v>2035</v>
      </c>
      <c r="BQ50" s="1">
        <f t="shared" si="41"/>
        <v>19.305625</v>
      </c>
      <c r="BR50" s="1">
        <f t="shared" si="42"/>
        <v>12.72165</v>
      </c>
      <c r="BS50" s="1">
        <f t="shared" si="43"/>
        <v>26.2862250000001</v>
      </c>
    </row>
    <row r="51" spans="2:71">
      <c r="B51" s="219"/>
      <c r="C51" s="219"/>
      <c r="D51" s="219"/>
      <c r="E51" s="219"/>
      <c r="AG51" s="217" t="s">
        <v>90</v>
      </c>
      <c r="AH51" s="217">
        <v>2023</v>
      </c>
      <c r="AI51" s="217">
        <f t="shared" si="48"/>
        <v>0.1</v>
      </c>
      <c r="AJ51" s="217">
        <f t="shared" si="49"/>
        <v>0.1</v>
      </c>
      <c r="AK51" s="217">
        <f t="shared" si="50"/>
        <v>0.1</v>
      </c>
      <c r="AS51" s="195">
        <v>62.0872976190478</v>
      </c>
      <c r="AT51" s="195">
        <v>40.955392857143</v>
      </c>
      <c r="AU51" s="195">
        <v>84.4802142857145</v>
      </c>
      <c r="AW51" s="213" t="s">
        <v>89</v>
      </c>
      <c r="AX51" s="213">
        <f t="shared" si="44"/>
        <v>2035</v>
      </c>
      <c r="AY51" s="213">
        <f t="shared" si="45"/>
        <v>62.0872976190478</v>
      </c>
      <c r="AZ51" s="213">
        <f t="shared" si="46"/>
        <v>40.955392857143</v>
      </c>
      <c r="BA51" s="213">
        <f t="shared" si="47"/>
        <v>84.4802142857145</v>
      </c>
      <c r="BD51" s="1" t="s">
        <v>90</v>
      </c>
      <c r="BE51" s="1">
        <v>2035</v>
      </c>
      <c r="BF51" s="1">
        <f t="shared" si="38"/>
        <v>43.4611083333335</v>
      </c>
      <c r="BG51" s="1">
        <f t="shared" si="39"/>
        <v>28.6687750000001</v>
      </c>
      <c r="BH51" s="1">
        <f t="shared" si="40"/>
        <v>59.1361500000001</v>
      </c>
      <c r="BI51" s="216"/>
      <c r="BO51" s="1" t="s">
        <v>91</v>
      </c>
      <c r="BP51" s="1">
        <v>2035</v>
      </c>
      <c r="BQ51" s="1">
        <f t="shared" si="41"/>
        <v>18.6261892857143</v>
      </c>
      <c r="BR51" s="1">
        <f t="shared" si="42"/>
        <v>12.2866178571429</v>
      </c>
      <c r="BS51" s="1">
        <f t="shared" si="43"/>
        <v>25.3440642857143</v>
      </c>
    </row>
    <row r="52" spans="2:71">
      <c r="B52" s="219"/>
      <c r="C52" s="219"/>
      <c r="D52" s="219"/>
      <c r="E52" s="219"/>
      <c r="AG52" s="217" t="s">
        <v>94</v>
      </c>
      <c r="AH52" s="217">
        <v>2023</v>
      </c>
      <c r="AI52" s="217">
        <f t="shared" si="48"/>
        <v>0.1</v>
      </c>
      <c r="AJ52" s="217">
        <f t="shared" si="49"/>
        <v>0.1</v>
      </c>
      <c r="AK52" s="217">
        <f t="shared" si="50"/>
        <v>0.1</v>
      </c>
      <c r="AS52" s="195">
        <v>63.9661904761907</v>
      </c>
      <c r="AT52" s="195">
        <v>42.8496285714287</v>
      </c>
      <c r="AU52" s="195">
        <v>86.3389428571431</v>
      </c>
      <c r="AW52" s="213" t="s">
        <v>93</v>
      </c>
      <c r="AX52" s="213">
        <f t="shared" si="44"/>
        <v>2035</v>
      </c>
      <c r="AY52" s="213">
        <f t="shared" si="45"/>
        <v>63.9661904761907</v>
      </c>
      <c r="AZ52" s="213">
        <f t="shared" si="46"/>
        <v>42.8496285714287</v>
      </c>
      <c r="BA52" s="213">
        <f t="shared" si="47"/>
        <v>86.3389428571431</v>
      </c>
      <c r="BD52" s="1" t="s">
        <v>94</v>
      </c>
      <c r="BE52" s="1">
        <v>2035</v>
      </c>
      <c r="BF52" s="1">
        <f t="shared" si="38"/>
        <v>44.7763333333335</v>
      </c>
      <c r="BG52" s="1">
        <f t="shared" si="39"/>
        <v>29.9947400000001</v>
      </c>
      <c r="BH52" s="1">
        <f t="shared" si="40"/>
        <v>60.4372600000002</v>
      </c>
      <c r="BI52" s="216"/>
      <c r="BO52" s="1" t="s">
        <v>95</v>
      </c>
      <c r="BP52" s="1">
        <v>2035</v>
      </c>
      <c r="BQ52" s="1">
        <f t="shared" si="41"/>
        <v>19.1898571428572</v>
      </c>
      <c r="BR52" s="1">
        <f t="shared" si="42"/>
        <v>12.8548885714286</v>
      </c>
      <c r="BS52" s="1">
        <f t="shared" si="43"/>
        <v>25.9016828571429</v>
      </c>
    </row>
    <row r="53" spans="2:71">
      <c r="B53" s="219"/>
      <c r="C53" s="219"/>
      <c r="D53" s="219"/>
      <c r="E53" s="219"/>
      <c r="AG53" s="217" t="s">
        <v>97</v>
      </c>
      <c r="AH53" s="217">
        <v>2023</v>
      </c>
      <c r="AI53" s="217">
        <f t="shared" si="48"/>
        <v>0.1</v>
      </c>
      <c r="AJ53" s="217">
        <f t="shared" si="49"/>
        <v>0.1</v>
      </c>
      <c r="AK53" s="217">
        <f t="shared" si="50"/>
        <v>0.1</v>
      </c>
      <c r="AS53" s="195">
        <v>115.780952380953</v>
      </c>
      <c r="AT53" s="195">
        <v>115.780952380953</v>
      </c>
      <c r="AU53" s="195">
        <v>115.780952380953</v>
      </c>
      <c r="AW53" s="7"/>
      <c r="AX53" s="213"/>
      <c r="AY53" s="213"/>
      <c r="AZ53" s="213"/>
      <c r="BA53" s="213"/>
      <c r="BD53" s="1" t="s">
        <v>97</v>
      </c>
      <c r="BE53" s="1">
        <v>2035</v>
      </c>
      <c r="BF53" s="1">
        <f t="shared" si="38"/>
        <v>81.0466666666671</v>
      </c>
      <c r="BG53" s="1">
        <f t="shared" si="39"/>
        <v>81.0466666666671</v>
      </c>
      <c r="BH53" s="1">
        <f t="shared" si="40"/>
        <v>81.0466666666671</v>
      </c>
      <c r="BI53" s="216"/>
      <c r="BO53" s="1" t="s">
        <v>98</v>
      </c>
      <c r="BP53" s="1">
        <v>2035</v>
      </c>
      <c r="BQ53" s="1">
        <f t="shared" si="41"/>
        <v>34.7342857142859</v>
      </c>
      <c r="BR53" s="1">
        <f t="shared" si="42"/>
        <v>34.7342857142859</v>
      </c>
      <c r="BS53" s="1">
        <f t="shared" si="43"/>
        <v>34.7342857142859</v>
      </c>
    </row>
    <row r="54" spans="2:71">
      <c r="B54" s="219"/>
      <c r="C54" s="219"/>
      <c r="D54" s="219"/>
      <c r="E54" s="219"/>
      <c r="AG54" s="217"/>
      <c r="AH54" s="217"/>
      <c r="AI54" s="217"/>
      <c r="AJ54" s="217"/>
      <c r="AK54" s="217"/>
      <c r="BE54" s="1"/>
      <c r="BF54" s="1"/>
      <c r="BG54" s="1"/>
      <c r="BH54" s="1"/>
      <c r="BI54" s="216"/>
      <c r="BO54" s="1"/>
      <c r="BP54" s="1"/>
      <c r="BQ54" s="1"/>
      <c r="BR54" s="1"/>
      <c r="BS54" s="1"/>
    </row>
    <row r="55" spans="2:71">
      <c r="B55" s="219"/>
      <c r="C55" s="220"/>
      <c r="D55" s="220"/>
      <c r="E55" s="220"/>
      <c r="AG55" s="217"/>
      <c r="AH55" s="217"/>
      <c r="AI55" s="217"/>
      <c r="AJ55" s="217"/>
      <c r="AK55" s="217"/>
      <c r="BE55" s="1"/>
      <c r="BF55" s="1"/>
      <c r="BG55" s="1"/>
      <c r="BH55" s="1"/>
      <c r="BI55" s="216"/>
      <c r="BO55" s="1"/>
      <c r="BP55" s="1"/>
      <c r="BQ55" s="1"/>
      <c r="BR55" s="1"/>
      <c r="BS55" s="1"/>
    </row>
    <row r="56" spans="2:71">
      <c r="B56" s="218"/>
      <c r="C56" s="218"/>
      <c r="D56" s="218"/>
      <c r="E56" s="218"/>
      <c r="AG56" s="217"/>
      <c r="AH56" s="217"/>
      <c r="AI56" s="217"/>
      <c r="AJ56" s="217"/>
      <c r="AK56" s="217"/>
      <c r="BE56" s="1"/>
      <c r="BF56" s="1"/>
      <c r="BG56" s="1"/>
      <c r="BH56" s="1"/>
      <c r="BI56" s="216"/>
      <c r="BO56" s="1"/>
      <c r="BP56" s="1"/>
      <c r="BQ56" s="1"/>
      <c r="BR56" s="1"/>
      <c r="BS56" s="1"/>
    </row>
    <row r="57" spans="2:71">
      <c r="B57" s="218"/>
      <c r="C57" s="218"/>
      <c r="D57" s="218"/>
      <c r="E57" s="218"/>
      <c r="AG57" s="217"/>
      <c r="AH57" s="217"/>
      <c r="AI57" s="217"/>
      <c r="AJ57" s="217"/>
      <c r="AK57" s="217"/>
      <c r="BE57" s="1"/>
      <c r="BF57" s="1"/>
      <c r="BG57" s="1"/>
      <c r="BH57" s="1"/>
      <c r="BI57" s="216"/>
      <c r="BO57" s="1"/>
      <c r="BP57" s="1"/>
      <c r="BQ57" s="1"/>
      <c r="BR57" s="1"/>
      <c r="BS57" s="1"/>
    </row>
    <row r="58" spans="2:71">
      <c r="B58" s="218"/>
      <c r="C58" s="218"/>
      <c r="D58" s="218"/>
      <c r="E58" s="218"/>
      <c r="AG58" s="217"/>
      <c r="AH58" s="217"/>
      <c r="AI58" s="217"/>
      <c r="AJ58" s="217"/>
      <c r="AK58" s="217"/>
      <c r="AW58" s="34"/>
      <c r="AX58" s="34"/>
      <c r="AY58" s="213"/>
      <c r="BE58" s="1"/>
      <c r="BF58" s="1"/>
      <c r="BG58" s="1"/>
      <c r="BH58" s="1"/>
      <c r="BI58" s="216"/>
      <c r="BO58" s="1"/>
      <c r="BP58" s="1"/>
      <c r="BQ58" s="1"/>
      <c r="BR58" s="1"/>
      <c r="BS58" s="1"/>
    </row>
    <row r="59" spans="2:71">
      <c r="B59" s="218"/>
      <c r="C59" s="218"/>
      <c r="D59" s="218"/>
      <c r="E59" s="218"/>
      <c r="AG59" s="217"/>
      <c r="AH59" s="217"/>
      <c r="AI59" s="217"/>
      <c r="AJ59" s="217"/>
      <c r="AK59" s="217"/>
      <c r="AS59" s="195" t="s">
        <v>65</v>
      </c>
      <c r="AT59" s="195" t="s">
        <v>11</v>
      </c>
      <c r="AU59" s="195" t="s">
        <v>25</v>
      </c>
      <c r="AW59" s="213" t="s">
        <v>66</v>
      </c>
      <c r="AX59" s="213" t="s">
        <v>41</v>
      </c>
      <c r="AY59" s="211" t="s">
        <v>65</v>
      </c>
      <c r="AZ59" s="211" t="s">
        <v>11</v>
      </c>
      <c r="BA59" s="211" t="s">
        <v>25</v>
      </c>
      <c r="BD59" s="1" t="s">
        <v>66</v>
      </c>
      <c r="BE59" s="1" t="s">
        <v>41</v>
      </c>
      <c r="BF59" s="1" t="s">
        <v>65</v>
      </c>
      <c r="BG59" s="1" t="s">
        <v>11</v>
      </c>
      <c r="BH59" s="1" t="s">
        <v>25</v>
      </c>
      <c r="BI59" s="216"/>
      <c r="BO59" s="1" t="s">
        <v>66</v>
      </c>
      <c r="BP59" s="1" t="s">
        <v>41</v>
      </c>
      <c r="BQ59" s="1" t="s">
        <v>65</v>
      </c>
      <c r="BR59" s="1" t="s">
        <v>11</v>
      </c>
      <c r="BS59" s="1" t="s">
        <v>25</v>
      </c>
    </row>
    <row r="60" spans="2:71">
      <c r="AG60" s="217"/>
      <c r="AH60" s="217"/>
      <c r="AI60" s="217"/>
      <c r="AJ60" s="217"/>
      <c r="AK60" s="217"/>
      <c r="AS60" s="195">
        <v>55.6940581190478</v>
      </c>
      <c r="AT60" s="195">
        <v>38.4443772142858</v>
      </c>
      <c r="AU60" s="195">
        <v>74.0144989285716</v>
      </c>
      <c r="AW60" s="213" t="s">
        <v>67</v>
      </c>
      <c r="AX60" s="213">
        <v>2040</v>
      </c>
      <c r="AY60" s="213">
        <f xml:space="preserve">AY46*0.97</f>
        <v>55.6940581190478</v>
      </c>
      <c r="AZ60" s="213">
        <f xml:space="preserve">AZ46*0.97</f>
        <v>38.4443772142858</v>
      </c>
      <c r="BA60" s="213">
        <f xml:space="preserve">BA46*0.97</f>
        <v>74.0144989285716</v>
      </c>
      <c r="BD60" s="1" t="s">
        <v>68</v>
      </c>
      <c r="BE60" s="1">
        <v>2040</v>
      </c>
      <c r="BF60" s="1">
        <f t="shared" ref="BF60:BF67" si="51" xml:space="preserve">AS60*70%</f>
        <v>38.9858406833335</v>
      </c>
      <c r="BG60" s="1">
        <f t="shared" ref="BG60:BG67" si="52" xml:space="preserve">AT60*70%</f>
        <v>26.9110640500001</v>
      </c>
      <c r="BH60" s="1">
        <f t="shared" ref="BH60:BH67" si="53" xml:space="preserve">AU60*70%</f>
        <v>51.8101492500001</v>
      </c>
      <c r="BI60" s="216"/>
      <c r="BO60" s="1" t="s">
        <v>69</v>
      </c>
      <c r="BP60" s="1">
        <v>2040</v>
      </c>
      <c r="BQ60" s="1">
        <f t="shared" ref="BQ60:BQ67" si="54" xml:space="preserve">AS60*30%</f>
        <v>16.7082174357143</v>
      </c>
      <c r="BR60" s="1">
        <f t="shared" ref="BR60:BR67" si="55" xml:space="preserve">AT60*30%</f>
        <v>11.5333131642857</v>
      </c>
      <c r="BS60" s="1">
        <f t="shared" ref="BS60:BS67" si="56" xml:space="preserve">AU60*30%</f>
        <v>22.2043496785715</v>
      </c>
    </row>
    <row r="61" spans="2:71">
      <c r="AG61" s="217"/>
      <c r="AH61" s="217"/>
      <c r="AI61" s="217"/>
      <c r="AJ61" s="217"/>
      <c r="AK61" s="217"/>
      <c r="AS61" s="195">
        <v>66.1045300000002</v>
      </c>
      <c r="AT61" s="195">
        <v>45.954200357143</v>
      </c>
      <c r="AU61" s="195">
        <v>87.4826025000002</v>
      </c>
      <c r="AW61" s="213" t="s">
        <v>72</v>
      </c>
      <c r="AX61" s="213">
        <f t="shared" ref="AX61:AX67" si="57" xml:space="preserve">AX60</f>
        <v>2040</v>
      </c>
      <c r="AY61" s="213">
        <f t="shared" ref="AY61:AY67" si="58" xml:space="preserve">AY47*0.97</f>
        <v>66.1045300000002</v>
      </c>
      <c r="AZ61" s="213">
        <f t="shared" ref="AZ61:AZ67" si="59" xml:space="preserve">AZ47*0.97</f>
        <v>45.954200357143</v>
      </c>
      <c r="BA61" s="213">
        <f t="shared" ref="BA61:BA67" si="60" xml:space="preserve">BA47*0.97</f>
        <v>87.4826025000002</v>
      </c>
      <c r="BD61" s="1" t="s">
        <v>73</v>
      </c>
      <c r="BE61" s="1">
        <v>2040</v>
      </c>
      <c r="BF61" s="1">
        <f t="shared" si="51"/>
        <v>46.2731710000001</v>
      </c>
      <c r="BG61" s="1">
        <f t="shared" si="52"/>
        <v>32.1679402500001</v>
      </c>
      <c r="BH61" s="1">
        <f t="shared" si="53"/>
        <v>61.2378217500001</v>
      </c>
      <c r="BI61" s="216"/>
      <c r="BO61" s="1" t="s">
        <v>74</v>
      </c>
      <c r="BP61" s="1">
        <v>2040</v>
      </c>
      <c r="BQ61" s="1">
        <f t="shared" si="54"/>
        <v>19.8313590000001</v>
      </c>
      <c r="BR61" s="1">
        <f t="shared" si="55"/>
        <v>13.7862601071429</v>
      </c>
      <c r="BS61" s="1">
        <f t="shared" si="56"/>
        <v>26.2447807500001</v>
      </c>
    </row>
    <row r="62" spans="2:71">
      <c r="AG62" s="217"/>
      <c r="AH62" s="217"/>
      <c r="AI62" s="217"/>
      <c r="AJ62" s="217"/>
      <c r="AK62" s="217"/>
      <c r="AS62" s="195">
        <v>59.1337612619049</v>
      </c>
      <c r="AT62" s="195">
        <v>38.8703042142858</v>
      </c>
      <c r="AU62" s="195">
        <v>80.5986580000002</v>
      </c>
      <c r="AW62" s="213" t="s">
        <v>76</v>
      </c>
      <c r="AX62" s="213">
        <f t="shared" si="57"/>
        <v>2040</v>
      </c>
      <c r="AY62" s="213">
        <f t="shared" si="58"/>
        <v>59.1337612619049</v>
      </c>
      <c r="AZ62" s="213">
        <f t="shared" si="59"/>
        <v>38.8703042142858</v>
      </c>
      <c r="BA62" s="213">
        <f t="shared" si="60"/>
        <v>80.5986580000002</v>
      </c>
      <c r="BD62" s="1" t="s">
        <v>77</v>
      </c>
      <c r="BE62" s="1">
        <v>2040</v>
      </c>
      <c r="BF62" s="1">
        <f t="shared" si="51"/>
        <v>41.3936328833334</v>
      </c>
      <c r="BG62" s="1">
        <f t="shared" si="52"/>
        <v>27.2092129500001</v>
      </c>
      <c r="BH62" s="1">
        <f t="shared" si="53"/>
        <v>56.4190606000001</v>
      </c>
      <c r="BI62" s="216"/>
      <c r="BO62" s="1" t="s">
        <v>78</v>
      </c>
      <c r="BP62" s="1">
        <v>2040</v>
      </c>
      <c r="BQ62" s="1">
        <f t="shared" si="54"/>
        <v>17.7401283785715</v>
      </c>
      <c r="BR62" s="1">
        <f t="shared" si="55"/>
        <v>11.6610912642857</v>
      </c>
      <c r="BS62" s="1">
        <f t="shared" si="56"/>
        <v>24.1795974000001</v>
      </c>
    </row>
    <row r="63" spans="2:71">
      <c r="AG63" s="217"/>
      <c r="AH63" s="217"/>
      <c r="AI63" s="217"/>
      <c r="AJ63" s="217"/>
      <c r="AK63" s="217"/>
      <c r="AS63" s="195">
        <v>59.2542306428573</v>
      </c>
      <c r="AT63" s="195">
        <v>38.494803357143</v>
      </c>
      <c r="AU63" s="195">
        <v>81.2751290714288</v>
      </c>
      <c r="AW63" s="213" t="s">
        <v>80</v>
      </c>
      <c r="AX63" s="213">
        <f t="shared" si="57"/>
        <v>2040</v>
      </c>
      <c r="AY63" s="213">
        <f t="shared" si="58"/>
        <v>59.2542306428573</v>
      </c>
      <c r="AZ63" s="213">
        <f t="shared" si="59"/>
        <v>38.494803357143</v>
      </c>
      <c r="BA63" s="213">
        <f t="shared" si="60"/>
        <v>81.2751290714288</v>
      </c>
      <c r="BD63" s="1" t="s">
        <v>81</v>
      </c>
      <c r="BE63" s="1">
        <v>2040</v>
      </c>
      <c r="BF63" s="1">
        <f t="shared" si="51"/>
        <v>41.4779614500001</v>
      </c>
      <c r="BG63" s="1">
        <f t="shared" si="52"/>
        <v>26.9463623500001</v>
      </c>
      <c r="BH63" s="1">
        <f t="shared" si="53"/>
        <v>56.8925903500001</v>
      </c>
      <c r="BI63" s="216"/>
      <c r="BO63" s="1" t="s">
        <v>82</v>
      </c>
      <c r="BP63" s="1">
        <v>2040</v>
      </c>
      <c r="BQ63" s="1">
        <f t="shared" si="54"/>
        <v>17.7762691928572</v>
      </c>
      <c r="BR63" s="1">
        <f t="shared" si="55"/>
        <v>11.5484410071429</v>
      </c>
      <c r="BS63" s="1">
        <f t="shared" si="56"/>
        <v>24.3825387214286</v>
      </c>
    </row>
    <row r="64" spans="2:71">
      <c r="AG64" s="217"/>
      <c r="AH64" s="217"/>
      <c r="AI64" s="217"/>
      <c r="AJ64" s="217"/>
      <c r="AK64" s="217"/>
      <c r="AS64" s="195">
        <v>62.4215208333334</v>
      </c>
      <c r="AT64" s="195">
        <v>41.1333350000001</v>
      </c>
      <c r="AU64" s="195">
        <v>84.9921275000002</v>
      </c>
      <c r="AW64" s="213" t="s">
        <v>85</v>
      </c>
      <c r="AX64" s="213">
        <f t="shared" si="57"/>
        <v>2040</v>
      </c>
      <c r="AY64" s="213">
        <f t="shared" si="58"/>
        <v>62.4215208333334</v>
      </c>
      <c r="AZ64" s="213">
        <f t="shared" si="59"/>
        <v>41.1333350000001</v>
      </c>
      <c r="BA64" s="213">
        <f t="shared" si="60"/>
        <v>84.9921275000002</v>
      </c>
      <c r="BD64" s="1" t="s">
        <v>86</v>
      </c>
      <c r="BE64" s="1">
        <v>2040</v>
      </c>
      <c r="BF64" s="1">
        <f t="shared" si="51"/>
        <v>43.6950645833334</v>
      </c>
      <c r="BG64" s="1">
        <f t="shared" si="52"/>
        <v>28.7933345000001</v>
      </c>
      <c r="BH64" s="1">
        <f t="shared" si="53"/>
        <v>59.4944892500001</v>
      </c>
      <c r="BI64" s="216"/>
      <c r="BO64" s="1" t="s">
        <v>87</v>
      </c>
      <c r="BP64" s="1">
        <v>2040</v>
      </c>
      <c r="BQ64" s="1">
        <f t="shared" si="54"/>
        <v>18.72645625</v>
      </c>
      <c r="BR64" s="1">
        <f t="shared" si="55"/>
        <v>12.3400005</v>
      </c>
      <c r="BS64" s="1">
        <f t="shared" si="56"/>
        <v>25.4976382500001</v>
      </c>
    </row>
    <row r="65" spans="33:87">
      <c r="AG65" s="217"/>
      <c r="AH65" s="217"/>
      <c r="AI65" s="217"/>
      <c r="AJ65" s="217"/>
      <c r="AK65" s="217"/>
      <c r="AS65" s="195">
        <v>60.2246786904764</v>
      </c>
      <c r="AT65" s="195">
        <v>39.7267310714287</v>
      </c>
      <c r="AU65" s="195">
        <v>81.9458078571431</v>
      </c>
      <c r="AW65" s="213" t="s">
        <v>89</v>
      </c>
      <c r="AX65" s="213">
        <f t="shared" si="57"/>
        <v>2040</v>
      </c>
      <c r="AY65" s="213">
        <f t="shared" si="58"/>
        <v>60.2246786904764</v>
      </c>
      <c r="AZ65" s="213">
        <f t="shared" si="59"/>
        <v>39.7267310714287</v>
      </c>
      <c r="BA65" s="213">
        <f t="shared" si="60"/>
        <v>81.9458078571431</v>
      </c>
      <c r="BD65" s="1" t="s">
        <v>90</v>
      </c>
      <c r="BE65" s="1">
        <v>2040</v>
      </c>
      <c r="BF65" s="1">
        <f t="shared" si="51"/>
        <v>42.1572750833335</v>
      </c>
      <c r="BG65" s="1">
        <f t="shared" si="52"/>
        <v>27.8087117500001</v>
      </c>
      <c r="BH65" s="1">
        <f t="shared" si="53"/>
        <v>57.3620655000002</v>
      </c>
      <c r="BI65" s="216"/>
      <c r="BO65" s="1" t="s">
        <v>91</v>
      </c>
      <c r="BP65" s="1">
        <v>2040</v>
      </c>
      <c r="BQ65" s="1">
        <f t="shared" si="54"/>
        <v>18.0674036071429</v>
      </c>
      <c r="BR65" s="1">
        <f t="shared" si="55"/>
        <v>11.9180193214286</v>
      </c>
      <c r="BS65" s="1">
        <f t="shared" si="56"/>
        <v>24.5837423571429</v>
      </c>
    </row>
    <row r="66" spans="33:87">
      <c r="AG66" s="217"/>
      <c r="AH66" s="217"/>
      <c r="AI66" s="217"/>
      <c r="AJ66" s="217"/>
      <c r="AK66" s="217"/>
      <c r="AS66" s="195">
        <v>62.0472047619049</v>
      </c>
      <c r="AT66" s="195">
        <v>41.5641397142858</v>
      </c>
      <c r="AU66" s="195">
        <v>83.7487745714288</v>
      </c>
      <c r="AW66" s="213" t="s">
        <v>93</v>
      </c>
      <c r="AX66" s="213">
        <f t="shared" si="57"/>
        <v>2040</v>
      </c>
      <c r="AY66" s="213">
        <f t="shared" si="58"/>
        <v>62.0472047619049</v>
      </c>
      <c r="AZ66" s="213">
        <f t="shared" si="59"/>
        <v>41.5641397142858</v>
      </c>
      <c r="BA66" s="213">
        <f t="shared" si="60"/>
        <v>83.7487745714288</v>
      </c>
      <c r="BD66" s="1" t="s">
        <v>94</v>
      </c>
      <c r="BE66" s="1">
        <v>2040</v>
      </c>
      <c r="BF66" s="1">
        <f t="shared" si="51"/>
        <v>43.4330433333334</v>
      </c>
      <c r="BG66" s="1">
        <f t="shared" si="52"/>
        <v>29.0948978000001</v>
      </c>
      <c r="BH66" s="1">
        <f t="shared" si="53"/>
        <v>58.6241422000002</v>
      </c>
      <c r="BI66" s="216"/>
      <c r="BO66" s="1" t="s">
        <v>95</v>
      </c>
      <c r="BP66" s="1">
        <v>2040</v>
      </c>
      <c r="BQ66" s="1">
        <f t="shared" si="54"/>
        <v>18.6141614285715</v>
      </c>
      <c r="BR66" s="1">
        <f t="shared" si="55"/>
        <v>12.4692419142857</v>
      </c>
      <c r="BS66" s="1">
        <f t="shared" si="56"/>
        <v>25.1246323714286</v>
      </c>
    </row>
    <row r="67" spans="33:87">
      <c r="AG67" s="217"/>
      <c r="AH67" s="217"/>
      <c r="AI67" s="217"/>
      <c r="AJ67" s="217"/>
      <c r="AK67" s="217"/>
      <c r="AS67" s="195">
        <v>112.307523809524</v>
      </c>
      <c r="AT67" s="195">
        <v>112.307523809524</v>
      </c>
      <c r="AU67" s="195">
        <v>112.307523809524</v>
      </c>
      <c r="AW67" s="7"/>
      <c r="AX67" s="213"/>
      <c r="AY67" s="213"/>
      <c r="AZ67" s="213"/>
      <c r="BA67" s="213"/>
      <c r="BD67" s="1" t="s">
        <v>97</v>
      </c>
      <c r="BE67" s="1">
        <v>2040</v>
      </c>
      <c r="BF67" s="1">
        <f t="shared" si="51"/>
        <v>78.6152666666668</v>
      </c>
      <c r="BG67" s="1">
        <f t="shared" si="52"/>
        <v>78.6152666666668</v>
      </c>
      <c r="BH67" s="1">
        <f t="shared" si="53"/>
        <v>78.6152666666668</v>
      </c>
      <c r="BI67" s="216"/>
      <c r="BO67" s="1" t="s">
        <v>98</v>
      </c>
      <c r="BP67" s="1">
        <v>2040</v>
      </c>
      <c r="BQ67" s="1">
        <f t="shared" si="54"/>
        <v>33.6922571428572</v>
      </c>
      <c r="BR67" s="1">
        <f t="shared" si="55"/>
        <v>33.6922571428572</v>
      </c>
      <c r="BS67" s="1">
        <f t="shared" si="56"/>
        <v>33.6922571428572</v>
      </c>
    </row>
    <row r="68" spans="33:87">
      <c r="AG68" s="217"/>
      <c r="AH68" s="217"/>
      <c r="AI68" s="217"/>
      <c r="AJ68" s="217"/>
      <c r="AK68" s="217"/>
      <c r="BE68" s="1"/>
      <c r="BF68" s="1"/>
      <c r="BG68" s="1"/>
      <c r="BH68" s="1"/>
      <c r="BI68" s="216"/>
      <c r="BO68" s="1"/>
      <c r="BP68" s="1"/>
      <c r="BQ68" s="1"/>
      <c r="BR68" s="1"/>
      <c r="BS68" s="1"/>
    </row>
    <row r="69" spans="33:87">
      <c r="AG69" s="217"/>
      <c r="AH69" s="217"/>
      <c r="AI69" s="217"/>
      <c r="AJ69" s="217"/>
      <c r="AK69" s="217"/>
      <c r="BE69" s="1"/>
      <c r="BF69" s="1"/>
      <c r="BG69" s="1"/>
      <c r="BH69" s="1"/>
      <c r="BI69" s="216"/>
      <c r="BO69" s="1"/>
      <c r="BP69" s="1"/>
      <c r="BQ69" s="1"/>
      <c r="BR69" s="1"/>
      <c r="BS69" s="1"/>
    </row>
    <row r="70" spans="33:87">
      <c r="AG70" s="217"/>
      <c r="AH70" s="217"/>
      <c r="AI70" s="217"/>
      <c r="AJ70" s="217"/>
      <c r="AK70" s="217"/>
      <c r="BE70" s="1"/>
      <c r="BF70" s="1"/>
      <c r="BG70" s="1"/>
      <c r="BH70" s="1"/>
      <c r="BO70" s="1"/>
      <c r="BP70" s="1"/>
      <c r="BQ70" s="1"/>
      <c r="BR70" s="1"/>
      <c r="BS70" s="1"/>
    </row>
    <row r="71" spans="33:87">
      <c r="AG71" s="217"/>
      <c r="AH71" s="217"/>
      <c r="AI71" s="217"/>
      <c r="AJ71" s="217"/>
      <c r="AK71" s="217"/>
      <c r="BE71" s="1"/>
      <c r="BF71" s="1"/>
      <c r="BG71" s="1"/>
      <c r="BH71" s="1"/>
      <c r="BO71" s="1"/>
      <c r="BP71" s="1"/>
      <c r="BQ71" s="1"/>
      <c r="BR71" s="1"/>
      <c r="BS71" s="1"/>
    </row>
    <row r="72" spans="33:87">
      <c r="AG72" s="217"/>
      <c r="AH72" s="217"/>
      <c r="AI72" s="217"/>
      <c r="AJ72" s="217"/>
      <c r="AK72" s="217"/>
      <c r="BE72" s="1"/>
      <c r="BF72" s="1"/>
      <c r="BG72" s="1"/>
      <c r="BH72" s="1"/>
      <c r="BO72" s="1"/>
      <c r="BP72" s="1"/>
      <c r="BQ72" s="1"/>
      <c r="BR72" s="1"/>
      <c r="BS72" s="1"/>
    </row>
    <row r="73" spans="33:87">
      <c r="AG73" s="217"/>
      <c r="AH73" s="217"/>
      <c r="AI73" s="217"/>
      <c r="AJ73" s="217"/>
      <c r="AK73" s="217"/>
      <c r="BE73" s="1"/>
      <c r="BF73" s="1"/>
      <c r="BG73" s="1"/>
      <c r="BH73" s="1"/>
      <c r="BI73" s="207"/>
      <c r="BJ73" s="207"/>
      <c r="BK73" s="207"/>
      <c r="BL73" s="207"/>
      <c r="BM73" s="207"/>
      <c r="BN73" s="207"/>
      <c r="BO73" s="1"/>
      <c r="BP73" s="1"/>
      <c r="BQ73" s="1"/>
      <c r="BR73" s="1"/>
      <c r="BS73" s="1"/>
      <c r="BT73" s="207"/>
      <c r="BU73" s="207"/>
      <c r="BV73" s="207"/>
      <c r="BW73" s="207"/>
      <c r="BX73" s="207"/>
      <c r="BY73" s="207"/>
      <c r="BZ73" s="207"/>
      <c r="CA73" s="207"/>
      <c r="CB73" s="207"/>
      <c r="CC73" s="207"/>
      <c r="CD73" s="207"/>
      <c r="CE73" s="207"/>
      <c r="CF73" s="207"/>
      <c r="CG73" s="207"/>
      <c r="CH73" s="207"/>
      <c r="CI73" s="207"/>
    </row>
    <row r="74" spans="33:87">
      <c r="AG74" s="217"/>
      <c r="AH74" s="217"/>
      <c r="AI74" s="217"/>
      <c r="AJ74" s="217"/>
      <c r="AK74" s="217"/>
      <c r="AW74" s="34"/>
      <c r="AX74" s="34"/>
      <c r="AY74" s="213"/>
      <c r="BE74" s="1"/>
      <c r="BF74" s="1"/>
      <c r="BG74" s="1"/>
      <c r="BH74" s="1"/>
      <c r="BI74" s="216"/>
      <c r="BJ74" s="216"/>
      <c r="BK74" s="216"/>
      <c r="BL74" s="216"/>
      <c r="BM74" s="216"/>
      <c r="BN74" s="216"/>
      <c r="BO74" s="1"/>
      <c r="BP74" s="1"/>
      <c r="BQ74" s="1"/>
      <c r="BR74" s="1"/>
      <c r="BS74" s="1"/>
      <c r="BT74" s="216"/>
      <c r="BU74" s="216"/>
      <c r="BV74" s="216"/>
      <c r="BW74" s="216"/>
      <c r="BX74" s="216"/>
      <c r="BY74" s="216"/>
      <c r="BZ74" s="216"/>
      <c r="CA74" s="216"/>
      <c r="CB74" s="216"/>
      <c r="CC74" s="216"/>
      <c r="CD74" s="216"/>
      <c r="CE74" s="216"/>
      <c r="CF74" s="216"/>
      <c r="CG74" s="216"/>
      <c r="CH74" s="216"/>
      <c r="CI74" s="216"/>
    </row>
    <row r="75" spans="33:87">
      <c r="AG75" s="217"/>
      <c r="AH75" s="217"/>
      <c r="AI75" s="217"/>
      <c r="AJ75" s="217"/>
      <c r="AK75" s="217"/>
      <c r="AS75" s="195" t="s">
        <v>65</v>
      </c>
      <c r="AT75" s="195" t="s">
        <v>11</v>
      </c>
      <c r="AU75" s="195" t="s">
        <v>25</v>
      </c>
      <c r="AW75" s="213" t="s">
        <v>66</v>
      </c>
      <c r="AX75" s="213" t="s">
        <v>41</v>
      </c>
      <c r="AY75" s="211" t="s">
        <v>65</v>
      </c>
      <c r="AZ75" s="211" t="s">
        <v>11</v>
      </c>
      <c r="BA75" s="211" t="s">
        <v>25</v>
      </c>
      <c r="BD75" s="1" t="s">
        <v>66</v>
      </c>
      <c r="BE75" s="1" t="s">
        <v>41</v>
      </c>
      <c r="BF75" s="1" t="s">
        <v>65</v>
      </c>
      <c r="BG75" s="1" t="s">
        <v>11</v>
      </c>
      <c r="BH75" s="1" t="s">
        <v>25</v>
      </c>
      <c r="BI75" s="216"/>
      <c r="BJ75" s="216"/>
      <c r="BK75" s="216"/>
      <c r="BL75" s="216"/>
      <c r="BM75" s="216"/>
      <c r="BN75" s="216"/>
      <c r="BO75" s="1" t="s">
        <v>66</v>
      </c>
      <c r="BP75" s="1" t="s">
        <v>41</v>
      </c>
      <c r="BQ75" s="1" t="s">
        <v>65</v>
      </c>
      <c r="BR75" s="1" t="s">
        <v>11</v>
      </c>
      <c r="BS75" s="1" t="s">
        <v>25</v>
      </c>
      <c r="BT75" s="216"/>
      <c r="BU75" s="216"/>
      <c r="BV75" s="216"/>
      <c r="BW75" s="216"/>
      <c r="BX75" s="216"/>
      <c r="BY75" s="216"/>
      <c r="BZ75" s="216"/>
      <c r="CA75" s="216"/>
      <c r="CB75" s="216"/>
      <c r="CC75" s="216"/>
      <c r="CD75" s="216"/>
      <c r="CE75" s="216"/>
      <c r="CF75" s="216"/>
      <c r="CG75" s="216"/>
      <c r="CH75" s="216"/>
      <c r="CI75" s="216"/>
    </row>
    <row r="76" spans="33:87">
      <c r="AG76" s="217"/>
      <c r="AH76" s="217"/>
      <c r="AI76" s="217"/>
      <c r="AJ76" s="217"/>
      <c r="AK76" s="217"/>
      <c r="AS76" s="195">
        <v>53.4662957942859</v>
      </c>
      <c r="AT76" s="195">
        <v>36.9066021257144</v>
      </c>
      <c r="AU76" s="195">
        <v>71.0539189714287</v>
      </c>
      <c r="AW76" s="213" t="s">
        <v>67</v>
      </c>
      <c r="AX76" s="213">
        <v>2045</v>
      </c>
      <c r="AY76" s="213">
        <f xml:space="preserve">AY60*0.96</f>
        <v>53.4662957942859</v>
      </c>
      <c r="AZ76" s="213">
        <f xml:space="preserve">AZ60*0.96</f>
        <v>36.9066021257144</v>
      </c>
      <c r="BA76" s="213">
        <f xml:space="preserve">BA60*0.96</f>
        <v>71.0539189714287</v>
      </c>
      <c r="BD76" s="1" t="s">
        <v>68</v>
      </c>
      <c r="BE76" s="1">
        <v>2045</v>
      </c>
      <c r="BF76" s="1">
        <f t="shared" ref="BF76:BF83" si="61" xml:space="preserve">AS76*70%</f>
        <v>37.4264070560001</v>
      </c>
      <c r="BG76" s="1">
        <f t="shared" ref="BG76:BG83" si="62" xml:space="preserve">AT76*70%</f>
        <v>25.8346214880001</v>
      </c>
      <c r="BH76" s="1">
        <f t="shared" ref="BH76:BH83" si="63" xml:space="preserve">AU76*70%</f>
        <v>49.7377432800001</v>
      </c>
      <c r="BI76" s="216"/>
      <c r="BJ76" s="216"/>
      <c r="BK76" s="216"/>
      <c r="BL76" s="216"/>
      <c r="BM76" s="216"/>
      <c r="BN76" s="216"/>
      <c r="BO76" s="1" t="s">
        <v>69</v>
      </c>
      <c r="BP76" s="1">
        <v>2045</v>
      </c>
      <c r="BQ76" s="1">
        <f t="shared" ref="BQ76:BQ83" si="64" xml:space="preserve">AS76*30%</f>
        <v>16.0398887382858</v>
      </c>
      <c r="BR76" s="1">
        <f t="shared" ref="BR76:BR83" si="65" xml:space="preserve">AT76*30%</f>
        <v>11.0719806377143</v>
      </c>
      <c r="BS76" s="1">
        <f t="shared" ref="BS76:BS83" si="66" xml:space="preserve">AU76*30%</f>
        <v>21.3161756914286</v>
      </c>
      <c r="BT76" s="216"/>
      <c r="BU76" s="216"/>
      <c r="BV76" s="216"/>
      <c r="BW76" s="216"/>
      <c r="BX76" s="216"/>
      <c r="BY76" s="216"/>
      <c r="BZ76" s="216"/>
      <c r="CA76" s="216"/>
      <c r="CB76" s="216"/>
      <c r="CC76" s="216"/>
      <c r="CD76" s="216"/>
      <c r="CE76" s="216"/>
      <c r="CF76" s="216"/>
      <c r="CG76" s="216"/>
      <c r="CH76" s="216"/>
      <c r="CI76" s="216"/>
    </row>
    <row r="77" spans="33:87">
      <c r="AG77" s="217"/>
      <c r="AH77" s="217"/>
      <c r="AI77" s="217"/>
      <c r="AJ77" s="217"/>
      <c r="AK77" s="217"/>
      <c r="AS77" s="195">
        <v>63.4603488000002</v>
      </c>
      <c r="AT77" s="195">
        <v>44.1160323428573</v>
      </c>
      <c r="AU77" s="195">
        <v>83.9832984000002</v>
      </c>
      <c r="AW77" s="213" t="s">
        <v>72</v>
      </c>
      <c r="AX77" s="213">
        <f t="shared" ref="AX77:AX83" si="67" xml:space="preserve">AX76</f>
        <v>2045</v>
      </c>
      <c r="AY77" s="213">
        <f t="shared" ref="AY77:AY83" si="68" xml:space="preserve">AY61*0.96</f>
        <v>63.4603488000002</v>
      </c>
      <c r="AZ77" s="213">
        <f t="shared" ref="AZ77:AZ83" si="69" xml:space="preserve">AZ61*0.96</f>
        <v>44.1160323428573</v>
      </c>
      <c r="BA77" s="213">
        <f t="shared" ref="BA77:BA83" si="70" xml:space="preserve">BA61*0.96</f>
        <v>83.9832984000002</v>
      </c>
      <c r="BD77" s="1" t="s">
        <v>73</v>
      </c>
      <c r="BE77" s="1">
        <v>2045</v>
      </c>
      <c r="BF77" s="1">
        <f t="shared" si="61"/>
        <v>44.4222441600001</v>
      </c>
      <c r="BG77" s="1">
        <f t="shared" si="62"/>
        <v>30.8812226400001</v>
      </c>
      <c r="BH77" s="1">
        <f t="shared" si="63"/>
        <v>58.7883088800001</v>
      </c>
      <c r="BI77" s="216"/>
      <c r="BJ77" s="216"/>
      <c r="BK77" s="216"/>
      <c r="BL77" s="216"/>
      <c r="BM77" s="216"/>
      <c r="BN77" s="216"/>
      <c r="BO77" s="1" t="s">
        <v>74</v>
      </c>
      <c r="BP77" s="1">
        <v>2045</v>
      </c>
      <c r="BQ77" s="1">
        <f t="shared" si="64"/>
        <v>19.0381046400001</v>
      </c>
      <c r="BR77" s="1">
        <f t="shared" si="65"/>
        <v>13.2348097028572</v>
      </c>
      <c r="BS77" s="1">
        <f t="shared" si="66"/>
        <v>25.1949895200001</v>
      </c>
      <c r="BT77" s="216"/>
      <c r="BU77" s="216"/>
      <c r="BV77" s="216"/>
      <c r="BW77" s="216"/>
      <c r="BX77" s="216"/>
      <c r="BY77" s="216"/>
      <c r="BZ77" s="216"/>
      <c r="CA77" s="216"/>
      <c r="CB77" s="216"/>
      <c r="CC77" s="216"/>
      <c r="CD77" s="216"/>
      <c r="CE77" s="216"/>
      <c r="CF77" s="216"/>
      <c r="CG77" s="216"/>
      <c r="CH77" s="216"/>
      <c r="CI77" s="216"/>
    </row>
    <row r="78" spans="33:87">
      <c r="AG78" s="217"/>
      <c r="AH78" s="217"/>
      <c r="AI78" s="217"/>
      <c r="AJ78" s="217"/>
      <c r="AK78" s="217"/>
      <c r="AS78" s="195">
        <v>56.7684108114287</v>
      </c>
      <c r="AT78" s="195">
        <v>37.3154920457144</v>
      </c>
      <c r="AU78" s="195">
        <v>77.3747116800002</v>
      </c>
      <c r="AW78" s="213" t="s">
        <v>76</v>
      </c>
      <c r="AX78" s="213">
        <f t="shared" si="67"/>
        <v>2045</v>
      </c>
      <c r="AY78" s="213">
        <f t="shared" si="68"/>
        <v>56.7684108114287</v>
      </c>
      <c r="AZ78" s="213">
        <f t="shared" si="69"/>
        <v>37.3154920457144</v>
      </c>
      <c r="BA78" s="213">
        <f t="shared" si="70"/>
        <v>77.3747116800002</v>
      </c>
      <c r="BD78" s="1" t="s">
        <v>77</v>
      </c>
      <c r="BE78" s="1">
        <v>2045</v>
      </c>
      <c r="BF78" s="1">
        <f t="shared" si="61"/>
        <v>39.7378875680001</v>
      </c>
      <c r="BG78" s="1">
        <f t="shared" si="62"/>
        <v>26.1208444320001</v>
      </c>
      <c r="BH78" s="1">
        <f t="shared" si="63"/>
        <v>54.1622981760001</v>
      </c>
      <c r="BI78" s="216"/>
      <c r="BJ78" s="216"/>
      <c r="BK78" s="216"/>
      <c r="BL78" s="216"/>
      <c r="BM78" s="216"/>
      <c r="BN78" s="216"/>
      <c r="BO78" s="1" t="s">
        <v>78</v>
      </c>
      <c r="BP78" s="1">
        <v>2045</v>
      </c>
      <c r="BQ78" s="1">
        <f t="shared" si="64"/>
        <v>17.0305232434286</v>
      </c>
      <c r="BR78" s="1">
        <f t="shared" si="65"/>
        <v>11.1946476137143</v>
      </c>
      <c r="BS78" s="1">
        <f t="shared" si="66"/>
        <v>23.2124135040001</v>
      </c>
      <c r="BT78" s="216"/>
      <c r="BU78" s="216"/>
      <c r="BV78" s="216"/>
      <c r="BW78" s="216"/>
      <c r="BX78" s="216"/>
      <c r="BY78" s="216"/>
      <c r="BZ78" s="216"/>
      <c r="CA78" s="216"/>
      <c r="CB78" s="216"/>
      <c r="CC78" s="216"/>
      <c r="CD78" s="216"/>
      <c r="CE78" s="216"/>
      <c r="CF78" s="216"/>
      <c r="CG78" s="216"/>
      <c r="CH78" s="216"/>
      <c r="CI78" s="216"/>
    </row>
    <row r="79" spans="33:87">
      <c r="AG79" s="217"/>
      <c r="AH79" s="217"/>
      <c r="AI79" s="217"/>
      <c r="AJ79" s="217"/>
      <c r="AK79" s="217"/>
      <c r="AS79" s="195">
        <v>56.884061417143</v>
      </c>
      <c r="AT79" s="195">
        <v>36.9550112228572</v>
      </c>
      <c r="AU79" s="195">
        <v>78.0241239085716</v>
      </c>
      <c r="AW79" s="213" t="s">
        <v>80</v>
      </c>
      <c r="AX79" s="213">
        <f t="shared" si="67"/>
        <v>2045</v>
      </c>
      <c r="AY79" s="213">
        <f t="shared" si="68"/>
        <v>56.884061417143</v>
      </c>
      <c r="AZ79" s="213">
        <f t="shared" si="69"/>
        <v>36.9550112228572</v>
      </c>
      <c r="BA79" s="213">
        <f t="shared" si="70"/>
        <v>78.0241239085716</v>
      </c>
      <c r="BD79" s="1" t="s">
        <v>81</v>
      </c>
      <c r="BE79" s="1">
        <v>2045</v>
      </c>
      <c r="BF79" s="1">
        <f t="shared" si="61"/>
        <v>39.8188429920001</v>
      </c>
      <c r="BG79" s="1">
        <f t="shared" si="62"/>
        <v>25.868507856</v>
      </c>
      <c r="BH79" s="1">
        <f t="shared" si="63"/>
        <v>54.6168867360001</v>
      </c>
      <c r="BI79" s="216"/>
      <c r="BJ79" s="216"/>
      <c r="BK79" s="216"/>
      <c r="BL79" s="216"/>
      <c r="BM79" s="216"/>
      <c r="BN79" s="216"/>
      <c r="BO79" s="1" t="s">
        <v>82</v>
      </c>
      <c r="BP79" s="1">
        <v>2045</v>
      </c>
      <c r="BQ79" s="1">
        <f t="shared" si="64"/>
        <v>17.0652184251429</v>
      </c>
      <c r="BR79" s="1">
        <f t="shared" si="65"/>
        <v>11.0865033668572</v>
      </c>
      <c r="BS79" s="1">
        <f t="shared" si="66"/>
        <v>23.4072371725715</v>
      </c>
      <c r="BT79" s="216"/>
      <c r="BU79" s="216"/>
      <c r="BV79" s="216"/>
      <c r="BW79" s="216"/>
      <c r="BX79" s="216"/>
      <c r="BY79" s="216"/>
      <c r="BZ79" s="216"/>
      <c r="CA79" s="216"/>
      <c r="CB79" s="216"/>
      <c r="CC79" s="216"/>
      <c r="CD79" s="216"/>
      <c r="CE79" s="216"/>
      <c r="CF79" s="216"/>
      <c r="CG79" s="216"/>
      <c r="CH79" s="216"/>
      <c r="CI79" s="216"/>
    </row>
    <row r="80" spans="33:87">
      <c r="AG80" s="217"/>
      <c r="AH80" s="217"/>
      <c r="AI80" s="217"/>
      <c r="AJ80" s="217"/>
      <c r="AK80" s="217"/>
      <c r="AS80" s="195">
        <v>59.9246600000001</v>
      </c>
      <c r="AT80" s="195">
        <v>39.4880016000001</v>
      </c>
      <c r="AU80" s="195">
        <v>81.5924424000002</v>
      </c>
      <c r="AW80" s="213" t="s">
        <v>85</v>
      </c>
      <c r="AX80" s="213">
        <f t="shared" si="67"/>
        <v>2045</v>
      </c>
      <c r="AY80" s="213">
        <f t="shared" si="68"/>
        <v>59.9246600000001</v>
      </c>
      <c r="AZ80" s="213">
        <f t="shared" si="69"/>
        <v>39.4880016000001</v>
      </c>
      <c r="BA80" s="213">
        <f t="shared" si="70"/>
        <v>81.5924424000002</v>
      </c>
      <c r="BD80" s="1" t="s">
        <v>86</v>
      </c>
      <c r="BE80" s="1">
        <v>2045</v>
      </c>
      <c r="BF80" s="1">
        <f t="shared" si="61"/>
        <v>41.9472620000001</v>
      </c>
      <c r="BG80" s="1">
        <f t="shared" si="62"/>
        <v>27.6416011200001</v>
      </c>
      <c r="BH80" s="1">
        <f t="shared" si="63"/>
        <v>57.1147096800001</v>
      </c>
      <c r="BI80" s="216"/>
      <c r="BJ80" s="216"/>
      <c r="BK80" s="216"/>
      <c r="BL80" s="216"/>
      <c r="BM80" s="216"/>
      <c r="BN80" s="216"/>
      <c r="BO80" s="1" t="s">
        <v>87</v>
      </c>
      <c r="BP80" s="1">
        <v>2045</v>
      </c>
      <c r="BQ80" s="1">
        <f t="shared" si="64"/>
        <v>17.977398</v>
      </c>
      <c r="BR80" s="1">
        <f t="shared" si="65"/>
        <v>11.84640048</v>
      </c>
      <c r="BS80" s="1">
        <f t="shared" si="66"/>
        <v>24.4777327200001</v>
      </c>
      <c r="BT80" s="216"/>
      <c r="BU80" s="216"/>
      <c r="BV80" s="216"/>
      <c r="BW80" s="216"/>
      <c r="BX80" s="216"/>
      <c r="BY80" s="216"/>
      <c r="BZ80" s="216"/>
      <c r="CA80" s="216"/>
      <c r="CB80" s="216"/>
      <c r="CC80" s="216"/>
      <c r="CD80" s="216"/>
      <c r="CE80" s="216"/>
      <c r="CF80" s="216"/>
      <c r="CG80" s="216"/>
      <c r="CH80" s="216"/>
      <c r="CI80" s="216"/>
    </row>
    <row r="81" spans="33:87">
      <c r="AG81" s="217"/>
      <c r="AH81" s="217"/>
      <c r="AI81" s="217"/>
      <c r="AJ81" s="217"/>
      <c r="AK81" s="217"/>
      <c r="AS81" s="195">
        <v>57.8156915428573</v>
      </c>
      <c r="AT81" s="195">
        <v>38.1376618285715</v>
      </c>
      <c r="AU81" s="195">
        <v>78.6679755428573</v>
      </c>
      <c r="AW81" s="213" t="s">
        <v>89</v>
      </c>
      <c r="AX81" s="213">
        <f t="shared" si="67"/>
        <v>2045</v>
      </c>
      <c r="AY81" s="213">
        <f t="shared" si="68"/>
        <v>57.8156915428573</v>
      </c>
      <c r="AZ81" s="213">
        <f t="shared" si="69"/>
        <v>38.1376618285715</v>
      </c>
      <c r="BA81" s="213">
        <f t="shared" si="70"/>
        <v>78.6679755428573</v>
      </c>
      <c r="BD81" s="1" t="s">
        <v>90</v>
      </c>
      <c r="BE81" s="1">
        <v>2045</v>
      </c>
      <c r="BF81" s="1">
        <f t="shared" si="61"/>
        <v>40.4709840800001</v>
      </c>
      <c r="BG81" s="1">
        <f t="shared" si="62"/>
        <v>26.69636328</v>
      </c>
      <c r="BH81" s="1">
        <f t="shared" si="63"/>
        <v>55.0675828800001</v>
      </c>
      <c r="BO81" s="1" t="s">
        <v>91</v>
      </c>
      <c r="BP81" s="1">
        <v>2045</v>
      </c>
      <c r="BQ81" s="1">
        <f t="shared" si="64"/>
        <v>17.3447074628572</v>
      </c>
      <c r="BR81" s="1">
        <f t="shared" si="65"/>
        <v>11.4412985485715</v>
      </c>
      <c r="BS81" s="1">
        <f t="shared" si="66"/>
        <v>23.6003926628572</v>
      </c>
    </row>
    <row r="82" spans="33:87">
      <c r="AG82" s="217"/>
      <c r="AH82" s="217"/>
      <c r="AI82" s="217"/>
      <c r="AJ82" s="217"/>
      <c r="AK82" s="217"/>
      <c r="AS82" s="195">
        <v>59.5653165714287</v>
      </c>
      <c r="AT82" s="195">
        <v>39.9015741257144</v>
      </c>
      <c r="AU82" s="195">
        <v>80.3988235885716</v>
      </c>
      <c r="AW82" s="213" t="s">
        <v>93</v>
      </c>
      <c r="AX82" s="213">
        <f t="shared" si="67"/>
        <v>2045</v>
      </c>
      <c r="AY82" s="213">
        <f t="shared" si="68"/>
        <v>59.5653165714287</v>
      </c>
      <c r="AZ82" s="213">
        <f t="shared" si="69"/>
        <v>39.9015741257144</v>
      </c>
      <c r="BA82" s="213">
        <f t="shared" si="70"/>
        <v>80.3988235885716</v>
      </c>
      <c r="BD82" s="1" t="s">
        <v>94</v>
      </c>
      <c r="BE82" s="1">
        <v>2045</v>
      </c>
      <c r="BF82" s="1">
        <f t="shared" si="61"/>
        <v>41.6957216000001</v>
      </c>
      <c r="BG82" s="1">
        <f t="shared" si="62"/>
        <v>27.9311018880001</v>
      </c>
      <c r="BH82" s="1">
        <f t="shared" si="63"/>
        <v>56.2791765120001</v>
      </c>
      <c r="BO82" s="1" t="s">
        <v>95</v>
      </c>
      <c r="BP82" s="1">
        <v>2045</v>
      </c>
      <c r="BQ82" s="1">
        <f t="shared" si="64"/>
        <v>17.8695949714286</v>
      </c>
      <c r="BR82" s="1">
        <f t="shared" si="65"/>
        <v>11.9704722377143</v>
      </c>
      <c r="BS82" s="1">
        <f t="shared" si="66"/>
        <v>24.1196470765715</v>
      </c>
    </row>
    <row r="83" spans="33:87">
      <c r="AG83" s="217"/>
      <c r="AH83" s="217"/>
      <c r="AI83" s="217"/>
      <c r="AJ83" s="217"/>
      <c r="AK83" s="217"/>
      <c r="AS83" s="195">
        <v>107.815222857143</v>
      </c>
      <c r="AT83" s="195">
        <v>107.815222857143</v>
      </c>
      <c r="AU83" s="195">
        <v>107.815222857143</v>
      </c>
      <c r="AW83" s="7"/>
      <c r="AX83" s="213"/>
      <c r="AY83" s="213"/>
      <c r="AZ83" s="213"/>
      <c r="BA83" s="213"/>
      <c r="BD83" s="1" t="s">
        <v>97</v>
      </c>
      <c r="BE83" s="1">
        <v>2045</v>
      </c>
      <c r="BF83" s="1">
        <f t="shared" si="61"/>
        <v>75.4706560000001</v>
      </c>
      <c r="BG83" s="1">
        <f t="shared" si="62"/>
        <v>75.4706560000001</v>
      </c>
      <c r="BH83" s="1">
        <f t="shared" si="63"/>
        <v>75.4706560000001</v>
      </c>
      <c r="BI83" s="207"/>
      <c r="BJ83" s="207"/>
      <c r="BK83" s="207"/>
      <c r="BL83" s="207"/>
      <c r="BM83" s="207"/>
      <c r="BN83" s="207"/>
      <c r="BO83" s="1" t="s">
        <v>98</v>
      </c>
      <c r="BP83" s="1">
        <v>2045</v>
      </c>
      <c r="BQ83" s="1">
        <f t="shared" si="64"/>
        <v>32.3445668571429</v>
      </c>
      <c r="BR83" s="1">
        <f t="shared" si="65"/>
        <v>32.3445668571429</v>
      </c>
      <c r="BS83" s="1">
        <f t="shared" si="66"/>
        <v>32.3445668571429</v>
      </c>
      <c r="BT83" s="207"/>
      <c r="BU83" s="207"/>
      <c r="BV83" s="207"/>
      <c r="BW83" s="207"/>
      <c r="BX83" s="207"/>
      <c r="BY83" s="207"/>
      <c r="BZ83" s="207"/>
      <c r="CA83" s="207"/>
      <c r="CB83" s="207"/>
      <c r="CC83" s="207"/>
      <c r="CD83" s="207"/>
      <c r="CE83" s="207"/>
      <c r="CF83" s="207"/>
      <c r="CG83" s="207"/>
      <c r="CH83" s="207"/>
      <c r="CI83" s="207"/>
    </row>
    <row r="84" spans="33:87">
      <c r="AG84" s="217"/>
      <c r="AH84" s="217"/>
      <c r="AI84" s="217"/>
      <c r="AJ84" s="217"/>
      <c r="AK84" s="217"/>
      <c r="BE84" s="1"/>
      <c r="BF84" s="1"/>
      <c r="BG84" s="1"/>
      <c r="BH84" s="1"/>
      <c r="BI84" s="216"/>
      <c r="BJ84" s="216"/>
      <c r="BK84" s="216"/>
      <c r="BL84" s="216"/>
      <c r="BM84" s="216"/>
      <c r="BN84" s="216"/>
      <c r="BO84" s="1"/>
      <c r="BP84" s="1"/>
      <c r="BQ84" s="1"/>
      <c r="BR84" s="1"/>
      <c r="BS84" s="1"/>
      <c r="BT84" s="216"/>
      <c r="BU84" s="216"/>
      <c r="BV84" s="216"/>
      <c r="BW84" s="216"/>
      <c r="BX84" s="216"/>
      <c r="BY84" s="216"/>
      <c r="BZ84" s="216"/>
      <c r="CA84" s="216"/>
      <c r="CB84" s="216"/>
      <c r="CC84" s="216"/>
      <c r="CD84" s="216"/>
      <c r="CE84" s="216"/>
      <c r="CF84" s="216"/>
      <c r="CG84" s="216"/>
      <c r="CH84" s="216"/>
      <c r="CI84" s="216"/>
    </row>
    <row r="85" spans="33:87">
      <c r="AG85" s="217"/>
      <c r="AH85" s="217"/>
      <c r="AI85" s="217"/>
      <c r="AJ85" s="217"/>
      <c r="AK85" s="217"/>
      <c r="AW85" s="81" t="s">
        <v>52</v>
      </c>
      <c r="AX85" s="81"/>
      <c r="AY85" s="198"/>
      <c r="AZ85" s="58"/>
      <c r="BA85" s="58"/>
      <c r="BD85" s="58" t="s">
        <v>53</v>
      </c>
      <c r="BE85" s="58"/>
      <c r="BF85" s="58"/>
      <c r="BG85" s="58"/>
      <c r="BH85" s="58"/>
      <c r="BI85" s="216"/>
      <c r="BJ85" s="216"/>
      <c r="BK85" s="216"/>
      <c r="BL85" s="216"/>
      <c r="BM85" s="216"/>
      <c r="BN85" s="216"/>
      <c r="BO85" s="58" t="s">
        <v>52</v>
      </c>
      <c r="BP85" s="58"/>
      <c r="BQ85" s="58"/>
      <c r="BR85" s="58"/>
      <c r="BS85" s="58"/>
      <c r="BT85" s="216"/>
      <c r="BU85" s="216"/>
      <c r="BV85" s="216"/>
      <c r="BW85" s="216"/>
      <c r="BX85" s="216"/>
      <c r="BY85" s="216"/>
      <c r="BZ85" s="216"/>
      <c r="CA85" s="216"/>
      <c r="CB85" s="216"/>
      <c r="CC85" s="216"/>
      <c r="CD85" s="216"/>
      <c r="CE85" s="216"/>
      <c r="CF85" s="216"/>
      <c r="CG85" s="216"/>
      <c r="CH85" s="216"/>
      <c r="CI85" s="216"/>
    </row>
    <row r="86" spans="33:87">
      <c r="AG86" s="217"/>
      <c r="AH86" s="217"/>
      <c r="AI86" s="217"/>
      <c r="AJ86" s="217"/>
      <c r="AK86" s="217"/>
      <c r="BE86" s="1"/>
      <c r="BF86" s="1"/>
      <c r="BG86" s="1"/>
      <c r="BH86" s="1"/>
      <c r="BI86" s="216"/>
      <c r="BJ86" s="216"/>
      <c r="BK86" s="216"/>
      <c r="BL86" s="216"/>
      <c r="BM86" s="216"/>
      <c r="BN86" s="216"/>
      <c r="BO86" s="1"/>
      <c r="BP86" s="1"/>
      <c r="BQ86" s="1"/>
      <c r="BR86" s="1"/>
      <c r="BS86" s="1"/>
      <c r="BT86" s="216"/>
      <c r="BU86" s="216"/>
      <c r="BV86" s="216"/>
      <c r="BW86" s="216"/>
      <c r="BX86" s="216"/>
      <c r="BY86" s="216"/>
      <c r="BZ86" s="216"/>
      <c r="CA86" s="216"/>
      <c r="CB86" s="216"/>
      <c r="CC86" s="216"/>
      <c r="CD86" s="216"/>
      <c r="CE86" s="216"/>
      <c r="CF86" s="216"/>
      <c r="CG86" s="216"/>
      <c r="CH86" s="216"/>
      <c r="CI86" s="216"/>
    </row>
    <row r="87" spans="33:87">
      <c r="BT87" s="216"/>
      <c r="BU87" s="216"/>
      <c r="BV87" s="216"/>
      <c r="BW87" s="216"/>
      <c r="BX87" s="216"/>
      <c r="BY87" s="216"/>
      <c r="BZ87" s="216"/>
      <c r="CA87" s="216"/>
      <c r="CB87" s="216"/>
      <c r="CC87" s="216"/>
      <c r="CD87" s="216"/>
      <c r="CE87" s="216"/>
      <c r="CF87" s="216"/>
      <c r="CG87" s="216"/>
      <c r="CH87" s="216"/>
      <c r="CI87" s="216"/>
    </row>
    <row r="88" spans="33:87">
      <c r="AS88" s="195" t="s">
        <v>65</v>
      </c>
      <c r="AT88" s="195" t="s">
        <v>11</v>
      </c>
      <c r="AU88" s="195" t="s">
        <v>25</v>
      </c>
      <c r="AW88" s="198" t="s">
        <v>66</v>
      </c>
      <c r="AX88" s="198" t="s">
        <v>41</v>
      </c>
      <c r="AY88" s="205" t="s">
        <v>65</v>
      </c>
      <c r="AZ88" s="205" t="s">
        <v>11</v>
      </c>
      <c r="BA88" s="205" t="s">
        <v>25</v>
      </c>
      <c r="BD88" s="58" t="s">
        <v>66</v>
      </c>
      <c r="BE88" s="58" t="s">
        <v>41</v>
      </c>
      <c r="BF88" s="58" t="s">
        <v>65</v>
      </c>
      <c r="BG88" s="58" t="s">
        <v>11</v>
      </c>
      <c r="BH88" s="58" t="s">
        <v>25</v>
      </c>
      <c r="BI88" s="216"/>
      <c r="BJ88" s="216"/>
      <c r="BK88" s="216"/>
      <c r="BL88" s="216"/>
      <c r="BM88" s="216"/>
      <c r="BN88" s="216"/>
      <c r="BO88" s="58" t="s">
        <v>66</v>
      </c>
      <c r="BP88" s="58" t="s">
        <v>41</v>
      </c>
      <c r="BQ88" s="58" t="s">
        <v>65</v>
      </c>
      <c r="BR88" s="58" t="s">
        <v>11</v>
      </c>
      <c r="BS88" s="58" t="s">
        <v>25</v>
      </c>
      <c r="BT88" s="216"/>
      <c r="BU88" s="216"/>
      <c r="BV88" s="216"/>
      <c r="BW88" s="216"/>
      <c r="BX88" s="216"/>
      <c r="BY88" s="216"/>
      <c r="BZ88" s="216"/>
      <c r="CA88" s="216"/>
      <c r="CB88" s="216"/>
      <c r="CC88" s="216"/>
      <c r="CD88" s="216"/>
      <c r="CE88" s="216"/>
      <c r="CF88" s="216"/>
      <c r="CG88" s="216"/>
      <c r="CH88" s="216"/>
      <c r="CI88" s="216"/>
    </row>
    <row r="89" spans="33:87">
      <c r="AS89" s="195">
        <v>51.3276439625144</v>
      </c>
      <c r="AT89" s="195">
        <v>35.4303380406858</v>
      </c>
      <c r="AU89" s="195">
        <v>68.2117622125716</v>
      </c>
      <c r="AW89" s="198" t="s">
        <v>67</v>
      </c>
      <c r="AX89" s="198">
        <v>2050</v>
      </c>
      <c r="AY89" s="198">
        <f xml:space="preserve">AY76*0.96</f>
        <v>51.3276439625144</v>
      </c>
      <c r="AZ89" s="198">
        <f xml:space="preserve">AZ76*0.96</f>
        <v>35.4303380406858</v>
      </c>
      <c r="BA89" s="198">
        <f xml:space="preserve">BA76*0.96</f>
        <v>68.2117622125716</v>
      </c>
      <c r="BD89" s="58" t="s">
        <v>68</v>
      </c>
      <c r="BE89" s="58">
        <v>2050</v>
      </c>
      <c r="BF89" s="58">
        <f t="shared" ref="BF89:BF96" si="71" xml:space="preserve">AS89*70%</f>
        <v>35.9293507737601</v>
      </c>
      <c r="BG89" s="58">
        <f t="shared" ref="BG89:BG96" si="72" xml:space="preserve">AT89*70%</f>
        <v>24.8012366284801</v>
      </c>
      <c r="BH89" s="58">
        <f t="shared" ref="BH89:BH96" si="73" xml:space="preserve">AU89*70%</f>
        <v>47.7482335488001</v>
      </c>
      <c r="BI89" s="216"/>
      <c r="BJ89" s="216"/>
      <c r="BK89" s="216"/>
      <c r="BL89" s="216"/>
      <c r="BM89" s="216"/>
      <c r="BN89" s="216"/>
      <c r="BO89" s="58" t="s">
        <v>69</v>
      </c>
      <c r="BP89" s="58">
        <v>2050</v>
      </c>
      <c r="BQ89" s="58">
        <f t="shared" ref="BQ89:BQ96" si="74" xml:space="preserve">AS89*30%</f>
        <v>15.3982931887543</v>
      </c>
      <c r="BR89" s="58">
        <f t="shared" ref="BR89:BR96" si="75" xml:space="preserve">AT89*30%</f>
        <v>10.6291014122057</v>
      </c>
      <c r="BS89" s="58">
        <f t="shared" ref="BS89:BS96" si="76" xml:space="preserve">AU89*30%</f>
        <v>20.4635286637715</v>
      </c>
      <c r="BT89" s="216"/>
      <c r="BU89" s="216"/>
      <c r="BV89" s="216"/>
      <c r="BW89" s="216"/>
      <c r="BX89" s="216"/>
      <c r="BY89" s="216"/>
      <c r="BZ89" s="216"/>
      <c r="CA89" s="216"/>
      <c r="CB89" s="216"/>
      <c r="CC89" s="216"/>
      <c r="CD89" s="216"/>
      <c r="CE89" s="216"/>
      <c r="CF89" s="216"/>
      <c r="CG89" s="216"/>
      <c r="CH89" s="216"/>
      <c r="CI89" s="216"/>
    </row>
    <row r="90" spans="33:87">
      <c r="AS90" s="195">
        <v>60.9219348480002</v>
      </c>
      <c r="AT90" s="195">
        <v>42.351391049143</v>
      </c>
      <c r="AU90" s="195">
        <v>80.6239664640002</v>
      </c>
      <c r="AW90" s="198" t="s">
        <v>72</v>
      </c>
      <c r="AX90" s="198">
        <f t="shared" ref="AX90:AX96" si="77" xml:space="preserve">AX89</f>
        <v>2050</v>
      </c>
      <c r="AY90" s="198">
        <f t="shared" ref="AY90:BA90" si="78" xml:space="preserve">AY77*0.96</f>
        <v>60.9219348480002</v>
      </c>
      <c r="AZ90" s="198">
        <f t="shared" si="78"/>
        <v>42.351391049143</v>
      </c>
      <c r="BA90" s="198">
        <f t="shared" si="78"/>
        <v>80.6239664640002</v>
      </c>
      <c r="BD90" s="58" t="s">
        <v>73</v>
      </c>
      <c r="BE90" s="58">
        <v>2050</v>
      </c>
      <c r="BF90" s="58">
        <f t="shared" si="71"/>
        <v>42.6453543936001</v>
      </c>
      <c r="BG90" s="58">
        <f t="shared" si="72"/>
        <v>29.6459737344001</v>
      </c>
      <c r="BH90" s="58">
        <f t="shared" si="73"/>
        <v>56.4367765248001</v>
      </c>
      <c r="BI90" s="216"/>
      <c r="BJ90" s="216"/>
      <c r="BK90" s="216"/>
      <c r="BL90" s="216"/>
      <c r="BM90" s="216"/>
      <c r="BN90" s="216"/>
      <c r="BO90" s="58" t="s">
        <v>74</v>
      </c>
      <c r="BP90" s="58">
        <v>2050</v>
      </c>
      <c r="BQ90" s="58">
        <f t="shared" si="74"/>
        <v>18.2765804544001</v>
      </c>
      <c r="BR90" s="58">
        <f t="shared" si="75"/>
        <v>12.7054173147429</v>
      </c>
      <c r="BS90" s="58">
        <f t="shared" si="76"/>
        <v>24.1871899392001</v>
      </c>
      <c r="BT90" s="216"/>
      <c r="BU90" s="216"/>
      <c r="BV90" s="216"/>
      <c r="BW90" s="216"/>
      <c r="BX90" s="216"/>
      <c r="BY90" s="216"/>
      <c r="BZ90" s="216"/>
      <c r="CA90" s="216"/>
      <c r="CB90" s="216"/>
      <c r="CC90" s="216"/>
      <c r="CD90" s="216"/>
      <c r="CE90" s="216"/>
      <c r="CF90" s="216"/>
      <c r="CG90" s="216"/>
      <c r="CH90" s="216"/>
      <c r="CI90" s="216"/>
    </row>
    <row r="91" spans="33:87">
      <c r="AS91" s="195">
        <v>54.4976743789715</v>
      </c>
      <c r="AT91" s="195">
        <v>35.8228723638858</v>
      </c>
      <c r="AU91" s="195">
        <v>74.2797232128002</v>
      </c>
      <c r="AW91" s="198" t="s">
        <v>76</v>
      </c>
      <c r="AX91" s="198">
        <f t="shared" si="77"/>
        <v>2050</v>
      </c>
      <c r="AY91" s="198">
        <f t="shared" ref="AY91:BA91" si="79" xml:space="preserve">AY78*0.96</f>
        <v>54.4976743789715</v>
      </c>
      <c r="AZ91" s="198">
        <f t="shared" si="79"/>
        <v>35.8228723638858</v>
      </c>
      <c r="BA91" s="198">
        <f t="shared" si="79"/>
        <v>74.2797232128002</v>
      </c>
      <c r="BD91" s="58" t="s">
        <v>77</v>
      </c>
      <c r="BE91" s="58">
        <v>2050</v>
      </c>
      <c r="BF91" s="58">
        <f t="shared" si="71"/>
        <v>38.14837206528</v>
      </c>
      <c r="BG91" s="58">
        <f t="shared" si="72"/>
        <v>25.0760106547201</v>
      </c>
      <c r="BH91" s="58">
        <f t="shared" si="73"/>
        <v>51.9958062489601</v>
      </c>
      <c r="BO91" s="58" t="s">
        <v>78</v>
      </c>
      <c r="BP91" s="58">
        <v>2050</v>
      </c>
      <c r="BQ91" s="58">
        <f t="shared" si="74"/>
        <v>16.3493023136914</v>
      </c>
      <c r="BR91" s="58">
        <f t="shared" si="75"/>
        <v>10.7468617091657</v>
      </c>
      <c r="BS91" s="58">
        <f t="shared" si="76"/>
        <v>22.2839169638401</v>
      </c>
    </row>
    <row r="92" spans="33:87">
      <c r="AS92" s="195">
        <v>54.6086989604573</v>
      </c>
      <c r="AT92" s="195">
        <v>35.4768107739429</v>
      </c>
      <c r="AU92" s="195">
        <v>74.9031589522287</v>
      </c>
      <c r="AW92" s="198" t="s">
        <v>80</v>
      </c>
      <c r="AX92" s="198">
        <f t="shared" si="77"/>
        <v>2050</v>
      </c>
      <c r="AY92" s="198">
        <f t="shared" ref="AY92:BA92" si="80" xml:space="preserve">AY79*0.96</f>
        <v>54.6086989604573</v>
      </c>
      <c r="AZ92" s="198">
        <f t="shared" si="80"/>
        <v>35.4768107739429</v>
      </c>
      <c r="BA92" s="198">
        <f t="shared" si="80"/>
        <v>74.9031589522287</v>
      </c>
      <c r="BD92" s="58" t="s">
        <v>81</v>
      </c>
      <c r="BE92" s="58">
        <v>2050</v>
      </c>
      <c r="BF92" s="58">
        <f t="shared" si="71"/>
        <v>38.2260892723201</v>
      </c>
      <c r="BG92" s="58">
        <f t="shared" si="72"/>
        <v>24.83376754176</v>
      </c>
      <c r="BH92" s="58">
        <f t="shared" si="73"/>
        <v>52.4322112665601</v>
      </c>
      <c r="BO92" s="58" t="s">
        <v>82</v>
      </c>
      <c r="BP92" s="58">
        <v>2050</v>
      </c>
      <c r="BQ92" s="58">
        <f t="shared" si="74"/>
        <v>16.3826096881372</v>
      </c>
      <c r="BR92" s="58">
        <f t="shared" si="75"/>
        <v>10.6430432321829</v>
      </c>
      <c r="BS92" s="58">
        <f t="shared" si="76"/>
        <v>22.4709476856686</v>
      </c>
    </row>
    <row r="93" spans="33:87">
      <c r="AS93" s="195">
        <v>57.5276736000001</v>
      </c>
      <c r="AT93" s="195">
        <v>37.9084815360001</v>
      </c>
      <c r="AU93" s="195">
        <v>78.3287447040002</v>
      </c>
      <c r="AW93" s="198" t="s">
        <v>85</v>
      </c>
      <c r="AX93" s="198">
        <f t="shared" si="77"/>
        <v>2050</v>
      </c>
      <c r="AY93" s="198">
        <f t="shared" ref="AY93:BA93" si="81" xml:space="preserve">AY80*0.96</f>
        <v>57.5276736000001</v>
      </c>
      <c r="AZ93" s="198">
        <f t="shared" si="81"/>
        <v>37.9084815360001</v>
      </c>
      <c r="BA93" s="198">
        <f t="shared" si="81"/>
        <v>78.3287447040002</v>
      </c>
      <c r="BD93" s="58" t="s">
        <v>86</v>
      </c>
      <c r="BE93" s="58">
        <v>2050</v>
      </c>
      <c r="BF93" s="58">
        <f t="shared" si="71"/>
        <v>40.2693715200001</v>
      </c>
      <c r="BG93" s="58">
        <f t="shared" si="72"/>
        <v>26.5359370752001</v>
      </c>
      <c r="BH93" s="58">
        <f t="shared" si="73"/>
        <v>54.8301212928001</v>
      </c>
      <c r="BI93" s="207"/>
      <c r="BJ93" s="207"/>
      <c r="BK93" s="207"/>
      <c r="BL93" s="207"/>
      <c r="BM93" s="207"/>
      <c r="BN93" s="207"/>
      <c r="BO93" s="58" t="s">
        <v>87</v>
      </c>
      <c r="BP93" s="58">
        <v>2050</v>
      </c>
      <c r="BQ93" s="58">
        <f t="shared" si="74"/>
        <v>17.25830208</v>
      </c>
      <c r="BR93" s="58">
        <f t="shared" si="75"/>
        <v>11.3725444608</v>
      </c>
      <c r="BS93" s="58">
        <f t="shared" si="76"/>
        <v>23.4986234112001</v>
      </c>
      <c r="BT93" s="207"/>
      <c r="BU93" s="207"/>
      <c r="BV93" s="207"/>
      <c r="BW93" s="207"/>
      <c r="BX93" s="207"/>
      <c r="BY93" s="207"/>
      <c r="BZ93" s="207"/>
      <c r="CA93" s="207"/>
      <c r="CB93" s="207"/>
      <c r="CC93" s="207"/>
      <c r="CD93" s="207"/>
      <c r="CE93" s="207"/>
      <c r="CF93" s="207"/>
      <c r="CG93" s="207"/>
      <c r="CH93" s="207"/>
      <c r="CI93" s="207"/>
    </row>
    <row r="94" spans="33:87">
      <c r="AS94" s="195">
        <v>55.503063881143</v>
      </c>
      <c r="AT94" s="195">
        <v>36.6121553554287</v>
      </c>
      <c r="AU94" s="195">
        <v>75.521256521143</v>
      </c>
      <c r="AW94" s="198" t="s">
        <v>89</v>
      </c>
      <c r="AX94" s="198">
        <f t="shared" si="77"/>
        <v>2050</v>
      </c>
      <c r="AY94" s="198">
        <f t="shared" ref="AY94:BA94" si="82" xml:space="preserve">AY81*0.96</f>
        <v>55.503063881143</v>
      </c>
      <c r="AZ94" s="198">
        <f t="shared" si="82"/>
        <v>36.6121553554287</v>
      </c>
      <c r="BA94" s="198">
        <f t="shared" si="82"/>
        <v>75.521256521143</v>
      </c>
      <c r="BD94" s="58" t="s">
        <v>90</v>
      </c>
      <c r="BE94" s="58">
        <v>2050</v>
      </c>
      <c r="BF94" s="58">
        <f t="shared" si="71"/>
        <v>38.8521447168001</v>
      </c>
      <c r="BG94" s="58">
        <f t="shared" si="72"/>
        <v>25.6285087488001</v>
      </c>
      <c r="BH94" s="58">
        <f t="shared" si="73"/>
        <v>52.8648795648001</v>
      </c>
      <c r="BI94" s="216"/>
      <c r="BJ94" s="216"/>
      <c r="BK94" s="216"/>
      <c r="BL94" s="216"/>
      <c r="BM94" s="216"/>
      <c r="BN94" s="216"/>
      <c r="BO94" s="58" t="s">
        <v>91</v>
      </c>
      <c r="BP94" s="58">
        <v>2050</v>
      </c>
      <c r="BQ94" s="58">
        <f t="shared" si="74"/>
        <v>16.6509191643429</v>
      </c>
      <c r="BR94" s="58">
        <f t="shared" si="75"/>
        <v>10.9836466066286</v>
      </c>
      <c r="BS94" s="58">
        <f t="shared" si="76"/>
        <v>22.6563769563429</v>
      </c>
      <c r="BT94" s="216"/>
      <c r="BU94" s="216"/>
      <c r="BV94" s="216"/>
      <c r="BW94" s="216"/>
      <c r="BX94" s="216"/>
      <c r="BY94" s="216"/>
      <c r="BZ94" s="216"/>
      <c r="CA94" s="216"/>
      <c r="CB94" s="216"/>
      <c r="CC94" s="216"/>
      <c r="CD94" s="216"/>
      <c r="CE94" s="216"/>
      <c r="CF94" s="216"/>
      <c r="CG94" s="216"/>
      <c r="CH94" s="216"/>
      <c r="CI94" s="216"/>
    </row>
    <row r="95" spans="33:87">
      <c r="AS95" s="195">
        <v>57.1827039085716</v>
      </c>
      <c r="AT95" s="195">
        <v>38.3055111606858</v>
      </c>
      <c r="AU95" s="195">
        <v>77.1828706450288</v>
      </c>
      <c r="AW95" s="198" t="s">
        <v>93</v>
      </c>
      <c r="AX95" s="198">
        <f t="shared" si="77"/>
        <v>2050</v>
      </c>
      <c r="AY95" s="198">
        <f t="shared" ref="AY95:BA95" si="83" xml:space="preserve">AY82*0.96</f>
        <v>57.1827039085716</v>
      </c>
      <c r="AZ95" s="198">
        <f t="shared" si="83"/>
        <v>38.3055111606858</v>
      </c>
      <c r="BA95" s="198">
        <f t="shared" si="83"/>
        <v>77.1828706450288</v>
      </c>
      <c r="BD95" s="58" t="s">
        <v>94</v>
      </c>
      <c r="BE95" s="58">
        <v>2050</v>
      </c>
      <c r="BF95" s="58">
        <f t="shared" si="71"/>
        <v>40.0278927360001</v>
      </c>
      <c r="BG95" s="58">
        <f t="shared" si="72"/>
        <v>26.8138578124801</v>
      </c>
      <c r="BH95" s="58">
        <f t="shared" si="73"/>
        <v>54.0280094515202</v>
      </c>
      <c r="BI95" s="216"/>
      <c r="BJ95" s="216"/>
      <c r="BK95" s="216"/>
      <c r="BL95" s="216"/>
      <c r="BM95" s="216"/>
      <c r="BN95" s="216"/>
      <c r="BO95" s="58" t="s">
        <v>95</v>
      </c>
      <c r="BP95" s="58">
        <v>2050</v>
      </c>
      <c r="BQ95" s="58">
        <f t="shared" si="74"/>
        <v>17.1548111725715</v>
      </c>
      <c r="BR95" s="58">
        <f t="shared" si="75"/>
        <v>11.4916533482057</v>
      </c>
      <c r="BS95" s="58">
        <f t="shared" si="76"/>
        <v>23.1548611935086</v>
      </c>
      <c r="BT95" s="216"/>
      <c r="BU95" s="216"/>
      <c r="BV95" s="216"/>
      <c r="BW95" s="216"/>
      <c r="BX95" s="216"/>
      <c r="BY95" s="216"/>
      <c r="BZ95" s="216"/>
      <c r="CA95" s="216"/>
      <c r="CB95" s="216"/>
      <c r="CC95" s="216"/>
      <c r="CD95" s="216"/>
      <c r="CE95" s="216"/>
      <c r="CF95" s="216"/>
      <c r="CG95" s="216"/>
      <c r="CH95" s="216"/>
      <c r="CI95" s="216"/>
    </row>
    <row r="96" spans="33:87">
      <c r="AS96" s="195">
        <v>103.502613942857</v>
      </c>
      <c r="AT96" s="195">
        <v>103.502613942857</v>
      </c>
      <c r="AU96" s="195">
        <v>103.502613942857</v>
      </c>
      <c r="AW96" s="209"/>
      <c r="AX96" s="198"/>
      <c r="AY96" s="198"/>
      <c r="AZ96" s="198"/>
      <c r="BA96" s="198"/>
      <c r="BD96" s="58" t="s">
        <v>97</v>
      </c>
      <c r="BE96" s="58">
        <v>2050</v>
      </c>
      <c r="BF96" s="58">
        <f t="shared" si="71"/>
        <v>72.4518297599999</v>
      </c>
      <c r="BG96" s="58">
        <f t="shared" si="72"/>
        <v>72.4518297599999</v>
      </c>
      <c r="BH96" s="58">
        <f t="shared" si="73"/>
        <v>72.4518297599999</v>
      </c>
      <c r="BI96" s="216"/>
      <c r="BJ96" s="216"/>
      <c r="BK96" s="216"/>
      <c r="BL96" s="216"/>
      <c r="BM96" s="216"/>
      <c r="BN96" s="216"/>
      <c r="BO96" s="58" t="s">
        <v>98</v>
      </c>
      <c r="BP96" s="58">
        <v>2050</v>
      </c>
      <c r="BQ96" s="58">
        <f t="shared" si="74"/>
        <v>31.0507841828571</v>
      </c>
      <c r="BR96" s="58">
        <f t="shared" si="75"/>
        <v>31.0507841828571</v>
      </c>
      <c r="BS96" s="58">
        <f t="shared" si="76"/>
        <v>31.0507841828571</v>
      </c>
      <c r="BT96" s="216"/>
      <c r="BU96" s="216"/>
      <c r="BV96" s="216"/>
      <c r="BW96" s="216"/>
      <c r="BX96" s="216"/>
      <c r="BY96" s="216"/>
      <c r="BZ96" s="216"/>
      <c r="CA96" s="216"/>
      <c r="CB96" s="216"/>
      <c r="CC96" s="216"/>
      <c r="CD96" s="216"/>
      <c r="CE96" s="216"/>
      <c r="CF96" s="216"/>
      <c r="CG96" s="216"/>
      <c r="CH96" s="216"/>
      <c r="CI96" s="216"/>
    </row>
    <row r="97" spans="45:87">
      <c r="AW97" s="58"/>
      <c r="AX97" s="58"/>
      <c r="AY97" s="58"/>
      <c r="AZ97" s="58"/>
      <c r="BA97" s="58"/>
      <c r="BD97" s="58"/>
      <c r="BE97" s="58"/>
      <c r="BF97" s="58"/>
      <c r="BG97" s="58"/>
      <c r="BH97" s="58"/>
      <c r="BI97" s="216"/>
      <c r="BJ97" s="216"/>
      <c r="BK97" s="216"/>
      <c r="BL97" s="216"/>
      <c r="BM97" s="216"/>
      <c r="BN97" s="216"/>
      <c r="BO97" s="58"/>
      <c r="BP97" s="58"/>
      <c r="BQ97" s="58"/>
      <c r="BR97" s="58"/>
      <c r="BS97" s="58"/>
      <c r="BT97" s="216"/>
      <c r="BU97" s="216"/>
      <c r="BV97" s="216"/>
      <c r="BW97" s="216"/>
      <c r="BX97" s="216"/>
      <c r="BY97" s="216"/>
      <c r="BZ97" s="216"/>
      <c r="CA97" s="216"/>
      <c r="CB97" s="216"/>
      <c r="CC97" s="216"/>
      <c r="CD97" s="216"/>
      <c r="CE97" s="216"/>
      <c r="CF97" s="216"/>
      <c r="CG97" s="216"/>
      <c r="CH97" s="216"/>
      <c r="CI97" s="216"/>
    </row>
    <row r="98" spans="45:87">
      <c r="BE98" s="1"/>
      <c r="BF98" s="1"/>
      <c r="BG98" s="1"/>
      <c r="BH98" s="1"/>
      <c r="BI98" s="216"/>
      <c r="BJ98" s="216"/>
      <c r="BK98" s="216"/>
      <c r="BL98" s="216"/>
      <c r="BM98" s="216"/>
      <c r="BN98" s="216"/>
      <c r="BO98" s="1"/>
      <c r="BP98" s="1"/>
      <c r="BQ98" s="1"/>
      <c r="BR98" s="1"/>
      <c r="BS98" s="1"/>
      <c r="BT98" s="216"/>
      <c r="BU98" s="216"/>
      <c r="BV98" s="216"/>
      <c r="BW98" s="216"/>
      <c r="BX98" s="216"/>
      <c r="BY98" s="216"/>
      <c r="BZ98" s="216"/>
      <c r="CA98" s="216"/>
      <c r="CB98" s="216"/>
      <c r="CC98" s="216"/>
      <c r="CD98" s="216"/>
      <c r="CE98" s="216"/>
      <c r="CF98" s="216"/>
      <c r="CG98" s="216"/>
      <c r="CH98" s="216"/>
      <c r="CI98" s="216"/>
    </row>
    <row r="99" spans="45:87">
      <c r="BE99" s="1"/>
      <c r="BF99" s="1"/>
      <c r="BG99" s="1"/>
      <c r="BH99" s="1"/>
      <c r="BI99" s="216"/>
      <c r="BJ99" s="216"/>
      <c r="BK99" s="216"/>
      <c r="BL99" s="216"/>
      <c r="BM99" s="216"/>
      <c r="BN99" s="216"/>
      <c r="BO99" s="1"/>
      <c r="BP99" s="1"/>
      <c r="BQ99" s="1"/>
      <c r="BR99" s="1"/>
      <c r="BS99" s="1"/>
      <c r="BT99" s="216"/>
      <c r="BU99" s="216"/>
      <c r="BV99" s="216"/>
      <c r="BW99" s="216"/>
      <c r="BX99" s="216"/>
      <c r="BY99" s="216"/>
      <c r="BZ99" s="216"/>
      <c r="CA99" s="216"/>
      <c r="CB99" s="216"/>
      <c r="CC99" s="216"/>
      <c r="CD99" s="216"/>
      <c r="CE99" s="216"/>
      <c r="CF99" s="216"/>
      <c r="CG99" s="216"/>
      <c r="CH99" s="216"/>
      <c r="CI99" s="216"/>
    </row>
    <row r="100" spans="45:87">
      <c r="BE100" s="1"/>
      <c r="BF100" s="1"/>
      <c r="BG100" s="1"/>
      <c r="BH100" s="1"/>
      <c r="BI100" s="216"/>
      <c r="BJ100" s="216"/>
      <c r="BK100" s="216"/>
      <c r="BL100" s="216"/>
      <c r="BM100" s="216"/>
      <c r="BN100" s="216"/>
      <c r="BO100" s="1"/>
      <c r="BP100" s="1"/>
      <c r="BQ100" s="1"/>
      <c r="BR100" s="1"/>
      <c r="BS100" s="1"/>
      <c r="BT100" s="216"/>
      <c r="BU100" s="216"/>
      <c r="BV100" s="216"/>
      <c r="BW100" s="216"/>
      <c r="BX100" s="216"/>
      <c r="BY100" s="216"/>
      <c r="BZ100" s="216"/>
      <c r="CA100" s="216"/>
      <c r="CB100" s="216"/>
      <c r="CC100" s="216"/>
      <c r="CD100" s="216"/>
      <c r="CE100" s="216"/>
      <c r="CF100" s="216"/>
      <c r="CG100" s="216"/>
      <c r="CH100" s="216"/>
      <c r="CI100" s="216"/>
    </row>
    <row r="101" spans="45:87">
      <c r="BE101" s="1"/>
      <c r="BF101" s="1"/>
      <c r="BG101" s="1"/>
      <c r="BH101" s="1"/>
      <c r="BO101" s="1"/>
      <c r="BP101" s="1"/>
      <c r="BQ101" s="1"/>
      <c r="BR101" s="1"/>
      <c r="BS101" s="1"/>
    </row>
    <row r="102" spans="45:87">
      <c r="AW102" s="81" t="s">
        <v>52</v>
      </c>
      <c r="AX102" s="81"/>
      <c r="AY102" s="198"/>
      <c r="AZ102" s="58"/>
      <c r="BA102" s="58"/>
      <c r="BD102" s="58" t="s">
        <v>53</v>
      </c>
      <c r="BE102" s="58"/>
      <c r="BF102" s="58"/>
      <c r="BG102" s="58"/>
      <c r="BH102" s="58"/>
      <c r="BO102" s="58" t="s">
        <v>52</v>
      </c>
      <c r="BP102" s="58"/>
      <c r="BQ102" s="58"/>
      <c r="BR102" s="58"/>
      <c r="BS102" s="58"/>
    </row>
    <row r="103" spans="45:87">
      <c r="BE103" s="1"/>
      <c r="BF103" s="1"/>
      <c r="BG103" s="1"/>
      <c r="BH103" s="1"/>
      <c r="BO103" s="1"/>
      <c r="BP103" s="1"/>
      <c r="BQ103" s="1"/>
      <c r="BR103" s="1"/>
      <c r="BS103" s="1"/>
    </row>
    <row r="105" spans="45:87">
      <c r="AS105" s="195" t="s">
        <v>65</v>
      </c>
      <c r="AT105" s="195" t="s">
        <v>11</v>
      </c>
      <c r="AU105" s="195" t="s">
        <v>25</v>
      </c>
      <c r="AW105" s="198" t="s">
        <v>66</v>
      </c>
      <c r="AX105" s="198" t="s">
        <v>41</v>
      </c>
      <c r="AY105" s="205" t="s">
        <v>65</v>
      </c>
      <c r="AZ105" s="205" t="s">
        <v>11</v>
      </c>
      <c r="BA105" s="205" t="s">
        <v>25</v>
      </c>
      <c r="BD105" s="58" t="s">
        <v>66</v>
      </c>
      <c r="BE105" s="58" t="s">
        <v>41</v>
      </c>
      <c r="BF105" s="58" t="s">
        <v>65</v>
      </c>
      <c r="BG105" s="58" t="s">
        <v>11</v>
      </c>
      <c r="BH105" s="58" t="s">
        <v>25</v>
      </c>
      <c r="BI105" s="207"/>
      <c r="BJ105" s="207"/>
      <c r="BK105" s="207"/>
      <c r="BL105" s="207"/>
      <c r="BM105" s="207"/>
      <c r="BN105" s="207"/>
      <c r="BO105" s="58" t="s">
        <v>66</v>
      </c>
      <c r="BP105" s="58" t="s">
        <v>41</v>
      </c>
      <c r="BQ105" s="58" t="s">
        <v>65</v>
      </c>
      <c r="BR105" s="58" t="s">
        <v>11</v>
      </c>
      <c r="BS105" s="58" t="s">
        <v>25</v>
      </c>
      <c r="BT105" s="207"/>
      <c r="BU105" s="207"/>
      <c r="BV105" s="207"/>
      <c r="BW105" s="207"/>
      <c r="BX105" s="207"/>
      <c r="BY105" s="207"/>
      <c r="BZ105" s="207"/>
      <c r="CA105" s="207"/>
      <c r="CB105" s="207"/>
      <c r="CC105" s="207"/>
      <c r="CD105" s="207"/>
      <c r="CE105" s="207"/>
      <c r="CF105" s="207"/>
      <c r="CG105" s="207"/>
      <c r="CH105" s="207"/>
      <c r="CI105" s="207"/>
    </row>
    <row r="106" spans="45:87">
      <c r="AS106" s="195">
        <f xml:space="preserve">AS89*80%</f>
        <v>41.0621151700115</v>
      </c>
      <c r="AT106" s="195">
        <f xml:space="preserve">AT89*80%</f>
        <v>28.3442704325486</v>
      </c>
      <c r="AU106" s="195">
        <f xml:space="preserve">AU89*80%</f>
        <v>54.5694097700573</v>
      </c>
      <c r="AW106" s="198" t="s">
        <v>67</v>
      </c>
      <c r="AX106" s="198">
        <v>2100</v>
      </c>
      <c r="AY106" s="209">
        <f xml:space="preserve">AS106</f>
        <v>41.0621151700115</v>
      </c>
      <c r="AZ106" s="209">
        <f xml:space="preserve">AT106</f>
        <v>28.3442704325486</v>
      </c>
      <c r="BA106" s="209">
        <f xml:space="preserve">AU106</f>
        <v>54.5694097700573</v>
      </c>
      <c r="BD106" s="58" t="s">
        <v>68</v>
      </c>
      <c r="BE106" s="58">
        <v>2100</v>
      </c>
      <c r="BF106" s="221">
        <f t="shared" ref="BF106:BF113" si="84" xml:space="preserve">AS106*70%</f>
        <v>28.7434806190081</v>
      </c>
      <c r="BG106" s="221">
        <f t="shared" ref="BG106:BG113" si="85" xml:space="preserve">AT106*70%</f>
        <v>19.840989302784</v>
      </c>
      <c r="BH106" s="221">
        <f t="shared" ref="BH106:BH113" si="86" xml:space="preserve">AU106*70%</f>
        <v>38.1985868390401</v>
      </c>
      <c r="BI106" s="216"/>
      <c r="BJ106" s="216"/>
      <c r="BK106" s="216"/>
      <c r="BL106" s="216"/>
      <c r="BM106" s="216"/>
      <c r="BN106" s="216"/>
      <c r="BO106" s="58" t="s">
        <v>69</v>
      </c>
      <c r="BP106" s="58">
        <v>2100</v>
      </c>
      <c r="BQ106" s="221">
        <f t="shared" ref="BQ106:BQ113" si="87" xml:space="preserve">AS106*30%</f>
        <v>12.3186345510035</v>
      </c>
      <c r="BR106" s="221">
        <f t="shared" ref="BR106:BR113" si="88" xml:space="preserve">AT106*30%</f>
        <v>8.50328112976459</v>
      </c>
      <c r="BS106" s="221">
        <f t="shared" ref="BS106:BS113" si="89" xml:space="preserve">AU106*30%</f>
        <v>16.3708229310172</v>
      </c>
      <c r="BT106" s="216"/>
      <c r="BU106" s="216"/>
      <c r="BV106" s="216"/>
      <c r="BW106" s="216"/>
      <c r="BX106" s="216"/>
      <c r="BY106" s="216"/>
      <c r="BZ106" s="216"/>
      <c r="CA106" s="216"/>
      <c r="CB106" s="216"/>
      <c r="CC106" s="216"/>
      <c r="CD106" s="216"/>
      <c r="CE106" s="216"/>
      <c r="CF106" s="216"/>
      <c r="CG106" s="216"/>
      <c r="CH106" s="216"/>
      <c r="CI106" s="216"/>
    </row>
    <row r="107" spans="45:87">
      <c r="AS107" s="195">
        <f t="shared" ref="AS107:AS113" si="90" xml:space="preserve">AS90*80%</f>
        <v>48.7375478784002</v>
      </c>
      <c r="AT107" s="195">
        <f t="shared" ref="AT107:AT113" si="91" xml:space="preserve">AT90*80%</f>
        <v>33.8811128393144</v>
      </c>
      <c r="AU107" s="195">
        <f t="shared" ref="AU107:AU113" si="92" xml:space="preserve">AU90*80%</f>
        <v>64.4991731712002</v>
      </c>
      <c r="AW107" s="198" t="s">
        <v>72</v>
      </c>
      <c r="AX107" s="198">
        <f t="shared" ref="AX107:AX113" si="93" xml:space="preserve">AX106</f>
        <v>2100</v>
      </c>
      <c r="AY107" s="209">
        <f t="shared" ref="AY107:AY112" si="94" xml:space="preserve">AS107</f>
        <v>48.7375478784002</v>
      </c>
      <c r="AZ107" s="209">
        <f t="shared" ref="AZ107:AZ112" si="95" xml:space="preserve">AT107</f>
        <v>33.8811128393144</v>
      </c>
      <c r="BA107" s="209">
        <f t="shared" ref="BA107:BA112" si="96" xml:space="preserve">AU107</f>
        <v>64.4991731712002</v>
      </c>
      <c r="BD107" s="58" t="s">
        <v>73</v>
      </c>
      <c r="BE107" s="58">
        <v>2100</v>
      </c>
      <c r="BF107" s="221">
        <f t="shared" si="84"/>
        <v>34.1162835148801</v>
      </c>
      <c r="BG107" s="221">
        <f t="shared" si="85"/>
        <v>23.7167789875201</v>
      </c>
      <c r="BH107" s="221">
        <f t="shared" si="86"/>
        <v>45.1494212198401</v>
      </c>
      <c r="BI107" s="216"/>
      <c r="BJ107" s="216"/>
      <c r="BK107" s="216"/>
      <c r="BL107" s="216"/>
      <c r="BM107" s="216"/>
      <c r="BN107" s="216"/>
      <c r="BO107" s="58" t="s">
        <v>74</v>
      </c>
      <c r="BP107" s="58">
        <v>2100</v>
      </c>
      <c r="BQ107" s="221">
        <f t="shared" si="87"/>
        <v>14.62126436352</v>
      </c>
      <c r="BR107" s="221">
        <f t="shared" si="88"/>
        <v>10.1643338517943</v>
      </c>
      <c r="BS107" s="221">
        <f t="shared" si="89"/>
        <v>19.3497519513601</v>
      </c>
      <c r="BT107" s="216"/>
      <c r="BU107" s="216"/>
      <c r="BV107" s="216"/>
      <c r="BW107" s="216"/>
      <c r="BX107" s="216"/>
      <c r="BY107" s="216"/>
      <c r="BZ107" s="216"/>
      <c r="CA107" s="216"/>
      <c r="CB107" s="216"/>
      <c r="CC107" s="216"/>
      <c r="CD107" s="216"/>
      <c r="CE107" s="216"/>
      <c r="CF107" s="216"/>
      <c r="CG107" s="216"/>
      <c r="CH107" s="216"/>
      <c r="CI107" s="216"/>
    </row>
    <row r="108" spans="45:87">
      <c r="AS108" s="195">
        <f t="shared" si="90"/>
        <v>43.5981395031772</v>
      </c>
      <c r="AT108" s="195">
        <f t="shared" si="91"/>
        <v>28.6582978911086</v>
      </c>
      <c r="AU108" s="195">
        <f t="shared" si="92"/>
        <v>59.4237785702402</v>
      </c>
      <c r="AW108" s="198" t="s">
        <v>76</v>
      </c>
      <c r="AX108" s="198">
        <f t="shared" si="93"/>
        <v>2100</v>
      </c>
      <c r="AY108" s="209">
        <f t="shared" si="94"/>
        <v>43.5981395031772</v>
      </c>
      <c r="AZ108" s="209">
        <f t="shared" si="95"/>
        <v>28.6582978911086</v>
      </c>
      <c r="BA108" s="209">
        <f t="shared" si="96"/>
        <v>59.4237785702402</v>
      </c>
      <c r="BD108" s="58" t="s">
        <v>77</v>
      </c>
      <c r="BE108" s="58">
        <v>2100</v>
      </c>
      <c r="BF108" s="221">
        <f t="shared" si="84"/>
        <v>30.518697652224</v>
      </c>
      <c r="BG108" s="221">
        <f t="shared" si="85"/>
        <v>20.060808523776</v>
      </c>
      <c r="BH108" s="221">
        <f t="shared" si="86"/>
        <v>41.5966449991681</v>
      </c>
      <c r="BI108" s="216"/>
      <c r="BJ108" s="216"/>
      <c r="BK108" s="216"/>
      <c r="BL108" s="216"/>
      <c r="BM108" s="216"/>
      <c r="BN108" s="216"/>
      <c r="BO108" s="58" t="s">
        <v>78</v>
      </c>
      <c r="BP108" s="58">
        <v>2100</v>
      </c>
      <c r="BQ108" s="221">
        <f t="shared" si="87"/>
        <v>13.0794418509532</v>
      </c>
      <c r="BR108" s="221">
        <f t="shared" si="88"/>
        <v>8.59748936733259</v>
      </c>
      <c r="BS108" s="221">
        <f t="shared" si="89"/>
        <v>17.827133571072</v>
      </c>
      <c r="BT108" s="216"/>
      <c r="BU108" s="216"/>
      <c r="BV108" s="216"/>
      <c r="BW108" s="216"/>
      <c r="BX108" s="216"/>
      <c r="BY108" s="216"/>
      <c r="BZ108" s="216"/>
      <c r="CA108" s="216"/>
      <c r="CB108" s="216"/>
      <c r="CC108" s="216"/>
      <c r="CD108" s="216"/>
      <c r="CE108" s="216"/>
      <c r="CF108" s="216"/>
      <c r="CG108" s="216"/>
      <c r="CH108" s="216"/>
      <c r="CI108" s="216"/>
    </row>
    <row r="109" spans="45:87">
      <c r="AS109" s="195">
        <f t="shared" si="90"/>
        <v>43.6869591683658</v>
      </c>
      <c r="AT109" s="195">
        <f t="shared" si="91"/>
        <v>28.3814486191543</v>
      </c>
      <c r="AU109" s="195">
        <f t="shared" si="92"/>
        <v>59.922527161783</v>
      </c>
      <c r="AW109" s="198" t="s">
        <v>80</v>
      </c>
      <c r="AX109" s="198">
        <f t="shared" si="93"/>
        <v>2100</v>
      </c>
      <c r="AY109" s="209">
        <f t="shared" si="94"/>
        <v>43.6869591683658</v>
      </c>
      <c r="AZ109" s="209">
        <f t="shared" si="95"/>
        <v>28.3814486191543</v>
      </c>
      <c r="BA109" s="209">
        <f t="shared" si="96"/>
        <v>59.922527161783</v>
      </c>
      <c r="BD109" s="58" t="s">
        <v>81</v>
      </c>
      <c r="BE109" s="58">
        <v>2100</v>
      </c>
      <c r="BF109" s="221">
        <f t="shared" si="84"/>
        <v>30.5808714178561</v>
      </c>
      <c r="BG109" s="221">
        <f t="shared" si="85"/>
        <v>19.867014033408</v>
      </c>
      <c r="BH109" s="221">
        <f t="shared" si="86"/>
        <v>41.9457690132481</v>
      </c>
      <c r="BI109" s="216"/>
      <c r="BJ109" s="216"/>
      <c r="BK109" s="216"/>
      <c r="BL109" s="216"/>
      <c r="BM109" s="216"/>
      <c r="BN109" s="216"/>
      <c r="BO109" s="58" t="s">
        <v>82</v>
      </c>
      <c r="BP109" s="58">
        <v>2100</v>
      </c>
      <c r="BQ109" s="221">
        <f t="shared" si="87"/>
        <v>13.1060877505098</v>
      </c>
      <c r="BR109" s="221">
        <f t="shared" si="88"/>
        <v>8.5144345857463</v>
      </c>
      <c r="BS109" s="221">
        <f t="shared" si="89"/>
        <v>17.9767581485349</v>
      </c>
      <c r="BT109" s="216"/>
      <c r="BU109" s="216"/>
      <c r="BV109" s="216"/>
      <c r="BW109" s="216"/>
      <c r="BX109" s="216"/>
      <c r="BY109" s="216"/>
      <c r="BZ109" s="216"/>
      <c r="CA109" s="216"/>
      <c r="CB109" s="216"/>
      <c r="CC109" s="216"/>
      <c r="CD109" s="216"/>
      <c r="CE109" s="216"/>
      <c r="CF109" s="216"/>
      <c r="CG109" s="216"/>
      <c r="CH109" s="216"/>
      <c r="CI109" s="216"/>
    </row>
    <row r="110" spans="45:87">
      <c r="AS110" s="195">
        <f t="shared" si="90"/>
        <v>46.0221388800001</v>
      </c>
      <c r="AT110" s="195">
        <f t="shared" si="91"/>
        <v>30.3267852288001</v>
      </c>
      <c r="AU110" s="195">
        <f t="shared" si="92"/>
        <v>62.6629957632002</v>
      </c>
      <c r="AW110" s="198" t="s">
        <v>85</v>
      </c>
      <c r="AX110" s="198">
        <f t="shared" si="93"/>
        <v>2100</v>
      </c>
      <c r="AY110" s="209">
        <f t="shared" si="94"/>
        <v>46.0221388800001</v>
      </c>
      <c r="AZ110" s="209">
        <f t="shared" si="95"/>
        <v>30.3267852288001</v>
      </c>
      <c r="BA110" s="209">
        <f t="shared" si="96"/>
        <v>62.6629957632002</v>
      </c>
      <c r="BD110" s="58" t="s">
        <v>86</v>
      </c>
      <c r="BE110" s="58">
        <v>2100</v>
      </c>
      <c r="BF110" s="221">
        <f t="shared" si="84"/>
        <v>32.2154972160001</v>
      </c>
      <c r="BG110" s="221">
        <f t="shared" si="85"/>
        <v>21.2287496601601</v>
      </c>
      <c r="BH110" s="221">
        <f t="shared" si="86"/>
        <v>43.8640970342401</v>
      </c>
      <c r="BI110" s="216"/>
      <c r="BJ110" s="216"/>
      <c r="BK110" s="216"/>
      <c r="BL110" s="216"/>
      <c r="BM110" s="216"/>
      <c r="BN110" s="216"/>
      <c r="BO110" s="58" t="s">
        <v>87</v>
      </c>
      <c r="BP110" s="58">
        <v>2100</v>
      </c>
      <c r="BQ110" s="221">
        <f t="shared" si="87"/>
        <v>13.806641664</v>
      </c>
      <c r="BR110" s="221">
        <f t="shared" si="88"/>
        <v>9.09803556864003</v>
      </c>
      <c r="BS110" s="221">
        <f t="shared" si="89"/>
        <v>18.79889872896</v>
      </c>
      <c r="BT110" s="216"/>
      <c r="BU110" s="216"/>
      <c r="BV110" s="216"/>
      <c r="BW110" s="216"/>
      <c r="BX110" s="216"/>
      <c r="BY110" s="216"/>
      <c r="BZ110" s="216"/>
      <c r="CA110" s="216"/>
      <c r="CB110" s="216"/>
      <c r="CC110" s="216"/>
      <c r="CD110" s="216"/>
      <c r="CE110" s="216"/>
      <c r="CF110" s="216"/>
      <c r="CG110" s="216"/>
      <c r="CH110" s="216"/>
      <c r="CI110" s="216"/>
    </row>
    <row r="111" spans="45:87">
      <c r="AS111" s="195">
        <f t="shared" si="90"/>
        <v>44.4024511049144</v>
      </c>
      <c r="AT111" s="195">
        <f t="shared" si="91"/>
        <v>29.289724284343</v>
      </c>
      <c r="AU111" s="195">
        <f t="shared" si="92"/>
        <v>60.4170052169144</v>
      </c>
      <c r="AW111" s="198" t="s">
        <v>89</v>
      </c>
      <c r="AX111" s="198">
        <f t="shared" si="93"/>
        <v>2100</v>
      </c>
      <c r="AY111" s="209">
        <f t="shared" si="94"/>
        <v>44.4024511049144</v>
      </c>
      <c r="AZ111" s="209">
        <f t="shared" si="95"/>
        <v>29.289724284343</v>
      </c>
      <c r="BA111" s="209">
        <f t="shared" si="96"/>
        <v>60.4170052169144</v>
      </c>
      <c r="BD111" s="58" t="s">
        <v>90</v>
      </c>
      <c r="BE111" s="58">
        <v>2100</v>
      </c>
      <c r="BF111" s="221">
        <f t="shared" si="84"/>
        <v>31.0817157734401</v>
      </c>
      <c r="BG111" s="221">
        <f t="shared" si="85"/>
        <v>20.5028069990401</v>
      </c>
      <c r="BH111" s="221">
        <f t="shared" si="86"/>
        <v>42.2919036518401</v>
      </c>
      <c r="BI111" s="216"/>
      <c r="BJ111" s="216"/>
      <c r="BK111" s="216"/>
      <c r="BL111" s="216"/>
      <c r="BM111" s="216"/>
      <c r="BN111" s="216"/>
      <c r="BO111" s="58" t="s">
        <v>91</v>
      </c>
      <c r="BP111" s="58">
        <v>2100</v>
      </c>
      <c r="BQ111" s="221">
        <f t="shared" si="87"/>
        <v>13.3207353314743</v>
      </c>
      <c r="BR111" s="221">
        <f t="shared" si="88"/>
        <v>8.78691728530289</v>
      </c>
      <c r="BS111" s="221">
        <f t="shared" si="89"/>
        <v>18.1251015650743</v>
      </c>
      <c r="BT111" s="216"/>
      <c r="BU111" s="216"/>
      <c r="BV111" s="216"/>
      <c r="BW111" s="216"/>
      <c r="BX111" s="216"/>
      <c r="BY111" s="216"/>
      <c r="BZ111" s="216"/>
      <c r="CA111" s="216"/>
      <c r="CB111" s="216"/>
      <c r="CC111" s="216"/>
      <c r="CD111" s="216"/>
      <c r="CE111" s="216"/>
      <c r="CF111" s="216"/>
      <c r="CG111" s="216"/>
      <c r="CH111" s="216"/>
      <c r="CI111" s="216"/>
    </row>
    <row r="112" spans="45:87">
      <c r="AS112" s="195">
        <f t="shared" si="90"/>
        <v>45.7461631268573</v>
      </c>
      <c r="AT112" s="195">
        <f t="shared" si="91"/>
        <v>30.6444089285486</v>
      </c>
      <c r="AU112" s="195">
        <f t="shared" si="92"/>
        <v>61.746296516023</v>
      </c>
      <c r="AW112" s="198" t="s">
        <v>93</v>
      </c>
      <c r="AX112" s="198">
        <f t="shared" si="93"/>
        <v>2100</v>
      </c>
      <c r="AY112" s="209">
        <f t="shared" si="94"/>
        <v>45.7461631268573</v>
      </c>
      <c r="AZ112" s="209">
        <f t="shared" si="95"/>
        <v>30.6444089285486</v>
      </c>
      <c r="BA112" s="209">
        <f t="shared" si="96"/>
        <v>61.746296516023</v>
      </c>
      <c r="BD112" s="58" t="s">
        <v>94</v>
      </c>
      <c r="BE112" s="58">
        <v>2100</v>
      </c>
      <c r="BF112" s="221">
        <f t="shared" si="84"/>
        <v>32.0223141888001</v>
      </c>
      <c r="BG112" s="221">
        <f t="shared" si="85"/>
        <v>21.451086249984</v>
      </c>
      <c r="BH112" s="221">
        <f t="shared" si="86"/>
        <v>43.2224075612161</v>
      </c>
      <c r="BI112" s="216"/>
      <c r="BJ112" s="216"/>
      <c r="BK112" s="216"/>
      <c r="BL112" s="216"/>
      <c r="BM112" s="216"/>
      <c r="BN112" s="216"/>
      <c r="BO112" s="58" t="s">
        <v>95</v>
      </c>
      <c r="BP112" s="58">
        <v>2100</v>
      </c>
      <c r="BQ112" s="221">
        <f t="shared" si="87"/>
        <v>13.7238489380572</v>
      </c>
      <c r="BR112" s="221">
        <f t="shared" si="88"/>
        <v>9.19332267856459</v>
      </c>
      <c r="BS112" s="221">
        <f t="shared" si="89"/>
        <v>18.5238889548069</v>
      </c>
      <c r="BT112" s="216"/>
      <c r="BU112" s="216"/>
      <c r="BV112" s="216"/>
      <c r="BW112" s="216"/>
      <c r="BX112" s="216"/>
      <c r="BY112" s="216"/>
      <c r="BZ112" s="216"/>
      <c r="CA112" s="216"/>
      <c r="CB112" s="216"/>
      <c r="CC112" s="216"/>
      <c r="CD112" s="216"/>
      <c r="CE112" s="216"/>
      <c r="CF112" s="216"/>
      <c r="CG112" s="216"/>
      <c r="CH112" s="216"/>
      <c r="CI112" s="216"/>
    </row>
    <row r="113" spans="45:87">
      <c r="AS113" s="195">
        <f t="shared" si="90"/>
        <v>82.8020911542856</v>
      </c>
      <c r="AT113" s="195">
        <f t="shared" si="91"/>
        <v>82.8020911542856</v>
      </c>
      <c r="AU113" s="195">
        <f t="shared" si="92"/>
        <v>82.8020911542856</v>
      </c>
      <c r="AW113" s="209"/>
      <c r="AX113" s="198"/>
      <c r="AY113" s="198"/>
      <c r="AZ113" s="198"/>
      <c r="BA113" s="198"/>
      <c r="BD113" s="58" t="s">
        <v>97</v>
      </c>
      <c r="BE113" s="58">
        <v>2100</v>
      </c>
      <c r="BF113" s="221">
        <f t="shared" si="84"/>
        <v>57.9614638079999</v>
      </c>
      <c r="BG113" s="221">
        <f t="shared" si="85"/>
        <v>57.9614638079999</v>
      </c>
      <c r="BH113" s="221">
        <f t="shared" si="86"/>
        <v>57.9614638079999</v>
      </c>
      <c r="BO113" s="58" t="s">
        <v>98</v>
      </c>
      <c r="BP113" s="58">
        <v>2100</v>
      </c>
      <c r="BQ113" s="221">
        <f t="shared" si="87"/>
        <v>24.8406273462857</v>
      </c>
      <c r="BR113" s="221">
        <f t="shared" si="88"/>
        <v>24.8406273462857</v>
      </c>
      <c r="BS113" s="221">
        <f t="shared" si="89"/>
        <v>24.8406273462857</v>
      </c>
    </row>
    <row r="114" spans="45:87">
      <c r="BE114" s="222"/>
    </row>
    <row r="115" spans="45:87">
      <c r="BE115" s="207"/>
      <c r="BF115" s="207"/>
      <c r="BG115" s="207"/>
      <c r="BH115" s="207"/>
      <c r="BI115" s="207"/>
      <c r="BJ115" s="207"/>
      <c r="BK115" s="207"/>
      <c r="BL115" s="207"/>
      <c r="BM115" s="207"/>
      <c r="BN115" s="207"/>
      <c r="BO115" s="207"/>
      <c r="BP115" s="207"/>
      <c r="BQ115" s="207"/>
      <c r="BR115" s="207"/>
      <c r="BS115" s="207"/>
      <c r="BT115" s="207"/>
      <c r="BU115" s="207"/>
      <c r="BV115" s="207"/>
      <c r="BW115" s="207"/>
      <c r="BX115" s="207"/>
      <c r="BY115" s="207"/>
      <c r="BZ115" s="207"/>
      <c r="CA115" s="207"/>
      <c r="CB115" s="207"/>
      <c r="CC115" s="207"/>
      <c r="CD115" s="207"/>
      <c r="CE115" s="207"/>
      <c r="CF115" s="207"/>
      <c r="CG115" s="207"/>
      <c r="CH115" s="207"/>
      <c r="CI115" s="207"/>
    </row>
    <row r="116" spans="45:87">
      <c r="BE116" s="59"/>
      <c r="BF116" s="223"/>
      <c r="BG116" s="216"/>
      <c r="BH116" s="216"/>
      <c r="BI116" s="216"/>
      <c r="BJ116" s="216"/>
      <c r="BK116" s="216"/>
      <c r="BL116" s="216"/>
      <c r="BM116" s="216"/>
      <c r="BN116" s="216"/>
      <c r="BO116" s="216"/>
      <c r="BP116" s="216"/>
      <c r="BQ116" s="216"/>
      <c r="BR116" s="216"/>
      <c r="BS116" s="216"/>
      <c r="BT116" s="216"/>
      <c r="BU116" s="216"/>
      <c r="BV116" s="216"/>
      <c r="BW116" s="216"/>
      <c r="BX116" s="216"/>
      <c r="BY116" s="216"/>
      <c r="BZ116" s="216"/>
      <c r="CA116" s="216"/>
      <c r="CB116" s="216"/>
      <c r="CC116" s="216"/>
      <c r="CD116" s="216"/>
      <c r="CE116" s="216"/>
      <c r="CF116" s="216"/>
      <c r="CG116" s="216"/>
      <c r="CH116" s="216"/>
      <c r="CI116" s="216"/>
    </row>
    <row r="117" spans="45:87">
      <c r="AW117" s="218"/>
      <c r="AX117" s="218"/>
      <c r="AY117" s="218"/>
      <c r="AZ117" s="218"/>
      <c r="BA117" s="218"/>
      <c r="BB117" s="218"/>
      <c r="BE117" s="59"/>
      <c r="BF117" s="223"/>
      <c r="BG117" s="216"/>
      <c r="BH117" s="216"/>
      <c r="BI117" s="216"/>
      <c r="BJ117" s="216"/>
      <c r="BK117" s="216"/>
      <c r="BL117" s="216"/>
      <c r="BM117" s="216"/>
      <c r="BN117" s="216"/>
      <c r="BO117" s="216"/>
      <c r="BP117" s="216"/>
      <c r="BQ117" s="216"/>
      <c r="BR117" s="216"/>
      <c r="BS117" s="216"/>
      <c r="BT117" s="216"/>
      <c r="BU117" s="216"/>
      <c r="BV117" s="216"/>
      <c r="BW117" s="216"/>
      <c r="BX117" s="216"/>
      <c r="BY117" s="216"/>
      <c r="BZ117" s="216"/>
      <c r="CA117" s="216"/>
      <c r="CB117" s="216"/>
      <c r="CC117" s="216"/>
      <c r="CD117" s="216"/>
      <c r="CE117" s="216"/>
      <c r="CF117" s="216"/>
      <c r="CG117" s="216"/>
      <c r="CH117" s="216"/>
      <c r="CI117" s="216"/>
    </row>
    <row r="118" spans="45:87">
      <c r="AW118" s="133"/>
      <c r="AX118" s="133"/>
      <c r="AY118" s="219"/>
      <c r="AZ118" s="218"/>
      <c r="BA118" s="218"/>
      <c r="BB118" s="218"/>
      <c r="BE118" s="59"/>
      <c r="BF118" s="223"/>
      <c r="BG118" s="216"/>
      <c r="BH118" s="216"/>
      <c r="BI118" s="216"/>
      <c r="BJ118" s="216"/>
      <c r="BK118" s="216"/>
      <c r="BL118" s="216"/>
      <c r="BM118" s="216"/>
      <c r="BN118" s="216"/>
      <c r="BO118" s="216"/>
      <c r="BP118" s="216"/>
      <c r="BQ118" s="216"/>
      <c r="BR118" s="216"/>
      <c r="BS118" s="216"/>
      <c r="BT118" s="216"/>
      <c r="BU118" s="216"/>
      <c r="BV118" s="216"/>
      <c r="BW118" s="216"/>
      <c r="BX118" s="216"/>
      <c r="BY118" s="216"/>
      <c r="BZ118" s="216"/>
      <c r="CA118" s="216"/>
      <c r="CB118" s="216"/>
      <c r="CC118" s="216"/>
      <c r="CD118" s="216"/>
      <c r="CE118" s="216"/>
      <c r="CF118" s="216"/>
      <c r="CG118" s="216"/>
      <c r="CH118" s="216"/>
      <c r="CI118" s="216"/>
    </row>
    <row r="119" spans="45:87">
      <c r="AS119" s="195" t="s">
        <v>65</v>
      </c>
      <c r="AT119" s="195" t="s">
        <v>11</v>
      </c>
      <c r="AU119" s="195" t="s">
        <v>25</v>
      </c>
      <c r="AW119" s="219"/>
      <c r="AX119" s="219"/>
      <c r="AY119" s="136"/>
      <c r="AZ119" s="136"/>
      <c r="BA119" s="136"/>
      <c r="BB119" s="218"/>
      <c r="BE119" s="59"/>
      <c r="BF119" s="223"/>
      <c r="BG119" s="216"/>
      <c r="BH119" s="216"/>
      <c r="BI119" s="216"/>
      <c r="BJ119" s="216"/>
      <c r="BK119" s="216"/>
      <c r="BL119" s="216"/>
      <c r="BM119" s="216"/>
      <c r="BN119" s="216"/>
      <c r="BO119" s="216"/>
      <c r="BP119" s="216"/>
      <c r="BQ119" s="216"/>
      <c r="BR119" s="216"/>
      <c r="BS119" s="216"/>
      <c r="BT119" s="216"/>
      <c r="BU119" s="216"/>
      <c r="BV119" s="216"/>
      <c r="BW119" s="216"/>
      <c r="BX119" s="216"/>
      <c r="BY119" s="216"/>
      <c r="BZ119" s="216"/>
      <c r="CA119" s="216"/>
      <c r="CB119" s="216"/>
      <c r="CC119" s="216"/>
      <c r="CD119" s="216"/>
      <c r="CE119" s="216"/>
      <c r="CF119" s="216"/>
      <c r="CG119" s="216"/>
      <c r="CH119" s="216"/>
      <c r="CI119" s="216"/>
    </row>
    <row r="120" spans="45:87">
      <c r="AS120" s="195">
        <v>3</v>
      </c>
      <c r="AT120" s="195">
        <v>3</v>
      </c>
      <c r="AU120" s="195">
        <v>3</v>
      </c>
      <c r="AW120" s="219"/>
      <c r="AX120" s="219"/>
      <c r="AY120" s="219"/>
      <c r="AZ120" s="219"/>
      <c r="BA120" s="219"/>
      <c r="BB120" s="218"/>
      <c r="BE120" s="59"/>
      <c r="BF120" s="223"/>
      <c r="BG120" s="216"/>
      <c r="BH120" s="216"/>
      <c r="BI120" s="216"/>
      <c r="BJ120" s="216"/>
      <c r="BK120" s="216"/>
      <c r="BL120" s="216"/>
      <c r="BM120" s="216"/>
      <c r="BN120" s="216"/>
      <c r="BO120" s="216"/>
      <c r="BP120" s="216"/>
      <c r="BQ120" s="216"/>
      <c r="BR120" s="216"/>
      <c r="BS120" s="216"/>
      <c r="BT120" s="216"/>
      <c r="BU120" s="216"/>
      <c r="BV120" s="216"/>
      <c r="BW120" s="216"/>
      <c r="BX120" s="216"/>
      <c r="BY120" s="216"/>
      <c r="BZ120" s="216"/>
      <c r="CA120" s="216"/>
      <c r="CB120" s="216"/>
      <c r="CC120" s="216"/>
      <c r="CD120" s="216"/>
      <c r="CE120" s="216"/>
      <c r="CF120" s="216"/>
      <c r="CG120" s="216"/>
      <c r="CH120" s="216"/>
      <c r="CI120" s="216"/>
    </row>
    <row r="121" spans="45:87">
      <c r="AS121" s="195">
        <v>3</v>
      </c>
      <c r="AT121" s="195">
        <v>3</v>
      </c>
      <c r="AU121" s="195">
        <v>3</v>
      </c>
      <c r="AW121" s="219"/>
      <c r="AX121" s="219"/>
      <c r="AY121" s="219"/>
      <c r="AZ121" s="219"/>
      <c r="BA121" s="219"/>
      <c r="BB121" s="218"/>
      <c r="BE121" s="59"/>
      <c r="BF121" s="223"/>
      <c r="BG121" s="216"/>
      <c r="BH121" s="216"/>
      <c r="BI121" s="216"/>
      <c r="BJ121" s="216"/>
      <c r="BK121" s="216"/>
      <c r="BL121" s="216"/>
      <c r="BM121" s="216"/>
      <c r="BN121" s="216"/>
      <c r="BO121" s="216"/>
      <c r="BP121" s="216"/>
      <c r="BQ121" s="216"/>
      <c r="BR121" s="216"/>
      <c r="BS121" s="216"/>
      <c r="BT121" s="216"/>
      <c r="BU121" s="216"/>
      <c r="BV121" s="216"/>
      <c r="BW121" s="216"/>
      <c r="BX121" s="216"/>
      <c r="BY121" s="216"/>
      <c r="BZ121" s="216"/>
      <c r="CA121" s="216"/>
      <c r="CB121" s="216"/>
      <c r="CC121" s="216"/>
      <c r="CD121" s="216"/>
      <c r="CE121" s="216"/>
      <c r="CF121" s="216"/>
      <c r="CG121" s="216"/>
      <c r="CH121" s="216"/>
      <c r="CI121" s="216"/>
    </row>
    <row r="122" spans="45:87">
      <c r="AS122" s="195">
        <v>3</v>
      </c>
      <c r="AT122" s="195">
        <v>3</v>
      </c>
      <c r="AU122" s="195">
        <v>3</v>
      </c>
      <c r="AW122" s="219"/>
      <c r="AX122" s="219"/>
      <c r="AY122" s="219"/>
      <c r="AZ122" s="219"/>
      <c r="BA122" s="219"/>
      <c r="BB122" s="218"/>
      <c r="BE122" s="59"/>
      <c r="BF122" s="223"/>
      <c r="BG122" s="216"/>
      <c r="BH122" s="216"/>
      <c r="BI122" s="216"/>
      <c r="BJ122" s="216"/>
      <c r="BK122" s="216"/>
      <c r="BL122" s="216"/>
      <c r="BM122" s="216"/>
      <c r="BN122" s="216"/>
      <c r="BO122" s="216"/>
      <c r="BP122" s="216"/>
      <c r="BQ122" s="216"/>
      <c r="BR122" s="216"/>
      <c r="BS122" s="216"/>
      <c r="BT122" s="216"/>
      <c r="BU122" s="216"/>
      <c r="BV122" s="216"/>
      <c r="BW122" s="216"/>
      <c r="BX122" s="216"/>
      <c r="BY122" s="216"/>
      <c r="BZ122" s="216"/>
      <c r="CA122" s="216"/>
      <c r="CB122" s="216"/>
      <c r="CC122" s="216"/>
      <c r="CD122" s="216"/>
      <c r="CE122" s="216"/>
      <c r="CF122" s="216"/>
      <c r="CG122" s="216"/>
      <c r="CH122" s="216"/>
      <c r="CI122" s="216"/>
    </row>
    <row r="123" spans="45:87">
      <c r="AS123" s="195">
        <v>3</v>
      </c>
      <c r="AT123" s="195">
        <v>3</v>
      </c>
      <c r="AU123" s="195">
        <v>3</v>
      </c>
      <c r="AW123" s="219"/>
      <c r="AX123" s="219"/>
      <c r="AY123" s="219"/>
      <c r="AZ123" s="219"/>
      <c r="BA123" s="219"/>
      <c r="BB123" s="218"/>
    </row>
    <row r="124" spans="45:87">
      <c r="AS124" s="195">
        <v>3</v>
      </c>
      <c r="AT124" s="195">
        <v>3</v>
      </c>
      <c r="AU124" s="195">
        <v>3</v>
      </c>
      <c r="AW124" s="224"/>
      <c r="AX124" s="224"/>
      <c r="AY124" s="224"/>
      <c r="AZ124" s="224"/>
      <c r="BA124" s="224"/>
      <c r="BB124" s="225"/>
      <c r="BC124" s="226"/>
      <c r="BD124" s="226"/>
      <c r="BE124" s="222"/>
    </row>
    <row r="125" spans="45:87">
      <c r="AS125" s="195">
        <v>3</v>
      </c>
      <c r="AT125" s="195">
        <v>3</v>
      </c>
      <c r="AU125" s="195">
        <v>3</v>
      </c>
      <c r="AW125" s="224"/>
      <c r="AX125" s="224"/>
      <c r="AY125" s="224"/>
      <c r="AZ125" s="224"/>
      <c r="BA125" s="224"/>
      <c r="BB125" s="225"/>
      <c r="BC125" s="226"/>
      <c r="BD125" s="226"/>
      <c r="BE125" s="207"/>
      <c r="BF125" s="207"/>
      <c r="BG125" s="207"/>
      <c r="BH125" s="207"/>
      <c r="BI125" s="207"/>
      <c r="BJ125" s="207"/>
      <c r="BK125" s="207"/>
      <c r="BL125" s="207"/>
      <c r="BM125" s="207"/>
      <c r="BN125" s="207"/>
      <c r="BO125" s="207"/>
      <c r="BP125" s="207"/>
      <c r="BQ125" s="207"/>
      <c r="BR125" s="207"/>
      <c r="BS125" s="207"/>
      <c r="BT125" s="207"/>
      <c r="BU125" s="207"/>
      <c r="BV125" s="207"/>
      <c r="BW125" s="207"/>
      <c r="BX125" s="207"/>
      <c r="BY125" s="207"/>
      <c r="BZ125" s="207"/>
      <c r="CA125" s="207"/>
      <c r="CB125" s="207"/>
      <c r="CC125" s="207"/>
      <c r="CD125" s="207"/>
      <c r="CE125" s="207"/>
      <c r="CF125" s="207"/>
      <c r="CG125" s="207"/>
      <c r="CH125" s="207"/>
      <c r="CI125" s="207"/>
    </row>
    <row r="126" spans="45:87">
      <c r="AS126" s="195">
        <v>3</v>
      </c>
      <c r="AT126" s="195">
        <v>3</v>
      </c>
      <c r="AU126" s="195">
        <v>3</v>
      </c>
      <c r="AW126" s="219"/>
      <c r="AX126" s="219"/>
      <c r="AY126" s="219"/>
      <c r="AZ126" s="219"/>
      <c r="BA126" s="219"/>
      <c r="BB126" s="218"/>
      <c r="BE126" s="59"/>
      <c r="BF126" s="223"/>
      <c r="BG126" s="216"/>
      <c r="BH126" s="216"/>
      <c r="BI126" s="216"/>
      <c r="BJ126" s="216"/>
      <c r="BK126" s="216"/>
      <c r="BL126" s="216"/>
      <c r="BM126" s="216"/>
      <c r="BN126" s="216"/>
      <c r="BO126" s="216"/>
      <c r="BP126" s="216"/>
      <c r="BQ126" s="216"/>
      <c r="BR126" s="216"/>
      <c r="BS126" s="216"/>
      <c r="BT126" s="216"/>
      <c r="BU126" s="216"/>
      <c r="BV126" s="216"/>
      <c r="BW126" s="216"/>
      <c r="BX126" s="216"/>
      <c r="BY126" s="216"/>
      <c r="BZ126" s="216"/>
      <c r="CA126" s="216"/>
      <c r="CB126" s="216"/>
      <c r="CC126" s="216"/>
      <c r="CD126" s="216"/>
      <c r="CE126" s="216"/>
      <c r="CF126" s="216"/>
      <c r="CG126" s="216"/>
      <c r="CH126" s="216"/>
      <c r="CI126" s="216"/>
    </row>
    <row r="127" spans="45:87">
      <c r="AS127" s="195">
        <v>3</v>
      </c>
      <c r="AT127" s="195">
        <v>3</v>
      </c>
      <c r="AU127" s="195">
        <v>3</v>
      </c>
      <c r="AW127" s="7"/>
      <c r="AX127" s="213"/>
      <c r="AY127" s="213"/>
      <c r="AZ127" s="213"/>
      <c r="BA127" s="213"/>
      <c r="BE127" s="59"/>
      <c r="BF127" s="223"/>
      <c r="BG127" s="216"/>
      <c r="BH127" s="216"/>
      <c r="BI127" s="216"/>
      <c r="BJ127" s="216"/>
      <c r="BK127" s="216"/>
      <c r="BL127" s="216"/>
      <c r="BM127" s="216"/>
      <c r="BN127" s="216"/>
      <c r="BO127" s="216"/>
      <c r="BP127" s="216"/>
      <c r="BQ127" s="216"/>
      <c r="BR127" s="216"/>
      <c r="BS127" s="216"/>
      <c r="BT127" s="216"/>
      <c r="BU127" s="216"/>
      <c r="BV127" s="216"/>
      <c r="BW127" s="216"/>
      <c r="BX127" s="216"/>
      <c r="BY127" s="216"/>
      <c r="BZ127" s="216"/>
      <c r="CA127" s="216"/>
      <c r="CB127" s="216"/>
      <c r="CC127" s="216"/>
      <c r="CD127" s="216"/>
      <c r="CE127" s="216"/>
      <c r="CF127" s="216"/>
      <c r="CG127" s="216"/>
      <c r="CH127" s="216"/>
      <c r="CI127" s="216"/>
    </row>
    <row r="128" spans="45:87">
      <c r="BE128" s="59"/>
      <c r="BF128" s="223"/>
      <c r="BG128" s="216"/>
      <c r="BH128" s="216"/>
      <c r="BI128" s="216"/>
      <c r="BJ128" s="216"/>
      <c r="BK128" s="216"/>
      <c r="BL128" s="216"/>
      <c r="BM128" s="216"/>
      <c r="BN128" s="216"/>
      <c r="BO128" s="216"/>
      <c r="BP128" s="216"/>
      <c r="BQ128" s="216"/>
      <c r="BR128" s="216"/>
      <c r="BS128" s="216"/>
      <c r="BT128" s="216"/>
      <c r="BU128" s="216"/>
      <c r="BV128" s="216"/>
      <c r="BW128" s="216"/>
      <c r="BX128" s="216"/>
      <c r="BY128" s="216"/>
      <c r="BZ128" s="216"/>
      <c r="CA128" s="216"/>
      <c r="CB128" s="216"/>
      <c r="CC128" s="216"/>
      <c r="CD128" s="216"/>
      <c r="CE128" s="216"/>
      <c r="CF128" s="216"/>
      <c r="CG128" s="216"/>
      <c r="CH128" s="216"/>
      <c r="CI128" s="216"/>
    </row>
    <row r="129" spans="57:87">
      <c r="BE129" s="59"/>
      <c r="BF129" s="223"/>
      <c r="BG129" s="216"/>
      <c r="BH129" s="216"/>
      <c r="BI129" s="216"/>
      <c r="BJ129" s="216"/>
      <c r="BK129" s="216"/>
      <c r="BL129" s="216"/>
      <c r="BM129" s="216"/>
      <c r="BN129" s="216"/>
      <c r="BO129" s="216"/>
      <c r="BP129" s="216"/>
      <c r="BQ129" s="216"/>
      <c r="BR129" s="216"/>
      <c r="BS129" s="216"/>
      <c r="BT129" s="216"/>
      <c r="BU129" s="216"/>
      <c r="BV129" s="216"/>
      <c r="BW129" s="216"/>
      <c r="BX129" s="216"/>
      <c r="BY129" s="216"/>
      <c r="BZ129" s="216"/>
      <c r="CA129" s="216"/>
      <c r="CB129" s="216"/>
      <c r="CC129" s="216"/>
      <c r="CD129" s="216"/>
      <c r="CE129" s="216"/>
      <c r="CF129" s="216"/>
      <c r="CG129" s="216"/>
      <c r="CH129" s="216"/>
      <c r="CI129" s="216"/>
    </row>
    <row r="130" spans="57:87">
      <c r="BE130" s="59"/>
      <c r="BF130" s="223"/>
      <c r="BG130" s="216"/>
      <c r="BH130" s="216"/>
      <c r="BI130" s="216"/>
      <c r="BJ130" s="216"/>
      <c r="BK130" s="216"/>
      <c r="BL130" s="216"/>
      <c r="BM130" s="216"/>
      <c r="BN130" s="216"/>
      <c r="BO130" s="216"/>
      <c r="BP130" s="216"/>
      <c r="BQ130" s="216"/>
      <c r="BR130" s="216"/>
      <c r="BS130" s="216"/>
      <c r="BT130" s="216"/>
      <c r="BU130" s="216"/>
      <c r="BV130" s="216"/>
      <c r="BW130" s="216"/>
      <c r="BX130" s="216"/>
      <c r="BY130" s="216"/>
      <c r="BZ130" s="216"/>
      <c r="CA130" s="216"/>
      <c r="CB130" s="216"/>
      <c r="CC130" s="216"/>
      <c r="CD130" s="216"/>
      <c r="CE130" s="216"/>
      <c r="CF130" s="216"/>
      <c r="CG130" s="216"/>
      <c r="CH130" s="216"/>
      <c r="CI130" s="216"/>
    </row>
    <row r="131" spans="57:87">
      <c r="BE131" s="59"/>
      <c r="BF131" s="223"/>
      <c r="BG131" s="216"/>
      <c r="BH131" s="216"/>
      <c r="BI131" s="216"/>
      <c r="BJ131" s="216"/>
      <c r="BK131" s="216"/>
      <c r="BL131" s="216"/>
      <c r="BM131" s="216"/>
      <c r="BN131" s="216"/>
      <c r="BO131" s="216"/>
      <c r="BP131" s="216"/>
      <c r="BQ131" s="216"/>
      <c r="BR131" s="216"/>
      <c r="BS131" s="216"/>
      <c r="BT131" s="216"/>
      <c r="BU131" s="216"/>
      <c r="BV131" s="216"/>
      <c r="BW131" s="216"/>
      <c r="BX131" s="216"/>
      <c r="BY131" s="216"/>
      <c r="BZ131" s="216"/>
      <c r="CA131" s="216"/>
      <c r="CB131" s="216"/>
      <c r="CC131" s="216"/>
      <c r="CD131" s="216"/>
      <c r="CE131" s="216"/>
      <c r="CF131" s="216"/>
      <c r="CG131" s="216"/>
      <c r="CH131" s="216"/>
      <c r="CI131" s="216"/>
    </row>
    <row r="132" spans="57:87">
      <c r="BE132" s="59"/>
      <c r="BF132" s="223"/>
      <c r="BG132" s="216"/>
      <c r="BH132" s="216"/>
      <c r="BI132" s="216"/>
      <c r="BJ132" s="216"/>
      <c r="BK132" s="216"/>
      <c r="BL132" s="216"/>
      <c r="BM132" s="216"/>
      <c r="BN132" s="216"/>
      <c r="BO132" s="216"/>
      <c r="BP132" s="216"/>
      <c r="BQ132" s="216"/>
      <c r="BR132" s="216"/>
      <c r="BS132" s="216"/>
      <c r="BT132" s="216"/>
      <c r="BU132" s="216"/>
      <c r="BV132" s="216"/>
      <c r="BW132" s="216"/>
      <c r="BX132" s="216"/>
      <c r="BY132" s="216"/>
      <c r="BZ132" s="216"/>
      <c r="CA132" s="216"/>
      <c r="CB132" s="216"/>
      <c r="CC132" s="216"/>
      <c r="CD132" s="216"/>
      <c r="CE132" s="216"/>
      <c r="CF132" s="216"/>
      <c r="CG132" s="216"/>
      <c r="CH132" s="216"/>
      <c r="CI132" s="216"/>
    </row>
    <row r="135" spans="57:87">
      <c r="BE135" s="227"/>
    </row>
    <row r="136" spans="57:87">
      <c r="BE136" s="228"/>
      <c r="BF136" s="228"/>
      <c r="BG136" s="228"/>
      <c r="BH136" s="228"/>
      <c r="BI136" s="228"/>
      <c r="BJ136" s="228"/>
      <c r="BK136" s="228"/>
    </row>
    <row r="137" spans="57:87">
      <c r="BE137" s="228"/>
      <c r="BF137" s="228"/>
      <c r="BG137" s="228"/>
      <c r="BH137" s="228"/>
      <c r="BI137" s="228"/>
      <c r="BJ137" s="228"/>
      <c r="BK137" s="228"/>
    </row>
    <row r="138" spans="57:87">
      <c r="BE138" s="228"/>
      <c r="BF138" s="228"/>
      <c r="BG138" s="228"/>
      <c r="BH138" s="228"/>
      <c r="BI138" s="228"/>
      <c r="BJ138" s="228"/>
      <c r="BK138" s="228"/>
    </row>
    <row r="140" spans="57:87">
      <c r="BE140" s="193"/>
      <c r="BF140" s="193"/>
      <c r="BG140" s="193"/>
      <c r="BH140" s="193"/>
      <c r="BI140" s="193"/>
      <c r="BJ140" s="193"/>
      <c r="BK140" s="193"/>
    </row>
    <row r="141" spans="57:87">
      <c r="BE141" s="193"/>
      <c r="BF141" s="193"/>
      <c r="BG141" s="193"/>
      <c r="BH141" s="193"/>
      <c r="BI141" s="193"/>
      <c r="BJ141" s="193"/>
      <c r="BK141" s="193"/>
    </row>
    <row r="143" spans="57:87">
      <c r="BE143" s="193"/>
      <c r="BF143" s="193"/>
      <c r="BG143" s="193"/>
      <c r="BH143" s="193"/>
      <c r="BI143" s="193"/>
      <c r="BJ143" s="193"/>
      <c r="BK143" s="193"/>
    </row>
    <row r="144" spans="57:87">
      <c r="BE144" s="193"/>
      <c r="BF144" s="193"/>
      <c r="BG144" s="193"/>
      <c r="BH144" s="193"/>
      <c r="BI144" s="193"/>
      <c r="BJ144" s="193"/>
      <c r="BK144" s="193"/>
    </row>
    <row r="146" spans="54:63">
      <c r="BE146" s="193"/>
      <c r="BF146" s="193"/>
      <c r="BG146" s="193"/>
      <c r="BH146" s="193"/>
      <c r="BI146" s="193"/>
      <c r="BJ146" s="193"/>
      <c r="BK146" s="193"/>
    </row>
    <row r="147" spans="54:63">
      <c r="BE147" s="193"/>
      <c r="BF147" s="193"/>
      <c r="BG147" s="193"/>
      <c r="BH147" s="193"/>
      <c r="BI147" s="193"/>
      <c r="BJ147" s="193"/>
      <c r="BK147" s="193"/>
    </row>
    <row r="149" spans="54:63">
      <c r="BE149" s="193"/>
      <c r="BF149" s="193"/>
      <c r="BG149" s="193"/>
      <c r="BH149" s="193"/>
      <c r="BI149" s="193"/>
      <c r="BJ149" s="193"/>
      <c r="BK149" s="193"/>
    </row>
    <row r="150" spans="54:63">
      <c r="BE150" s="193"/>
      <c r="BF150" s="193"/>
      <c r="BG150" s="193"/>
      <c r="BH150" s="193"/>
      <c r="BI150" s="193"/>
      <c r="BJ150" s="193"/>
      <c r="BK150" s="193"/>
    </row>
    <row r="152" spans="54:63">
      <c r="BE152" s="193"/>
      <c r="BF152" s="193"/>
      <c r="BG152" s="193"/>
      <c r="BH152" s="193"/>
      <c r="BI152" s="193"/>
      <c r="BJ152" s="193"/>
      <c r="BK152" s="193"/>
    </row>
    <row r="153" spans="54:63">
      <c r="BE153" s="193"/>
      <c r="BF153" s="193"/>
      <c r="BG153" s="193"/>
      <c r="BH153" s="193"/>
      <c r="BI153" s="193"/>
      <c r="BJ153" s="193"/>
      <c r="BK153" s="193"/>
    </row>
    <row r="155" spans="54:63">
      <c r="BE155" s="229"/>
    </row>
    <row r="156" spans="54:63">
      <c r="BB156" s="194"/>
      <c r="BE156" s="207"/>
      <c r="BF156" s="207"/>
      <c r="BG156" s="207"/>
    </row>
    <row r="157" spans="54:63">
      <c r="BE157" s="59"/>
      <c r="BF157" s="230"/>
      <c r="BG157" s="215"/>
    </row>
    <row r="158" spans="54:63">
      <c r="BE158" s="59"/>
      <c r="BF158" s="230"/>
      <c r="BG158" s="215"/>
    </row>
    <row r="159" spans="54:63">
      <c r="BE159" s="59"/>
      <c r="BF159" s="230"/>
      <c r="BG159" s="215"/>
    </row>
    <row r="161" spans="57:63">
      <c r="BE161" s="193"/>
      <c r="BF161" s="193"/>
      <c r="BG161" s="193"/>
      <c r="BH161" s="193"/>
      <c r="BI161" s="193"/>
      <c r="BJ161" s="193"/>
      <c r="BK161" s="193"/>
    </row>
    <row r="162" spans="57:63">
      <c r="BE162" s="193"/>
      <c r="BF162" s="193"/>
      <c r="BG162" s="193"/>
      <c r="BH162" s="193"/>
      <c r="BI162" s="193"/>
      <c r="BJ162" s="193"/>
      <c r="BK162" s="193"/>
    </row>
    <row r="264" spans="49:56">
      <c r="AW264" s="226"/>
      <c r="AX264" s="226"/>
      <c r="AY264" s="226"/>
      <c r="AZ264" s="226"/>
      <c r="BA264" s="226"/>
      <c r="BB264" s="226"/>
      <c r="BC264" s="226"/>
      <c r="BD264" s="226"/>
    </row>
  </sheetData>
  <mergeCells count="7">
    <mergeCell ref="BE136:BK138"/>
    <mergeCell ref="BE140:BK141"/>
    <mergeCell ref="BE143:BK144"/>
    <mergeCell ref="BE146:BK147"/>
    <mergeCell ref="BE149:BK150"/>
    <mergeCell ref="BE152:BK153"/>
    <mergeCell ref="BE161:BK162"/>
  </mergeCells>
  <hyperlinks>
    <hyperlink ref="B2" r:id="rId4" display="Battery Electric Vehicle Assumptions | Transportation | 2024 | ATB | NLR" tooltip="https://atb.nrel.gov/transportation/2024/battery_electric_vehicle_assumptions"/>
  </hyperlinks>
  <pageMargins left="0.75" right="0.75" top="1" bottom="1" header="0.5" footer="0.5"/>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sheetPr>
  <dimension ref="A1:BZ212"/>
  <sheetViews>
    <sheetView zoomScale="123" zoomScaleNormal="123" topLeftCell="A38" workbookViewId="0">
      <selection activeCell="G59" sqref="G59"/>
    </sheetView>
  </sheetViews>
  <sheetFormatPr defaultColWidth="8.72727272727273" defaultRowHeight="14.5"/>
  <cols>
    <col min="1" max="1" width="30" style="162" customWidth="1"/>
    <col min="2" max="2" width="22" style="162" customWidth="1"/>
    <col min="3" max="37" width="12" style="162" customWidth="1"/>
    <col min="38" max="39" width="8.71818181818182" style="162"/>
    <col min="42" max="42" width="32.3636363636364" customWidth="1"/>
    <col min="44" max="78" width="12.8545454545455"/>
  </cols>
  <sheetData>
    <row r="1" ht="18" spans="1:5">
      <c r="A1" s="163" t="s">
        <v>102</v>
      </c>
    </row>
    <row r="2" spans="1:5">
      <c r="A2" s="164" t="s">
        <v>103</v>
      </c>
    </row>
    <row r="4" spans="1:5">
      <c r="A4" s="165" t="s">
        <v>104</v>
      </c>
    </row>
    <row r="5" ht="23" spans="1:5">
      <c r="A5" s="166" t="s">
        <v>105</v>
      </c>
      <c r="B5" s="166" t="s">
        <v>106</v>
      </c>
      <c r="C5" s="166" t="s">
        <v>107</v>
      </c>
      <c r="D5" s="166" t="s">
        <v>108</v>
      </c>
      <c r="E5" s="166" t="s">
        <v>109</v>
      </c>
    </row>
    <row r="6" spans="1:5">
      <c r="A6" s="167" t="s">
        <v>67</v>
      </c>
      <c r="B6" s="167" t="s">
        <v>71</v>
      </c>
      <c r="C6" s="168">
        <v>55.48673</v>
      </c>
      <c r="D6" s="169">
        <v>1</v>
      </c>
      <c r="E6" s="170">
        <f t="shared" ref="E6:E12" si="0" xml:space="preserve">C6*D6</f>
        <v>55.48673</v>
      </c>
    </row>
    <row r="7" spans="1:5">
      <c r="A7" s="167" t="s">
        <v>72</v>
      </c>
      <c r="B7" s="167" t="s">
        <v>75</v>
      </c>
      <c r="C7" s="168">
        <v>66.32565</v>
      </c>
      <c r="D7" s="169">
        <v>1</v>
      </c>
      <c r="E7" s="170">
        <f t="shared" si="0"/>
        <v>66.32565</v>
      </c>
    </row>
    <row r="8" spans="1:5">
      <c r="A8" s="167" t="s">
        <v>76</v>
      </c>
      <c r="B8" s="167" t="s">
        <v>79</v>
      </c>
      <c r="C8" s="168">
        <v>56.10147</v>
      </c>
      <c r="D8" s="169">
        <v>1</v>
      </c>
      <c r="E8" s="170">
        <f t="shared" si="0"/>
        <v>56.10147</v>
      </c>
    </row>
    <row r="9" spans="1:5">
      <c r="A9" s="167" t="s">
        <v>80</v>
      </c>
      <c r="B9" s="167" t="s">
        <v>84</v>
      </c>
      <c r="C9" s="168">
        <v>55.55951</v>
      </c>
      <c r="D9" s="169">
        <v>1</v>
      </c>
      <c r="E9" s="170">
        <f t="shared" si="0"/>
        <v>55.55951</v>
      </c>
    </row>
    <row r="10" spans="1:5">
      <c r="A10" s="167" t="s">
        <v>85</v>
      </c>
      <c r="B10" s="167" t="s">
        <v>88</v>
      </c>
      <c r="C10" s="168">
        <v>59.3677</v>
      </c>
      <c r="D10" s="169">
        <v>1</v>
      </c>
      <c r="E10" s="170">
        <f t="shared" si="0"/>
        <v>59.3677</v>
      </c>
    </row>
    <row r="11" spans="1:5">
      <c r="A11" s="167" t="s">
        <v>89</v>
      </c>
      <c r="B11" s="167" t="s">
        <v>92</v>
      </c>
      <c r="C11" s="168">
        <v>57.33755</v>
      </c>
      <c r="D11" s="169">
        <v>1</v>
      </c>
      <c r="E11" s="170">
        <f t="shared" si="0"/>
        <v>57.33755</v>
      </c>
    </row>
    <row r="12" spans="1:5">
      <c r="A12" s="167" t="s">
        <v>93</v>
      </c>
      <c r="B12" s="167" t="s">
        <v>96</v>
      </c>
      <c r="C12" s="168">
        <v>59.98948</v>
      </c>
      <c r="D12" s="169">
        <v>1</v>
      </c>
      <c r="E12" s="170">
        <f t="shared" si="0"/>
        <v>59.98948</v>
      </c>
    </row>
    <row r="13" spans="1:5">
      <c r="A13" s="164" t="s">
        <v>110</v>
      </c>
    </row>
    <row r="15" spans="1:5">
      <c r="A15" s="165" t="s">
        <v>111</v>
      </c>
    </row>
    <row r="16" spans="1:5">
      <c r="A16" s="166" t="s">
        <v>112</v>
      </c>
      <c r="B16" s="166" t="s">
        <v>113</v>
      </c>
      <c r="C16" s="166" t="s">
        <v>114</v>
      </c>
    </row>
    <row r="17" spans="1:5">
      <c r="A17" s="171" t="s">
        <v>115</v>
      </c>
      <c r="B17" s="169">
        <v>0.38</v>
      </c>
      <c r="C17" s="172">
        <v>0.0479</v>
      </c>
    </row>
    <row r="18" spans="1:5">
      <c r="A18" s="171" t="s">
        <v>116</v>
      </c>
      <c r="B18" s="169">
        <v>0.46</v>
      </c>
      <c r="C18" s="172">
        <v>0.0451</v>
      </c>
    </row>
    <row r="20" spans="1:5">
      <c r="A20" s="173" t="s">
        <v>117</v>
      </c>
    </row>
    <row r="21" spans="1:5">
      <c r="A21" s="166" t="s">
        <v>112</v>
      </c>
      <c r="B21" s="166" t="s">
        <v>118</v>
      </c>
      <c r="C21" s="166" t="s">
        <v>119</v>
      </c>
      <c r="D21" s="166" t="s">
        <v>120</v>
      </c>
    </row>
    <row r="22" spans="1:5">
      <c r="A22" s="171" t="s">
        <v>115</v>
      </c>
      <c r="B22" s="174">
        <f xml:space="preserve">$B$17+(1-$B$17)*EXP(-$C$17*(2023-2023))</f>
        <v>1</v>
      </c>
      <c r="C22" s="174">
        <f xml:space="preserve">$B$17+(1-$B$17)*EXP(-$C$17*(2050-2023))</f>
        <v>0.550105609758709</v>
      </c>
      <c r="D22" s="174">
        <f xml:space="preserve">$B$17+(1-$B$17)*EXP(-$C$17*(2100-2023))</f>
        <v>0.395508984141464</v>
      </c>
    </row>
    <row r="23" spans="1:5">
      <c r="A23" s="171" t="s">
        <v>116</v>
      </c>
      <c r="B23" s="174">
        <f xml:space="preserve">$B$18+(1-$B$18)*EXP(-$C$18*(2023-2023))</f>
        <v>1</v>
      </c>
      <c r="C23" s="174">
        <f xml:space="preserve">$B$18+(1-$B$18)*EXP(-$C$18*(2050-2023))</f>
        <v>0.619791388007007</v>
      </c>
      <c r="D23" s="174">
        <f xml:space="preserve">$B$18+(1-$B$18)*EXP(-$C$18*(2100-2023))</f>
        <v>0.476757889118835</v>
      </c>
    </row>
    <row r="24" spans="1:5">
      <c r="A24" s="164" t="s">
        <v>121</v>
      </c>
    </row>
    <row r="26" spans="1:5">
      <c r="A26" s="165" t="s">
        <v>122</v>
      </c>
    </row>
    <row r="27" spans="1:5">
      <c r="A27" s="166" t="s">
        <v>123</v>
      </c>
      <c r="B27" s="166" t="s">
        <v>124</v>
      </c>
      <c r="C27" s="166" t="s">
        <v>125</v>
      </c>
      <c r="D27" s="166" t="s">
        <v>126</v>
      </c>
      <c r="E27" s="166" t="s">
        <v>127</v>
      </c>
    </row>
    <row r="28" spans="1:5">
      <c r="A28" s="171" t="s">
        <v>128</v>
      </c>
      <c r="B28" s="169">
        <v>1</v>
      </c>
      <c r="C28" s="169">
        <v>1</v>
      </c>
      <c r="D28" s="175">
        <v>0</v>
      </c>
      <c r="E28" s="176" t="s">
        <v>129</v>
      </c>
    </row>
    <row r="29" spans="1:5">
      <c r="A29" s="171" t="s">
        <v>130</v>
      </c>
      <c r="B29" s="169">
        <v>1.75</v>
      </c>
      <c r="C29" s="169">
        <v>1.18</v>
      </c>
      <c r="D29" s="175">
        <v>0.04484</v>
      </c>
      <c r="E29" s="176" t="s">
        <v>131</v>
      </c>
    </row>
    <row r="30" spans="1:5">
      <c r="A30" s="171" t="s">
        <v>132</v>
      </c>
      <c r="B30" s="169">
        <v>1.45</v>
      </c>
      <c r="C30" s="169">
        <v>1.08</v>
      </c>
      <c r="D30" s="175">
        <v>0.04846</v>
      </c>
      <c r="E30" s="176" t="s">
        <v>133</v>
      </c>
    </row>
    <row r="31" spans="1:5">
      <c r="A31" s="164" t="s">
        <v>134</v>
      </c>
    </row>
    <row r="33" spans="1:5">
      <c r="A33" s="165" t="s">
        <v>135</v>
      </c>
    </row>
    <row r="34" spans="1:5">
      <c r="A34" s="166" t="s">
        <v>1</v>
      </c>
      <c r="B34" s="166" t="s">
        <v>123</v>
      </c>
      <c r="C34" s="166" t="s">
        <v>118</v>
      </c>
      <c r="D34" s="166" t="s">
        <v>119</v>
      </c>
      <c r="E34" s="166" t="s">
        <v>120</v>
      </c>
    </row>
    <row r="35" spans="1:5">
      <c r="A35" s="177" t="s">
        <v>3</v>
      </c>
      <c r="B35" s="178" t="s">
        <v>132</v>
      </c>
      <c r="C35" s="179">
        <f t="shared" ref="C35:C69" si="1" xml:space="preserve">INDEX($C$28:$C$30,MATCH($B35,$A$28:$A$30,0))+(INDEX($B$28:$B$30,MATCH($B35,$A$28:$A$30,0))-INDEX($C$28:$C$30,MATCH($B35,$A$28:$A$30,0)))*EXP(-INDEX($D$28:$D$30,MATCH($B35,$A$28:$A$30,0))*(2023-2023))</f>
        <v>1.45</v>
      </c>
      <c r="D35" s="179">
        <f t="shared" ref="D35:D69" si="2" xml:space="preserve">INDEX($C$28:$C$30,MATCH($B35,$A$28:$A$30,0))+(INDEX($B$28:$B$30,MATCH($B35,$A$28:$A$30,0))-INDEX($C$28:$C$30,MATCH($B35,$A$28:$A$30,0)))*EXP(-INDEX($D$28:$D$30,MATCH($B35,$A$28:$A$30,0))*(2050-2023))</f>
        <v>1.17999128234503</v>
      </c>
      <c r="E35" s="179">
        <f t="shared" ref="E35:E69" si="3" xml:space="preserve">INDEX($C$28:$C$30,MATCH($B35,$A$28:$A$30,0))+(INDEX($B$28:$B$30,MATCH($B35,$A$28:$A$30,0))-INDEX($C$28:$C$30,MATCH($B35,$A$28:$A$30,0)))*EXP(-INDEX($D$28:$D$30,MATCH($B35,$A$28:$A$30,0))*(2100-2023))</f>
        <v>1.08886475236954</v>
      </c>
    </row>
    <row r="36" spans="1:5">
      <c r="A36" s="171" t="s">
        <v>5</v>
      </c>
      <c r="B36" s="167" t="s">
        <v>132</v>
      </c>
      <c r="C36" s="174">
        <f t="shared" si="1"/>
        <v>1.45</v>
      </c>
      <c r="D36" s="174">
        <f t="shared" si="2"/>
        <v>1.17999128234503</v>
      </c>
      <c r="E36" s="174">
        <f t="shared" si="3"/>
        <v>1.08886475236954</v>
      </c>
    </row>
    <row r="37" spans="1:5">
      <c r="A37" s="177" t="s">
        <v>6</v>
      </c>
      <c r="B37" s="178" t="s">
        <v>130</v>
      </c>
      <c r="C37" s="179">
        <f t="shared" si="1"/>
        <v>1.75</v>
      </c>
      <c r="D37" s="179">
        <f t="shared" si="2"/>
        <v>1.34985690729825</v>
      </c>
      <c r="E37" s="179">
        <f t="shared" si="3"/>
        <v>1.19804658302616</v>
      </c>
    </row>
    <row r="38" spans="1:5">
      <c r="A38" s="171" t="s">
        <v>7</v>
      </c>
      <c r="B38" s="167" t="s">
        <v>130</v>
      </c>
      <c r="C38" s="174">
        <f t="shared" si="1"/>
        <v>1.75</v>
      </c>
      <c r="D38" s="174">
        <f t="shared" si="2"/>
        <v>1.34985690729825</v>
      </c>
      <c r="E38" s="174">
        <f t="shared" si="3"/>
        <v>1.19804658302616</v>
      </c>
    </row>
    <row r="39" spans="1:5">
      <c r="A39" s="177" t="s">
        <v>8</v>
      </c>
      <c r="B39" s="178" t="s">
        <v>132</v>
      </c>
      <c r="C39" s="179">
        <f t="shared" si="1"/>
        <v>1.45</v>
      </c>
      <c r="D39" s="179">
        <f t="shared" si="2"/>
        <v>1.17999128234503</v>
      </c>
      <c r="E39" s="179">
        <f t="shared" si="3"/>
        <v>1.08886475236954</v>
      </c>
    </row>
    <row r="40" spans="1:5">
      <c r="A40" s="171" t="s">
        <v>9</v>
      </c>
      <c r="B40" s="167" t="s">
        <v>130</v>
      </c>
      <c r="C40" s="174">
        <f t="shared" si="1"/>
        <v>1.75</v>
      </c>
      <c r="D40" s="174">
        <f t="shared" si="2"/>
        <v>1.34985690729825</v>
      </c>
      <c r="E40" s="174">
        <f t="shared" si="3"/>
        <v>1.19804658302616</v>
      </c>
    </row>
    <row r="41" spans="1:5">
      <c r="A41" s="177" t="s">
        <v>10</v>
      </c>
      <c r="B41" s="178" t="s">
        <v>132</v>
      </c>
      <c r="C41" s="179">
        <f t="shared" si="1"/>
        <v>1.45</v>
      </c>
      <c r="D41" s="179">
        <f t="shared" si="2"/>
        <v>1.17999128234503</v>
      </c>
      <c r="E41" s="179">
        <f t="shared" si="3"/>
        <v>1.08886475236954</v>
      </c>
    </row>
    <row r="42" spans="1:5">
      <c r="A42" s="171" t="s">
        <v>11</v>
      </c>
      <c r="B42" s="167" t="s">
        <v>128</v>
      </c>
      <c r="C42" s="174">
        <f t="shared" si="1"/>
        <v>1</v>
      </c>
      <c r="D42" s="174">
        <f t="shared" si="2"/>
        <v>1</v>
      </c>
      <c r="E42" s="174">
        <f t="shared" si="3"/>
        <v>1</v>
      </c>
    </row>
    <row r="43" spans="1:5">
      <c r="A43" s="177" t="s">
        <v>12</v>
      </c>
      <c r="B43" s="178" t="s">
        <v>132</v>
      </c>
      <c r="C43" s="179">
        <f t="shared" si="1"/>
        <v>1.45</v>
      </c>
      <c r="D43" s="179">
        <f t="shared" si="2"/>
        <v>1.17999128234503</v>
      </c>
      <c r="E43" s="179">
        <f t="shared" si="3"/>
        <v>1.08886475236954</v>
      </c>
    </row>
    <row r="44" spans="1:5">
      <c r="A44" s="171" t="s">
        <v>13</v>
      </c>
      <c r="B44" s="167" t="s">
        <v>132</v>
      </c>
      <c r="C44" s="174">
        <f t="shared" si="1"/>
        <v>1.45</v>
      </c>
      <c r="D44" s="174">
        <f t="shared" si="2"/>
        <v>1.17999128234503</v>
      </c>
      <c r="E44" s="174">
        <f t="shared" si="3"/>
        <v>1.08886475236954</v>
      </c>
    </row>
    <row r="45" spans="1:5">
      <c r="A45" s="177" t="s">
        <v>14</v>
      </c>
      <c r="B45" s="178" t="s">
        <v>130</v>
      </c>
      <c r="C45" s="179">
        <f t="shared" si="1"/>
        <v>1.75</v>
      </c>
      <c r="D45" s="179">
        <f t="shared" si="2"/>
        <v>1.34985690729825</v>
      </c>
      <c r="E45" s="179">
        <f t="shared" si="3"/>
        <v>1.19804658302616</v>
      </c>
    </row>
    <row r="46" spans="1:5">
      <c r="A46" s="171" t="s">
        <v>15</v>
      </c>
      <c r="B46" s="167" t="s">
        <v>130</v>
      </c>
      <c r="C46" s="174">
        <f t="shared" si="1"/>
        <v>1.75</v>
      </c>
      <c r="D46" s="174">
        <f t="shared" si="2"/>
        <v>1.34985690729825</v>
      </c>
      <c r="E46" s="174">
        <f t="shared" si="3"/>
        <v>1.19804658302616</v>
      </c>
    </row>
    <row r="47" spans="1:5">
      <c r="A47" s="177" t="s">
        <v>16</v>
      </c>
      <c r="B47" s="178" t="s">
        <v>132</v>
      </c>
      <c r="C47" s="179">
        <f t="shared" si="1"/>
        <v>1.45</v>
      </c>
      <c r="D47" s="179">
        <f t="shared" si="2"/>
        <v>1.17999128234503</v>
      </c>
      <c r="E47" s="179">
        <f t="shared" si="3"/>
        <v>1.08886475236954</v>
      </c>
    </row>
    <row r="48" spans="1:5">
      <c r="A48" s="171" t="s">
        <v>17</v>
      </c>
      <c r="B48" s="167" t="s">
        <v>132</v>
      </c>
      <c r="C48" s="174">
        <f t="shared" si="1"/>
        <v>1.45</v>
      </c>
      <c r="D48" s="174">
        <f t="shared" si="2"/>
        <v>1.17999128234503</v>
      </c>
      <c r="E48" s="174">
        <f t="shared" si="3"/>
        <v>1.08886475236954</v>
      </c>
    </row>
    <row r="49" spans="1:5">
      <c r="A49" s="177" t="s">
        <v>18</v>
      </c>
      <c r="B49" s="178" t="s">
        <v>130</v>
      </c>
      <c r="C49" s="179">
        <f t="shared" si="1"/>
        <v>1.75</v>
      </c>
      <c r="D49" s="179">
        <f t="shared" si="2"/>
        <v>1.34985690729825</v>
      </c>
      <c r="E49" s="179">
        <f t="shared" si="3"/>
        <v>1.19804658302616</v>
      </c>
    </row>
    <row r="50" spans="1:5">
      <c r="A50" s="180" t="s">
        <v>19</v>
      </c>
      <c r="B50" s="181" t="s">
        <v>132</v>
      </c>
      <c r="C50" s="182">
        <v>1.2</v>
      </c>
      <c r="D50" s="182">
        <v>1.1</v>
      </c>
      <c r="E50" s="182">
        <v>1.05</v>
      </c>
    </row>
    <row r="51" spans="1:5">
      <c r="A51" s="177" t="s">
        <v>20</v>
      </c>
      <c r="B51" s="178" t="s">
        <v>130</v>
      </c>
      <c r="C51" s="179">
        <f t="shared" si="1"/>
        <v>1.75</v>
      </c>
      <c r="D51" s="179">
        <f t="shared" si="2"/>
        <v>1.34985690729825</v>
      </c>
      <c r="E51" s="179">
        <f t="shared" si="3"/>
        <v>1.19804658302616</v>
      </c>
    </row>
    <row r="52" spans="1:5">
      <c r="A52" s="171" t="s">
        <v>21</v>
      </c>
      <c r="B52" s="167" t="s">
        <v>130</v>
      </c>
      <c r="C52" s="174">
        <f t="shared" si="1"/>
        <v>1.75</v>
      </c>
      <c r="D52" s="174">
        <f t="shared" si="2"/>
        <v>1.34985690729825</v>
      </c>
      <c r="E52" s="174">
        <f t="shared" si="3"/>
        <v>1.19804658302616</v>
      </c>
    </row>
    <row r="53" spans="1:5">
      <c r="A53" s="180" t="s">
        <v>22</v>
      </c>
      <c r="B53" s="181" t="s">
        <v>130</v>
      </c>
      <c r="C53" s="182">
        <v>1.2</v>
      </c>
      <c r="D53" s="182">
        <v>1.1</v>
      </c>
      <c r="E53" s="182">
        <v>1.05</v>
      </c>
    </row>
    <row r="54" spans="1:5">
      <c r="A54" s="171" t="s">
        <v>23</v>
      </c>
      <c r="B54" s="167" t="s">
        <v>132</v>
      </c>
      <c r="C54" s="174">
        <f t="shared" si="1"/>
        <v>1.45</v>
      </c>
      <c r="D54" s="174">
        <f t="shared" si="2"/>
        <v>1.17999128234503</v>
      </c>
      <c r="E54" s="174">
        <f t="shared" si="3"/>
        <v>1.08886475236954</v>
      </c>
    </row>
    <row r="55" spans="1:5">
      <c r="A55" s="177" t="s">
        <v>24</v>
      </c>
      <c r="B55" s="178" t="s">
        <v>132</v>
      </c>
      <c r="C55" s="179">
        <f t="shared" si="1"/>
        <v>1.45</v>
      </c>
      <c r="D55" s="179">
        <f t="shared" si="2"/>
        <v>1.17999128234503</v>
      </c>
      <c r="E55" s="179">
        <f t="shared" si="3"/>
        <v>1.08886475236954</v>
      </c>
    </row>
    <row r="56" spans="1:5">
      <c r="A56" s="180" t="s">
        <v>25</v>
      </c>
      <c r="B56" s="181" t="s">
        <v>136</v>
      </c>
      <c r="C56" s="182">
        <v>1.2</v>
      </c>
      <c r="D56" s="182">
        <v>1.1</v>
      </c>
      <c r="E56" s="182">
        <v>1.05</v>
      </c>
    </row>
    <row r="57" spans="1:5">
      <c r="A57" s="177" t="s">
        <v>26</v>
      </c>
      <c r="B57" s="178" t="s">
        <v>130</v>
      </c>
      <c r="C57" s="179">
        <f t="shared" si="1"/>
        <v>1.75</v>
      </c>
      <c r="D57" s="179">
        <f t="shared" si="2"/>
        <v>1.34985690729825</v>
      </c>
      <c r="E57" s="179">
        <f t="shared" si="3"/>
        <v>1.19804658302616</v>
      </c>
    </row>
    <row r="58" spans="1:5">
      <c r="A58" s="171" t="s">
        <v>27</v>
      </c>
      <c r="B58" s="167" t="s">
        <v>132</v>
      </c>
      <c r="C58" s="174">
        <f t="shared" si="1"/>
        <v>1.45</v>
      </c>
      <c r="D58" s="174">
        <f t="shared" si="2"/>
        <v>1.17999128234503</v>
      </c>
      <c r="E58" s="174">
        <f t="shared" si="3"/>
        <v>1.08886475236954</v>
      </c>
    </row>
    <row r="59" spans="1:5">
      <c r="A59" s="177" t="s">
        <v>28</v>
      </c>
      <c r="B59" s="178" t="s">
        <v>132</v>
      </c>
      <c r="C59" s="179">
        <f t="shared" si="1"/>
        <v>1.45</v>
      </c>
      <c r="D59" s="179">
        <f t="shared" si="2"/>
        <v>1.17999128234503</v>
      </c>
      <c r="E59" s="179">
        <f t="shared" si="3"/>
        <v>1.08886475236954</v>
      </c>
    </row>
    <row r="60" spans="1:5">
      <c r="A60" s="171" t="s">
        <v>29</v>
      </c>
      <c r="B60" s="167" t="s">
        <v>132</v>
      </c>
      <c r="C60" s="174">
        <f t="shared" si="1"/>
        <v>1.45</v>
      </c>
      <c r="D60" s="174">
        <f t="shared" si="2"/>
        <v>1.17999128234503</v>
      </c>
      <c r="E60" s="174">
        <f t="shared" si="3"/>
        <v>1.08886475236954</v>
      </c>
    </row>
    <row r="61" spans="1:5">
      <c r="A61" s="177" t="s">
        <v>30</v>
      </c>
      <c r="B61" s="178" t="s">
        <v>132</v>
      </c>
      <c r="C61" s="179">
        <f t="shared" si="1"/>
        <v>1.45</v>
      </c>
      <c r="D61" s="179">
        <f t="shared" si="2"/>
        <v>1.17999128234503</v>
      </c>
      <c r="E61" s="179">
        <f t="shared" si="3"/>
        <v>1.08886475236954</v>
      </c>
    </row>
    <row r="62" spans="1:5">
      <c r="A62" s="171" t="s">
        <v>31</v>
      </c>
      <c r="B62" s="167" t="s">
        <v>132</v>
      </c>
      <c r="C62" s="174">
        <f t="shared" si="1"/>
        <v>1.45</v>
      </c>
      <c r="D62" s="174">
        <f t="shared" si="2"/>
        <v>1.17999128234503</v>
      </c>
      <c r="E62" s="174">
        <f t="shared" si="3"/>
        <v>1.08886475236954</v>
      </c>
    </row>
    <row r="63" spans="1:5">
      <c r="A63" s="177" t="s">
        <v>32</v>
      </c>
      <c r="B63" s="178" t="s">
        <v>132</v>
      </c>
      <c r="C63" s="179">
        <f t="shared" si="1"/>
        <v>1.45</v>
      </c>
      <c r="D63" s="179">
        <f t="shared" si="2"/>
        <v>1.17999128234503</v>
      </c>
      <c r="E63" s="179">
        <f t="shared" si="3"/>
        <v>1.08886475236954</v>
      </c>
    </row>
    <row r="64" spans="1:5">
      <c r="A64" s="171" t="s">
        <v>33</v>
      </c>
      <c r="B64" s="167" t="s">
        <v>130</v>
      </c>
      <c r="C64" s="174">
        <f t="shared" si="1"/>
        <v>1.75</v>
      </c>
      <c r="D64" s="174">
        <f t="shared" si="2"/>
        <v>1.34985690729825</v>
      </c>
      <c r="E64" s="174">
        <f t="shared" si="3"/>
        <v>1.19804658302616</v>
      </c>
    </row>
    <row r="65" spans="1:39">
      <c r="A65" s="177" t="s">
        <v>34</v>
      </c>
      <c r="B65" s="178" t="s">
        <v>130</v>
      </c>
      <c r="C65" s="179">
        <f t="shared" si="1"/>
        <v>1.75</v>
      </c>
      <c r="D65" s="179">
        <f t="shared" si="2"/>
        <v>1.34985690729825</v>
      </c>
      <c r="E65" s="179">
        <f t="shared" si="3"/>
        <v>1.19804658302616</v>
      </c>
    </row>
    <row r="66" spans="1:39">
      <c r="A66" s="171" t="s">
        <v>35</v>
      </c>
      <c r="B66" s="167" t="s">
        <v>132</v>
      </c>
      <c r="C66" s="174">
        <f t="shared" si="1"/>
        <v>1.45</v>
      </c>
      <c r="D66" s="174">
        <f t="shared" si="2"/>
        <v>1.17999128234503</v>
      </c>
      <c r="E66" s="174">
        <f t="shared" si="3"/>
        <v>1.08886475236954</v>
      </c>
    </row>
    <row r="67" spans="1:39">
      <c r="A67" s="177" t="s">
        <v>36</v>
      </c>
      <c r="B67" s="178" t="s">
        <v>130</v>
      </c>
      <c r="C67" s="179">
        <f t="shared" si="1"/>
        <v>1.75</v>
      </c>
      <c r="D67" s="179">
        <f t="shared" si="2"/>
        <v>1.34985690729825</v>
      </c>
      <c r="E67" s="179">
        <f t="shared" si="3"/>
        <v>1.19804658302616</v>
      </c>
    </row>
    <row r="68" spans="1:39">
      <c r="A68" s="171" t="s">
        <v>37</v>
      </c>
      <c r="B68" s="167" t="s">
        <v>132</v>
      </c>
      <c r="C68" s="174">
        <f t="shared" si="1"/>
        <v>1.45</v>
      </c>
      <c r="D68" s="174">
        <f t="shared" si="2"/>
        <v>1.17999128234503</v>
      </c>
      <c r="E68" s="174">
        <f t="shared" si="3"/>
        <v>1.08886475236954</v>
      </c>
    </row>
    <row r="69" spans="1:39">
      <c r="A69" s="177" t="s">
        <v>38</v>
      </c>
      <c r="B69" s="178" t="s">
        <v>132</v>
      </c>
      <c r="C69" s="179">
        <f t="shared" si="1"/>
        <v>1.45</v>
      </c>
      <c r="D69" s="179">
        <f t="shared" si="2"/>
        <v>1.17999128234503</v>
      </c>
      <c r="E69" s="179">
        <f t="shared" si="3"/>
        <v>1.08886475236954</v>
      </c>
    </row>
    <row r="70" spans="1:39">
      <c r="A70" s="165" t="s">
        <v>137</v>
      </c>
      <c r="E70" s="162" t="s">
        <v>138</v>
      </c>
    </row>
    <row r="72" s="161" customFormat="1" spans="1:39">
      <c r="A72" s="183" t="s">
        <v>52</v>
      </c>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c r="AA72" s="184"/>
      <c r="AB72" s="184"/>
      <c r="AC72" s="184"/>
      <c r="AD72" s="184"/>
      <c r="AE72" s="184"/>
      <c r="AF72" s="184"/>
      <c r="AG72" s="184"/>
      <c r="AH72" s="184"/>
      <c r="AI72" s="184"/>
      <c r="AJ72" s="184"/>
      <c r="AK72" s="184"/>
      <c r="AL72" s="184"/>
      <c r="AM72" s="184"/>
    </row>
    <row r="73" s="161" customFormat="1" spans="1:39">
      <c r="A73" s="185" t="s">
        <v>66</v>
      </c>
      <c r="B73" s="185" t="s">
        <v>41</v>
      </c>
      <c r="C73" s="185" t="s">
        <v>3</v>
      </c>
      <c r="D73" s="185" t="s">
        <v>5</v>
      </c>
      <c r="E73" s="185" t="s">
        <v>6</v>
      </c>
      <c r="F73" s="185" t="s">
        <v>7</v>
      </c>
      <c r="G73" s="185" t="s">
        <v>8</v>
      </c>
      <c r="H73" s="185" t="s">
        <v>9</v>
      </c>
      <c r="I73" s="185" t="s">
        <v>10</v>
      </c>
      <c r="J73" s="185" t="s">
        <v>11</v>
      </c>
      <c r="K73" s="185" t="s">
        <v>12</v>
      </c>
      <c r="L73" s="185" t="s">
        <v>13</v>
      </c>
      <c r="M73" s="185" t="s">
        <v>14</v>
      </c>
      <c r="N73" s="185" t="s">
        <v>15</v>
      </c>
      <c r="O73" s="185" t="s">
        <v>16</v>
      </c>
      <c r="P73" s="185" t="s">
        <v>17</v>
      </c>
      <c r="Q73" s="185" t="s">
        <v>18</v>
      </c>
      <c r="R73" s="185" t="s">
        <v>19</v>
      </c>
      <c r="S73" s="185" t="s">
        <v>20</v>
      </c>
      <c r="T73" s="185" t="s">
        <v>21</v>
      </c>
      <c r="U73" s="185" t="s">
        <v>22</v>
      </c>
      <c r="V73" s="185" t="s">
        <v>23</v>
      </c>
      <c r="W73" s="185" t="s">
        <v>24</v>
      </c>
      <c r="X73" s="185" t="s">
        <v>25</v>
      </c>
      <c r="Y73" s="185" t="s">
        <v>26</v>
      </c>
      <c r="Z73" s="185" t="s">
        <v>27</v>
      </c>
      <c r="AA73" s="185" t="s">
        <v>28</v>
      </c>
      <c r="AB73" s="185" t="s">
        <v>29</v>
      </c>
      <c r="AC73" s="185" t="s">
        <v>30</v>
      </c>
      <c r="AD73" s="185" t="s">
        <v>31</v>
      </c>
      <c r="AE73" s="185" t="s">
        <v>32</v>
      </c>
      <c r="AF73" s="185" t="s">
        <v>33</v>
      </c>
      <c r="AG73" s="185" t="s">
        <v>34</v>
      </c>
      <c r="AH73" s="185" t="s">
        <v>35</v>
      </c>
      <c r="AI73" s="185" t="s">
        <v>36</v>
      </c>
      <c r="AJ73" s="185" t="s">
        <v>37</v>
      </c>
      <c r="AK73" s="185" t="s">
        <v>38</v>
      </c>
      <c r="AL73" s="184"/>
      <c r="AM73" s="184"/>
    </row>
    <row r="74" s="161" customFormat="1" spans="1:39">
      <c r="A74" s="186" t="str">
        <f t="shared" ref="A74:A80" si="4" xml:space="preserve">A6</f>
        <v>Tra_EV_Batt-LFP_fromrecy</v>
      </c>
      <c r="B74" s="187">
        <v>2023</v>
      </c>
      <c r="C74" s="188">
        <f xml:space="preserve">C106</f>
        <v>80.4557585</v>
      </c>
      <c r="D74" s="188">
        <f t="shared" ref="D74:AK74" si="5" xml:space="preserve">D106</f>
        <v>80.4557585</v>
      </c>
      <c r="E74" s="188">
        <f t="shared" si="5"/>
        <v>97.1017775</v>
      </c>
      <c r="F74" s="188">
        <f t="shared" si="5"/>
        <v>97.1017775</v>
      </c>
      <c r="G74" s="188">
        <f t="shared" si="5"/>
        <v>80.4557585</v>
      </c>
      <c r="H74" s="188">
        <f t="shared" si="5"/>
        <v>97.1017775</v>
      </c>
      <c r="I74" s="188">
        <f t="shared" si="5"/>
        <v>80.4557585</v>
      </c>
      <c r="J74" s="188">
        <f t="shared" si="5"/>
        <v>55.48673</v>
      </c>
      <c r="K74" s="188">
        <f t="shared" si="5"/>
        <v>80.4557585</v>
      </c>
      <c r="L74" s="188">
        <f t="shared" si="5"/>
        <v>80.4557585</v>
      </c>
      <c r="M74" s="188">
        <f t="shared" si="5"/>
        <v>97.1017775</v>
      </c>
      <c r="N74" s="188">
        <f t="shared" si="5"/>
        <v>97.1017775</v>
      </c>
      <c r="O74" s="188">
        <f t="shared" si="5"/>
        <v>80.4557585</v>
      </c>
      <c r="P74" s="188">
        <f t="shared" si="5"/>
        <v>80.4557585</v>
      </c>
      <c r="Q74" s="188">
        <f t="shared" si="5"/>
        <v>97.1017775</v>
      </c>
      <c r="R74" s="188">
        <f t="shared" si="5"/>
        <v>66.584076</v>
      </c>
      <c r="S74" s="188">
        <f t="shared" si="5"/>
        <v>97.1017775</v>
      </c>
      <c r="T74" s="188">
        <f t="shared" si="5"/>
        <v>97.1017775</v>
      </c>
      <c r="U74" s="188">
        <f t="shared" si="5"/>
        <v>66.584076</v>
      </c>
      <c r="V74" s="188">
        <f t="shared" si="5"/>
        <v>80.4557585</v>
      </c>
      <c r="W74" s="188">
        <f t="shared" si="5"/>
        <v>80.4557585</v>
      </c>
      <c r="X74" s="188">
        <f t="shared" si="5"/>
        <v>66.584076</v>
      </c>
      <c r="Y74" s="188">
        <f t="shared" si="5"/>
        <v>97.1017775</v>
      </c>
      <c r="Z74" s="188">
        <f t="shared" si="5"/>
        <v>80.4557585</v>
      </c>
      <c r="AA74" s="188">
        <f t="shared" si="5"/>
        <v>80.4557585</v>
      </c>
      <c r="AB74" s="188">
        <f t="shared" si="5"/>
        <v>80.4557585</v>
      </c>
      <c r="AC74" s="188">
        <f t="shared" si="5"/>
        <v>80.4557585</v>
      </c>
      <c r="AD74" s="188">
        <f t="shared" si="5"/>
        <v>80.4557585</v>
      </c>
      <c r="AE74" s="188">
        <f t="shared" si="5"/>
        <v>80.4557585</v>
      </c>
      <c r="AF74" s="188">
        <f t="shared" si="5"/>
        <v>97.1017775</v>
      </c>
      <c r="AG74" s="188">
        <f t="shared" si="5"/>
        <v>97.1017775</v>
      </c>
      <c r="AH74" s="188">
        <f t="shared" si="5"/>
        <v>80.4557585</v>
      </c>
      <c r="AI74" s="188">
        <f t="shared" si="5"/>
        <v>97.1017775</v>
      </c>
      <c r="AJ74" s="188">
        <f t="shared" si="5"/>
        <v>80.4557585</v>
      </c>
      <c r="AK74" s="188">
        <f t="shared" si="5"/>
        <v>80.4557585</v>
      </c>
      <c r="AL74" s="184"/>
      <c r="AM74" s="184"/>
    </row>
    <row r="75" s="161" customFormat="1" spans="1:39">
      <c r="A75" s="186" t="str">
        <f t="shared" si="4"/>
        <v>Tra_EV_Batt-LMO_fromrecy</v>
      </c>
      <c r="B75" s="187">
        <v>2023</v>
      </c>
      <c r="C75" s="188">
        <f t="shared" ref="C75:C80" si="6" xml:space="preserve">C107</f>
        <v>96.1721925</v>
      </c>
      <c r="D75" s="188">
        <f t="shared" ref="D75:AK75" si="7" xml:space="preserve">D107</f>
        <v>96.1721925</v>
      </c>
      <c r="E75" s="188">
        <f t="shared" si="7"/>
        <v>116.0698875</v>
      </c>
      <c r="F75" s="188">
        <f t="shared" si="7"/>
        <v>116.0698875</v>
      </c>
      <c r="G75" s="188">
        <f t="shared" si="7"/>
        <v>96.1721925</v>
      </c>
      <c r="H75" s="188">
        <f t="shared" si="7"/>
        <v>116.0698875</v>
      </c>
      <c r="I75" s="188">
        <f t="shared" si="7"/>
        <v>96.1721925</v>
      </c>
      <c r="J75" s="188">
        <f t="shared" si="7"/>
        <v>66.32565</v>
      </c>
      <c r="K75" s="188">
        <f t="shared" si="7"/>
        <v>96.1721925</v>
      </c>
      <c r="L75" s="188">
        <f t="shared" si="7"/>
        <v>96.1721925</v>
      </c>
      <c r="M75" s="188">
        <f t="shared" si="7"/>
        <v>116.0698875</v>
      </c>
      <c r="N75" s="188">
        <f t="shared" si="7"/>
        <v>116.0698875</v>
      </c>
      <c r="O75" s="188">
        <f t="shared" si="7"/>
        <v>96.1721925</v>
      </c>
      <c r="P75" s="188">
        <f t="shared" si="7"/>
        <v>96.1721925</v>
      </c>
      <c r="Q75" s="188">
        <f t="shared" si="7"/>
        <v>116.0698875</v>
      </c>
      <c r="R75" s="188">
        <f t="shared" si="7"/>
        <v>79.59078</v>
      </c>
      <c r="S75" s="188">
        <f t="shared" si="7"/>
        <v>116.0698875</v>
      </c>
      <c r="T75" s="188">
        <f t="shared" si="7"/>
        <v>116.0698875</v>
      </c>
      <c r="U75" s="188">
        <f t="shared" si="7"/>
        <v>79.59078</v>
      </c>
      <c r="V75" s="188">
        <f t="shared" si="7"/>
        <v>96.1721925</v>
      </c>
      <c r="W75" s="188">
        <f t="shared" si="7"/>
        <v>96.1721925</v>
      </c>
      <c r="X75" s="188">
        <f t="shared" si="7"/>
        <v>79.59078</v>
      </c>
      <c r="Y75" s="188">
        <f t="shared" si="7"/>
        <v>116.0698875</v>
      </c>
      <c r="Z75" s="188">
        <f t="shared" si="7"/>
        <v>96.1721925</v>
      </c>
      <c r="AA75" s="188">
        <f t="shared" si="7"/>
        <v>96.1721925</v>
      </c>
      <c r="AB75" s="188">
        <f t="shared" si="7"/>
        <v>96.1721925</v>
      </c>
      <c r="AC75" s="188">
        <f t="shared" si="7"/>
        <v>96.1721925</v>
      </c>
      <c r="AD75" s="188">
        <f t="shared" si="7"/>
        <v>96.1721925</v>
      </c>
      <c r="AE75" s="188">
        <f t="shared" si="7"/>
        <v>96.1721925</v>
      </c>
      <c r="AF75" s="188">
        <f t="shared" si="7"/>
        <v>116.0698875</v>
      </c>
      <c r="AG75" s="188">
        <f t="shared" si="7"/>
        <v>116.0698875</v>
      </c>
      <c r="AH75" s="188">
        <f t="shared" si="7"/>
        <v>96.1721925</v>
      </c>
      <c r="AI75" s="188">
        <f t="shared" si="7"/>
        <v>116.0698875</v>
      </c>
      <c r="AJ75" s="188">
        <f t="shared" si="7"/>
        <v>96.1721925</v>
      </c>
      <c r="AK75" s="188">
        <f t="shared" si="7"/>
        <v>96.1721925</v>
      </c>
      <c r="AL75" s="184"/>
      <c r="AM75" s="184"/>
    </row>
    <row r="76" s="161" customFormat="1" spans="1:39">
      <c r="A76" s="186" t="str">
        <f t="shared" si="4"/>
        <v>Tra_EV_Batt-NCA_fromrecy</v>
      </c>
      <c r="B76" s="187">
        <v>2023</v>
      </c>
      <c r="C76" s="188">
        <f t="shared" si="6"/>
        <v>81.3471315</v>
      </c>
      <c r="D76" s="188">
        <f t="shared" ref="D76:AK76" si="8" xml:space="preserve">D108</f>
        <v>81.3471315</v>
      </c>
      <c r="E76" s="188">
        <f t="shared" si="8"/>
        <v>98.1775725</v>
      </c>
      <c r="F76" s="188">
        <f t="shared" si="8"/>
        <v>98.1775725</v>
      </c>
      <c r="G76" s="188">
        <f t="shared" si="8"/>
        <v>81.3471315</v>
      </c>
      <c r="H76" s="188">
        <f t="shared" si="8"/>
        <v>98.1775725</v>
      </c>
      <c r="I76" s="188">
        <f t="shared" si="8"/>
        <v>81.3471315</v>
      </c>
      <c r="J76" s="188">
        <f t="shared" si="8"/>
        <v>56.10147</v>
      </c>
      <c r="K76" s="188">
        <f t="shared" si="8"/>
        <v>81.3471315</v>
      </c>
      <c r="L76" s="188">
        <f t="shared" si="8"/>
        <v>81.3471315</v>
      </c>
      <c r="M76" s="188">
        <f t="shared" si="8"/>
        <v>98.1775725</v>
      </c>
      <c r="N76" s="188">
        <f t="shared" si="8"/>
        <v>98.1775725</v>
      </c>
      <c r="O76" s="188">
        <f t="shared" si="8"/>
        <v>81.3471315</v>
      </c>
      <c r="P76" s="188">
        <f t="shared" si="8"/>
        <v>81.3471315</v>
      </c>
      <c r="Q76" s="188">
        <f t="shared" si="8"/>
        <v>98.1775725</v>
      </c>
      <c r="R76" s="188">
        <f t="shared" si="8"/>
        <v>67.321764</v>
      </c>
      <c r="S76" s="188">
        <f t="shared" si="8"/>
        <v>98.1775725</v>
      </c>
      <c r="T76" s="188">
        <f t="shared" si="8"/>
        <v>98.1775725</v>
      </c>
      <c r="U76" s="188">
        <f t="shared" si="8"/>
        <v>67.321764</v>
      </c>
      <c r="V76" s="188">
        <f t="shared" si="8"/>
        <v>81.3471315</v>
      </c>
      <c r="W76" s="188">
        <f t="shared" si="8"/>
        <v>81.3471315</v>
      </c>
      <c r="X76" s="188">
        <f t="shared" si="8"/>
        <v>67.321764</v>
      </c>
      <c r="Y76" s="188">
        <f t="shared" si="8"/>
        <v>98.1775725</v>
      </c>
      <c r="Z76" s="188">
        <f t="shared" si="8"/>
        <v>81.3471315</v>
      </c>
      <c r="AA76" s="188">
        <f t="shared" si="8"/>
        <v>81.3471315</v>
      </c>
      <c r="AB76" s="188">
        <f t="shared" si="8"/>
        <v>81.3471315</v>
      </c>
      <c r="AC76" s="188">
        <f t="shared" si="8"/>
        <v>81.3471315</v>
      </c>
      <c r="AD76" s="188">
        <f t="shared" si="8"/>
        <v>81.3471315</v>
      </c>
      <c r="AE76" s="188">
        <f t="shared" si="8"/>
        <v>81.3471315</v>
      </c>
      <c r="AF76" s="188">
        <f t="shared" si="8"/>
        <v>98.1775725</v>
      </c>
      <c r="AG76" s="188">
        <f t="shared" si="8"/>
        <v>98.1775725</v>
      </c>
      <c r="AH76" s="188">
        <f t="shared" si="8"/>
        <v>81.3471315</v>
      </c>
      <c r="AI76" s="188">
        <f t="shared" si="8"/>
        <v>98.1775725</v>
      </c>
      <c r="AJ76" s="188">
        <f t="shared" si="8"/>
        <v>81.3471315</v>
      </c>
      <c r="AK76" s="188">
        <f t="shared" si="8"/>
        <v>81.3471315</v>
      </c>
      <c r="AL76" s="184"/>
      <c r="AM76" s="184"/>
    </row>
    <row r="77" s="161" customFormat="1" spans="1:39">
      <c r="A77" s="186" t="str">
        <f t="shared" si="4"/>
        <v>Tra_EV_Batt-NMC111_fromrecy</v>
      </c>
      <c r="B77" s="187">
        <v>2023</v>
      </c>
      <c r="C77" s="188">
        <f t="shared" si="6"/>
        <v>80.5612895</v>
      </c>
      <c r="D77" s="188">
        <f t="shared" ref="D77:AK77" si="9" xml:space="preserve">D109</f>
        <v>80.5612895</v>
      </c>
      <c r="E77" s="188">
        <f t="shared" si="9"/>
        <v>97.2291425</v>
      </c>
      <c r="F77" s="188">
        <f t="shared" si="9"/>
        <v>97.2291425</v>
      </c>
      <c r="G77" s="188">
        <f t="shared" si="9"/>
        <v>80.5612895</v>
      </c>
      <c r="H77" s="188">
        <f t="shared" si="9"/>
        <v>97.2291425</v>
      </c>
      <c r="I77" s="188">
        <f t="shared" si="9"/>
        <v>80.5612895</v>
      </c>
      <c r="J77" s="188">
        <f t="shared" si="9"/>
        <v>55.55951</v>
      </c>
      <c r="K77" s="188">
        <f t="shared" si="9"/>
        <v>80.5612895</v>
      </c>
      <c r="L77" s="188">
        <f t="shared" si="9"/>
        <v>80.5612895</v>
      </c>
      <c r="M77" s="188">
        <f t="shared" si="9"/>
        <v>97.2291425</v>
      </c>
      <c r="N77" s="188">
        <f t="shared" si="9"/>
        <v>97.2291425</v>
      </c>
      <c r="O77" s="188">
        <f t="shared" si="9"/>
        <v>80.5612895</v>
      </c>
      <c r="P77" s="188">
        <f t="shared" si="9"/>
        <v>80.5612895</v>
      </c>
      <c r="Q77" s="188">
        <f t="shared" si="9"/>
        <v>97.2291425</v>
      </c>
      <c r="R77" s="188">
        <f t="shared" si="9"/>
        <v>66.671412</v>
      </c>
      <c r="S77" s="188">
        <f t="shared" si="9"/>
        <v>97.2291425</v>
      </c>
      <c r="T77" s="188">
        <f t="shared" si="9"/>
        <v>97.2291425</v>
      </c>
      <c r="U77" s="188">
        <f t="shared" si="9"/>
        <v>66.671412</v>
      </c>
      <c r="V77" s="188">
        <f t="shared" si="9"/>
        <v>80.5612895</v>
      </c>
      <c r="W77" s="188">
        <f t="shared" si="9"/>
        <v>80.5612895</v>
      </c>
      <c r="X77" s="188">
        <f t="shared" si="9"/>
        <v>66.671412</v>
      </c>
      <c r="Y77" s="188">
        <f t="shared" si="9"/>
        <v>97.2291425</v>
      </c>
      <c r="Z77" s="188">
        <f t="shared" si="9"/>
        <v>80.5612895</v>
      </c>
      <c r="AA77" s="188">
        <f t="shared" si="9"/>
        <v>80.5612895</v>
      </c>
      <c r="AB77" s="188">
        <f t="shared" si="9"/>
        <v>80.5612895</v>
      </c>
      <c r="AC77" s="188">
        <f t="shared" si="9"/>
        <v>80.5612895</v>
      </c>
      <c r="AD77" s="188">
        <f t="shared" si="9"/>
        <v>80.5612895</v>
      </c>
      <c r="AE77" s="188">
        <f t="shared" si="9"/>
        <v>80.5612895</v>
      </c>
      <c r="AF77" s="188">
        <f t="shared" si="9"/>
        <v>97.2291425</v>
      </c>
      <c r="AG77" s="188">
        <f t="shared" si="9"/>
        <v>97.2291425</v>
      </c>
      <c r="AH77" s="188">
        <f t="shared" si="9"/>
        <v>80.5612895</v>
      </c>
      <c r="AI77" s="188">
        <f t="shared" si="9"/>
        <v>97.2291425</v>
      </c>
      <c r="AJ77" s="188">
        <f t="shared" si="9"/>
        <v>80.5612895</v>
      </c>
      <c r="AK77" s="188">
        <f t="shared" si="9"/>
        <v>80.5612895</v>
      </c>
      <c r="AL77" s="184"/>
      <c r="AM77" s="184"/>
    </row>
    <row r="78" s="161" customFormat="1" spans="1:39">
      <c r="A78" s="186" t="str">
        <f t="shared" si="4"/>
        <v>Tra_EV_Batt-NMC532_fromrecy</v>
      </c>
      <c r="B78" s="187">
        <v>2023</v>
      </c>
      <c r="C78" s="188">
        <f t="shared" si="6"/>
        <v>86.083165</v>
      </c>
      <c r="D78" s="188">
        <f t="shared" ref="D78:AK78" si="10" xml:space="preserve">D110</f>
        <v>86.083165</v>
      </c>
      <c r="E78" s="188">
        <f t="shared" si="10"/>
        <v>103.893475</v>
      </c>
      <c r="F78" s="188">
        <f t="shared" si="10"/>
        <v>103.893475</v>
      </c>
      <c r="G78" s="188">
        <f t="shared" si="10"/>
        <v>86.083165</v>
      </c>
      <c r="H78" s="188">
        <f t="shared" si="10"/>
        <v>103.893475</v>
      </c>
      <c r="I78" s="188">
        <f t="shared" si="10"/>
        <v>86.083165</v>
      </c>
      <c r="J78" s="188">
        <f t="shared" si="10"/>
        <v>59.3677</v>
      </c>
      <c r="K78" s="188">
        <f t="shared" si="10"/>
        <v>86.083165</v>
      </c>
      <c r="L78" s="188">
        <f t="shared" si="10"/>
        <v>86.083165</v>
      </c>
      <c r="M78" s="188">
        <f t="shared" si="10"/>
        <v>103.893475</v>
      </c>
      <c r="N78" s="188">
        <f t="shared" si="10"/>
        <v>103.893475</v>
      </c>
      <c r="O78" s="188">
        <f t="shared" si="10"/>
        <v>86.083165</v>
      </c>
      <c r="P78" s="188">
        <f t="shared" si="10"/>
        <v>86.083165</v>
      </c>
      <c r="Q78" s="188">
        <f t="shared" si="10"/>
        <v>103.893475</v>
      </c>
      <c r="R78" s="188">
        <f t="shared" si="10"/>
        <v>71.24124</v>
      </c>
      <c r="S78" s="188">
        <f t="shared" si="10"/>
        <v>103.893475</v>
      </c>
      <c r="T78" s="188">
        <f t="shared" si="10"/>
        <v>103.893475</v>
      </c>
      <c r="U78" s="188">
        <f t="shared" si="10"/>
        <v>71.24124</v>
      </c>
      <c r="V78" s="188">
        <f t="shared" si="10"/>
        <v>86.083165</v>
      </c>
      <c r="W78" s="188">
        <f t="shared" si="10"/>
        <v>86.083165</v>
      </c>
      <c r="X78" s="188">
        <f t="shared" si="10"/>
        <v>71.24124</v>
      </c>
      <c r="Y78" s="188">
        <f t="shared" si="10"/>
        <v>103.893475</v>
      </c>
      <c r="Z78" s="188">
        <f t="shared" si="10"/>
        <v>86.083165</v>
      </c>
      <c r="AA78" s="188">
        <f t="shared" si="10"/>
        <v>86.083165</v>
      </c>
      <c r="AB78" s="188">
        <f t="shared" si="10"/>
        <v>86.083165</v>
      </c>
      <c r="AC78" s="188">
        <f t="shared" si="10"/>
        <v>86.083165</v>
      </c>
      <c r="AD78" s="188">
        <f t="shared" si="10"/>
        <v>86.083165</v>
      </c>
      <c r="AE78" s="188">
        <f t="shared" si="10"/>
        <v>86.083165</v>
      </c>
      <c r="AF78" s="188">
        <f t="shared" si="10"/>
        <v>103.893475</v>
      </c>
      <c r="AG78" s="188">
        <f t="shared" si="10"/>
        <v>103.893475</v>
      </c>
      <c r="AH78" s="188">
        <f t="shared" si="10"/>
        <v>86.083165</v>
      </c>
      <c r="AI78" s="188">
        <f t="shared" si="10"/>
        <v>103.893475</v>
      </c>
      <c r="AJ78" s="188">
        <f t="shared" si="10"/>
        <v>86.083165</v>
      </c>
      <c r="AK78" s="188">
        <f t="shared" si="10"/>
        <v>86.083165</v>
      </c>
      <c r="AL78" s="184"/>
      <c r="AM78" s="184"/>
    </row>
    <row r="79" s="161" customFormat="1" spans="1:39">
      <c r="A79" s="186" t="str">
        <f t="shared" si="4"/>
        <v>Tra_EV_Batt-NMC622_fromrecy</v>
      </c>
      <c r="B79" s="187">
        <v>2023</v>
      </c>
      <c r="C79" s="188">
        <f t="shared" si="6"/>
        <v>83.1394475</v>
      </c>
      <c r="D79" s="188">
        <f t="shared" ref="D79:AK79" si="11" xml:space="preserve">D111</f>
        <v>83.1394475</v>
      </c>
      <c r="E79" s="188">
        <f t="shared" si="11"/>
        <v>100.3407125</v>
      </c>
      <c r="F79" s="188">
        <f t="shared" si="11"/>
        <v>100.3407125</v>
      </c>
      <c r="G79" s="188">
        <f t="shared" si="11"/>
        <v>83.1394475</v>
      </c>
      <c r="H79" s="188">
        <f t="shared" si="11"/>
        <v>100.3407125</v>
      </c>
      <c r="I79" s="188">
        <f t="shared" si="11"/>
        <v>83.1394475</v>
      </c>
      <c r="J79" s="188">
        <f t="shared" si="11"/>
        <v>57.33755</v>
      </c>
      <c r="K79" s="188">
        <f t="shared" si="11"/>
        <v>83.1394475</v>
      </c>
      <c r="L79" s="188">
        <f t="shared" si="11"/>
        <v>83.1394475</v>
      </c>
      <c r="M79" s="188">
        <f t="shared" si="11"/>
        <v>100.3407125</v>
      </c>
      <c r="N79" s="188">
        <f t="shared" si="11"/>
        <v>100.3407125</v>
      </c>
      <c r="O79" s="188">
        <f t="shared" si="11"/>
        <v>83.1394475</v>
      </c>
      <c r="P79" s="188">
        <f t="shared" si="11"/>
        <v>83.1394475</v>
      </c>
      <c r="Q79" s="188">
        <f t="shared" si="11"/>
        <v>100.3407125</v>
      </c>
      <c r="R79" s="188">
        <f t="shared" si="11"/>
        <v>68.80506</v>
      </c>
      <c r="S79" s="188">
        <f t="shared" si="11"/>
        <v>100.3407125</v>
      </c>
      <c r="T79" s="188">
        <f t="shared" si="11"/>
        <v>100.3407125</v>
      </c>
      <c r="U79" s="188">
        <f t="shared" si="11"/>
        <v>68.80506</v>
      </c>
      <c r="V79" s="188">
        <f t="shared" si="11"/>
        <v>83.1394475</v>
      </c>
      <c r="W79" s="188">
        <f t="shared" si="11"/>
        <v>83.1394475</v>
      </c>
      <c r="X79" s="188">
        <f t="shared" si="11"/>
        <v>68.80506</v>
      </c>
      <c r="Y79" s="188">
        <f t="shared" si="11"/>
        <v>100.3407125</v>
      </c>
      <c r="Z79" s="188">
        <f t="shared" si="11"/>
        <v>83.1394475</v>
      </c>
      <c r="AA79" s="188">
        <f t="shared" si="11"/>
        <v>83.1394475</v>
      </c>
      <c r="AB79" s="188">
        <f t="shared" si="11"/>
        <v>83.1394475</v>
      </c>
      <c r="AC79" s="188">
        <f t="shared" si="11"/>
        <v>83.1394475</v>
      </c>
      <c r="AD79" s="188">
        <f t="shared" si="11"/>
        <v>83.1394475</v>
      </c>
      <c r="AE79" s="188">
        <f t="shared" si="11"/>
        <v>83.1394475</v>
      </c>
      <c r="AF79" s="188">
        <f t="shared" si="11"/>
        <v>100.3407125</v>
      </c>
      <c r="AG79" s="188">
        <f t="shared" si="11"/>
        <v>100.3407125</v>
      </c>
      <c r="AH79" s="188">
        <f t="shared" si="11"/>
        <v>83.1394475</v>
      </c>
      <c r="AI79" s="188">
        <f t="shared" si="11"/>
        <v>100.3407125</v>
      </c>
      <c r="AJ79" s="188">
        <f t="shared" si="11"/>
        <v>83.1394475</v>
      </c>
      <c r="AK79" s="188">
        <f t="shared" si="11"/>
        <v>83.1394475</v>
      </c>
      <c r="AL79" s="184"/>
      <c r="AM79" s="184"/>
    </row>
    <row r="80" s="161" customFormat="1" spans="1:39">
      <c r="A80" s="186" t="str">
        <f t="shared" si="4"/>
        <v>Tra_EV_Batt-NMC811_fromrecy</v>
      </c>
      <c r="B80" s="187">
        <v>2023</v>
      </c>
      <c r="C80" s="188">
        <f t="shared" si="6"/>
        <v>86.984746</v>
      </c>
      <c r="D80" s="188">
        <f t="shared" ref="D80:AK80" si="12" xml:space="preserve">D112</f>
        <v>86.984746</v>
      </c>
      <c r="E80" s="188">
        <f t="shared" si="12"/>
        <v>104.98159</v>
      </c>
      <c r="F80" s="188">
        <f t="shared" si="12"/>
        <v>104.98159</v>
      </c>
      <c r="G80" s="188">
        <f t="shared" si="12"/>
        <v>86.984746</v>
      </c>
      <c r="H80" s="188">
        <f t="shared" si="12"/>
        <v>104.98159</v>
      </c>
      <c r="I80" s="188">
        <f t="shared" si="12"/>
        <v>86.984746</v>
      </c>
      <c r="J80" s="188">
        <f t="shared" si="12"/>
        <v>59.98948</v>
      </c>
      <c r="K80" s="188">
        <f t="shared" si="12"/>
        <v>86.984746</v>
      </c>
      <c r="L80" s="188">
        <f t="shared" si="12"/>
        <v>86.984746</v>
      </c>
      <c r="M80" s="188">
        <f t="shared" si="12"/>
        <v>104.98159</v>
      </c>
      <c r="N80" s="188">
        <f t="shared" si="12"/>
        <v>104.98159</v>
      </c>
      <c r="O80" s="188">
        <f t="shared" si="12"/>
        <v>86.984746</v>
      </c>
      <c r="P80" s="188">
        <f t="shared" si="12"/>
        <v>86.984746</v>
      </c>
      <c r="Q80" s="188">
        <f t="shared" si="12"/>
        <v>104.98159</v>
      </c>
      <c r="R80" s="188">
        <f t="shared" si="12"/>
        <v>71.987376</v>
      </c>
      <c r="S80" s="188">
        <f t="shared" si="12"/>
        <v>104.98159</v>
      </c>
      <c r="T80" s="188">
        <f t="shared" si="12"/>
        <v>104.98159</v>
      </c>
      <c r="U80" s="188">
        <f t="shared" si="12"/>
        <v>71.987376</v>
      </c>
      <c r="V80" s="188">
        <f t="shared" si="12"/>
        <v>86.984746</v>
      </c>
      <c r="W80" s="188">
        <f t="shared" si="12"/>
        <v>86.984746</v>
      </c>
      <c r="X80" s="188">
        <f t="shared" si="12"/>
        <v>71.987376</v>
      </c>
      <c r="Y80" s="188">
        <f t="shared" si="12"/>
        <v>104.98159</v>
      </c>
      <c r="Z80" s="188">
        <f t="shared" si="12"/>
        <v>86.984746</v>
      </c>
      <c r="AA80" s="188">
        <f t="shared" si="12"/>
        <v>86.984746</v>
      </c>
      <c r="AB80" s="188">
        <f t="shared" si="12"/>
        <v>86.984746</v>
      </c>
      <c r="AC80" s="188">
        <f t="shared" si="12"/>
        <v>86.984746</v>
      </c>
      <c r="AD80" s="188">
        <f t="shared" si="12"/>
        <v>86.984746</v>
      </c>
      <c r="AE80" s="188">
        <f t="shared" si="12"/>
        <v>86.984746</v>
      </c>
      <c r="AF80" s="188">
        <f t="shared" si="12"/>
        <v>104.98159</v>
      </c>
      <c r="AG80" s="188">
        <f t="shared" si="12"/>
        <v>104.98159</v>
      </c>
      <c r="AH80" s="188">
        <f t="shared" si="12"/>
        <v>86.984746</v>
      </c>
      <c r="AI80" s="188">
        <f t="shared" si="12"/>
        <v>104.98159</v>
      </c>
      <c r="AJ80" s="188">
        <f t="shared" si="12"/>
        <v>86.984746</v>
      </c>
      <c r="AK80" s="188">
        <f t="shared" si="12"/>
        <v>86.984746</v>
      </c>
      <c r="AL80" s="184"/>
      <c r="AM80" s="184"/>
    </row>
    <row r="81" s="161" customFormat="1" spans="1:39">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c r="AA81" s="184"/>
      <c r="AB81" s="184"/>
      <c r="AC81" s="184"/>
      <c r="AD81" s="184"/>
      <c r="AE81" s="184"/>
      <c r="AF81" s="184"/>
      <c r="AG81" s="184"/>
      <c r="AH81" s="184"/>
      <c r="AI81" s="184"/>
      <c r="AJ81" s="184"/>
      <c r="AK81" s="184"/>
      <c r="AL81" s="184"/>
      <c r="AM81" s="184"/>
    </row>
    <row r="82" s="161" customFormat="1" spans="1:39">
      <c r="A82" s="183" t="s">
        <v>52</v>
      </c>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c r="AA82" s="184"/>
      <c r="AB82" s="184"/>
      <c r="AC82" s="184"/>
      <c r="AD82" s="184"/>
      <c r="AE82" s="184"/>
      <c r="AF82" s="184"/>
      <c r="AG82" s="184"/>
      <c r="AH82" s="184"/>
      <c r="AI82" s="184"/>
      <c r="AJ82" s="184"/>
      <c r="AK82" s="184"/>
      <c r="AL82" s="184"/>
      <c r="AM82" s="184"/>
    </row>
    <row r="83" s="161" customFormat="1" spans="1:39">
      <c r="A83" s="185" t="s">
        <v>66</v>
      </c>
      <c r="B83" s="185" t="s">
        <v>41</v>
      </c>
      <c r="C83" s="185" t="s">
        <v>3</v>
      </c>
      <c r="D83" s="185" t="s">
        <v>5</v>
      </c>
      <c r="E83" s="185" t="s">
        <v>6</v>
      </c>
      <c r="F83" s="185" t="s">
        <v>7</v>
      </c>
      <c r="G83" s="185" t="s">
        <v>8</v>
      </c>
      <c r="H83" s="185" t="s">
        <v>9</v>
      </c>
      <c r="I83" s="185" t="s">
        <v>10</v>
      </c>
      <c r="J83" s="185" t="s">
        <v>11</v>
      </c>
      <c r="K83" s="185" t="s">
        <v>12</v>
      </c>
      <c r="L83" s="185" t="s">
        <v>13</v>
      </c>
      <c r="M83" s="185" t="s">
        <v>14</v>
      </c>
      <c r="N83" s="185" t="s">
        <v>15</v>
      </c>
      <c r="O83" s="185" t="s">
        <v>16</v>
      </c>
      <c r="P83" s="185" t="s">
        <v>17</v>
      </c>
      <c r="Q83" s="185" t="s">
        <v>18</v>
      </c>
      <c r="R83" s="185" t="s">
        <v>19</v>
      </c>
      <c r="S83" s="185" t="s">
        <v>20</v>
      </c>
      <c r="T83" s="185" t="s">
        <v>21</v>
      </c>
      <c r="U83" s="185" t="s">
        <v>22</v>
      </c>
      <c r="V83" s="185" t="s">
        <v>23</v>
      </c>
      <c r="W83" s="185" t="s">
        <v>24</v>
      </c>
      <c r="X83" s="185" t="s">
        <v>25</v>
      </c>
      <c r="Y83" s="185" t="s">
        <v>26</v>
      </c>
      <c r="Z83" s="185" t="s">
        <v>27</v>
      </c>
      <c r="AA83" s="185" t="s">
        <v>28</v>
      </c>
      <c r="AB83" s="185" t="s">
        <v>29</v>
      </c>
      <c r="AC83" s="185" t="s">
        <v>30</v>
      </c>
      <c r="AD83" s="185" t="s">
        <v>31</v>
      </c>
      <c r="AE83" s="185" t="s">
        <v>32</v>
      </c>
      <c r="AF83" s="185" t="s">
        <v>33</v>
      </c>
      <c r="AG83" s="185" t="s">
        <v>34</v>
      </c>
      <c r="AH83" s="185" t="s">
        <v>35</v>
      </c>
      <c r="AI83" s="185" t="s">
        <v>36</v>
      </c>
      <c r="AJ83" s="185" t="s">
        <v>37</v>
      </c>
      <c r="AK83" s="185" t="s">
        <v>38</v>
      </c>
      <c r="AL83" s="184"/>
      <c r="AM83" s="184"/>
    </row>
    <row r="84" s="161" customFormat="1" spans="1:39">
      <c r="A84" s="186" t="str">
        <f t="shared" ref="A84:A90" si="13" xml:space="preserve">A6</f>
        <v>Tra_EV_Batt-LFP_fromrecy</v>
      </c>
      <c r="B84" s="187">
        <v>2050</v>
      </c>
      <c r="C84" s="188">
        <f xml:space="preserve">C116</f>
        <v>40.5801331332752</v>
      </c>
      <c r="D84" s="188">
        <f t="shared" ref="D84:AK84" si="14" xml:space="preserve">D116</f>
        <v>40.5801331332752</v>
      </c>
      <c r="E84" s="188">
        <f t="shared" si="14"/>
        <v>46.4218455073446</v>
      </c>
      <c r="F84" s="188">
        <f t="shared" si="14"/>
        <v>46.4218455073446</v>
      </c>
      <c r="G84" s="188">
        <f t="shared" si="14"/>
        <v>40.5801331332752</v>
      </c>
      <c r="H84" s="188">
        <f t="shared" si="14"/>
        <v>46.4218455073446</v>
      </c>
      <c r="I84" s="188">
        <f t="shared" si="14"/>
        <v>40.5801331332752</v>
      </c>
      <c r="J84" s="188">
        <f t="shared" si="14"/>
        <v>34.39019740267</v>
      </c>
      <c r="K84" s="188">
        <f t="shared" si="14"/>
        <v>40.5801331332752</v>
      </c>
      <c r="L84" s="188">
        <f t="shared" si="14"/>
        <v>40.5801331332752</v>
      </c>
      <c r="M84" s="188">
        <f t="shared" si="14"/>
        <v>46.4218455073446</v>
      </c>
      <c r="N84" s="188">
        <f t="shared" si="14"/>
        <v>46.4218455073446</v>
      </c>
      <c r="O84" s="188">
        <f t="shared" si="14"/>
        <v>40.5801331332752</v>
      </c>
      <c r="P84" s="188">
        <f t="shared" si="14"/>
        <v>40.5801331332752</v>
      </c>
      <c r="Q84" s="188">
        <f t="shared" si="14"/>
        <v>46.4218455073446</v>
      </c>
      <c r="R84" s="188">
        <f t="shared" si="14"/>
        <v>37.829217142937</v>
      </c>
      <c r="S84" s="188">
        <f t="shared" si="14"/>
        <v>46.4218455073446</v>
      </c>
      <c r="T84" s="188">
        <f t="shared" si="14"/>
        <v>46.4218455073446</v>
      </c>
      <c r="U84" s="188">
        <f t="shared" si="14"/>
        <v>37.829217142937</v>
      </c>
      <c r="V84" s="188">
        <f t="shared" si="14"/>
        <v>40.5801331332752</v>
      </c>
      <c r="W84" s="188">
        <f t="shared" si="14"/>
        <v>40.5801331332752</v>
      </c>
      <c r="X84" s="188">
        <f t="shared" si="14"/>
        <v>37.829217142937</v>
      </c>
      <c r="Y84" s="188">
        <f t="shared" si="14"/>
        <v>46.4218455073446</v>
      </c>
      <c r="Z84" s="188">
        <f t="shared" si="14"/>
        <v>40.5801331332752</v>
      </c>
      <c r="AA84" s="188">
        <f t="shared" si="14"/>
        <v>40.5801331332752</v>
      </c>
      <c r="AB84" s="188">
        <f t="shared" si="14"/>
        <v>40.5801331332752</v>
      </c>
      <c r="AC84" s="188">
        <f t="shared" si="14"/>
        <v>40.5801331332752</v>
      </c>
      <c r="AD84" s="188">
        <f t="shared" si="14"/>
        <v>40.5801331332752</v>
      </c>
      <c r="AE84" s="188">
        <f t="shared" si="14"/>
        <v>40.5801331332752</v>
      </c>
      <c r="AF84" s="188">
        <f t="shared" si="14"/>
        <v>46.4218455073446</v>
      </c>
      <c r="AG84" s="188">
        <f t="shared" si="14"/>
        <v>46.4218455073446</v>
      </c>
      <c r="AH84" s="188">
        <f t="shared" si="14"/>
        <v>40.5801331332752</v>
      </c>
      <c r="AI84" s="188">
        <f t="shared" si="14"/>
        <v>46.4218455073446</v>
      </c>
      <c r="AJ84" s="188">
        <f t="shared" si="14"/>
        <v>40.5801331332752</v>
      </c>
      <c r="AK84" s="188">
        <f t="shared" si="14"/>
        <v>40.5801331332752</v>
      </c>
      <c r="AL84" s="184"/>
      <c r="AM84" s="184"/>
    </row>
    <row r="85" s="161" customFormat="1" spans="1:39">
      <c r="A85" s="186" t="str">
        <f t="shared" si="13"/>
        <v>Tra_EV_Batt-LMO_fromrecy</v>
      </c>
      <c r="B85" s="187">
        <v>2050</v>
      </c>
      <c r="C85" s="188">
        <f t="shared" ref="C85:C90" si="15" xml:space="preserve">C117</f>
        <v>48.5071603093391</v>
      </c>
      <c r="D85" s="188">
        <f t="shared" ref="D85:AK85" si="16" xml:space="preserve">D117</f>
        <v>48.5071603093391</v>
      </c>
      <c r="E85" s="188">
        <f t="shared" si="16"/>
        <v>55.4900077455314</v>
      </c>
      <c r="F85" s="188">
        <f t="shared" si="16"/>
        <v>55.4900077455314</v>
      </c>
      <c r="G85" s="188">
        <f t="shared" si="16"/>
        <v>48.5071603093391</v>
      </c>
      <c r="H85" s="188">
        <f t="shared" si="16"/>
        <v>55.4900077455314</v>
      </c>
      <c r="I85" s="188">
        <f t="shared" si="16"/>
        <v>48.5071603093391</v>
      </c>
      <c r="J85" s="188">
        <f t="shared" si="16"/>
        <v>41.1080666739669</v>
      </c>
      <c r="K85" s="188">
        <f t="shared" si="16"/>
        <v>48.5071603093391</v>
      </c>
      <c r="L85" s="188">
        <f t="shared" si="16"/>
        <v>48.5071603093391</v>
      </c>
      <c r="M85" s="188">
        <f t="shared" si="16"/>
        <v>55.4900077455314</v>
      </c>
      <c r="N85" s="188">
        <f t="shared" si="16"/>
        <v>55.4900077455314</v>
      </c>
      <c r="O85" s="188">
        <f t="shared" si="16"/>
        <v>48.5071603093391</v>
      </c>
      <c r="P85" s="188">
        <f t="shared" si="16"/>
        <v>48.5071603093391</v>
      </c>
      <c r="Q85" s="188">
        <f t="shared" si="16"/>
        <v>55.4900077455314</v>
      </c>
      <c r="R85" s="188">
        <f t="shared" si="16"/>
        <v>45.2188733413636</v>
      </c>
      <c r="S85" s="188">
        <f t="shared" si="16"/>
        <v>55.4900077455314</v>
      </c>
      <c r="T85" s="188">
        <f t="shared" si="16"/>
        <v>55.4900077455314</v>
      </c>
      <c r="U85" s="188">
        <f t="shared" si="16"/>
        <v>45.2188733413636</v>
      </c>
      <c r="V85" s="188">
        <f t="shared" si="16"/>
        <v>48.5071603093391</v>
      </c>
      <c r="W85" s="188">
        <f t="shared" si="16"/>
        <v>48.5071603093391</v>
      </c>
      <c r="X85" s="188">
        <f t="shared" si="16"/>
        <v>45.2188733413636</v>
      </c>
      <c r="Y85" s="188">
        <f t="shared" si="16"/>
        <v>55.4900077455314</v>
      </c>
      <c r="Z85" s="188">
        <f t="shared" si="16"/>
        <v>48.5071603093391</v>
      </c>
      <c r="AA85" s="188">
        <f t="shared" si="16"/>
        <v>48.5071603093391</v>
      </c>
      <c r="AB85" s="188">
        <f t="shared" si="16"/>
        <v>48.5071603093391</v>
      </c>
      <c r="AC85" s="188">
        <f t="shared" si="16"/>
        <v>48.5071603093391</v>
      </c>
      <c r="AD85" s="188">
        <f t="shared" si="16"/>
        <v>48.5071603093391</v>
      </c>
      <c r="AE85" s="188">
        <f t="shared" si="16"/>
        <v>48.5071603093391</v>
      </c>
      <c r="AF85" s="188">
        <f t="shared" si="16"/>
        <v>55.4900077455314</v>
      </c>
      <c r="AG85" s="188">
        <f t="shared" si="16"/>
        <v>55.4900077455314</v>
      </c>
      <c r="AH85" s="188">
        <f t="shared" si="16"/>
        <v>48.5071603093391</v>
      </c>
      <c r="AI85" s="188">
        <f t="shared" si="16"/>
        <v>55.4900077455314</v>
      </c>
      <c r="AJ85" s="188">
        <f t="shared" si="16"/>
        <v>48.5071603093391</v>
      </c>
      <c r="AK85" s="188">
        <f t="shared" si="16"/>
        <v>48.5071603093391</v>
      </c>
      <c r="AL85" s="184"/>
      <c r="AM85" s="184"/>
    </row>
    <row r="86" s="161" customFormat="1" spans="1:39">
      <c r="A86" s="186" t="str">
        <f t="shared" si="13"/>
        <v>Tra_EV_Batt-NCA_fromrecy</v>
      </c>
      <c r="B86" s="187">
        <v>2050</v>
      </c>
      <c r="C86" s="188">
        <f t="shared" si="15"/>
        <v>41.0297222700355</v>
      </c>
      <c r="D86" s="188">
        <f t="shared" ref="D86:AK86" si="17" xml:space="preserve">D118</f>
        <v>41.0297222700355</v>
      </c>
      <c r="E86" s="188">
        <f t="shared" si="17"/>
        <v>46.9361552406301</v>
      </c>
      <c r="F86" s="188">
        <f t="shared" si="17"/>
        <v>46.9361552406301</v>
      </c>
      <c r="G86" s="188">
        <f t="shared" si="17"/>
        <v>41.0297222700355</v>
      </c>
      <c r="H86" s="188">
        <f t="shared" si="17"/>
        <v>46.9361552406301</v>
      </c>
      <c r="I86" s="188">
        <f t="shared" si="17"/>
        <v>41.0297222700355</v>
      </c>
      <c r="J86" s="188">
        <f t="shared" si="17"/>
        <v>34.7712079605334</v>
      </c>
      <c r="K86" s="188">
        <f t="shared" si="17"/>
        <v>41.0297222700355</v>
      </c>
      <c r="L86" s="188">
        <f t="shared" si="17"/>
        <v>41.0297222700355</v>
      </c>
      <c r="M86" s="188">
        <f t="shared" si="17"/>
        <v>46.9361552406301</v>
      </c>
      <c r="N86" s="188">
        <f t="shared" si="17"/>
        <v>46.9361552406301</v>
      </c>
      <c r="O86" s="188">
        <f t="shared" si="17"/>
        <v>41.0297222700355</v>
      </c>
      <c r="P86" s="188">
        <f t="shared" si="17"/>
        <v>41.0297222700355</v>
      </c>
      <c r="Q86" s="188">
        <f t="shared" si="17"/>
        <v>46.9361552406301</v>
      </c>
      <c r="R86" s="188">
        <f t="shared" si="17"/>
        <v>38.2483287565868</v>
      </c>
      <c r="S86" s="188">
        <f t="shared" si="17"/>
        <v>46.9361552406301</v>
      </c>
      <c r="T86" s="188">
        <f t="shared" si="17"/>
        <v>46.9361552406301</v>
      </c>
      <c r="U86" s="188">
        <f t="shared" si="17"/>
        <v>38.2483287565868</v>
      </c>
      <c r="V86" s="188">
        <f t="shared" si="17"/>
        <v>41.0297222700355</v>
      </c>
      <c r="W86" s="188">
        <f t="shared" si="17"/>
        <v>41.0297222700355</v>
      </c>
      <c r="X86" s="188">
        <f t="shared" si="17"/>
        <v>38.2483287565868</v>
      </c>
      <c r="Y86" s="188">
        <f t="shared" si="17"/>
        <v>46.9361552406301</v>
      </c>
      <c r="Z86" s="188">
        <f t="shared" si="17"/>
        <v>41.0297222700355</v>
      </c>
      <c r="AA86" s="188">
        <f t="shared" si="17"/>
        <v>41.0297222700355</v>
      </c>
      <c r="AB86" s="188">
        <f t="shared" si="17"/>
        <v>41.0297222700355</v>
      </c>
      <c r="AC86" s="188">
        <f t="shared" si="17"/>
        <v>41.0297222700355</v>
      </c>
      <c r="AD86" s="188">
        <f t="shared" si="17"/>
        <v>41.0297222700355</v>
      </c>
      <c r="AE86" s="188">
        <f t="shared" si="17"/>
        <v>41.0297222700355</v>
      </c>
      <c r="AF86" s="188">
        <f t="shared" si="17"/>
        <v>46.9361552406301</v>
      </c>
      <c r="AG86" s="188">
        <f t="shared" si="17"/>
        <v>46.9361552406301</v>
      </c>
      <c r="AH86" s="188">
        <f t="shared" si="17"/>
        <v>41.0297222700355</v>
      </c>
      <c r="AI86" s="188">
        <f t="shared" si="17"/>
        <v>46.9361552406301</v>
      </c>
      <c r="AJ86" s="188">
        <f t="shared" si="17"/>
        <v>41.0297222700355</v>
      </c>
      <c r="AK86" s="188">
        <f t="shared" si="17"/>
        <v>41.0297222700355</v>
      </c>
      <c r="AL86" s="184"/>
      <c r="AM86" s="184"/>
    </row>
    <row r="87" s="161" customFormat="1" spans="1:39">
      <c r="A87" s="186" t="str">
        <f t="shared" si="13"/>
        <v>Tra_EV_Batt-NMC111_fromrecy</v>
      </c>
      <c r="B87" s="187">
        <v>2050</v>
      </c>
      <c r="C87" s="188">
        <f t="shared" si="15"/>
        <v>40.6333606723542</v>
      </c>
      <c r="D87" s="188">
        <f t="shared" ref="D87:AK87" si="18" xml:space="preserve">D119</f>
        <v>40.6333606723542</v>
      </c>
      <c r="E87" s="188">
        <f t="shared" si="18"/>
        <v>46.4827354159051</v>
      </c>
      <c r="F87" s="188">
        <f t="shared" si="18"/>
        <v>46.4827354159051</v>
      </c>
      <c r="G87" s="188">
        <f t="shared" si="18"/>
        <v>40.6333606723542</v>
      </c>
      <c r="H87" s="188">
        <f t="shared" si="18"/>
        <v>46.4827354159051</v>
      </c>
      <c r="I87" s="188">
        <f t="shared" si="18"/>
        <v>40.6333606723542</v>
      </c>
      <c r="J87" s="188">
        <f t="shared" si="18"/>
        <v>34.4353058198892</v>
      </c>
      <c r="K87" s="188">
        <f t="shared" si="18"/>
        <v>40.6333606723542</v>
      </c>
      <c r="L87" s="188">
        <f t="shared" si="18"/>
        <v>40.6333606723542</v>
      </c>
      <c r="M87" s="188">
        <f t="shared" si="18"/>
        <v>46.4827354159051</v>
      </c>
      <c r="N87" s="188">
        <f t="shared" si="18"/>
        <v>46.4827354159051</v>
      </c>
      <c r="O87" s="188">
        <f t="shared" si="18"/>
        <v>40.6333606723542</v>
      </c>
      <c r="P87" s="188">
        <f t="shared" si="18"/>
        <v>40.6333606723542</v>
      </c>
      <c r="Q87" s="188">
        <f t="shared" si="18"/>
        <v>46.4827354159051</v>
      </c>
      <c r="R87" s="188">
        <f t="shared" si="18"/>
        <v>37.8788364018781</v>
      </c>
      <c r="S87" s="188">
        <f t="shared" si="18"/>
        <v>46.4827354159051</v>
      </c>
      <c r="T87" s="188">
        <f t="shared" si="18"/>
        <v>46.4827354159051</v>
      </c>
      <c r="U87" s="188">
        <f t="shared" si="18"/>
        <v>37.8788364018781</v>
      </c>
      <c r="V87" s="188">
        <f t="shared" si="18"/>
        <v>40.6333606723542</v>
      </c>
      <c r="W87" s="188">
        <f t="shared" si="18"/>
        <v>40.6333606723542</v>
      </c>
      <c r="X87" s="188">
        <f t="shared" si="18"/>
        <v>37.8788364018781</v>
      </c>
      <c r="Y87" s="188">
        <f t="shared" si="18"/>
        <v>46.4827354159051</v>
      </c>
      <c r="Z87" s="188">
        <f t="shared" si="18"/>
        <v>40.6333606723542</v>
      </c>
      <c r="AA87" s="188">
        <f t="shared" si="18"/>
        <v>40.6333606723542</v>
      </c>
      <c r="AB87" s="188">
        <f t="shared" si="18"/>
        <v>40.6333606723542</v>
      </c>
      <c r="AC87" s="188">
        <f t="shared" si="18"/>
        <v>40.6333606723542</v>
      </c>
      <c r="AD87" s="188">
        <f t="shared" si="18"/>
        <v>40.6333606723542</v>
      </c>
      <c r="AE87" s="188">
        <f t="shared" si="18"/>
        <v>40.6333606723542</v>
      </c>
      <c r="AF87" s="188">
        <f t="shared" si="18"/>
        <v>46.4827354159051</v>
      </c>
      <c r="AG87" s="188">
        <f t="shared" si="18"/>
        <v>46.4827354159051</v>
      </c>
      <c r="AH87" s="188">
        <f t="shared" si="18"/>
        <v>40.6333606723542</v>
      </c>
      <c r="AI87" s="188">
        <f t="shared" si="18"/>
        <v>46.4827354159051</v>
      </c>
      <c r="AJ87" s="188">
        <f t="shared" si="18"/>
        <v>40.6333606723542</v>
      </c>
      <c r="AK87" s="188">
        <f t="shared" si="18"/>
        <v>40.6333606723542</v>
      </c>
      <c r="AL87" s="184"/>
      <c r="AM87" s="184"/>
    </row>
    <row r="88" s="161" customFormat="1" spans="1:39">
      <c r="A88" s="186" t="str">
        <f t="shared" si="13"/>
        <v>Tra_EV_Batt-NMC532_fromrecy</v>
      </c>
      <c r="B88" s="187">
        <v>2050</v>
      </c>
      <c r="C88" s="188">
        <f t="shared" si="15"/>
        <v>43.4184744679736</v>
      </c>
      <c r="D88" s="188">
        <f t="shared" ref="D88:AK88" si="19" xml:space="preserve">D120</f>
        <v>43.4184744679736</v>
      </c>
      <c r="E88" s="188">
        <f t="shared" si="19"/>
        <v>49.6687802205389</v>
      </c>
      <c r="F88" s="188">
        <f t="shared" si="19"/>
        <v>49.6687802205389</v>
      </c>
      <c r="G88" s="188">
        <f t="shared" si="19"/>
        <v>43.4184744679736</v>
      </c>
      <c r="H88" s="188">
        <f t="shared" si="19"/>
        <v>49.6687802205389</v>
      </c>
      <c r="I88" s="188">
        <f t="shared" si="19"/>
        <v>43.4184744679736</v>
      </c>
      <c r="J88" s="188">
        <f t="shared" si="19"/>
        <v>36.7955891857836</v>
      </c>
      <c r="K88" s="188">
        <f t="shared" si="19"/>
        <v>43.4184744679736</v>
      </c>
      <c r="L88" s="188">
        <f t="shared" si="19"/>
        <v>43.4184744679736</v>
      </c>
      <c r="M88" s="188">
        <f t="shared" si="19"/>
        <v>49.6687802205389</v>
      </c>
      <c r="N88" s="188">
        <f t="shared" si="19"/>
        <v>49.6687802205389</v>
      </c>
      <c r="O88" s="188">
        <f t="shared" si="19"/>
        <v>43.4184744679736</v>
      </c>
      <c r="P88" s="188">
        <f t="shared" si="19"/>
        <v>43.4184744679736</v>
      </c>
      <c r="Q88" s="188">
        <f t="shared" si="19"/>
        <v>49.6687802205389</v>
      </c>
      <c r="R88" s="188">
        <f t="shared" si="19"/>
        <v>40.4751481043619</v>
      </c>
      <c r="S88" s="188">
        <f t="shared" si="19"/>
        <v>49.6687802205389</v>
      </c>
      <c r="T88" s="188">
        <f t="shared" si="19"/>
        <v>49.6687802205389</v>
      </c>
      <c r="U88" s="188">
        <f t="shared" si="19"/>
        <v>40.4751481043619</v>
      </c>
      <c r="V88" s="188">
        <f t="shared" si="19"/>
        <v>43.4184744679736</v>
      </c>
      <c r="W88" s="188">
        <f t="shared" si="19"/>
        <v>43.4184744679736</v>
      </c>
      <c r="X88" s="188">
        <f t="shared" si="19"/>
        <v>40.4751481043619</v>
      </c>
      <c r="Y88" s="188">
        <f t="shared" si="19"/>
        <v>49.6687802205389</v>
      </c>
      <c r="Z88" s="188">
        <f t="shared" si="19"/>
        <v>43.4184744679736</v>
      </c>
      <c r="AA88" s="188">
        <f t="shared" si="19"/>
        <v>43.4184744679736</v>
      </c>
      <c r="AB88" s="188">
        <f t="shared" si="19"/>
        <v>43.4184744679736</v>
      </c>
      <c r="AC88" s="188">
        <f t="shared" si="19"/>
        <v>43.4184744679736</v>
      </c>
      <c r="AD88" s="188">
        <f t="shared" si="19"/>
        <v>43.4184744679736</v>
      </c>
      <c r="AE88" s="188">
        <f t="shared" si="19"/>
        <v>43.4184744679736</v>
      </c>
      <c r="AF88" s="188">
        <f t="shared" si="19"/>
        <v>49.6687802205389</v>
      </c>
      <c r="AG88" s="188">
        <f t="shared" si="19"/>
        <v>49.6687802205389</v>
      </c>
      <c r="AH88" s="188">
        <f t="shared" si="19"/>
        <v>43.4184744679736</v>
      </c>
      <c r="AI88" s="188">
        <f t="shared" si="19"/>
        <v>49.6687802205389</v>
      </c>
      <c r="AJ88" s="188">
        <f t="shared" si="19"/>
        <v>43.4184744679736</v>
      </c>
      <c r="AK88" s="188">
        <f t="shared" si="19"/>
        <v>43.4184744679736</v>
      </c>
      <c r="AL88" s="184"/>
      <c r="AM88" s="184"/>
    </row>
    <row r="89" s="161" customFormat="1" spans="1:39">
      <c r="A89" s="186" t="str">
        <f t="shared" si="13"/>
        <v>Tra_EV_Batt-NMC622_fromrecy</v>
      </c>
      <c r="B89" s="187">
        <v>2050</v>
      </c>
      <c r="C89" s="188">
        <f t="shared" si="15"/>
        <v>41.9337274432252</v>
      </c>
      <c r="D89" s="188">
        <f t="shared" ref="D89:AK89" si="20" xml:space="preserve">D121</f>
        <v>41.9337274432252</v>
      </c>
      <c r="E89" s="188">
        <f t="shared" si="20"/>
        <v>47.9702964631299</v>
      </c>
      <c r="F89" s="188">
        <f t="shared" si="20"/>
        <v>47.9702964631299</v>
      </c>
      <c r="G89" s="188">
        <f t="shared" si="20"/>
        <v>41.9337274432252</v>
      </c>
      <c r="H89" s="188">
        <f t="shared" si="20"/>
        <v>47.9702964631299</v>
      </c>
      <c r="I89" s="188">
        <f t="shared" si="20"/>
        <v>41.9337274432252</v>
      </c>
      <c r="J89" s="188">
        <f t="shared" si="20"/>
        <v>35.5373196994211</v>
      </c>
      <c r="K89" s="188">
        <f t="shared" si="20"/>
        <v>41.9337274432252</v>
      </c>
      <c r="L89" s="188">
        <f t="shared" si="20"/>
        <v>41.9337274432252</v>
      </c>
      <c r="M89" s="188">
        <f t="shared" si="20"/>
        <v>47.9702964631299</v>
      </c>
      <c r="N89" s="188">
        <f t="shared" si="20"/>
        <v>47.9702964631299</v>
      </c>
      <c r="O89" s="188">
        <f t="shared" si="20"/>
        <v>41.9337274432252</v>
      </c>
      <c r="P89" s="188">
        <f t="shared" si="20"/>
        <v>41.9337274432252</v>
      </c>
      <c r="Q89" s="188">
        <f t="shared" si="20"/>
        <v>47.9702964631299</v>
      </c>
      <c r="R89" s="188">
        <f t="shared" si="20"/>
        <v>39.0910516693633</v>
      </c>
      <c r="S89" s="188">
        <f t="shared" si="20"/>
        <v>47.9702964631299</v>
      </c>
      <c r="T89" s="188">
        <f t="shared" si="20"/>
        <v>47.9702964631299</v>
      </c>
      <c r="U89" s="188">
        <f t="shared" si="20"/>
        <v>39.0910516693633</v>
      </c>
      <c r="V89" s="188">
        <f t="shared" si="20"/>
        <v>41.9337274432252</v>
      </c>
      <c r="W89" s="188">
        <f t="shared" si="20"/>
        <v>41.9337274432252</v>
      </c>
      <c r="X89" s="188">
        <f t="shared" si="20"/>
        <v>39.0910516693633</v>
      </c>
      <c r="Y89" s="188">
        <f t="shared" si="20"/>
        <v>47.9702964631299</v>
      </c>
      <c r="Z89" s="188">
        <f t="shared" si="20"/>
        <v>41.9337274432252</v>
      </c>
      <c r="AA89" s="188">
        <f t="shared" si="20"/>
        <v>41.9337274432252</v>
      </c>
      <c r="AB89" s="188">
        <f t="shared" si="20"/>
        <v>41.9337274432252</v>
      </c>
      <c r="AC89" s="188">
        <f t="shared" si="20"/>
        <v>41.9337274432252</v>
      </c>
      <c r="AD89" s="188">
        <f t="shared" si="20"/>
        <v>41.9337274432252</v>
      </c>
      <c r="AE89" s="188">
        <f t="shared" si="20"/>
        <v>41.9337274432252</v>
      </c>
      <c r="AF89" s="188">
        <f t="shared" si="20"/>
        <v>47.9702964631299</v>
      </c>
      <c r="AG89" s="188">
        <f t="shared" si="20"/>
        <v>47.9702964631299</v>
      </c>
      <c r="AH89" s="188">
        <f t="shared" si="20"/>
        <v>41.9337274432252</v>
      </c>
      <c r="AI89" s="188">
        <f t="shared" si="20"/>
        <v>47.9702964631299</v>
      </c>
      <c r="AJ89" s="188">
        <f t="shared" si="20"/>
        <v>41.9337274432252</v>
      </c>
      <c r="AK89" s="188">
        <f t="shared" si="20"/>
        <v>41.9337274432252</v>
      </c>
      <c r="AL89" s="184"/>
      <c r="AM89" s="184"/>
    </row>
    <row r="90" s="161" customFormat="1" spans="1:39">
      <c r="A90" s="186" t="str">
        <f t="shared" si="13"/>
        <v>Tra_EV_Batt-NMC811_fromrecy</v>
      </c>
      <c r="B90" s="187">
        <v>2050</v>
      </c>
      <c r="C90" s="188">
        <f t="shared" si="15"/>
        <v>43.8732122977143</v>
      </c>
      <c r="D90" s="188">
        <f t="shared" ref="D90:AK90" si="21" xml:space="preserve">D122</f>
        <v>43.8732122977143</v>
      </c>
      <c r="E90" s="188">
        <f t="shared" si="21"/>
        <v>50.1889798268151</v>
      </c>
      <c r="F90" s="188">
        <f t="shared" si="21"/>
        <v>50.1889798268151</v>
      </c>
      <c r="G90" s="188">
        <f t="shared" si="21"/>
        <v>43.8732122977143</v>
      </c>
      <c r="H90" s="188">
        <f t="shared" si="21"/>
        <v>50.1889798268151</v>
      </c>
      <c r="I90" s="188">
        <f t="shared" si="21"/>
        <v>43.8732122977143</v>
      </c>
      <c r="J90" s="188">
        <f t="shared" si="21"/>
        <v>37.1809630750186</v>
      </c>
      <c r="K90" s="188">
        <f t="shared" si="21"/>
        <v>43.8732122977143</v>
      </c>
      <c r="L90" s="188">
        <f t="shared" si="21"/>
        <v>43.8732122977143</v>
      </c>
      <c r="M90" s="188">
        <f t="shared" si="21"/>
        <v>50.1889798268151</v>
      </c>
      <c r="N90" s="188">
        <f t="shared" si="21"/>
        <v>50.1889798268151</v>
      </c>
      <c r="O90" s="188">
        <f t="shared" si="21"/>
        <v>43.8732122977143</v>
      </c>
      <c r="P90" s="188">
        <f t="shared" si="21"/>
        <v>43.8732122977143</v>
      </c>
      <c r="Q90" s="188">
        <f t="shared" si="21"/>
        <v>50.1889798268151</v>
      </c>
      <c r="R90" s="188">
        <f t="shared" si="21"/>
        <v>40.8990593825204</v>
      </c>
      <c r="S90" s="188">
        <f t="shared" si="21"/>
        <v>50.1889798268151</v>
      </c>
      <c r="T90" s="188">
        <f t="shared" si="21"/>
        <v>50.1889798268151</v>
      </c>
      <c r="U90" s="188">
        <f t="shared" si="21"/>
        <v>40.8990593825204</v>
      </c>
      <c r="V90" s="188">
        <f t="shared" si="21"/>
        <v>43.8732122977143</v>
      </c>
      <c r="W90" s="188">
        <f t="shared" si="21"/>
        <v>43.8732122977143</v>
      </c>
      <c r="X90" s="188">
        <f t="shared" si="21"/>
        <v>40.8990593825204</v>
      </c>
      <c r="Y90" s="188">
        <f t="shared" si="21"/>
        <v>50.1889798268151</v>
      </c>
      <c r="Z90" s="188">
        <f t="shared" si="21"/>
        <v>43.8732122977143</v>
      </c>
      <c r="AA90" s="188">
        <f t="shared" si="21"/>
        <v>43.8732122977143</v>
      </c>
      <c r="AB90" s="188">
        <f t="shared" si="21"/>
        <v>43.8732122977143</v>
      </c>
      <c r="AC90" s="188">
        <f t="shared" si="21"/>
        <v>43.8732122977143</v>
      </c>
      <c r="AD90" s="188">
        <f t="shared" si="21"/>
        <v>43.8732122977143</v>
      </c>
      <c r="AE90" s="188">
        <f t="shared" si="21"/>
        <v>43.8732122977143</v>
      </c>
      <c r="AF90" s="188">
        <f t="shared" si="21"/>
        <v>50.1889798268151</v>
      </c>
      <c r="AG90" s="188">
        <f t="shared" si="21"/>
        <v>50.1889798268151</v>
      </c>
      <c r="AH90" s="188">
        <f t="shared" si="21"/>
        <v>43.8732122977143</v>
      </c>
      <c r="AI90" s="188">
        <f t="shared" si="21"/>
        <v>50.1889798268151</v>
      </c>
      <c r="AJ90" s="188">
        <f t="shared" si="21"/>
        <v>43.8732122977143</v>
      </c>
      <c r="AK90" s="188">
        <f t="shared" si="21"/>
        <v>43.8732122977143</v>
      </c>
      <c r="AL90" s="184"/>
      <c r="AM90" s="184"/>
    </row>
    <row r="91" s="161" customFormat="1" spans="1:39">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row>
    <row r="92" s="161" customFormat="1" spans="1:39">
      <c r="A92" s="183" t="s">
        <v>52</v>
      </c>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c r="AA92" s="184"/>
      <c r="AB92" s="184"/>
      <c r="AC92" s="184"/>
      <c r="AD92" s="184"/>
      <c r="AE92" s="184"/>
      <c r="AF92" s="184"/>
      <c r="AG92" s="184"/>
      <c r="AH92" s="184"/>
      <c r="AI92" s="184"/>
      <c r="AJ92" s="184"/>
      <c r="AK92" s="184"/>
      <c r="AL92" s="184"/>
      <c r="AM92" s="184"/>
    </row>
    <row r="93" s="161" customFormat="1" spans="1:39">
      <c r="A93" s="185" t="s">
        <v>66</v>
      </c>
      <c r="B93" s="185" t="s">
        <v>41</v>
      </c>
      <c r="C93" s="185" t="s">
        <v>3</v>
      </c>
      <c r="D93" s="185" t="s">
        <v>5</v>
      </c>
      <c r="E93" s="185" t="s">
        <v>6</v>
      </c>
      <c r="F93" s="185" t="s">
        <v>7</v>
      </c>
      <c r="G93" s="185" t="s">
        <v>8</v>
      </c>
      <c r="H93" s="185" t="s">
        <v>9</v>
      </c>
      <c r="I93" s="185" t="s">
        <v>10</v>
      </c>
      <c r="J93" s="185" t="s">
        <v>11</v>
      </c>
      <c r="K93" s="185" t="s">
        <v>12</v>
      </c>
      <c r="L93" s="185" t="s">
        <v>13</v>
      </c>
      <c r="M93" s="185" t="s">
        <v>14</v>
      </c>
      <c r="N93" s="185" t="s">
        <v>15</v>
      </c>
      <c r="O93" s="185" t="s">
        <v>16</v>
      </c>
      <c r="P93" s="185" t="s">
        <v>17</v>
      </c>
      <c r="Q93" s="185" t="s">
        <v>18</v>
      </c>
      <c r="R93" s="185" t="s">
        <v>19</v>
      </c>
      <c r="S93" s="185" t="s">
        <v>20</v>
      </c>
      <c r="T93" s="185" t="s">
        <v>21</v>
      </c>
      <c r="U93" s="185" t="s">
        <v>22</v>
      </c>
      <c r="V93" s="185" t="s">
        <v>23</v>
      </c>
      <c r="W93" s="185" t="s">
        <v>24</v>
      </c>
      <c r="X93" s="185" t="s">
        <v>25</v>
      </c>
      <c r="Y93" s="185" t="s">
        <v>26</v>
      </c>
      <c r="Z93" s="185" t="s">
        <v>27</v>
      </c>
      <c r="AA93" s="185" t="s">
        <v>28</v>
      </c>
      <c r="AB93" s="185" t="s">
        <v>29</v>
      </c>
      <c r="AC93" s="185" t="s">
        <v>30</v>
      </c>
      <c r="AD93" s="185" t="s">
        <v>31</v>
      </c>
      <c r="AE93" s="185" t="s">
        <v>32</v>
      </c>
      <c r="AF93" s="185" t="s">
        <v>33</v>
      </c>
      <c r="AG93" s="185" t="s">
        <v>34</v>
      </c>
      <c r="AH93" s="185" t="s">
        <v>35</v>
      </c>
      <c r="AI93" s="185" t="s">
        <v>36</v>
      </c>
      <c r="AJ93" s="185" t="s">
        <v>37</v>
      </c>
      <c r="AK93" s="185" t="s">
        <v>38</v>
      </c>
      <c r="AL93" s="184"/>
      <c r="AM93" s="184"/>
    </row>
    <row r="94" s="161" customFormat="1" spans="1:39">
      <c r="A94" s="186" t="str">
        <f t="shared" ref="A94:A100" si="22" xml:space="preserve">A6</f>
        <v>Tra_EV_Batt-LFP_fromrecy</v>
      </c>
      <c r="B94" s="187">
        <v>2100</v>
      </c>
      <c r="C94" s="188">
        <f xml:space="preserve">C126</f>
        <v>28.8045409916923</v>
      </c>
      <c r="D94" s="188">
        <f t="shared" ref="D94:AK94" si="23" xml:space="preserve">D126</f>
        <v>28.8045409916923</v>
      </c>
      <c r="E94" s="188">
        <f t="shared" si="23"/>
        <v>31.692808345239</v>
      </c>
      <c r="F94" s="188">
        <f t="shared" si="23"/>
        <v>31.692808345239</v>
      </c>
      <c r="G94" s="188">
        <f t="shared" si="23"/>
        <v>28.8045409916923</v>
      </c>
      <c r="H94" s="188">
        <f t="shared" si="23"/>
        <v>31.692808345239</v>
      </c>
      <c r="I94" s="188">
        <f t="shared" si="23"/>
        <v>28.8045409916923</v>
      </c>
      <c r="J94" s="188">
        <f t="shared" si="23"/>
        <v>26.4537362689067</v>
      </c>
      <c r="K94" s="188">
        <f t="shared" si="23"/>
        <v>28.8045409916923</v>
      </c>
      <c r="L94" s="188">
        <f t="shared" si="23"/>
        <v>28.8045409916923</v>
      </c>
      <c r="M94" s="188">
        <f t="shared" si="23"/>
        <v>31.692808345239</v>
      </c>
      <c r="N94" s="188">
        <f t="shared" si="23"/>
        <v>31.692808345239</v>
      </c>
      <c r="O94" s="188">
        <f t="shared" si="23"/>
        <v>28.8045409916923</v>
      </c>
      <c r="P94" s="188">
        <f t="shared" si="23"/>
        <v>28.8045409916923</v>
      </c>
      <c r="Q94" s="188">
        <f t="shared" si="23"/>
        <v>31.692808345239</v>
      </c>
      <c r="R94" s="188">
        <f t="shared" si="23"/>
        <v>27.7764230823521</v>
      </c>
      <c r="S94" s="188">
        <f t="shared" si="23"/>
        <v>31.692808345239</v>
      </c>
      <c r="T94" s="188">
        <f t="shared" si="23"/>
        <v>31.692808345239</v>
      </c>
      <c r="U94" s="188">
        <f t="shared" si="23"/>
        <v>27.7764230823521</v>
      </c>
      <c r="V94" s="188">
        <f t="shared" si="23"/>
        <v>28.8045409916923</v>
      </c>
      <c r="W94" s="188">
        <f t="shared" si="23"/>
        <v>28.8045409916923</v>
      </c>
      <c r="X94" s="188">
        <f t="shared" si="23"/>
        <v>27.7764230823521</v>
      </c>
      <c r="Y94" s="188">
        <f t="shared" si="23"/>
        <v>31.692808345239</v>
      </c>
      <c r="Z94" s="188">
        <f t="shared" si="23"/>
        <v>28.8045409916923</v>
      </c>
      <c r="AA94" s="188">
        <f t="shared" si="23"/>
        <v>28.8045409916923</v>
      </c>
      <c r="AB94" s="188">
        <f t="shared" si="23"/>
        <v>28.8045409916923</v>
      </c>
      <c r="AC94" s="188">
        <f t="shared" si="23"/>
        <v>28.8045409916923</v>
      </c>
      <c r="AD94" s="188">
        <f t="shared" si="23"/>
        <v>28.8045409916923</v>
      </c>
      <c r="AE94" s="188">
        <f t="shared" si="23"/>
        <v>28.8045409916923</v>
      </c>
      <c r="AF94" s="188">
        <f t="shared" si="23"/>
        <v>31.692808345239</v>
      </c>
      <c r="AG94" s="188">
        <f t="shared" si="23"/>
        <v>31.692808345239</v>
      </c>
      <c r="AH94" s="188">
        <f t="shared" si="23"/>
        <v>28.8045409916923</v>
      </c>
      <c r="AI94" s="188">
        <f t="shared" si="23"/>
        <v>31.692808345239</v>
      </c>
      <c r="AJ94" s="188">
        <f t="shared" si="23"/>
        <v>28.8045409916923</v>
      </c>
      <c r="AK94" s="188">
        <f t="shared" si="23"/>
        <v>28.8045409916923</v>
      </c>
      <c r="AL94" s="184"/>
      <c r="AM94" s="184"/>
    </row>
    <row r="95" s="161" customFormat="1" spans="1:39">
      <c r="A95" s="186" t="str">
        <f t="shared" si="22"/>
        <v>Tra_EV_Batt-LMO_fromrecy</v>
      </c>
      <c r="B95" s="187">
        <v>2100</v>
      </c>
      <c r="C95" s="188">
        <f t="shared" ref="C95:C100" si="24" xml:space="preserve">C127</f>
        <v>34.4312938287341</v>
      </c>
      <c r="D95" s="188">
        <f t="shared" ref="D95:AK95" si="25" xml:space="preserve">D127</f>
        <v>34.4312938287341</v>
      </c>
      <c r="E95" s="188">
        <f t="shared" si="25"/>
        <v>37.8837627271134</v>
      </c>
      <c r="F95" s="188">
        <f t="shared" si="25"/>
        <v>37.8837627271134</v>
      </c>
      <c r="G95" s="188">
        <f t="shared" si="25"/>
        <v>34.4312938287341</v>
      </c>
      <c r="H95" s="188">
        <f t="shared" si="25"/>
        <v>37.8837627271134</v>
      </c>
      <c r="I95" s="188">
        <f t="shared" si="25"/>
        <v>34.4312938287341</v>
      </c>
      <c r="J95" s="188">
        <f t="shared" si="25"/>
        <v>31.6212768884346</v>
      </c>
      <c r="K95" s="188">
        <f t="shared" si="25"/>
        <v>34.4312938287341</v>
      </c>
      <c r="L95" s="188">
        <f t="shared" si="25"/>
        <v>34.4312938287341</v>
      </c>
      <c r="M95" s="188">
        <f t="shared" si="25"/>
        <v>37.8837627271134</v>
      </c>
      <c r="N95" s="188">
        <f t="shared" si="25"/>
        <v>37.8837627271134</v>
      </c>
      <c r="O95" s="188">
        <f t="shared" si="25"/>
        <v>34.4312938287341</v>
      </c>
      <c r="P95" s="188">
        <f t="shared" si="25"/>
        <v>34.4312938287341</v>
      </c>
      <c r="Q95" s="188">
        <f t="shared" si="25"/>
        <v>37.8837627271134</v>
      </c>
      <c r="R95" s="188">
        <f t="shared" si="25"/>
        <v>33.2023407328564</v>
      </c>
      <c r="S95" s="188">
        <f t="shared" si="25"/>
        <v>37.8837627271134</v>
      </c>
      <c r="T95" s="188">
        <f t="shared" si="25"/>
        <v>37.8837627271134</v>
      </c>
      <c r="U95" s="188">
        <f t="shared" si="25"/>
        <v>33.2023407328564</v>
      </c>
      <c r="V95" s="188">
        <f t="shared" si="25"/>
        <v>34.4312938287341</v>
      </c>
      <c r="W95" s="188">
        <f t="shared" si="25"/>
        <v>34.4312938287341</v>
      </c>
      <c r="X95" s="188">
        <f t="shared" si="25"/>
        <v>33.2023407328564</v>
      </c>
      <c r="Y95" s="188">
        <f t="shared" si="25"/>
        <v>37.8837627271134</v>
      </c>
      <c r="Z95" s="188">
        <f t="shared" si="25"/>
        <v>34.4312938287341</v>
      </c>
      <c r="AA95" s="188">
        <f t="shared" si="25"/>
        <v>34.4312938287341</v>
      </c>
      <c r="AB95" s="188">
        <f t="shared" si="25"/>
        <v>34.4312938287341</v>
      </c>
      <c r="AC95" s="188">
        <f t="shared" si="25"/>
        <v>34.4312938287341</v>
      </c>
      <c r="AD95" s="188">
        <f t="shared" si="25"/>
        <v>34.4312938287341</v>
      </c>
      <c r="AE95" s="188">
        <f t="shared" si="25"/>
        <v>34.4312938287341</v>
      </c>
      <c r="AF95" s="188">
        <f t="shared" si="25"/>
        <v>37.8837627271134</v>
      </c>
      <c r="AG95" s="188">
        <f t="shared" si="25"/>
        <v>37.8837627271134</v>
      </c>
      <c r="AH95" s="188">
        <f t="shared" si="25"/>
        <v>34.4312938287341</v>
      </c>
      <c r="AI95" s="188">
        <f t="shared" si="25"/>
        <v>37.8837627271134</v>
      </c>
      <c r="AJ95" s="188">
        <f t="shared" si="25"/>
        <v>34.4312938287341</v>
      </c>
      <c r="AK95" s="188">
        <f t="shared" si="25"/>
        <v>34.4312938287341</v>
      </c>
      <c r="AL95" s="184"/>
      <c r="AM95" s="184"/>
    </row>
    <row r="96" s="161" customFormat="1" spans="1:39">
      <c r="A96" s="186" t="str">
        <f t="shared" si="22"/>
        <v>Tra_EV_Batt-NCA_fromrecy</v>
      </c>
      <c r="B96" s="187">
        <v>2100</v>
      </c>
      <c r="C96" s="188">
        <f t="shared" si="24"/>
        <v>29.123667808667</v>
      </c>
      <c r="D96" s="188">
        <f t="shared" ref="D96:AK96" si="26" xml:space="preserve">D128</f>
        <v>29.123667808667</v>
      </c>
      <c r="E96" s="188">
        <f t="shared" si="26"/>
        <v>32.043934407311</v>
      </c>
      <c r="F96" s="188">
        <f t="shared" si="26"/>
        <v>32.043934407311</v>
      </c>
      <c r="G96" s="188">
        <f t="shared" si="26"/>
        <v>29.123667808667</v>
      </c>
      <c r="H96" s="188">
        <f t="shared" si="26"/>
        <v>32.043934407311</v>
      </c>
      <c r="I96" s="188">
        <f t="shared" si="26"/>
        <v>29.123667808667</v>
      </c>
      <c r="J96" s="188">
        <f t="shared" si="26"/>
        <v>26.7468184136636</v>
      </c>
      <c r="K96" s="188">
        <f t="shared" si="26"/>
        <v>29.123667808667</v>
      </c>
      <c r="L96" s="188">
        <f t="shared" si="26"/>
        <v>29.123667808667</v>
      </c>
      <c r="M96" s="188">
        <f t="shared" si="26"/>
        <v>32.043934407311</v>
      </c>
      <c r="N96" s="188">
        <f t="shared" si="26"/>
        <v>32.043934407311</v>
      </c>
      <c r="O96" s="188">
        <f t="shared" si="26"/>
        <v>29.123667808667</v>
      </c>
      <c r="P96" s="188">
        <f t="shared" si="26"/>
        <v>29.123667808667</v>
      </c>
      <c r="Q96" s="188">
        <f t="shared" si="26"/>
        <v>32.043934407311</v>
      </c>
      <c r="R96" s="188">
        <f t="shared" si="26"/>
        <v>28.0841593343468</v>
      </c>
      <c r="S96" s="188">
        <f t="shared" si="26"/>
        <v>32.043934407311</v>
      </c>
      <c r="T96" s="188">
        <f t="shared" si="26"/>
        <v>32.043934407311</v>
      </c>
      <c r="U96" s="188">
        <f t="shared" si="26"/>
        <v>28.0841593343468</v>
      </c>
      <c r="V96" s="188">
        <f t="shared" si="26"/>
        <v>29.123667808667</v>
      </c>
      <c r="W96" s="188">
        <f t="shared" si="26"/>
        <v>29.123667808667</v>
      </c>
      <c r="X96" s="188">
        <f t="shared" si="26"/>
        <v>28.0841593343468</v>
      </c>
      <c r="Y96" s="188">
        <f t="shared" si="26"/>
        <v>32.043934407311</v>
      </c>
      <c r="Z96" s="188">
        <f t="shared" si="26"/>
        <v>29.123667808667</v>
      </c>
      <c r="AA96" s="188">
        <f t="shared" si="26"/>
        <v>29.123667808667</v>
      </c>
      <c r="AB96" s="188">
        <f t="shared" si="26"/>
        <v>29.123667808667</v>
      </c>
      <c r="AC96" s="188">
        <f t="shared" si="26"/>
        <v>29.123667808667</v>
      </c>
      <c r="AD96" s="188">
        <f t="shared" si="26"/>
        <v>29.123667808667</v>
      </c>
      <c r="AE96" s="188">
        <f t="shared" si="26"/>
        <v>29.123667808667</v>
      </c>
      <c r="AF96" s="188">
        <f t="shared" si="26"/>
        <v>32.043934407311</v>
      </c>
      <c r="AG96" s="188">
        <f t="shared" si="26"/>
        <v>32.043934407311</v>
      </c>
      <c r="AH96" s="188">
        <f t="shared" si="26"/>
        <v>29.123667808667</v>
      </c>
      <c r="AI96" s="188">
        <f t="shared" si="26"/>
        <v>32.043934407311</v>
      </c>
      <c r="AJ96" s="188">
        <f t="shared" si="26"/>
        <v>29.123667808667</v>
      </c>
      <c r="AK96" s="188">
        <f t="shared" si="26"/>
        <v>29.123667808667</v>
      </c>
      <c r="AL96" s="184"/>
      <c r="AM96" s="184"/>
    </row>
    <row r="97" s="161" customFormat="1" spans="1:39">
      <c r="A97" s="186" t="str">
        <f t="shared" si="22"/>
        <v>Tra_EV_Batt-NMC111_fromrecy</v>
      </c>
      <c r="B97" s="187">
        <v>2100</v>
      </c>
      <c r="C97" s="188">
        <f t="shared" si="24"/>
        <v>28.8423228990668</v>
      </c>
      <c r="D97" s="188">
        <f t="shared" ref="D97:AK97" si="27" xml:space="preserve">D129</f>
        <v>28.8423228990668</v>
      </c>
      <c r="E97" s="188">
        <f t="shared" si="27"/>
        <v>31.7343786917231</v>
      </c>
      <c r="F97" s="188">
        <f t="shared" si="27"/>
        <v>31.7343786917231</v>
      </c>
      <c r="G97" s="188">
        <f t="shared" si="27"/>
        <v>28.8423228990668</v>
      </c>
      <c r="H97" s="188">
        <f t="shared" si="27"/>
        <v>31.7343786917231</v>
      </c>
      <c r="I97" s="188">
        <f t="shared" si="27"/>
        <v>28.8423228990668</v>
      </c>
      <c r="J97" s="188">
        <f t="shared" si="27"/>
        <v>26.4884347080768</v>
      </c>
      <c r="K97" s="188">
        <f t="shared" si="27"/>
        <v>28.8423228990668</v>
      </c>
      <c r="L97" s="188">
        <f t="shared" si="27"/>
        <v>28.8423228990668</v>
      </c>
      <c r="M97" s="188">
        <f t="shared" si="27"/>
        <v>31.7343786917231</v>
      </c>
      <c r="N97" s="188">
        <f t="shared" si="27"/>
        <v>31.7343786917231</v>
      </c>
      <c r="O97" s="188">
        <f t="shared" si="27"/>
        <v>28.8423228990668</v>
      </c>
      <c r="P97" s="188">
        <f t="shared" si="27"/>
        <v>28.8423228990668</v>
      </c>
      <c r="Q97" s="188">
        <f t="shared" si="27"/>
        <v>31.7343786917231</v>
      </c>
      <c r="R97" s="188">
        <f t="shared" si="27"/>
        <v>27.8128564434806</v>
      </c>
      <c r="S97" s="188">
        <f t="shared" si="27"/>
        <v>31.7343786917231</v>
      </c>
      <c r="T97" s="188">
        <f t="shared" si="27"/>
        <v>31.7343786917231</v>
      </c>
      <c r="U97" s="188">
        <f t="shared" si="27"/>
        <v>27.8128564434806</v>
      </c>
      <c r="V97" s="188">
        <f t="shared" si="27"/>
        <v>28.8423228990668</v>
      </c>
      <c r="W97" s="188">
        <f t="shared" si="27"/>
        <v>28.8423228990668</v>
      </c>
      <c r="X97" s="188">
        <f t="shared" si="27"/>
        <v>27.8128564434806</v>
      </c>
      <c r="Y97" s="188">
        <f t="shared" si="27"/>
        <v>31.7343786917231</v>
      </c>
      <c r="Z97" s="188">
        <f t="shared" si="27"/>
        <v>28.8423228990668</v>
      </c>
      <c r="AA97" s="188">
        <f t="shared" si="27"/>
        <v>28.8423228990668</v>
      </c>
      <c r="AB97" s="188">
        <f t="shared" si="27"/>
        <v>28.8423228990668</v>
      </c>
      <c r="AC97" s="188">
        <f t="shared" si="27"/>
        <v>28.8423228990668</v>
      </c>
      <c r="AD97" s="188">
        <f t="shared" si="27"/>
        <v>28.8423228990668</v>
      </c>
      <c r="AE97" s="188">
        <f t="shared" si="27"/>
        <v>28.8423228990668</v>
      </c>
      <c r="AF97" s="188">
        <f t="shared" si="27"/>
        <v>31.7343786917231</v>
      </c>
      <c r="AG97" s="188">
        <f t="shared" si="27"/>
        <v>31.7343786917231</v>
      </c>
      <c r="AH97" s="188">
        <f t="shared" si="27"/>
        <v>28.8423228990668</v>
      </c>
      <c r="AI97" s="188">
        <f t="shared" si="27"/>
        <v>31.7343786917231</v>
      </c>
      <c r="AJ97" s="188">
        <f t="shared" si="27"/>
        <v>28.8423228990668</v>
      </c>
      <c r="AK97" s="188">
        <f t="shared" si="27"/>
        <v>28.8423228990668</v>
      </c>
      <c r="AL97" s="184"/>
      <c r="AM97" s="184"/>
    </row>
    <row r="98" s="161" customFormat="1" spans="1:39">
      <c r="A98" s="186" t="str">
        <f t="shared" si="22"/>
        <v>Tra_EV_Batt-NMC532_fromrecy</v>
      </c>
      <c r="B98" s="187">
        <v>2100</v>
      </c>
      <c r="C98" s="188">
        <f t="shared" si="24"/>
        <v>30.8192490030047</v>
      </c>
      <c r="D98" s="188">
        <f t="shared" ref="D98:AK98" si="28" xml:space="preserve">D130</f>
        <v>30.8192490030047</v>
      </c>
      <c r="E98" s="188">
        <f t="shared" si="28"/>
        <v>33.9095336488138</v>
      </c>
      <c r="F98" s="188">
        <f t="shared" si="28"/>
        <v>33.9095336488138</v>
      </c>
      <c r="G98" s="188">
        <f t="shared" si="28"/>
        <v>30.8192490030047</v>
      </c>
      <c r="H98" s="188">
        <f t="shared" si="28"/>
        <v>33.9095336488138</v>
      </c>
      <c r="I98" s="188">
        <f t="shared" si="28"/>
        <v>30.8192490030047</v>
      </c>
      <c r="J98" s="188">
        <f t="shared" si="28"/>
        <v>28.3040193338402</v>
      </c>
      <c r="K98" s="188">
        <f t="shared" si="28"/>
        <v>30.8192490030047</v>
      </c>
      <c r="L98" s="188">
        <f t="shared" si="28"/>
        <v>30.8192490030047</v>
      </c>
      <c r="M98" s="188">
        <f t="shared" si="28"/>
        <v>33.9095336488138</v>
      </c>
      <c r="N98" s="188">
        <f t="shared" si="28"/>
        <v>33.9095336488138</v>
      </c>
      <c r="O98" s="188">
        <f t="shared" si="28"/>
        <v>30.8192490030047</v>
      </c>
      <c r="P98" s="188">
        <f t="shared" si="28"/>
        <v>30.8192490030047</v>
      </c>
      <c r="Q98" s="188">
        <f t="shared" si="28"/>
        <v>33.9095336488138</v>
      </c>
      <c r="R98" s="188">
        <f t="shared" si="28"/>
        <v>29.7192203005323</v>
      </c>
      <c r="S98" s="188">
        <f t="shared" si="28"/>
        <v>33.9095336488138</v>
      </c>
      <c r="T98" s="188">
        <f t="shared" si="28"/>
        <v>33.9095336488138</v>
      </c>
      <c r="U98" s="188">
        <f t="shared" si="28"/>
        <v>29.7192203005323</v>
      </c>
      <c r="V98" s="188">
        <f t="shared" si="28"/>
        <v>30.8192490030047</v>
      </c>
      <c r="W98" s="188">
        <f t="shared" si="28"/>
        <v>30.8192490030047</v>
      </c>
      <c r="X98" s="188">
        <f t="shared" si="28"/>
        <v>29.7192203005323</v>
      </c>
      <c r="Y98" s="188">
        <f t="shared" si="28"/>
        <v>33.9095336488138</v>
      </c>
      <c r="Z98" s="188">
        <f t="shared" si="28"/>
        <v>30.8192490030047</v>
      </c>
      <c r="AA98" s="188">
        <f t="shared" si="28"/>
        <v>30.8192490030047</v>
      </c>
      <c r="AB98" s="188">
        <f t="shared" si="28"/>
        <v>30.8192490030047</v>
      </c>
      <c r="AC98" s="188">
        <f t="shared" si="28"/>
        <v>30.8192490030047</v>
      </c>
      <c r="AD98" s="188">
        <f t="shared" si="28"/>
        <v>30.8192490030047</v>
      </c>
      <c r="AE98" s="188">
        <f t="shared" si="28"/>
        <v>30.8192490030047</v>
      </c>
      <c r="AF98" s="188">
        <f t="shared" si="28"/>
        <v>33.9095336488138</v>
      </c>
      <c r="AG98" s="188">
        <f t="shared" si="28"/>
        <v>33.9095336488138</v>
      </c>
      <c r="AH98" s="188">
        <f t="shared" si="28"/>
        <v>30.8192490030047</v>
      </c>
      <c r="AI98" s="188">
        <f t="shared" si="28"/>
        <v>33.9095336488138</v>
      </c>
      <c r="AJ98" s="188">
        <f t="shared" si="28"/>
        <v>30.8192490030047</v>
      </c>
      <c r="AK98" s="188">
        <f t="shared" si="28"/>
        <v>30.8192490030047</v>
      </c>
      <c r="AL98" s="184"/>
      <c r="AM98" s="184"/>
    </row>
    <row r="99" s="161" customFormat="1" spans="1:39">
      <c r="A99" s="186" t="str">
        <f t="shared" si="22"/>
        <v>Tra_EV_Batt-NMC622_fromrecy</v>
      </c>
      <c r="B99" s="187">
        <v>2100</v>
      </c>
      <c r="C99" s="188">
        <f t="shared" si="24"/>
        <v>29.7653476666981</v>
      </c>
      <c r="D99" s="188">
        <f t="shared" ref="D99:AK99" si="29" xml:space="preserve">D131</f>
        <v>29.7653476666981</v>
      </c>
      <c r="E99" s="188">
        <f t="shared" si="29"/>
        <v>32.749956307311</v>
      </c>
      <c r="F99" s="188">
        <f t="shared" si="29"/>
        <v>32.749956307311</v>
      </c>
      <c r="G99" s="188">
        <f t="shared" si="29"/>
        <v>29.7653476666981</v>
      </c>
      <c r="H99" s="188">
        <f t="shared" si="29"/>
        <v>32.749956307311</v>
      </c>
      <c r="I99" s="188">
        <f t="shared" si="29"/>
        <v>29.7653476666981</v>
      </c>
      <c r="J99" s="188">
        <f t="shared" si="29"/>
        <v>27.3361293052456</v>
      </c>
      <c r="K99" s="188">
        <f t="shared" si="29"/>
        <v>29.7653476666981</v>
      </c>
      <c r="L99" s="188">
        <f t="shared" si="29"/>
        <v>29.7653476666981</v>
      </c>
      <c r="M99" s="188">
        <f t="shared" si="29"/>
        <v>32.749956307311</v>
      </c>
      <c r="N99" s="188">
        <f t="shared" si="29"/>
        <v>32.749956307311</v>
      </c>
      <c r="O99" s="188">
        <f t="shared" si="29"/>
        <v>29.7653476666981</v>
      </c>
      <c r="P99" s="188">
        <f t="shared" si="29"/>
        <v>29.7653476666981</v>
      </c>
      <c r="Q99" s="188">
        <f t="shared" si="29"/>
        <v>32.749956307311</v>
      </c>
      <c r="R99" s="188">
        <f t="shared" si="29"/>
        <v>28.7029357705079</v>
      </c>
      <c r="S99" s="188">
        <f t="shared" si="29"/>
        <v>32.749956307311</v>
      </c>
      <c r="T99" s="188">
        <f t="shared" si="29"/>
        <v>32.749956307311</v>
      </c>
      <c r="U99" s="188">
        <f t="shared" si="29"/>
        <v>28.7029357705079</v>
      </c>
      <c r="V99" s="188">
        <f t="shared" si="29"/>
        <v>29.7653476666981</v>
      </c>
      <c r="W99" s="188">
        <f t="shared" si="29"/>
        <v>29.7653476666981</v>
      </c>
      <c r="X99" s="188">
        <f t="shared" si="29"/>
        <v>28.7029357705079</v>
      </c>
      <c r="Y99" s="188">
        <f t="shared" si="29"/>
        <v>32.749956307311</v>
      </c>
      <c r="Z99" s="188">
        <f t="shared" si="29"/>
        <v>29.7653476666981</v>
      </c>
      <c r="AA99" s="188">
        <f t="shared" si="29"/>
        <v>29.7653476666981</v>
      </c>
      <c r="AB99" s="188">
        <f t="shared" si="29"/>
        <v>29.7653476666981</v>
      </c>
      <c r="AC99" s="188">
        <f t="shared" si="29"/>
        <v>29.7653476666981</v>
      </c>
      <c r="AD99" s="188">
        <f t="shared" si="29"/>
        <v>29.7653476666981</v>
      </c>
      <c r="AE99" s="188">
        <f t="shared" si="29"/>
        <v>29.7653476666981</v>
      </c>
      <c r="AF99" s="188">
        <f t="shared" si="29"/>
        <v>32.749956307311</v>
      </c>
      <c r="AG99" s="188">
        <f t="shared" si="29"/>
        <v>32.749956307311</v>
      </c>
      <c r="AH99" s="188">
        <f t="shared" si="29"/>
        <v>29.7653476666981</v>
      </c>
      <c r="AI99" s="188">
        <f t="shared" si="29"/>
        <v>32.749956307311</v>
      </c>
      <c r="AJ99" s="188">
        <f t="shared" si="29"/>
        <v>29.7653476666981</v>
      </c>
      <c r="AK99" s="188">
        <f t="shared" si="29"/>
        <v>29.7653476666981</v>
      </c>
      <c r="AL99" s="184"/>
      <c r="AM99" s="184"/>
    </row>
    <row r="100" s="161" customFormat="1" spans="1:39">
      <c r="A100" s="186" t="str">
        <f t="shared" si="22"/>
        <v>Tra_EV_Batt-NMC811_fromrecy</v>
      </c>
      <c r="B100" s="187">
        <v>2100</v>
      </c>
      <c r="C100" s="188">
        <f t="shared" si="24"/>
        <v>31.1420304589999</v>
      </c>
      <c r="D100" s="188">
        <f t="shared" ref="D100:AK100" si="30" xml:space="preserve">D132</f>
        <v>31.1420304589999</v>
      </c>
      <c r="E100" s="188">
        <f t="shared" si="30"/>
        <v>34.2646808051321</v>
      </c>
      <c r="F100" s="188">
        <f t="shared" si="30"/>
        <v>34.2646808051321</v>
      </c>
      <c r="G100" s="188">
        <f t="shared" si="30"/>
        <v>31.1420304589999</v>
      </c>
      <c r="H100" s="188">
        <f t="shared" si="30"/>
        <v>34.2646808051321</v>
      </c>
      <c r="I100" s="188">
        <f t="shared" si="30"/>
        <v>31.1420304589999</v>
      </c>
      <c r="J100" s="188">
        <f t="shared" si="30"/>
        <v>28.6004578541366</v>
      </c>
      <c r="K100" s="188">
        <f t="shared" si="30"/>
        <v>31.1420304589999</v>
      </c>
      <c r="L100" s="188">
        <f t="shared" si="30"/>
        <v>31.1420304589999</v>
      </c>
      <c r="M100" s="188">
        <f t="shared" si="30"/>
        <v>34.2646808051321</v>
      </c>
      <c r="N100" s="188">
        <f t="shared" si="30"/>
        <v>34.2646808051321</v>
      </c>
      <c r="O100" s="188">
        <f t="shared" si="30"/>
        <v>31.1420304589999</v>
      </c>
      <c r="P100" s="188">
        <f t="shared" si="30"/>
        <v>31.1420304589999</v>
      </c>
      <c r="Q100" s="188">
        <f t="shared" si="30"/>
        <v>34.2646808051321</v>
      </c>
      <c r="R100" s="188">
        <f t="shared" si="30"/>
        <v>30.0304807468434</v>
      </c>
      <c r="S100" s="188">
        <f t="shared" si="30"/>
        <v>34.2646808051321</v>
      </c>
      <c r="T100" s="188">
        <f t="shared" si="30"/>
        <v>34.2646808051321</v>
      </c>
      <c r="U100" s="188">
        <f t="shared" si="30"/>
        <v>30.0304807468434</v>
      </c>
      <c r="V100" s="188">
        <f t="shared" si="30"/>
        <v>31.1420304589999</v>
      </c>
      <c r="W100" s="188">
        <f t="shared" si="30"/>
        <v>31.1420304589999</v>
      </c>
      <c r="X100" s="188">
        <f t="shared" si="30"/>
        <v>30.0304807468434</v>
      </c>
      <c r="Y100" s="188">
        <f t="shared" si="30"/>
        <v>34.2646808051321</v>
      </c>
      <c r="Z100" s="188">
        <f t="shared" si="30"/>
        <v>31.1420304589999</v>
      </c>
      <c r="AA100" s="188">
        <f t="shared" si="30"/>
        <v>31.1420304589999</v>
      </c>
      <c r="AB100" s="188">
        <f t="shared" si="30"/>
        <v>31.1420304589999</v>
      </c>
      <c r="AC100" s="188">
        <f t="shared" si="30"/>
        <v>31.1420304589999</v>
      </c>
      <c r="AD100" s="188">
        <f t="shared" si="30"/>
        <v>31.1420304589999</v>
      </c>
      <c r="AE100" s="188">
        <f t="shared" si="30"/>
        <v>31.1420304589999</v>
      </c>
      <c r="AF100" s="188">
        <f t="shared" si="30"/>
        <v>34.2646808051321</v>
      </c>
      <c r="AG100" s="188">
        <f t="shared" si="30"/>
        <v>34.2646808051321</v>
      </c>
      <c r="AH100" s="188">
        <f t="shared" si="30"/>
        <v>31.1420304589999</v>
      </c>
      <c r="AI100" s="188">
        <f t="shared" si="30"/>
        <v>34.2646808051321</v>
      </c>
      <c r="AJ100" s="188">
        <f t="shared" si="30"/>
        <v>31.1420304589999</v>
      </c>
      <c r="AK100" s="188">
        <f t="shared" si="30"/>
        <v>31.1420304589999</v>
      </c>
      <c r="AL100" s="184"/>
      <c r="AM100" s="184"/>
    </row>
    <row r="102" spans="1:39">
      <c r="A102" s="165" t="s">
        <v>139</v>
      </c>
    </row>
    <row r="104" spans="1:39">
      <c r="A104" s="189"/>
    </row>
    <row r="105" spans="1:39">
      <c r="A105" s="166" t="s">
        <v>66</v>
      </c>
      <c r="B105" s="166" t="s">
        <v>41</v>
      </c>
      <c r="C105" s="166" t="s">
        <v>3</v>
      </c>
      <c r="D105" s="166" t="s">
        <v>5</v>
      </c>
      <c r="E105" s="166" t="s">
        <v>6</v>
      </c>
      <c r="F105" s="166" t="s">
        <v>7</v>
      </c>
      <c r="G105" s="166" t="s">
        <v>8</v>
      </c>
      <c r="H105" s="166" t="s">
        <v>9</v>
      </c>
      <c r="I105" s="166" t="s">
        <v>10</v>
      </c>
      <c r="J105" s="166" t="s">
        <v>11</v>
      </c>
      <c r="K105" s="166" t="s">
        <v>12</v>
      </c>
      <c r="L105" s="166" t="s">
        <v>13</v>
      </c>
      <c r="M105" s="166" t="s">
        <v>14</v>
      </c>
      <c r="N105" s="166" t="s">
        <v>15</v>
      </c>
      <c r="O105" s="166" t="s">
        <v>16</v>
      </c>
      <c r="P105" s="166" t="s">
        <v>17</v>
      </c>
      <c r="Q105" s="166" t="s">
        <v>18</v>
      </c>
      <c r="R105" s="166" t="s">
        <v>19</v>
      </c>
      <c r="S105" s="166" t="s">
        <v>20</v>
      </c>
      <c r="T105" s="166" t="s">
        <v>21</v>
      </c>
      <c r="U105" s="166" t="s">
        <v>22</v>
      </c>
      <c r="V105" s="166" t="s">
        <v>23</v>
      </c>
      <c r="W105" s="166" t="s">
        <v>24</v>
      </c>
      <c r="X105" s="166" t="s">
        <v>25</v>
      </c>
      <c r="Y105" s="166" t="s">
        <v>26</v>
      </c>
      <c r="Z105" s="166" t="s">
        <v>27</v>
      </c>
      <c r="AA105" s="166" t="s">
        <v>28</v>
      </c>
      <c r="AB105" s="166" t="s">
        <v>29</v>
      </c>
      <c r="AC105" s="166" t="s">
        <v>30</v>
      </c>
      <c r="AD105" s="166" t="s">
        <v>31</v>
      </c>
      <c r="AE105" s="166" t="s">
        <v>32</v>
      </c>
      <c r="AF105" s="166" t="s">
        <v>33</v>
      </c>
      <c r="AG105" s="166" t="s">
        <v>34</v>
      </c>
      <c r="AH105" s="166" t="s">
        <v>35</v>
      </c>
      <c r="AI105" s="166" t="s">
        <v>36</v>
      </c>
      <c r="AJ105" s="166" t="s">
        <v>37</v>
      </c>
      <c r="AK105" s="166" t="s">
        <v>38</v>
      </c>
    </row>
    <row r="106" spans="1:39">
      <c r="A106" s="177" t="str">
        <f t="shared" ref="A106:A112" si="31" xml:space="preserve">B6</f>
        <v>Tra_EV_Batt-LFP</v>
      </c>
      <c r="B106" s="190">
        <v>2023</v>
      </c>
      <c r="C106" s="179">
        <f xml:space="preserve">$E$6*B$23*C$35</f>
        <v>80.4557585</v>
      </c>
      <c r="D106" s="179">
        <f xml:space="preserve">$E$6*B$23*C$36</f>
        <v>80.4557585</v>
      </c>
      <c r="E106" s="179">
        <f xml:space="preserve">$E$6*B$23*C$37</f>
        <v>97.1017775</v>
      </c>
      <c r="F106" s="179">
        <f xml:space="preserve">$E$6*B$23*C$38</f>
        <v>97.1017775</v>
      </c>
      <c r="G106" s="179">
        <f xml:space="preserve">$E$6*B$23*C$39</f>
        <v>80.4557585</v>
      </c>
      <c r="H106" s="179">
        <f xml:space="preserve">$E$6*B$23*C$40</f>
        <v>97.1017775</v>
      </c>
      <c r="I106" s="179">
        <f xml:space="preserve">$E$6*B$23*C$41</f>
        <v>80.4557585</v>
      </c>
      <c r="J106" s="179">
        <f xml:space="preserve">$E$6*B$23*C$42</f>
        <v>55.48673</v>
      </c>
      <c r="K106" s="179">
        <f xml:space="preserve">$E$6*B$23*C$43</f>
        <v>80.4557585</v>
      </c>
      <c r="L106" s="179">
        <f xml:space="preserve">$E$6*B$23*C$44</f>
        <v>80.4557585</v>
      </c>
      <c r="M106" s="179">
        <f xml:space="preserve">$E$6*B$23*C$45</f>
        <v>97.1017775</v>
      </c>
      <c r="N106" s="179">
        <f xml:space="preserve">$E$6*B$23*C$46</f>
        <v>97.1017775</v>
      </c>
      <c r="O106" s="179">
        <f xml:space="preserve">$E$6*B$23*C$47</f>
        <v>80.4557585</v>
      </c>
      <c r="P106" s="179">
        <f xml:space="preserve">$E$6*B$23*C$48</f>
        <v>80.4557585</v>
      </c>
      <c r="Q106" s="179">
        <f xml:space="preserve">$E$6*B$23*C$49</f>
        <v>97.1017775</v>
      </c>
      <c r="R106" s="179">
        <f xml:space="preserve">$E$6*B$23*C$50</f>
        <v>66.584076</v>
      </c>
      <c r="S106" s="179">
        <f xml:space="preserve">$E$6*B$23*C$51</f>
        <v>97.1017775</v>
      </c>
      <c r="T106" s="179">
        <f xml:space="preserve">$E$6*B$23*C$52</f>
        <v>97.1017775</v>
      </c>
      <c r="U106" s="179">
        <f xml:space="preserve">$E$6*B$23*C$53</f>
        <v>66.584076</v>
      </c>
      <c r="V106" s="179">
        <f xml:space="preserve">$E$6*B$23*C$54</f>
        <v>80.4557585</v>
      </c>
      <c r="W106" s="179">
        <f xml:space="preserve">$E$6*B$23*C$55</f>
        <v>80.4557585</v>
      </c>
      <c r="X106" s="179">
        <f xml:space="preserve">$E$6*B$23*C$56</f>
        <v>66.584076</v>
      </c>
      <c r="Y106" s="179">
        <f xml:space="preserve">$E$6*B$23*C$57</f>
        <v>97.1017775</v>
      </c>
      <c r="Z106" s="179">
        <f xml:space="preserve">$E$6*B$23*C$58</f>
        <v>80.4557585</v>
      </c>
      <c r="AA106" s="179">
        <f xml:space="preserve">$E$6*B$23*C$59</f>
        <v>80.4557585</v>
      </c>
      <c r="AB106" s="179">
        <f xml:space="preserve">$E$6*B$23*C$60</f>
        <v>80.4557585</v>
      </c>
      <c r="AC106" s="179">
        <f xml:space="preserve">$E$6*B$23*C$61</f>
        <v>80.4557585</v>
      </c>
      <c r="AD106" s="179">
        <f xml:space="preserve">$E$6*B$23*C$62</f>
        <v>80.4557585</v>
      </c>
      <c r="AE106" s="179">
        <f xml:space="preserve">$E$6*B$23*C$63</f>
        <v>80.4557585</v>
      </c>
      <c r="AF106" s="179">
        <f xml:space="preserve">$E$6*B$23*C$64</f>
        <v>97.1017775</v>
      </c>
      <c r="AG106" s="179">
        <f xml:space="preserve">$E$6*B$23*C$65</f>
        <v>97.1017775</v>
      </c>
      <c r="AH106" s="179">
        <f xml:space="preserve">$E$6*B$23*C$66</f>
        <v>80.4557585</v>
      </c>
      <c r="AI106" s="179">
        <f xml:space="preserve">$E$6*B$23*C$67</f>
        <v>97.1017775</v>
      </c>
      <c r="AJ106" s="179">
        <f xml:space="preserve">$E$6*B$23*C$68</f>
        <v>80.4557585</v>
      </c>
      <c r="AK106" s="179">
        <f xml:space="preserve">$E$6*B$23*C$69</f>
        <v>80.4557585</v>
      </c>
    </row>
    <row r="107" spans="1:39">
      <c r="A107" s="171" t="str">
        <f t="shared" si="31"/>
        <v>Tra_EV_Batt-LMO</v>
      </c>
      <c r="B107" s="191">
        <v>2023</v>
      </c>
      <c r="C107" s="174">
        <f xml:space="preserve">$E$7*B$23*C$35</f>
        <v>96.1721925</v>
      </c>
      <c r="D107" s="174">
        <f xml:space="preserve">$E$7*B$23*C$36</f>
        <v>96.1721925</v>
      </c>
      <c r="E107" s="174">
        <f xml:space="preserve">$E$7*B$23*C$37</f>
        <v>116.0698875</v>
      </c>
      <c r="F107" s="174">
        <f xml:space="preserve">$E$7*B$23*C$38</f>
        <v>116.0698875</v>
      </c>
      <c r="G107" s="174">
        <f xml:space="preserve">$E$7*B$23*C$39</f>
        <v>96.1721925</v>
      </c>
      <c r="H107" s="174">
        <f xml:space="preserve">$E$7*B$23*C$40</f>
        <v>116.0698875</v>
      </c>
      <c r="I107" s="174">
        <f xml:space="preserve">$E$7*B$23*C$41</f>
        <v>96.1721925</v>
      </c>
      <c r="J107" s="174">
        <f xml:space="preserve">$E$7*B$23*C$42</f>
        <v>66.32565</v>
      </c>
      <c r="K107" s="174">
        <f xml:space="preserve">$E$7*B$23*C$43</f>
        <v>96.1721925</v>
      </c>
      <c r="L107" s="174">
        <f xml:space="preserve">$E$7*B$23*C$44</f>
        <v>96.1721925</v>
      </c>
      <c r="M107" s="174">
        <f xml:space="preserve">$E$7*B$23*C$45</f>
        <v>116.0698875</v>
      </c>
      <c r="N107" s="174">
        <f xml:space="preserve">$E$7*B$23*C$46</f>
        <v>116.0698875</v>
      </c>
      <c r="O107" s="174">
        <f xml:space="preserve">$E$7*B$23*C$47</f>
        <v>96.1721925</v>
      </c>
      <c r="P107" s="174">
        <f xml:space="preserve">$E$7*B$23*C$48</f>
        <v>96.1721925</v>
      </c>
      <c r="Q107" s="174">
        <f xml:space="preserve">$E$7*B$23*C$49</f>
        <v>116.0698875</v>
      </c>
      <c r="R107" s="174">
        <f xml:space="preserve">$E$7*B$23*C$50</f>
        <v>79.59078</v>
      </c>
      <c r="S107" s="174">
        <f xml:space="preserve">$E$7*B$23*C$51</f>
        <v>116.0698875</v>
      </c>
      <c r="T107" s="174">
        <f xml:space="preserve">$E$7*B$23*C$52</f>
        <v>116.0698875</v>
      </c>
      <c r="U107" s="174">
        <f xml:space="preserve">$E$7*B$23*C$53</f>
        <v>79.59078</v>
      </c>
      <c r="V107" s="174">
        <f xml:space="preserve">$E$7*B$23*C$54</f>
        <v>96.1721925</v>
      </c>
      <c r="W107" s="174">
        <f xml:space="preserve">$E$7*B$23*C$55</f>
        <v>96.1721925</v>
      </c>
      <c r="X107" s="174">
        <f xml:space="preserve">$E$7*B$23*C$56</f>
        <v>79.59078</v>
      </c>
      <c r="Y107" s="174">
        <f xml:space="preserve">$E$7*B$23*C$57</f>
        <v>116.0698875</v>
      </c>
      <c r="Z107" s="174">
        <f xml:space="preserve">$E$7*B$23*C$58</f>
        <v>96.1721925</v>
      </c>
      <c r="AA107" s="174">
        <f xml:space="preserve">$E$7*B$23*C$59</f>
        <v>96.1721925</v>
      </c>
      <c r="AB107" s="174">
        <f xml:space="preserve">$E$7*B$23*C$60</f>
        <v>96.1721925</v>
      </c>
      <c r="AC107" s="174">
        <f xml:space="preserve">$E$7*B$23*C$61</f>
        <v>96.1721925</v>
      </c>
      <c r="AD107" s="174">
        <f xml:space="preserve">$E$7*B$23*C$62</f>
        <v>96.1721925</v>
      </c>
      <c r="AE107" s="174">
        <f xml:space="preserve">$E$7*B$23*C$63</f>
        <v>96.1721925</v>
      </c>
      <c r="AF107" s="174">
        <f xml:space="preserve">$E$7*B$23*C$64</f>
        <v>116.0698875</v>
      </c>
      <c r="AG107" s="174">
        <f xml:space="preserve">$E$7*B$23*C$65</f>
        <v>116.0698875</v>
      </c>
      <c r="AH107" s="174">
        <f xml:space="preserve">$E$7*B$23*C$66</f>
        <v>96.1721925</v>
      </c>
      <c r="AI107" s="174">
        <f xml:space="preserve">$E$7*B$23*C$67</f>
        <v>116.0698875</v>
      </c>
      <c r="AJ107" s="174">
        <f xml:space="preserve">$E$7*B$23*C$68</f>
        <v>96.1721925</v>
      </c>
      <c r="AK107" s="174">
        <f xml:space="preserve">$E$7*B$23*C$69</f>
        <v>96.1721925</v>
      </c>
    </row>
    <row r="108" spans="1:39">
      <c r="A108" s="177" t="str">
        <f t="shared" si="31"/>
        <v>Tra_EV_Batt-NCA</v>
      </c>
      <c r="B108" s="190">
        <v>2023</v>
      </c>
      <c r="C108" s="179">
        <f xml:space="preserve">$E$8*B$23*C$35</f>
        <v>81.3471315</v>
      </c>
      <c r="D108" s="179">
        <f xml:space="preserve">$E$8*B$23*C$36</f>
        <v>81.3471315</v>
      </c>
      <c r="E108" s="179">
        <f xml:space="preserve">$E$8*B$23*C$37</f>
        <v>98.1775725</v>
      </c>
      <c r="F108" s="179">
        <f xml:space="preserve">$E$8*B$23*C$38</f>
        <v>98.1775725</v>
      </c>
      <c r="G108" s="179">
        <f xml:space="preserve">$E$8*B$23*C$39</f>
        <v>81.3471315</v>
      </c>
      <c r="H108" s="179">
        <f xml:space="preserve">$E$8*B$23*C$40</f>
        <v>98.1775725</v>
      </c>
      <c r="I108" s="179">
        <f xml:space="preserve">$E$8*B$23*C$41</f>
        <v>81.3471315</v>
      </c>
      <c r="J108" s="179">
        <f xml:space="preserve">$E$8*B$23*C$42</f>
        <v>56.10147</v>
      </c>
      <c r="K108" s="179">
        <f xml:space="preserve">$E$8*B$23*C$43</f>
        <v>81.3471315</v>
      </c>
      <c r="L108" s="179">
        <f xml:space="preserve">$E$8*B$23*C$44</f>
        <v>81.3471315</v>
      </c>
      <c r="M108" s="179">
        <f xml:space="preserve">$E$8*B$23*C$45</f>
        <v>98.1775725</v>
      </c>
      <c r="N108" s="179">
        <f xml:space="preserve">$E$8*B$23*C$46</f>
        <v>98.1775725</v>
      </c>
      <c r="O108" s="179">
        <f xml:space="preserve">$E$8*B$23*C$47</f>
        <v>81.3471315</v>
      </c>
      <c r="P108" s="179">
        <f xml:space="preserve">$E$8*B$23*C$48</f>
        <v>81.3471315</v>
      </c>
      <c r="Q108" s="179">
        <f xml:space="preserve">$E$8*B$23*C$49</f>
        <v>98.1775725</v>
      </c>
      <c r="R108" s="179">
        <f xml:space="preserve">$E$8*B$23*C$50</f>
        <v>67.321764</v>
      </c>
      <c r="S108" s="179">
        <f xml:space="preserve">$E$8*B$23*C$51</f>
        <v>98.1775725</v>
      </c>
      <c r="T108" s="179">
        <f xml:space="preserve">$E$8*B$23*C$52</f>
        <v>98.1775725</v>
      </c>
      <c r="U108" s="179">
        <f xml:space="preserve">$E$8*B$23*C$53</f>
        <v>67.321764</v>
      </c>
      <c r="V108" s="179">
        <f xml:space="preserve">$E$8*B$23*C$54</f>
        <v>81.3471315</v>
      </c>
      <c r="W108" s="179">
        <f xml:space="preserve">$E$8*B$23*C$55</f>
        <v>81.3471315</v>
      </c>
      <c r="X108" s="179">
        <f xml:space="preserve">$E$8*B$23*C$56</f>
        <v>67.321764</v>
      </c>
      <c r="Y108" s="179">
        <f xml:space="preserve">$E$8*B$23*C$57</f>
        <v>98.1775725</v>
      </c>
      <c r="Z108" s="179">
        <f xml:space="preserve">$E$8*B$23*C$58</f>
        <v>81.3471315</v>
      </c>
      <c r="AA108" s="179">
        <f xml:space="preserve">$E$8*B$23*C$59</f>
        <v>81.3471315</v>
      </c>
      <c r="AB108" s="179">
        <f xml:space="preserve">$E$8*B$23*C$60</f>
        <v>81.3471315</v>
      </c>
      <c r="AC108" s="179">
        <f xml:space="preserve">$E$8*B$23*C$61</f>
        <v>81.3471315</v>
      </c>
      <c r="AD108" s="179">
        <f xml:space="preserve">$E$8*B$23*C$62</f>
        <v>81.3471315</v>
      </c>
      <c r="AE108" s="179">
        <f xml:space="preserve">$E$8*B$23*C$63</f>
        <v>81.3471315</v>
      </c>
      <c r="AF108" s="179">
        <f xml:space="preserve">$E$8*B$23*C$64</f>
        <v>98.1775725</v>
      </c>
      <c r="AG108" s="179">
        <f xml:space="preserve">$E$8*B$23*C$65</f>
        <v>98.1775725</v>
      </c>
      <c r="AH108" s="179">
        <f xml:space="preserve">$E$8*B$23*C$66</f>
        <v>81.3471315</v>
      </c>
      <c r="AI108" s="179">
        <f xml:space="preserve">$E$8*B$23*C$67</f>
        <v>98.1775725</v>
      </c>
      <c r="AJ108" s="179">
        <f xml:space="preserve">$E$8*B$23*C$68</f>
        <v>81.3471315</v>
      </c>
      <c r="AK108" s="179">
        <f xml:space="preserve">$E$8*B$23*C$69</f>
        <v>81.3471315</v>
      </c>
    </row>
    <row r="109" spans="1:39">
      <c r="A109" s="171" t="str">
        <f t="shared" si="31"/>
        <v>Tra_EV_Batt-NMC111</v>
      </c>
      <c r="B109" s="191">
        <v>2023</v>
      </c>
      <c r="C109" s="174">
        <f xml:space="preserve">$E$9*B$23*C$35</f>
        <v>80.5612895</v>
      </c>
      <c r="D109" s="174">
        <f xml:space="preserve">$E$9*B$23*C$36</f>
        <v>80.5612895</v>
      </c>
      <c r="E109" s="174">
        <f xml:space="preserve">$E$9*B$23*C$37</f>
        <v>97.2291425</v>
      </c>
      <c r="F109" s="174">
        <f xml:space="preserve">$E$9*B$23*C$38</f>
        <v>97.2291425</v>
      </c>
      <c r="G109" s="174">
        <f xml:space="preserve">$E$9*B$23*C$39</f>
        <v>80.5612895</v>
      </c>
      <c r="H109" s="174">
        <f xml:space="preserve">$E$9*B$23*C$40</f>
        <v>97.2291425</v>
      </c>
      <c r="I109" s="174">
        <f xml:space="preserve">$E$9*B$23*C$41</f>
        <v>80.5612895</v>
      </c>
      <c r="J109" s="174">
        <f xml:space="preserve">$E$9*B$23*C$42</f>
        <v>55.55951</v>
      </c>
      <c r="K109" s="174">
        <f xml:space="preserve">$E$9*B$23*C$43</f>
        <v>80.5612895</v>
      </c>
      <c r="L109" s="174">
        <f xml:space="preserve">$E$9*B$23*C$44</f>
        <v>80.5612895</v>
      </c>
      <c r="M109" s="174">
        <f xml:space="preserve">$E$9*B$23*C$45</f>
        <v>97.2291425</v>
      </c>
      <c r="N109" s="174">
        <f xml:space="preserve">$E$9*B$23*C$46</f>
        <v>97.2291425</v>
      </c>
      <c r="O109" s="174">
        <f xml:space="preserve">$E$9*B$23*C$47</f>
        <v>80.5612895</v>
      </c>
      <c r="P109" s="174">
        <f xml:space="preserve">$E$9*B$23*C$48</f>
        <v>80.5612895</v>
      </c>
      <c r="Q109" s="174">
        <f xml:space="preserve">$E$9*B$23*C$49</f>
        <v>97.2291425</v>
      </c>
      <c r="R109" s="174">
        <f xml:space="preserve">$E$9*B$23*C$50</f>
        <v>66.671412</v>
      </c>
      <c r="S109" s="174">
        <f xml:space="preserve">$E$9*B$23*C$51</f>
        <v>97.2291425</v>
      </c>
      <c r="T109" s="174">
        <f xml:space="preserve">$E$9*B$23*C$52</f>
        <v>97.2291425</v>
      </c>
      <c r="U109" s="174">
        <f xml:space="preserve">$E$9*B$23*C$53</f>
        <v>66.671412</v>
      </c>
      <c r="V109" s="174">
        <f xml:space="preserve">$E$9*B$23*C$54</f>
        <v>80.5612895</v>
      </c>
      <c r="W109" s="174">
        <f xml:space="preserve">$E$9*B$23*C$55</f>
        <v>80.5612895</v>
      </c>
      <c r="X109" s="174">
        <f xml:space="preserve">$E$9*B$23*C$56</f>
        <v>66.671412</v>
      </c>
      <c r="Y109" s="174">
        <f xml:space="preserve">$E$9*B$23*C$57</f>
        <v>97.2291425</v>
      </c>
      <c r="Z109" s="174">
        <f xml:space="preserve">$E$9*B$23*C$58</f>
        <v>80.5612895</v>
      </c>
      <c r="AA109" s="174">
        <f xml:space="preserve">$E$9*B$23*C$59</f>
        <v>80.5612895</v>
      </c>
      <c r="AB109" s="174">
        <f xml:space="preserve">$E$9*B$23*C$60</f>
        <v>80.5612895</v>
      </c>
      <c r="AC109" s="174">
        <f xml:space="preserve">$E$9*B$23*C$61</f>
        <v>80.5612895</v>
      </c>
      <c r="AD109" s="174">
        <f xml:space="preserve">$E$9*B$23*C$62</f>
        <v>80.5612895</v>
      </c>
      <c r="AE109" s="174">
        <f xml:space="preserve">$E$9*B$23*C$63</f>
        <v>80.5612895</v>
      </c>
      <c r="AF109" s="174">
        <f xml:space="preserve">$E$9*B$23*C$64</f>
        <v>97.2291425</v>
      </c>
      <c r="AG109" s="174">
        <f xml:space="preserve">$E$9*B$23*C$65</f>
        <v>97.2291425</v>
      </c>
      <c r="AH109" s="174">
        <f xml:space="preserve">$E$9*B$23*C$66</f>
        <v>80.5612895</v>
      </c>
      <c r="AI109" s="174">
        <f xml:space="preserve">$E$9*B$23*C$67</f>
        <v>97.2291425</v>
      </c>
      <c r="AJ109" s="174">
        <f xml:space="preserve">$E$9*B$23*C$68</f>
        <v>80.5612895</v>
      </c>
      <c r="AK109" s="174">
        <f xml:space="preserve">$E$9*B$23*C$69</f>
        <v>80.5612895</v>
      </c>
    </row>
    <row r="110" spans="1:39">
      <c r="A110" s="177" t="str">
        <f t="shared" si="31"/>
        <v>Tra_EV_Batt-NMC532</v>
      </c>
      <c r="B110" s="190">
        <v>2023</v>
      </c>
      <c r="C110" s="179">
        <f xml:space="preserve">$E$10*B$23*C$35</f>
        <v>86.083165</v>
      </c>
      <c r="D110" s="179">
        <f xml:space="preserve">$E$10*B$23*C$36</f>
        <v>86.083165</v>
      </c>
      <c r="E110" s="179">
        <f xml:space="preserve">$E$10*B$23*C$37</f>
        <v>103.893475</v>
      </c>
      <c r="F110" s="179">
        <f xml:space="preserve">$E$10*B$23*C$38</f>
        <v>103.893475</v>
      </c>
      <c r="G110" s="179">
        <f xml:space="preserve">$E$10*B$23*C$39</f>
        <v>86.083165</v>
      </c>
      <c r="H110" s="179">
        <f xml:space="preserve">$E$10*B$23*C$40</f>
        <v>103.893475</v>
      </c>
      <c r="I110" s="179">
        <f xml:space="preserve">$E$10*B$23*C$41</f>
        <v>86.083165</v>
      </c>
      <c r="J110" s="179">
        <f xml:space="preserve">$E$10*B$23*C$42</f>
        <v>59.3677</v>
      </c>
      <c r="K110" s="179">
        <f xml:space="preserve">$E$10*B$23*C$43</f>
        <v>86.083165</v>
      </c>
      <c r="L110" s="179">
        <f xml:space="preserve">$E$10*B$23*C$44</f>
        <v>86.083165</v>
      </c>
      <c r="M110" s="179">
        <f xml:space="preserve">$E$10*B$23*C$45</f>
        <v>103.893475</v>
      </c>
      <c r="N110" s="179">
        <f xml:space="preserve">$E$10*B$23*C$46</f>
        <v>103.893475</v>
      </c>
      <c r="O110" s="179">
        <f xml:space="preserve">$E$10*B$23*C$47</f>
        <v>86.083165</v>
      </c>
      <c r="P110" s="179">
        <f xml:space="preserve">$E$10*B$23*C$48</f>
        <v>86.083165</v>
      </c>
      <c r="Q110" s="179">
        <f xml:space="preserve">$E$10*B$23*C$49</f>
        <v>103.893475</v>
      </c>
      <c r="R110" s="179">
        <f xml:space="preserve">$E$10*B$23*C$50</f>
        <v>71.24124</v>
      </c>
      <c r="S110" s="179">
        <f xml:space="preserve">$E$10*B$23*C$51</f>
        <v>103.893475</v>
      </c>
      <c r="T110" s="179">
        <f xml:space="preserve">$E$10*B$23*C$52</f>
        <v>103.893475</v>
      </c>
      <c r="U110" s="179">
        <f xml:space="preserve">$E$10*B$23*C$53</f>
        <v>71.24124</v>
      </c>
      <c r="V110" s="179">
        <f xml:space="preserve">$E$10*B$23*C$54</f>
        <v>86.083165</v>
      </c>
      <c r="W110" s="179">
        <f xml:space="preserve">$E$10*B$23*C$55</f>
        <v>86.083165</v>
      </c>
      <c r="X110" s="179">
        <f xml:space="preserve">$E$10*B$23*C$56</f>
        <v>71.24124</v>
      </c>
      <c r="Y110" s="179">
        <f xml:space="preserve">$E$10*B$23*C$57</f>
        <v>103.893475</v>
      </c>
      <c r="Z110" s="179">
        <f xml:space="preserve">$E$10*B$23*C$58</f>
        <v>86.083165</v>
      </c>
      <c r="AA110" s="179">
        <f xml:space="preserve">$E$10*B$23*C$59</f>
        <v>86.083165</v>
      </c>
      <c r="AB110" s="179">
        <f xml:space="preserve">$E$10*B$23*C$60</f>
        <v>86.083165</v>
      </c>
      <c r="AC110" s="179">
        <f xml:space="preserve">$E$10*B$23*C$61</f>
        <v>86.083165</v>
      </c>
      <c r="AD110" s="179">
        <f xml:space="preserve">$E$10*B$23*C$62</f>
        <v>86.083165</v>
      </c>
      <c r="AE110" s="179">
        <f xml:space="preserve">$E$10*B$23*C$63</f>
        <v>86.083165</v>
      </c>
      <c r="AF110" s="179">
        <f xml:space="preserve">$E$10*B$23*C$64</f>
        <v>103.893475</v>
      </c>
      <c r="AG110" s="179">
        <f xml:space="preserve">$E$10*B$23*C$65</f>
        <v>103.893475</v>
      </c>
      <c r="AH110" s="179">
        <f xml:space="preserve">$E$10*B$23*C$66</f>
        <v>86.083165</v>
      </c>
      <c r="AI110" s="179">
        <f xml:space="preserve">$E$10*B$23*C$67</f>
        <v>103.893475</v>
      </c>
      <c r="AJ110" s="179">
        <f xml:space="preserve">$E$10*B$23*C$68</f>
        <v>86.083165</v>
      </c>
      <c r="AK110" s="179">
        <f xml:space="preserve">$E$10*B$23*C$69</f>
        <v>86.083165</v>
      </c>
    </row>
    <row r="111" spans="1:39">
      <c r="A111" s="171" t="str">
        <f t="shared" si="31"/>
        <v>Tra_EV_Batt-NMC622</v>
      </c>
      <c r="B111" s="191">
        <v>2023</v>
      </c>
      <c r="C111" s="174">
        <f xml:space="preserve">$E$11*B$23*C$35</f>
        <v>83.1394475</v>
      </c>
      <c r="D111" s="174">
        <f xml:space="preserve">$E$11*B$23*C$36</f>
        <v>83.1394475</v>
      </c>
      <c r="E111" s="174">
        <f xml:space="preserve">$E$11*B$23*C$37</f>
        <v>100.3407125</v>
      </c>
      <c r="F111" s="174">
        <f xml:space="preserve">$E$11*B$23*C$38</f>
        <v>100.3407125</v>
      </c>
      <c r="G111" s="174">
        <f xml:space="preserve">$E$11*B$23*C$39</f>
        <v>83.1394475</v>
      </c>
      <c r="H111" s="174">
        <f xml:space="preserve">$E$11*B$23*C$40</f>
        <v>100.3407125</v>
      </c>
      <c r="I111" s="174">
        <f xml:space="preserve">$E$11*B$23*C$41</f>
        <v>83.1394475</v>
      </c>
      <c r="J111" s="174">
        <f xml:space="preserve">$E$11*B$23*C$42</f>
        <v>57.33755</v>
      </c>
      <c r="K111" s="174">
        <f xml:space="preserve">$E$11*B$23*C$43</f>
        <v>83.1394475</v>
      </c>
      <c r="L111" s="174">
        <f xml:space="preserve">$E$11*B$23*C$44</f>
        <v>83.1394475</v>
      </c>
      <c r="M111" s="174">
        <f xml:space="preserve">$E$11*B$23*C$45</f>
        <v>100.3407125</v>
      </c>
      <c r="N111" s="174">
        <f xml:space="preserve">$E$11*B$23*C$46</f>
        <v>100.3407125</v>
      </c>
      <c r="O111" s="174">
        <f xml:space="preserve">$E$11*B$23*C$47</f>
        <v>83.1394475</v>
      </c>
      <c r="P111" s="174">
        <f xml:space="preserve">$E$11*B$23*C$48</f>
        <v>83.1394475</v>
      </c>
      <c r="Q111" s="174">
        <f xml:space="preserve">$E$11*B$23*C$49</f>
        <v>100.3407125</v>
      </c>
      <c r="R111" s="174">
        <f xml:space="preserve">$E$11*B$23*C$50</f>
        <v>68.80506</v>
      </c>
      <c r="S111" s="174">
        <f xml:space="preserve">$E$11*B$23*C$51</f>
        <v>100.3407125</v>
      </c>
      <c r="T111" s="174">
        <f xml:space="preserve">$E$11*B$23*C$52</f>
        <v>100.3407125</v>
      </c>
      <c r="U111" s="174">
        <f xml:space="preserve">$E$11*B$23*C$53</f>
        <v>68.80506</v>
      </c>
      <c r="V111" s="174">
        <f xml:space="preserve">$E$11*B$23*C$54</f>
        <v>83.1394475</v>
      </c>
      <c r="W111" s="174">
        <f xml:space="preserve">$E$11*B$23*C$55</f>
        <v>83.1394475</v>
      </c>
      <c r="X111" s="174">
        <f xml:space="preserve">$E$11*B$23*C$56</f>
        <v>68.80506</v>
      </c>
      <c r="Y111" s="174">
        <f xml:space="preserve">$E$11*B$23*C$57</f>
        <v>100.3407125</v>
      </c>
      <c r="Z111" s="174">
        <f xml:space="preserve">$E$11*B$23*C$58</f>
        <v>83.1394475</v>
      </c>
      <c r="AA111" s="174">
        <f xml:space="preserve">$E$11*B$23*C$59</f>
        <v>83.1394475</v>
      </c>
      <c r="AB111" s="174">
        <f xml:space="preserve">$E$11*B$23*C$60</f>
        <v>83.1394475</v>
      </c>
      <c r="AC111" s="174">
        <f xml:space="preserve">$E$11*B$23*C$61</f>
        <v>83.1394475</v>
      </c>
      <c r="AD111" s="174">
        <f xml:space="preserve">$E$11*B$23*C$62</f>
        <v>83.1394475</v>
      </c>
      <c r="AE111" s="174">
        <f xml:space="preserve">$E$11*B$23*C$63</f>
        <v>83.1394475</v>
      </c>
      <c r="AF111" s="174">
        <f xml:space="preserve">$E$11*B$23*C$64</f>
        <v>100.3407125</v>
      </c>
      <c r="AG111" s="174">
        <f xml:space="preserve">$E$11*B$23*C$65</f>
        <v>100.3407125</v>
      </c>
      <c r="AH111" s="174">
        <f xml:space="preserve">$E$11*B$23*C$66</f>
        <v>83.1394475</v>
      </c>
      <c r="AI111" s="174">
        <f xml:space="preserve">$E$11*B$23*C$67</f>
        <v>100.3407125</v>
      </c>
      <c r="AJ111" s="174">
        <f xml:space="preserve">$E$11*B$23*C$68</f>
        <v>83.1394475</v>
      </c>
      <c r="AK111" s="174">
        <f xml:space="preserve">$E$11*B$23*C$69</f>
        <v>83.1394475</v>
      </c>
    </row>
    <row r="112" spans="1:39">
      <c r="A112" s="177" t="str">
        <f t="shared" si="31"/>
        <v>Tra_EV_Batt-NMC811</v>
      </c>
      <c r="B112" s="190">
        <v>2023</v>
      </c>
      <c r="C112" s="179">
        <f xml:space="preserve">$E$12*B$23*C$35</f>
        <v>86.984746</v>
      </c>
      <c r="D112" s="179">
        <f xml:space="preserve">$E$12*B$23*C$36</f>
        <v>86.984746</v>
      </c>
      <c r="E112" s="179">
        <f xml:space="preserve">$E$12*B$23*C$37</f>
        <v>104.98159</v>
      </c>
      <c r="F112" s="179">
        <f xml:space="preserve">$E$12*B$23*C$38</f>
        <v>104.98159</v>
      </c>
      <c r="G112" s="179">
        <f xml:space="preserve">$E$12*B$23*C$39</f>
        <v>86.984746</v>
      </c>
      <c r="H112" s="179">
        <f xml:space="preserve">$E$12*B$23*C$40</f>
        <v>104.98159</v>
      </c>
      <c r="I112" s="179">
        <f xml:space="preserve">$E$12*B$23*C$41</f>
        <v>86.984746</v>
      </c>
      <c r="J112" s="179">
        <f xml:space="preserve">$E$12*B$23*C$42</f>
        <v>59.98948</v>
      </c>
      <c r="K112" s="179">
        <f xml:space="preserve">$E$12*B$23*C$43</f>
        <v>86.984746</v>
      </c>
      <c r="L112" s="179">
        <f xml:space="preserve">$E$12*B$23*C$44</f>
        <v>86.984746</v>
      </c>
      <c r="M112" s="179">
        <f xml:space="preserve">$E$12*B$23*C$45</f>
        <v>104.98159</v>
      </c>
      <c r="N112" s="179">
        <f xml:space="preserve">$E$12*B$23*C$46</f>
        <v>104.98159</v>
      </c>
      <c r="O112" s="179">
        <f xml:space="preserve">$E$12*B$23*C$47</f>
        <v>86.984746</v>
      </c>
      <c r="P112" s="179">
        <f xml:space="preserve">$E$12*B$23*C$48</f>
        <v>86.984746</v>
      </c>
      <c r="Q112" s="179">
        <f xml:space="preserve">$E$12*B$23*C$49</f>
        <v>104.98159</v>
      </c>
      <c r="R112" s="179">
        <f xml:space="preserve">$E$12*B$23*C$50</f>
        <v>71.987376</v>
      </c>
      <c r="S112" s="179">
        <f xml:space="preserve">$E$12*B$23*C$51</f>
        <v>104.98159</v>
      </c>
      <c r="T112" s="179">
        <f xml:space="preserve">$E$12*B$23*C$52</f>
        <v>104.98159</v>
      </c>
      <c r="U112" s="179">
        <f xml:space="preserve">$E$12*B$23*C$53</f>
        <v>71.987376</v>
      </c>
      <c r="V112" s="179">
        <f xml:space="preserve">$E$12*B$23*C$54</f>
        <v>86.984746</v>
      </c>
      <c r="W112" s="179">
        <f xml:space="preserve">$E$12*B$23*C$55</f>
        <v>86.984746</v>
      </c>
      <c r="X112" s="179">
        <f xml:space="preserve">$E$12*B$23*C$56</f>
        <v>71.987376</v>
      </c>
      <c r="Y112" s="179">
        <f xml:space="preserve">$E$12*B$23*C$57</f>
        <v>104.98159</v>
      </c>
      <c r="Z112" s="179">
        <f xml:space="preserve">$E$12*B$23*C$58</f>
        <v>86.984746</v>
      </c>
      <c r="AA112" s="179">
        <f xml:space="preserve">$E$12*B$23*C$59</f>
        <v>86.984746</v>
      </c>
      <c r="AB112" s="179">
        <f xml:space="preserve">$E$12*B$23*C$60</f>
        <v>86.984746</v>
      </c>
      <c r="AC112" s="179">
        <f xml:space="preserve">$E$12*B$23*C$61</f>
        <v>86.984746</v>
      </c>
      <c r="AD112" s="179">
        <f xml:space="preserve">$E$12*B$23*C$62</f>
        <v>86.984746</v>
      </c>
      <c r="AE112" s="179">
        <f xml:space="preserve">$E$12*B$23*C$63</f>
        <v>86.984746</v>
      </c>
      <c r="AF112" s="179">
        <f xml:space="preserve">$E$12*B$23*C$64</f>
        <v>104.98159</v>
      </c>
      <c r="AG112" s="179">
        <f xml:space="preserve">$E$12*B$23*C$65</f>
        <v>104.98159</v>
      </c>
      <c r="AH112" s="179">
        <f xml:space="preserve">$E$12*B$23*C$66</f>
        <v>86.984746</v>
      </c>
      <c r="AI112" s="179">
        <f xml:space="preserve">$E$12*B$23*C$67</f>
        <v>104.98159</v>
      </c>
      <c r="AJ112" s="179">
        <f xml:space="preserve">$E$12*B$23*C$68</f>
        <v>86.984746</v>
      </c>
      <c r="AK112" s="179">
        <f xml:space="preserve">$E$12*B$23*C$69</f>
        <v>86.984746</v>
      </c>
    </row>
    <row r="113" spans="1:37">
      <c r="A113" s="162" t="s">
        <v>140</v>
      </c>
      <c r="C113" s="162">
        <f xml:space="preserve">C106</f>
        <v>80.4557585</v>
      </c>
      <c r="D113" s="162">
        <f t="shared" ref="D113:AK113" si="32" xml:space="preserve">D106</f>
        <v>80.4557585</v>
      </c>
      <c r="E113" s="162">
        <f t="shared" si="32"/>
        <v>97.1017775</v>
      </c>
      <c r="F113" s="162">
        <f t="shared" si="32"/>
        <v>97.1017775</v>
      </c>
      <c r="G113" s="162">
        <f t="shared" si="32"/>
        <v>80.4557585</v>
      </c>
      <c r="H113" s="162">
        <f t="shared" si="32"/>
        <v>97.1017775</v>
      </c>
      <c r="I113" s="162">
        <f t="shared" si="32"/>
        <v>80.4557585</v>
      </c>
      <c r="J113" s="162">
        <f t="shared" si="32"/>
        <v>55.48673</v>
      </c>
      <c r="K113" s="162">
        <f t="shared" si="32"/>
        <v>80.4557585</v>
      </c>
      <c r="L113" s="162">
        <f t="shared" si="32"/>
        <v>80.4557585</v>
      </c>
      <c r="M113" s="162">
        <f t="shared" si="32"/>
        <v>97.1017775</v>
      </c>
      <c r="N113" s="162">
        <f t="shared" si="32"/>
        <v>97.1017775</v>
      </c>
      <c r="O113" s="162">
        <f t="shared" si="32"/>
        <v>80.4557585</v>
      </c>
      <c r="P113" s="162">
        <f t="shared" si="32"/>
        <v>80.4557585</v>
      </c>
      <c r="Q113" s="162">
        <f t="shared" si="32"/>
        <v>97.1017775</v>
      </c>
      <c r="R113" s="162">
        <f t="shared" si="32"/>
        <v>66.584076</v>
      </c>
      <c r="S113" s="162">
        <f t="shared" si="32"/>
        <v>97.1017775</v>
      </c>
      <c r="T113" s="162">
        <f t="shared" si="32"/>
        <v>97.1017775</v>
      </c>
      <c r="U113" s="162">
        <f t="shared" si="32"/>
        <v>66.584076</v>
      </c>
      <c r="V113" s="162">
        <f t="shared" si="32"/>
        <v>80.4557585</v>
      </c>
      <c r="W113" s="162">
        <f t="shared" si="32"/>
        <v>80.4557585</v>
      </c>
      <c r="X113" s="162">
        <f t="shared" si="32"/>
        <v>66.584076</v>
      </c>
      <c r="Y113" s="162">
        <f t="shared" si="32"/>
        <v>97.1017775</v>
      </c>
      <c r="Z113" s="162">
        <f t="shared" si="32"/>
        <v>80.4557585</v>
      </c>
      <c r="AA113" s="162">
        <f t="shared" si="32"/>
        <v>80.4557585</v>
      </c>
      <c r="AB113" s="162">
        <f t="shared" si="32"/>
        <v>80.4557585</v>
      </c>
      <c r="AC113" s="162">
        <f t="shared" si="32"/>
        <v>80.4557585</v>
      </c>
      <c r="AD113" s="162">
        <f t="shared" si="32"/>
        <v>80.4557585</v>
      </c>
      <c r="AE113" s="162">
        <f t="shared" si="32"/>
        <v>80.4557585</v>
      </c>
      <c r="AF113" s="162">
        <f t="shared" si="32"/>
        <v>97.1017775</v>
      </c>
      <c r="AG113" s="162">
        <f t="shared" si="32"/>
        <v>97.1017775</v>
      </c>
      <c r="AH113" s="162">
        <f t="shared" si="32"/>
        <v>80.4557585</v>
      </c>
      <c r="AI113" s="162">
        <f t="shared" si="32"/>
        <v>97.1017775</v>
      </c>
      <c r="AJ113" s="162">
        <f t="shared" si="32"/>
        <v>80.4557585</v>
      </c>
      <c r="AK113" s="162">
        <f t="shared" si="32"/>
        <v>80.4557585</v>
      </c>
    </row>
    <row r="114" spans="1:37">
      <c r="A114" s="189"/>
    </row>
    <row r="115" spans="1:37">
      <c r="A115" s="166" t="s">
        <v>66</v>
      </c>
      <c r="B115" s="166" t="s">
        <v>41</v>
      </c>
      <c r="C115" s="166" t="s">
        <v>3</v>
      </c>
      <c r="D115" s="166" t="s">
        <v>5</v>
      </c>
      <c r="E115" s="166" t="s">
        <v>6</v>
      </c>
      <c r="F115" s="166" t="s">
        <v>7</v>
      </c>
      <c r="G115" s="166" t="s">
        <v>8</v>
      </c>
      <c r="H115" s="166" t="s">
        <v>9</v>
      </c>
      <c r="I115" s="166" t="s">
        <v>10</v>
      </c>
      <c r="J115" s="166" t="s">
        <v>11</v>
      </c>
      <c r="K115" s="166" t="s">
        <v>12</v>
      </c>
      <c r="L115" s="166" t="s">
        <v>13</v>
      </c>
      <c r="M115" s="166" t="s">
        <v>14</v>
      </c>
      <c r="N115" s="166" t="s">
        <v>15</v>
      </c>
      <c r="O115" s="166" t="s">
        <v>16</v>
      </c>
      <c r="P115" s="166" t="s">
        <v>17</v>
      </c>
      <c r="Q115" s="166" t="s">
        <v>18</v>
      </c>
      <c r="R115" s="166" t="s">
        <v>19</v>
      </c>
      <c r="S115" s="166" t="s">
        <v>20</v>
      </c>
      <c r="T115" s="166" t="s">
        <v>21</v>
      </c>
      <c r="U115" s="166" t="s">
        <v>22</v>
      </c>
      <c r="V115" s="166" t="s">
        <v>23</v>
      </c>
      <c r="W115" s="166" t="s">
        <v>24</v>
      </c>
      <c r="X115" s="166" t="s">
        <v>25</v>
      </c>
      <c r="Y115" s="166" t="s">
        <v>26</v>
      </c>
      <c r="Z115" s="166" t="s">
        <v>27</v>
      </c>
      <c r="AA115" s="166" t="s">
        <v>28</v>
      </c>
      <c r="AB115" s="166" t="s">
        <v>29</v>
      </c>
      <c r="AC115" s="166" t="s">
        <v>30</v>
      </c>
      <c r="AD115" s="166" t="s">
        <v>31</v>
      </c>
      <c r="AE115" s="166" t="s">
        <v>32</v>
      </c>
      <c r="AF115" s="166" t="s">
        <v>33</v>
      </c>
      <c r="AG115" s="166" t="s">
        <v>34</v>
      </c>
      <c r="AH115" s="166" t="s">
        <v>35</v>
      </c>
      <c r="AI115" s="166" t="s">
        <v>36</v>
      </c>
      <c r="AJ115" s="166" t="s">
        <v>37</v>
      </c>
      <c r="AK115" s="166" t="s">
        <v>38</v>
      </c>
    </row>
    <row r="116" spans="1:37">
      <c r="A116" s="177" t="str">
        <f t="shared" ref="A116:A122" si="33" xml:space="preserve">B6</f>
        <v>Tra_EV_Batt-LFP</v>
      </c>
      <c r="B116" s="190">
        <v>2050</v>
      </c>
      <c r="C116" s="179">
        <f xml:space="preserve">$E$6*C$23*D$35</f>
        <v>40.5801331332752</v>
      </c>
      <c r="D116" s="179">
        <f xml:space="preserve">$E$6*C$23*D$36</f>
        <v>40.5801331332752</v>
      </c>
      <c r="E116" s="179">
        <f xml:space="preserve">$E$6*C$23*D$37</f>
        <v>46.4218455073446</v>
      </c>
      <c r="F116" s="179">
        <f xml:space="preserve">$E$6*C$23*D$38</f>
        <v>46.4218455073446</v>
      </c>
      <c r="G116" s="179">
        <f xml:space="preserve">$E$6*C$23*D$39</f>
        <v>40.5801331332752</v>
      </c>
      <c r="H116" s="179">
        <f xml:space="preserve">$E$6*C$23*D$40</f>
        <v>46.4218455073446</v>
      </c>
      <c r="I116" s="179">
        <f xml:space="preserve">$E$6*C$23*D$41</f>
        <v>40.5801331332752</v>
      </c>
      <c r="J116" s="179">
        <f xml:space="preserve">$E$6*C$23*D$42</f>
        <v>34.39019740267</v>
      </c>
      <c r="K116" s="179">
        <f xml:space="preserve">$E$6*C$23*D$43</f>
        <v>40.5801331332752</v>
      </c>
      <c r="L116" s="179">
        <f xml:space="preserve">$E$6*C$23*D$44</f>
        <v>40.5801331332752</v>
      </c>
      <c r="M116" s="179">
        <f xml:space="preserve">$E$6*C$23*D$45</f>
        <v>46.4218455073446</v>
      </c>
      <c r="N116" s="179">
        <f xml:space="preserve">$E$6*C$23*D$46</f>
        <v>46.4218455073446</v>
      </c>
      <c r="O116" s="179">
        <f xml:space="preserve">$E$6*C$23*D$47</f>
        <v>40.5801331332752</v>
      </c>
      <c r="P116" s="179">
        <f xml:space="preserve">$E$6*C$23*D$48</f>
        <v>40.5801331332752</v>
      </c>
      <c r="Q116" s="179">
        <f xml:space="preserve">$E$6*C$23*D$49</f>
        <v>46.4218455073446</v>
      </c>
      <c r="R116" s="179">
        <f xml:space="preserve">$E$6*C$23*D$50</f>
        <v>37.829217142937</v>
      </c>
      <c r="S116" s="179">
        <f xml:space="preserve">$E$6*C$23*D$51</f>
        <v>46.4218455073446</v>
      </c>
      <c r="T116" s="179">
        <f xml:space="preserve">$E$6*C$23*D$52</f>
        <v>46.4218455073446</v>
      </c>
      <c r="U116" s="179">
        <f xml:space="preserve">$E$6*C$23*D$53</f>
        <v>37.829217142937</v>
      </c>
      <c r="V116" s="179">
        <f xml:space="preserve">$E$6*C$23*D$54</f>
        <v>40.5801331332752</v>
      </c>
      <c r="W116" s="179">
        <f xml:space="preserve">$E$6*C$23*D$55</f>
        <v>40.5801331332752</v>
      </c>
      <c r="X116" s="179">
        <f xml:space="preserve">$E$6*C$23*D$56</f>
        <v>37.829217142937</v>
      </c>
      <c r="Y116" s="179">
        <f xml:space="preserve">$E$6*C$23*D$57</f>
        <v>46.4218455073446</v>
      </c>
      <c r="Z116" s="179">
        <f xml:space="preserve">$E$6*C$23*D$58</f>
        <v>40.5801331332752</v>
      </c>
      <c r="AA116" s="179">
        <f xml:space="preserve">$E$6*C$23*D$59</f>
        <v>40.5801331332752</v>
      </c>
      <c r="AB116" s="179">
        <f xml:space="preserve">$E$6*C$23*D$60</f>
        <v>40.5801331332752</v>
      </c>
      <c r="AC116" s="179">
        <f xml:space="preserve">$E$6*C$23*D$61</f>
        <v>40.5801331332752</v>
      </c>
      <c r="AD116" s="179">
        <f xml:space="preserve">$E$6*C$23*D$62</f>
        <v>40.5801331332752</v>
      </c>
      <c r="AE116" s="179">
        <f xml:space="preserve">$E$6*C$23*D$63</f>
        <v>40.5801331332752</v>
      </c>
      <c r="AF116" s="179">
        <f xml:space="preserve">$E$6*C$23*D$64</f>
        <v>46.4218455073446</v>
      </c>
      <c r="AG116" s="179">
        <f xml:space="preserve">$E$6*C$23*D$65</f>
        <v>46.4218455073446</v>
      </c>
      <c r="AH116" s="179">
        <f xml:space="preserve">$E$6*C$23*D$66</f>
        <v>40.5801331332752</v>
      </c>
      <c r="AI116" s="179">
        <f xml:space="preserve">$E$6*C$23*D$67</f>
        <v>46.4218455073446</v>
      </c>
      <c r="AJ116" s="179">
        <f xml:space="preserve">$E$6*C$23*D$68</f>
        <v>40.5801331332752</v>
      </c>
      <c r="AK116" s="179">
        <f xml:space="preserve">$E$6*C$23*D$69</f>
        <v>40.5801331332752</v>
      </c>
    </row>
    <row r="117" spans="1:37">
      <c r="A117" s="171" t="str">
        <f t="shared" si="33"/>
        <v>Tra_EV_Batt-LMO</v>
      </c>
      <c r="B117" s="191">
        <v>2050</v>
      </c>
      <c r="C117" s="174">
        <f xml:space="preserve">$E$7*C$23*D$35</f>
        <v>48.5071603093391</v>
      </c>
      <c r="D117" s="174">
        <f xml:space="preserve">$E$7*C$23*D$36</f>
        <v>48.5071603093391</v>
      </c>
      <c r="E117" s="174">
        <f xml:space="preserve">$E$7*C$23*D$37</f>
        <v>55.4900077455314</v>
      </c>
      <c r="F117" s="174">
        <f xml:space="preserve">$E$7*C$23*D$38</f>
        <v>55.4900077455314</v>
      </c>
      <c r="G117" s="174">
        <f xml:space="preserve">$E$7*C$23*D$39</f>
        <v>48.5071603093391</v>
      </c>
      <c r="H117" s="174">
        <f xml:space="preserve">$E$7*C$23*D$40</f>
        <v>55.4900077455314</v>
      </c>
      <c r="I117" s="174">
        <f xml:space="preserve">$E$7*C$23*D$41</f>
        <v>48.5071603093391</v>
      </c>
      <c r="J117" s="174">
        <f xml:space="preserve">$E$7*C$23*D$42</f>
        <v>41.1080666739669</v>
      </c>
      <c r="K117" s="174">
        <f xml:space="preserve">$E$7*C$23*D$43</f>
        <v>48.5071603093391</v>
      </c>
      <c r="L117" s="174">
        <f xml:space="preserve">$E$7*C$23*D$44</f>
        <v>48.5071603093391</v>
      </c>
      <c r="M117" s="174">
        <f xml:space="preserve">$E$7*C$23*D$45</f>
        <v>55.4900077455314</v>
      </c>
      <c r="N117" s="174">
        <f xml:space="preserve">$E$7*C$23*D$46</f>
        <v>55.4900077455314</v>
      </c>
      <c r="O117" s="174">
        <f xml:space="preserve">$E$7*C$23*D$47</f>
        <v>48.5071603093391</v>
      </c>
      <c r="P117" s="174">
        <f xml:space="preserve">$E$7*C$23*D$48</f>
        <v>48.5071603093391</v>
      </c>
      <c r="Q117" s="174">
        <f xml:space="preserve">$E$7*C$23*D$49</f>
        <v>55.4900077455314</v>
      </c>
      <c r="R117" s="174">
        <f xml:space="preserve">$E$7*C$23*D$50</f>
        <v>45.2188733413636</v>
      </c>
      <c r="S117" s="174">
        <f xml:space="preserve">$E$7*C$23*D$51</f>
        <v>55.4900077455314</v>
      </c>
      <c r="T117" s="174">
        <f xml:space="preserve">$E$7*C$23*D$52</f>
        <v>55.4900077455314</v>
      </c>
      <c r="U117" s="174">
        <f xml:space="preserve">$E$7*C$23*D$53</f>
        <v>45.2188733413636</v>
      </c>
      <c r="V117" s="174">
        <f xml:space="preserve">$E$7*C$23*D$54</f>
        <v>48.5071603093391</v>
      </c>
      <c r="W117" s="174">
        <f xml:space="preserve">$E$7*C$23*D$55</f>
        <v>48.5071603093391</v>
      </c>
      <c r="X117" s="174">
        <f xml:space="preserve">$E$7*C$23*D$56</f>
        <v>45.2188733413636</v>
      </c>
      <c r="Y117" s="174">
        <f xml:space="preserve">$E$7*C$23*D$57</f>
        <v>55.4900077455314</v>
      </c>
      <c r="Z117" s="174">
        <f xml:space="preserve">$E$7*C$23*D$58</f>
        <v>48.5071603093391</v>
      </c>
      <c r="AA117" s="174">
        <f xml:space="preserve">$E$7*C$23*D$59</f>
        <v>48.5071603093391</v>
      </c>
      <c r="AB117" s="174">
        <f xml:space="preserve">$E$7*C$23*D$60</f>
        <v>48.5071603093391</v>
      </c>
      <c r="AC117" s="174">
        <f xml:space="preserve">$E$7*C$23*D$61</f>
        <v>48.5071603093391</v>
      </c>
      <c r="AD117" s="174">
        <f xml:space="preserve">$E$7*C$23*D$62</f>
        <v>48.5071603093391</v>
      </c>
      <c r="AE117" s="174">
        <f xml:space="preserve">$E$7*C$23*D$63</f>
        <v>48.5071603093391</v>
      </c>
      <c r="AF117" s="174">
        <f xml:space="preserve">$E$7*C$23*D$64</f>
        <v>55.4900077455314</v>
      </c>
      <c r="AG117" s="174">
        <f xml:space="preserve">$E$7*C$23*D$65</f>
        <v>55.4900077455314</v>
      </c>
      <c r="AH117" s="174">
        <f xml:space="preserve">$E$7*C$23*D$66</f>
        <v>48.5071603093391</v>
      </c>
      <c r="AI117" s="174">
        <f xml:space="preserve">$E$7*C$23*D$67</f>
        <v>55.4900077455314</v>
      </c>
      <c r="AJ117" s="174">
        <f xml:space="preserve">$E$7*C$23*D$68</f>
        <v>48.5071603093391</v>
      </c>
      <c r="AK117" s="174">
        <f xml:space="preserve">$E$7*C$23*D$69</f>
        <v>48.5071603093391</v>
      </c>
    </row>
    <row r="118" spans="1:37">
      <c r="A118" s="177" t="str">
        <f t="shared" si="33"/>
        <v>Tra_EV_Batt-NCA</v>
      </c>
      <c r="B118" s="190">
        <v>2050</v>
      </c>
      <c r="C118" s="179">
        <f xml:space="preserve">$E$8*C$23*D$35</f>
        <v>41.0297222700355</v>
      </c>
      <c r="D118" s="179">
        <f xml:space="preserve">$E$8*C$23*D$36</f>
        <v>41.0297222700355</v>
      </c>
      <c r="E118" s="179">
        <f xml:space="preserve">$E$8*C$23*D$37</f>
        <v>46.9361552406301</v>
      </c>
      <c r="F118" s="179">
        <f xml:space="preserve">$E$8*C$23*D$38</f>
        <v>46.9361552406301</v>
      </c>
      <c r="G118" s="179">
        <f xml:space="preserve">$E$8*C$23*D$39</f>
        <v>41.0297222700355</v>
      </c>
      <c r="H118" s="179">
        <f xml:space="preserve">$E$8*C$23*D$40</f>
        <v>46.9361552406301</v>
      </c>
      <c r="I118" s="179">
        <f xml:space="preserve">$E$8*C$23*D$41</f>
        <v>41.0297222700355</v>
      </c>
      <c r="J118" s="179">
        <f xml:space="preserve">$E$8*C$23*D$42</f>
        <v>34.7712079605334</v>
      </c>
      <c r="K118" s="179">
        <f xml:space="preserve">$E$8*C$23*D$43</f>
        <v>41.0297222700355</v>
      </c>
      <c r="L118" s="179">
        <f xml:space="preserve">$E$8*C$23*D$44</f>
        <v>41.0297222700355</v>
      </c>
      <c r="M118" s="179">
        <f xml:space="preserve">$E$8*C$23*D$45</f>
        <v>46.9361552406301</v>
      </c>
      <c r="N118" s="179">
        <f xml:space="preserve">$E$8*C$23*D$46</f>
        <v>46.9361552406301</v>
      </c>
      <c r="O118" s="179">
        <f xml:space="preserve">$E$8*C$23*D$47</f>
        <v>41.0297222700355</v>
      </c>
      <c r="P118" s="179">
        <f xml:space="preserve">$E$8*C$23*D$48</f>
        <v>41.0297222700355</v>
      </c>
      <c r="Q118" s="179">
        <f xml:space="preserve">$E$8*C$23*D$49</f>
        <v>46.9361552406301</v>
      </c>
      <c r="R118" s="179">
        <f xml:space="preserve">$E$8*C$23*D$50</f>
        <v>38.2483287565868</v>
      </c>
      <c r="S118" s="179">
        <f xml:space="preserve">$E$8*C$23*D$51</f>
        <v>46.9361552406301</v>
      </c>
      <c r="T118" s="179">
        <f xml:space="preserve">$E$8*C$23*D$52</f>
        <v>46.9361552406301</v>
      </c>
      <c r="U118" s="179">
        <f xml:space="preserve">$E$8*C$23*D$53</f>
        <v>38.2483287565868</v>
      </c>
      <c r="V118" s="179">
        <f xml:space="preserve">$E$8*C$23*D$54</f>
        <v>41.0297222700355</v>
      </c>
      <c r="W118" s="179">
        <f xml:space="preserve">$E$8*C$23*D$55</f>
        <v>41.0297222700355</v>
      </c>
      <c r="X118" s="179">
        <f xml:space="preserve">$E$8*C$23*D$56</f>
        <v>38.2483287565868</v>
      </c>
      <c r="Y118" s="179">
        <f xml:space="preserve">$E$8*C$23*D$57</f>
        <v>46.9361552406301</v>
      </c>
      <c r="Z118" s="179">
        <f xml:space="preserve">$E$8*C$23*D$58</f>
        <v>41.0297222700355</v>
      </c>
      <c r="AA118" s="179">
        <f xml:space="preserve">$E$8*C$23*D$59</f>
        <v>41.0297222700355</v>
      </c>
      <c r="AB118" s="179">
        <f xml:space="preserve">$E$8*C$23*D$60</f>
        <v>41.0297222700355</v>
      </c>
      <c r="AC118" s="179">
        <f xml:space="preserve">$E$8*C$23*D$61</f>
        <v>41.0297222700355</v>
      </c>
      <c r="AD118" s="179">
        <f xml:space="preserve">$E$8*C$23*D$62</f>
        <v>41.0297222700355</v>
      </c>
      <c r="AE118" s="179">
        <f xml:space="preserve">$E$8*C$23*D$63</f>
        <v>41.0297222700355</v>
      </c>
      <c r="AF118" s="179">
        <f xml:space="preserve">$E$8*C$23*D$64</f>
        <v>46.9361552406301</v>
      </c>
      <c r="AG118" s="179">
        <f xml:space="preserve">$E$8*C$23*D$65</f>
        <v>46.9361552406301</v>
      </c>
      <c r="AH118" s="179">
        <f xml:space="preserve">$E$8*C$23*D$66</f>
        <v>41.0297222700355</v>
      </c>
      <c r="AI118" s="179">
        <f xml:space="preserve">$E$8*C$23*D$67</f>
        <v>46.9361552406301</v>
      </c>
      <c r="AJ118" s="179">
        <f xml:space="preserve">$E$8*C$23*D$68</f>
        <v>41.0297222700355</v>
      </c>
      <c r="AK118" s="179">
        <f xml:space="preserve">$E$8*C$23*D$69</f>
        <v>41.0297222700355</v>
      </c>
    </row>
    <row r="119" spans="1:37">
      <c r="A119" s="171" t="str">
        <f t="shared" si="33"/>
        <v>Tra_EV_Batt-NMC111</v>
      </c>
      <c r="B119" s="191">
        <v>2050</v>
      </c>
      <c r="C119" s="174">
        <f xml:space="preserve">$E$9*C$23*D$35</f>
        <v>40.6333606723542</v>
      </c>
      <c r="D119" s="174">
        <f xml:space="preserve">$E$9*C$23*D$36</f>
        <v>40.6333606723542</v>
      </c>
      <c r="E119" s="174">
        <f xml:space="preserve">$E$9*C$23*D$37</f>
        <v>46.4827354159051</v>
      </c>
      <c r="F119" s="174">
        <f xml:space="preserve">$E$9*C$23*D$38</f>
        <v>46.4827354159051</v>
      </c>
      <c r="G119" s="174">
        <f xml:space="preserve">$E$9*C$23*D$39</f>
        <v>40.6333606723542</v>
      </c>
      <c r="H119" s="174">
        <f xml:space="preserve">$E$9*C$23*D$40</f>
        <v>46.4827354159051</v>
      </c>
      <c r="I119" s="174">
        <f xml:space="preserve">$E$9*C$23*D$41</f>
        <v>40.6333606723542</v>
      </c>
      <c r="J119" s="174">
        <f xml:space="preserve">$E$9*C$23*D$42</f>
        <v>34.4353058198892</v>
      </c>
      <c r="K119" s="174">
        <f xml:space="preserve">$E$9*C$23*D$43</f>
        <v>40.6333606723542</v>
      </c>
      <c r="L119" s="174">
        <f xml:space="preserve">$E$9*C$23*D$44</f>
        <v>40.6333606723542</v>
      </c>
      <c r="M119" s="174">
        <f xml:space="preserve">$E$9*C$23*D$45</f>
        <v>46.4827354159051</v>
      </c>
      <c r="N119" s="174">
        <f xml:space="preserve">$E$9*C$23*D$46</f>
        <v>46.4827354159051</v>
      </c>
      <c r="O119" s="174">
        <f xml:space="preserve">$E$9*C$23*D$47</f>
        <v>40.6333606723542</v>
      </c>
      <c r="P119" s="174">
        <f xml:space="preserve">$E$9*C$23*D$48</f>
        <v>40.6333606723542</v>
      </c>
      <c r="Q119" s="174">
        <f xml:space="preserve">$E$9*C$23*D$49</f>
        <v>46.4827354159051</v>
      </c>
      <c r="R119" s="174">
        <f xml:space="preserve">$E$9*C$23*D$50</f>
        <v>37.8788364018781</v>
      </c>
      <c r="S119" s="174">
        <f xml:space="preserve">$E$9*C$23*D$51</f>
        <v>46.4827354159051</v>
      </c>
      <c r="T119" s="174">
        <f xml:space="preserve">$E$9*C$23*D$52</f>
        <v>46.4827354159051</v>
      </c>
      <c r="U119" s="174">
        <f xml:space="preserve">$E$9*C$23*D$53</f>
        <v>37.8788364018781</v>
      </c>
      <c r="V119" s="174">
        <f xml:space="preserve">$E$9*C$23*D$54</f>
        <v>40.6333606723542</v>
      </c>
      <c r="W119" s="174">
        <f xml:space="preserve">$E$9*C$23*D$55</f>
        <v>40.6333606723542</v>
      </c>
      <c r="X119" s="174">
        <f xml:space="preserve">$E$9*C$23*D$56</f>
        <v>37.8788364018781</v>
      </c>
      <c r="Y119" s="174">
        <f xml:space="preserve">$E$9*C$23*D$57</f>
        <v>46.4827354159051</v>
      </c>
      <c r="Z119" s="174">
        <f xml:space="preserve">$E$9*C$23*D$58</f>
        <v>40.6333606723542</v>
      </c>
      <c r="AA119" s="174">
        <f xml:space="preserve">$E$9*C$23*D$59</f>
        <v>40.6333606723542</v>
      </c>
      <c r="AB119" s="174">
        <f xml:space="preserve">$E$9*C$23*D$60</f>
        <v>40.6333606723542</v>
      </c>
      <c r="AC119" s="174">
        <f xml:space="preserve">$E$9*C$23*D$61</f>
        <v>40.6333606723542</v>
      </c>
      <c r="AD119" s="174">
        <f xml:space="preserve">$E$9*C$23*D$62</f>
        <v>40.6333606723542</v>
      </c>
      <c r="AE119" s="174">
        <f xml:space="preserve">$E$9*C$23*D$63</f>
        <v>40.6333606723542</v>
      </c>
      <c r="AF119" s="174">
        <f xml:space="preserve">$E$9*C$23*D$64</f>
        <v>46.4827354159051</v>
      </c>
      <c r="AG119" s="174">
        <f xml:space="preserve">$E$9*C$23*D$65</f>
        <v>46.4827354159051</v>
      </c>
      <c r="AH119" s="174">
        <f xml:space="preserve">$E$9*C$23*D$66</f>
        <v>40.6333606723542</v>
      </c>
      <c r="AI119" s="174">
        <f xml:space="preserve">$E$9*C$23*D$67</f>
        <v>46.4827354159051</v>
      </c>
      <c r="AJ119" s="174">
        <f xml:space="preserve">$E$9*C$23*D$68</f>
        <v>40.6333606723542</v>
      </c>
      <c r="AK119" s="174">
        <f xml:space="preserve">$E$9*C$23*D$69</f>
        <v>40.6333606723542</v>
      </c>
    </row>
    <row r="120" spans="1:37">
      <c r="A120" s="177" t="str">
        <f t="shared" si="33"/>
        <v>Tra_EV_Batt-NMC532</v>
      </c>
      <c r="B120" s="190">
        <v>2050</v>
      </c>
      <c r="C120" s="179">
        <f xml:space="preserve">$E$10*C$23*D$35</f>
        <v>43.4184744679736</v>
      </c>
      <c r="D120" s="179">
        <f xml:space="preserve">$E$10*C$23*D$36</f>
        <v>43.4184744679736</v>
      </c>
      <c r="E120" s="179">
        <f xml:space="preserve">$E$10*C$23*D$37</f>
        <v>49.6687802205389</v>
      </c>
      <c r="F120" s="179">
        <f xml:space="preserve">$E$10*C$23*D$38</f>
        <v>49.6687802205389</v>
      </c>
      <c r="G120" s="179">
        <f xml:space="preserve">$E$10*C$23*D$39</f>
        <v>43.4184744679736</v>
      </c>
      <c r="H120" s="179">
        <f xml:space="preserve">$E$10*C$23*D$40</f>
        <v>49.6687802205389</v>
      </c>
      <c r="I120" s="179">
        <f xml:space="preserve">$E$10*C$23*D$41</f>
        <v>43.4184744679736</v>
      </c>
      <c r="J120" s="179">
        <f xml:space="preserve">$E$10*C$23*D$42</f>
        <v>36.7955891857836</v>
      </c>
      <c r="K120" s="179">
        <f xml:space="preserve">$E$10*C$23*D$43</f>
        <v>43.4184744679736</v>
      </c>
      <c r="L120" s="179">
        <f xml:space="preserve">$E$10*C$23*D$44</f>
        <v>43.4184744679736</v>
      </c>
      <c r="M120" s="179">
        <f xml:space="preserve">$E$10*C$23*D$45</f>
        <v>49.6687802205389</v>
      </c>
      <c r="N120" s="179">
        <f xml:space="preserve">$E$10*C$23*D$46</f>
        <v>49.6687802205389</v>
      </c>
      <c r="O120" s="179">
        <f xml:space="preserve">$E$10*C$23*D$47</f>
        <v>43.4184744679736</v>
      </c>
      <c r="P120" s="179">
        <f xml:space="preserve">$E$10*C$23*D$48</f>
        <v>43.4184744679736</v>
      </c>
      <c r="Q120" s="179">
        <f xml:space="preserve">$E$10*C$23*D$49</f>
        <v>49.6687802205389</v>
      </c>
      <c r="R120" s="179">
        <f xml:space="preserve">$E$10*C$23*D$50</f>
        <v>40.4751481043619</v>
      </c>
      <c r="S120" s="179">
        <f xml:space="preserve">$E$10*C$23*D$51</f>
        <v>49.6687802205389</v>
      </c>
      <c r="T120" s="179">
        <f xml:space="preserve">$E$10*C$23*D$52</f>
        <v>49.6687802205389</v>
      </c>
      <c r="U120" s="179">
        <f xml:space="preserve">$E$10*C$23*D$53</f>
        <v>40.4751481043619</v>
      </c>
      <c r="V120" s="179">
        <f xml:space="preserve">$E$10*C$23*D$54</f>
        <v>43.4184744679736</v>
      </c>
      <c r="W120" s="179">
        <f xml:space="preserve">$E$10*C$23*D$55</f>
        <v>43.4184744679736</v>
      </c>
      <c r="X120" s="179">
        <f xml:space="preserve">$E$10*C$23*D$56</f>
        <v>40.4751481043619</v>
      </c>
      <c r="Y120" s="179">
        <f xml:space="preserve">$E$10*C$23*D$57</f>
        <v>49.6687802205389</v>
      </c>
      <c r="Z120" s="179">
        <f xml:space="preserve">$E$10*C$23*D$58</f>
        <v>43.4184744679736</v>
      </c>
      <c r="AA120" s="179">
        <f xml:space="preserve">$E$10*C$23*D$59</f>
        <v>43.4184744679736</v>
      </c>
      <c r="AB120" s="179">
        <f xml:space="preserve">$E$10*C$23*D$60</f>
        <v>43.4184744679736</v>
      </c>
      <c r="AC120" s="179">
        <f xml:space="preserve">$E$10*C$23*D$61</f>
        <v>43.4184744679736</v>
      </c>
      <c r="AD120" s="179">
        <f xml:space="preserve">$E$10*C$23*D$62</f>
        <v>43.4184744679736</v>
      </c>
      <c r="AE120" s="179">
        <f xml:space="preserve">$E$10*C$23*D$63</f>
        <v>43.4184744679736</v>
      </c>
      <c r="AF120" s="179">
        <f xml:space="preserve">$E$10*C$23*D$64</f>
        <v>49.6687802205389</v>
      </c>
      <c r="AG120" s="179">
        <f xml:space="preserve">$E$10*C$23*D$65</f>
        <v>49.6687802205389</v>
      </c>
      <c r="AH120" s="179">
        <f xml:space="preserve">$E$10*C$23*D$66</f>
        <v>43.4184744679736</v>
      </c>
      <c r="AI120" s="179">
        <f xml:space="preserve">$E$10*C$23*D$67</f>
        <v>49.6687802205389</v>
      </c>
      <c r="AJ120" s="179">
        <f xml:space="preserve">$E$10*C$23*D$68</f>
        <v>43.4184744679736</v>
      </c>
      <c r="AK120" s="179">
        <f xml:space="preserve">$E$10*C$23*D$69</f>
        <v>43.4184744679736</v>
      </c>
    </row>
    <row r="121" spans="1:37">
      <c r="A121" s="171" t="str">
        <f t="shared" si="33"/>
        <v>Tra_EV_Batt-NMC622</v>
      </c>
      <c r="B121" s="191">
        <v>2050</v>
      </c>
      <c r="C121" s="174">
        <f xml:space="preserve">$E$11*C$23*D$35</f>
        <v>41.9337274432252</v>
      </c>
      <c r="D121" s="174">
        <f xml:space="preserve">$E$11*C$23*D$36</f>
        <v>41.9337274432252</v>
      </c>
      <c r="E121" s="174">
        <f xml:space="preserve">$E$11*C$23*D$37</f>
        <v>47.9702964631299</v>
      </c>
      <c r="F121" s="174">
        <f xml:space="preserve">$E$11*C$23*D$38</f>
        <v>47.9702964631299</v>
      </c>
      <c r="G121" s="174">
        <f xml:space="preserve">$E$11*C$23*D$39</f>
        <v>41.9337274432252</v>
      </c>
      <c r="H121" s="174">
        <f xml:space="preserve">$E$11*C$23*D$40</f>
        <v>47.9702964631299</v>
      </c>
      <c r="I121" s="174">
        <f xml:space="preserve">$E$11*C$23*D$41</f>
        <v>41.9337274432252</v>
      </c>
      <c r="J121" s="174">
        <f xml:space="preserve">$E$11*C$23*D$42</f>
        <v>35.5373196994211</v>
      </c>
      <c r="K121" s="174">
        <f xml:space="preserve">$E$11*C$23*D$43</f>
        <v>41.9337274432252</v>
      </c>
      <c r="L121" s="174">
        <f xml:space="preserve">$E$11*C$23*D$44</f>
        <v>41.9337274432252</v>
      </c>
      <c r="M121" s="174">
        <f xml:space="preserve">$E$11*C$23*D$45</f>
        <v>47.9702964631299</v>
      </c>
      <c r="N121" s="174">
        <f xml:space="preserve">$E$11*C$23*D$46</f>
        <v>47.9702964631299</v>
      </c>
      <c r="O121" s="174">
        <f xml:space="preserve">$E$11*C$23*D$47</f>
        <v>41.9337274432252</v>
      </c>
      <c r="P121" s="174">
        <f xml:space="preserve">$E$11*C$23*D$48</f>
        <v>41.9337274432252</v>
      </c>
      <c r="Q121" s="174">
        <f xml:space="preserve">$E$11*C$23*D$49</f>
        <v>47.9702964631299</v>
      </c>
      <c r="R121" s="174">
        <f xml:space="preserve">$E$11*C$23*D$50</f>
        <v>39.0910516693633</v>
      </c>
      <c r="S121" s="174">
        <f xml:space="preserve">$E$11*C$23*D$51</f>
        <v>47.9702964631299</v>
      </c>
      <c r="T121" s="174">
        <f xml:space="preserve">$E$11*C$23*D$52</f>
        <v>47.9702964631299</v>
      </c>
      <c r="U121" s="174">
        <f xml:space="preserve">$E$11*C$23*D$53</f>
        <v>39.0910516693633</v>
      </c>
      <c r="V121" s="174">
        <f xml:space="preserve">$E$11*C$23*D$54</f>
        <v>41.9337274432252</v>
      </c>
      <c r="W121" s="174">
        <f xml:space="preserve">$E$11*C$23*D$55</f>
        <v>41.9337274432252</v>
      </c>
      <c r="X121" s="174">
        <f xml:space="preserve">$E$11*C$23*D$56</f>
        <v>39.0910516693633</v>
      </c>
      <c r="Y121" s="174">
        <f xml:space="preserve">$E$11*C$23*D$57</f>
        <v>47.9702964631299</v>
      </c>
      <c r="Z121" s="174">
        <f xml:space="preserve">$E$11*C$23*D$58</f>
        <v>41.9337274432252</v>
      </c>
      <c r="AA121" s="174">
        <f xml:space="preserve">$E$11*C$23*D$59</f>
        <v>41.9337274432252</v>
      </c>
      <c r="AB121" s="174">
        <f xml:space="preserve">$E$11*C$23*D$60</f>
        <v>41.9337274432252</v>
      </c>
      <c r="AC121" s="174">
        <f xml:space="preserve">$E$11*C$23*D$61</f>
        <v>41.9337274432252</v>
      </c>
      <c r="AD121" s="174">
        <f xml:space="preserve">$E$11*C$23*D$62</f>
        <v>41.9337274432252</v>
      </c>
      <c r="AE121" s="174">
        <f xml:space="preserve">$E$11*C$23*D$63</f>
        <v>41.9337274432252</v>
      </c>
      <c r="AF121" s="174">
        <f xml:space="preserve">$E$11*C$23*D$64</f>
        <v>47.9702964631299</v>
      </c>
      <c r="AG121" s="174">
        <f xml:space="preserve">$E$11*C$23*D$65</f>
        <v>47.9702964631299</v>
      </c>
      <c r="AH121" s="174">
        <f xml:space="preserve">$E$11*C$23*D$66</f>
        <v>41.9337274432252</v>
      </c>
      <c r="AI121" s="174">
        <f xml:space="preserve">$E$11*C$23*D$67</f>
        <v>47.9702964631299</v>
      </c>
      <c r="AJ121" s="174">
        <f xml:space="preserve">$E$11*C$23*D$68</f>
        <v>41.9337274432252</v>
      </c>
      <c r="AK121" s="174">
        <f xml:space="preserve">$E$11*C$23*D$69</f>
        <v>41.9337274432252</v>
      </c>
    </row>
    <row r="122" spans="1:37">
      <c r="A122" s="177" t="str">
        <f t="shared" si="33"/>
        <v>Tra_EV_Batt-NMC811</v>
      </c>
      <c r="B122" s="190">
        <v>2050</v>
      </c>
      <c r="C122" s="179">
        <f xml:space="preserve">$E$12*C$23*D$35</f>
        <v>43.8732122977143</v>
      </c>
      <c r="D122" s="179">
        <f xml:space="preserve">$E$12*C$23*D$36</f>
        <v>43.8732122977143</v>
      </c>
      <c r="E122" s="179">
        <f xml:space="preserve">$E$12*C$23*D$37</f>
        <v>50.1889798268151</v>
      </c>
      <c r="F122" s="179">
        <f xml:space="preserve">$E$12*C$23*D$38</f>
        <v>50.1889798268151</v>
      </c>
      <c r="G122" s="179">
        <f xml:space="preserve">$E$12*C$23*D$39</f>
        <v>43.8732122977143</v>
      </c>
      <c r="H122" s="179">
        <f xml:space="preserve">$E$12*C$23*D$40</f>
        <v>50.1889798268151</v>
      </c>
      <c r="I122" s="179">
        <f xml:space="preserve">$E$12*C$23*D$41</f>
        <v>43.8732122977143</v>
      </c>
      <c r="J122" s="179">
        <f xml:space="preserve">$E$12*C$23*D$42</f>
        <v>37.1809630750186</v>
      </c>
      <c r="K122" s="179">
        <f xml:space="preserve">$E$12*C$23*D$43</f>
        <v>43.8732122977143</v>
      </c>
      <c r="L122" s="179">
        <f xml:space="preserve">$E$12*C$23*D$44</f>
        <v>43.8732122977143</v>
      </c>
      <c r="M122" s="179">
        <f xml:space="preserve">$E$12*C$23*D$45</f>
        <v>50.1889798268151</v>
      </c>
      <c r="N122" s="179">
        <f xml:space="preserve">$E$12*C$23*D$46</f>
        <v>50.1889798268151</v>
      </c>
      <c r="O122" s="179">
        <f xml:space="preserve">$E$12*C$23*D$47</f>
        <v>43.8732122977143</v>
      </c>
      <c r="P122" s="179">
        <f xml:space="preserve">$E$12*C$23*D$48</f>
        <v>43.8732122977143</v>
      </c>
      <c r="Q122" s="179">
        <f xml:space="preserve">$E$12*C$23*D$49</f>
        <v>50.1889798268151</v>
      </c>
      <c r="R122" s="179">
        <f xml:space="preserve">$E$12*C$23*D$50</f>
        <v>40.8990593825204</v>
      </c>
      <c r="S122" s="179">
        <f xml:space="preserve">$E$12*C$23*D$51</f>
        <v>50.1889798268151</v>
      </c>
      <c r="T122" s="179">
        <f xml:space="preserve">$E$12*C$23*D$52</f>
        <v>50.1889798268151</v>
      </c>
      <c r="U122" s="179">
        <f xml:space="preserve">$E$12*C$23*D$53</f>
        <v>40.8990593825204</v>
      </c>
      <c r="V122" s="179">
        <f xml:space="preserve">$E$12*C$23*D$54</f>
        <v>43.8732122977143</v>
      </c>
      <c r="W122" s="179">
        <f xml:space="preserve">$E$12*C$23*D$55</f>
        <v>43.8732122977143</v>
      </c>
      <c r="X122" s="179">
        <f xml:space="preserve">$E$12*C$23*D$56</f>
        <v>40.8990593825204</v>
      </c>
      <c r="Y122" s="179">
        <f xml:space="preserve">$E$12*C$23*D$57</f>
        <v>50.1889798268151</v>
      </c>
      <c r="Z122" s="179">
        <f xml:space="preserve">$E$12*C$23*D$58</f>
        <v>43.8732122977143</v>
      </c>
      <c r="AA122" s="179">
        <f xml:space="preserve">$E$12*C$23*D$59</f>
        <v>43.8732122977143</v>
      </c>
      <c r="AB122" s="179">
        <f xml:space="preserve">$E$12*C$23*D$60</f>
        <v>43.8732122977143</v>
      </c>
      <c r="AC122" s="179">
        <f xml:space="preserve">$E$12*C$23*D$61</f>
        <v>43.8732122977143</v>
      </c>
      <c r="AD122" s="179">
        <f xml:space="preserve">$E$12*C$23*D$62</f>
        <v>43.8732122977143</v>
      </c>
      <c r="AE122" s="179">
        <f xml:space="preserve">$E$12*C$23*D$63</f>
        <v>43.8732122977143</v>
      </c>
      <c r="AF122" s="179">
        <f xml:space="preserve">$E$12*C$23*D$64</f>
        <v>50.1889798268151</v>
      </c>
      <c r="AG122" s="179">
        <f xml:space="preserve">$E$12*C$23*D$65</f>
        <v>50.1889798268151</v>
      </c>
      <c r="AH122" s="179">
        <f xml:space="preserve">$E$12*C$23*D$66</f>
        <v>43.8732122977143</v>
      </c>
      <c r="AI122" s="179">
        <f xml:space="preserve">$E$12*C$23*D$67</f>
        <v>50.1889798268151</v>
      </c>
      <c r="AJ122" s="179">
        <f xml:space="preserve">$E$12*C$23*D$68</f>
        <v>43.8732122977143</v>
      </c>
      <c r="AK122" s="179">
        <f xml:space="preserve">$E$12*C$23*D$69</f>
        <v>43.8732122977143</v>
      </c>
    </row>
    <row r="123" spans="1:37">
      <c r="C123" s="162">
        <f xml:space="preserve">C116</f>
        <v>40.5801331332752</v>
      </c>
      <c r="D123" s="162">
        <f t="shared" ref="D123:AK123" si="34" xml:space="preserve">D116</f>
        <v>40.5801331332752</v>
      </c>
      <c r="E123" s="162">
        <f t="shared" si="34"/>
        <v>46.4218455073446</v>
      </c>
      <c r="F123" s="162">
        <f t="shared" si="34"/>
        <v>46.4218455073446</v>
      </c>
      <c r="G123" s="162">
        <f t="shared" si="34"/>
        <v>40.5801331332752</v>
      </c>
      <c r="H123" s="162">
        <f t="shared" si="34"/>
        <v>46.4218455073446</v>
      </c>
      <c r="I123" s="162">
        <f t="shared" si="34"/>
        <v>40.5801331332752</v>
      </c>
      <c r="J123" s="162">
        <f t="shared" si="34"/>
        <v>34.39019740267</v>
      </c>
      <c r="K123" s="162">
        <f t="shared" si="34"/>
        <v>40.5801331332752</v>
      </c>
      <c r="L123" s="162">
        <f t="shared" si="34"/>
        <v>40.5801331332752</v>
      </c>
      <c r="M123" s="162">
        <f t="shared" si="34"/>
        <v>46.4218455073446</v>
      </c>
      <c r="N123" s="162">
        <f t="shared" si="34"/>
        <v>46.4218455073446</v>
      </c>
      <c r="O123" s="162">
        <f t="shared" si="34"/>
        <v>40.5801331332752</v>
      </c>
      <c r="P123" s="162">
        <f t="shared" si="34"/>
        <v>40.5801331332752</v>
      </c>
      <c r="Q123" s="162">
        <f t="shared" si="34"/>
        <v>46.4218455073446</v>
      </c>
      <c r="R123" s="162">
        <f t="shared" si="34"/>
        <v>37.829217142937</v>
      </c>
      <c r="S123" s="162">
        <f t="shared" si="34"/>
        <v>46.4218455073446</v>
      </c>
      <c r="T123" s="162">
        <f t="shared" si="34"/>
        <v>46.4218455073446</v>
      </c>
      <c r="U123" s="162">
        <f t="shared" si="34"/>
        <v>37.829217142937</v>
      </c>
      <c r="V123" s="162">
        <f t="shared" si="34"/>
        <v>40.5801331332752</v>
      </c>
      <c r="W123" s="162">
        <f t="shared" si="34"/>
        <v>40.5801331332752</v>
      </c>
      <c r="X123" s="162">
        <f t="shared" si="34"/>
        <v>37.829217142937</v>
      </c>
      <c r="Y123" s="162">
        <f t="shared" si="34"/>
        <v>46.4218455073446</v>
      </c>
      <c r="Z123" s="162">
        <f t="shared" si="34"/>
        <v>40.5801331332752</v>
      </c>
      <c r="AA123" s="162">
        <f t="shared" si="34"/>
        <v>40.5801331332752</v>
      </c>
      <c r="AB123" s="162">
        <f t="shared" si="34"/>
        <v>40.5801331332752</v>
      </c>
      <c r="AC123" s="162">
        <f t="shared" si="34"/>
        <v>40.5801331332752</v>
      </c>
      <c r="AD123" s="162">
        <f t="shared" si="34"/>
        <v>40.5801331332752</v>
      </c>
      <c r="AE123" s="162">
        <f t="shared" si="34"/>
        <v>40.5801331332752</v>
      </c>
      <c r="AF123" s="162">
        <f t="shared" si="34"/>
        <v>46.4218455073446</v>
      </c>
      <c r="AG123" s="162">
        <f t="shared" si="34"/>
        <v>46.4218455073446</v>
      </c>
      <c r="AH123" s="162">
        <f t="shared" si="34"/>
        <v>40.5801331332752</v>
      </c>
      <c r="AI123" s="162">
        <f t="shared" si="34"/>
        <v>46.4218455073446</v>
      </c>
      <c r="AJ123" s="162">
        <f t="shared" si="34"/>
        <v>40.5801331332752</v>
      </c>
      <c r="AK123" s="162">
        <f t="shared" si="34"/>
        <v>40.5801331332752</v>
      </c>
    </row>
    <row r="124" spans="1:37">
      <c r="A124" s="189"/>
    </row>
    <row r="125" spans="1:37">
      <c r="A125" s="166" t="s">
        <v>66</v>
      </c>
      <c r="B125" s="166" t="s">
        <v>41</v>
      </c>
      <c r="C125" s="166" t="s">
        <v>3</v>
      </c>
      <c r="D125" s="166" t="s">
        <v>5</v>
      </c>
      <c r="E125" s="166" t="s">
        <v>6</v>
      </c>
      <c r="F125" s="166" t="s">
        <v>7</v>
      </c>
      <c r="G125" s="166" t="s">
        <v>8</v>
      </c>
      <c r="H125" s="166" t="s">
        <v>9</v>
      </c>
      <c r="I125" s="166" t="s">
        <v>10</v>
      </c>
      <c r="J125" s="166" t="s">
        <v>11</v>
      </c>
      <c r="K125" s="166" t="s">
        <v>12</v>
      </c>
      <c r="L125" s="166" t="s">
        <v>13</v>
      </c>
      <c r="M125" s="166" t="s">
        <v>14</v>
      </c>
      <c r="N125" s="166" t="s">
        <v>15</v>
      </c>
      <c r="O125" s="166" t="s">
        <v>16</v>
      </c>
      <c r="P125" s="166" t="s">
        <v>17</v>
      </c>
      <c r="Q125" s="166" t="s">
        <v>18</v>
      </c>
      <c r="R125" s="166" t="s">
        <v>19</v>
      </c>
      <c r="S125" s="166" t="s">
        <v>20</v>
      </c>
      <c r="T125" s="166" t="s">
        <v>21</v>
      </c>
      <c r="U125" s="166" t="s">
        <v>22</v>
      </c>
      <c r="V125" s="166" t="s">
        <v>23</v>
      </c>
      <c r="W125" s="166" t="s">
        <v>24</v>
      </c>
      <c r="X125" s="166" t="s">
        <v>25</v>
      </c>
      <c r="Y125" s="166" t="s">
        <v>26</v>
      </c>
      <c r="Z125" s="166" t="s">
        <v>27</v>
      </c>
      <c r="AA125" s="166" t="s">
        <v>28</v>
      </c>
      <c r="AB125" s="166" t="s">
        <v>29</v>
      </c>
      <c r="AC125" s="166" t="s">
        <v>30</v>
      </c>
      <c r="AD125" s="166" t="s">
        <v>31</v>
      </c>
      <c r="AE125" s="166" t="s">
        <v>32</v>
      </c>
      <c r="AF125" s="166" t="s">
        <v>33</v>
      </c>
      <c r="AG125" s="166" t="s">
        <v>34</v>
      </c>
      <c r="AH125" s="166" t="s">
        <v>35</v>
      </c>
      <c r="AI125" s="166" t="s">
        <v>36</v>
      </c>
      <c r="AJ125" s="166" t="s">
        <v>37</v>
      </c>
      <c r="AK125" s="166" t="s">
        <v>38</v>
      </c>
    </row>
    <row r="126" spans="1:37">
      <c r="A126" s="177" t="str">
        <f t="shared" ref="A126:A132" si="35" xml:space="preserve">B6</f>
        <v>Tra_EV_Batt-LFP</v>
      </c>
      <c r="B126" s="190">
        <v>2100</v>
      </c>
      <c r="C126" s="179">
        <f xml:space="preserve">$E$6*D$23*E$35</f>
        <v>28.8045409916923</v>
      </c>
      <c r="D126" s="179">
        <f xml:space="preserve">$E$6*D$23*E$36</f>
        <v>28.8045409916923</v>
      </c>
      <c r="E126" s="179">
        <f xml:space="preserve">$E$6*D$23*E$37</f>
        <v>31.692808345239</v>
      </c>
      <c r="F126" s="179">
        <f xml:space="preserve">$E$6*D$23*E$38</f>
        <v>31.692808345239</v>
      </c>
      <c r="G126" s="179">
        <f xml:space="preserve">$E$6*D$23*E$39</f>
        <v>28.8045409916923</v>
      </c>
      <c r="H126" s="179">
        <f xml:space="preserve">$E$6*D$23*E$40</f>
        <v>31.692808345239</v>
      </c>
      <c r="I126" s="179">
        <f xml:space="preserve">$E$6*D$23*E$41</f>
        <v>28.8045409916923</v>
      </c>
      <c r="J126" s="179">
        <f xml:space="preserve">$E$6*D$23*E$42</f>
        <v>26.4537362689067</v>
      </c>
      <c r="K126" s="179">
        <f xml:space="preserve">$E$6*D$23*E$43</f>
        <v>28.8045409916923</v>
      </c>
      <c r="L126" s="179">
        <f xml:space="preserve">$E$6*D$23*E$44</f>
        <v>28.8045409916923</v>
      </c>
      <c r="M126" s="179">
        <f xml:space="preserve">$E$6*D$23*E$45</f>
        <v>31.692808345239</v>
      </c>
      <c r="N126" s="179">
        <f xml:space="preserve">$E$6*D$23*E$46</f>
        <v>31.692808345239</v>
      </c>
      <c r="O126" s="179">
        <f xml:space="preserve">$E$6*D$23*E$47</f>
        <v>28.8045409916923</v>
      </c>
      <c r="P126" s="179">
        <f xml:space="preserve">$E$6*D$23*E$48</f>
        <v>28.8045409916923</v>
      </c>
      <c r="Q126" s="179">
        <f xml:space="preserve">$E$6*D$23*E$49</f>
        <v>31.692808345239</v>
      </c>
      <c r="R126" s="179">
        <f xml:space="preserve">$E$6*D$23*E$50</f>
        <v>27.7764230823521</v>
      </c>
      <c r="S126" s="179">
        <f xml:space="preserve">$E$6*D$23*E$51</f>
        <v>31.692808345239</v>
      </c>
      <c r="T126" s="179">
        <f xml:space="preserve">$E$6*D$23*E$52</f>
        <v>31.692808345239</v>
      </c>
      <c r="U126" s="179">
        <f xml:space="preserve">$E$6*D$23*E$53</f>
        <v>27.7764230823521</v>
      </c>
      <c r="V126" s="179">
        <f xml:space="preserve">$E$6*D$23*E$54</f>
        <v>28.8045409916923</v>
      </c>
      <c r="W126" s="179">
        <f xml:space="preserve">$E$6*D$23*E$55</f>
        <v>28.8045409916923</v>
      </c>
      <c r="X126" s="179">
        <f xml:space="preserve">$E$6*D$23*E$56</f>
        <v>27.7764230823521</v>
      </c>
      <c r="Y126" s="179">
        <f xml:space="preserve">$E$6*D$23*E$57</f>
        <v>31.692808345239</v>
      </c>
      <c r="Z126" s="179">
        <f xml:space="preserve">$E$6*D$23*E$58</f>
        <v>28.8045409916923</v>
      </c>
      <c r="AA126" s="179">
        <f xml:space="preserve">$E$6*D$23*E$59</f>
        <v>28.8045409916923</v>
      </c>
      <c r="AB126" s="179">
        <f xml:space="preserve">$E$6*D$23*E$60</f>
        <v>28.8045409916923</v>
      </c>
      <c r="AC126" s="179">
        <f xml:space="preserve">$E$6*D$23*E$61</f>
        <v>28.8045409916923</v>
      </c>
      <c r="AD126" s="179">
        <f xml:space="preserve">$E$6*D$23*E$62</f>
        <v>28.8045409916923</v>
      </c>
      <c r="AE126" s="179">
        <f xml:space="preserve">$E$6*D$23*E$63</f>
        <v>28.8045409916923</v>
      </c>
      <c r="AF126" s="179">
        <f xml:space="preserve">$E$6*D$23*E$64</f>
        <v>31.692808345239</v>
      </c>
      <c r="AG126" s="179">
        <f xml:space="preserve">$E$6*D$23*E$65</f>
        <v>31.692808345239</v>
      </c>
      <c r="AH126" s="179">
        <f xml:space="preserve">$E$6*D$23*E$66</f>
        <v>28.8045409916923</v>
      </c>
      <c r="AI126" s="179">
        <f xml:space="preserve">$E$6*D$23*E$67</f>
        <v>31.692808345239</v>
      </c>
      <c r="AJ126" s="179">
        <f xml:space="preserve">$E$6*D$23*E$68</f>
        <v>28.8045409916923</v>
      </c>
      <c r="AK126" s="179">
        <f xml:space="preserve">$E$6*D$23*E$69</f>
        <v>28.8045409916923</v>
      </c>
    </row>
    <row r="127" spans="1:37">
      <c r="A127" s="171" t="str">
        <f t="shared" si="35"/>
        <v>Tra_EV_Batt-LMO</v>
      </c>
      <c r="B127" s="191">
        <v>2100</v>
      </c>
      <c r="C127" s="174">
        <f xml:space="preserve">$E$7*D$23*E$35</f>
        <v>34.4312938287341</v>
      </c>
      <c r="D127" s="174">
        <f xml:space="preserve">$E$7*D$23*E$36</f>
        <v>34.4312938287341</v>
      </c>
      <c r="E127" s="174">
        <f xml:space="preserve">$E$7*D$23*E$37</f>
        <v>37.8837627271134</v>
      </c>
      <c r="F127" s="174">
        <f xml:space="preserve">$E$7*D$23*E$38</f>
        <v>37.8837627271134</v>
      </c>
      <c r="G127" s="174">
        <f xml:space="preserve">$E$7*D$23*E$39</f>
        <v>34.4312938287341</v>
      </c>
      <c r="H127" s="174">
        <f xml:space="preserve">$E$7*D$23*E$40</f>
        <v>37.8837627271134</v>
      </c>
      <c r="I127" s="174">
        <f xml:space="preserve">$E$7*D$23*E$41</f>
        <v>34.4312938287341</v>
      </c>
      <c r="J127" s="174">
        <f xml:space="preserve">$E$7*D$23*E$42</f>
        <v>31.6212768884346</v>
      </c>
      <c r="K127" s="174">
        <f xml:space="preserve">$E$7*D$23*E$43</f>
        <v>34.4312938287341</v>
      </c>
      <c r="L127" s="174">
        <f xml:space="preserve">$E$7*D$23*E$44</f>
        <v>34.4312938287341</v>
      </c>
      <c r="M127" s="174">
        <f xml:space="preserve">$E$7*D$23*E$45</f>
        <v>37.8837627271134</v>
      </c>
      <c r="N127" s="174">
        <f xml:space="preserve">$E$7*D$23*E$46</f>
        <v>37.8837627271134</v>
      </c>
      <c r="O127" s="174">
        <f xml:space="preserve">$E$7*D$23*E$47</f>
        <v>34.4312938287341</v>
      </c>
      <c r="P127" s="174">
        <f xml:space="preserve">$E$7*D$23*E$48</f>
        <v>34.4312938287341</v>
      </c>
      <c r="Q127" s="174">
        <f xml:space="preserve">$E$7*D$23*E$49</f>
        <v>37.8837627271134</v>
      </c>
      <c r="R127" s="174">
        <f xml:space="preserve">$E$7*D$23*E$50</f>
        <v>33.2023407328564</v>
      </c>
      <c r="S127" s="174">
        <f xml:space="preserve">$E$7*D$23*E$51</f>
        <v>37.8837627271134</v>
      </c>
      <c r="T127" s="174">
        <f xml:space="preserve">$E$7*D$23*E$52</f>
        <v>37.8837627271134</v>
      </c>
      <c r="U127" s="174">
        <f xml:space="preserve">$E$7*D$23*E$53</f>
        <v>33.2023407328564</v>
      </c>
      <c r="V127" s="174">
        <f xml:space="preserve">$E$7*D$23*E$54</f>
        <v>34.4312938287341</v>
      </c>
      <c r="W127" s="174">
        <f xml:space="preserve">$E$7*D$23*E$55</f>
        <v>34.4312938287341</v>
      </c>
      <c r="X127" s="174">
        <f xml:space="preserve">$E$7*D$23*E$56</f>
        <v>33.2023407328564</v>
      </c>
      <c r="Y127" s="174">
        <f xml:space="preserve">$E$7*D$23*E$57</f>
        <v>37.8837627271134</v>
      </c>
      <c r="Z127" s="174">
        <f xml:space="preserve">$E$7*D$23*E$58</f>
        <v>34.4312938287341</v>
      </c>
      <c r="AA127" s="174">
        <f xml:space="preserve">$E$7*D$23*E$59</f>
        <v>34.4312938287341</v>
      </c>
      <c r="AB127" s="174">
        <f xml:space="preserve">$E$7*D$23*E$60</f>
        <v>34.4312938287341</v>
      </c>
      <c r="AC127" s="174">
        <f xml:space="preserve">$E$7*D$23*E$61</f>
        <v>34.4312938287341</v>
      </c>
      <c r="AD127" s="174">
        <f xml:space="preserve">$E$7*D$23*E$62</f>
        <v>34.4312938287341</v>
      </c>
      <c r="AE127" s="174">
        <f xml:space="preserve">$E$7*D$23*E$63</f>
        <v>34.4312938287341</v>
      </c>
      <c r="AF127" s="174">
        <f xml:space="preserve">$E$7*D$23*E$64</f>
        <v>37.8837627271134</v>
      </c>
      <c r="AG127" s="174">
        <f xml:space="preserve">$E$7*D$23*E$65</f>
        <v>37.8837627271134</v>
      </c>
      <c r="AH127" s="174">
        <f xml:space="preserve">$E$7*D$23*E$66</f>
        <v>34.4312938287341</v>
      </c>
      <c r="AI127" s="174">
        <f xml:space="preserve">$E$7*D$23*E$67</f>
        <v>37.8837627271134</v>
      </c>
      <c r="AJ127" s="174">
        <f xml:space="preserve">$E$7*D$23*E$68</f>
        <v>34.4312938287341</v>
      </c>
      <c r="AK127" s="174">
        <f xml:space="preserve">$E$7*D$23*E$69</f>
        <v>34.4312938287341</v>
      </c>
    </row>
    <row r="128" spans="1:37">
      <c r="A128" s="177" t="str">
        <f t="shared" si="35"/>
        <v>Tra_EV_Batt-NCA</v>
      </c>
      <c r="B128" s="190">
        <v>2100</v>
      </c>
      <c r="C128" s="179">
        <f xml:space="preserve">$E$8*D$23*E$35</f>
        <v>29.123667808667</v>
      </c>
      <c r="D128" s="179">
        <f xml:space="preserve">$E$8*D$23*E$36</f>
        <v>29.123667808667</v>
      </c>
      <c r="E128" s="179">
        <f xml:space="preserve">$E$8*D$23*E$37</f>
        <v>32.043934407311</v>
      </c>
      <c r="F128" s="179">
        <f xml:space="preserve">$E$8*D$23*E$38</f>
        <v>32.043934407311</v>
      </c>
      <c r="G128" s="179">
        <f xml:space="preserve">$E$8*D$23*E$39</f>
        <v>29.123667808667</v>
      </c>
      <c r="H128" s="179">
        <f xml:space="preserve">$E$8*D$23*E$40</f>
        <v>32.043934407311</v>
      </c>
      <c r="I128" s="179">
        <f xml:space="preserve">$E$8*D$23*E$41</f>
        <v>29.123667808667</v>
      </c>
      <c r="J128" s="179">
        <f xml:space="preserve">$E$8*D$23*E$42</f>
        <v>26.7468184136636</v>
      </c>
      <c r="K128" s="179">
        <f xml:space="preserve">$E$8*D$23*E$43</f>
        <v>29.123667808667</v>
      </c>
      <c r="L128" s="179">
        <f xml:space="preserve">$E$8*D$23*E$44</f>
        <v>29.123667808667</v>
      </c>
      <c r="M128" s="179">
        <f xml:space="preserve">$E$8*D$23*E$45</f>
        <v>32.043934407311</v>
      </c>
      <c r="N128" s="179">
        <f xml:space="preserve">$E$8*D$23*E$46</f>
        <v>32.043934407311</v>
      </c>
      <c r="O128" s="179">
        <f xml:space="preserve">$E$8*D$23*E$47</f>
        <v>29.123667808667</v>
      </c>
      <c r="P128" s="179">
        <f xml:space="preserve">$E$8*D$23*E$48</f>
        <v>29.123667808667</v>
      </c>
      <c r="Q128" s="179">
        <f xml:space="preserve">$E$8*D$23*E$49</f>
        <v>32.043934407311</v>
      </c>
      <c r="R128" s="179">
        <f xml:space="preserve">$E$8*D$23*E$50</f>
        <v>28.0841593343468</v>
      </c>
      <c r="S128" s="179">
        <f xml:space="preserve">$E$8*D$23*E$51</f>
        <v>32.043934407311</v>
      </c>
      <c r="T128" s="179">
        <f xml:space="preserve">$E$8*D$23*E$52</f>
        <v>32.043934407311</v>
      </c>
      <c r="U128" s="179">
        <f xml:space="preserve">$E$8*D$23*E$53</f>
        <v>28.0841593343468</v>
      </c>
      <c r="V128" s="179">
        <f xml:space="preserve">$E$8*D$23*E$54</f>
        <v>29.123667808667</v>
      </c>
      <c r="W128" s="179">
        <f xml:space="preserve">$E$8*D$23*E$55</f>
        <v>29.123667808667</v>
      </c>
      <c r="X128" s="179">
        <f xml:space="preserve">$E$8*D$23*E$56</f>
        <v>28.0841593343468</v>
      </c>
      <c r="Y128" s="179">
        <f xml:space="preserve">$E$8*D$23*E$57</f>
        <v>32.043934407311</v>
      </c>
      <c r="Z128" s="179">
        <f xml:space="preserve">$E$8*D$23*E$58</f>
        <v>29.123667808667</v>
      </c>
      <c r="AA128" s="179">
        <f xml:space="preserve">$E$8*D$23*E$59</f>
        <v>29.123667808667</v>
      </c>
      <c r="AB128" s="179">
        <f xml:space="preserve">$E$8*D$23*E$60</f>
        <v>29.123667808667</v>
      </c>
      <c r="AC128" s="179">
        <f xml:space="preserve">$E$8*D$23*E$61</f>
        <v>29.123667808667</v>
      </c>
      <c r="AD128" s="179">
        <f xml:space="preserve">$E$8*D$23*E$62</f>
        <v>29.123667808667</v>
      </c>
      <c r="AE128" s="179">
        <f xml:space="preserve">$E$8*D$23*E$63</f>
        <v>29.123667808667</v>
      </c>
      <c r="AF128" s="179">
        <f xml:space="preserve">$E$8*D$23*E$64</f>
        <v>32.043934407311</v>
      </c>
      <c r="AG128" s="179">
        <f xml:space="preserve">$E$8*D$23*E$65</f>
        <v>32.043934407311</v>
      </c>
      <c r="AH128" s="179">
        <f xml:space="preserve">$E$8*D$23*E$66</f>
        <v>29.123667808667</v>
      </c>
      <c r="AI128" s="179">
        <f xml:space="preserve">$E$8*D$23*E$67</f>
        <v>32.043934407311</v>
      </c>
      <c r="AJ128" s="179">
        <f xml:space="preserve">$E$8*D$23*E$68</f>
        <v>29.123667808667</v>
      </c>
      <c r="AK128" s="179">
        <f xml:space="preserve">$E$8*D$23*E$69</f>
        <v>29.123667808667</v>
      </c>
    </row>
    <row r="129" spans="1:78">
      <c r="A129" s="171" t="str">
        <f t="shared" si="35"/>
        <v>Tra_EV_Batt-NMC111</v>
      </c>
      <c r="B129" s="191">
        <v>2100</v>
      </c>
      <c r="C129" s="174">
        <f xml:space="preserve">$E$9*D$23*E$35</f>
        <v>28.8423228990668</v>
      </c>
      <c r="D129" s="174">
        <f xml:space="preserve">$E$9*D$23*E$36</f>
        <v>28.8423228990668</v>
      </c>
      <c r="E129" s="174">
        <f xml:space="preserve">$E$9*D$23*E$37</f>
        <v>31.7343786917231</v>
      </c>
      <c r="F129" s="174">
        <f xml:space="preserve">$E$9*D$23*E$38</f>
        <v>31.7343786917231</v>
      </c>
      <c r="G129" s="174">
        <f xml:space="preserve">$E$9*D$23*E$39</f>
        <v>28.8423228990668</v>
      </c>
      <c r="H129" s="174">
        <f xml:space="preserve">$E$9*D$23*E$40</f>
        <v>31.7343786917231</v>
      </c>
      <c r="I129" s="174">
        <f xml:space="preserve">$E$9*D$23*E$41</f>
        <v>28.8423228990668</v>
      </c>
      <c r="J129" s="174">
        <f xml:space="preserve">$E$9*D$23*E$42</f>
        <v>26.4884347080768</v>
      </c>
      <c r="K129" s="174">
        <f xml:space="preserve">$E$9*D$23*E$43</f>
        <v>28.8423228990668</v>
      </c>
      <c r="L129" s="174">
        <f xml:space="preserve">$E$9*D$23*E$44</f>
        <v>28.8423228990668</v>
      </c>
      <c r="M129" s="174">
        <f xml:space="preserve">$E$9*D$23*E$45</f>
        <v>31.7343786917231</v>
      </c>
      <c r="N129" s="174">
        <f xml:space="preserve">$E$9*D$23*E$46</f>
        <v>31.7343786917231</v>
      </c>
      <c r="O129" s="174">
        <f xml:space="preserve">$E$9*D$23*E$47</f>
        <v>28.8423228990668</v>
      </c>
      <c r="P129" s="174">
        <f xml:space="preserve">$E$9*D$23*E$48</f>
        <v>28.8423228990668</v>
      </c>
      <c r="Q129" s="174">
        <f xml:space="preserve">$E$9*D$23*E$49</f>
        <v>31.7343786917231</v>
      </c>
      <c r="R129" s="174">
        <f xml:space="preserve">$E$9*D$23*E$50</f>
        <v>27.8128564434806</v>
      </c>
      <c r="S129" s="174">
        <f xml:space="preserve">$E$9*D$23*E$51</f>
        <v>31.7343786917231</v>
      </c>
      <c r="T129" s="174">
        <f xml:space="preserve">$E$9*D$23*E$52</f>
        <v>31.7343786917231</v>
      </c>
      <c r="U129" s="174">
        <f xml:space="preserve">$E$9*D$23*E$53</f>
        <v>27.8128564434806</v>
      </c>
      <c r="V129" s="174">
        <f xml:space="preserve">$E$9*D$23*E$54</f>
        <v>28.8423228990668</v>
      </c>
      <c r="W129" s="174">
        <f xml:space="preserve">$E$9*D$23*E$55</f>
        <v>28.8423228990668</v>
      </c>
      <c r="X129" s="174">
        <f xml:space="preserve">$E$9*D$23*E$56</f>
        <v>27.8128564434806</v>
      </c>
      <c r="Y129" s="174">
        <f xml:space="preserve">$E$9*D$23*E$57</f>
        <v>31.7343786917231</v>
      </c>
      <c r="Z129" s="174">
        <f xml:space="preserve">$E$9*D$23*E$58</f>
        <v>28.8423228990668</v>
      </c>
      <c r="AA129" s="174">
        <f xml:space="preserve">$E$9*D$23*E$59</f>
        <v>28.8423228990668</v>
      </c>
      <c r="AB129" s="174">
        <f xml:space="preserve">$E$9*D$23*E$60</f>
        <v>28.8423228990668</v>
      </c>
      <c r="AC129" s="174">
        <f xml:space="preserve">$E$9*D$23*E$61</f>
        <v>28.8423228990668</v>
      </c>
      <c r="AD129" s="174">
        <f xml:space="preserve">$E$9*D$23*E$62</f>
        <v>28.8423228990668</v>
      </c>
      <c r="AE129" s="174">
        <f xml:space="preserve">$E$9*D$23*E$63</f>
        <v>28.8423228990668</v>
      </c>
      <c r="AF129" s="174">
        <f xml:space="preserve">$E$9*D$23*E$64</f>
        <v>31.7343786917231</v>
      </c>
      <c r="AG129" s="174">
        <f xml:space="preserve">$E$9*D$23*E$65</f>
        <v>31.7343786917231</v>
      </c>
      <c r="AH129" s="174">
        <f xml:space="preserve">$E$9*D$23*E$66</f>
        <v>28.8423228990668</v>
      </c>
      <c r="AI129" s="174">
        <f xml:space="preserve">$E$9*D$23*E$67</f>
        <v>31.7343786917231</v>
      </c>
      <c r="AJ129" s="174">
        <f xml:space="preserve">$E$9*D$23*E$68</f>
        <v>28.8423228990668</v>
      </c>
      <c r="AK129" s="174">
        <f xml:space="preserve">$E$9*D$23*E$69</f>
        <v>28.8423228990668</v>
      </c>
    </row>
    <row r="130" spans="1:78">
      <c r="A130" s="177" t="str">
        <f t="shared" si="35"/>
        <v>Tra_EV_Batt-NMC532</v>
      </c>
      <c r="B130" s="190">
        <v>2100</v>
      </c>
      <c r="C130" s="179">
        <f xml:space="preserve">$E$10*D$23*E$35</f>
        <v>30.8192490030047</v>
      </c>
      <c r="D130" s="179">
        <f xml:space="preserve">$E$10*D$23*E$36</f>
        <v>30.8192490030047</v>
      </c>
      <c r="E130" s="179">
        <f xml:space="preserve">$E$10*D$23*E$37</f>
        <v>33.9095336488138</v>
      </c>
      <c r="F130" s="179">
        <f xml:space="preserve">$E$10*D$23*E$38</f>
        <v>33.9095336488138</v>
      </c>
      <c r="G130" s="179">
        <f xml:space="preserve">$E$10*D$23*E$39</f>
        <v>30.8192490030047</v>
      </c>
      <c r="H130" s="179">
        <f xml:space="preserve">$E$10*D$23*E$40</f>
        <v>33.9095336488138</v>
      </c>
      <c r="I130" s="179">
        <f xml:space="preserve">$E$10*D$23*E$41</f>
        <v>30.8192490030047</v>
      </c>
      <c r="J130" s="179">
        <f xml:space="preserve">$E$10*D$23*E$42</f>
        <v>28.3040193338402</v>
      </c>
      <c r="K130" s="179">
        <f xml:space="preserve">$E$10*D$23*E$43</f>
        <v>30.8192490030047</v>
      </c>
      <c r="L130" s="179">
        <f xml:space="preserve">$E$10*D$23*E$44</f>
        <v>30.8192490030047</v>
      </c>
      <c r="M130" s="179">
        <f xml:space="preserve">$E$10*D$23*E$45</f>
        <v>33.9095336488138</v>
      </c>
      <c r="N130" s="179">
        <f xml:space="preserve">$E$10*D$23*E$46</f>
        <v>33.9095336488138</v>
      </c>
      <c r="O130" s="179">
        <f xml:space="preserve">$E$10*D$23*E$47</f>
        <v>30.8192490030047</v>
      </c>
      <c r="P130" s="179">
        <f xml:space="preserve">$E$10*D$23*E$48</f>
        <v>30.8192490030047</v>
      </c>
      <c r="Q130" s="179">
        <f xml:space="preserve">$E$10*D$23*E$49</f>
        <v>33.9095336488138</v>
      </c>
      <c r="R130" s="179">
        <f xml:space="preserve">$E$10*D$23*E$50</f>
        <v>29.7192203005323</v>
      </c>
      <c r="S130" s="179">
        <f xml:space="preserve">$E$10*D$23*E$51</f>
        <v>33.9095336488138</v>
      </c>
      <c r="T130" s="179">
        <f xml:space="preserve">$E$10*D$23*E$52</f>
        <v>33.9095336488138</v>
      </c>
      <c r="U130" s="179">
        <f xml:space="preserve">$E$10*D$23*E$53</f>
        <v>29.7192203005323</v>
      </c>
      <c r="V130" s="179">
        <f xml:space="preserve">$E$10*D$23*E$54</f>
        <v>30.8192490030047</v>
      </c>
      <c r="W130" s="179">
        <f xml:space="preserve">$E$10*D$23*E$55</f>
        <v>30.8192490030047</v>
      </c>
      <c r="X130" s="179">
        <f xml:space="preserve">$E$10*D$23*E$56</f>
        <v>29.7192203005323</v>
      </c>
      <c r="Y130" s="179">
        <f xml:space="preserve">$E$10*D$23*E$57</f>
        <v>33.9095336488138</v>
      </c>
      <c r="Z130" s="179">
        <f xml:space="preserve">$E$10*D$23*E$58</f>
        <v>30.8192490030047</v>
      </c>
      <c r="AA130" s="179">
        <f xml:space="preserve">$E$10*D$23*E$59</f>
        <v>30.8192490030047</v>
      </c>
      <c r="AB130" s="179">
        <f xml:space="preserve">$E$10*D$23*E$60</f>
        <v>30.8192490030047</v>
      </c>
      <c r="AC130" s="179">
        <f xml:space="preserve">$E$10*D$23*E$61</f>
        <v>30.8192490030047</v>
      </c>
      <c r="AD130" s="179">
        <f xml:space="preserve">$E$10*D$23*E$62</f>
        <v>30.8192490030047</v>
      </c>
      <c r="AE130" s="179">
        <f xml:space="preserve">$E$10*D$23*E$63</f>
        <v>30.8192490030047</v>
      </c>
      <c r="AF130" s="179">
        <f xml:space="preserve">$E$10*D$23*E$64</f>
        <v>33.9095336488138</v>
      </c>
      <c r="AG130" s="179">
        <f xml:space="preserve">$E$10*D$23*E$65</f>
        <v>33.9095336488138</v>
      </c>
      <c r="AH130" s="179">
        <f xml:space="preserve">$E$10*D$23*E$66</f>
        <v>30.8192490030047</v>
      </c>
      <c r="AI130" s="179">
        <f xml:space="preserve">$E$10*D$23*E$67</f>
        <v>33.9095336488138</v>
      </c>
      <c r="AJ130" s="179">
        <f xml:space="preserve">$E$10*D$23*E$68</f>
        <v>30.8192490030047</v>
      </c>
      <c r="AK130" s="179">
        <f xml:space="preserve">$E$10*D$23*E$69</f>
        <v>30.8192490030047</v>
      </c>
    </row>
    <row r="131" spans="1:78">
      <c r="A131" s="171" t="str">
        <f t="shared" si="35"/>
        <v>Tra_EV_Batt-NMC622</v>
      </c>
      <c r="B131" s="191">
        <v>2100</v>
      </c>
      <c r="C131" s="174">
        <f xml:space="preserve">$E$11*D$23*E$35</f>
        <v>29.7653476666981</v>
      </c>
      <c r="D131" s="174">
        <f xml:space="preserve">$E$11*D$23*E$36</f>
        <v>29.7653476666981</v>
      </c>
      <c r="E131" s="174">
        <f xml:space="preserve">$E$11*D$23*E$37</f>
        <v>32.749956307311</v>
      </c>
      <c r="F131" s="174">
        <f xml:space="preserve">$E$11*D$23*E$38</f>
        <v>32.749956307311</v>
      </c>
      <c r="G131" s="174">
        <f xml:space="preserve">$E$11*D$23*E$39</f>
        <v>29.7653476666981</v>
      </c>
      <c r="H131" s="174">
        <f xml:space="preserve">$E$11*D$23*E$40</f>
        <v>32.749956307311</v>
      </c>
      <c r="I131" s="174">
        <f xml:space="preserve">$E$11*D$23*E$41</f>
        <v>29.7653476666981</v>
      </c>
      <c r="J131" s="174">
        <f xml:space="preserve">$E$11*D$23*E$42</f>
        <v>27.3361293052456</v>
      </c>
      <c r="K131" s="174">
        <f xml:space="preserve">$E$11*D$23*E$43</f>
        <v>29.7653476666981</v>
      </c>
      <c r="L131" s="174">
        <f xml:space="preserve">$E$11*D$23*E$44</f>
        <v>29.7653476666981</v>
      </c>
      <c r="M131" s="174">
        <f xml:space="preserve">$E$11*D$23*E$45</f>
        <v>32.749956307311</v>
      </c>
      <c r="N131" s="174">
        <f xml:space="preserve">$E$11*D$23*E$46</f>
        <v>32.749956307311</v>
      </c>
      <c r="O131" s="174">
        <f xml:space="preserve">$E$11*D$23*E$47</f>
        <v>29.7653476666981</v>
      </c>
      <c r="P131" s="174">
        <f xml:space="preserve">$E$11*D$23*E$48</f>
        <v>29.7653476666981</v>
      </c>
      <c r="Q131" s="174">
        <f xml:space="preserve">$E$11*D$23*E$49</f>
        <v>32.749956307311</v>
      </c>
      <c r="R131" s="174">
        <f xml:space="preserve">$E$11*D$23*E$50</f>
        <v>28.7029357705079</v>
      </c>
      <c r="S131" s="174">
        <f xml:space="preserve">$E$11*D$23*E$51</f>
        <v>32.749956307311</v>
      </c>
      <c r="T131" s="174">
        <f xml:space="preserve">$E$11*D$23*E$52</f>
        <v>32.749956307311</v>
      </c>
      <c r="U131" s="174">
        <f xml:space="preserve">$E$11*D$23*E$53</f>
        <v>28.7029357705079</v>
      </c>
      <c r="V131" s="174">
        <f xml:space="preserve">$E$11*D$23*E$54</f>
        <v>29.7653476666981</v>
      </c>
      <c r="W131" s="174">
        <f xml:space="preserve">$E$11*D$23*E$55</f>
        <v>29.7653476666981</v>
      </c>
      <c r="X131" s="174">
        <f xml:space="preserve">$E$11*D$23*E$56</f>
        <v>28.7029357705079</v>
      </c>
      <c r="Y131" s="174">
        <f xml:space="preserve">$E$11*D$23*E$57</f>
        <v>32.749956307311</v>
      </c>
      <c r="Z131" s="174">
        <f xml:space="preserve">$E$11*D$23*E$58</f>
        <v>29.7653476666981</v>
      </c>
      <c r="AA131" s="174">
        <f xml:space="preserve">$E$11*D$23*E$59</f>
        <v>29.7653476666981</v>
      </c>
      <c r="AB131" s="174">
        <f xml:space="preserve">$E$11*D$23*E$60</f>
        <v>29.7653476666981</v>
      </c>
      <c r="AC131" s="174">
        <f xml:space="preserve">$E$11*D$23*E$61</f>
        <v>29.7653476666981</v>
      </c>
      <c r="AD131" s="174">
        <f xml:space="preserve">$E$11*D$23*E$62</f>
        <v>29.7653476666981</v>
      </c>
      <c r="AE131" s="174">
        <f xml:space="preserve">$E$11*D$23*E$63</f>
        <v>29.7653476666981</v>
      </c>
      <c r="AF131" s="174">
        <f xml:space="preserve">$E$11*D$23*E$64</f>
        <v>32.749956307311</v>
      </c>
      <c r="AG131" s="174">
        <f xml:space="preserve">$E$11*D$23*E$65</f>
        <v>32.749956307311</v>
      </c>
      <c r="AH131" s="174">
        <f xml:space="preserve">$E$11*D$23*E$66</f>
        <v>29.7653476666981</v>
      </c>
      <c r="AI131" s="174">
        <f xml:space="preserve">$E$11*D$23*E$67</f>
        <v>32.749956307311</v>
      </c>
      <c r="AJ131" s="174">
        <f xml:space="preserve">$E$11*D$23*E$68</f>
        <v>29.7653476666981</v>
      </c>
      <c r="AK131" s="174">
        <f xml:space="preserve">$E$11*D$23*E$69</f>
        <v>29.7653476666981</v>
      </c>
    </row>
    <row r="132" spans="1:78">
      <c r="A132" s="177" t="str">
        <f t="shared" si="35"/>
        <v>Tra_EV_Batt-NMC811</v>
      </c>
      <c r="B132" s="190">
        <v>2100</v>
      </c>
      <c r="C132" s="179">
        <f xml:space="preserve">$E$12*D$23*E$35</f>
        <v>31.1420304589999</v>
      </c>
      <c r="D132" s="179">
        <f xml:space="preserve">$E$12*D$23*E$36</f>
        <v>31.1420304589999</v>
      </c>
      <c r="E132" s="179">
        <f xml:space="preserve">$E$12*D$23*E$37</f>
        <v>34.2646808051321</v>
      </c>
      <c r="F132" s="179">
        <f xml:space="preserve">$E$12*D$23*E$38</f>
        <v>34.2646808051321</v>
      </c>
      <c r="G132" s="179">
        <f xml:space="preserve">$E$12*D$23*E$39</f>
        <v>31.1420304589999</v>
      </c>
      <c r="H132" s="179">
        <f xml:space="preserve">$E$12*D$23*E$40</f>
        <v>34.2646808051321</v>
      </c>
      <c r="I132" s="179">
        <f xml:space="preserve">$E$12*D$23*E$41</f>
        <v>31.1420304589999</v>
      </c>
      <c r="J132" s="179">
        <f xml:space="preserve">$E$12*D$23*E$42</f>
        <v>28.6004578541366</v>
      </c>
      <c r="K132" s="179">
        <f xml:space="preserve">$E$12*D$23*E$43</f>
        <v>31.1420304589999</v>
      </c>
      <c r="L132" s="179">
        <f xml:space="preserve">$E$12*D$23*E$44</f>
        <v>31.1420304589999</v>
      </c>
      <c r="M132" s="179">
        <f xml:space="preserve">$E$12*D$23*E$45</f>
        <v>34.2646808051321</v>
      </c>
      <c r="N132" s="179">
        <f xml:space="preserve">$E$12*D$23*E$46</f>
        <v>34.2646808051321</v>
      </c>
      <c r="O132" s="179">
        <f xml:space="preserve">$E$12*D$23*E$47</f>
        <v>31.1420304589999</v>
      </c>
      <c r="P132" s="179">
        <f xml:space="preserve">$E$12*D$23*E$48</f>
        <v>31.1420304589999</v>
      </c>
      <c r="Q132" s="179">
        <f xml:space="preserve">$E$12*D$23*E$49</f>
        <v>34.2646808051321</v>
      </c>
      <c r="R132" s="179">
        <f xml:space="preserve">$E$12*D$23*E$50</f>
        <v>30.0304807468434</v>
      </c>
      <c r="S132" s="179">
        <f xml:space="preserve">$E$12*D$23*E$51</f>
        <v>34.2646808051321</v>
      </c>
      <c r="T132" s="179">
        <f xml:space="preserve">$E$12*D$23*E$52</f>
        <v>34.2646808051321</v>
      </c>
      <c r="U132" s="179">
        <f xml:space="preserve">$E$12*D$23*E$53</f>
        <v>30.0304807468434</v>
      </c>
      <c r="V132" s="179">
        <f xml:space="preserve">$E$12*D$23*E$54</f>
        <v>31.1420304589999</v>
      </c>
      <c r="W132" s="179">
        <f xml:space="preserve">$E$12*D$23*E$55</f>
        <v>31.1420304589999</v>
      </c>
      <c r="X132" s="179">
        <f xml:space="preserve">$E$12*D$23*E$56</f>
        <v>30.0304807468434</v>
      </c>
      <c r="Y132" s="179">
        <f xml:space="preserve">$E$12*D$23*E$57</f>
        <v>34.2646808051321</v>
      </c>
      <c r="Z132" s="179">
        <f xml:space="preserve">$E$12*D$23*E$58</f>
        <v>31.1420304589999</v>
      </c>
      <c r="AA132" s="179">
        <f xml:space="preserve">$E$12*D$23*E$59</f>
        <v>31.1420304589999</v>
      </c>
      <c r="AB132" s="179">
        <f xml:space="preserve">$E$12*D$23*E$60</f>
        <v>31.1420304589999</v>
      </c>
      <c r="AC132" s="179">
        <f xml:space="preserve">$E$12*D$23*E$61</f>
        <v>31.1420304589999</v>
      </c>
      <c r="AD132" s="179">
        <f xml:space="preserve">$E$12*D$23*E$62</f>
        <v>31.1420304589999</v>
      </c>
      <c r="AE132" s="179">
        <f xml:space="preserve">$E$12*D$23*E$63</f>
        <v>31.1420304589999</v>
      </c>
      <c r="AF132" s="179">
        <f xml:space="preserve">$E$12*D$23*E$64</f>
        <v>34.2646808051321</v>
      </c>
      <c r="AG132" s="179">
        <f xml:space="preserve">$E$12*D$23*E$65</f>
        <v>34.2646808051321</v>
      </c>
      <c r="AH132" s="179">
        <f xml:space="preserve">$E$12*D$23*E$66</f>
        <v>31.1420304589999</v>
      </c>
      <c r="AI132" s="179">
        <f xml:space="preserve">$E$12*D$23*E$67</f>
        <v>34.2646808051321</v>
      </c>
      <c r="AJ132" s="179">
        <f xml:space="preserve">$E$12*D$23*E$68</f>
        <v>31.1420304589999</v>
      </c>
      <c r="AK132" s="179">
        <f xml:space="preserve">$E$12*D$23*E$69</f>
        <v>31.1420304589999</v>
      </c>
    </row>
    <row r="133" spans="1:78">
      <c r="C133" s="162">
        <f t="shared" ref="C133:AK133" si="36" xml:space="preserve">C126</f>
        <v>28.8045409916923</v>
      </c>
      <c r="D133" s="162">
        <f t="shared" si="36"/>
        <v>28.8045409916923</v>
      </c>
      <c r="E133" s="162">
        <f t="shared" si="36"/>
        <v>31.692808345239</v>
      </c>
      <c r="F133" s="162">
        <f t="shared" si="36"/>
        <v>31.692808345239</v>
      </c>
      <c r="G133" s="162">
        <f t="shared" si="36"/>
        <v>28.8045409916923</v>
      </c>
      <c r="H133" s="162">
        <f t="shared" si="36"/>
        <v>31.692808345239</v>
      </c>
      <c r="I133" s="162">
        <f t="shared" si="36"/>
        <v>28.8045409916923</v>
      </c>
      <c r="J133" s="162">
        <f t="shared" si="36"/>
        <v>26.4537362689067</v>
      </c>
      <c r="K133" s="162">
        <f t="shared" si="36"/>
        <v>28.8045409916923</v>
      </c>
      <c r="L133" s="162">
        <f t="shared" si="36"/>
        <v>28.8045409916923</v>
      </c>
      <c r="M133" s="162">
        <f t="shared" si="36"/>
        <v>31.692808345239</v>
      </c>
      <c r="N133" s="162">
        <f t="shared" si="36"/>
        <v>31.692808345239</v>
      </c>
      <c r="O133" s="162">
        <f t="shared" si="36"/>
        <v>28.8045409916923</v>
      </c>
      <c r="P133" s="162">
        <f t="shared" si="36"/>
        <v>28.8045409916923</v>
      </c>
      <c r="Q133" s="162">
        <f t="shared" si="36"/>
        <v>31.692808345239</v>
      </c>
      <c r="R133" s="162">
        <f t="shared" si="36"/>
        <v>27.7764230823521</v>
      </c>
      <c r="S133" s="162">
        <f t="shared" si="36"/>
        <v>31.692808345239</v>
      </c>
      <c r="T133" s="162">
        <f t="shared" si="36"/>
        <v>31.692808345239</v>
      </c>
      <c r="U133" s="162">
        <f t="shared" si="36"/>
        <v>27.7764230823521</v>
      </c>
      <c r="V133" s="162">
        <f t="shared" si="36"/>
        <v>28.8045409916923</v>
      </c>
      <c r="W133" s="162">
        <f t="shared" si="36"/>
        <v>28.8045409916923</v>
      </c>
      <c r="X133" s="162">
        <f t="shared" si="36"/>
        <v>27.7764230823521</v>
      </c>
      <c r="Y133" s="162">
        <f t="shared" si="36"/>
        <v>31.692808345239</v>
      </c>
      <c r="Z133" s="162">
        <f t="shared" si="36"/>
        <v>28.8045409916923</v>
      </c>
      <c r="AA133" s="162">
        <f t="shared" si="36"/>
        <v>28.8045409916923</v>
      </c>
      <c r="AB133" s="162">
        <f t="shared" si="36"/>
        <v>28.8045409916923</v>
      </c>
      <c r="AC133" s="162">
        <f t="shared" si="36"/>
        <v>28.8045409916923</v>
      </c>
      <c r="AD133" s="162">
        <f t="shared" si="36"/>
        <v>28.8045409916923</v>
      </c>
      <c r="AE133" s="162">
        <f t="shared" si="36"/>
        <v>28.8045409916923</v>
      </c>
      <c r="AF133" s="162">
        <f t="shared" si="36"/>
        <v>31.692808345239</v>
      </c>
      <c r="AG133" s="162">
        <f t="shared" si="36"/>
        <v>31.692808345239</v>
      </c>
      <c r="AH133" s="162">
        <f t="shared" si="36"/>
        <v>28.8045409916923</v>
      </c>
      <c r="AI133" s="162">
        <f t="shared" si="36"/>
        <v>31.692808345239</v>
      </c>
      <c r="AJ133" s="162">
        <f t="shared" si="36"/>
        <v>28.8045409916923</v>
      </c>
      <c r="AK133" s="162">
        <f t="shared" si="36"/>
        <v>28.8045409916923</v>
      </c>
    </row>
    <row r="138" ht="23" customHeight="1"/>
    <row r="139" spans="1:78">
      <c r="A139" s="58" t="s">
        <v>53</v>
      </c>
      <c r="B139" s="58"/>
      <c r="C139" s="58"/>
      <c r="D139" s="58"/>
      <c r="E139" s="58"/>
      <c r="AP139" s="58" t="s">
        <v>52</v>
      </c>
      <c r="AQ139" s="58"/>
      <c r="AR139" s="58"/>
      <c r="AS139" s="58"/>
      <c r="AT139" s="58"/>
    </row>
    <row r="140" spans="1:78">
      <c r="A140" s="58" t="s">
        <v>66</v>
      </c>
      <c r="B140" s="58" t="s">
        <v>41</v>
      </c>
      <c r="C140" s="166" t="s">
        <v>3</v>
      </c>
      <c r="D140" s="166" t="s">
        <v>5</v>
      </c>
      <c r="E140" s="166" t="s">
        <v>6</v>
      </c>
      <c r="F140" s="166" t="s">
        <v>7</v>
      </c>
      <c r="G140" s="166" t="s">
        <v>8</v>
      </c>
      <c r="H140" s="166" t="s">
        <v>9</v>
      </c>
      <c r="I140" s="166" t="s">
        <v>10</v>
      </c>
      <c r="J140" s="166" t="s">
        <v>11</v>
      </c>
      <c r="K140" s="166" t="s">
        <v>12</v>
      </c>
      <c r="L140" s="166" t="s">
        <v>13</v>
      </c>
      <c r="M140" s="166" t="s">
        <v>14</v>
      </c>
      <c r="N140" s="166" t="s">
        <v>15</v>
      </c>
      <c r="O140" s="166" t="s">
        <v>16</v>
      </c>
      <c r="P140" s="166" t="s">
        <v>17</v>
      </c>
      <c r="Q140" s="166" t="s">
        <v>18</v>
      </c>
      <c r="R140" s="166" t="s">
        <v>19</v>
      </c>
      <c r="S140" s="166" t="s">
        <v>20</v>
      </c>
      <c r="T140" s="166" t="s">
        <v>21</v>
      </c>
      <c r="U140" s="166" t="s">
        <v>22</v>
      </c>
      <c r="V140" s="166" t="s">
        <v>23</v>
      </c>
      <c r="W140" s="166" t="s">
        <v>24</v>
      </c>
      <c r="X140" s="166" t="s">
        <v>25</v>
      </c>
      <c r="Y140" s="166" t="s">
        <v>26</v>
      </c>
      <c r="Z140" s="166" t="s">
        <v>27</v>
      </c>
      <c r="AA140" s="166" t="s">
        <v>28</v>
      </c>
      <c r="AB140" s="166" t="s">
        <v>29</v>
      </c>
      <c r="AC140" s="166" t="s">
        <v>30</v>
      </c>
      <c r="AD140" s="166" t="s">
        <v>31</v>
      </c>
      <c r="AE140" s="166" t="s">
        <v>32</v>
      </c>
      <c r="AF140" s="166" t="s">
        <v>33</v>
      </c>
      <c r="AG140" s="166" t="s">
        <v>34</v>
      </c>
      <c r="AH140" s="166" t="s">
        <v>35</v>
      </c>
      <c r="AI140" s="166" t="s">
        <v>36</v>
      </c>
      <c r="AJ140" s="166" t="s">
        <v>37</v>
      </c>
      <c r="AK140" s="166" t="s">
        <v>38</v>
      </c>
      <c r="AP140" s="58" t="s">
        <v>66</v>
      </c>
      <c r="AQ140" s="58" t="s">
        <v>41</v>
      </c>
      <c r="AR140" s="166" t="s">
        <v>3</v>
      </c>
      <c r="AS140" s="166" t="s">
        <v>5</v>
      </c>
      <c r="AT140" s="166" t="s">
        <v>6</v>
      </c>
      <c r="AU140" s="166" t="s">
        <v>7</v>
      </c>
      <c r="AV140" s="166" t="s">
        <v>8</v>
      </c>
      <c r="AW140" s="166" t="s">
        <v>9</v>
      </c>
      <c r="AX140" s="166" t="s">
        <v>10</v>
      </c>
      <c r="AY140" s="166" t="s">
        <v>11</v>
      </c>
      <c r="AZ140" s="166" t="s">
        <v>12</v>
      </c>
      <c r="BA140" s="166" t="s">
        <v>13</v>
      </c>
      <c r="BB140" s="166" t="s">
        <v>14</v>
      </c>
      <c r="BC140" s="166" t="s">
        <v>15</v>
      </c>
      <c r="BD140" s="166" t="s">
        <v>16</v>
      </c>
      <c r="BE140" s="166" t="s">
        <v>17</v>
      </c>
      <c r="BF140" s="166" t="s">
        <v>18</v>
      </c>
      <c r="BG140" s="166" t="s">
        <v>19</v>
      </c>
      <c r="BH140" s="166" t="s">
        <v>20</v>
      </c>
      <c r="BI140" s="166" t="s">
        <v>21</v>
      </c>
      <c r="BJ140" s="166" t="s">
        <v>22</v>
      </c>
      <c r="BK140" s="166" t="s">
        <v>23</v>
      </c>
      <c r="BL140" s="166" t="s">
        <v>24</v>
      </c>
      <c r="BM140" s="166" t="s">
        <v>25</v>
      </c>
      <c r="BN140" s="166" t="s">
        <v>26</v>
      </c>
      <c r="BO140" s="166" t="s">
        <v>27</v>
      </c>
      <c r="BP140" s="166" t="s">
        <v>28</v>
      </c>
      <c r="BQ140" s="166" t="s">
        <v>29</v>
      </c>
      <c r="BR140" s="166" t="s">
        <v>30</v>
      </c>
      <c r="BS140" s="166" t="s">
        <v>31</v>
      </c>
      <c r="BT140" s="166" t="s">
        <v>32</v>
      </c>
      <c r="BU140" s="166" t="s">
        <v>33</v>
      </c>
      <c r="BV140" s="166" t="s">
        <v>34</v>
      </c>
      <c r="BW140" s="166" t="s">
        <v>35</v>
      </c>
      <c r="BX140" s="166" t="s">
        <v>36</v>
      </c>
      <c r="BY140" s="166" t="s">
        <v>37</v>
      </c>
      <c r="BZ140" s="166" t="s">
        <v>38</v>
      </c>
    </row>
    <row r="141" spans="1:78">
      <c r="A141" s="58" t="s">
        <v>68</v>
      </c>
      <c r="B141" s="58">
        <v>2023</v>
      </c>
      <c r="C141" s="58">
        <f t="shared" ref="C141:AK141" si="37" xml:space="preserve">C106*70%</f>
        <v>56.31903095</v>
      </c>
      <c r="D141" s="58">
        <f t="shared" si="37"/>
        <v>56.31903095</v>
      </c>
      <c r="E141" s="58">
        <f t="shared" si="37"/>
        <v>67.97124425</v>
      </c>
      <c r="F141" s="58">
        <f t="shared" si="37"/>
        <v>67.97124425</v>
      </c>
      <c r="G141" s="58">
        <f t="shared" si="37"/>
        <v>56.31903095</v>
      </c>
      <c r="H141" s="58">
        <f t="shared" si="37"/>
        <v>67.97124425</v>
      </c>
      <c r="I141" s="58">
        <f t="shared" si="37"/>
        <v>56.31903095</v>
      </c>
      <c r="J141" s="58">
        <f t="shared" si="37"/>
        <v>38.840711</v>
      </c>
      <c r="K141" s="58">
        <f t="shared" si="37"/>
        <v>56.31903095</v>
      </c>
      <c r="L141" s="58">
        <f t="shared" si="37"/>
        <v>56.31903095</v>
      </c>
      <c r="M141" s="58">
        <f t="shared" si="37"/>
        <v>67.97124425</v>
      </c>
      <c r="N141" s="58">
        <f t="shared" si="37"/>
        <v>67.97124425</v>
      </c>
      <c r="O141" s="58">
        <f t="shared" si="37"/>
        <v>56.31903095</v>
      </c>
      <c r="P141" s="58">
        <f t="shared" si="37"/>
        <v>56.31903095</v>
      </c>
      <c r="Q141" s="58">
        <f t="shared" si="37"/>
        <v>67.97124425</v>
      </c>
      <c r="R141" s="58">
        <f t="shared" si="37"/>
        <v>46.6088532</v>
      </c>
      <c r="S141" s="58">
        <f t="shared" si="37"/>
        <v>67.97124425</v>
      </c>
      <c r="T141" s="58">
        <f t="shared" si="37"/>
        <v>67.97124425</v>
      </c>
      <c r="U141" s="58">
        <f t="shared" si="37"/>
        <v>46.6088532</v>
      </c>
      <c r="V141" s="58">
        <f t="shared" si="37"/>
        <v>56.31903095</v>
      </c>
      <c r="W141" s="58">
        <f t="shared" si="37"/>
        <v>56.31903095</v>
      </c>
      <c r="X141" s="58">
        <f t="shared" si="37"/>
        <v>46.6088532</v>
      </c>
      <c r="Y141" s="58">
        <f t="shared" si="37"/>
        <v>67.97124425</v>
      </c>
      <c r="Z141" s="58">
        <f t="shared" si="37"/>
        <v>56.31903095</v>
      </c>
      <c r="AA141" s="58">
        <f t="shared" si="37"/>
        <v>56.31903095</v>
      </c>
      <c r="AB141" s="58">
        <f t="shared" si="37"/>
        <v>56.31903095</v>
      </c>
      <c r="AC141" s="58">
        <f t="shared" si="37"/>
        <v>56.31903095</v>
      </c>
      <c r="AD141" s="58">
        <f t="shared" si="37"/>
        <v>56.31903095</v>
      </c>
      <c r="AE141" s="58">
        <f t="shared" si="37"/>
        <v>56.31903095</v>
      </c>
      <c r="AF141" s="58">
        <f t="shared" si="37"/>
        <v>67.97124425</v>
      </c>
      <c r="AG141" s="58">
        <f t="shared" si="37"/>
        <v>67.97124425</v>
      </c>
      <c r="AH141" s="58">
        <f t="shared" si="37"/>
        <v>56.31903095</v>
      </c>
      <c r="AI141" s="58">
        <f t="shared" si="37"/>
        <v>67.97124425</v>
      </c>
      <c r="AJ141" s="58">
        <f t="shared" si="37"/>
        <v>56.31903095</v>
      </c>
      <c r="AK141" s="58">
        <f t="shared" si="37"/>
        <v>56.31903095</v>
      </c>
      <c r="AP141" s="58" t="s">
        <v>69</v>
      </c>
      <c r="AQ141" s="58">
        <v>2023</v>
      </c>
      <c r="AR141" s="58">
        <f t="shared" ref="AR141:BZ141" si="38" xml:space="preserve">C106*30%</f>
        <v>24.13672755</v>
      </c>
      <c r="AS141" s="58">
        <f t="shared" si="38"/>
        <v>24.13672755</v>
      </c>
      <c r="AT141" s="58">
        <f t="shared" si="38"/>
        <v>29.13053325</v>
      </c>
      <c r="AU141" s="58">
        <f t="shared" si="38"/>
        <v>29.13053325</v>
      </c>
      <c r="AV141" s="58">
        <f t="shared" si="38"/>
        <v>24.13672755</v>
      </c>
      <c r="AW141" s="58">
        <f t="shared" si="38"/>
        <v>29.13053325</v>
      </c>
      <c r="AX141" s="58">
        <f t="shared" si="38"/>
        <v>24.13672755</v>
      </c>
      <c r="AY141" s="58">
        <f t="shared" si="38"/>
        <v>16.646019</v>
      </c>
      <c r="AZ141" s="58">
        <f t="shared" si="38"/>
        <v>24.13672755</v>
      </c>
      <c r="BA141" s="58">
        <f t="shared" si="38"/>
        <v>24.13672755</v>
      </c>
      <c r="BB141" s="58">
        <f t="shared" si="38"/>
        <v>29.13053325</v>
      </c>
      <c r="BC141" s="58">
        <f t="shared" si="38"/>
        <v>29.13053325</v>
      </c>
      <c r="BD141" s="58">
        <f t="shared" si="38"/>
        <v>24.13672755</v>
      </c>
      <c r="BE141" s="58">
        <f t="shared" si="38"/>
        <v>24.13672755</v>
      </c>
      <c r="BF141" s="58">
        <f t="shared" si="38"/>
        <v>29.13053325</v>
      </c>
      <c r="BG141" s="58">
        <f t="shared" si="38"/>
        <v>19.9752228</v>
      </c>
      <c r="BH141" s="58">
        <f t="shared" si="38"/>
        <v>29.13053325</v>
      </c>
      <c r="BI141" s="58">
        <f t="shared" si="38"/>
        <v>29.13053325</v>
      </c>
      <c r="BJ141" s="58">
        <f t="shared" si="38"/>
        <v>19.9752228</v>
      </c>
      <c r="BK141" s="58">
        <f t="shared" si="38"/>
        <v>24.13672755</v>
      </c>
      <c r="BL141" s="58">
        <f t="shared" si="38"/>
        <v>24.13672755</v>
      </c>
      <c r="BM141" s="58">
        <f t="shared" si="38"/>
        <v>19.9752228</v>
      </c>
      <c r="BN141" s="58">
        <f t="shared" si="38"/>
        <v>29.13053325</v>
      </c>
      <c r="BO141" s="58">
        <f t="shared" si="38"/>
        <v>24.13672755</v>
      </c>
      <c r="BP141" s="58">
        <f t="shared" si="38"/>
        <v>24.13672755</v>
      </c>
      <c r="BQ141" s="58">
        <f t="shared" si="38"/>
        <v>24.13672755</v>
      </c>
      <c r="BR141" s="58">
        <f t="shared" si="38"/>
        <v>24.13672755</v>
      </c>
      <c r="BS141" s="58">
        <f t="shared" si="38"/>
        <v>24.13672755</v>
      </c>
      <c r="BT141" s="58">
        <f t="shared" si="38"/>
        <v>24.13672755</v>
      </c>
      <c r="BU141" s="58">
        <f t="shared" si="38"/>
        <v>29.13053325</v>
      </c>
      <c r="BV141" s="58">
        <f t="shared" si="38"/>
        <v>29.13053325</v>
      </c>
      <c r="BW141" s="58">
        <f t="shared" si="38"/>
        <v>24.13672755</v>
      </c>
      <c r="BX141" s="58">
        <f t="shared" si="38"/>
        <v>29.13053325</v>
      </c>
      <c r="BY141" s="58">
        <f t="shared" si="38"/>
        <v>24.13672755</v>
      </c>
      <c r="BZ141" s="58">
        <f t="shared" si="38"/>
        <v>24.13672755</v>
      </c>
    </row>
    <row r="142" spans="1:78">
      <c r="A142" s="58" t="s">
        <v>73</v>
      </c>
      <c r="B142" s="58">
        <v>2023</v>
      </c>
      <c r="C142" s="58">
        <f t="shared" ref="C142:AK142" si="39" xml:space="preserve">C107*70%</f>
        <v>67.32053475</v>
      </c>
      <c r="D142" s="58">
        <f t="shared" si="39"/>
        <v>67.32053475</v>
      </c>
      <c r="E142" s="58">
        <f t="shared" si="39"/>
        <v>81.24892125</v>
      </c>
      <c r="F142" s="58">
        <f t="shared" si="39"/>
        <v>81.24892125</v>
      </c>
      <c r="G142" s="58">
        <f t="shared" si="39"/>
        <v>67.32053475</v>
      </c>
      <c r="H142" s="58">
        <f t="shared" si="39"/>
        <v>81.24892125</v>
      </c>
      <c r="I142" s="58">
        <f t="shared" si="39"/>
        <v>67.32053475</v>
      </c>
      <c r="J142" s="58">
        <f t="shared" si="39"/>
        <v>46.427955</v>
      </c>
      <c r="K142" s="58">
        <f t="shared" si="39"/>
        <v>67.32053475</v>
      </c>
      <c r="L142" s="58">
        <f t="shared" si="39"/>
        <v>67.32053475</v>
      </c>
      <c r="M142" s="58">
        <f t="shared" si="39"/>
        <v>81.24892125</v>
      </c>
      <c r="N142" s="58">
        <f t="shared" si="39"/>
        <v>81.24892125</v>
      </c>
      <c r="O142" s="58">
        <f t="shared" si="39"/>
        <v>67.32053475</v>
      </c>
      <c r="P142" s="58">
        <f t="shared" si="39"/>
        <v>67.32053475</v>
      </c>
      <c r="Q142" s="58">
        <f t="shared" si="39"/>
        <v>81.24892125</v>
      </c>
      <c r="R142" s="58">
        <f t="shared" si="39"/>
        <v>55.713546</v>
      </c>
      <c r="S142" s="58">
        <f t="shared" si="39"/>
        <v>81.24892125</v>
      </c>
      <c r="T142" s="58">
        <f t="shared" si="39"/>
        <v>81.24892125</v>
      </c>
      <c r="U142" s="58">
        <f t="shared" si="39"/>
        <v>55.713546</v>
      </c>
      <c r="V142" s="58">
        <f t="shared" si="39"/>
        <v>67.32053475</v>
      </c>
      <c r="W142" s="58">
        <f t="shared" si="39"/>
        <v>67.32053475</v>
      </c>
      <c r="X142" s="58">
        <f t="shared" si="39"/>
        <v>55.713546</v>
      </c>
      <c r="Y142" s="58">
        <f t="shared" si="39"/>
        <v>81.24892125</v>
      </c>
      <c r="Z142" s="58">
        <f t="shared" si="39"/>
        <v>67.32053475</v>
      </c>
      <c r="AA142" s="58">
        <f t="shared" si="39"/>
        <v>67.32053475</v>
      </c>
      <c r="AB142" s="58">
        <f t="shared" si="39"/>
        <v>67.32053475</v>
      </c>
      <c r="AC142" s="58">
        <f t="shared" si="39"/>
        <v>67.32053475</v>
      </c>
      <c r="AD142" s="58">
        <f t="shared" si="39"/>
        <v>67.32053475</v>
      </c>
      <c r="AE142" s="58">
        <f t="shared" si="39"/>
        <v>67.32053475</v>
      </c>
      <c r="AF142" s="58">
        <f t="shared" si="39"/>
        <v>81.24892125</v>
      </c>
      <c r="AG142" s="58">
        <f t="shared" si="39"/>
        <v>81.24892125</v>
      </c>
      <c r="AH142" s="58">
        <f t="shared" si="39"/>
        <v>67.32053475</v>
      </c>
      <c r="AI142" s="58">
        <f t="shared" si="39"/>
        <v>81.24892125</v>
      </c>
      <c r="AJ142" s="58">
        <f t="shared" si="39"/>
        <v>67.32053475</v>
      </c>
      <c r="AK142" s="58">
        <f t="shared" si="39"/>
        <v>67.32053475</v>
      </c>
      <c r="AP142" s="58" t="s">
        <v>74</v>
      </c>
      <c r="AQ142" s="58">
        <v>2023</v>
      </c>
      <c r="AR142" s="58">
        <f t="shared" ref="AR142:BZ142" si="40" xml:space="preserve">C107*30%</f>
        <v>28.85165775</v>
      </c>
      <c r="AS142" s="58">
        <f t="shared" si="40"/>
        <v>28.85165775</v>
      </c>
      <c r="AT142" s="58">
        <f t="shared" si="40"/>
        <v>34.82096625</v>
      </c>
      <c r="AU142" s="58">
        <f t="shared" si="40"/>
        <v>34.82096625</v>
      </c>
      <c r="AV142" s="58">
        <f t="shared" si="40"/>
        <v>28.85165775</v>
      </c>
      <c r="AW142" s="58">
        <f t="shared" si="40"/>
        <v>34.82096625</v>
      </c>
      <c r="AX142" s="58">
        <f t="shared" si="40"/>
        <v>28.85165775</v>
      </c>
      <c r="AY142" s="58">
        <f t="shared" si="40"/>
        <v>19.897695</v>
      </c>
      <c r="AZ142" s="58">
        <f t="shared" si="40"/>
        <v>28.85165775</v>
      </c>
      <c r="BA142" s="58">
        <f t="shared" si="40"/>
        <v>28.85165775</v>
      </c>
      <c r="BB142" s="58">
        <f t="shared" si="40"/>
        <v>34.82096625</v>
      </c>
      <c r="BC142" s="58">
        <f t="shared" si="40"/>
        <v>34.82096625</v>
      </c>
      <c r="BD142" s="58">
        <f t="shared" si="40"/>
        <v>28.85165775</v>
      </c>
      <c r="BE142" s="58">
        <f t="shared" si="40"/>
        <v>28.85165775</v>
      </c>
      <c r="BF142" s="58">
        <f t="shared" si="40"/>
        <v>34.82096625</v>
      </c>
      <c r="BG142" s="58">
        <f t="shared" si="40"/>
        <v>23.877234</v>
      </c>
      <c r="BH142" s="58">
        <f t="shared" si="40"/>
        <v>34.82096625</v>
      </c>
      <c r="BI142" s="58">
        <f t="shared" si="40"/>
        <v>34.82096625</v>
      </c>
      <c r="BJ142" s="58">
        <f t="shared" si="40"/>
        <v>23.877234</v>
      </c>
      <c r="BK142" s="58">
        <f t="shared" si="40"/>
        <v>28.85165775</v>
      </c>
      <c r="BL142" s="58">
        <f t="shared" si="40"/>
        <v>28.85165775</v>
      </c>
      <c r="BM142" s="58">
        <f t="shared" si="40"/>
        <v>23.877234</v>
      </c>
      <c r="BN142" s="58">
        <f t="shared" si="40"/>
        <v>34.82096625</v>
      </c>
      <c r="BO142" s="58">
        <f t="shared" si="40"/>
        <v>28.85165775</v>
      </c>
      <c r="BP142" s="58">
        <f t="shared" si="40"/>
        <v>28.85165775</v>
      </c>
      <c r="BQ142" s="58">
        <f t="shared" si="40"/>
        <v>28.85165775</v>
      </c>
      <c r="BR142" s="58">
        <f t="shared" si="40"/>
        <v>28.85165775</v>
      </c>
      <c r="BS142" s="58">
        <f t="shared" si="40"/>
        <v>28.85165775</v>
      </c>
      <c r="BT142" s="58">
        <f t="shared" si="40"/>
        <v>28.85165775</v>
      </c>
      <c r="BU142" s="58">
        <f t="shared" si="40"/>
        <v>34.82096625</v>
      </c>
      <c r="BV142" s="58">
        <f t="shared" si="40"/>
        <v>34.82096625</v>
      </c>
      <c r="BW142" s="58">
        <f t="shared" si="40"/>
        <v>28.85165775</v>
      </c>
      <c r="BX142" s="58">
        <f t="shared" si="40"/>
        <v>34.82096625</v>
      </c>
      <c r="BY142" s="58">
        <f t="shared" si="40"/>
        <v>28.85165775</v>
      </c>
      <c r="BZ142" s="58">
        <f t="shared" si="40"/>
        <v>28.85165775</v>
      </c>
    </row>
    <row r="143" spans="1:78">
      <c r="A143" s="58" t="s">
        <v>77</v>
      </c>
      <c r="B143" s="58">
        <v>2023</v>
      </c>
      <c r="C143" s="58">
        <f t="shared" ref="C143:AK143" si="41" xml:space="preserve">C108*70%</f>
        <v>56.94299205</v>
      </c>
      <c r="D143" s="58">
        <f t="shared" si="41"/>
        <v>56.94299205</v>
      </c>
      <c r="E143" s="58">
        <f t="shared" si="41"/>
        <v>68.72430075</v>
      </c>
      <c r="F143" s="58">
        <f t="shared" si="41"/>
        <v>68.72430075</v>
      </c>
      <c r="G143" s="58">
        <f t="shared" si="41"/>
        <v>56.94299205</v>
      </c>
      <c r="H143" s="58">
        <f t="shared" si="41"/>
        <v>68.72430075</v>
      </c>
      <c r="I143" s="58">
        <f t="shared" si="41"/>
        <v>56.94299205</v>
      </c>
      <c r="J143" s="58">
        <f t="shared" si="41"/>
        <v>39.271029</v>
      </c>
      <c r="K143" s="58">
        <f t="shared" si="41"/>
        <v>56.94299205</v>
      </c>
      <c r="L143" s="58">
        <f t="shared" si="41"/>
        <v>56.94299205</v>
      </c>
      <c r="M143" s="58">
        <f t="shared" si="41"/>
        <v>68.72430075</v>
      </c>
      <c r="N143" s="58">
        <f t="shared" si="41"/>
        <v>68.72430075</v>
      </c>
      <c r="O143" s="58">
        <f t="shared" si="41"/>
        <v>56.94299205</v>
      </c>
      <c r="P143" s="58">
        <f t="shared" si="41"/>
        <v>56.94299205</v>
      </c>
      <c r="Q143" s="58">
        <f t="shared" si="41"/>
        <v>68.72430075</v>
      </c>
      <c r="R143" s="58">
        <f t="shared" si="41"/>
        <v>47.1252348</v>
      </c>
      <c r="S143" s="58">
        <f t="shared" si="41"/>
        <v>68.72430075</v>
      </c>
      <c r="T143" s="58">
        <f t="shared" si="41"/>
        <v>68.72430075</v>
      </c>
      <c r="U143" s="58">
        <f t="shared" si="41"/>
        <v>47.1252348</v>
      </c>
      <c r="V143" s="58">
        <f t="shared" si="41"/>
        <v>56.94299205</v>
      </c>
      <c r="W143" s="58">
        <f t="shared" si="41"/>
        <v>56.94299205</v>
      </c>
      <c r="X143" s="58">
        <f t="shared" si="41"/>
        <v>47.1252348</v>
      </c>
      <c r="Y143" s="58">
        <f t="shared" si="41"/>
        <v>68.72430075</v>
      </c>
      <c r="Z143" s="58">
        <f t="shared" si="41"/>
        <v>56.94299205</v>
      </c>
      <c r="AA143" s="58">
        <f t="shared" si="41"/>
        <v>56.94299205</v>
      </c>
      <c r="AB143" s="58">
        <f t="shared" si="41"/>
        <v>56.94299205</v>
      </c>
      <c r="AC143" s="58">
        <f t="shared" si="41"/>
        <v>56.94299205</v>
      </c>
      <c r="AD143" s="58">
        <f t="shared" si="41"/>
        <v>56.94299205</v>
      </c>
      <c r="AE143" s="58">
        <f t="shared" si="41"/>
        <v>56.94299205</v>
      </c>
      <c r="AF143" s="58">
        <f t="shared" si="41"/>
        <v>68.72430075</v>
      </c>
      <c r="AG143" s="58">
        <f t="shared" si="41"/>
        <v>68.72430075</v>
      </c>
      <c r="AH143" s="58">
        <f t="shared" si="41"/>
        <v>56.94299205</v>
      </c>
      <c r="AI143" s="58">
        <f t="shared" si="41"/>
        <v>68.72430075</v>
      </c>
      <c r="AJ143" s="58">
        <f t="shared" si="41"/>
        <v>56.94299205</v>
      </c>
      <c r="AK143" s="58">
        <f t="shared" si="41"/>
        <v>56.94299205</v>
      </c>
      <c r="AP143" s="58" t="s">
        <v>78</v>
      </c>
      <c r="AQ143" s="58">
        <v>2023</v>
      </c>
      <c r="AR143" s="58">
        <f t="shared" ref="AR143:BZ143" si="42" xml:space="preserve">C108*30%</f>
        <v>24.40413945</v>
      </c>
      <c r="AS143" s="58">
        <f t="shared" si="42"/>
        <v>24.40413945</v>
      </c>
      <c r="AT143" s="58">
        <f t="shared" si="42"/>
        <v>29.45327175</v>
      </c>
      <c r="AU143" s="58">
        <f t="shared" si="42"/>
        <v>29.45327175</v>
      </c>
      <c r="AV143" s="58">
        <f t="shared" si="42"/>
        <v>24.40413945</v>
      </c>
      <c r="AW143" s="58">
        <f t="shared" si="42"/>
        <v>29.45327175</v>
      </c>
      <c r="AX143" s="58">
        <f t="shared" si="42"/>
        <v>24.40413945</v>
      </c>
      <c r="AY143" s="58">
        <f t="shared" si="42"/>
        <v>16.830441</v>
      </c>
      <c r="AZ143" s="58">
        <f t="shared" si="42"/>
        <v>24.40413945</v>
      </c>
      <c r="BA143" s="58">
        <f t="shared" si="42"/>
        <v>24.40413945</v>
      </c>
      <c r="BB143" s="58">
        <f t="shared" si="42"/>
        <v>29.45327175</v>
      </c>
      <c r="BC143" s="58">
        <f t="shared" si="42"/>
        <v>29.45327175</v>
      </c>
      <c r="BD143" s="58">
        <f t="shared" si="42"/>
        <v>24.40413945</v>
      </c>
      <c r="BE143" s="58">
        <f t="shared" si="42"/>
        <v>24.40413945</v>
      </c>
      <c r="BF143" s="58">
        <f t="shared" si="42"/>
        <v>29.45327175</v>
      </c>
      <c r="BG143" s="58">
        <f t="shared" si="42"/>
        <v>20.1965292</v>
      </c>
      <c r="BH143" s="58">
        <f t="shared" si="42"/>
        <v>29.45327175</v>
      </c>
      <c r="BI143" s="58">
        <f t="shared" si="42"/>
        <v>29.45327175</v>
      </c>
      <c r="BJ143" s="58">
        <f t="shared" si="42"/>
        <v>20.1965292</v>
      </c>
      <c r="BK143" s="58">
        <f t="shared" si="42"/>
        <v>24.40413945</v>
      </c>
      <c r="BL143" s="58">
        <f t="shared" si="42"/>
        <v>24.40413945</v>
      </c>
      <c r="BM143" s="58">
        <f t="shared" si="42"/>
        <v>20.1965292</v>
      </c>
      <c r="BN143" s="58">
        <f t="shared" si="42"/>
        <v>29.45327175</v>
      </c>
      <c r="BO143" s="58">
        <f t="shared" si="42"/>
        <v>24.40413945</v>
      </c>
      <c r="BP143" s="58">
        <f t="shared" si="42"/>
        <v>24.40413945</v>
      </c>
      <c r="BQ143" s="58">
        <f t="shared" si="42"/>
        <v>24.40413945</v>
      </c>
      <c r="BR143" s="58">
        <f t="shared" si="42"/>
        <v>24.40413945</v>
      </c>
      <c r="BS143" s="58">
        <f t="shared" si="42"/>
        <v>24.40413945</v>
      </c>
      <c r="BT143" s="58">
        <f t="shared" si="42"/>
        <v>24.40413945</v>
      </c>
      <c r="BU143" s="58">
        <f t="shared" si="42"/>
        <v>29.45327175</v>
      </c>
      <c r="BV143" s="58">
        <f t="shared" si="42"/>
        <v>29.45327175</v>
      </c>
      <c r="BW143" s="58">
        <f t="shared" si="42"/>
        <v>24.40413945</v>
      </c>
      <c r="BX143" s="58">
        <f t="shared" si="42"/>
        <v>29.45327175</v>
      </c>
      <c r="BY143" s="58">
        <f t="shared" si="42"/>
        <v>24.40413945</v>
      </c>
      <c r="BZ143" s="58">
        <f t="shared" si="42"/>
        <v>24.40413945</v>
      </c>
    </row>
    <row r="144" spans="1:78">
      <c r="A144" s="58" t="s">
        <v>81</v>
      </c>
      <c r="B144" s="58">
        <v>2023</v>
      </c>
      <c r="C144" s="58">
        <f t="shared" ref="C144:AK144" si="43" xml:space="preserve">C109*70%</f>
        <v>56.39290265</v>
      </c>
      <c r="D144" s="58">
        <f t="shared" si="43"/>
        <v>56.39290265</v>
      </c>
      <c r="E144" s="58">
        <f t="shared" si="43"/>
        <v>68.06039975</v>
      </c>
      <c r="F144" s="58">
        <f t="shared" si="43"/>
        <v>68.06039975</v>
      </c>
      <c r="G144" s="58">
        <f t="shared" si="43"/>
        <v>56.39290265</v>
      </c>
      <c r="H144" s="58">
        <f t="shared" si="43"/>
        <v>68.06039975</v>
      </c>
      <c r="I144" s="58">
        <f t="shared" si="43"/>
        <v>56.39290265</v>
      </c>
      <c r="J144" s="58">
        <f t="shared" si="43"/>
        <v>38.891657</v>
      </c>
      <c r="K144" s="58">
        <f t="shared" si="43"/>
        <v>56.39290265</v>
      </c>
      <c r="L144" s="58">
        <f t="shared" si="43"/>
        <v>56.39290265</v>
      </c>
      <c r="M144" s="58">
        <f t="shared" si="43"/>
        <v>68.06039975</v>
      </c>
      <c r="N144" s="58">
        <f t="shared" si="43"/>
        <v>68.06039975</v>
      </c>
      <c r="O144" s="58">
        <f t="shared" si="43"/>
        <v>56.39290265</v>
      </c>
      <c r="P144" s="58">
        <f t="shared" si="43"/>
        <v>56.39290265</v>
      </c>
      <c r="Q144" s="58">
        <f t="shared" si="43"/>
        <v>68.06039975</v>
      </c>
      <c r="R144" s="58">
        <f t="shared" si="43"/>
        <v>46.6699884</v>
      </c>
      <c r="S144" s="58">
        <f t="shared" si="43"/>
        <v>68.06039975</v>
      </c>
      <c r="T144" s="58">
        <f t="shared" si="43"/>
        <v>68.06039975</v>
      </c>
      <c r="U144" s="58">
        <f t="shared" si="43"/>
        <v>46.6699884</v>
      </c>
      <c r="V144" s="58">
        <f t="shared" si="43"/>
        <v>56.39290265</v>
      </c>
      <c r="W144" s="58">
        <f t="shared" si="43"/>
        <v>56.39290265</v>
      </c>
      <c r="X144" s="58">
        <f t="shared" si="43"/>
        <v>46.6699884</v>
      </c>
      <c r="Y144" s="58">
        <f t="shared" si="43"/>
        <v>68.06039975</v>
      </c>
      <c r="Z144" s="58">
        <f t="shared" si="43"/>
        <v>56.39290265</v>
      </c>
      <c r="AA144" s="58">
        <f t="shared" si="43"/>
        <v>56.39290265</v>
      </c>
      <c r="AB144" s="58">
        <f t="shared" si="43"/>
        <v>56.39290265</v>
      </c>
      <c r="AC144" s="58">
        <f t="shared" si="43"/>
        <v>56.39290265</v>
      </c>
      <c r="AD144" s="58">
        <f t="shared" si="43"/>
        <v>56.39290265</v>
      </c>
      <c r="AE144" s="58">
        <f t="shared" si="43"/>
        <v>56.39290265</v>
      </c>
      <c r="AF144" s="58">
        <f t="shared" si="43"/>
        <v>68.06039975</v>
      </c>
      <c r="AG144" s="58">
        <f t="shared" si="43"/>
        <v>68.06039975</v>
      </c>
      <c r="AH144" s="58">
        <f t="shared" si="43"/>
        <v>56.39290265</v>
      </c>
      <c r="AI144" s="58">
        <f t="shared" si="43"/>
        <v>68.06039975</v>
      </c>
      <c r="AJ144" s="58">
        <f t="shared" si="43"/>
        <v>56.39290265</v>
      </c>
      <c r="AK144" s="58">
        <f t="shared" si="43"/>
        <v>56.39290265</v>
      </c>
      <c r="AP144" s="58" t="s">
        <v>82</v>
      </c>
      <c r="AQ144" s="58">
        <v>2023</v>
      </c>
      <c r="AR144" s="58">
        <f t="shared" ref="AR144:BZ144" si="44" xml:space="preserve">C109*30%</f>
        <v>24.16838685</v>
      </c>
      <c r="AS144" s="58">
        <f t="shared" si="44"/>
        <v>24.16838685</v>
      </c>
      <c r="AT144" s="58">
        <f t="shared" si="44"/>
        <v>29.16874275</v>
      </c>
      <c r="AU144" s="58">
        <f t="shared" si="44"/>
        <v>29.16874275</v>
      </c>
      <c r="AV144" s="58">
        <f t="shared" si="44"/>
        <v>24.16838685</v>
      </c>
      <c r="AW144" s="58">
        <f t="shared" si="44"/>
        <v>29.16874275</v>
      </c>
      <c r="AX144" s="58">
        <f t="shared" si="44"/>
        <v>24.16838685</v>
      </c>
      <c r="AY144" s="58">
        <f t="shared" si="44"/>
        <v>16.667853</v>
      </c>
      <c r="AZ144" s="58">
        <f t="shared" si="44"/>
        <v>24.16838685</v>
      </c>
      <c r="BA144" s="58">
        <f t="shared" si="44"/>
        <v>24.16838685</v>
      </c>
      <c r="BB144" s="58">
        <f t="shared" si="44"/>
        <v>29.16874275</v>
      </c>
      <c r="BC144" s="58">
        <f t="shared" si="44"/>
        <v>29.16874275</v>
      </c>
      <c r="BD144" s="58">
        <f t="shared" si="44"/>
        <v>24.16838685</v>
      </c>
      <c r="BE144" s="58">
        <f t="shared" si="44"/>
        <v>24.16838685</v>
      </c>
      <c r="BF144" s="58">
        <f t="shared" si="44"/>
        <v>29.16874275</v>
      </c>
      <c r="BG144" s="58">
        <f t="shared" si="44"/>
        <v>20.0014236</v>
      </c>
      <c r="BH144" s="58">
        <f t="shared" si="44"/>
        <v>29.16874275</v>
      </c>
      <c r="BI144" s="58">
        <f t="shared" si="44"/>
        <v>29.16874275</v>
      </c>
      <c r="BJ144" s="58">
        <f t="shared" si="44"/>
        <v>20.0014236</v>
      </c>
      <c r="BK144" s="58">
        <f t="shared" si="44"/>
        <v>24.16838685</v>
      </c>
      <c r="BL144" s="58">
        <f t="shared" si="44"/>
        <v>24.16838685</v>
      </c>
      <c r="BM144" s="58">
        <f t="shared" si="44"/>
        <v>20.0014236</v>
      </c>
      <c r="BN144" s="58">
        <f t="shared" si="44"/>
        <v>29.16874275</v>
      </c>
      <c r="BO144" s="58">
        <f t="shared" si="44"/>
        <v>24.16838685</v>
      </c>
      <c r="BP144" s="58">
        <f t="shared" si="44"/>
        <v>24.16838685</v>
      </c>
      <c r="BQ144" s="58">
        <f t="shared" si="44"/>
        <v>24.16838685</v>
      </c>
      <c r="BR144" s="58">
        <f t="shared" si="44"/>
        <v>24.16838685</v>
      </c>
      <c r="BS144" s="58">
        <f t="shared" si="44"/>
        <v>24.16838685</v>
      </c>
      <c r="BT144" s="58">
        <f t="shared" si="44"/>
        <v>24.16838685</v>
      </c>
      <c r="BU144" s="58">
        <f t="shared" si="44"/>
        <v>29.16874275</v>
      </c>
      <c r="BV144" s="58">
        <f t="shared" si="44"/>
        <v>29.16874275</v>
      </c>
      <c r="BW144" s="58">
        <f t="shared" si="44"/>
        <v>24.16838685</v>
      </c>
      <c r="BX144" s="58">
        <f t="shared" si="44"/>
        <v>29.16874275</v>
      </c>
      <c r="BY144" s="58">
        <f t="shared" si="44"/>
        <v>24.16838685</v>
      </c>
      <c r="BZ144" s="58">
        <f t="shared" si="44"/>
        <v>24.16838685</v>
      </c>
    </row>
    <row r="145" spans="1:78">
      <c r="A145" s="58" t="s">
        <v>86</v>
      </c>
      <c r="B145" s="58">
        <v>2023</v>
      </c>
      <c r="C145" s="58">
        <f t="shared" ref="C145:AK145" si="45" xml:space="preserve">C110*70%</f>
        <v>60.2582155</v>
      </c>
      <c r="D145" s="58">
        <f t="shared" si="45"/>
        <v>60.2582155</v>
      </c>
      <c r="E145" s="58">
        <f t="shared" si="45"/>
        <v>72.7254325</v>
      </c>
      <c r="F145" s="58">
        <f t="shared" si="45"/>
        <v>72.7254325</v>
      </c>
      <c r="G145" s="58">
        <f t="shared" si="45"/>
        <v>60.2582155</v>
      </c>
      <c r="H145" s="58">
        <f t="shared" si="45"/>
        <v>72.7254325</v>
      </c>
      <c r="I145" s="58">
        <f t="shared" si="45"/>
        <v>60.2582155</v>
      </c>
      <c r="J145" s="58">
        <f t="shared" si="45"/>
        <v>41.55739</v>
      </c>
      <c r="K145" s="58">
        <f t="shared" si="45"/>
        <v>60.2582155</v>
      </c>
      <c r="L145" s="58">
        <f t="shared" si="45"/>
        <v>60.2582155</v>
      </c>
      <c r="M145" s="58">
        <f t="shared" si="45"/>
        <v>72.7254325</v>
      </c>
      <c r="N145" s="58">
        <f t="shared" si="45"/>
        <v>72.7254325</v>
      </c>
      <c r="O145" s="58">
        <f t="shared" si="45"/>
        <v>60.2582155</v>
      </c>
      <c r="P145" s="58">
        <f t="shared" si="45"/>
        <v>60.2582155</v>
      </c>
      <c r="Q145" s="58">
        <f t="shared" si="45"/>
        <v>72.7254325</v>
      </c>
      <c r="R145" s="58">
        <f t="shared" si="45"/>
        <v>49.868868</v>
      </c>
      <c r="S145" s="58">
        <f t="shared" si="45"/>
        <v>72.7254325</v>
      </c>
      <c r="T145" s="58">
        <f t="shared" si="45"/>
        <v>72.7254325</v>
      </c>
      <c r="U145" s="58">
        <f t="shared" si="45"/>
        <v>49.868868</v>
      </c>
      <c r="V145" s="58">
        <f t="shared" si="45"/>
        <v>60.2582155</v>
      </c>
      <c r="W145" s="58">
        <f t="shared" si="45"/>
        <v>60.2582155</v>
      </c>
      <c r="X145" s="58">
        <f t="shared" si="45"/>
        <v>49.868868</v>
      </c>
      <c r="Y145" s="58">
        <f t="shared" si="45"/>
        <v>72.7254325</v>
      </c>
      <c r="Z145" s="58">
        <f t="shared" si="45"/>
        <v>60.2582155</v>
      </c>
      <c r="AA145" s="58">
        <f t="shared" si="45"/>
        <v>60.2582155</v>
      </c>
      <c r="AB145" s="58">
        <f t="shared" si="45"/>
        <v>60.2582155</v>
      </c>
      <c r="AC145" s="58">
        <f t="shared" si="45"/>
        <v>60.2582155</v>
      </c>
      <c r="AD145" s="58">
        <f t="shared" si="45"/>
        <v>60.2582155</v>
      </c>
      <c r="AE145" s="58">
        <f t="shared" si="45"/>
        <v>60.2582155</v>
      </c>
      <c r="AF145" s="58">
        <f t="shared" si="45"/>
        <v>72.7254325</v>
      </c>
      <c r="AG145" s="58">
        <f t="shared" si="45"/>
        <v>72.7254325</v>
      </c>
      <c r="AH145" s="58">
        <f t="shared" si="45"/>
        <v>60.2582155</v>
      </c>
      <c r="AI145" s="58">
        <f t="shared" si="45"/>
        <v>72.7254325</v>
      </c>
      <c r="AJ145" s="58">
        <f t="shared" si="45"/>
        <v>60.2582155</v>
      </c>
      <c r="AK145" s="58">
        <f t="shared" si="45"/>
        <v>60.2582155</v>
      </c>
      <c r="AP145" s="58" t="s">
        <v>87</v>
      </c>
      <c r="AQ145" s="58">
        <v>2023</v>
      </c>
      <c r="AR145" s="58">
        <f t="shared" ref="AR145:BZ145" si="46" xml:space="preserve">C110*30%</f>
        <v>25.8249495</v>
      </c>
      <c r="AS145" s="58">
        <f t="shared" si="46"/>
        <v>25.8249495</v>
      </c>
      <c r="AT145" s="58">
        <f t="shared" si="46"/>
        <v>31.1680425</v>
      </c>
      <c r="AU145" s="58">
        <f t="shared" si="46"/>
        <v>31.1680425</v>
      </c>
      <c r="AV145" s="58">
        <f t="shared" si="46"/>
        <v>25.8249495</v>
      </c>
      <c r="AW145" s="58">
        <f t="shared" si="46"/>
        <v>31.1680425</v>
      </c>
      <c r="AX145" s="58">
        <f t="shared" si="46"/>
        <v>25.8249495</v>
      </c>
      <c r="AY145" s="58">
        <f t="shared" si="46"/>
        <v>17.81031</v>
      </c>
      <c r="AZ145" s="58">
        <f t="shared" si="46"/>
        <v>25.8249495</v>
      </c>
      <c r="BA145" s="58">
        <f t="shared" si="46"/>
        <v>25.8249495</v>
      </c>
      <c r="BB145" s="58">
        <f t="shared" si="46"/>
        <v>31.1680425</v>
      </c>
      <c r="BC145" s="58">
        <f t="shared" si="46"/>
        <v>31.1680425</v>
      </c>
      <c r="BD145" s="58">
        <f t="shared" si="46"/>
        <v>25.8249495</v>
      </c>
      <c r="BE145" s="58">
        <f t="shared" si="46"/>
        <v>25.8249495</v>
      </c>
      <c r="BF145" s="58">
        <f t="shared" si="46"/>
        <v>31.1680425</v>
      </c>
      <c r="BG145" s="58">
        <f t="shared" si="46"/>
        <v>21.372372</v>
      </c>
      <c r="BH145" s="58">
        <f t="shared" si="46"/>
        <v>31.1680425</v>
      </c>
      <c r="BI145" s="58">
        <f t="shared" si="46"/>
        <v>31.1680425</v>
      </c>
      <c r="BJ145" s="58">
        <f t="shared" si="46"/>
        <v>21.372372</v>
      </c>
      <c r="BK145" s="58">
        <f t="shared" si="46"/>
        <v>25.8249495</v>
      </c>
      <c r="BL145" s="58">
        <f t="shared" si="46"/>
        <v>25.8249495</v>
      </c>
      <c r="BM145" s="58">
        <f t="shared" si="46"/>
        <v>21.372372</v>
      </c>
      <c r="BN145" s="58">
        <f t="shared" si="46"/>
        <v>31.1680425</v>
      </c>
      <c r="BO145" s="58">
        <f t="shared" si="46"/>
        <v>25.8249495</v>
      </c>
      <c r="BP145" s="58">
        <f t="shared" si="46"/>
        <v>25.8249495</v>
      </c>
      <c r="BQ145" s="58">
        <f t="shared" si="46"/>
        <v>25.8249495</v>
      </c>
      <c r="BR145" s="58">
        <f t="shared" si="46"/>
        <v>25.8249495</v>
      </c>
      <c r="BS145" s="58">
        <f t="shared" si="46"/>
        <v>25.8249495</v>
      </c>
      <c r="BT145" s="58">
        <f t="shared" si="46"/>
        <v>25.8249495</v>
      </c>
      <c r="BU145" s="58">
        <f t="shared" si="46"/>
        <v>31.1680425</v>
      </c>
      <c r="BV145" s="58">
        <f t="shared" si="46"/>
        <v>31.1680425</v>
      </c>
      <c r="BW145" s="58">
        <f t="shared" si="46"/>
        <v>25.8249495</v>
      </c>
      <c r="BX145" s="58">
        <f t="shared" si="46"/>
        <v>31.1680425</v>
      </c>
      <c r="BY145" s="58">
        <f t="shared" si="46"/>
        <v>25.8249495</v>
      </c>
      <c r="BZ145" s="58">
        <f t="shared" si="46"/>
        <v>25.8249495</v>
      </c>
    </row>
    <row r="146" spans="1:78">
      <c r="A146" s="58" t="s">
        <v>90</v>
      </c>
      <c r="B146" s="58">
        <v>2023</v>
      </c>
      <c r="C146" s="58">
        <f t="shared" ref="C146:AK146" si="47" xml:space="preserve">C111*70%</f>
        <v>58.19761325</v>
      </c>
      <c r="D146" s="58">
        <f t="shared" si="47"/>
        <v>58.19761325</v>
      </c>
      <c r="E146" s="58">
        <f t="shared" si="47"/>
        <v>70.23849875</v>
      </c>
      <c r="F146" s="58">
        <f t="shared" si="47"/>
        <v>70.23849875</v>
      </c>
      <c r="G146" s="58">
        <f t="shared" si="47"/>
        <v>58.19761325</v>
      </c>
      <c r="H146" s="58">
        <f t="shared" si="47"/>
        <v>70.23849875</v>
      </c>
      <c r="I146" s="58">
        <f t="shared" si="47"/>
        <v>58.19761325</v>
      </c>
      <c r="J146" s="58">
        <f t="shared" si="47"/>
        <v>40.136285</v>
      </c>
      <c r="K146" s="58">
        <f t="shared" si="47"/>
        <v>58.19761325</v>
      </c>
      <c r="L146" s="58">
        <f t="shared" si="47"/>
        <v>58.19761325</v>
      </c>
      <c r="M146" s="58">
        <f t="shared" si="47"/>
        <v>70.23849875</v>
      </c>
      <c r="N146" s="58">
        <f t="shared" si="47"/>
        <v>70.23849875</v>
      </c>
      <c r="O146" s="58">
        <f t="shared" si="47"/>
        <v>58.19761325</v>
      </c>
      <c r="P146" s="58">
        <f t="shared" si="47"/>
        <v>58.19761325</v>
      </c>
      <c r="Q146" s="58">
        <f t="shared" si="47"/>
        <v>70.23849875</v>
      </c>
      <c r="R146" s="58">
        <f t="shared" si="47"/>
        <v>48.163542</v>
      </c>
      <c r="S146" s="58">
        <f t="shared" si="47"/>
        <v>70.23849875</v>
      </c>
      <c r="T146" s="58">
        <f t="shared" si="47"/>
        <v>70.23849875</v>
      </c>
      <c r="U146" s="58">
        <f t="shared" si="47"/>
        <v>48.163542</v>
      </c>
      <c r="V146" s="58">
        <f t="shared" si="47"/>
        <v>58.19761325</v>
      </c>
      <c r="W146" s="58">
        <f t="shared" si="47"/>
        <v>58.19761325</v>
      </c>
      <c r="X146" s="58">
        <f t="shared" si="47"/>
        <v>48.163542</v>
      </c>
      <c r="Y146" s="58">
        <f t="shared" si="47"/>
        <v>70.23849875</v>
      </c>
      <c r="Z146" s="58">
        <f t="shared" si="47"/>
        <v>58.19761325</v>
      </c>
      <c r="AA146" s="58">
        <f t="shared" si="47"/>
        <v>58.19761325</v>
      </c>
      <c r="AB146" s="58">
        <f t="shared" si="47"/>
        <v>58.19761325</v>
      </c>
      <c r="AC146" s="58">
        <f t="shared" si="47"/>
        <v>58.19761325</v>
      </c>
      <c r="AD146" s="58">
        <f t="shared" si="47"/>
        <v>58.19761325</v>
      </c>
      <c r="AE146" s="58">
        <f t="shared" si="47"/>
        <v>58.19761325</v>
      </c>
      <c r="AF146" s="58">
        <f t="shared" si="47"/>
        <v>70.23849875</v>
      </c>
      <c r="AG146" s="58">
        <f t="shared" si="47"/>
        <v>70.23849875</v>
      </c>
      <c r="AH146" s="58">
        <f t="shared" si="47"/>
        <v>58.19761325</v>
      </c>
      <c r="AI146" s="58">
        <f t="shared" si="47"/>
        <v>70.23849875</v>
      </c>
      <c r="AJ146" s="58">
        <f t="shared" si="47"/>
        <v>58.19761325</v>
      </c>
      <c r="AK146" s="58">
        <f t="shared" si="47"/>
        <v>58.19761325</v>
      </c>
      <c r="AP146" s="58" t="s">
        <v>91</v>
      </c>
      <c r="AQ146" s="58">
        <v>2023</v>
      </c>
      <c r="AR146" s="58">
        <f t="shared" ref="AR146:BZ146" si="48" xml:space="preserve">C111*30%</f>
        <v>24.94183425</v>
      </c>
      <c r="AS146" s="58">
        <f t="shared" si="48"/>
        <v>24.94183425</v>
      </c>
      <c r="AT146" s="58">
        <f t="shared" si="48"/>
        <v>30.10221375</v>
      </c>
      <c r="AU146" s="58">
        <f t="shared" si="48"/>
        <v>30.10221375</v>
      </c>
      <c r="AV146" s="58">
        <f t="shared" si="48"/>
        <v>24.94183425</v>
      </c>
      <c r="AW146" s="58">
        <f t="shared" si="48"/>
        <v>30.10221375</v>
      </c>
      <c r="AX146" s="58">
        <f t="shared" si="48"/>
        <v>24.94183425</v>
      </c>
      <c r="AY146" s="58">
        <f t="shared" si="48"/>
        <v>17.201265</v>
      </c>
      <c r="AZ146" s="58">
        <f t="shared" si="48"/>
        <v>24.94183425</v>
      </c>
      <c r="BA146" s="58">
        <f t="shared" si="48"/>
        <v>24.94183425</v>
      </c>
      <c r="BB146" s="58">
        <f t="shared" si="48"/>
        <v>30.10221375</v>
      </c>
      <c r="BC146" s="58">
        <f t="shared" si="48"/>
        <v>30.10221375</v>
      </c>
      <c r="BD146" s="58">
        <f t="shared" si="48"/>
        <v>24.94183425</v>
      </c>
      <c r="BE146" s="58">
        <f t="shared" si="48"/>
        <v>24.94183425</v>
      </c>
      <c r="BF146" s="58">
        <f t="shared" si="48"/>
        <v>30.10221375</v>
      </c>
      <c r="BG146" s="58">
        <f t="shared" si="48"/>
        <v>20.641518</v>
      </c>
      <c r="BH146" s="58">
        <f t="shared" si="48"/>
        <v>30.10221375</v>
      </c>
      <c r="BI146" s="58">
        <f t="shared" si="48"/>
        <v>30.10221375</v>
      </c>
      <c r="BJ146" s="58">
        <f t="shared" si="48"/>
        <v>20.641518</v>
      </c>
      <c r="BK146" s="58">
        <f t="shared" si="48"/>
        <v>24.94183425</v>
      </c>
      <c r="BL146" s="58">
        <f t="shared" si="48"/>
        <v>24.94183425</v>
      </c>
      <c r="BM146" s="58">
        <f t="shared" si="48"/>
        <v>20.641518</v>
      </c>
      <c r="BN146" s="58">
        <f t="shared" si="48"/>
        <v>30.10221375</v>
      </c>
      <c r="BO146" s="58">
        <f t="shared" si="48"/>
        <v>24.94183425</v>
      </c>
      <c r="BP146" s="58">
        <f t="shared" si="48"/>
        <v>24.94183425</v>
      </c>
      <c r="BQ146" s="58">
        <f t="shared" si="48"/>
        <v>24.94183425</v>
      </c>
      <c r="BR146" s="58">
        <f t="shared" si="48"/>
        <v>24.94183425</v>
      </c>
      <c r="BS146" s="58">
        <f t="shared" si="48"/>
        <v>24.94183425</v>
      </c>
      <c r="BT146" s="58">
        <f t="shared" si="48"/>
        <v>24.94183425</v>
      </c>
      <c r="BU146" s="58">
        <f t="shared" si="48"/>
        <v>30.10221375</v>
      </c>
      <c r="BV146" s="58">
        <f t="shared" si="48"/>
        <v>30.10221375</v>
      </c>
      <c r="BW146" s="58">
        <f t="shared" si="48"/>
        <v>24.94183425</v>
      </c>
      <c r="BX146" s="58">
        <f t="shared" si="48"/>
        <v>30.10221375</v>
      </c>
      <c r="BY146" s="58">
        <f t="shared" si="48"/>
        <v>24.94183425</v>
      </c>
      <c r="BZ146" s="58">
        <f t="shared" si="48"/>
        <v>24.94183425</v>
      </c>
    </row>
    <row r="147" spans="1:78">
      <c r="A147" s="58" t="s">
        <v>94</v>
      </c>
      <c r="B147" s="58">
        <v>2023</v>
      </c>
      <c r="C147" s="58">
        <f t="shared" ref="C147:AK147" si="49" xml:space="preserve">C112*70%</f>
        <v>60.8893222</v>
      </c>
      <c r="D147" s="58">
        <f t="shared" si="49"/>
        <v>60.8893222</v>
      </c>
      <c r="E147" s="58">
        <f t="shared" si="49"/>
        <v>73.487113</v>
      </c>
      <c r="F147" s="58">
        <f t="shared" si="49"/>
        <v>73.487113</v>
      </c>
      <c r="G147" s="58">
        <f t="shared" si="49"/>
        <v>60.8893222</v>
      </c>
      <c r="H147" s="58">
        <f t="shared" si="49"/>
        <v>73.487113</v>
      </c>
      <c r="I147" s="58">
        <f t="shared" si="49"/>
        <v>60.8893222</v>
      </c>
      <c r="J147" s="58">
        <f t="shared" si="49"/>
        <v>41.992636</v>
      </c>
      <c r="K147" s="58">
        <f t="shared" si="49"/>
        <v>60.8893222</v>
      </c>
      <c r="L147" s="58">
        <f t="shared" si="49"/>
        <v>60.8893222</v>
      </c>
      <c r="M147" s="58">
        <f t="shared" si="49"/>
        <v>73.487113</v>
      </c>
      <c r="N147" s="58">
        <f t="shared" si="49"/>
        <v>73.487113</v>
      </c>
      <c r="O147" s="58">
        <f t="shared" si="49"/>
        <v>60.8893222</v>
      </c>
      <c r="P147" s="58">
        <f t="shared" si="49"/>
        <v>60.8893222</v>
      </c>
      <c r="Q147" s="58">
        <f t="shared" si="49"/>
        <v>73.487113</v>
      </c>
      <c r="R147" s="58">
        <f t="shared" si="49"/>
        <v>50.3911632</v>
      </c>
      <c r="S147" s="58">
        <f t="shared" si="49"/>
        <v>73.487113</v>
      </c>
      <c r="T147" s="58">
        <f t="shared" si="49"/>
        <v>73.487113</v>
      </c>
      <c r="U147" s="58">
        <f t="shared" si="49"/>
        <v>50.3911632</v>
      </c>
      <c r="V147" s="58">
        <f t="shared" si="49"/>
        <v>60.8893222</v>
      </c>
      <c r="W147" s="58">
        <f t="shared" si="49"/>
        <v>60.8893222</v>
      </c>
      <c r="X147" s="58">
        <f t="shared" si="49"/>
        <v>50.3911632</v>
      </c>
      <c r="Y147" s="58">
        <f t="shared" si="49"/>
        <v>73.487113</v>
      </c>
      <c r="Z147" s="58">
        <f t="shared" si="49"/>
        <v>60.8893222</v>
      </c>
      <c r="AA147" s="58">
        <f t="shared" si="49"/>
        <v>60.8893222</v>
      </c>
      <c r="AB147" s="58">
        <f t="shared" si="49"/>
        <v>60.8893222</v>
      </c>
      <c r="AC147" s="58">
        <f t="shared" si="49"/>
        <v>60.8893222</v>
      </c>
      <c r="AD147" s="58">
        <f t="shared" si="49"/>
        <v>60.8893222</v>
      </c>
      <c r="AE147" s="58">
        <f t="shared" si="49"/>
        <v>60.8893222</v>
      </c>
      <c r="AF147" s="58">
        <f t="shared" si="49"/>
        <v>73.487113</v>
      </c>
      <c r="AG147" s="58">
        <f t="shared" si="49"/>
        <v>73.487113</v>
      </c>
      <c r="AH147" s="58">
        <f t="shared" si="49"/>
        <v>60.8893222</v>
      </c>
      <c r="AI147" s="58">
        <f t="shared" si="49"/>
        <v>73.487113</v>
      </c>
      <c r="AJ147" s="58">
        <f t="shared" si="49"/>
        <v>60.8893222</v>
      </c>
      <c r="AK147" s="58">
        <f t="shared" si="49"/>
        <v>60.8893222</v>
      </c>
      <c r="AP147" s="58" t="s">
        <v>95</v>
      </c>
      <c r="AQ147" s="58">
        <v>2023</v>
      </c>
      <c r="AR147" s="58">
        <f t="shared" ref="AR147:BZ147" si="50" xml:space="preserve">C112*30%</f>
        <v>26.0954238</v>
      </c>
      <c r="AS147" s="58">
        <f t="shared" si="50"/>
        <v>26.0954238</v>
      </c>
      <c r="AT147" s="58">
        <f t="shared" si="50"/>
        <v>31.494477</v>
      </c>
      <c r="AU147" s="58">
        <f t="shared" si="50"/>
        <v>31.494477</v>
      </c>
      <c r="AV147" s="58">
        <f t="shared" si="50"/>
        <v>26.0954238</v>
      </c>
      <c r="AW147" s="58">
        <f t="shared" si="50"/>
        <v>31.494477</v>
      </c>
      <c r="AX147" s="58">
        <f t="shared" si="50"/>
        <v>26.0954238</v>
      </c>
      <c r="AY147" s="58">
        <f t="shared" si="50"/>
        <v>17.996844</v>
      </c>
      <c r="AZ147" s="58">
        <f t="shared" si="50"/>
        <v>26.0954238</v>
      </c>
      <c r="BA147" s="58">
        <f t="shared" si="50"/>
        <v>26.0954238</v>
      </c>
      <c r="BB147" s="58">
        <f t="shared" si="50"/>
        <v>31.494477</v>
      </c>
      <c r="BC147" s="58">
        <f t="shared" si="50"/>
        <v>31.494477</v>
      </c>
      <c r="BD147" s="58">
        <f t="shared" si="50"/>
        <v>26.0954238</v>
      </c>
      <c r="BE147" s="58">
        <f t="shared" si="50"/>
        <v>26.0954238</v>
      </c>
      <c r="BF147" s="58">
        <f t="shared" si="50"/>
        <v>31.494477</v>
      </c>
      <c r="BG147" s="58">
        <f t="shared" si="50"/>
        <v>21.5962128</v>
      </c>
      <c r="BH147" s="58">
        <f t="shared" si="50"/>
        <v>31.494477</v>
      </c>
      <c r="BI147" s="58">
        <f t="shared" si="50"/>
        <v>31.494477</v>
      </c>
      <c r="BJ147" s="58">
        <f t="shared" si="50"/>
        <v>21.5962128</v>
      </c>
      <c r="BK147" s="58">
        <f t="shared" si="50"/>
        <v>26.0954238</v>
      </c>
      <c r="BL147" s="58">
        <f t="shared" si="50"/>
        <v>26.0954238</v>
      </c>
      <c r="BM147" s="58">
        <f t="shared" si="50"/>
        <v>21.5962128</v>
      </c>
      <c r="BN147" s="58">
        <f t="shared" si="50"/>
        <v>31.494477</v>
      </c>
      <c r="BO147" s="58">
        <f t="shared" si="50"/>
        <v>26.0954238</v>
      </c>
      <c r="BP147" s="58">
        <f t="shared" si="50"/>
        <v>26.0954238</v>
      </c>
      <c r="BQ147" s="58">
        <f t="shared" si="50"/>
        <v>26.0954238</v>
      </c>
      <c r="BR147" s="58">
        <f t="shared" si="50"/>
        <v>26.0954238</v>
      </c>
      <c r="BS147" s="58">
        <f t="shared" si="50"/>
        <v>26.0954238</v>
      </c>
      <c r="BT147" s="58">
        <f t="shared" si="50"/>
        <v>26.0954238</v>
      </c>
      <c r="BU147" s="58">
        <f t="shared" si="50"/>
        <v>31.494477</v>
      </c>
      <c r="BV147" s="58">
        <f t="shared" si="50"/>
        <v>31.494477</v>
      </c>
      <c r="BW147" s="58">
        <f t="shared" si="50"/>
        <v>26.0954238</v>
      </c>
      <c r="BX147" s="58">
        <f t="shared" si="50"/>
        <v>31.494477</v>
      </c>
      <c r="BY147" s="58">
        <f t="shared" si="50"/>
        <v>26.0954238</v>
      </c>
      <c r="BZ147" s="58">
        <f t="shared" si="50"/>
        <v>26.0954238</v>
      </c>
    </row>
    <row r="148" spans="1:78">
      <c r="A148" s="58" t="s">
        <v>97</v>
      </c>
      <c r="B148" s="58">
        <v>2023</v>
      </c>
      <c r="C148" s="58">
        <f t="shared" ref="C148:AK148" si="51" xml:space="preserve">C113*70%</f>
        <v>56.31903095</v>
      </c>
      <c r="D148" s="58">
        <f t="shared" si="51"/>
        <v>56.31903095</v>
      </c>
      <c r="E148" s="58">
        <f t="shared" si="51"/>
        <v>67.97124425</v>
      </c>
      <c r="F148" s="58">
        <f t="shared" si="51"/>
        <v>67.97124425</v>
      </c>
      <c r="G148" s="58">
        <f t="shared" si="51"/>
        <v>56.31903095</v>
      </c>
      <c r="H148" s="58">
        <f t="shared" si="51"/>
        <v>67.97124425</v>
      </c>
      <c r="I148" s="58">
        <f t="shared" si="51"/>
        <v>56.31903095</v>
      </c>
      <c r="J148" s="58">
        <f t="shared" si="51"/>
        <v>38.840711</v>
      </c>
      <c r="K148" s="58">
        <f t="shared" si="51"/>
        <v>56.31903095</v>
      </c>
      <c r="L148" s="58">
        <f t="shared" si="51"/>
        <v>56.31903095</v>
      </c>
      <c r="M148" s="58">
        <f t="shared" si="51"/>
        <v>67.97124425</v>
      </c>
      <c r="N148" s="58">
        <f t="shared" si="51"/>
        <v>67.97124425</v>
      </c>
      <c r="O148" s="58">
        <f t="shared" si="51"/>
        <v>56.31903095</v>
      </c>
      <c r="P148" s="58">
        <f t="shared" si="51"/>
        <v>56.31903095</v>
      </c>
      <c r="Q148" s="58">
        <f t="shared" si="51"/>
        <v>67.97124425</v>
      </c>
      <c r="R148" s="58">
        <f t="shared" si="51"/>
        <v>46.6088532</v>
      </c>
      <c r="S148" s="58">
        <f t="shared" si="51"/>
        <v>67.97124425</v>
      </c>
      <c r="T148" s="58">
        <f t="shared" si="51"/>
        <v>67.97124425</v>
      </c>
      <c r="U148" s="58">
        <f t="shared" si="51"/>
        <v>46.6088532</v>
      </c>
      <c r="V148" s="58">
        <f t="shared" si="51"/>
        <v>56.31903095</v>
      </c>
      <c r="W148" s="58">
        <f t="shared" si="51"/>
        <v>56.31903095</v>
      </c>
      <c r="X148" s="58">
        <f t="shared" si="51"/>
        <v>46.6088532</v>
      </c>
      <c r="Y148" s="58">
        <f t="shared" si="51"/>
        <v>67.97124425</v>
      </c>
      <c r="Z148" s="58">
        <f t="shared" si="51"/>
        <v>56.31903095</v>
      </c>
      <c r="AA148" s="58">
        <f t="shared" si="51"/>
        <v>56.31903095</v>
      </c>
      <c r="AB148" s="58">
        <f t="shared" si="51"/>
        <v>56.31903095</v>
      </c>
      <c r="AC148" s="58">
        <f t="shared" si="51"/>
        <v>56.31903095</v>
      </c>
      <c r="AD148" s="58">
        <f t="shared" si="51"/>
        <v>56.31903095</v>
      </c>
      <c r="AE148" s="58">
        <f t="shared" si="51"/>
        <v>56.31903095</v>
      </c>
      <c r="AF148" s="58">
        <f t="shared" si="51"/>
        <v>67.97124425</v>
      </c>
      <c r="AG148" s="58">
        <f t="shared" si="51"/>
        <v>67.97124425</v>
      </c>
      <c r="AH148" s="58">
        <f t="shared" si="51"/>
        <v>56.31903095</v>
      </c>
      <c r="AI148" s="58">
        <f t="shared" si="51"/>
        <v>67.97124425</v>
      </c>
      <c r="AJ148" s="58">
        <f t="shared" si="51"/>
        <v>56.31903095</v>
      </c>
      <c r="AK148" s="58">
        <f t="shared" si="51"/>
        <v>56.31903095</v>
      </c>
      <c r="AP148" s="58" t="s">
        <v>98</v>
      </c>
      <c r="AQ148" s="58">
        <v>2023</v>
      </c>
      <c r="AR148" s="58">
        <f t="shared" ref="AR148:BZ148" si="52" xml:space="preserve">C113*30%</f>
        <v>24.13672755</v>
      </c>
      <c r="AS148" s="58">
        <f t="shared" si="52"/>
        <v>24.13672755</v>
      </c>
      <c r="AT148" s="58">
        <f t="shared" si="52"/>
        <v>29.13053325</v>
      </c>
      <c r="AU148" s="58">
        <f t="shared" si="52"/>
        <v>29.13053325</v>
      </c>
      <c r="AV148" s="58">
        <f t="shared" si="52"/>
        <v>24.13672755</v>
      </c>
      <c r="AW148" s="58">
        <f t="shared" si="52"/>
        <v>29.13053325</v>
      </c>
      <c r="AX148" s="58">
        <f t="shared" si="52"/>
        <v>24.13672755</v>
      </c>
      <c r="AY148" s="58">
        <f t="shared" si="52"/>
        <v>16.646019</v>
      </c>
      <c r="AZ148" s="58">
        <f t="shared" si="52"/>
        <v>24.13672755</v>
      </c>
      <c r="BA148" s="58">
        <f t="shared" si="52"/>
        <v>24.13672755</v>
      </c>
      <c r="BB148" s="58">
        <f t="shared" si="52"/>
        <v>29.13053325</v>
      </c>
      <c r="BC148" s="58">
        <f t="shared" si="52"/>
        <v>29.13053325</v>
      </c>
      <c r="BD148" s="58">
        <f t="shared" si="52"/>
        <v>24.13672755</v>
      </c>
      <c r="BE148" s="58">
        <f t="shared" si="52"/>
        <v>24.13672755</v>
      </c>
      <c r="BF148" s="58">
        <f t="shared" si="52"/>
        <v>29.13053325</v>
      </c>
      <c r="BG148" s="58">
        <f t="shared" si="52"/>
        <v>19.9752228</v>
      </c>
      <c r="BH148" s="58">
        <f t="shared" si="52"/>
        <v>29.13053325</v>
      </c>
      <c r="BI148" s="58">
        <f t="shared" si="52"/>
        <v>29.13053325</v>
      </c>
      <c r="BJ148" s="58">
        <f t="shared" si="52"/>
        <v>19.9752228</v>
      </c>
      <c r="BK148" s="58">
        <f t="shared" si="52"/>
        <v>24.13672755</v>
      </c>
      <c r="BL148" s="58">
        <f t="shared" si="52"/>
        <v>24.13672755</v>
      </c>
      <c r="BM148" s="58">
        <f t="shared" si="52"/>
        <v>19.9752228</v>
      </c>
      <c r="BN148" s="58">
        <f t="shared" si="52"/>
        <v>29.13053325</v>
      </c>
      <c r="BO148" s="58">
        <f t="shared" si="52"/>
        <v>24.13672755</v>
      </c>
      <c r="BP148" s="58">
        <f t="shared" si="52"/>
        <v>24.13672755</v>
      </c>
      <c r="BQ148" s="58">
        <f t="shared" si="52"/>
        <v>24.13672755</v>
      </c>
      <c r="BR148" s="58">
        <f t="shared" si="52"/>
        <v>24.13672755</v>
      </c>
      <c r="BS148" s="58">
        <f t="shared" si="52"/>
        <v>24.13672755</v>
      </c>
      <c r="BT148" s="58">
        <f t="shared" si="52"/>
        <v>24.13672755</v>
      </c>
      <c r="BU148" s="58">
        <f t="shared" si="52"/>
        <v>29.13053325</v>
      </c>
      <c r="BV148" s="58">
        <f t="shared" si="52"/>
        <v>29.13053325</v>
      </c>
      <c r="BW148" s="58">
        <f t="shared" si="52"/>
        <v>24.13672755</v>
      </c>
      <c r="BX148" s="58">
        <f t="shared" si="52"/>
        <v>29.13053325</v>
      </c>
      <c r="BY148" s="58">
        <f t="shared" si="52"/>
        <v>24.13672755</v>
      </c>
      <c r="BZ148" s="58">
        <f t="shared" si="52"/>
        <v>24.13672755</v>
      </c>
    </row>
    <row r="152" spans="1:78">
      <c r="A152" s="58" t="s">
        <v>53</v>
      </c>
      <c r="B152" s="58"/>
      <c r="C152" s="58"/>
      <c r="D152" s="58"/>
      <c r="E152" s="58"/>
      <c r="AP152" s="58" t="s">
        <v>52</v>
      </c>
      <c r="AQ152" s="58"/>
      <c r="AR152" s="58"/>
      <c r="AS152" s="58"/>
      <c r="AT152" s="58"/>
    </row>
    <row r="153" spans="1:78">
      <c r="A153" s="58" t="s">
        <v>66</v>
      </c>
      <c r="B153" s="58" t="s">
        <v>41</v>
      </c>
      <c r="C153" s="166" t="s">
        <v>3</v>
      </c>
      <c r="D153" s="166" t="s">
        <v>5</v>
      </c>
      <c r="E153" s="166" t="s">
        <v>6</v>
      </c>
      <c r="F153" s="166" t="s">
        <v>7</v>
      </c>
      <c r="G153" s="166" t="s">
        <v>8</v>
      </c>
      <c r="H153" s="166" t="s">
        <v>9</v>
      </c>
      <c r="I153" s="166" t="s">
        <v>10</v>
      </c>
      <c r="J153" s="166" t="s">
        <v>11</v>
      </c>
      <c r="K153" s="166" t="s">
        <v>12</v>
      </c>
      <c r="L153" s="166" t="s">
        <v>13</v>
      </c>
      <c r="M153" s="166" t="s">
        <v>14</v>
      </c>
      <c r="N153" s="166" t="s">
        <v>15</v>
      </c>
      <c r="O153" s="166" t="s">
        <v>16</v>
      </c>
      <c r="P153" s="166" t="s">
        <v>17</v>
      </c>
      <c r="Q153" s="166" t="s">
        <v>18</v>
      </c>
      <c r="R153" s="166" t="s">
        <v>19</v>
      </c>
      <c r="S153" s="166" t="s">
        <v>20</v>
      </c>
      <c r="T153" s="166" t="s">
        <v>21</v>
      </c>
      <c r="U153" s="166" t="s">
        <v>22</v>
      </c>
      <c r="V153" s="166" t="s">
        <v>23</v>
      </c>
      <c r="W153" s="166" t="s">
        <v>24</v>
      </c>
      <c r="X153" s="166" t="s">
        <v>25</v>
      </c>
      <c r="Y153" s="166" t="s">
        <v>26</v>
      </c>
      <c r="Z153" s="166" t="s">
        <v>27</v>
      </c>
      <c r="AA153" s="166" t="s">
        <v>28</v>
      </c>
      <c r="AB153" s="166" t="s">
        <v>29</v>
      </c>
      <c r="AC153" s="166" t="s">
        <v>30</v>
      </c>
      <c r="AD153" s="166" t="s">
        <v>31</v>
      </c>
      <c r="AE153" s="166" t="s">
        <v>32</v>
      </c>
      <c r="AF153" s="166" t="s">
        <v>33</v>
      </c>
      <c r="AG153" s="166" t="s">
        <v>34</v>
      </c>
      <c r="AH153" s="166" t="s">
        <v>35</v>
      </c>
      <c r="AI153" s="166" t="s">
        <v>36</v>
      </c>
      <c r="AJ153" s="166" t="s">
        <v>37</v>
      </c>
      <c r="AK153" s="166" t="s">
        <v>38</v>
      </c>
      <c r="AP153" s="58" t="s">
        <v>66</v>
      </c>
      <c r="AQ153" s="58" t="s">
        <v>41</v>
      </c>
      <c r="AR153" s="166" t="s">
        <v>3</v>
      </c>
      <c r="AS153" s="166" t="s">
        <v>5</v>
      </c>
      <c r="AT153" s="166" t="s">
        <v>6</v>
      </c>
      <c r="AU153" s="166" t="s">
        <v>7</v>
      </c>
      <c r="AV153" s="166" t="s">
        <v>8</v>
      </c>
      <c r="AW153" s="166" t="s">
        <v>9</v>
      </c>
      <c r="AX153" s="166" t="s">
        <v>10</v>
      </c>
      <c r="AY153" s="166" t="s">
        <v>11</v>
      </c>
      <c r="AZ153" s="166" t="s">
        <v>12</v>
      </c>
      <c r="BA153" s="166" t="s">
        <v>13</v>
      </c>
      <c r="BB153" s="166" t="s">
        <v>14</v>
      </c>
      <c r="BC153" s="166" t="s">
        <v>15</v>
      </c>
      <c r="BD153" s="166" t="s">
        <v>16</v>
      </c>
      <c r="BE153" s="166" t="s">
        <v>17</v>
      </c>
      <c r="BF153" s="166" t="s">
        <v>18</v>
      </c>
      <c r="BG153" s="166" t="s">
        <v>19</v>
      </c>
      <c r="BH153" s="166" t="s">
        <v>20</v>
      </c>
      <c r="BI153" s="166" t="s">
        <v>21</v>
      </c>
      <c r="BJ153" s="166" t="s">
        <v>22</v>
      </c>
      <c r="BK153" s="166" t="s">
        <v>23</v>
      </c>
      <c r="BL153" s="166" t="s">
        <v>24</v>
      </c>
      <c r="BM153" s="166" t="s">
        <v>25</v>
      </c>
      <c r="BN153" s="166" t="s">
        <v>26</v>
      </c>
      <c r="BO153" s="166" t="s">
        <v>27</v>
      </c>
      <c r="BP153" s="166" t="s">
        <v>28</v>
      </c>
      <c r="BQ153" s="166" t="s">
        <v>29</v>
      </c>
      <c r="BR153" s="166" t="s">
        <v>30</v>
      </c>
      <c r="BS153" s="166" t="s">
        <v>31</v>
      </c>
      <c r="BT153" s="166" t="s">
        <v>32</v>
      </c>
      <c r="BU153" s="166" t="s">
        <v>33</v>
      </c>
      <c r="BV153" s="166" t="s">
        <v>34</v>
      </c>
      <c r="BW153" s="166" t="s">
        <v>35</v>
      </c>
      <c r="BX153" s="166" t="s">
        <v>36</v>
      </c>
      <c r="BY153" s="166" t="s">
        <v>37</v>
      </c>
      <c r="BZ153" s="166" t="s">
        <v>38</v>
      </c>
    </row>
    <row r="154" spans="1:78">
      <c r="A154" s="58" t="s">
        <v>68</v>
      </c>
      <c r="B154" s="58">
        <v>2050</v>
      </c>
      <c r="C154" s="58">
        <f t="shared" ref="C154:AK154" si="53" xml:space="preserve">C116*70%</f>
        <v>28.4060931932926</v>
      </c>
      <c r="D154" s="58">
        <f t="shared" si="53"/>
        <v>28.4060931932926</v>
      </c>
      <c r="E154" s="58">
        <f t="shared" si="53"/>
        <v>32.4952918551412</v>
      </c>
      <c r="F154" s="58">
        <f t="shared" si="53"/>
        <v>32.4952918551412</v>
      </c>
      <c r="G154" s="58">
        <f t="shared" si="53"/>
        <v>28.4060931932926</v>
      </c>
      <c r="H154" s="58">
        <f t="shared" si="53"/>
        <v>32.4952918551412</v>
      </c>
      <c r="I154" s="58">
        <f t="shared" si="53"/>
        <v>28.4060931932926</v>
      </c>
      <c r="J154" s="58">
        <f t="shared" si="53"/>
        <v>24.073138181869</v>
      </c>
      <c r="K154" s="58">
        <f t="shared" si="53"/>
        <v>28.4060931932926</v>
      </c>
      <c r="L154" s="58">
        <f t="shared" si="53"/>
        <v>28.4060931932926</v>
      </c>
      <c r="M154" s="58">
        <f t="shared" si="53"/>
        <v>32.4952918551412</v>
      </c>
      <c r="N154" s="58">
        <f t="shared" si="53"/>
        <v>32.4952918551412</v>
      </c>
      <c r="O154" s="58">
        <f t="shared" si="53"/>
        <v>28.4060931932926</v>
      </c>
      <c r="P154" s="58">
        <f t="shared" si="53"/>
        <v>28.4060931932926</v>
      </c>
      <c r="Q154" s="58">
        <f t="shared" si="53"/>
        <v>32.4952918551412</v>
      </c>
      <c r="R154" s="58">
        <f t="shared" si="53"/>
        <v>26.4804520000559</v>
      </c>
      <c r="S154" s="58">
        <f t="shared" si="53"/>
        <v>32.4952918551412</v>
      </c>
      <c r="T154" s="58">
        <f t="shared" si="53"/>
        <v>32.4952918551412</v>
      </c>
      <c r="U154" s="58">
        <f t="shared" si="53"/>
        <v>26.4804520000559</v>
      </c>
      <c r="V154" s="58">
        <f t="shared" si="53"/>
        <v>28.4060931932926</v>
      </c>
      <c r="W154" s="58">
        <f t="shared" si="53"/>
        <v>28.4060931932926</v>
      </c>
      <c r="X154" s="58">
        <f t="shared" si="53"/>
        <v>26.4804520000559</v>
      </c>
      <c r="Y154" s="58">
        <f t="shared" si="53"/>
        <v>32.4952918551412</v>
      </c>
      <c r="Z154" s="58">
        <f t="shared" si="53"/>
        <v>28.4060931932926</v>
      </c>
      <c r="AA154" s="58">
        <f t="shared" si="53"/>
        <v>28.4060931932926</v>
      </c>
      <c r="AB154" s="58">
        <f t="shared" si="53"/>
        <v>28.4060931932926</v>
      </c>
      <c r="AC154" s="58">
        <f t="shared" si="53"/>
        <v>28.4060931932926</v>
      </c>
      <c r="AD154" s="58">
        <f t="shared" si="53"/>
        <v>28.4060931932926</v>
      </c>
      <c r="AE154" s="58">
        <f t="shared" si="53"/>
        <v>28.4060931932926</v>
      </c>
      <c r="AF154" s="58">
        <f t="shared" si="53"/>
        <v>32.4952918551412</v>
      </c>
      <c r="AG154" s="58">
        <f t="shared" si="53"/>
        <v>32.4952918551412</v>
      </c>
      <c r="AH154" s="58">
        <f t="shared" si="53"/>
        <v>28.4060931932926</v>
      </c>
      <c r="AI154" s="58">
        <f t="shared" si="53"/>
        <v>32.4952918551412</v>
      </c>
      <c r="AJ154" s="58">
        <f t="shared" si="53"/>
        <v>28.4060931932926</v>
      </c>
      <c r="AK154" s="58">
        <f t="shared" si="53"/>
        <v>28.4060931932926</v>
      </c>
      <c r="AP154" s="58" t="s">
        <v>69</v>
      </c>
      <c r="AQ154" s="58">
        <v>2050</v>
      </c>
      <c r="AR154" s="58">
        <f t="shared" ref="AR154:BZ154" si="54" xml:space="preserve">C116*30%</f>
        <v>12.1740399399826</v>
      </c>
      <c r="AS154" s="58">
        <f t="shared" si="54"/>
        <v>12.1740399399826</v>
      </c>
      <c r="AT154" s="58">
        <f t="shared" si="54"/>
        <v>13.9265536522034</v>
      </c>
      <c r="AU154" s="58">
        <f t="shared" si="54"/>
        <v>13.9265536522034</v>
      </c>
      <c r="AV154" s="58">
        <f t="shared" si="54"/>
        <v>12.1740399399826</v>
      </c>
      <c r="AW154" s="58">
        <f t="shared" si="54"/>
        <v>13.9265536522034</v>
      </c>
      <c r="AX154" s="58">
        <f t="shared" si="54"/>
        <v>12.1740399399826</v>
      </c>
      <c r="AY154" s="58">
        <f t="shared" si="54"/>
        <v>10.317059220801</v>
      </c>
      <c r="AZ154" s="58">
        <f t="shared" si="54"/>
        <v>12.1740399399826</v>
      </c>
      <c r="BA154" s="58">
        <f t="shared" si="54"/>
        <v>12.1740399399826</v>
      </c>
      <c r="BB154" s="58">
        <f t="shared" si="54"/>
        <v>13.9265536522034</v>
      </c>
      <c r="BC154" s="58">
        <f t="shared" si="54"/>
        <v>13.9265536522034</v>
      </c>
      <c r="BD154" s="58">
        <f t="shared" si="54"/>
        <v>12.1740399399826</v>
      </c>
      <c r="BE154" s="58">
        <f t="shared" si="54"/>
        <v>12.1740399399826</v>
      </c>
      <c r="BF154" s="58">
        <f t="shared" si="54"/>
        <v>13.9265536522034</v>
      </c>
      <c r="BG154" s="58">
        <f t="shared" si="54"/>
        <v>11.3487651428811</v>
      </c>
      <c r="BH154" s="58">
        <f t="shared" si="54"/>
        <v>13.9265536522034</v>
      </c>
      <c r="BI154" s="58">
        <f t="shared" si="54"/>
        <v>13.9265536522034</v>
      </c>
      <c r="BJ154" s="58">
        <f t="shared" si="54"/>
        <v>11.3487651428811</v>
      </c>
      <c r="BK154" s="58">
        <f t="shared" si="54"/>
        <v>12.1740399399826</v>
      </c>
      <c r="BL154" s="58">
        <f t="shared" si="54"/>
        <v>12.1740399399826</v>
      </c>
      <c r="BM154" s="58">
        <f t="shared" si="54"/>
        <v>11.3487651428811</v>
      </c>
      <c r="BN154" s="58">
        <f t="shared" si="54"/>
        <v>13.9265536522034</v>
      </c>
      <c r="BO154" s="58">
        <f t="shared" si="54"/>
        <v>12.1740399399826</v>
      </c>
      <c r="BP154" s="58">
        <f t="shared" si="54"/>
        <v>12.1740399399826</v>
      </c>
      <c r="BQ154" s="58">
        <f t="shared" si="54"/>
        <v>12.1740399399826</v>
      </c>
      <c r="BR154" s="58">
        <f t="shared" si="54"/>
        <v>12.1740399399826</v>
      </c>
      <c r="BS154" s="58">
        <f t="shared" si="54"/>
        <v>12.1740399399826</v>
      </c>
      <c r="BT154" s="58">
        <f t="shared" si="54"/>
        <v>12.1740399399826</v>
      </c>
      <c r="BU154" s="58">
        <f t="shared" si="54"/>
        <v>13.9265536522034</v>
      </c>
      <c r="BV154" s="58">
        <f t="shared" si="54"/>
        <v>13.9265536522034</v>
      </c>
      <c r="BW154" s="58">
        <f t="shared" si="54"/>
        <v>12.1740399399826</v>
      </c>
      <c r="BX154" s="58">
        <f t="shared" si="54"/>
        <v>13.9265536522034</v>
      </c>
      <c r="BY154" s="58">
        <f t="shared" si="54"/>
        <v>12.1740399399826</v>
      </c>
      <c r="BZ154" s="58">
        <f t="shared" si="54"/>
        <v>12.1740399399826</v>
      </c>
    </row>
    <row r="155" spans="1:78">
      <c r="A155" s="58" t="s">
        <v>73</v>
      </c>
      <c r="B155" s="58">
        <v>2050</v>
      </c>
      <c r="C155" s="58">
        <f t="shared" ref="C155:AK155" si="55" xml:space="preserve">C117*70%</f>
        <v>33.9550122165374</v>
      </c>
      <c r="D155" s="58">
        <f t="shared" si="55"/>
        <v>33.9550122165374</v>
      </c>
      <c r="E155" s="58">
        <f t="shared" si="55"/>
        <v>38.843005421872</v>
      </c>
      <c r="F155" s="58">
        <f t="shared" si="55"/>
        <v>38.843005421872</v>
      </c>
      <c r="G155" s="58">
        <f t="shared" si="55"/>
        <v>33.9550122165374</v>
      </c>
      <c r="H155" s="58">
        <f t="shared" si="55"/>
        <v>38.843005421872</v>
      </c>
      <c r="I155" s="58">
        <f t="shared" si="55"/>
        <v>33.9550122165374</v>
      </c>
      <c r="J155" s="58">
        <f t="shared" si="55"/>
        <v>28.7756466717768</v>
      </c>
      <c r="K155" s="58">
        <f t="shared" si="55"/>
        <v>33.9550122165374</v>
      </c>
      <c r="L155" s="58">
        <f t="shared" si="55"/>
        <v>33.9550122165374</v>
      </c>
      <c r="M155" s="58">
        <f t="shared" si="55"/>
        <v>38.843005421872</v>
      </c>
      <c r="N155" s="58">
        <f t="shared" si="55"/>
        <v>38.843005421872</v>
      </c>
      <c r="O155" s="58">
        <f t="shared" si="55"/>
        <v>33.9550122165374</v>
      </c>
      <c r="P155" s="58">
        <f t="shared" si="55"/>
        <v>33.9550122165374</v>
      </c>
      <c r="Q155" s="58">
        <f t="shared" si="55"/>
        <v>38.843005421872</v>
      </c>
      <c r="R155" s="58">
        <f t="shared" si="55"/>
        <v>31.6532113389545</v>
      </c>
      <c r="S155" s="58">
        <f t="shared" si="55"/>
        <v>38.843005421872</v>
      </c>
      <c r="T155" s="58">
        <f t="shared" si="55"/>
        <v>38.843005421872</v>
      </c>
      <c r="U155" s="58">
        <f t="shared" si="55"/>
        <v>31.6532113389545</v>
      </c>
      <c r="V155" s="58">
        <f t="shared" si="55"/>
        <v>33.9550122165374</v>
      </c>
      <c r="W155" s="58">
        <f t="shared" si="55"/>
        <v>33.9550122165374</v>
      </c>
      <c r="X155" s="58">
        <f t="shared" si="55"/>
        <v>31.6532113389545</v>
      </c>
      <c r="Y155" s="58">
        <f t="shared" si="55"/>
        <v>38.843005421872</v>
      </c>
      <c r="Z155" s="58">
        <f t="shared" si="55"/>
        <v>33.9550122165374</v>
      </c>
      <c r="AA155" s="58">
        <f t="shared" si="55"/>
        <v>33.9550122165374</v>
      </c>
      <c r="AB155" s="58">
        <f t="shared" si="55"/>
        <v>33.9550122165374</v>
      </c>
      <c r="AC155" s="58">
        <f t="shared" si="55"/>
        <v>33.9550122165374</v>
      </c>
      <c r="AD155" s="58">
        <f t="shared" si="55"/>
        <v>33.9550122165374</v>
      </c>
      <c r="AE155" s="58">
        <f t="shared" si="55"/>
        <v>33.9550122165374</v>
      </c>
      <c r="AF155" s="58">
        <f t="shared" si="55"/>
        <v>38.843005421872</v>
      </c>
      <c r="AG155" s="58">
        <f t="shared" si="55"/>
        <v>38.843005421872</v>
      </c>
      <c r="AH155" s="58">
        <f t="shared" si="55"/>
        <v>33.9550122165374</v>
      </c>
      <c r="AI155" s="58">
        <f t="shared" si="55"/>
        <v>38.843005421872</v>
      </c>
      <c r="AJ155" s="58">
        <f t="shared" si="55"/>
        <v>33.9550122165374</v>
      </c>
      <c r="AK155" s="58">
        <f t="shared" si="55"/>
        <v>33.9550122165374</v>
      </c>
      <c r="AP155" s="58" t="s">
        <v>74</v>
      </c>
      <c r="AQ155" s="58">
        <v>2050</v>
      </c>
      <c r="AR155" s="58">
        <f t="shared" ref="AR155:BZ155" si="56" xml:space="preserve">C117*30%</f>
        <v>14.5521480928017</v>
      </c>
      <c r="AS155" s="58">
        <f t="shared" si="56"/>
        <v>14.5521480928017</v>
      </c>
      <c r="AT155" s="58">
        <f t="shared" si="56"/>
        <v>16.6470023236594</v>
      </c>
      <c r="AU155" s="58">
        <f t="shared" si="56"/>
        <v>16.6470023236594</v>
      </c>
      <c r="AV155" s="58">
        <f t="shared" si="56"/>
        <v>14.5521480928017</v>
      </c>
      <c r="AW155" s="58">
        <f t="shared" si="56"/>
        <v>16.6470023236594</v>
      </c>
      <c r="AX155" s="58">
        <f t="shared" si="56"/>
        <v>14.5521480928017</v>
      </c>
      <c r="AY155" s="58">
        <f t="shared" si="56"/>
        <v>12.3324200021901</v>
      </c>
      <c r="AZ155" s="58">
        <f t="shared" si="56"/>
        <v>14.5521480928017</v>
      </c>
      <c r="BA155" s="58">
        <f t="shared" si="56"/>
        <v>14.5521480928017</v>
      </c>
      <c r="BB155" s="58">
        <f t="shared" si="56"/>
        <v>16.6470023236594</v>
      </c>
      <c r="BC155" s="58">
        <f t="shared" si="56"/>
        <v>16.6470023236594</v>
      </c>
      <c r="BD155" s="58">
        <f t="shared" si="56"/>
        <v>14.5521480928017</v>
      </c>
      <c r="BE155" s="58">
        <f t="shared" si="56"/>
        <v>14.5521480928017</v>
      </c>
      <c r="BF155" s="58">
        <f t="shared" si="56"/>
        <v>16.6470023236594</v>
      </c>
      <c r="BG155" s="58">
        <f t="shared" si="56"/>
        <v>13.5656620024091</v>
      </c>
      <c r="BH155" s="58">
        <f t="shared" si="56"/>
        <v>16.6470023236594</v>
      </c>
      <c r="BI155" s="58">
        <f t="shared" si="56"/>
        <v>16.6470023236594</v>
      </c>
      <c r="BJ155" s="58">
        <f t="shared" si="56"/>
        <v>13.5656620024091</v>
      </c>
      <c r="BK155" s="58">
        <f t="shared" si="56"/>
        <v>14.5521480928017</v>
      </c>
      <c r="BL155" s="58">
        <f t="shared" si="56"/>
        <v>14.5521480928017</v>
      </c>
      <c r="BM155" s="58">
        <f t="shared" si="56"/>
        <v>13.5656620024091</v>
      </c>
      <c r="BN155" s="58">
        <f t="shared" si="56"/>
        <v>16.6470023236594</v>
      </c>
      <c r="BO155" s="58">
        <f t="shared" si="56"/>
        <v>14.5521480928017</v>
      </c>
      <c r="BP155" s="58">
        <f t="shared" si="56"/>
        <v>14.5521480928017</v>
      </c>
      <c r="BQ155" s="58">
        <f t="shared" si="56"/>
        <v>14.5521480928017</v>
      </c>
      <c r="BR155" s="58">
        <f t="shared" si="56"/>
        <v>14.5521480928017</v>
      </c>
      <c r="BS155" s="58">
        <f t="shared" si="56"/>
        <v>14.5521480928017</v>
      </c>
      <c r="BT155" s="58">
        <f t="shared" si="56"/>
        <v>14.5521480928017</v>
      </c>
      <c r="BU155" s="58">
        <f t="shared" si="56"/>
        <v>16.6470023236594</v>
      </c>
      <c r="BV155" s="58">
        <f t="shared" si="56"/>
        <v>16.6470023236594</v>
      </c>
      <c r="BW155" s="58">
        <f t="shared" si="56"/>
        <v>14.5521480928017</v>
      </c>
      <c r="BX155" s="58">
        <f t="shared" si="56"/>
        <v>16.6470023236594</v>
      </c>
      <c r="BY155" s="58">
        <f t="shared" si="56"/>
        <v>14.5521480928017</v>
      </c>
      <c r="BZ155" s="58">
        <f t="shared" si="56"/>
        <v>14.5521480928017</v>
      </c>
    </row>
    <row r="156" spans="1:78">
      <c r="A156" s="58" t="s">
        <v>77</v>
      </c>
      <c r="B156" s="58">
        <v>2050</v>
      </c>
      <c r="C156" s="58">
        <f t="shared" ref="C156:AK156" si="57" xml:space="preserve">C118*70%</f>
        <v>28.7208055890248</v>
      </c>
      <c r="D156" s="58">
        <f t="shared" si="57"/>
        <v>28.7208055890248</v>
      </c>
      <c r="E156" s="58">
        <f t="shared" si="57"/>
        <v>32.8553086684411</v>
      </c>
      <c r="F156" s="58">
        <f t="shared" si="57"/>
        <v>32.8553086684411</v>
      </c>
      <c r="G156" s="58">
        <f t="shared" si="57"/>
        <v>28.7208055890248</v>
      </c>
      <c r="H156" s="58">
        <f t="shared" si="57"/>
        <v>32.8553086684411</v>
      </c>
      <c r="I156" s="58">
        <f t="shared" si="57"/>
        <v>28.7208055890248</v>
      </c>
      <c r="J156" s="58">
        <f t="shared" si="57"/>
        <v>24.3398455723734</v>
      </c>
      <c r="K156" s="58">
        <f t="shared" si="57"/>
        <v>28.7208055890248</v>
      </c>
      <c r="L156" s="58">
        <f t="shared" si="57"/>
        <v>28.7208055890248</v>
      </c>
      <c r="M156" s="58">
        <f t="shared" si="57"/>
        <v>32.8553086684411</v>
      </c>
      <c r="N156" s="58">
        <f t="shared" si="57"/>
        <v>32.8553086684411</v>
      </c>
      <c r="O156" s="58">
        <f t="shared" si="57"/>
        <v>28.7208055890248</v>
      </c>
      <c r="P156" s="58">
        <f t="shared" si="57"/>
        <v>28.7208055890248</v>
      </c>
      <c r="Q156" s="58">
        <f t="shared" si="57"/>
        <v>32.8553086684411</v>
      </c>
      <c r="R156" s="58">
        <f t="shared" si="57"/>
        <v>26.7738301296108</v>
      </c>
      <c r="S156" s="58">
        <f t="shared" si="57"/>
        <v>32.8553086684411</v>
      </c>
      <c r="T156" s="58">
        <f t="shared" si="57"/>
        <v>32.8553086684411</v>
      </c>
      <c r="U156" s="58">
        <f t="shared" si="57"/>
        <v>26.7738301296108</v>
      </c>
      <c r="V156" s="58">
        <f t="shared" si="57"/>
        <v>28.7208055890248</v>
      </c>
      <c r="W156" s="58">
        <f t="shared" si="57"/>
        <v>28.7208055890248</v>
      </c>
      <c r="X156" s="58">
        <f t="shared" si="57"/>
        <v>26.7738301296108</v>
      </c>
      <c r="Y156" s="58">
        <f t="shared" si="57"/>
        <v>32.8553086684411</v>
      </c>
      <c r="Z156" s="58">
        <f t="shared" si="57"/>
        <v>28.7208055890248</v>
      </c>
      <c r="AA156" s="58">
        <f t="shared" si="57"/>
        <v>28.7208055890248</v>
      </c>
      <c r="AB156" s="58">
        <f t="shared" si="57"/>
        <v>28.7208055890248</v>
      </c>
      <c r="AC156" s="58">
        <f t="shared" si="57"/>
        <v>28.7208055890248</v>
      </c>
      <c r="AD156" s="58">
        <f t="shared" si="57"/>
        <v>28.7208055890248</v>
      </c>
      <c r="AE156" s="58">
        <f t="shared" si="57"/>
        <v>28.7208055890248</v>
      </c>
      <c r="AF156" s="58">
        <f t="shared" si="57"/>
        <v>32.8553086684411</v>
      </c>
      <c r="AG156" s="58">
        <f t="shared" si="57"/>
        <v>32.8553086684411</v>
      </c>
      <c r="AH156" s="58">
        <f t="shared" si="57"/>
        <v>28.7208055890248</v>
      </c>
      <c r="AI156" s="58">
        <f t="shared" si="57"/>
        <v>32.8553086684411</v>
      </c>
      <c r="AJ156" s="58">
        <f t="shared" si="57"/>
        <v>28.7208055890248</v>
      </c>
      <c r="AK156" s="58">
        <f t="shared" si="57"/>
        <v>28.7208055890248</v>
      </c>
      <c r="AP156" s="58" t="s">
        <v>78</v>
      </c>
      <c r="AQ156" s="58">
        <v>2050</v>
      </c>
      <c r="AR156" s="58">
        <f t="shared" ref="AR156:BZ156" si="58" xml:space="preserve">C118*30%</f>
        <v>12.3089166810106</v>
      </c>
      <c r="AS156" s="58">
        <f t="shared" si="58"/>
        <v>12.3089166810106</v>
      </c>
      <c r="AT156" s="58">
        <f t="shared" si="58"/>
        <v>14.080846572189</v>
      </c>
      <c r="AU156" s="58">
        <f t="shared" si="58"/>
        <v>14.080846572189</v>
      </c>
      <c r="AV156" s="58">
        <f t="shared" si="58"/>
        <v>12.3089166810106</v>
      </c>
      <c r="AW156" s="58">
        <f t="shared" si="58"/>
        <v>14.080846572189</v>
      </c>
      <c r="AX156" s="58">
        <f t="shared" si="58"/>
        <v>12.3089166810106</v>
      </c>
      <c r="AY156" s="58">
        <f t="shared" si="58"/>
        <v>10.43136238816</v>
      </c>
      <c r="AZ156" s="58">
        <f t="shared" si="58"/>
        <v>12.3089166810106</v>
      </c>
      <c r="BA156" s="58">
        <f t="shared" si="58"/>
        <v>12.3089166810106</v>
      </c>
      <c r="BB156" s="58">
        <f t="shared" si="58"/>
        <v>14.080846572189</v>
      </c>
      <c r="BC156" s="58">
        <f t="shared" si="58"/>
        <v>14.080846572189</v>
      </c>
      <c r="BD156" s="58">
        <f t="shared" si="58"/>
        <v>12.3089166810106</v>
      </c>
      <c r="BE156" s="58">
        <f t="shared" si="58"/>
        <v>12.3089166810106</v>
      </c>
      <c r="BF156" s="58">
        <f t="shared" si="58"/>
        <v>14.080846572189</v>
      </c>
      <c r="BG156" s="58">
        <f t="shared" si="58"/>
        <v>11.474498626976</v>
      </c>
      <c r="BH156" s="58">
        <f t="shared" si="58"/>
        <v>14.080846572189</v>
      </c>
      <c r="BI156" s="58">
        <f t="shared" si="58"/>
        <v>14.080846572189</v>
      </c>
      <c r="BJ156" s="58">
        <f t="shared" si="58"/>
        <v>11.474498626976</v>
      </c>
      <c r="BK156" s="58">
        <f t="shared" si="58"/>
        <v>12.3089166810106</v>
      </c>
      <c r="BL156" s="58">
        <f t="shared" si="58"/>
        <v>12.3089166810106</v>
      </c>
      <c r="BM156" s="58">
        <f t="shared" si="58"/>
        <v>11.474498626976</v>
      </c>
      <c r="BN156" s="58">
        <f t="shared" si="58"/>
        <v>14.080846572189</v>
      </c>
      <c r="BO156" s="58">
        <f t="shared" si="58"/>
        <v>12.3089166810106</v>
      </c>
      <c r="BP156" s="58">
        <f t="shared" si="58"/>
        <v>12.3089166810106</v>
      </c>
      <c r="BQ156" s="58">
        <f t="shared" si="58"/>
        <v>12.3089166810106</v>
      </c>
      <c r="BR156" s="58">
        <f t="shared" si="58"/>
        <v>12.3089166810106</v>
      </c>
      <c r="BS156" s="58">
        <f t="shared" si="58"/>
        <v>12.3089166810106</v>
      </c>
      <c r="BT156" s="58">
        <f t="shared" si="58"/>
        <v>12.3089166810106</v>
      </c>
      <c r="BU156" s="58">
        <f t="shared" si="58"/>
        <v>14.080846572189</v>
      </c>
      <c r="BV156" s="58">
        <f t="shared" si="58"/>
        <v>14.080846572189</v>
      </c>
      <c r="BW156" s="58">
        <f t="shared" si="58"/>
        <v>12.3089166810106</v>
      </c>
      <c r="BX156" s="58">
        <f t="shared" si="58"/>
        <v>14.080846572189</v>
      </c>
      <c r="BY156" s="58">
        <f t="shared" si="58"/>
        <v>12.3089166810106</v>
      </c>
      <c r="BZ156" s="58">
        <f t="shared" si="58"/>
        <v>12.3089166810106</v>
      </c>
    </row>
    <row r="157" spans="1:78">
      <c r="A157" s="58" t="s">
        <v>81</v>
      </c>
      <c r="B157" s="58">
        <v>2050</v>
      </c>
      <c r="C157" s="58">
        <f t="shared" ref="C157:AK157" si="59" xml:space="preserve">C119*70%</f>
        <v>28.4433524706479</v>
      </c>
      <c r="D157" s="58">
        <f t="shared" si="59"/>
        <v>28.4433524706479</v>
      </c>
      <c r="E157" s="58">
        <f t="shared" si="59"/>
        <v>32.5379147911336</v>
      </c>
      <c r="F157" s="58">
        <f t="shared" si="59"/>
        <v>32.5379147911336</v>
      </c>
      <c r="G157" s="58">
        <f t="shared" si="59"/>
        <v>28.4433524706479</v>
      </c>
      <c r="H157" s="58">
        <f t="shared" si="59"/>
        <v>32.5379147911336</v>
      </c>
      <c r="I157" s="58">
        <f t="shared" si="59"/>
        <v>28.4433524706479</v>
      </c>
      <c r="J157" s="58">
        <f t="shared" si="59"/>
        <v>24.1047140739224</v>
      </c>
      <c r="K157" s="58">
        <f t="shared" si="59"/>
        <v>28.4433524706479</v>
      </c>
      <c r="L157" s="58">
        <f t="shared" si="59"/>
        <v>28.4433524706479</v>
      </c>
      <c r="M157" s="58">
        <f t="shared" si="59"/>
        <v>32.5379147911336</v>
      </c>
      <c r="N157" s="58">
        <f t="shared" si="59"/>
        <v>32.5379147911336</v>
      </c>
      <c r="O157" s="58">
        <f t="shared" si="59"/>
        <v>28.4433524706479</v>
      </c>
      <c r="P157" s="58">
        <f t="shared" si="59"/>
        <v>28.4433524706479</v>
      </c>
      <c r="Q157" s="58">
        <f t="shared" si="59"/>
        <v>32.5379147911336</v>
      </c>
      <c r="R157" s="58">
        <f t="shared" si="59"/>
        <v>26.5151854813147</v>
      </c>
      <c r="S157" s="58">
        <f t="shared" si="59"/>
        <v>32.5379147911336</v>
      </c>
      <c r="T157" s="58">
        <f t="shared" si="59"/>
        <v>32.5379147911336</v>
      </c>
      <c r="U157" s="58">
        <f t="shared" si="59"/>
        <v>26.5151854813147</v>
      </c>
      <c r="V157" s="58">
        <f t="shared" si="59"/>
        <v>28.4433524706479</v>
      </c>
      <c r="W157" s="58">
        <f t="shared" si="59"/>
        <v>28.4433524706479</v>
      </c>
      <c r="X157" s="58">
        <f t="shared" si="59"/>
        <v>26.5151854813147</v>
      </c>
      <c r="Y157" s="58">
        <f t="shared" si="59"/>
        <v>32.5379147911336</v>
      </c>
      <c r="Z157" s="58">
        <f t="shared" si="59"/>
        <v>28.4433524706479</v>
      </c>
      <c r="AA157" s="58">
        <f t="shared" si="59"/>
        <v>28.4433524706479</v>
      </c>
      <c r="AB157" s="58">
        <f t="shared" si="59"/>
        <v>28.4433524706479</v>
      </c>
      <c r="AC157" s="58">
        <f t="shared" si="59"/>
        <v>28.4433524706479</v>
      </c>
      <c r="AD157" s="58">
        <f t="shared" si="59"/>
        <v>28.4433524706479</v>
      </c>
      <c r="AE157" s="58">
        <f t="shared" si="59"/>
        <v>28.4433524706479</v>
      </c>
      <c r="AF157" s="58">
        <f t="shared" si="59"/>
        <v>32.5379147911336</v>
      </c>
      <c r="AG157" s="58">
        <f t="shared" si="59"/>
        <v>32.5379147911336</v>
      </c>
      <c r="AH157" s="58">
        <f t="shared" si="59"/>
        <v>28.4433524706479</v>
      </c>
      <c r="AI157" s="58">
        <f t="shared" si="59"/>
        <v>32.5379147911336</v>
      </c>
      <c r="AJ157" s="58">
        <f t="shared" si="59"/>
        <v>28.4433524706479</v>
      </c>
      <c r="AK157" s="58">
        <f t="shared" si="59"/>
        <v>28.4433524706479</v>
      </c>
      <c r="AP157" s="58" t="s">
        <v>82</v>
      </c>
      <c r="AQ157" s="58">
        <v>2050</v>
      </c>
      <c r="AR157" s="58">
        <f t="shared" ref="AR157:BZ157" si="60" xml:space="preserve">C119*30%</f>
        <v>12.1900082017063</v>
      </c>
      <c r="AS157" s="58">
        <f t="shared" si="60"/>
        <v>12.1900082017063</v>
      </c>
      <c r="AT157" s="58">
        <f t="shared" si="60"/>
        <v>13.9448206247715</v>
      </c>
      <c r="AU157" s="58">
        <f t="shared" si="60"/>
        <v>13.9448206247715</v>
      </c>
      <c r="AV157" s="58">
        <f t="shared" si="60"/>
        <v>12.1900082017063</v>
      </c>
      <c r="AW157" s="58">
        <f t="shared" si="60"/>
        <v>13.9448206247715</v>
      </c>
      <c r="AX157" s="58">
        <f t="shared" si="60"/>
        <v>12.1900082017063</v>
      </c>
      <c r="AY157" s="58">
        <f t="shared" si="60"/>
        <v>10.3305917459668</v>
      </c>
      <c r="AZ157" s="58">
        <f t="shared" si="60"/>
        <v>12.1900082017063</v>
      </c>
      <c r="BA157" s="58">
        <f t="shared" si="60"/>
        <v>12.1900082017063</v>
      </c>
      <c r="BB157" s="58">
        <f t="shared" si="60"/>
        <v>13.9448206247715</v>
      </c>
      <c r="BC157" s="58">
        <f t="shared" si="60"/>
        <v>13.9448206247715</v>
      </c>
      <c r="BD157" s="58">
        <f t="shared" si="60"/>
        <v>12.1900082017063</v>
      </c>
      <c r="BE157" s="58">
        <f t="shared" si="60"/>
        <v>12.1900082017063</v>
      </c>
      <c r="BF157" s="58">
        <f t="shared" si="60"/>
        <v>13.9448206247715</v>
      </c>
      <c r="BG157" s="58">
        <f t="shared" si="60"/>
        <v>11.3636509205634</v>
      </c>
      <c r="BH157" s="58">
        <f t="shared" si="60"/>
        <v>13.9448206247715</v>
      </c>
      <c r="BI157" s="58">
        <f t="shared" si="60"/>
        <v>13.9448206247715</v>
      </c>
      <c r="BJ157" s="58">
        <f t="shared" si="60"/>
        <v>11.3636509205634</v>
      </c>
      <c r="BK157" s="58">
        <f t="shared" si="60"/>
        <v>12.1900082017063</v>
      </c>
      <c r="BL157" s="58">
        <f t="shared" si="60"/>
        <v>12.1900082017063</v>
      </c>
      <c r="BM157" s="58">
        <f t="shared" si="60"/>
        <v>11.3636509205634</v>
      </c>
      <c r="BN157" s="58">
        <f t="shared" si="60"/>
        <v>13.9448206247715</v>
      </c>
      <c r="BO157" s="58">
        <f t="shared" si="60"/>
        <v>12.1900082017063</v>
      </c>
      <c r="BP157" s="58">
        <f t="shared" si="60"/>
        <v>12.1900082017063</v>
      </c>
      <c r="BQ157" s="58">
        <f t="shared" si="60"/>
        <v>12.1900082017063</v>
      </c>
      <c r="BR157" s="58">
        <f t="shared" si="60"/>
        <v>12.1900082017063</v>
      </c>
      <c r="BS157" s="58">
        <f t="shared" si="60"/>
        <v>12.1900082017063</v>
      </c>
      <c r="BT157" s="58">
        <f t="shared" si="60"/>
        <v>12.1900082017063</v>
      </c>
      <c r="BU157" s="58">
        <f t="shared" si="60"/>
        <v>13.9448206247715</v>
      </c>
      <c r="BV157" s="58">
        <f t="shared" si="60"/>
        <v>13.9448206247715</v>
      </c>
      <c r="BW157" s="58">
        <f t="shared" si="60"/>
        <v>12.1900082017063</v>
      </c>
      <c r="BX157" s="58">
        <f t="shared" si="60"/>
        <v>13.9448206247715</v>
      </c>
      <c r="BY157" s="58">
        <f t="shared" si="60"/>
        <v>12.1900082017063</v>
      </c>
      <c r="BZ157" s="58">
        <f t="shared" si="60"/>
        <v>12.1900082017063</v>
      </c>
    </row>
    <row r="158" spans="1:78">
      <c r="A158" s="58" t="s">
        <v>86</v>
      </c>
      <c r="B158" s="58">
        <v>2050</v>
      </c>
      <c r="C158" s="58">
        <f t="shared" ref="C158:AK158" si="61" xml:space="preserve">C120*70%</f>
        <v>30.3929321275815</v>
      </c>
      <c r="D158" s="58">
        <f t="shared" si="61"/>
        <v>30.3929321275815</v>
      </c>
      <c r="E158" s="58">
        <f t="shared" si="61"/>
        <v>34.7681461543772</v>
      </c>
      <c r="F158" s="58">
        <f t="shared" si="61"/>
        <v>34.7681461543772</v>
      </c>
      <c r="G158" s="58">
        <f t="shared" si="61"/>
        <v>30.3929321275815</v>
      </c>
      <c r="H158" s="58">
        <f t="shared" si="61"/>
        <v>34.7681461543772</v>
      </c>
      <c r="I158" s="58">
        <f t="shared" si="61"/>
        <v>30.3929321275815</v>
      </c>
      <c r="J158" s="58">
        <f t="shared" si="61"/>
        <v>25.7569124300485</v>
      </c>
      <c r="K158" s="58">
        <f t="shared" si="61"/>
        <v>30.3929321275815</v>
      </c>
      <c r="L158" s="58">
        <f t="shared" si="61"/>
        <v>30.3929321275815</v>
      </c>
      <c r="M158" s="58">
        <f t="shared" si="61"/>
        <v>34.7681461543772</v>
      </c>
      <c r="N158" s="58">
        <f t="shared" si="61"/>
        <v>34.7681461543772</v>
      </c>
      <c r="O158" s="58">
        <f t="shared" si="61"/>
        <v>30.3929321275815</v>
      </c>
      <c r="P158" s="58">
        <f t="shared" si="61"/>
        <v>30.3929321275815</v>
      </c>
      <c r="Q158" s="58">
        <f t="shared" si="61"/>
        <v>34.7681461543772</v>
      </c>
      <c r="R158" s="58">
        <f t="shared" si="61"/>
        <v>28.3326036730533</v>
      </c>
      <c r="S158" s="58">
        <f t="shared" si="61"/>
        <v>34.7681461543772</v>
      </c>
      <c r="T158" s="58">
        <f t="shared" si="61"/>
        <v>34.7681461543772</v>
      </c>
      <c r="U158" s="58">
        <f t="shared" si="61"/>
        <v>28.3326036730533</v>
      </c>
      <c r="V158" s="58">
        <f t="shared" si="61"/>
        <v>30.3929321275815</v>
      </c>
      <c r="W158" s="58">
        <f t="shared" si="61"/>
        <v>30.3929321275815</v>
      </c>
      <c r="X158" s="58">
        <f t="shared" si="61"/>
        <v>28.3326036730533</v>
      </c>
      <c r="Y158" s="58">
        <f t="shared" si="61"/>
        <v>34.7681461543772</v>
      </c>
      <c r="Z158" s="58">
        <f t="shared" si="61"/>
        <v>30.3929321275815</v>
      </c>
      <c r="AA158" s="58">
        <f t="shared" si="61"/>
        <v>30.3929321275815</v>
      </c>
      <c r="AB158" s="58">
        <f t="shared" si="61"/>
        <v>30.3929321275815</v>
      </c>
      <c r="AC158" s="58">
        <f t="shared" si="61"/>
        <v>30.3929321275815</v>
      </c>
      <c r="AD158" s="58">
        <f t="shared" si="61"/>
        <v>30.3929321275815</v>
      </c>
      <c r="AE158" s="58">
        <f t="shared" si="61"/>
        <v>30.3929321275815</v>
      </c>
      <c r="AF158" s="58">
        <f t="shared" si="61"/>
        <v>34.7681461543772</v>
      </c>
      <c r="AG158" s="58">
        <f t="shared" si="61"/>
        <v>34.7681461543772</v>
      </c>
      <c r="AH158" s="58">
        <f t="shared" si="61"/>
        <v>30.3929321275815</v>
      </c>
      <c r="AI158" s="58">
        <f t="shared" si="61"/>
        <v>34.7681461543772</v>
      </c>
      <c r="AJ158" s="58">
        <f t="shared" si="61"/>
        <v>30.3929321275815</v>
      </c>
      <c r="AK158" s="58">
        <f t="shared" si="61"/>
        <v>30.3929321275815</v>
      </c>
      <c r="AP158" s="58" t="s">
        <v>87</v>
      </c>
      <c r="AQ158" s="58">
        <v>2050</v>
      </c>
      <c r="AR158" s="58">
        <f t="shared" ref="AR158:BZ158" si="62" xml:space="preserve">C120*30%</f>
        <v>13.0255423403921</v>
      </c>
      <c r="AS158" s="58">
        <f t="shared" si="62"/>
        <v>13.0255423403921</v>
      </c>
      <c r="AT158" s="58">
        <f t="shared" si="62"/>
        <v>14.9006340661617</v>
      </c>
      <c r="AU158" s="58">
        <f t="shared" si="62"/>
        <v>14.9006340661617</v>
      </c>
      <c r="AV158" s="58">
        <f t="shared" si="62"/>
        <v>13.0255423403921</v>
      </c>
      <c r="AW158" s="58">
        <f t="shared" si="62"/>
        <v>14.9006340661617</v>
      </c>
      <c r="AX158" s="58">
        <f t="shared" si="62"/>
        <v>13.0255423403921</v>
      </c>
      <c r="AY158" s="58">
        <f t="shared" si="62"/>
        <v>11.0386767557351</v>
      </c>
      <c r="AZ158" s="58">
        <f t="shared" si="62"/>
        <v>13.0255423403921</v>
      </c>
      <c r="BA158" s="58">
        <f t="shared" si="62"/>
        <v>13.0255423403921</v>
      </c>
      <c r="BB158" s="58">
        <f t="shared" si="62"/>
        <v>14.9006340661617</v>
      </c>
      <c r="BC158" s="58">
        <f t="shared" si="62"/>
        <v>14.9006340661617</v>
      </c>
      <c r="BD158" s="58">
        <f t="shared" si="62"/>
        <v>13.0255423403921</v>
      </c>
      <c r="BE158" s="58">
        <f t="shared" si="62"/>
        <v>13.0255423403921</v>
      </c>
      <c r="BF158" s="58">
        <f t="shared" si="62"/>
        <v>14.9006340661617</v>
      </c>
      <c r="BG158" s="58">
        <f t="shared" si="62"/>
        <v>12.1425444313086</v>
      </c>
      <c r="BH158" s="58">
        <f t="shared" si="62"/>
        <v>14.9006340661617</v>
      </c>
      <c r="BI158" s="58">
        <f t="shared" si="62"/>
        <v>14.9006340661617</v>
      </c>
      <c r="BJ158" s="58">
        <f t="shared" si="62"/>
        <v>12.1425444313086</v>
      </c>
      <c r="BK158" s="58">
        <f t="shared" si="62"/>
        <v>13.0255423403921</v>
      </c>
      <c r="BL158" s="58">
        <f t="shared" si="62"/>
        <v>13.0255423403921</v>
      </c>
      <c r="BM158" s="58">
        <f t="shared" si="62"/>
        <v>12.1425444313086</v>
      </c>
      <c r="BN158" s="58">
        <f t="shared" si="62"/>
        <v>14.9006340661617</v>
      </c>
      <c r="BO158" s="58">
        <f t="shared" si="62"/>
        <v>13.0255423403921</v>
      </c>
      <c r="BP158" s="58">
        <f t="shared" si="62"/>
        <v>13.0255423403921</v>
      </c>
      <c r="BQ158" s="58">
        <f t="shared" si="62"/>
        <v>13.0255423403921</v>
      </c>
      <c r="BR158" s="58">
        <f t="shared" si="62"/>
        <v>13.0255423403921</v>
      </c>
      <c r="BS158" s="58">
        <f t="shared" si="62"/>
        <v>13.0255423403921</v>
      </c>
      <c r="BT158" s="58">
        <f t="shared" si="62"/>
        <v>13.0255423403921</v>
      </c>
      <c r="BU158" s="58">
        <f t="shared" si="62"/>
        <v>14.9006340661617</v>
      </c>
      <c r="BV158" s="58">
        <f t="shared" si="62"/>
        <v>14.9006340661617</v>
      </c>
      <c r="BW158" s="58">
        <f t="shared" si="62"/>
        <v>13.0255423403921</v>
      </c>
      <c r="BX158" s="58">
        <f t="shared" si="62"/>
        <v>14.9006340661617</v>
      </c>
      <c r="BY158" s="58">
        <f t="shared" si="62"/>
        <v>13.0255423403921</v>
      </c>
      <c r="BZ158" s="58">
        <f t="shared" si="62"/>
        <v>13.0255423403921</v>
      </c>
    </row>
    <row r="159" spans="1:78">
      <c r="A159" s="58" t="s">
        <v>90</v>
      </c>
      <c r="B159" s="58">
        <v>2050</v>
      </c>
      <c r="C159" s="58">
        <f t="shared" ref="C159:AK159" si="63" xml:space="preserve">C121*70%</f>
        <v>29.3536092102576</v>
      </c>
      <c r="D159" s="58">
        <f t="shared" si="63"/>
        <v>29.3536092102576</v>
      </c>
      <c r="E159" s="58">
        <f t="shared" si="63"/>
        <v>33.5792075241909</v>
      </c>
      <c r="F159" s="58">
        <f t="shared" si="63"/>
        <v>33.5792075241909</v>
      </c>
      <c r="G159" s="58">
        <f t="shared" si="63"/>
        <v>29.3536092102576</v>
      </c>
      <c r="H159" s="58">
        <f t="shared" si="63"/>
        <v>33.5792075241909</v>
      </c>
      <c r="I159" s="58">
        <f t="shared" si="63"/>
        <v>29.3536092102576</v>
      </c>
      <c r="J159" s="58">
        <f t="shared" si="63"/>
        <v>24.8761237895948</v>
      </c>
      <c r="K159" s="58">
        <f t="shared" si="63"/>
        <v>29.3536092102576</v>
      </c>
      <c r="L159" s="58">
        <f t="shared" si="63"/>
        <v>29.3536092102576</v>
      </c>
      <c r="M159" s="58">
        <f t="shared" si="63"/>
        <v>33.5792075241909</v>
      </c>
      <c r="N159" s="58">
        <f t="shared" si="63"/>
        <v>33.5792075241909</v>
      </c>
      <c r="O159" s="58">
        <f t="shared" si="63"/>
        <v>29.3536092102576</v>
      </c>
      <c r="P159" s="58">
        <f t="shared" si="63"/>
        <v>29.3536092102576</v>
      </c>
      <c r="Q159" s="58">
        <f t="shared" si="63"/>
        <v>33.5792075241909</v>
      </c>
      <c r="R159" s="58">
        <f t="shared" si="63"/>
        <v>27.3637361685543</v>
      </c>
      <c r="S159" s="58">
        <f t="shared" si="63"/>
        <v>33.5792075241909</v>
      </c>
      <c r="T159" s="58">
        <f t="shared" si="63"/>
        <v>33.5792075241909</v>
      </c>
      <c r="U159" s="58">
        <f t="shared" si="63"/>
        <v>27.3637361685543</v>
      </c>
      <c r="V159" s="58">
        <f t="shared" si="63"/>
        <v>29.3536092102576</v>
      </c>
      <c r="W159" s="58">
        <f t="shared" si="63"/>
        <v>29.3536092102576</v>
      </c>
      <c r="X159" s="58">
        <f t="shared" si="63"/>
        <v>27.3637361685543</v>
      </c>
      <c r="Y159" s="58">
        <f t="shared" si="63"/>
        <v>33.5792075241909</v>
      </c>
      <c r="Z159" s="58">
        <f t="shared" si="63"/>
        <v>29.3536092102576</v>
      </c>
      <c r="AA159" s="58">
        <f t="shared" si="63"/>
        <v>29.3536092102576</v>
      </c>
      <c r="AB159" s="58">
        <f t="shared" si="63"/>
        <v>29.3536092102576</v>
      </c>
      <c r="AC159" s="58">
        <f t="shared" si="63"/>
        <v>29.3536092102576</v>
      </c>
      <c r="AD159" s="58">
        <f t="shared" si="63"/>
        <v>29.3536092102576</v>
      </c>
      <c r="AE159" s="58">
        <f t="shared" si="63"/>
        <v>29.3536092102576</v>
      </c>
      <c r="AF159" s="58">
        <f t="shared" si="63"/>
        <v>33.5792075241909</v>
      </c>
      <c r="AG159" s="58">
        <f t="shared" si="63"/>
        <v>33.5792075241909</v>
      </c>
      <c r="AH159" s="58">
        <f t="shared" si="63"/>
        <v>29.3536092102576</v>
      </c>
      <c r="AI159" s="58">
        <f t="shared" si="63"/>
        <v>33.5792075241909</v>
      </c>
      <c r="AJ159" s="58">
        <f t="shared" si="63"/>
        <v>29.3536092102576</v>
      </c>
      <c r="AK159" s="58">
        <f t="shared" si="63"/>
        <v>29.3536092102576</v>
      </c>
      <c r="AP159" s="58" t="s">
        <v>91</v>
      </c>
      <c r="AQ159" s="58">
        <v>2050</v>
      </c>
      <c r="AR159" s="58">
        <f t="shared" ref="AR159:BZ159" si="64" xml:space="preserve">C121*30%</f>
        <v>12.5801182329676</v>
      </c>
      <c r="AS159" s="58">
        <f t="shared" si="64"/>
        <v>12.5801182329676</v>
      </c>
      <c r="AT159" s="58">
        <f t="shared" si="64"/>
        <v>14.391088938939</v>
      </c>
      <c r="AU159" s="58">
        <f t="shared" si="64"/>
        <v>14.391088938939</v>
      </c>
      <c r="AV159" s="58">
        <f t="shared" si="64"/>
        <v>12.5801182329676</v>
      </c>
      <c r="AW159" s="58">
        <f t="shared" si="64"/>
        <v>14.391088938939</v>
      </c>
      <c r="AX159" s="58">
        <f t="shared" si="64"/>
        <v>12.5801182329676</v>
      </c>
      <c r="AY159" s="58">
        <f t="shared" si="64"/>
        <v>10.6611959098263</v>
      </c>
      <c r="AZ159" s="58">
        <f t="shared" si="64"/>
        <v>12.5801182329676</v>
      </c>
      <c r="BA159" s="58">
        <f t="shared" si="64"/>
        <v>12.5801182329676</v>
      </c>
      <c r="BB159" s="58">
        <f t="shared" si="64"/>
        <v>14.391088938939</v>
      </c>
      <c r="BC159" s="58">
        <f t="shared" si="64"/>
        <v>14.391088938939</v>
      </c>
      <c r="BD159" s="58">
        <f t="shared" si="64"/>
        <v>12.5801182329676</v>
      </c>
      <c r="BE159" s="58">
        <f t="shared" si="64"/>
        <v>12.5801182329676</v>
      </c>
      <c r="BF159" s="58">
        <f t="shared" si="64"/>
        <v>14.391088938939</v>
      </c>
      <c r="BG159" s="58">
        <f t="shared" si="64"/>
        <v>11.727315500809</v>
      </c>
      <c r="BH159" s="58">
        <f t="shared" si="64"/>
        <v>14.391088938939</v>
      </c>
      <c r="BI159" s="58">
        <f t="shared" si="64"/>
        <v>14.391088938939</v>
      </c>
      <c r="BJ159" s="58">
        <f t="shared" si="64"/>
        <v>11.727315500809</v>
      </c>
      <c r="BK159" s="58">
        <f t="shared" si="64"/>
        <v>12.5801182329676</v>
      </c>
      <c r="BL159" s="58">
        <f t="shared" si="64"/>
        <v>12.5801182329676</v>
      </c>
      <c r="BM159" s="58">
        <f t="shared" si="64"/>
        <v>11.727315500809</v>
      </c>
      <c r="BN159" s="58">
        <f t="shared" si="64"/>
        <v>14.391088938939</v>
      </c>
      <c r="BO159" s="58">
        <f t="shared" si="64"/>
        <v>12.5801182329676</v>
      </c>
      <c r="BP159" s="58">
        <f t="shared" si="64"/>
        <v>12.5801182329676</v>
      </c>
      <c r="BQ159" s="58">
        <f t="shared" si="64"/>
        <v>12.5801182329676</v>
      </c>
      <c r="BR159" s="58">
        <f t="shared" si="64"/>
        <v>12.5801182329676</v>
      </c>
      <c r="BS159" s="58">
        <f t="shared" si="64"/>
        <v>12.5801182329676</v>
      </c>
      <c r="BT159" s="58">
        <f t="shared" si="64"/>
        <v>12.5801182329676</v>
      </c>
      <c r="BU159" s="58">
        <f t="shared" si="64"/>
        <v>14.391088938939</v>
      </c>
      <c r="BV159" s="58">
        <f t="shared" si="64"/>
        <v>14.391088938939</v>
      </c>
      <c r="BW159" s="58">
        <f t="shared" si="64"/>
        <v>12.5801182329676</v>
      </c>
      <c r="BX159" s="58">
        <f t="shared" si="64"/>
        <v>14.391088938939</v>
      </c>
      <c r="BY159" s="58">
        <f t="shared" si="64"/>
        <v>12.5801182329676</v>
      </c>
      <c r="BZ159" s="58">
        <f t="shared" si="64"/>
        <v>12.5801182329676</v>
      </c>
    </row>
    <row r="160" spans="1:78">
      <c r="A160" s="58" t="s">
        <v>94</v>
      </c>
      <c r="B160" s="58">
        <v>2050</v>
      </c>
      <c r="C160" s="58">
        <f t="shared" ref="C160:AK160" si="65" xml:space="preserve">C122*70%</f>
        <v>30.7112486084</v>
      </c>
      <c r="D160" s="58">
        <f t="shared" si="65"/>
        <v>30.7112486084</v>
      </c>
      <c r="E160" s="58">
        <f t="shared" si="65"/>
        <v>35.1322858787706</v>
      </c>
      <c r="F160" s="58">
        <f t="shared" si="65"/>
        <v>35.1322858787706</v>
      </c>
      <c r="G160" s="58">
        <f t="shared" si="65"/>
        <v>30.7112486084</v>
      </c>
      <c r="H160" s="58">
        <f t="shared" si="65"/>
        <v>35.1322858787706</v>
      </c>
      <c r="I160" s="58">
        <f t="shared" si="65"/>
        <v>30.7112486084</v>
      </c>
      <c r="J160" s="58">
        <f t="shared" si="65"/>
        <v>26.026674152513</v>
      </c>
      <c r="K160" s="58">
        <f t="shared" si="65"/>
        <v>30.7112486084</v>
      </c>
      <c r="L160" s="58">
        <f t="shared" si="65"/>
        <v>30.7112486084</v>
      </c>
      <c r="M160" s="58">
        <f t="shared" si="65"/>
        <v>35.1322858787706</v>
      </c>
      <c r="N160" s="58">
        <f t="shared" si="65"/>
        <v>35.1322858787706</v>
      </c>
      <c r="O160" s="58">
        <f t="shared" si="65"/>
        <v>30.7112486084</v>
      </c>
      <c r="P160" s="58">
        <f t="shared" si="65"/>
        <v>30.7112486084</v>
      </c>
      <c r="Q160" s="58">
        <f t="shared" si="65"/>
        <v>35.1322858787706</v>
      </c>
      <c r="R160" s="58">
        <f t="shared" si="65"/>
        <v>28.6293415677643</v>
      </c>
      <c r="S160" s="58">
        <f t="shared" si="65"/>
        <v>35.1322858787706</v>
      </c>
      <c r="T160" s="58">
        <f t="shared" si="65"/>
        <v>35.1322858787706</v>
      </c>
      <c r="U160" s="58">
        <f t="shared" si="65"/>
        <v>28.6293415677643</v>
      </c>
      <c r="V160" s="58">
        <f t="shared" si="65"/>
        <v>30.7112486084</v>
      </c>
      <c r="W160" s="58">
        <f t="shared" si="65"/>
        <v>30.7112486084</v>
      </c>
      <c r="X160" s="58">
        <f t="shared" si="65"/>
        <v>28.6293415677643</v>
      </c>
      <c r="Y160" s="58">
        <f t="shared" si="65"/>
        <v>35.1322858787706</v>
      </c>
      <c r="Z160" s="58">
        <f t="shared" si="65"/>
        <v>30.7112486084</v>
      </c>
      <c r="AA160" s="58">
        <f t="shared" si="65"/>
        <v>30.7112486084</v>
      </c>
      <c r="AB160" s="58">
        <f t="shared" si="65"/>
        <v>30.7112486084</v>
      </c>
      <c r="AC160" s="58">
        <f t="shared" si="65"/>
        <v>30.7112486084</v>
      </c>
      <c r="AD160" s="58">
        <f t="shared" si="65"/>
        <v>30.7112486084</v>
      </c>
      <c r="AE160" s="58">
        <f t="shared" si="65"/>
        <v>30.7112486084</v>
      </c>
      <c r="AF160" s="58">
        <f t="shared" si="65"/>
        <v>35.1322858787706</v>
      </c>
      <c r="AG160" s="58">
        <f t="shared" si="65"/>
        <v>35.1322858787706</v>
      </c>
      <c r="AH160" s="58">
        <f t="shared" si="65"/>
        <v>30.7112486084</v>
      </c>
      <c r="AI160" s="58">
        <f t="shared" si="65"/>
        <v>35.1322858787706</v>
      </c>
      <c r="AJ160" s="58">
        <f t="shared" si="65"/>
        <v>30.7112486084</v>
      </c>
      <c r="AK160" s="58">
        <f t="shared" si="65"/>
        <v>30.7112486084</v>
      </c>
      <c r="AP160" s="58" t="s">
        <v>95</v>
      </c>
      <c r="AQ160" s="58">
        <v>2050</v>
      </c>
      <c r="AR160" s="58">
        <f t="shared" ref="AR160:BZ160" si="66" xml:space="preserve">C122*30%</f>
        <v>13.1619636893143</v>
      </c>
      <c r="AS160" s="58">
        <f t="shared" si="66"/>
        <v>13.1619636893143</v>
      </c>
      <c r="AT160" s="58">
        <f t="shared" si="66"/>
        <v>15.0566939480445</v>
      </c>
      <c r="AU160" s="58">
        <f t="shared" si="66"/>
        <v>15.0566939480445</v>
      </c>
      <c r="AV160" s="58">
        <f t="shared" si="66"/>
        <v>13.1619636893143</v>
      </c>
      <c r="AW160" s="58">
        <f t="shared" si="66"/>
        <v>15.0566939480445</v>
      </c>
      <c r="AX160" s="58">
        <f t="shared" si="66"/>
        <v>13.1619636893143</v>
      </c>
      <c r="AY160" s="58">
        <f t="shared" si="66"/>
        <v>11.1542889225056</v>
      </c>
      <c r="AZ160" s="58">
        <f t="shared" si="66"/>
        <v>13.1619636893143</v>
      </c>
      <c r="BA160" s="58">
        <f t="shared" si="66"/>
        <v>13.1619636893143</v>
      </c>
      <c r="BB160" s="58">
        <f t="shared" si="66"/>
        <v>15.0566939480445</v>
      </c>
      <c r="BC160" s="58">
        <f t="shared" si="66"/>
        <v>15.0566939480445</v>
      </c>
      <c r="BD160" s="58">
        <f t="shared" si="66"/>
        <v>13.1619636893143</v>
      </c>
      <c r="BE160" s="58">
        <f t="shared" si="66"/>
        <v>13.1619636893143</v>
      </c>
      <c r="BF160" s="58">
        <f t="shared" si="66"/>
        <v>15.0566939480445</v>
      </c>
      <c r="BG160" s="58">
        <f t="shared" si="66"/>
        <v>12.2697178147561</v>
      </c>
      <c r="BH160" s="58">
        <f t="shared" si="66"/>
        <v>15.0566939480445</v>
      </c>
      <c r="BI160" s="58">
        <f t="shared" si="66"/>
        <v>15.0566939480445</v>
      </c>
      <c r="BJ160" s="58">
        <f t="shared" si="66"/>
        <v>12.2697178147561</v>
      </c>
      <c r="BK160" s="58">
        <f t="shared" si="66"/>
        <v>13.1619636893143</v>
      </c>
      <c r="BL160" s="58">
        <f t="shared" si="66"/>
        <v>13.1619636893143</v>
      </c>
      <c r="BM160" s="58">
        <f t="shared" si="66"/>
        <v>12.2697178147561</v>
      </c>
      <c r="BN160" s="58">
        <f t="shared" si="66"/>
        <v>15.0566939480445</v>
      </c>
      <c r="BO160" s="58">
        <f t="shared" si="66"/>
        <v>13.1619636893143</v>
      </c>
      <c r="BP160" s="58">
        <f t="shared" si="66"/>
        <v>13.1619636893143</v>
      </c>
      <c r="BQ160" s="58">
        <f t="shared" si="66"/>
        <v>13.1619636893143</v>
      </c>
      <c r="BR160" s="58">
        <f t="shared" si="66"/>
        <v>13.1619636893143</v>
      </c>
      <c r="BS160" s="58">
        <f t="shared" si="66"/>
        <v>13.1619636893143</v>
      </c>
      <c r="BT160" s="58">
        <f t="shared" si="66"/>
        <v>13.1619636893143</v>
      </c>
      <c r="BU160" s="58">
        <f t="shared" si="66"/>
        <v>15.0566939480445</v>
      </c>
      <c r="BV160" s="58">
        <f t="shared" si="66"/>
        <v>15.0566939480445</v>
      </c>
      <c r="BW160" s="58">
        <f t="shared" si="66"/>
        <v>13.1619636893143</v>
      </c>
      <c r="BX160" s="58">
        <f t="shared" si="66"/>
        <v>15.0566939480445</v>
      </c>
      <c r="BY160" s="58">
        <f t="shared" si="66"/>
        <v>13.1619636893143</v>
      </c>
      <c r="BZ160" s="58">
        <f t="shared" si="66"/>
        <v>13.1619636893143</v>
      </c>
    </row>
    <row r="161" spans="1:78">
      <c r="A161" s="58" t="s">
        <v>97</v>
      </c>
      <c r="B161" s="58">
        <v>2050</v>
      </c>
      <c r="C161" s="58">
        <f t="shared" ref="C161:AK161" si="67" xml:space="preserve">C123*70%</f>
        <v>28.4060931932926</v>
      </c>
      <c r="D161" s="58">
        <f t="shared" si="67"/>
        <v>28.4060931932926</v>
      </c>
      <c r="E161" s="58">
        <f t="shared" si="67"/>
        <v>32.4952918551412</v>
      </c>
      <c r="F161" s="58">
        <f t="shared" si="67"/>
        <v>32.4952918551412</v>
      </c>
      <c r="G161" s="58">
        <f t="shared" si="67"/>
        <v>28.4060931932926</v>
      </c>
      <c r="H161" s="58">
        <f t="shared" si="67"/>
        <v>32.4952918551412</v>
      </c>
      <c r="I161" s="58">
        <f t="shared" si="67"/>
        <v>28.4060931932926</v>
      </c>
      <c r="J161" s="58">
        <f t="shared" si="67"/>
        <v>24.073138181869</v>
      </c>
      <c r="K161" s="58">
        <f t="shared" si="67"/>
        <v>28.4060931932926</v>
      </c>
      <c r="L161" s="58">
        <f t="shared" si="67"/>
        <v>28.4060931932926</v>
      </c>
      <c r="M161" s="58">
        <f t="shared" si="67"/>
        <v>32.4952918551412</v>
      </c>
      <c r="N161" s="58">
        <f t="shared" si="67"/>
        <v>32.4952918551412</v>
      </c>
      <c r="O161" s="58">
        <f t="shared" si="67"/>
        <v>28.4060931932926</v>
      </c>
      <c r="P161" s="58">
        <f t="shared" si="67"/>
        <v>28.4060931932926</v>
      </c>
      <c r="Q161" s="58">
        <f t="shared" si="67"/>
        <v>32.4952918551412</v>
      </c>
      <c r="R161" s="58">
        <f t="shared" si="67"/>
        <v>26.4804520000559</v>
      </c>
      <c r="S161" s="58">
        <f t="shared" si="67"/>
        <v>32.4952918551412</v>
      </c>
      <c r="T161" s="58">
        <f t="shared" si="67"/>
        <v>32.4952918551412</v>
      </c>
      <c r="U161" s="58">
        <f t="shared" si="67"/>
        <v>26.4804520000559</v>
      </c>
      <c r="V161" s="58">
        <f t="shared" si="67"/>
        <v>28.4060931932926</v>
      </c>
      <c r="W161" s="58">
        <f t="shared" si="67"/>
        <v>28.4060931932926</v>
      </c>
      <c r="X161" s="58">
        <f t="shared" si="67"/>
        <v>26.4804520000559</v>
      </c>
      <c r="Y161" s="58">
        <f t="shared" si="67"/>
        <v>32.4952918551412</v>
      </c>
      <c r="Z161" s="58">
        <f t="shared" si="67"/>
        <v>28.4060931932926</v>
      </c>
      <c r="AA161" s="58">
        <f t="shared" si="67"/>
        <v>28.4060931932926</v>
      </c>
      <c r="AB161" s="58">
        <f t="shared" si="67"/>
        <v>28.4060931932926</v>
      </c>
      <c r="AC161" s="58">
        <f t="shared" si="67"/>
        <v>28.4060931932926</v>
      </c>
      <c r="AD161" s="58">
        <f t="shared" si="67"/>
        <v>28.4060931932926</v>
      </c>
      <c r="AE161" s="58">
        <f t="shared" si="67"/>
        <v>28.4060931932926</v>
      </c>
      <c r="AF161" s="58">
        <f t="shared" si="67"/>
        <v>32.4952918551412</v>
      </c>
      <c r="AG161" s="58">
        <f t="shared" si="67"/>
        <v>32.4952918551412</v>
      </c>
      <c r="AH161" s="58">
        <f t="shared" si="67"/>
        <v>28.4060931932926</v>
      </c>
      <c r="AI161" s="58">
        <f t="shared" si="67"/>
        <v>32.4952918551412</v>
      </c>
      <c r="AJ161" s="58">
        <f t="shared" si="67"/>
        <v>28.4060931932926</v>
      </c>
      <c r="AK161" s="58">
        <f t="shared" si="67"/>
        <v>28.4060931932926</v>
      </c>
      <c r="AP161" s="58" t="s">
        <v>98</v>
      </c>
      <c r="AQ161" s="58">
        <v>2050</v>
      </c>
      <c r="AR161" s="58">
        <f t="shared" ref="AR161:BZ161" si="68" xml:space="preserve">C123*30%</f>
        <v>12.1740399399826</v>
      </c>
      <c r="AS161" s="58">
        <f t="shared" si="68"/>
        <v>12.1740399399826</v>
      </c>
      <c r="AT161" s="58">
        <f t="shared" si="68"/>
        <v>13.9265536522034</v>
      </c>
      <c r="AU161" s="58">
        <f t="shared" si="68"/>
        <v>13.9265536522034</v>
      </c>
      <c r="AV161" s="58">
        <f t="shared" si="68"/>
        <v>12.1740399399826</v>
      </c>
      <c r="AW161" s="58">
        <f t="shared" si="68"/>
        <v>13.9265536522034</v>
      </c>
      <c r="AX161" s="58">
        <f t="shared" si="68"/>
        <v>12.1740399399826</v>
      </c>
      <c r="AY161" s="58">
        <f t="shared" si="68"/>
        <v>10.317059220801</v>
      </c>
      <c r="AZ161" s="58">
        <f t="shared" si="68"/>
        <v>12.1740399399826</v>
      </c>
      <c r="BA161" s="58">
        <f t="shared" si="68"/>
        <v>12.1740399399826</v>
      </c>
      <c r="BB161" s="58">
        <f t="shared" si="68"/>
        <v>13.9265536522034</v>
      </c>
      <c r="BC161" s="58">
        <f t="shared" si="68"/>
        <v>13.9265536522034</v>
      </c>
      <c r="BD161" s="58">
        <f t="shared" si="68"/>
        <v>12.1740399399826</v>
      </c>
      <c r="BE161" s="58">
        <f t="shared" si="68"/>
        <v>12.1740399399826</v>
      </c>
      <c r="BF161" s="58">
        <f t="shared" si="68"/>
        <v>13.9265536522034</v>
      </c>
      <c r="BG161" s="58">
        <f t="shared" si="68"/>
        <v>11.3487651428811</v>
      </c>
      <c r="BH161" s="58">
        <f t="shared" si="68"/>
        <v>13.9265536522034</v>
      </c>
      <c r="BI161" s="58">
        <f t="shared" si="68"/>
        <v>13.9265536522034</v>
      </c>
      <c r="BJ161" s="58">
        <f t="shared" si="68"/>
        <v>11.3487651428811</v>
      </c>
      <c r="BK161" s="58">
        <f t="shared" si="68"/>
        <v>12.1740399399826</v>
      </c>
      <c r="BL161" s="58">
        <f t="shared" si="68"/>
        <v>12.1740399399826</v>
      </c>
      <c r="BM161" s="58">
        <f t="shared" si="68"/>
        <v>11.3487651428811</v>
      </c>
      <c r="BN161" s="58">
        <f t="shared" si="68"/>
        <v>13.9265536522034</v>
      </c>
      <c r="BO161" s="58">
        <f t="shared" si="68"/>
        <v>12.1740399399826</v>
      </c>
      <c r="BP161" s="58">
        <f t="shared" si="68"/>
        <v>12.1740399399826</v>
      </c>
      <c r="BQ161" s="58">
        <f t="shared" si="68"/>
        <v>12.1740399399826</v>
      </c>
      <c r="BR161" s="58">
        <f t="shared" si="68"/>
        <v>12.1740399399826</v>
      </c>
      <c r="BS161" s="58">
        <f t="shared" si="68"/>
        <v>12.1740399399826</v>
      </c>
      <c r="BT161" s="58">
        <f t="shared" si="68"/>
        <v>12.1740399399826</v>
      </c>
      <c r="BU161" s="58">
        <f t="shared" si="68"/>
        <v>13.9265536522034</v>
      </c>
      <c r="BV161" s="58">
        <f t="shared" si="68"/>
        <v>13.9265536522034</v>
      </c>
      <c r="BW161" s="58">
        <f t="shared" si="68"/>
        <v>12.1740399399826</v>
      </c>
      <c r="BX161" s="58">
        <f t="shared" si="68"/>
        <v>13.9265536522034</v>
      </c>
      <c r="BY161" s="58">
        <f t="shared" si="68"/>
        <v>12.1740399399826</v>
      </c>
      <c r="BZ161" s="58">
        <f t="shared" si="68"/>
        <v>12.1740399399826</v>
      </c>
    </row>
    <row r="162" spans="1:78">
      <c r="A162" s="58"/>
      <c r="B162" s="58"/>
      <c r="C162" s="58"/>
      <c r="D162" s="58"/>
      <c r="E162" s="58"/>
    </row>
    <row r="166" spans="1:78">
      <c r="A166" s="58" t="s">
        <v>53</v>
      </c>
      <c r="B166" s="58"/>
      <c r="C166" s="58"/>
      <c r="D166" s="58"/>
      <c r="E166" s="58"/>
      <c r="AP166" s="58" t="s">
        <v>52</v>
      </c>
      <c r="AQ166" s="58"/>
      <c r="AR166" s="58"/>
      <c r="AS166" s="58"/>
      <c r="AT166" s="58"/>
    </row>
    <row r="167" spans="1:78">
      <c r="A167" s="58" t="s">
        <v>66</v>
      </c>
      <c r="B167" s="58" t="s">
        <v>41</v>
      </c>
      <c r="C167" s="166" t="s">
        <v>3</v>
      </c>
      <c r="D167" s="166" t="s">
        <v>5</v>
      </c>
      <c r="E167" s="166" t="s">
        <v>6</v>
      </c>
      <c r="F167" s="166" t="s">
        <v>7</v>
      </c>
      <c r="G167" s="166" t="s">
        <v>8</v>
      </c>
      <c r="H167" s="166" t="s">
        <v>9</v>
      </c>
      <c r="I167" s="166" t="s">
        <v>10</v>
      </c>
      <c r="J167" s="166" t="s">
        <v>11</v>
      </c>
      <c r="K167" s="166" t="s">
        <v>12</v>
      </c>
      <c r="L167" s="166" t="s">
        <v>13</v>
      </c>
      <c r="M167" s="166" t="s">
        <v>14</v>
      </c>
      <c r="N167" s="166" t="s">
        <v>15</v>
      </c>
      <c r="O167" s="166" t="s">
        <v>16</v>
      </c>
      <c r="P167" s="166" t="s">
        <v>17</v>
      </c>
      <c r="Q167" s="166" t="s">
        <v>18</v>
      </c>
      <c r="R167" s="166" t="s">
        <v>19</v>
      </c>
      <c r="S167" s="166" t="s">
        <v>20</v>
      </c>
      <c r="T167" s="166" t="s">
        <v>21</v>
      </c>
      <c r="U167" s="166" t="s">
        <v>22</v>
      </c>
      <c r="V167" s="166" t="s">
        <v>23</v>
      </c>
      <c r="W167" s="166" t="s">
        <v>24</v>
      </c>
      <c r="X167" s="166" t="s">
        <v>25</v>
      </c>
      <c r="Y167" s="166" t="s">
        <v>26</v>
      </c>
      <c r="Z167" s="166" t="s">
        <v>27</v>
      </c>
      <c r="AA167" s="166" t="s">
        <v>28</v>
      </c>
      <c r="AB167" s="166" t="s">
        <v>29</v>
      </c>
      <c r="AC167" s="166" t="s">
        <v>30</v>
      </c>
      <c r="AD167" s="166" t="s">
        <v>31</v>
      </c>
      <c r="AE167" s="166" t="s">
        <v>32</v>
      </c>
      <c r="AF167" s="166" t="s">
        <v>33</v>
      </c>
      <c r="AG167" s="166" t="s">
        <v>34</v>
      </c>
      <c r="AH167" s="166" t="s">
        <v>35</v>
      </c>
      <c r="AI167" s="166" t="s">
        <v>36</v>
      </c>
      <c r="AJ167" s="166" t="s">
        <v>37</v>
      </c>
      <c r="AK167" s="166" t="s">
        <v>38</v>
      </c>
      <c r="AP167" s="58" t="s">
        <v>66</v>
      </c>
      <c r="AQ167" s="58" t="s">
        <v>41</v>
      </c>
      <c r="AR167" s="166" t="s">
        <v>3</v>
      </c>
      <c r="AS167" s="166" t="s">
        <v>5</v>
      </c>
      <c r="AT167" s="166" t="s">
        <v>6</v>
      </c>
      <c r="AU167" s="166" t="s">
        <v>7</v>
      </c>
      <c r="AV167" s="166" t="s">
        <v>8</v>
      </c>
      <c r="AW167" s="166" t="s">
        <v>9</v>
      </c>
      <c r="AX167" s="166" t="s">
        <v>10</v>
      </c>
      <c r="AY167" s="166" t="s">
        <v>11</v>
      </c>
      <c r="AZ167" s="166" t="s">
        <v>12</v>
      </c>
      <c r="BA167" s="166" t="s">
        <v>13</v>
      </c>
      <c r="BB167" s="166" t="s">
        <v>14</v>
      </c>
      <c r="BC167" s="166" t="s">
        <v>15</v>
      </c>
      <c r="BD167" s="166" t="s">
        <v>16</v>
      </c>
      <c r="BE167" s="166" t="s">
        <v>17</v>
      </c>
      <c r="BF167" s="166" t="s">
        <v>18</v>
      </c>
      <c r="BG167" s="166" t="s">
        <v>19</v>
      </c>
      <c r="BH167" s="166" t="s">
        <v>20</v>
      </c>
      <c r="BI167" s="166" t="s">
        <v>21</v>
      </c>
      <c r="BJ167" s="166" t="s">
        <v>22</v>
      </c>
      <c r="BK167" s="166" t="s">
        <v>23</v>
      </c>
      <c r="BL167" s="166" t="s">
        <v>24</v>
      </c>
      <c r="BM167" s="166" t="s">
        <v>25</v>
      </c>
      <c r="BN167" s="166" t="s">
        <v>26</v>
      </c>
      <c r="BO167" s="166" t="s">
        <v>27</v>
      </c>
      <c r="BP167" s="166" t="s">
        <v>28</v>
      </c>
      <c r="BQ167" s="166" t="s">
        <v>29</v>
      </c>
      <c r="BR167" s="166" t="s">
        <v>30</v>
      </c>
      <c r="BS167" s="166" t="s">
        <v>31</v>
      </c>
      <c r="BT167" s="166" t="s">
        <v>32</v>
      </c>
      <c r="BU167" s="166" t="s">
        <v>33</v>
      </c>
      <c r="BV167" s="166" t="s">
        <v>34</v>
      </c>
      <c r="BW167" s="166" t="s">
        <v>35</v>
      </c>
      <c r="BX167" s="166" t="s">
        <v>36</v>
      </c>
      <c r="BY167" s="166" t="s">
        <v>37</v>
      </c>
      <c r="BZ167" s="166" t="s">
        <v>38</v>
      </c>
    </row>
    <row r="168" spans="1:78">
      <c r="A168" s="58" t="s">
        <v>68</v>
      </c>
      <c r="B168" s="58">
        <v>2100</v>
      </c>
      <c r="C168" s="58">
        <f t="shared" ref="C168:AK168" si="69" xml:space="preserve">C126*70%</f>
        <v>20.1631786941846</v>
      </c>
      <c r="D168" s="58">
        <f t="shared" si="69"/>
        <v>20.1631786941846</v>
      </c>
      <c r="E168" s="58">
        <f t="shared" si="69"/>
        <v>22.1849658416673</v>
      </c>
      <c r="F168" s="58">
        <f t="shared" si="69"/>
        <v>22.1849658416673</v>
      </c>
      <c r="G168" s="58">
        <f t="shared" si="69"/>
        <v>20.1631786941846</v>
      </c>
      <c r="H168" s="58">
        <f t="shared" si="69"/>
        <v>22.1849658416673</v>
      </c>
      <c r="I168" s="58">
        <f t="shared" si="69"/>
        <v>20.1631786941846</v>
      </c>
      <c r="J168" s="58">
        <f t="shared" si="69"/>
        <v>18.5176153882347</v>
      </c>
      <c r="K168" s="58">
        <f t="shared" si="69"/>
        <v>20.1631786941846</v>
      </c>
      <c r="L168" s="58">
        <f t="shared" si="69"/>
        <v>20.1631786941846</v>
      </c>
      <c r="M168" s="58">
        <f t="shared" si="69"/>
        <v>22.1849658416673</v>
      </c>
      <c r="N168" s="58">
        <f t="shared" si="69"/>
        <v>22.1849658416673</v>
      </c>
      <c r="O168" s="58">
        <f t="shared" si="69"/>
        <v>20.1631786941846</v>
      </c>
      <c r="P168" s="58">
        <f t="shared" si="69"/>
        <v>20.1631786941846</v>
      </c>
      <c r="Q168" s="58">
        <f t="shared" si="69"/>
        <v>22.1849658416673</v>
      </c>
      <c r="R168" s="58">
        <f t="shared" si="69"/>
        <v>19.4434961576465</v>
      </c>
      <c r="S168" s="58">
        <f t="shared" si="69"/>
        <v>22.1849658416673</v>
      </c>
      <c r="T168" s="58">
        <f t="shared" si="69"/>
        <v>22.1849658416673</v>
      </c>
      <c r="U168" s="58">
        <f t="shared" si="69"/>
        <v>19.4434961576465</v>
      </c>
      <c r="V168" s="58">
        <f t="shared" si="69"/>
        <v>20.1631786941846</v>
      </c>
      <c r="W168" s="58">
        <f t="shared" si="69"/>
        <v>20.1631786941846</v>
      </c>
      <c r="X168" s="58">
        <f t="shared" si="69"/>
        <v>19.4434961576465</v>
      </c>
      <c r="Y168" s="58">
        <f t="shared" si="69"/>
        <v>22.1849658416673</v>
      </c>
      <c r="Z168" s="58">
        <f t="shared" si="69"/>
        <v>20.1631786941846</v>
      </c>
      <c r="AA168" s="58">
        <f t="shared" si="69"/>
        <v>20.1631786941846</v>
      </c>
      <c r="AB168" s="58">
        <f t="shared" si="69"/>
        <v>20.1631786941846</v>
      </c>
      <c r="AC168" s="58">
        <f t="shared" si="69"/>
        <v>20.1631786941846</v>
      </c>
      <c r="AD168" s="58">
        <f t="shared" si="69"/>
        <v>20.1631786941846</v>
      </c>
      <c r="AE168" s="58">
        <f t="shared" si="69"/>
        <v>20.1631786941846</v>
      </c>
      <c r="AF168" s="58">
        <f t="shared" si="69"/>
        <v>22.1849658416673</v>
      </c>
      <c r="AG168" s="58">
        <f t="shared" si="69"/>
        <v>22.1849658416673</v>
      </c>
      <c r="AH168" s="58">
        <f t="shared" si="69"/>
        <v>20.1631786941846</v>
      </c>
      <c r="AI168" s="58">
        <f t="shared" si="69"/>
        <v>22.1849658416673</v>
      </c>
      <c r="AJ168" s="58">
        <f t="shared" si="69"/>
        <v>20.1631786941846</v>
      </c>
      <c r="AK168" s="58">
        <f t="shared" si="69"/>
        <v>20.1631786941846</v>
      </c>
      <c r="AP168" s="58" t="s">
        <v>69</v>
      </c>
      <c r="AQ168" s="58">
        <v>2100</v>
      </c>
      <c r="AR168" s="58">
        <f t="shared" ref="AR168:BZ168" si="70" xml:space="preserve">C126*30%</f>
        <v>8.64136229750769</v>
      </c>
      <c r="AS168" s="58">
        <f t="shared" si="70"/>
        <v>8.64136229750769</v>
      </c>
      <c r="AT168" s="58">
        <f t="shared" si="70"/>
        <v>9.5078425035717</v>
      </c>
      <c r="AU168" s="58">
        <f t="shared" si="70"/>
        <v>9.5078425035717</v>
      </c>
      <c r="AV168" s="58">
        <f t="shared" si="70"/>
        <v>8.64136229750769</v>
      </c>
      <c r="AW168" s="58">
        <f t="shared" si="70"/>
        <v>9.5078425035717</v>
      </c>
      <c r="AX168" s="58">
        <f t="shared" si="70"/>
        <v>8.64136229750769</v>
      </c>
      <c r="AY168" s="58">
        <f t="shared" si="70"/>
        <v>7.93612088067201</v>
      </c>
      <c r="AZ168" s="58">
        <f t="shared" si="70"/>
        <v>8.64136229750769</v>
      </c>
      <c r="BA168" s="58">
        <f t="shared" si="70"/>
        <v>8.64136229750769</v>
      </c>
      <c r="BB168" s="58">
        <f t="shared" si="70"/>
        <v>9.5078425035717</v>
      </c>
      <c r="BC168" s="58">
        <f t="shared" si="70"/>
        <v>9.5078425035717</v>
      </c>
      <c r="BD168" s="58">
        <f t="shared" si="70"/>
        <v>8.64136229750769</v>
      </c>
      <c r="BE168" s="58">
        <f t="shared" si="70"/>
        <v>8.64136229750769</v>
      </c>
      <c r="BF168" s="58">
        <f t="shared" si="70"/>
        <v>9.5078425035717</v>
      </c>
      <c r="BG168" s="58">
        <f t="shared" si="70"/>
        <v>8.33292692470563</v>
      </c>
      <c r="BH168" s="58">
        <f t="shared" si="70"/>
        <v>9.5078425035717</v>
      </c>
      <c r="BI168" s="58">
        <f t="shared" si="70"/>
        <v>9.5078425035717</v>
      </c>
      <c r="BJ168" s="58">
        <f t="shared" si="70"/>
        <v>8.33292692470563</v>
      </c>
      <c r="BK168" s="58">
        <f t="shared" si="70"/>
        <v>8.64136229750769</v>
      </c>
      <c r="BL168" s="58">
        <f t="shared" si="70"/>
        <v>8.64136229750769</v>
      </c>
      <c r="BM168" s="58">
        <f t="shared" si="70"/>
        <v>8.33292692470563</v>
      </c>
      <c r="BN168" s="58">
        <f t="shared" si="70"/>
        <v>9.5078425035717</v>
      </c>
      <c r="BO168" s="58">
        <f t="shared" si="70"/>
        <v>8.64136229750769</v>
      </c>
      <c r="BP168" s="58">
        <f t="shared" si="70"/>
        <v>8.64136229750769</v>
      </c>
      <c r="BQ168" s="58">
        <f t="shared" si="70"/>
        <v>8.64136229750769</v>
      </c>
      <c r="BR168" s="58">
        <f t="shared" si="70"/>
        <v>8.64136229750769</v>
      </c>
      <c r="BS168" s="58">
        <f t="shared" si="70"/>
        <v>8.64136229750769</v>
      </c>
      <c r="BT168" s="58">
        <f t="shared" si="70"/>
        <v>8.64136229750769</v>
      </c>
      <c r="BU168" s="58">
        <f t="shared" si="70"/>
        <v>9.5078425035717</v>
      </c>
      <c r="BV168" s="58">
        <f t="shared" si="70"/>
        <v>9.5078425035717</v>
      </c>
      <c r="BW168" s="58">
        <f t="shared" si="70"/>
        <v>8.64136229750769</v>
      </c>
      <c r="BX168" s="58">
        <f t="shared" si="70"/>
        <v>9.5078425035717</v>
      </c>
      <c r="BY168" s="58">
        <f t="shared" si="70"/>
        <v>8.64136229750769</v>
      </c>
      <c r="BZ168" s="58">
        <f t="shared" si="70"/>
        <v>8.64136229750769</v>
      </c>
    </row>
    <row r="169" spans="1:78">
      <c r="A169" s="58" t="s">
        <v>73</v>
      </c>
      <c r="B169" s="58">
        <v>2100</v>
      </c>
      <c r="C169" s="58">
        <f t="shared" ref="C169:AK169" si="71" xml:space="preserve">C127*70%</f>
        <v>24.1019056801139</v>
      </c>
      <c r="D169" s="58">
        <f t="shared" si="71"/>
        <v>24.1019056801139</v>
      </c>
      <c r="E169" s="58">
        <f t="shared" si="71"/>
        <v>26.5186339089794</v>
      </c>
      <c r="F169" s="58">
        <f t="shared" si="71"/>
        <v>26.5186339089794</v>
      </c>
      <c r="G169" s="58">
        <f t="shared" si="71"/>
        <v>24.1019056801139</v>
      </c>
      <c r="H169" s="58">
        <f t="shared" si="71"/>
        <v>26.5186339089794</v>
      </c>
      <c r="I169" s="58">
        <f t="shared" si="71"/>
        <v>24.1019056801139</v>
      </c>
      <c r="J169" s="58">
        <f t="shared" si="71"/>
        <v>22.1348938219042</v>
      </c>
      <c r="K169" s="58">
        <f t="shared" si="71"/>
        <v>24.1019056801139</v>
      </c>
      <c r="L169" s="58">
        <f t="shared" si="71"/>
        <v>24.1019056801139</v>
      </c>
      <c r="M169" s="58">
        <f t="shared" si="71"/>
        <v>26.5186339089794</v>
      </c>
      <c r="N169" s="58">
        <f t="shared" si="71"/>
        <v>26.5186339089794</v>
      </c>
      <c r="O169" s="58">
        <f t="shared" si="71"/>
        <v>24.1019056801139</v>
      </c>
      <c r="P169" s="58">
        <f t="shared" si="71"/>
        <v>24.1019056801139</v>
      </c>
      <c r="Q169" s="58">
        <f t="shared" si="71"/>
        <v>26.5186339089794</v>
      </c>
      <c r="R169" s="58">
        <f t="shared" si="71"/>
        <v>23.2416385129995</v>
      </c>
      <c r="S169" s="58">
        <f t="shared" si="71"/>
        <v>26.5186339089794</v>
      </c>
      <c r="T169" s="58">
        <f t="shared" si="71"/>
        <v>26.5186339089794</v>
      </c>
      <c r="U169" s="58">
        <f t="shared" si="71"/>
        <v>23.2416385129995</v>
      </c>
      <c r="V169" s="58">
        <f t="shared" si="71"/>
        <v>24.1019056801139</v>
      </c>
      <c r="W169" s="58">
        <f t="shared" si="71"/>
        <v>24.1019056801139</v>
      </c>
      <c r="X169" s="58">
        <f t="shared" si="71"/>
        <v>23.2416385129995</v>
      </c>
      <c r="Y169" s="58">
        <f t="shared" si="71"/>
        <v>26.5186339089794</v>
      </c>
      <c r="Z169" s="58">
        <f t="shared" si="71"/>
        <v>24.1019056801139</v>
      </c>
      <c r="AA169" s="58">
        <f t="shared" si="71"/>
        <v>24.1019056801139</v>
      </c>
      <c r="AB169" s="58">
        <f t="shared" si="71"/>
        <v>24.1019056801139</v>
      </c>
      <c r="AC169" s="58">
        <f t="shared" si="71"/>
        <v>24.1019056801139</v>
      </c>
      <c r="AD169" s="58">
        <f t="shared" si="71"/>
        <v>24.1019056801139</v>
      </c>
      <c r="AE169" s="58">
        <f t="shared" si="71"/>
        <v>24.1019056801139</v>
      </c>
      <c r="AF169" s="58">
        <f t="shared" si="71"/>
        <v>26.5186339089794</v>
      </c>
      <c r="AG169" s="58">
        <f t="shared" si="71"/>
        <v>26.5186339089794</v>
      </c>
      <c r="AH169" s="58">
        <f t="shared" si="71"/>
        <v>24.1019056801139</v>
      </c>
      <c r="AI169" s="58">
        <f t="shared" si="71"/>
        <v>26.5186339089794</v>
      </c>
      <c r="AJ169" s="58">
        <f t="shared" si="71"/>
        <v>24.1019056801139</v>
      </c>
      <c r="AK169" s="58">
        <f t="shared" si="71"/>
        <v>24.1019056801139</v>
      </c>
      <c r="AP169" s="58" t="s">
        <v>74</v>
      </c>
      <c r="AQ169" s="58">
        <v>2100</v>
      </c>
      <c r="AR169" s="58">
        <f t="shared" ref="AR169:BZ169" si="72" xml:space="preserve">C127*30%</f>
        <v>10.3293881486202</v>
      </c>
      <c r="AS169" s="58">
        <f t="shared" si="72"/>
        <v>10.3293881486202</v>
      </c>
      <c r="AT169" s="58">
        <f t="shared" si="72"/>
        <v>11.365128818134</v>
      </c>
      <c r="AU169" s="58">
        <f t="shared" si="72"/>
        <v>11.365128818134</v>
      </c>
      <c r="AV169" s="58">
        <f t="shared" si="72"/>
        <v>10.3293881486202</v>
      </c>
      <c r="AW169" s="58">
        <f t="shared" si="72"/>
        <v>11.365128818134</v>
      </c>
      <c r="AX169" s="58">
        <f t="shared" si="72"/>
        <v>10.3293881486202</v>
      </c>
      <c r="AY169" s="58">
        <f t="shared" si="72"/>
        <v>9.48638306653038</v>
      </c>
      <c r="AZ169" s="58">
        <f t="shared" si="72"/>
        <v>10.3293881486202</v>
      </c>
      <c r="BA169" s="58">
        <f t="shared" si="72"/>
        <v>10.3293881486202</v>
      </c>
      <c r="BB169" s="58">
        <f t="shared" si="72"/>
        <v>11.365128818134</v>
      </c>
      <c r="BC169" s="58">
        <f t="shared" si="72"/>
        <v>11.365128818134</v>
      </c>
      <c r="BD169" s="58">
        <f t="shared" si="72"/>
        <v>10.3293881486202</v>
      </c>
      <c r="BE169" s="58">
        <f t="shared" si="72"/>
        <v>10.3293881486202</v>
      </c>
      <c r="BF169" s="58">
        <f t="shared" si="72"/>
        <v>11.365128818134</v>
      </c>
      <c r="BG169" s="58">
        <f t="shared" si="72"/>
        <v>9.96070221985692</v>
      </c>
      <c r="BH169" s="58">
        <f t="shared" si="72"/>
        <v>11.365128818134</v>
      </c>
      <c r="BI169" s="58">
        <f t="shared" si="72"/>
        <v>11.365128818134</v>
      </c>
      <c r="BJ169" s="58">
        <f t="shared" si="72"/>
        <v>9.96070221985692</v>
      </c>
      <c r="BK169" s="58">
        <f t="shared" si="72"/>
        <v>10.3293881486202</v>
      </c>
      <c r="BL169" s="58">
        <f t="shared" si="72"/>
        <v>10.3293881486202</v>
      </c>
      <c r="BM169" s="58">
        <f t="shared" si="72"/>
        <v>9.96070221985692</v>
      </c>
      <c r="BN169" s="58">
        <f t="shared" si="72"/>
        <v>11.365128818134</v>
      </c>
      <c r="BO169" s="58">
        <f t="shared" si="72"/>
        <v>10.3293881486202</v>
      </c>
      <c r="BP169" s="58">
        <f t="shared" si="72"/>
        <v>10.3293881486202</v>
      </c>
      <c r="BQ169" s="58">
        <f t="shared" si="72"/>
        <v>10.3293881486202</v>
      </c>
      <c r="BR169" s="58">
        <f t="shared" si="72"/>
        <v>10.3293881486202</v>
      </c>
      <c r="BS169" s="58">
        <f t="shared" si="72"/>
        <v>10.3293881486202</v>
      </c>
      <c r="BT169" s="58">
        <f t="shared" si="72"/>
        <v>10.3293881486202</v>
      </c>
      <c r="BU169" s="58">
        <f t="shared" si="72"/>
        <v>11.365128818134</v>
      </c>
      <c r="BV169" s="58">
        <f t="shared" si="72"/>
        <v>11.365128818134</v>
      </c>
      <c r="BW169" s="58">
        <f t="shared" si="72"/>
        <v>10.3293881486202</v>
      </c>
      <c r="BX169" s="58">
        <f t="shared" si="72"/>
        <v>11.365128818134</v>
      </c>
      <c r="BY169" s="58">
        <f t="shared" si="72"/>
        <v>10.3293881486202</v>
      </c>
      <c r="BZ169" s="58">
        <f t="shared" si="72"/>
        <v>10.3293881486202</v>
      </c>
    </row>
    <row r="170" spans="1:78">
      <c r="A170" s="58" t="s">
        <v>77</v>
      </c>
      <c r="B170" s="58">
        <v>2100</v>
      </c>
      <c r="C170" s="58">
        <f t="shared" ref="C170:AK170" si="73" xml:space="preserve">C128*70%</f>
        <v>20.3865674660669</v>
      </c>
      <c r="D170" s="58">
        <f t="shared" si="73"/>
        <v>20.3865674660669</v>
      </c>
      <c r="E170" s="58">
        <f t="shared" si="73"/>
        <v>22.4307540851177</v>
      </c>
      <c r="F170" s="58">
        <f t="shared" si="73"/>
        <v>22.4307540851177</v>
      </c>
      <c r="G170" s="58">
        <f t="shared" si="73"/>
        <v>20.3865674660669</v>
      </c>
      <c r="H170" s="58">
        <f t="shared" si="73"/>
        <v>22.4307540851177</v>
      </c>
      <c r="I170" s="58">
        <f t="shared" si="73"/>
        <v>20.3865674660669</v>
      </c>
      <c r="J170" s="58">
        <f t="shared" si="73"/>
        <v>18.7227728895645</v>
      </c>
      <c r="K170" s="58">
        <f t="shared" si="73"/>
        <v>20.3865674660669</v>
      </c>
      <c r="L170" s="58">
        <f t="shared" si="73"/>
        <v>20.3865674660669</v>
      </c>
      <c r="M170" s="58">
        <f t="shared" si="73"/>
        <v>22.4307540851177</v>
      </c>
      <c r="N170" s="58">
        <f t="shared" si="73"/>
        <v>22.4307540851177</v>
      </c>
      <c r="O170" s="58">
        <f t="shared" si="73"/>
        <v>20.3865674660669</v>
      </c>
      <c r="P170" s="58">
        <f t="shared" si="73"/>
        <v>20.3865674660669</v>
      </c>
      <c r="Q170" s="58">
        <f t="shared" si="73"/>
        <v>22.4307540851177</v>
      </c>
      <c r="R170" s="58">
        <f t="shared" si="73"/>
        <v>19.6589115340428</v>
      </c>
      <c r="S170" s="58">
        <f t="shared" si="73"/>
        <v>22.4307540851177</v>
      </c>
      <c r="T170" s="58">
        <f t="shared" si="73"/>
        <v>22.4307540851177</v>
      </c>
      <c r="U170" s="58">
        <f t="shared" si="73"/>
        <v>19.6589115340428</v>
      </c>
      <c r="V170" s="58">
        <f t="shared" si="73"/>
        <v>20.3865674660669</v>
      </c>
      <c r="W170" s="58">
        <f t="shared" si="73"/>
        <v>20.3865674660669</v>
      </c>
      <c r="X170" s="58">
        <f t="shared" si="73"/>
        <v>19.6589115340428</v>
      </c>
      <c r="Y170" s="58">
        <f t="shared" si="73"/>
        <v>22.4307540851177</v>
      </c>
      <c r="Z170" s="58">
        <f t="shared" si="73"/>
        <v>20.3865674660669</v>
      </c>
      <c r="AA170" s="58">
        <f t="shared" si="73"/>
        <v>20.3865674660669</v>
      </c>
      <c r="AB170" s="58">
        <f t="shared" si="73"/>
        <v>20.3865674660669</v>
      </c>
      <c r="AC170" s="58">
        <f t="shared" si="73"/>
        <v>20.3865674660669</v>
      </c>
      <c r="AD170" s="58">
        <f t="shared" si="73"/>
        <v>20.3865674660669</v>
      </c>
      <c r="AE170" s="58">
        <f t="shared" si="73"/>
        <v>20.3865674660669</v>
      </c>
      <c r="AF170" s="58">
        <f t="shared" si="73"/>
        <v>22.4307540851177</v>
      </c>
      <c r="AG170" s="58">
        <f t="shared" si="73"/>
        <v>22.4307540851177</v>
      </c>
      <c r="AH170" s="58">
        <f t="shared" si="73"/>
        <v>20.3865674660669</v>
      </c>
      <c r="AI170" s="58">
        <f t="shared" si="73"/>
        <v>22.4307540851177</v>
      </c>
      <c r="AJ170" s="58">
        <f t="shared" si="73"/>
        <v>20.3865674660669</v>
      </c>
      <c r="AK170" s="58">
        <f t="shared" si="73"/>
        <v>20.3865674660669</v>
      </c>
      <c r="AP170" s="58" t="s">
        <v>78</v>
      </c>
      <c r="AQ170" s="58">
        <v>2100</v>
      </c>
      <c r="AR170" s="58">
        <f t="shared" ref="AR170:BZ170" si="74" xml:space="preserve">C128*30%</f>
        <v>8.7371003426001</v>
      </c>
      <c r="AS170" s="58">
        <f t="shared" si="74"/>
        <v>8.7371003426001</v>
      </c>
      <c r="AT170" s="58">
        <f t="shared" si="74"/>
        <v>9.6131803221933</v>
      </c>
      <c r="AU170" s="58">
        <f t="shared" si="74"/>
        <v>9.6131803221933</v>
      </c>
      <c r="AV170" s="58">
        <f t="shared" si="74"/>
        <v>8.7371003426001</v>
      </c>
      <c r="AW170" s="58">
        <f t="shared" si="74"/>
        <v>9.6131803221933</v>
      </c>
      <c r="AX170" s="58">
        <f t="shared" si="74"/>
        <v>8.7371003426001</v>
      </c>
      <c r="AY170" s="58">
        <f t="shared" si="74"/>
        <v>8.02404552409908</v>
      </c>
      <c r="AZ170" s="58">
        <f t="shared" si="74"/>
        <v>8.7371003426001</v>
      </c>
      <c r="BA170" s="58">
        <f t="shared" si="74"/>
        <v>8.7371003426001</v>
      </c>
      <c r="BB170" s="58">
        <f t="shared" si="74"/>
        <v>9.6131803221933</v>
      </c>
      <c r="BC170" s="58">
        <f t="shared" si="74"/>
        <v>9.6131803221933</v>
      </c>
      <c r="BD170" s="58">
        <f t="shared" si="74"/>
        <v>8.7371003426001</v>
      </c>
      <c r="BE170" s="58">
        <f t="shared" si="74"/>
        <v>8.7371003426001</v>
      </c>
      <c r="BF170" s="58">
        <f t="shared" si="74"/>
        <v>9.6131803221933</v>
      </c>
      <c r="BG170" s="58">
        <f t="shared" si="74"/>
        <v>8.42524780030404</v>
      </c>
      <c r="BH170" s="58">
        <f t="shared" si="74"/>
        <v>9.6131803221933</v>
      </c>
      <c r="BI170" s="58">
        <f t="shared" si="74"/>
        <v>9.6131803221933</v>
      </c>
      <c r="BJ170" s="58">
        <f t="shared" si="74"/>
        <v>8.42524780030404</v>
      </c>
      <c r="BK170" s="58">
        <f t="shared" si="74"/>
        <v>8.7371003426001</v>
      </c>
      <c r="BL170" s="58">
        <f t="shared" si="74"/>
        <v>8.7371003426001</v>
      </c>
      <c r="BM170" s="58">
        <f t="shared" si="74"/>
        <v>8.42524780030404</v>
      </c>
      <c r="BN170" s="58">
        <f t="shared" si="74"/>
        <v>9.6131803221933</v>
      </c>
      <c r="BO170" s="58">
        <f t="shared" si="74"/>
        <v>8.7371003426001</v>
      </c>
      <c r="BP170" s="58">
        <f t="shared" si="74"/>
        <v>8.7371003426001</v>
      </c>
      <c r="BQ170" s="58">
        <f t="shared" si="74"/>
        <v>8.7371003426001</v>
      </c>
      <c r="BR170" s="58">
        <f t="shared" si="74"/>
        <v>8.7371003426001</v>
      </c>
      <c r="BS170" s="58">
        <f t="shared" si="74"/>
        <v>8.7371003426001</v>
      </c>
      <c r="BT170" s="58">
        <f t="shared" si="74"/>
        <v>8.7371003426001</v>
      </c>
      <c r="BU170" s="58">
        <f t="shared" si="74"/>
        <v>9.6131803221933</v>
      </c>
      <c r="BV170" s="58">
        <f t="shared" si="74"/>
        <v>9.6131803221933</v>
      </c>
      <c r="BW170" s="58">
        <f t="shared" si="74"/>
        <v>8.7371003426001</v>
      </c>
      <c r="BX170" s="58">
        <f t="shared" si="74"/>
        <v>9.6131803221933</v>
      </c>
      <c r="BY170" s="58">
        <f t="shared" si="74"/>
        <v>8.7371003426001</v>
      </c>
      <c r="BZ170" s="58">
        <f t="shared" si="74"/>
        <v>8.7371003426001</v>
      </c>
    </row>
    <row r="171" spans="1:78">
      <c r="A171" s="58" t="s">
        <v>81</v>
      </c>
      <c r="B171" s="58">
        <v>2100</v>
      </c>
      <c r="C171" s="58">
        <f t="shared" ref="C171:AK171" si="75" xml:space="preserve">C129*70%</f>
        <v>20.1896260293468</v>
      </c>
      <c r="D171" s="58">
        <f t="shared" si="75"/>
        <v>20.1896260293468</v>
      </c>
      <c r="E171" s="58">
        <f t="shared" si="75"/>
        <v>22.2140650842062</v>
      </c>
      <c r="F171" s="58">
        <f t="shared" si="75"/>
        <v>22.2140650842062</v>
      </c>
      <c r="G171" s="58">
        <f t="shared" si="75"/>
        <v>20.1896260293468</v>
      </c>
      <c r="H171" s="58">
        <f t="shared" si="75"/>
        <v>22.2140650842062</v>
      </c>
      <c r="I171" s="58">
        <f t="shared" si="75"/>
        <v>20.1896260293468</v>
      </c>
      <c r="J171" s="58">
        <f t="shared" si="75"/>
        <v>18.5419042956538</v>
      </c>
      <c r="K171" s="58">
        <f t="shared" si="75"/>
        <v>20.1896260293468</v>
      </c>
      <c r="L171" s="58">
        <f t="shared" si="75"/>
        <v>20.1896260293468</v>
      </c>
      <c r="M171" s="58">
        <f t="shared" si="75"/>
        <v>22.2140650842062</v>
      </c>
      <c r="N171" s="58">
        <f t="shared" si="75"/>
        <v>22.2140650842062</v>
      </c>
      <c r="O171" s="58">
        <f t="shared" si="75"/>
        <v>20.1896260293468</v>
      </c>
      <c r="P171" s="58">
        <f t="shared" si="75"/>
        <v>20.1896260293468</v>
      </c>
      <c r="Q171" s="58">
        <f t="shared" si="75"/>
        <v>22.2140650842062</v>
      </c>
      <c r="R171" s="58">
        <f t="shared" si="75"/>
        <v>19.4689995104364</v>
      </c>
      <c r="S171" s="58">
        <f t="shared" si="75"/>
        <v>22.2140650842062</v>
      </c>
      <c r="T171" s="58">
        <f t="shared" si="75"/>
        <v>22.2140650842062</v>
      </c>
      <c r="U171" s="58">
        <f t="shared" si="75"/>
        <v>19.4689995104364</v>
      </c>
      <c r="V171" s="58">
        <f t="shared" si="75"/>
        <v>20.1896260293468</v>
      </c>
      <c r="W171" s="58">
        <f t="shared" si="75"/>
        <v>20.1896260293468</v>
      </c>
      <c r="X171" s="58">
        <f t="shared" si="75"/>
        <v>19.4689995104364</v>
      </c>
      <c r="Y171" s="58">
        <f t="shared" si="75"/>
        <v>22.2140650842062</v>
      </c>
      <c r="Z171" s="58">
        <f t="shared" si="75"/>
        <v>20.1896260293468</v>
      </c>
      <c r="AA171" s="58">
        <f t="shared" si="75"/>
        <v>20.1896260293468</v>
      </c>
      <c r="AB171" s="58">
        <f t="shared" si="75"/>
        <v>20.1896260293468</v>
      </c>
      <c r="AC171" s="58">
        <f t="shared" si="75"/>
        <v>20.1896260293468</v>
      </c>
      <c r="AD171" s="58">
        <f t="shared" si="75"/>
        <v>20.1896260293468</v>
      </c>
      <c r="AE171" s="58">
        <f t="shared" si="75"/>
        <v>20.1896260293468</v>
      </c>
      <c r="AF171" s="58">
        <f t="shared" si="75"/>
        <v>22.2140650842062</v>
      </c>
      <c r="AG171" s="58">
        <f t="shared" si="75"/>
        <v>22.2140650842062</v>
      </c>
      <c r="AH171" s="58">
        <f t="shared" si="75"/>
        <v>20.1896260293468</v>
      </c>
      <c r="AI171" s="58">
        <f t="shared" si="75"/>
        <v>22.2140650842062</v>
      </c>
      <c r="AJ171" s="58">
        <f t="shared" si="75"/>
        <v>20.1896260293468</v>
      </c>
      <c r="AK171" s="58">
        <f t="shared" si="75"/>
        <v>20.1896260293468</v>
      </c>
      <c r="AP171" s="58" t="s">
        <v>82</v>
      </c>
      <c r="AQ171" s="58">
        <v>2100</v>
      </c>
      <c r="AR171" s="58">
        <f t="shared" ref="AR171:BZ171" si="76" xml:space="preserve">C129*30%</f>
        <v>8.65269686972004</v>
      </c>
      <c r="AS171" s="58">
        <f t="shared" si="76"/>
        <v>8.65269686972004</v>
      </c>
      <c r="AT171" s="58">
        <f t="shared" si="76"/>
        <v>9.52031360751693</v>
      </c>
      <c r="AU171" s="58">
        <f t="shared" si="76"/>
        <v>9.52031360751693</v>
      </c>
      <c r="AV171" s="58">
        <f t="shared" si="76"/>
        <v>8.65269686972004</v>
      </c>
      <c r="AW171" s="58">
        <f t="shared" si="76"/>
        <v>9.52031360751693</v>
      </c>
      <c r="AX171" s="58">
        <f t="shared" si="76"/>
        <v>8.65269686972004</v>
      </c>
      <c r="AY171" s="58">
        <f t="shared" si="76"/>
        <v>7.94653041242304</v>
      </c>
      <c r="AZ171" s="58">
        <f t="shared" si="76"/>
        <v>8.65269686972004</v>
      </c>
      <c r="BA171" s="58">
        <f t="shared" si="76"/>
        <v>8.65269686972004</v>
      </c>
      <c r="BB171" s="58">
        <f t="shared" si="76"/>
        <v>9.52031360751693</v>
      </c>
      <c r="BC171" s="58">
        <f t="shared" si="76"/>
        <v>9.52031360751693</v>
      </c>
      <c r="BD171" s="58">
        <f t="shared" si="76"/>
        <v>8.65269686972004</v>
      </c>
      <c r="BE171" s="58">
        <f t="shared" si="76"/>
        <v>8.65269686972004</v>
      </c>
      <c r="BF171" s="58">
        <f t="shared" si="76"/>
        <v>9.52031360751693</v>
      </c>
      <c r="BG171" s="58">
        <f t="shared" si="76"/>
        <v>8.34385693304418</v>
      </c>
      <c r="BH171" s="58">
        <f t="shared" si="76"/>
        <v>9.52031360751693</v>
      </c>
      <c r="BI171" s="58">
        <f t="shared" si="76"/>
        <v>9.52031360751693</v>
      </c>
      <c r="BJ171" s="58">
        <f t="shared" si="76"/>
        <v>8.34385693304418</v>
      </c>
      <c r="BK171" s="58">
        <f t="shared" si="76"/>
        <v>8.65269686972004</v>
      </c>
      <c r="BL171" s="58">
        <f t="shared" si="76"/>
        <v>8.65269686972004</v>
      </c>
      <c r="BM171" s="58">
        <f t="shared" si="76"/>
        <v>8.34385693304418</v>
      </c>
      <c r="BN171" s="58">
        <f t="shared" si="76"/>
        <v>9.52031360751693</v>
      </c>
      <c r="BO171" s="58">
        <f t="shared" si="76"/>
        <v>8.65269686972004</v>
      </c>
      <c r="BP171" s="58">
        <f t="shared" si="76"/>
        <v>8.65269686972004</v>
      </c>
      <c r="BQ171" s="58">
        <f t="shared" si="76"/>
        <v>8.65269686972004</v>
      </c>
      <c r="BR171" s="58">
        <f t="shared" si="76"/>
        <v>8.65269686972004</v>
      </c>
      <c r="BS171" s="58">
        <f t="shared" si="76"/>
        <v>8.65269686972004</v>
      </c>
      <c r="BT171" s="58">
        <f t="shared" si="76"/>
        <v>8.65269686972004</v>
      </c>
      <c r="BU171" s="58">
        <f t="shared" si="76"/>
        <v>9.52031360751693</v>
      </c>
      <c r="BV171" s="58">
        <f t="shared" si="76"/>
        <v>9.52031360751693</v>
      </c>
      <c r="BW171" s="58">
        <f t="shared" si="76"/>
        <v>8.65269686972004</v>
      </c>
      <c r="BX171" s="58">
        <f t="shared" si="76"/>
        <v>9.52031360751693</v>
      </c>
      <c r="BY171" s="58">
        <f t="shared" si="76"/>
        <v>8.65269686972004</v>
      </c>
      <c r="BZ171" s="58">
        <f t="shared" si="76"/>
        <v>8.65269686972004</v>
      </c>
    </row>
    <row r="172" spans="1:78">
      <c r="A172" s="58" t="s">
        <v>86</v>
      </c>
      <c r="B172" s="58">
        <v>2100</v>
      </c>
      <c r="C172" s="58">
        <f t="shared" ref="C172:AK172" si="77" xml:space="preserve">C130*70%</f>
        <v>21.5734743021033</v>
      </c>
      <c r="D172" s="58">
        <f t="shared" si="77"/>
        <v>21.5734743021033</v>
      </c>
      <c r="E172" s="58">
        <f t="shared" si="77"/>
        <v>23.7366735541697</v>
      </c>
      <c r="F172" s="58">
        <f t="shared" si="77"/>
        <v>23.7366735541697</v>
      </c>
      <c r="G172" s="58">
        <f t="shared" si="77"/>
        <v>21.5734743021033</v>
      </c>
      <c r="H172" s="58">
        <f t="shared" si="77"/>
        <v>23.7366735541697</v>
      </c>
      <c r="I172" s="58">
        <f t="shared" si="77"/>
        <v>21.5734743021033</v>
      </c>
      <c r="J172" s="58">
        <f t="shared" si="77"/>
        <v>19.8128135336881</v>
      </c>
      <c r="K172" s="58">
        <f t="shared" si="77"/>
        <v>21.5734743021033</v>
      </c>
      <c r="L172" s="58">
        <f t="shared" si="77"/>
        <v>21.5734743021033</v>
      </c>
      <c r="M172" s="58">
        <f t="shared" si="77"/>
        <v>23.7366735541697</v>
      </c>
      <c r="N172" s="58">
        <f t="shared" si="77"/>
        <v>23.7366735541697</v>
      </c>
      <c r="O172" s="58">
        <f t="shared" si="77"/>
        <v>21.5734743021033</v>
      </c>
      <c r="P172" s="58">
        <f t="shared" si="77"/>
        <v>21.5734743021033</v>
      </c>
      <c r="Q172" s="58">
        <f t="shared" si="77"/>
        <v>23.7366735541697</v>
      </c>
      <c r="R172" s="58">
        <f t="shared" si="77"/>
        <v>20.8034542103726</v>
      </c>
      <c r="S172" s="58">
        <f t="shared" si="77"/>
        <v>23.7366735541697</v>
      </c>
      <c r="T172" s="58">
        <f t="shared" si="77"/>
        <v>23.7366735541697</v>
      </c>
      <c r="U172" s="58">
        <f t="shared" si="77"/>
        <v>20.8034542103726</v>
      </c>
      <c r="V172" s="58">
        <f t="shared" si="77"/>
        <v>21.5734743021033</v>
      </c>
      <c r="W172" s="58">
        <f t="shared" si="77"/>
        <v>21.5734743021033</v>
      </c>
      <c r="X172" s="58">
        <f t="shared" si="77"/>
        <v>20.8034542103726</v>
      </c>
      <c r="Y172" s="58">
        <f t="shared" si="77"/>
        <v>23.7366735541697</v>
      </c>
      <c r="Z172" s="58">
        <f t="shared" si="77"/>
        <v>21.5734743021033</v>
      </c>
      <c r="AA172" s="58">
        <f t="shared" si="77"/>
        <v>21.5734743021033</v>
      </c>
      <c r="AB172" s="58">
        <f t="shared" si="77"/>
        <v>21.5734743021033</v>
      </c>
      <c r="AC172" s="58">
        <f t="shared" si="77"/>
        <v>21.5734743021033</v>
      </c>
      <c r="AD172" s="58">
        <f t="shared" si="77"/>
        <v>21.5734743021033</v>
      </c>
      <c r="AE172" s="58">
        <f t="shared" si="77"/>
        <v>21.5734743021033</v>
      </c>
      <c r="AF172" s="58">
        <f t="shared" si="77"/>
        <v>23.7366735541697</v>
      </c>
      <c r="AG172" s="58">
        <f t="shared" si="77"/>
        <v>23.7366735541697</v>
      </c>
      <c r="AH172" s="58">
        <f t="shared" si="77"/>
        <v>21.5734743021033</v>
      </c>
      <c r="AI172" s="58">
        <f t="shared" si="77"/>
        <v>23.7366735541697</v>
      </c>
      <c r="AJ172" s="58">
        <f t="shared" si="77"/>
        <v>21.5734743021033</v>
      </c>
      <c r="AK172" s="58">
        <f t="shared" si="77"/>
        <v>21.5734743021033</v>
      </c>
      <c r="AP172" s="58" t="s">
        <v>87</v>
      </c>
      <c r="AQ172" s="58">
        <v>2100</v>
      </c>
      <c r="AR172" s="58">
        <f t="shared" ref="AR172:BZ172" si="78" xml:space="preserve">C130*30%</f>
        <v>9.24577470090141</v>
      </c>
      <c r="AS172" s="58">
        <f t="shared" si="78"/>
        <v>9.24577470090141</v>
      </c>
      <c r="AT172" s="58">
        <f t="shared" si="78"/>
        <v>10.1728600946441</v>
      </c>
      <c r="AU172" s="58">
        <f t="shared" si="78"/>
        <v>10.1728600946441</v>
      </c>
      <c r="AV172" s="58">
        <f t="shared" si="78"/>
        <v>9.24577470090141</v>
      </c>
      <c r="AW172" s="58">
        <f t="shared" si="78"/>
        <v>10.1728600946441</v>
      </c>
      <c r="AX172" s="58">
        <f t="shared" si="78"/>
        <v>9.24577470090141</v>
      </c>
      <c r="AY172" s="58">
        <f t="shared" si="78"/>
        <v>8.49120580015206</v>
      </c>
      <c r="AZ172" s="58">
        <f t="shared" si="78"/>
        <v>9.24577470090141</v>
      </c>
      <c r="BA172" s="58">
        <f t="shared" si="78"/>
        <v>9.24577470090141</v>
      </c>
      <c r="BB172" s="58">
        <f t="shared" si="78"/>
        <v>10.1728600946441</v>
      </c>
      <c r="BC172" s="58">
        <f t="shared" si="78"/>
        <v>10.1728600946441</v>
      </c>
      <c r="BD172" s="58">
        <f t="shared" si="78"/>
        <v>9.24577470090141</v>
      </c>
      <c r="BE172" s="58">
        <f t="shared" si="78"/>
        <v>9.24577470090141</v>
      </c>
      <c r="BF172" s="58">
        <f t="shared" si="78"/>
        <v>10.1728600946441</v>
      </c>
      <c r="BG172" s="58">
        <f t="shared" si="78"/>
        <v>8.91576609015969</v>
      </c>
      <c r="BH172" s="58">
        <f t="shared" si="78"/>
        <v>10.1728600946441</v>
      </c>
      <c r="BI172" s="58">
        <f t="shared" si="78"/>
        <v>10.1728600946441</v>
      </c>
      <c r="BJ172" s="58">
        <f t="shared" si="78"/>
        <v>8.91576609015969</v>
      </c>
      <c r="BK172" s="58">
        <f t="shared" si="78"/>
        <v>9.24577470090141</v>
      </c>
      <c r="BL172" s="58">
        <f t="shared" si="78"/>
        <v>9.24577470090141</v>
      </c>
      <c r="BM172" s="58">
        <f t="shared" si="78"/>
        <v>8.91576609015969</v>
      </c>
      <c r="BN172" s="58">
        <f t="shared" si="78"/>
        <v>10.1728600946441</v>
      </c>
      <c r="BO172" s="58">
        <f t="shared" si="78"/>
        <v>9.24577470090141</v>
      </c>
      <c r="BP172" s="58">
        <f t="shared" si="78"/>
        <v>9.24577470090141</v>
      </c>
      <c r="BQ172" s="58">
        <f t="shared" si="78"/>
        <v>9.24577470090141</v>
      </c>
      <c r="BR172" s="58">
        <f t="shared" si="78"/>
        <v>9.24577470090141</v>
      </c>
      <c r="BS172" s="58">
        <f t="shared" si="78"/>
        <v>9.24577470090141</v>
      </c>
      <c r="BT172" s="58">
        <f t="shared" si="78"/>
        <v>9.24577470090141</v>
      </c>
      <c r="BU172" s="58">
        <f t="shared" si="78"/>
        <v>10.1728600946441</v>
      </c>
      <c r="BV172" s="58">
        <f t="shared" si="78"/>
        <v>10.1728600946441</v>
      </c>
      <c r="BW172" s="58">
        <f t="shared" si="78"/>
        <v>9.24577470090141</v>
      </c>
      <c r="BX172" s="58">
        <f t="shared" si="78"/>
        <v>10.1728600946441</v>
      </c>
      <c r="BY172" s="58">
        <f t="shared" si="78"/>
        <v>9.24577470090141</v>
      </c>
      <c r="BZ172" s="58">
        <f t="shared" si="78"/>
        <v>9.24577470090141</v>
      </c>
    </row>
    <row r="173" spans="1:78">
      <c r="A173" s="58" t="s">
        <v>90</v>
      </c>
      <c r="B173" s="58">
        <v>2100</v>
      </c>
      <c r="C173" s="58">
        <f t="shared" ref="C173:AK173" si="79" xml:space="preserve">C131*70%</f>
        <v>20.8357433666887</v>
      </c>
      <c r="D173" s="58">
        <f t="shared" si="79"/>
        <v>20.8357433666887</v>
      </c>
      <c r="E173" s="58">
        <f t="shared" si="79"/>
        <v>22.9249694151177</v>
      </c>
      <c r="F173" s="58">
        <f t="shared" si="79"/>
        <v>22.9249694151177</v>
      </c>
      <c r="G173" s="58">
        <f t="shared" si="79"/>
        <v>20.8357433666887</v>
      </c>
      <c r="H173" s="58">
        <f t="shared" si="79"/>
        <v>22.9249694151177</v>
      </c>
      <c r="I173" s="58">
        <f t="shared" si="79"/>
        <v>20.8357433666887</v>
      </c>
      <c r="J173" s="58">
        <f t="shared" si="79"/>
        <v>19.1352905136719</v>
      </c>
      <c r="K173" s="58">
        <f t="shared" si="79"/>
        <v>20.8357433666887</v>
      </c>
      <c r="L173" s="58">
        <f t="shared" si="79"/>
        <v>20.8357433666887</v>
      </c>
      <c r="M173" s="58">
        <f t="shared" si="79"/>
        <v>22.9249694151177</v>
      </c>
      <c r="N173" s="58">
        <f t="shared" si="79"/>
        <v>22.9249694151177</v>
      </c>
      <c r="O173" s="58">
        <f t="shared" si="79"/>
        <v>20.8357433666887</v>
      </c>
      <c r="P173" s="58">
        <f t="shared" si="79"/>
        <v>20.8357433666887</v>
      </c>
      <c r="Q173" s="58">
        <f t="shared" si="79"/>
        <v>22.9249694151177</v>
      </c>
      <c r="R173" s="58">
        <f t="shared" si="79"/>
        <v>20.0920550393555</v>
      </c>
      <c r="S173" s="58">
        <f t="shared" si="79"/>
        <v>22.9249694151177</v>
      </c>
      <c r="T173" s="58">
        <f t="shared" si="79"/>
        <v>22.9249694151177</v>
      </c>
      <c r="U173" s="58">
        <f t="shared" si="79"/>
        <v>20.0920550393555</v>
      </c>
      <c r="V173" s="58">
        <f t="shared" si="79"/>
        <v>20.8357433666887</v>
      </c>
      <c r="W173" s="58">
        <f t="shared" si="79"/>
        <v>20.8357433666887</v>
      </c>
      <c r="X173" s="58">
        <f t="shared" si="79"/>
        <v>20.0920550393555</v>
      </c>
      <c r="Y173" s="58">
        <f t="shared" si="79"/>
        <v>22.9249694151177</v>
      </c>
      <c r="Z173" s="58">
        <f t="shared" si="79"/>
        <v>20.8357433666887</v>
      </c>
      <c r="AA173" s="58">
        <f t="shared" si="79"/>
        <v>20.8357433666887</v>
      </c>
      <c r="AB173" s="58">
        <f t="shared" si="79"/>
        <v>20.8357433666887</v>
      </c>
      <c r="AC173" s="58">
        <f t="shared" si="79"/>
        <v>20.8357433666887</v>
      </c>
      <c r="AD173" s="58">
        <f t="shared" si="79"/>
        <v>20.8357433666887</v>
      </c>
      <c r="AE173" s="58">
        <f t="shared" si="79"/>
        <v>20.8357433666887</v>
      </c>
      <c r="AF173" s="58">
        <f t="shared" si="79"/>
        <v>22.9249694151177</v>
      </c>
      <c r="AG173" s="58">
        <f t="shared" si="79"/>
        <v>22.9249694151177</v>
      </c>
      <c r="AH173" s="58">
        <f t="shared" si="79"/>
        <v>20.8357433666887</v>
      </c>
      <c r="AI173" s="58">
        <f t="shared" si="79"/>
        <v>22.9249694151177</v>
      </c>
      <c r="AJ173" s="58">
        <f t="shared" si="79"/>
        <v>20.8357433666887</v>
      </c>
      <c r="AK173" s="58">
        <f t="shared" si="79"/>
        <v>20.8357433666887</v>
      </c>
      <c r="AP173" s="58" t="s">
        <v>91</v>
      </c>
      <c r="AQ173" s="58">
        <v>2100</v>
      </c>
      <c r="AR173" s="58">
        <f t="shared" ref="AR173:BZ173" si="80" xml:space="preserve">C131*30%</f>
        <v>8.92960430000943</v>
      </c>
      <c r="AS173" s="58">
        <f t="shared" si="80"/>
        <v>8.92960430000943</v>
      </c>
      <c r="AT173" s="58">
        <f t="shared" si="80"/>
        <v>9.8249868921933</v>
      </c>
      <c r="AU173" s="58">
        <f t="shared" si="80"/>
        <v>9.8249868921933</v>
      </c>
      <c r="AV173" s="58">
        <f t="shared" si="80"/>
        <v>8.92960430000943</v>
      </c>
      <c r="AW173" s="58">
        <f t="shared" si="80"/>
        <v>9.8249868921933</v>
      </c>
      <c r="AX173" s="58">
        <f t="shared" si="80"/>
        <v>8.92960430000943</v>
      </c>
      <c r="AY173" s="58">
        <f t="shared" si="80"/>
        <v>8.20083879157368</v>
      </c>
      <c r="AZ173" s="58">
        <f t="shared" si="80"/>
        <v>8.92960430000943</v>
      </c>
      <c r="BA173" s="58">
        <f t="shared" si="80"/>
        <v>8.92960430000943</v>
      </c>
      <c r="BB173" s="58">
        <f t="shared" si="80"/>
        <v>9.8249868921933</v>
      </c>
      <c r="BC173" s="58">
        <f t="shared" si="80"/>
        <v>9.8249868921933</v>
      </c>
      <c r="BD173" s="58">
        <f t="shared" si="80"/>
        <v>8.92960430000943</v>
      </c>
      <c r="BE173" s="58">
        <f t="shared" si="80"/>
        <v>8.92960430000943</v>
      </c>
      <c r="BF173" s="58">
        <f t="shared" si="80"/>
        <v>9.8249868921933</v>
      </c>
      <c r="BG173" s="58">
        <f t="shared" si="80"/>
        <v>8.61088073115237</v>
      </c>
      <c r="BH173" s="58">
        <f t="shared" si="80"/>
        <v>9.8249868921933</v>
      </c>
      <c r="BI173" s="58">
        <f t="shared" si="80"/>
        <v>9.8249868921933</v>
      </c>
      <c r="BJ173" s="58">
        <f t="shared" si="80"/>
        <v>8.61088073115237</v>
      </c>
      <c r="BK173" s="58">
        <f t="shared" si="80"/>
        <v>8.92960430000943</v>
      </c>
      <c r="BL173" s="58">
        <f t="shared" si="80"/>
        <v>8.92960430000943</v>
      </c>
      <c r="BM173" s="58">
        <f t="shared" si="80"/>
        <v>8.61088073115237</v>
      </c>
      <c r="BN173" s="58">
        <f t="shared" si="80"/>
        <v>9.8249868921933</v>
      </c>
      <c r="BO173" s="58">
        <f t="shared" si="80"/>
        <v>8.92960430000943</v>
      </c>
      <c r="BP173" s="58">
        <f t="shared" si="80"/>
        <v>8.92960430000943</v>
      </c>
      <c r="BQ173" s="58">
        <f t="shared" si="80"/>
        <v>8.92960430000943</v>
      </c>
      <c r="BR173" s="58">
        <f t="shared" si="80"/>
        <v>8.92960430000943</v>
      </c>
      <c r="BS173" s="58">
        <f t="shared" si="80"/>
        <v>8.92960430000943</v>
      </c>
      <c r="BT173" s="58">
        <f t="shared" si="80"/>
        <v>8.92960430000943</v>
      </c>
      <c r="BU173" s="58">
        <f t="shared" si="80"/>
        <v>9.8249868921933</v>
      </c>
      <c r="BV173" s="58">
        <f t="shared" si="80"/>
        <v>9.8249868921933</v>
      </c>
      <c r="BW173" s="58">
        <f t="shared" si="80"/>
        <v>8.92960430000943</v>
      </c>
      <c r="BX173" s="58">
        <f t="shared" si="80"/>
        <v>9.8249868921933</v>
      </c>
      <c r="BY173" s="58">
        <f t="shared" si="80"/>
        <v>8.92960430000943</v>
      </c>
      <c r="BZ173" s="58">
        <f t="shared" si="80"/>
        <v>8.92960430000943</v>
      </c>
    </row>
    <row r="174" spans="1:78">
      <c r="A174" s="58" t="s">
        <v>94</v>
      </c>
      <c r="B174" s="58">
        <v>2100</v>
      </c>
      <c r="C174" s="58">
        <f t="shared" ref="C174:AK174" si="81" xml:space="preserve">C132*70%</f>
        <v>21.7994213212999</v>
      </c>
      <c r="D174" s="58">
        <f t="shared" si="81"/>
        <v>21.7994213212999</v>
      </c>
      <c r="E174" s="58">
        <f t="shared" si="81"/>
        <v>23.9852765635925</v>
      </c>
      <c r="F174" s="58">
        <f t="shared" si="81"/>
        <v>23.9852765635925</v>
      </c>
      <c r="G174" s="58">
        <f t="shared" si="81"/>
        <v>21.7994213212999</v>
      </c>
      <c r="H174" s="58">
        <f t="shared" si="81"/>
        <v>23.9852765635925</v>
      </c>
      <c r="I174" s="58">
        <f t="shared" si="81"/>
        <v>21.7994213212999</v>
      </c>
      <c r="J174" s="58">
        <f t="shared" si="81"/>
        <v>20.0203204978956</v>
      </c>
      <c r="K174" s="58">
        <f t="shared" si="81"/>
        <v>21.7994213212999</v>
      </c>
      <c r="L174" s="58">
        <f t="shared" si="81"/>
        <v>21.7994213212999</v>
      </c>
      <c r="M174" s="58">
        <f t="shared" si="81"/>
        <v>23.9852765635925</v>
      </c>
      <c r="N174" s="58">
        <f t="shared" si="81"/>
        <v>23.9852765635925</v>
      </c>
      <c r="O174" s="58">
        <f t="shared" si="81"/>
        <v>21.7994213212999</v>
      </c>
      <c r="P174" s="58">
        <f t="shared" si="81"/>
        <v>21.7994213212999</v>
      </c>
      <c r="Q174" s="58">
        <f t="shared" si="81"/>
        <v>23.9852765635925</v>
      </c>
      <c r="R174" s="58">
        <f t="shared" si="81"/>
        <v>21.0213365227904</v>
      </c>
      <c r="S174" s="58">
        <f t="shared" si="81"/>
        <v>23.9852765635925</v>
      </c>
      <c r="T174" s="58">
        <f t="shared" si="81"/>
        <v>23.9852765635925</v>
      </c>
      <c r="U174" s="58">
        <f t="shared" si="81"/>
        <v>21.0213365227904</v>
      </c>
      <c r="V174" s="58">
        <f t="shared" si="81"/>
        <v>21.7994213212999</v>
      </c>
      <c r="W174" s="58">
        <f t="shared" si="81"/>
        <v>21.7994213212999</v>
      </c>
      <c r="X174" s="58">
        <f t="shared" si="81"/>
        <v>21.0213365227904</v>
      </c>
      <c r="Y174" s="58">
        <f t="shared" si="81"/>
        <v>23.9852765635925</v>
      </c>
      <c r="Z174" s="58">
        <f t="shared" si="81"/>
        <v>21.7994213212999</v>
      </c>
      <c r="AA174" s="58">
        <f t="shared" si="81"/>
        <v>21.7994213212999</v>
      </c>
      <c r="AB174" s="58">
        <f t="shared" si="81"/>
        <v>21.7994213212999</v>
      </c>
      <c r="AC174" s="58">
        <f t="shared" si="81"/>
        <v>21.7994213212999</v>
      </c>
      <c r="AD174" s="58">
        <f t="shared" si="81"/>
        <v>21.7994213212999</v>
      </c>
      <c r="AE174" s="58">
        <f t="shared" si="81"/>
        <v>21.7994213212999</v>
      </c>
      <c r="AF174" s="58">
        <f t="shared" si="81"/>
        <v>23.9852765635925</v>
      </c>
      <c r="AG174" s="58">
        <f t="shared" si="81"/>
        <v>23.9852765635925</v>
      </c>
      <c r="AH174" s="58">
        <f t="shared" si="81"/>
        <v>21.7994213212999</v>
      </c>
      <c r="AI174" s="58">
        <f t="shared" si="81"/>
        <v>23.9852765635925</v>
      </c>
      <c r="AJ174" s="58">
        <f t="shared" si="81"/>
        <v>21.7994213212999</v>
      </c>
      <c r="AK174" s="58">
        <f t="shared" si="81"/>
        <v>21.7994213212999</v>
      </c>
      <c r="AP174" s="58" t="s">
        <v>95</v>
      </c>
      <c r="AQ174" s="58">
        <v>2100</v>
      </c>
      <c r="AR174" s="58">
        <f t="shared" ref="AR174:BZ174" si="82" xml:space="preserve">C132*30%</f>
        <v>9.34260913769997</v>
      </c>
      <c r="AS174" s="58">
        <f t="shared" si="82"/>
        <v>9.34260913769997</v>
      </c>
      <c r="AT174" s="58">
        <f t="shared" si="82"/>
        <v>10.2794042415396</v>
      </c>
      <c r="AU174" s="58">
        <f t="shared" si="82"/>
        <v>10.2794042415396</v>
      </c>
      <c r="AV174" s="58">
        <f t="shared" si="82"/>
        <v>9.34260913769997</v>
      </c>
      <c r="AW174" s="58">
        <f t="shared" si="82"/>
        <v>10.2794042415396</v>
      </c>
      <c r="AX174" s="58">
        <f t="shared" si="82"/>
        <v>9.34260913769997</v>
      </c>
      <c r="AY174" s="58">
        <f t="shared" si="82"/>
        <v>8.58013735624098</v>
      </c>
      <c r="AZ174" s="58">
        <f t="shared" si="82"/>
        <v>9.34260913769997</v>
      </c>
      <c r="BA174" s="58">
        <f t="shared" si="82"/>
        <v>9.34260913769997</v>
      </c>
      <c r="BB174" s="58">
        <f t="shared" si="82"/>
        <v>10.2794042415396</v>
      </c>
      <c r="BC174" s="58">
        <f t="shared" si="82"/>
        <v>10.2794042415396</v>
      </c>
      <c r="BD174" s="58">
        <f t="shared" si="82"/>
        <v>9.34260913769997</v>
      </c>
      <c r="BE174" s="58">
        <f t="shared" si="82"/>
        <v>9.34260913769997</v>
      </c>
      <c r="BF174" s="58">
        <f t="shared" si="82"/>
        <v>10.2794042415396</v>
      </c>
      <c r="BG174" s="58">
        <f t="shared" si="82"/>
        <v>9.00914422405302</v>
      </c>
      <c r="BH174" s="58">
        <f t="shared" si="82"/>
        <v>10.2794042415396</v>
      </c>
      <c r="BI174" s="58">
        <f t="shared" si="82"/>
        <v>10.2794042415396</v>
      </c>
      <c r="BJ174" s="58">
        <f t="shared" si="82"/>
        <v>9.00914422405302</v>
      </c>
      <c r="BK174" s="58">
        <f t="shared" si="82"/>
        <v>9.34260913769997</v>
      </c>
      <c r="BL174" s="58">
        <f t="shared" si="82"/>
        <v>9.34260913769997</v>
      </c>
      <c r="BM174" s="58">
        <f t="shared" si="82"/>
        <v>9.00914422405302</v>
      </c>
      <c r="BN174" s="58">
        <f t="shared" si="82"/>
        <v>10.2794042415396</v>
      </c>
      <c r="BO174" s="58">
        <f t="shared" si="82"/>
        <v>9.34260913769997</v>
      </c>
      <c r="BP174" s="58">
        <f t="shared" si="82"/>
        <v>9.34260913769997</v>
      </c>
      <c r="BQ174" s="58">
        <f t="shared" si="82"/>
        <v>9.34260913769997</v>
      </c>
      <c r="BR174" s="58">
        <f t="shared" si="82"/>
        <v>9.34260913769997</v>
      </c>
      <c r="BS174" s="58">
        <f t="shared" si="82"/>
        <v>9.34260913769997</v>
      </c>
      <c r="BT174" s="58">
        <f t="shared" si="82"/>
        <v>9.34260913769997</v>
      </c>
      <c r="BU174" s="58">
        <f t="shared" si="82"/>
        <v>10.2794042415396</v>
      </c>
      <c r="BV174" s="58">
        <f t="shared" si="82"/>
        <v>10.2794042415396</v>
      </c>
      <c r="BW174" s="58">
        <f t="shared" si="82"/>
        <v>9.34260913769997</v>
      </c>
      <c r="BX174" s="58">
        <f t="shared" si="82"/>
        <v>10.2794042415396</v>
      </c>
      <c r="BY174" s="58">
        <f t="shared" si="82"/>
        <v>9.34260913769997</v>
      </c>
      <c r="BZ174" s="58">
        <f t="shared" si="82"/>
        <v>9.34260913769997</v>
      </c>
    </row>
    <row r="175" spans="1:78">
      <c r="A175" s="58" t="s">
        <v>97</v>
      </c>
      <c r="B175" s="58">
        <v>2100</v>
      </c>
      <c r="C175" s="58">
        <f t="shared" ref="C175:AK175" si="83" xml:space="preserve">C133*70%</f>
        <v>20.1631786941846</v>
      </c>
      <c r="D175" s="58">
        <f t="shared" si="83"/>
        <v>20.1631786941846</v>
      </c>
      <c r="E175" s="58">
        <f t="shared" si="83"/>
        <v>22.1849658416673</v>
      </c>
      <c r="F175" s="58">
        <f t="shared" si="83"/>
        <v>22.1849658416673</v>
      </c>
      <c r="G175" s="58">
        <f t="shared" si="83"/>
        <v>20.1631786941846</v>
      </c>
      <c r="H175" s="58">
        <f t="shared" si="83"/>
        <v>22.1849658416673</v>
      </c>
      <c r="I175" s="58">
        <f t="shared" si="83"/>
        <v>20.1631786941846</v>
      </c>
      <c r="J175" s="58">
        <f t="shared" si="83"/>
        <v>18.5176153882347</v>
      </c>
      <c r="K175" s="58">
        <f t="shared" si="83"/>
        <v>20.1631786941846</v>
      </c>
      <c r="L175" s="58">
        <f t="shared" si="83"/>
        <v>20.1631786941846</v>
      </c>
      <c r="M175" s="58">
        <f t="shared" si="83"/>
        <v>22.1849658416673</v>
      </c>
      <c r="N175" s="58">
        <f t="shared" si="83"/>
        <v>22.1849658416673</v>
      </c>
      <c r="O175" s="58">
        <f t="shared" si="83"/>
        <v>20.1631786941846</v>
      </c>
      <c r="P175" s="58">
        <f t="shared" si="83"/>
        <v>20.1631786941846</v>
      </c>
      <c r="Q175" s="58">
        <f t="shared" si="83"/>
        <v>22.1849658416673</v>
      </c>
      <c r="R175" s="58">
        <f t="shared" si="83"/>
        <v>19.4434961576465</v>
      </c>
      <c r="S175" s="58">
        <f t="shared" si="83"/>
        <v>22.1849658416673</v>
      </c>
      <c r="T175" s="58">
        <f t="shared" si="83"/>
        <v>22.1849658416673</v>
      </c>
      <c r="U175" s="58">
        <f t="shared" si="83"/>
        <v>19.4434961576465</v>
      </c>
      <c r="V175" s="58">
        <f t="shared" si="83"/>
        <v>20.1631786941846</v>
      </c>
      <c r="W175" s="58">
        <f t="shared" si="83"/>
        <v>20.1631786941846</v>
      </c>
      <c r="X175" s="58">
        <f t="shared" si="83"/>
        <v>19.4434961576465</v>
      </c>
      <c r="Y175" s="58">
        <f t="shared" si="83"/>
        <v>22.1849658416673</v>
      </c>
      <c r="Z175" s="58">
        <f t="shared" si="83"/>
        <v>20.1631786941846</v>
      </c>
      <c r="AA175" s="58">
        <f t="shared" si="83"/>
        <v>20.1631786941846</v>
      </c>
      <c r="AB175" s="58">
        <f t="shared" si="83"/>
        <v>20.1631786941846</v>
      </c>
      <c r="AC175" s="58">
        <f t="shared" si="83"/>
        <v>20.1631786941846</v>
      </c>
      <c r="AD175" s="58">
        <f t="shared" si="83"/>
        <v>20.1631786941846</v>
      </c>
      <c r="AE175" s="58">
        <f t="shared" si="83"/>
        <v>20.1631786941846</v>
      </c>
      <c r="AF175" s="58">
        <f t="shared" si="83"/>
        <v>22.1849658416673</v>
      </c>
      <c r="AG175" s="58">
        <f t="shared" si="83"/>
        <v>22.1849658416673</v>
      </c>
      <c r="AH175" s="58">
        <f t="shared" si="83"/>
        <v>20.1631786941846</v>
      </c>
      <c r="AI175" s="58">
        <f t="shared" si="83"/>
        <v>22.1849658416673</v>
      </c>
      <c r="AJ175" s="58">
        <f t="shared" si="83"/>
        <v>20.1631786941846</v>
      </c>
      <c r="AK175" s="58">
        <f t="shared" si="83"/>
        <v>20.1631786941846</v>
      </c>
      <c r="AP175" s="58" t="s">
        <v>98</v>
      </c>
      <c r="AQ175" s="58">
        <v>2100</v>
      </c>
      <c r="AR175" s="58">
        <f t="shared" ref="AR175:BZ175" si="84" xml:space="preserve">C133*30%</f>
        <v>8.64136229750769</v>
      </c>
      <c r="AS175" s="58">
        <f t="shared" si="84"/>
        <v>8.64136229750769</v>
      </c>
      <c r="AT175" s="58">
        <f t="shared" si="84"/>
        <v>9.5078425035717</v>
      </c>
      <c r="AU175" s="58">
        <f t="shared" si="84"/>
        <v>9.5078425035717</v>
      </c>
      <c r="AV175" s="58">
        <f t="shared" si="84"/>
        <v>8.64136229750769</v>
      </c>
      <c r="AW175" s="58">
        <f t="shared" si="84"/>
        <v>9.5078425035717</v>
      </c>
      <c r="AX175" s="58">
        <f t="shared" si="84"/>
        <v>8.64136229750769</v>
      </c>
      <c r="AY175" s="58">
        <f t="shared" si="84"/>
        <v>7.93612088067201</v>
      </c>
      <c r="AZ175" s="58">
        <f t="shared" si="84"/>
        <v>8.64136229750769</v>
      </c>
      <c r="BA175" s="58">
        <f t="shared" si="84"/>
        <v>8.64136229750769</v>
      </c>
      <c r="BB175" s="58">
        <f t="shared" si="84"/>
        <v>9.5078425035717</v>
      </c>
      <c r="BC175" s="58">
        <f t="shared" si="84"/>
        <v>9.5078425035717</v>
      </c>
      <c r="BD175" s="58">
        <f t="shared" si="84"/>
        <v>8.64136229750769</v>
      </c>
      <c r="BE175" s="58">
        <f t="shared" si="84"/>
        <v>8.64136229750769</v>
      </c>
      <c r="BF175" s="58">
        <f t="shared" si="84"/>
        <v>9.5078425035717</v>
      </c>
      <c r="BG175" s="58">
        <f t="shared" si="84"/>
        <v>8.33292692470563</v>
      </c>
      <c r="BH175" s="58">
        <f t="shared" si="84"/>
        <v>9.5078425035717</v>
      </c>
      <c r="BI175" s="58">
        <f t="shared" si="84"/>
        <v>9.5078425035717</v>
      </c>
      <c r="BJ175" s="58">
        <f t="shared" si="84"/>
        <v>8.33292692470563</v>
      </c>
      <c r="BK175" s="58">
        <f t="shared" si="84"/>
        <v>8.64136229750769</v>
      </c>
      <c r="BL175" s="58">
        <f t="shared" si="84"/>
        <v>8.64136229750769</v>
      </c>
      <c r="BM175" s="58">
        <f t="shared" si="84"/>
        <v>8.33292692470563</v>
      </c>
      <c r="BN175" s="58">
        <f t="shared" si="84"/>
        <v>9.5078425035717</v>
      </c>
      <c r="BO175" s="58">
        <f t="shared" si="84"/>
        <v>8.64136229750769</v>
      </c>
      <c r="BP175" s="58">
        <f t="shared" si="84"/>
        <v>8.64136229750769</v>
      </c>
      <c r="BQ175" s="58">
        <f t="shared" si="84"/>
        <v>8.64136229750769</v>
      </c>
      <c r="BR175" s="58">
        <f t="shared" si="84"/>
        <v>8.64136229750769</v>
      </c>
      <c r="BS175" s="58">
        <f t="shared" si="84"/>
        <v>8.64136229750769</v>
      </c>
      <c r="BT175" s="58">
        <f t="shared" si="84"/>
        <v>8.64136229750769</v>
      </c>
      <c r="BU175" s="58">
        <f t="shared" si="84"/>
        <v>9.5078425035717</v>
      </c>
      <c r="BV175" s="58">
        <f t="shared" si="84"/>
        <v>9.5078425035717</v>
      </c>
      <c r="BW175" s="58">
        <f t="shared" si="84"/>
        <v>8.64136229750769</v>
      </c>
      <c r="BX175" s="58">
        <f t="shared" si="84"/>
        <v>9.5078425035717</v>
      </c>
      <c r="BY175" s="58">
        <f t="shared" si="84"/>
        <v>8.64136229750769</v>
      </c>
      <c r="BZ175" s="58">
        <f t="shared" si="84"/>
        <v>8.64136229750769</v>
      </c>
    </row>
    <row r="180" spans="1:37">
      <c r="C180" s="80" t="s">
        <v>3</v>
      </c>
      <c r="D180" s="80" t="s">
        <v>5</v>
      </c>
      <c r="E180" s="80" t="s">
        <v>6</v>
      </c>
      <c r="F180" s="80" t="s">
        <v>7</v>
      </c>
      <c r="G180" s="80" t="s">
        <v>8</v>
      </c>
      <c r="H180" t="s">
        <v>9</v>
      </c>
      <c r="I180" t="s">
        <v>10</v>
      </c>
      <c r="J180" t="s">
        <v>11</v>
      </c>
      <c r="K180" t="s">
        <v>12</v>
      </c>
      <c r="L180" t="s">
        <v>13</v>
      </c>
      <c r="M180" t="s">
        <v>14</v>
      </c>
      <c r="N180" t="s">
        <v>15</v>
      </c>
      <c r="O180" t="s">
        <v>16</v>
      </c>
      <c r="P180" t="s">
        <v>17</v>
      </c>
      <c r="Q180" t="s">
        <v>18</v>
      </c>
      <c r="R180" t="s">
        <v>19</v>
      </c>
      <c r="S180" t="s">
        <v>20</v>
      </c>
      <c r="T180" t="s">
        <v>21</v>
      </c>
      <c r="U180" t="s">
        <v>22</v>
      </c>
      <c r="V180" t="s">
        <v>23</v>
      </c>
      <c r="W180" t="s">
        <v>24</v>
      </c>
      <c r="X180" t="s">
        <v>25</v>
      </c>
      <c r="Y180" t="s">
        <v>26</v>
      </c>
      <c r="Z180" t="s">
        <v>27</v>
      </c>
      <c r="AA180" t="s">
        <v>28</v>
      </c>
      <c r="AB180" t="s">
        <v>29</v>
      </c>
      <c r="AC180" t="s">
        <v>30</v>
      </c>
      <c r="AD180" t="s">
        <v>31</v>
      </c>
      <c r="AE180" t="s">
        <v>32</v>
      </c>
      <c r="AF180" t="s">
        <v>33</v>
      </c>
      <c r="AG180" t="s">
        <v>34</v>
      </c>
      <c r="AH180" t="s">
        <v>35</v>
      </c>
      <c r="AI180" t="s">
        <v>36</v>
      </c>
      <c r="AJ180" t="s">
        <v>37</v>
      </c>
      <c r="AK180" t="s">
        <v>38</v>
      </c>
    </row>
    <row r="182" spans="1:37">
      <c r="C182" s="162">
        <f xml:space="preserve">IF(C167=C180,1,0)</f>
        <v>1</v>
      </c>
      <c r="D182" s="162">
        <f t="shared" ref="D182:AK182" si="85" xml:space="preserve">IF(D167=D180,1,0)</f>
        <v>1</v>
      </c>
      <c r="E182" s="162">
        <f t="shared" si="85"/>
        <v>1</v>
      </c>
      <c r="F182" s="162">
        <f t="shared" si="85"/>
        <v>1</v>
      </c>
      <c r="G182" s="162">
        <f t="shared" si="85"/>
        <v>1</v>
      </c>
      <c r="H182" s="162">
        <f t="shared" si="85"/>
        <v>1</v>
      </c>
      <c r="I182" s="162">
        <f t="shared" si="85"/>
        <v>1</v>
      </c>
      <c r="J182" s="162">
        <f t="shared" si="85"/>
        <v>1</v>
      </c>
      <c r="K182" s="162">
        <f t="shared" si="85"/>
        <v>1</v>
      </c>
      <c r="L182" s="162">
        <f t="shared" si="85"/>
        <v>1</v>
      </c>
      <c r="M182" s="162">
        <f t="shared" si="85"/>
        <v>1</v>
      </c>
      <c r="N182" s="162">
        <f t="shared" si="85"/>
        <v>1</v>
      </c>
      <c r="O182" s="162">
        <f t="shared" si="85"/>
        <v>1</v>
      </c>
      <c r="P182" s="162">
        <f t="shared" si="85"/>
        <v>1</v>
      </c>
      <c r="Q182" s="162">
        <f t="shared" si="85"/>
        <v>1</v>
      </c>
      <c r="R182" s="162">
        <f t="shared" si="85"/>
        <v>1</v>
      </c>
      <c r="S182" s="162">
        <f t="shared" si="85"/>
        <v>1</v>
      </c>
      <c r="T182" s="162">
        <f t="shared" si="85"/>
        <v>1</v>
      </c>
      <c r="U182" s="162">
        <f t="shared" si="85"/>
        <v>1</v>
      </c>
      <c r="V182" s="162">
        <f t="shared" si="85"/>
        <v>1</v>
      </c>
      <c r="W182" s="162">
        <f t="shared" si="85"/>
        <v>1</v>
      </c>
      <c r="X182" s="162">
        <f t="shared" si="85"/>
        <v>1</v>
      </c>
      <c r="Y182" s="162">
        <f t="shared" si="85"/>
        <v>1</v>
      </c>
      <c r="Z182" s="162">
        <f t="shared" si="85"/>
        <v>1</v>
      </c>
      <c r="AA182" s="162">
        <f t="shared" si="85"/>
        <v>1</v>
      </c>
      <c r="AB182" s="162">
        <f t="shared" si="85"/>
        <v>1</v>
      </c>
      <c r="AC182" s="162">
        <f t="shared" si="85"/>
        <v>1</v>
      </c>
      <c r="AD182" s="162">
        <f t="shared" si="85"/>
        <v>1</v>
      </c>
      <c r="AE182" s="162">
        <f t="shared" si="85"/>
        <v>1</v>
      </c>
      <c r="AF182" s="162">
        <f t="shared" si="85"/>
        <v>1</v>
      </c>
      <c r="AG182" s="162">
        <f t="shared" si="85"/>
        <v>1</v>
      </c>
      <c r="AH182" s="162">
        <f t="shared" si="85"/>
        <v>1</v>
      </c>
      <c r="AI182" s="162">
        <f t="shared" si="85"/>
        <v>1</v>
      </c>
      <c r="AJ182" s="162">
        <f t="shared" si="85"/>
        <v>1</v>
      </c>
      <c r="AK182" s="162">
        <f t="shared" si="85"/>
        <v>1</v>
      </c>
    </row>
    <row r="185" spans="1:37">
      <c r="A185" s="165" t="s">
        <v>141</v>
      </c>
    </row>
    <row r="186" spans="1:37">
      <c r="A186" s="192" t="s">
        <v>142</v>
      </c>
      <c r="B186" s="192"/>
      <c r="C186" s="192"/>
      <c r="D186" s="192"/>
      <c r="E186" s="192"/>
      <c r="F186" s="192"/>
      <c r="G186" s="192"/>
      <c r="H186" s="192"/>
      <c r="I186" s="192"/>
      <c r="J186" s="192"/>
      <c r="K186" s="192"/>
      <c r="L186" s="192"/>
    </row>
    <row r="187" spans="1:37">
      <c r="A187" s="192"/>
      <c r="B187" s="192"/>
      <c r="C187" s="192"/>
      <c r="D187" s="192"/>
      <c r="E187" s="192"/>
      <c r="F187" s="192"/>
      <c r="G187" s="192"/>
      <c r="H187" s="192"/>
      <c r="I187" s="192"/>
      <c r="J187" s="192"/>
      <c r="K187" s="192"/>
      <c r="L187" s="192"/>
    </row>
    <row r="188" spans="1:37">
      <c r="A188" s="192"/>
      <c r="B188" s="192"/>
      <c r="C188" s="192"/>
      <c r="D188" s="192"/>
      <c r="E188" s="192"/>
      <c r="F188" s="192"/>
      <c r="G188" s="192"/>
      <c r="H188" s="192"/>
      <c r="I188" s="192"/>
      <c r="J188" s="192"/>
      <c r="K188" s="192"/>
      <c r="L188" s="192"/>
    </row>
    <row r="190" spans="1:37">
      <c r="A190" s="193" t="s">
        <v>143</v>
      </c>
      <c r="B190" s="193"/>
      <c r="C190" s="193"/>
      <c r="D190" s="193"/>
      <c r="E190" s="193"/>
      <c r="F190" s="193"/>
      <c r="G190" s="193"/>
      <c r="H190" s="193"/>
      <c r="I190" s="193"/>
      <c r="J190" s="193"/>
      <c r="K190" s="193"/>
      <c r="L190" s="193"/>
    </row>
    <row r="191" spans="1:37">
      <c r="A191" s="193"/>
      <c r="B191" s="193"/>
      <c r="C191" s="193"/>
      <c r="D191" s="193"/>
      <c r="E191" s="193"/>
      <c r="F191" s="193"/>
      <c r="G191" s="193"/>
      <c r="H191" s="193"/>
      <c r="I191" s="193"/>
      <c r="J191" s="193"/>
      <c r="K191" s="193"/>
      <c r="L191" s="193"/>
    </row>
    <row r="193" spans="1:12">
      <c r="A193" s="193" t="s">
        <v>144</v>
      </c>
      <c r="B193" s="193"/>
      <c r="C193" s="193"/>
      <c r="D193" s="193"/>
      <c r="E193" s="193"/>
      <c r="F193" s="193"/>
      <c r="G193" s="193"/>
      <c r="H193" s="193"/>
      <c r="I193" s="193"/>
      <c r="J193" s="193"/>
      <c r="K193" s="193"/>
      <c r="L193" s="193"/>
    </row>
    <row r="194" spans="1:12">
      <c r="A194" s="193"/>
      <c r="B194" s="193"/>
      <c r="C194" s="193"/>
      <c r="D194" s="193"/>
      <c r="E194" s="193"/>
      <c r="F194" s="193"/>
      <c r="G194" s="193"/>
      <c r="H194" s="193"/>
      <c r="I194" s="193"/>
      <c r="J194" s="193"/>
      <c r="K194" s="193"/>
      <c r="L194" s="193"/>
    </row>
    <row r="196" spans="1:12">
      <c r="A196" s="193" t="s">
        <v>145</v>
      </c>
      <c r="B196" s="193"/>
      <c r="C196" s="193"/>
      <c r="D196" s="193"/>
      <c r="E196" s="193"/>
      <c r="F196" s="193"/>
      <c r="G196" s="193"/>
      <c r="H196" s="193"/>
      <c r="I196" s="193"/>
      <c r="J196" s="193"/>
      <c r="K196" s="193"/>
      <c r="L196" s="193"/>
    </row>
    <row r="197" spans="1:12">
      <c r="A197" s="193"/>
      <c r="B197" s="193"/>
      <c r="C197" s="193"/>
      <c r="D197" s="193"/>
      <c r="E197" s="193"/>
      <c r="F197" s="193"/>
      <c r="G197" s="193"/>
      <c r="H197" s="193"/>
      <c r="I197" s="193"/>
      <c r="J197" s="193"/>
      <c r="K197" s="193"/>
      <c r="L197" s="193"/>
    </row>
    <row r="199" spans="1:12">
      <c r="A199" s="193" t="s">
        <v>146</v>
      </c>
      <c r="B199" s="193"/>
      <c r="C199" s="193"/>
      <c r="D199" s="193"/>
      <c r="E199" s="193"/>
      <c r="F199" s="193"/>
      <c r="G199" s="193"/>
      <c r="H199" s="193"/>
      <c r="I199" s="193"/>
      <c r="J199" s="193"/>
      <c r="K199" s="193"/>
      <c r="L199" s="193"/>
    </row>
    <row r="200" spans="1:12">
      <c r="A200" s="193"/>
      <c r="B200" s="193"/>
      <c r="C200" s="193"/>
      <c r="D200" s="193"/>
      <c r="E200" s="193"/>
      <c r="F200" s="193"/>
      <c r="G200" s="193"/>
      <c r="H200" s="193"/>
      <c r="I200" s="193"/>
      <c r="J200" s="193"/>
      <c r="K200" s="193"/>
      <c r="L200" s="193"/>
    </row>
    <row r="202" spans="1:12">
      <c r="A202" s="193" t="s">
        <v>147</v>
      </c>
      <c r="B202" s="193"/>
      <c r="C202" s="193"/>
      <c r="D202" s="193"/>
      <c r="E202" s="193"/>
      <c r="F202" s="193"/>
      <c r="G202" s="193"/>
      <c r="H202" s="193"/>
      <c r="I202" s="193"/>
      <c r="J202" s="193"/>
      <c r="K202" s="193"/>
      <c r="L202" s="193"/>
    </row>
    <row r="203" spans="1:12">
      <c r="A203" s="193"/>
      <c r="B203" s="193"/>
      <c r="C203" s="193"/>
      <c r="D203" s="193"/>
      <c r="E203" s="193"/>
      <c r="F203" s="193"/>
      <c r="G203" s="193"/>
      <c r="H203" s="193"/>
      <c r="I203" s="193"/>
      <c r="J203" s="193"/>
      <c r="K203" s="193"/>
      <c r="L203" s="193"/>
    </row>
    <row r="205" spans="1:12">
      <c r="A205" s="173" t="s">
        <v>148</v>
      </c>
    </row>
    <row r="206" spans="1:12">
      <c r="A206" s="166" t="s">
        <v>149</v>
      </c>
      <c r="B206" s="166" t="s">
        <v>150</v>
      </c>
      <c r="C206" s="166" t="s">
        <v>151</v>
      </c>
    </row>
    <row r="207" spans="1:12">
      <c r="A207" s="171" t="s">
        <v>152</v>
      </c>
      <c r="B207" s="167" t="s">
        <v>153</v>
      </c>
      <c r="C207" s="176" t="s">
        <v>154</v>
      </c>
    </row>
    <row r="208" spans="1:12">
      <c r="A208" s="171" t="s">
        <v>155</v>
      </c>
      <c r="B208" s="167" t="s">
        <v>156</v>
      </c>
      <c r="C208" s="176" t="s">
        <v>157</v>
      </c>
    </row>
    <row r="209" spans="1:12">
      <c r="A209" s="171" t="s">
        <v>158</v>
      </c>
      <c r="B209" s="167" t="s">
        <v>159</v>
      </c>
      <c r="C209" s="176" t="s">
        <v>160</v>
      </c>
    </row>
    <row r="211" spans="1:12">
      <c r="A211" s="193" t="s">
        <v>161</v>
      </c>
      <c r="B211" s="193"/>
      <c r="C211" s="193"/>
      <c r="D211" s="193"/>
      <c r="E211" s="193"/>
      <c r="F211" s="193"/>
      <c r="G211" s="193"/>
      <c r="H211" s="193"/>
      <c r="I211" s="193"/>
      <c r="J211" s="193"/>
      <c r="K211" s="193"/>
      <c r="L211" s="193"/>
    </row>
    <row r="212" spans="1:12">
      <c r="A212" s="193"/>
      <c r="B212" s="193"/>
      <c r="C212" s="193"/>
      <c r="D212" s="193"/>
      <c r="E212" s="193"/>
      <c r="F212" s="193"/>
      <c r="G212" s="193"/>
      <c r="H212" s="193"/>
      <c r="I212" s="193"/>
      <c r="J212" s="193"/>
      <c r="K212" s="193"/>
      <c r="L212" s="193"/>
    </row>
  </sheetData>
  <mergeCells count="7">
    <mergeCell ref="A186:L188"/>
    <mergeCell ref="A190:L191"/>
    <mergeCell ref="A193:L194"/>
    <mergeCell ref="A196:L197"/>
    <mergeCell ref="A199:L200"/>
    <mergeCell ref="A202:L203"/>
    <mergeCell ref="A211:L212"/>
  </mergeCell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O309"/>
  <sheetViews>
    <sheetView zoomScale="47" zoomScaleNormal="47" topLeftCell="D99" workbookViewId="0">
      <selection activeCell="Q153" sqref="Q153"/>
    </sheetView>
  </sheetViews>
  <sheetFormatPr defaultColWidth="9" defaultRowHeight="12.5"/>
  <cols>
    <col min="1" max="1" width="12.8545454545455"/>
    <col min="2" max="2" width="32.1454545454545" customWidth="1"/>
    <col min="3" max="3" width="12.7181818181818" customWidth="1"/>
    <col min="4" max="4" width="59.7181818181818" customWidth="1"/>
    <col min="5" max="5" width="22.1454545454545" customWidth="1"/>
    <col min="6" max="6" width="12" customWidth="1"/>
    <col min="7" max="7" width="13" customWidth="1"/>
    <col min="8" max="9" width="7.14545454545455" customWidth="1"/>
    <col min="10" max="10" width="23.3636363636364" customWidth="1"/>
    <col min="11" max="11" width="26" customWidth="1"/>
    <col min="12" max="12" width="15.5727272727273" customWidth="1"/>
    <col min="13" max="13" width="17.5727272727273" customWidth="1"/>
    <col min="14" max="14" width="17.8545454545455" customWidth="1"/>
    <col min="15" max="15" width="12.8545454545455" customWidth="1"/>
    <col min="16" max="16" width="61.5454545454545" customWidth="1"/>
    <col min="17" max="17" width="12.8545454545455" customWidth="1"/>
    <col min="18" max="18" width="10.8545454545455" customWidth="1"/>
    <col min="19" max="19" width="12.7181818181818" customWidth="1"/>
    <col min="20" max="20" width="8.57272727272727" customWidth="1"/>
    <col min="21" max="21" width="7.85454545454545" customWidth="1"/>
    <col min="22" max="22" width="14" customWidth="1"/>
    <col min="23" max="23" width="26.5454545454545" customWidth="1"/>
    <col min="24" max="24" width="18.1818181818182" customWidth="1"/>
    <col min="25" max="25" width="9.57272727272727" customWidth="1"/>
    <col min="26" max="26" width="17.8545454545455" customWidth="1"/>
    <col min="27" max="27" width="9.85454545454546" customWidth="1"/>
    <col min="28" max="30" width="7.14545454545455" customWidth="1"/>
    <col min="31" max="31" width="14" customWidth="1"/>
    <col min="32" max="32" width="7.14545454545455" customWidth="1"/>
    <col min="33" max="33" width="10.8545454545455" customWidth="1"/>
    <col min="34" max="34" width="11.1454545454545" customWidth="1"/>
    <col min="35" max="37" width="6" customWidth="1"/>
    <col min="38" max="39" width="15.5727272727273" customWidth="1"/>
    <col min="40" max="40" width="22.5727272727273" customWidth="1"/>
    <col min="41" max="41" width="13.5727272727273" customWidth="1"/>
    <col min="42" max="43" width="6" customWidth="1"/>
    <col min="44" max="44" width="8.42727272727273" customWidth="1"/>
    <col min="45" max="45" width="10.4272727272727" customWidth="1"/>
    <col min="46" max="49" width="6" customWidth="1"/>
    <col min="50" max="50" width="12.2818181818182" customWidth="1"/>
    <col min="51" max="51" width="13.5727272727273" customWidth="1"/>
    <col min="103" max="103" width="26.1454545454545" customWidth="1"/>
  </cols>
  <sheetData>
    <row r="2" spans="2:19">
      <c r="B2" s="87" t="s">
        <v>162</v>
      </c>
      <c r="C2" s="87"/>
      <c r="D2" s="87"/>
      <c r="E2" s="87"/>
      <c r="K2" t="s">
        <v>163</v>
      </c>
      <c r="P2" s="88" t="s">
        <v>164</v>
      </c>
      <c r="Q2" s="88"/>
      <c r="R2" s="88"/>
      <c r="S2" s="88"/>
    </row>
    <row r="3" spans="2:19">
      <c r="B3" s="89" t="s">
        <v>165</v>
      </c>
      <c r="C3" s="89" t="s">
        <v>166</v>
      </c>
      <c r="D3" s="89" t="s">
        <v>167</v>
      </c>
      <c r="E3" s="89" t="s">
        <v>65</v>
      </c>
      <c r="K3" t="s">
        <v>66</v>
      </c>
      <c r="L3" t="s">
        <v>168</v>
      </c>
      <c r="M3" t="s">
        <v>169</v>
      </c>
      <c r="P3" s="88" t="s">
        <v>170</v>
      </c>
      <c r="Q3" s="88" t="s">
        <v>171</v>
      </c>
      <c r="R3" s="88" t="s">
        <v>172</v>
      </c>
      <c r="S3" s="88" t="s">
        <v>168</v>
      </c>
    </row>
    <row r="4" spans="2:19">
      <c r="B4" s="87" t="s">
        <v>173</v>
      </c>
      <c r="C4" s="87" t="s">
        <v>174</v>
      </c>
      <c r="D4" s="87" t="s">
        <v>175</v>
      </c>
      <c r="E4" s="87" t="s">
        <v>176</v>
      </c>
      <c r="K4" t="s">
        <v>177</v>
      </c>
      <c r="L4" t="s">
        <v>178</v>
      </c>
      <c r="M4" t="s">
        <v>179</v>
      </c>
      <c r="P4" s="88" t="s">
        <v>180</v>
      </c>
      <c r="Q4" s="88" t="s">
        <v>181</v>
      </c>
      <c r="R4" s="88" t="s">
        <v>182</v>
      </c>
      <c r="S4" s="88" t="s">
        <v>183</v>
      </c>
    </row>
    <row r="5" spans="2:19">
      <c r="B5" s="87" t="s">
        <v>173</v>
      </c>
      <c r="C5" s="87" t="s">
        <v>184</v>
      </c>
      <c r="D5" s="87" t="s">
        <v>175</v>
      </c>
      <c r="E5" s="87" t="s">
        <v>176</v>
      </c>
      <c r="K5" t="s">
        <v>185</v>
      </c>
      <c r="L5" t="s">
        <v>178</v>
      </c>
      <c r="M5" t="s">
        <v>186</v>
      </c>
    </row>
    <row r="6" spans="2:19">
      <c r="K6" t="s">
        <v>187</v>
      </c>
      <c r="L6" t="s">
        <v>178</v>
      </c>
      <c r="M6" t="s">
        <v>188</v>
      </c>
    </row>
    <row r="7" spans="2:19">
      <c r="K7" t="s">
        <v>189</v>
      </c>
      <c r="L7" t="s">
        <v>178</v>
      </c>
      <c r="M7" t="s">
        <v>190</v>
      </c>
    </row>
    <row r="8" spans="2:19">
      <c r="B8" t="s">
        <v>191</v>
      </c>
      <c r="K8" t="s">
        <v>192</v>
      </c>
      <c r="L8" t="s">
        <v>178</v>
      </c>
      <c r="M8" t="s">
        <v>181</v>
      </c>
    </row>
    <row r="9" spans="2:19">
      <c r="B9" t="s">
        <v>193</v>
      </c>
      <c r="C9" t="s">
        <v>194</v>
      </c>
      <c r="D9" t="s">
        <v>195</v>
      </c>
      <c r="E9" t="s">
        <v>196</v>
      </c>
      <c r="F9" t="s">
        <v>50</v>
      </c>
      <c r="G9" t="s">
        <v>197</v>
      </c>
      <c r="H9" t="s">
        <v>41</v>
      </c>
      <c r="K9" t="s">
        <v>198</v>
      </c>
      <c r="L9" t="s">
        <v>178</v>
      </c>
      <c r="M9" t="s">
        <v>190</v>
      </c>
    </row>
    <row r="10" spans="2:19">
      <c r="B10" t="s">
        <v>199</v>
      </c>
      <c r="C10" t="s">
        <v>200</v>
      </c>
      <c r="E10" t="s">
        <v>181</v>
      </c>
      <c r="F10">
        <v>0.25</v>
      </c>
      <c r="G10" t="s">
        <v>201</v>
      </c>
      <c r="K10" t="s">
        <v>200</v>
      </c>
      <c r="L10" t="s">
        <v>178</v>
      </c>
      <c r="M10" t="s">
        <v>181</v>
      </c>
    </row>
    <row r="11" spans="2:19">
      <c r="B11" t="s">
        <v>199</v>
      </c>
      <c r="C11" t="s">
        <v>200</v>
      </c>
      <c r="E11" t="s">
        <v>181</v>
      </c>
      <c r="F11">
        <v>3</v>
      </c>
      <c r="G11" t="s">
        <v>201</v>
      </c>
      <c r="H11">
        <v>0</v>
      </c>
    </row>
    <row r="12" spans="2:19">
      <c r="B12" t="s">
        <v>202</v>
      </c>
      <c r="C12" t="s">
        <v>175</v>
      </c>
      <c r="F12" s="81">
        <v>15</v>
      </c>
      <c r="K12" t="s">
        <v>203</v>
      </c>
    </row>
    <row r="13" spans="2:19">
      <c r="B13" t="s">
        <v>204</v>
      </c>
      <c r="C13" t="s">
        <v>175</v>
      </c>
      <c r="E13" s="232" t="s">
        <v>205</v>
      </c>
      <c r="F13">
        <v>2019</v>
      </c>
      <c r="K13" t="s">
        <v>193</v>
      </c>
      <c r="L13" t="s">
        <v>50</v>
      </c>
      <c r="M13" t="s">
        <v>206</v>
      </c>
      <c r="N13" t="s">
        <v>207</v>
      </c>
    </row>
    <row r="14" spans="2:19">
      <c r="K14" t="s">
        <v>208</v>
      </c>
      <c r="L14" t="s">
        <v>209</v>
      </c>
      <c r="M14" t="s">
        <v>210</v>
      </c>
      <c r="N14" t="s">
        <v>175</v>
      </c>
    </row>
    <row r="15" spans="2:19">
      <c r="B15" s="32" t="s">
        <v>211</v>
      </c>
      <c r="C15" s="32"/>
      <c r="D15" s="32" t="s">
        <v>212</v>
      </c>
      <c r="E15" s="32" t="s">
        <v>213</v>
      </c>
      <c r="F15" s="32">
        <v>0.93</v>
      </c>
      <c r="G15" s="32"/>
      <c r="H15" s="32"/>
      <c r="K15" t="s">
        <v>208</v>
      </c>
      <c r="L15" t="s">
        <v>214</v>
      </c>
      <c r="M15" t="s">
        <v>210</v>
      </c>
      <c r="N15" t="s">
        <v>192</v>
      </c>
    </row>
    <row r="16" spans="2:19">
      <c r="B16" s="90" t="s">
        <v>215</v>
      </c>
    </row>
    <row r="18" spans="2:50">
      <c r="B18" t="s">
        <v>170</v>
      </c>
      <c r="C18">
        <v>2019</v>
      </c>
      <c r="D18">
        <v>0</v>
      </c>
      <c r="E18" t="s">
        <v>216</v>
      </c>
      <c r="F18" t="s">
        <v>169</v>
      </c>
      <c r="G18" t="s">
        <v>217</v>
      </c>
    </row>
    <row r="19" spans="2:50">
      <c r="B19" s="232" t="s">
        <v>205</v>
      </c>
      <c r="C19">
        <v>0.2</v>
      </c>
      <c r="D19">
        <v>3</v>
      </c>
      <c r="E19" s="232" t="s">
        <v>218</v>
      </c>
      <c r="F19" t="s">
        <v>175</v>
      </c>
      <c r="G19" t="s">
        <v>219</v>
      </c>
    </row>
    <row r="21" spans="2:50">
      <c r="C21" t="s">
        <v>191</v>
      </c>
    </row>
    <row r="22" spans="2:50">
      <c r="C22" t="s">
        <v>193</v>
      </c>
      <c r="D22" t="str">
        <f xml:space="preserve">IF(RoadTra_BY!L$1="","\I:",RoadTra_BY!L$1)</f>
        <v>Africa_North</v>
      </c>
      <c r="E22" t="str">
        <f xml:space="preserve">IF(RoadTra_BY!M$1="","\I:",RoadTra_BY!M$1)</f>
        <v>Africa_Other</v>
      </c>
      <c r="F22" t="str">
        <f xml:space="preserve">IF(RoadTra_BY!N$1="","\I:",RoadTra_BY!N$1)</f>
        <v>Australia</v>
      </c>
      <c r="G22" t="str">
        <f xml:space="preserve">IF(RoadTra_BY!O$1="","\I:",RoadTra_BY!O$1)</f>
        <v>Austria</v>
      </c>
      <c r="H22" t="str">
        <f xml:space="preserve">IF(RoadTra_BY!P$1="","\I:",RoadTra_BY!P$1)</f>
        <v>Baltics</v>
      </c>
      <c r="I22" t="str">
        <f xml:space="preserve">IF(RoadTra_BY!Q$1="","\I:",RoadTra_BY!Q$1)</f>
        <v>BeNeLux</v>
      </c>
      <c r="J22" t="str">
        <f xml:space="preserve">IF(RoadTra_BY!R$1="","\I:",RoadTra_BY!R$1)</f>
        <v>Brazil</v>
      </c>
      <c r="K22" t="str">
        <f xml:space="preserve">IF(RoadTra_BY!S$1="","\I:",RoadTra_BY!S$1)</f>
        <v>China</v>
      </c>
      <c r="L22" t="str">
        <f xml:space="preserve">IF(RoadTra_BY!T$1="","\I:",RoadTra_BY!T$1)</f>
        <v>CroSloven</v>
      </c>
      <c r="M22" t="str">
        <f xml:space="preserve">IF(RoadTra_BY!U$1="","\I:",RoadTra_BY!U$1)</f>
        <v>CzechSlovak</v>
      </c>
      <c r="N22" t="str">
        <f xml:space="preserve">IF(RoadTra_BY!V$1="","\I:",RoadTra_BY!V$1)</f>
        <v>France</v>
      </c>
      <c r="O22" t="str">
        <f xml:space="preserve">IF(RoadTra_BY!W$1="","\I:",RoadTra_BY!W$1)</f>
        <v>Germany</v>
      </c>
      <c r="P22" t="str">
        <f xml:space="preserve">IF(RoadTra_BY!X$1="","\I:",RoadTra_BY!X$1)</f>
        <v>GreeceCyp</v>
      </c>
      <c r="Q22" t="str">
        <f xml:space="preserve">IF(RoadTra_BY!Y$1="","\I:",RoadTra_BY!Y$1)</f>
        <v>HunRomBul</v>
      </c>
      <c r="R22" t="str">
        <f xml:space="preserve">IF(RoadTra_BY!Z$1="","\I:",RoadTra_BY!Z$1)</f>
        <v>Iceland</v>
      </c>
      <c r="S22" t="str">
        <f xml:space="preserve">IF(RoadTra_BY!AA$1="","\I:",RoadTra_BY!AA$1)</f>
        <v>India</v>
      </c>
      <c r="T22" t="str">
        <f xml:space="preserve">IF(RoadTra_BY!AB$1="","\I:",RoadTra_BY!AB$1)</f>
        <v>Ireland</v>
      </c>
      <c r="U22" t="str">
        <f xml:space="preserve">IF(RoadTra_BY!AC$1="","\I:",RoadTra_BY!AC$1)</f>
        <v>ItalyMal</v>
      </c>
      <c r="V22" t="str">
        <f xml:space="preserve">IF(RoadTra_BY!AD$1="","\I:",RoadTra_BY!AD$1)</f>
        <v>Japan</v>
      </c>
      <c r="W22" t="str">
        <f xml:space="preserve">IF(RoadTra_BY!AE$1="","\I:",RoadTra_BY!AE$1)</f>
        <v>LatAm</v>
      </c>
      <c r="X22" t="str">
        <f xml:space="preserve">IF(RoadTra_BY!AF$1="","\I:",RoadTra_BY!AF$1)</f>
        <v>MidEast</v>
      </c>
      <c r="Y22" t="str">
        <f xml:space="preserve">IF(RoadTra_BY!AG$1="","\I:",RoadTra_BY!AG$1)</f>
        <v>NorthAm</v>
      </c>
      <c r="Z22" t="str">
        <f xml:space="preserve">IF(RoadTra_BY!AH$1="","\I:",RoadTra_BY!AH$1)</f>
        <v>Norway</v>
      </c>
      <c r="AA22" t="str">
        <f xml:space="preserve">IF(RoadTra_BY!AI$1="","\I:",RoadTra_BY!AI$1)</f>
        <v>Poland</v>
      </c>
      <c r="AB22" t="str">
        <f xml:space="preserve">IF(RoadTra_BY!AJ$1="","\I:",RoadTra_BY!AJ$1)</f>
        <v>ROW</v>
      </c>
      <c r="AC22" t="str">
        <f xml:space="preserve">IF(RoadTra_BY!AK$1="","\I:",RoadTra_BY!AK$1)</f>
        <v>Russia</v>
      </c>
      <c r="AD22" t="str">
        <f xml:space="preserve">IF(RoadTra_BY!AL$1="","\I:",RoadTra_BY!AL$1)</f>
        <v>SaudiArabia</v>
      </c>
      <c r="AE22" t="str">
        <f xml:space="preserve">IF(RoadTra_BY!AM$1="","\I:",RoadTra_BY!AM$1)</f>
        <v>SouthAfrica</v>
      </c>
      <c r="AF22" t="str">
        <f xml:space="preserve">IF(RoadTra_BY!AN$1="","\I:",RoadTra_BY!AN$1)</f>
        <v>SpainPor</v>
      </c>
      <c r="AG22" t="str">
        <f xml:space="preserve">IF(RoadTra_BY!AO$1="","\I:",RoadTra_BY!AO$1)</f>
        <v>SweFinDen</v>
      </c>
      <c r="AH22" t="str">
        <f xml:space="preserve">IF(RoadTra_BY!AP$1="","\I:",RoadTra_BY!AP$1)</f>
        <v>Switzerland</v>
      </c>
      <c r="AI22" t="str">
        <f xml:space="preserve">IF(RoadTra_BY!AQ$1="","\I:",RoadTra_BY!AQ$1)</f>
        <v>Turkey</v>
      </c>
      <c r="AJ22" t="str">
        <f xml:space="preserve">IF(RoadTra_BY!AR$1="","\I:",RoadTra_BY!AR$1)</f>
        <v>UK</v>
      </c>
      <c r="AK22" t="str">
        <f xml:space="preserve">IF(RoadTra_BY!AS$1="","\I:",RoadTra_BY!AS$1)</f>
        <v>Ukraine</v>
      </c>
      <c r="AL22" t="str">
        <f xml:space="preserve">IF(RoadTra_BY!AT$1="","\I:",RoadTra_BY!AT$1)</f>
        <v>WestBalkans</v>
      </c>
      <c r="AM22" t="str">
        <f xml:space="preserve">IF(RoadTra_BY!AU$1="","\I:",RoadTra_BY!AU$1)</f>
        <v>year2</v>
      </c>
      <c r="AN22" t="str">
        <f xml:space="preserve">IF(RoadTra_BY!AV$1="","\I:",RoadTra_BY!AV$1)</f>
        <v>\I:</v>
      </c>
      <c r="AO22" t="str">
        <f xml:space="preserve">IF(RoadTra_BY!AW$1="","\I:",RoadTra_BY!AW$1)</f>
        <v>\I:</v>
      </c>
      <c r="AP22" t="str">
        <f xml:space="preserve">IF(RoadTra_BY!AX$1="","\I:",RoadTra_BY!AX$1)</f>
        <v>\I:</v>
      </c>
      <c r="AQ22" t="str">
        <f xml:space="preserve">IF(RoadTra_BY!AY$1="","\I:",RoadTra_BY!AY$1)</f>
        <v>\I:</v>
      </c>
      <c r="AR22" t="str">
        <f xml:space="preserve">IF(RoadTra_BY!AZ$1="","\I:",RoadTra_BY!AZ$1)</f>
        <v>\I:</v>
      </c>
      <c r="AS22" t="str">
        <f xml:space="preserve">IF(RoadTra_BY!BA$1="","\I:",RoadTra_BY!BA$1)</f>
        <v>\I:</v>
      </c>
      <c r="AT22" t="str">
        <f xml:space="preserve">IF(RoadTra_BY!BB$1="","\I:",RoadTra_BY!BB$1)</f>
        <v>\I:</v>
      </c>
      <c r="AU22" t="str">
        <f xml:space="preserve">IF(RoadTra_BY!BC$1="","\I:",RoadTra_BY!BC$1)</f>
        <v>\I:</v>
      </c>
      <c r="AV22" t="str">
        <f xml:space="preserve">IF(RoadTra_BY!BD$1="","\I:",RoadTra_BY!BD$1)</f>
        <v>\I:</v>
      </c>
      <c r="AW22" t="str">
        <f xml:space="preserve">IF(RoadTra_BY!BE$1="","\I:",RoadTra_BY!BE$1)</f>
        <v>\I:</v>
      </c>
      <c r="AX22" t="s">
        <v>66</v>
      </c>
    </row>
    <row r="23" spans="2:50">
      <c r="C23" t="s">
        <v>174</v>
      </c>
      <c r="D23" s="91">
        <f xml:space="preserve">AVERAGEIFS(RoadTra_BY!L$2:L$999,RoadTra_BY!$B$2:$B$999,'Road transport'!$C23,RoadTra_BY!$C$2:$C$999,'Road transport'!$AX23)</f>
        <v>7</v>
      </c>
      <c r="E23" s="91">
        <f xml:space="preserve">AVERAGEIFS(RoadTra_BY!M$2:M$999,RoadTra_BY!$B$2:$B$999,'Road transport'!$C23,RoadTra_BY!$C$2:$C$999,'Road transport'!$AX23)</f>
        <v>7</v>
      </c>
      <c r="F23" s="91">
        <f xml:space="preserve">AVERAGEIFS(RoadTra_BY!N$2:N$999,RoadTra_BY!$B$2:$B$999,'Road transport'!$C23,RoadTra_BY!$C$2:$C$999,'Road transport'!$AX23)</f>
        <v>7</v>
      </c>
      <c r="G23" s="91">
        <f xml:space="preserve">AVERAGEIFS(RoadTra_BY!O$2:O$999,RoadTra_BY!$B$2:$B$999,'Road transport'!$C23,RoadTra_BY!$C$2:$C$999,'Road transport'!$AX23)</f>
        <v>7</v>
      </c>
      <c r="H23" s="91">
        <f xml:space="preserve">AVERAGEIFS(RoadTra_BY!P$2:P$999,RoadTra_BY!$B$2:$B$999,'Road transport'!$C23,RoadTra_BY!$C$2:$C$999,'Road transport'!$AX23)</f>
        <v>7</v>
      </c>
      <c r="I23" s="91">
        <f xml:space="preserve">AVERAGEIFS(RoadTra_BY!Q$2:Q$999,RoadTra_BY!$B$2:$B$999,'Road transport'!$C23,RoadTra_BY!$C$2:$C$999,'Road transport'!$AX23)</f>
        <v>7</v>
      </c>
      <c r="J23" s="91">
        <f xml:space="preserve">AVERAGEIFS(RoadTra_BY!R$2:R$999,RoadTra_BY!$B$2:$B$999,'Road transport'!$C23,RoadTra_BY!$C$2:$C$999,'Road transport'!$AX23)</f>
        <v>7</v>
      </c>
      <c r="K23" s="91">
        <f xml:space="preserve">AVERAGEIFS(RoadTra_BY!S$2:S$999,RoadTra_BY!$B$2:$B$999,'Road transport'!$C23,RoadTra_BY!$C$2:$C$999,'Road transport'!$AX23)</f>
        <v>7</v>
      </c>
      <c r="L23" s="91">
        <f xml:space="preserve">AVERAGEIFS(RoadTra_BY!T$2:T$999,RoadTra_BY!$B$2:$B$999,'Road transport'!$C23,RoadTra_BY!$C$2:$C$999,'Road transport'!$AX23)</f>
        <v>7</v>
      </c>
      <c r="M23" s="91">
        <f xml:space="preserve">AVERAGEIFS(RoadTra_BY!U$2:U$999,RoadTra_BY!$B$2:$B$999,'Road transport'!$C23,RoadTra_BY!$C$2:$C$999,'Road transport'!$AX23)</f>
        <v>7</v>
      </c>
      <c r="N23" s="91">
        <f xml:space="preserve">AVERAGEIFS(RoadTra_BY!V$2:V$999,RoadTra_BY!$B$2:$B$999,'Road transport'!$C23,RoadTra_BY!$C$2:$C$999,'Road transport'!$AX23)</f>
        <v>7</v>
      </c>
      <c r="O23" s="91">
        <f xml:space="preserve">AVERAGEIFS(RoadTra_BY!W$2:W$999,RoadTra_BY!$B$2:$B$999,'Road transport'!$C23,RoadTra_BY!$C$2:$C$999,'Road transport'!$AX23)</f>
        <v>7</v>
      </c>
      <c r="P23" s="91">
        <f xml:space="preserve">AVERAGEIFS(RoadTra_BY!X$2:X$999,RoadTra_BY!$B$2:$B$999,'Road transport'!$C23,RoadTra_BY!$C$2:$C$999,'Road transport'!$AX23)</f>
        <v>7</v>
      </c>
      <c r="Q23" s="91">
        <f xml:space="preserve">AVERAGEIFS(RoadTra_BY!Y$2:Y$999,RoadTra_BY!$B$2:$B$999,'Road transport'!$C23,RoadTra_BY!$C$2:$C$999,'Road transport'!$AX23)</f>
        <v>7</v>
      </c>
      <c r="R23" s="91">
        <f xml:space="preserve">AVERAGEIFS(RoadTra_BY!Z$2:Z$999,RoadTra_BY!$B$2:$B$999,'Road transport'!$C23,RoadTra_BY!$C$2:$C$999,'Road transport'!$AX23)</f>
        <v>7</v>
      </c>
      <c r="S23" s="91">
        <f xml:space="preserve">AVERAGEIFS(RoadTra_BY!AA$2:AA$999,RoadTra_BY!$B$2:$B$999,'Road transport'!$C23,RoadTra_BY!$C$2:$C$999,'Road transport'!$AX23)</f>
        <v>7</v>
      </c>
      <c r="T23" s="91">
        <f xml:space="preserve">AVERAGEIFS(RoadTra_BY!AB$2:AB$999,RoadTra_BY!$B$2:$B$999,'Road transport'!$C23,RoadTra_BY!$C$2:$C$999,'Road transport'!$AX23)</f>
        <v>7</v>
      </c>
      <c r="U23" s="91">
        <f xml:space="preserve">AVERAGEIFS(RoadTra_BY!AC$2:AC$999,RoadTra_BY!$B$2:$B$999,'Road transport'!$C23,RoadTra_BY!$C$2:$C$999,'Road transport'!$AX23)</f>
        <v>7</v>
      </c>
      <c r="V23" s="91">
        <f xml:space="preserve">AVERAGEIFS(RoadTra_BY!AD$2:AD$999,RoadTra_BY!$B$2:$B$999,'Road transport'!$C23,RoadTra_BY!$C$2:$C$999,'Road transport'!$AX23)</f>
        <v>4</v>
      </c>
      <c r="W23" s="91">
        <f xml:space="preserve">AVERAGEIFS(RoadTra_BY!AE$2:AE$999,RoadTra_BY!$B$2:$B$999,'Road transport'!$C23,RoadTra_BY!$C$2:$C$999,'Road transport'!$AX23)</f>
        <v>7</v>
      </c>
      <c r="X23" s="91">
        <f xml:space="preserve">AVERAGEIFS(RoadTra_BY!AF$2:AF$999,RoadTra_BY!$B$2:$B$999,'Road transport'!$C23,RoadTra_BY!$C$2:$C$999,'Road transport'!$AX23)</f>
        <v>5</v>
      </c>
      <c r="Y23" s="91">
        <f xml:space="preserve">AVERAGEIFS(RoadTra_BY!AG$2:AG$999,RoadTra_BY!$B$2:$B$999,'Road transport'!$C23,RoadTra_BY!$C$2:$C$999,'Road transport'!$AX23)</f>
        <v>7</v>
      </c>
      <c r="Z23" s="91">
        <f xml:space="preserve">AVERAGEIFS(RoadTra_BY!AH$2:AH$999,RoadTra_BY!$B$2:$B$999,'Road transport'!$C23,RoadTra_BY!$C$2:$C$999,'Road transport'!$AX23)</f>
        <v>4</v>
      </c>
      <c r="AA23" s="91">
        <f xml:space="preserve">AVERAGEIFS(RoadTra_BY!AI$2:AI$999,RoadTra_BY!$B$2:$B$999,'Road transport'!$C23,RoadTra_BY!$C$2:$C$999,'Road transport'!$AX23)</f>
        <v>7</v>
      </c>
      <c r="AB23" s="91">
        <f xml:space="preserve">AVERAGEIFS(RoadTra_BY!AJ$2:AJ$999,RoadTra_BY!$B$2:$B$999,'Road transport'!$C23,RoadTra_BY!$C$2:$C$999,'Road transport'!$AX23)</f>
        <v>7</v>
      </c>
      <c r="AC23" s="91">
        <f xml:space="preserve">AVERAGEIFS(RoadTra_BY!AK$2:AK$999,RoadTra_BY!$B$2:$B$999,'Road transport'!$C23,RoadTra_BY!$C$2:$C$999,'Road transport'!$AX23)</f>
        <v>3</v>
      </c>
      <c r="AD23" s="91">
        <f xml:space="preserve">AVERAGEIFS(RoadTra_BY!AL$2:AL$999,RoadTra_BY!$B$2:$B$999,'Road transport'!$C23,RoadTra_BY!$C$2:$C$999,'Road transport'!$AX23)</f>
        <v>7</v>
      </c>
      <c r="AE23" s="91">
        <f xml:space="preserve">AVERAGEIFS(RoadTra_BY!AM$2:AM$999,RoadTra_BY!$B$2:$B$999,'Road transport'!$C23,RoadTra_BY!$C$2:$C$999,'Road transport'!$AX23)</f>
        <v>7</v>
      </c>
      <c r="AF23" s="91">
        <f xml:space="preserve">AVERAGEIFS(RoadTra_BY!AN$2:AN$999,RoadTra_BY!$B$2:$B$999,'Road transport'!$C23,RoadTra_BY!$C$2:$C$999,'Road transport'!$AX23)</f>
        <v>6.5</v>
      </c>
      <c r="AG23" s="91">
        <f xml:space="preserve">AVERAGEIFS(RoadTra_BY!AO$2:AO$999,RoadTra_BY!$B$2:$B$999,'Road transport'!$C23,RoadTra_BY!$C$2:$C$999,'Road transport'!$AX23)</f>
        <v>7</v>
      </c>
      <c r="AH23" s="91">
        <f xml:space="preserve">AVERAGEIFS(RoadTra_BY!AP$2:AP$999,RoadTra_BY!$B$2:$B$999,'Road transport'!$C23,RoadTra_BY!$C$2:$C$999,'Road transport'!$AX23)</f>
        <v>7</v>
      </c>
      <c r="AI23" s="91">
        <f xml:space="preserve">AVERAGEIFS(RoadTra_BY!AQ$2:AQ$999,RoadTra_BY!$B$2:$B$999,'Road transport'!$C23,RoadTra_BY!$C$2:$C$999,'Road transport'!$AX23)</f>
        <v>7</v>
      </c>
      <c r="AJ23" s="91">
        <f xml:space="preserve">AVERAGEIFS(RoadTra_BY!AR$2:AR$999,RoadTra_BY!$B$2:$B$999,'Road transport'!$C23,RoadTra_BY!$C$2:$C$999,'Road transport'!$AX23)</f>
        <v>4</v>
      </c>
      <c r="AK23" s="91">
        <f xml:space="preserve">AVERAGEIFS(RoadTra_BY!AS$2:AS$999,RoadTra_BY!$B$2:$B$999,'Road transport'!$C23,RoadTra_BY!$C$2:$C$999,'Road transport'!$AX23)</f>
        <v>4</v>
      </c>
      <c r="AL23" s="91">
        <f xml:space="preserve">AVERAGEIFS(RoadTra_BY!AT$2:AT$999,RoadTra_BY!$B$2:$B$999,'Road transport'!$C23,RoadTra_BY!$C$2:$C$999,'Road transport'!$AX23)</f>
        <v>4</v>
      </c>
      <c r="AM23" s="91" t="e">
        <f xml:space="preserve">AVERAGEIFS(RoadTra_BY!AU$2:AU$999,RoadTra_BY!$B$2:$B$999,'Road transport'!$C23,RoadTra_BY!$C$2:$C$999,'Road transport'!$AX23)</f>
        <v>#DIV/0!</v>
      </c>
      <c r="AN23" s="91" t="e">
        <f xml:space="preserve">AVERAGEIFS(RoadTra_BY!AV$2:AV$999,RoadTra_BY!$B$2:$B$999,'Road transport'!$C23,RoadTra_BY!$C$2:$C$999,'Road transport'!$AX23)</f>
        <v>#DIV/0!</v>
      </c>
      <c r="AO23" s="91" t="e">
        <f xml:space="preserve">AVERAGEIFS(RoadTra_BY!AW$2:AW$999,RoadTra_BY!$B$2:$B$999,'Road transport'!$C23,RoadTra_BY!$C$2:$C$999,'Road transport'!$AX23)</f>
        <v>#DIV/0!</v>
      </c>
      <c r="AP23" s="91" t="e">
        <f xml:space="preserve">AVERAGEIFS(RoadTra_BY!AX$2:AX$999,RoadTra_BY!$B$2:$B$999,'Road transport'!$C23,RoadTra_BY!$C$2:$C$999,'Road transport'!$AX23)</f>
        <v>#DIV/0!</v>
      </c>
      <c r="AQ23" s="91" t="e">
        <f xml:space="preserve">AVERAGEIFS(RoadTra_BY!AY$2:AY$999,RoadTra_BY!$B$2:$B$999,'Road transport'!$C23,RoadTra_BY!$C$2:$C$999,'Road transport'!$AX23)</f>
        <v>#DIV/0!</v>
      </c>
      <c r="AR23" s="91" t="e">
        <f xml:space="preserve">AVERAGEIFS(RoadTra_BY!AZ$2:AZ$999,RoadTra_BY!$B$2:$B$999,'Road transport'!$C23,RoadTra_BY!$C$2:$C$999,'Road transport'!$AX23)</f>
        <v>#DIV/0!</v>
      </c>
      <c r="AS23" s="91" t="e">
        <f xml:space="preserve">AVERAGEIFS(RoadTra_BY!BA$2:BA$999,RoadTra_BY!$B$2:$B$999,'Road transport'!$C23,RoadTra_BY!$C$2:$C$999,'Road transport'!$AX23)</f>
        <v>#DIV/0!</v>
      </c>
      <c r="AT23" s="91" t="e">
        <f xml:space="preserve">AVERAGEIFS(RoadTra_BY!BB$2:BB$999,RoadTra_BY!$B$2:$B$999,'Road transport'!$C23,RoadTra_BY!$C$2:$C$999,'Road transport'!$AX23)</f>
        <v>#DIV/0!</v>
      </c>
      <c r="AU23" s="91" t="e">
        <f xml:space="preserve">AVERAGEIFS(RoadTra_BY!BC$2:BC$999,RoadTra_BY!$B$2:$B$999,'Road transport'!$C23,RoadTra_BY!$C$2:$C$999,'Road transport'!$AX23)</f>
        <v>#DIV/0!</v>
      </c>
      <c r="AV23" s="91" t="e">
        <f xml:space="preserve">AVERAGEIFS(RoadTra_BY!BD$2:BD$999,RoadTra_BY!$B$2:$B$999,'Road transport'!$C23,RoadTra_BY!$C$2:$C$999,'Road transport'!$AX23)</f>
        <v>#DIV/0!</v>
      </c>
      <c r="AW23" s="91" t="e">
        <f xml:space="preserve">AVERAGEIFS(RoadTra_BY!BE$2:BE$999,RoadTra_BY!$B$2:$B$999,'Road transport'!$C23,RoadTra_BY!$C$2:$C$999,'Road transport'!$AX23)</f>
        <v>#DIV/0!</v>
      </c>
      <c r="AX23" t="s">
        <v>220</v>
      </c>
    </row>
    <row r="24" spans="2:50">
      <c r="C24" t="s">
        <v>174</v>
      </c>
      <c r="D24" s="91">
        <f xml:space="preserve">AVERAGEIFS(RoadTra_BY!L$2:L$999,RoadTra_BY!$B$2:$B$999,'Road transport'!$C24,RoadTra_BY!$C$2:$C$999,'Road transport'!$AX24)</f>
        <v>15</v>
      </c>
      <c r="E24" s="91">
        <f xml:space="preserve">AVERAGEIFS(RoadTra_BY!M$2:M$999,RoadTra_BY!$B$2:$B$999,'Road transport'!$C24,RoadTra_BY!$C$2:$C$999,'Road transport'!$AX24)</f>
        <v>15</v>
      </c>
      <c r="F24" s="91">
        <f xml:space="preserve">AVERAGEIFS(RoadTra_BY!N$2:N$999,RoadTra_BY!$B$2:$B$999,'Road transport'!$C24,RoadTra_BY!$C$2:$C$999,'Road transport'!$AX24)</f>
        <v>15</v>
      </c>
      <c r="G24" s="91">
        <f xml:space="preserve">AVERAGEIFS(RoadTra_BY!O$2:O$999,RoadTra_BY!$B$2:$B$999,'Road transport'!$C24,RoadTra_BY!$C$2:$C$999,'Road transport'!$AX24)</f>
        <v>15</v>
      </c>
      <c r="H24" s="91">
        <f xml:space="preserve">AVERAGEIFS(RoadTra_BY!P$2:P$999,RoadTra_BY!$B$2:$B$999,'Road transport'!$C24,RoadTra_BY!$C$2:$C$999,'Road transport'!$AX24)</f>
        <v>15</v>
      </c>
      <c r="I24" s="91">
        <f xml:space="preserve">AVERAGEIFS(RoadTra_BY!Q$2:Q$999,RoadTra_BY!$B$2:$B$999,'Road transport'!$C24,RoadTra_BY!$C$2:$C$999,'Road transport'!$AX24)</f>
        <v>15</v>
      </c>
      <c r="J24" s="91">
        <f xml:space="preserve">AVERAGEIFS(RoadTra_BY!R$2:R$999,RoadTra_BY!$B$2:$B$999,'Road transport'!$C24,RoadTra_BY!$C$2:$C$999,'Road transport'!$AX24)</f>
        <v>15</v>
      </c>
      <c r="K24" s="91">
        <f xml:space="preserve">AVERAGEIFS(RoadTra_BY!S$2:S$999,RoadTra_BY!$B$2:$B$999,'Road transport'!$C24,RoadTra_BY!$C$2:$C$999,'Road transport'!$AX24)</f>
        <v>15</v>
      </c>
      <c r="L24" s="91">
        <f xml:space="preserve">AVERAGEIFS(RoadTra_BY!T$2:T$999,RoadTra_BY!$B$2:$B$999,'Road transport'!$C24,RoadTra_BY!$C$2:$C$999,'Road transport'!$AX24)</f>
        <v>15</v>
      </c>
      <c r="M24" s="91">
        <f xml:space="preserve">AVERAGEIFS(RoadTra_BY!U$2:U$999,RoadTra_BY!$B$2:$B$999,'Road transport'!$C24,RoadTra_BY!$C$2:$C$999,'Road transport'!$AX24)</f>
        <v>15</v>
      </c>
      <c r="N24" s="91">
        <f xml:space="preserve">AVERAGEIFS(RoadTra_BY!V$2:V$999,RoadTra_BY!$B$2:$B$999,'Road transport'!$C24,RoadTra_BY!$C$2:$C$999,'Road transport'!$AX24)</f>
        <v>15</v>
      </c>
      <c r="O24" s="91">
        <f xml:space="preserve">AVERAGEIFS(RoadTra_BY!W$2:W$999,RoadTra_BY!$B$2:$B$999,'Road transport'!$C24,RoadTra_BY!$C$2:$C$999,'Road transport'!$AX24)</f>
        <v>15</v>
      </c>
      <c r="P24" s="91">
        <f xml:space="preserve">AVERAGEIFS(RoadTra_BY!X$2:X$999,RoadTra_BY!$B$2:$B$999,'Road transport'!$C24,RoadTra_BY!$C$2:$C$999,'Road transport'!$AX24)</f>
        <v>15</v>
      </c>
      <c r="Q24" s="91">
        <f xml:space="preserve">AVERAGEIFS(RoadTra_BY!Y$2:Y$999,RoadTra_BY!$B$2:$B$999,'Road transport'!$C24,RoadTra_BY!$C$2:$C$999,'Road transport'!$AX24)</f>
        <v>15</v>
      </c>
      <c r="R24" s="91">
        <f xml:space="preserve">AVERAGEIFS(RoadTra_BY!Z$2:Z$999,RoadTra_BY!$B$2:$B$999,'Road transport'!$C24,RoadTra_BY!$C$2:$C$999,'Road transport'!$AX24)</f>
        <v>15</v>
      </c>
      <c r="S24" s="91">
        <f xml:space="preserve">AVERAGEIFS(RoadTra_BY!AA$2:AA$999,RoadTra_BY!$B$2:$B$999,'Road transport'!$C24,RoadTra_BY!$C$2:$C$999,'Road transport'!$AX24)</f>
        <v>15</v>
      </c>
      <c r="T24" s="91">
        <f xml:space="preserve">AVERAGEIFS(RoadTra_BY!AB$2:AB$999,RoadTra_BY!$B$2:$B$999,'Road transport'!$C24,RoadTra_BY!$C$2:$C$999,'Road transport'!$AX24)</f>
        <v>15</v>
      </c>
      <c r="U24" s="91">
        <f xml:space="preserve">AVERAGEIFS(RoadTra_BY!AC$2:AC$999,RoadTra_BY!$B$2:$B$999,'Road transport'!$C24,RoadTra_BY!$C$2:$C$999,'Road transport'!$AX24)</f>
        <v>15</v>
      </c>
      <c r="V24" s="91">
        <f xml:space="preserve">AVERAGEIFS(RoadTra_BY!AD$2:AD$999,RoadTra_BY!$B$2:$B$999,'Road transport'!$C24,RoadTra_BY!$C$2:$C$999,'Road transport'!$AX24)</f>
        <v>15</v>
      </c>
      <c r="W24" s="91">
        <f xml:space="preserve">AVERAGEIFS(RoadTra_BY!AE$2:AE$999,RoadTra_BY!$B$2:$B$999,'Road transport'!$C24,RoadTra_BY!$C$2:$C$999,'Road transport'!$AX24)</f>
        <v>15</v>
      </c>
      <c r="X24" s="91">
        <f xml:space="preserve">AVERAGEIFS(RoadTra_BY!AF$2:AF$999,RoadTra_BY!$B$2:$B$999,'Road transport'!$C24,RoadTra_BY!$C$2:$C$999,'Road transport'!$AX24)</f>
        <v>15</v>
      </c>
      <c r="Y24" s="91">
        <f xml:space="preserve">AVERAGEIFS(RoadTra_BY!AG$2:AG$999,RoadTra_BY!$B$2:$B$999,'Road transport'!$C24,RoadTra_BY!$C$2:$C$999,'Road transport'!$AX24)</f>
        <v>15</v>
      </c>
      <c r="Z24" s="91">
        <f xml:space="preserve">AVERAGEIFS(RoadTra_BY!AH$2:AH$999,RoadTra_BY!$B$2:$B$999,'Road transport'!$C24,RoadTra_BY!$C$2:$C$999,'Road transport'!$AX24)</f>
        <v>15</v>
      </c>
      <c r="AA24" s="91">
        <f xml:space="preserve">AVERAGEIFS(RoadTra_BY!AI$2:AI$999,RoadTra_BY!$B$2:$B$999,'Road transport'!$C24,RoadTra_BY!$C$2:$C$999,'Road transport'!$AX24)</f>
        <v>15</v>
      </c>
      <c r="AB24" s="91">
        <f xml:space="preserve">AVERAGEIFS(RoadTra_BY!AJ$2:AJ$999,RoadTra_BY!$B$2:$B$999,'Road transport'!$C24,RoadTra_BY!$C$2:$C$999,'Road transport'!$AX24)</f>
        <v>15</v>
      </c>
      <c r="AC24" s="91">
        <f xml:space="preserve">AVERAGEIFS(RoadTra_BY!AK$2:AK$999,RoadTra_BY!$B$2:$B$999,'Road transport'!$C24,RoadTra_BY!$C$2:$C$999,'Road transport'!$AX24)</f>
        <v>15</v>
      </c>
      <c r="AD24" s="91">
        <f xml:space="preserve">AVERAGEIFS(RoadTra_BY!AL$2:AL$999,RoadTra_BY!$B$2:$B$999,'Road transport'!$C24,RoadTra_BY!$C$2:$C$999,'Road transport'!$AX24)</f>
        <v>15</v>
      </c>
      <c r="AE24" s="91">
        <f xml:space="preserve">AVERAGEIFS(RoadTra_BY!AM$2:AM$999,RoadTra_BY!$B$2:$B$999,'Road transport'!$C24,RoadTra_BY!$C$2:$C$999,'Road transport'!$AX24)</f>
        <v>15</v>
      </c>
      <c r="AF24" s="91">
        <f xml:space="preserve">AVERAGEIFS(RoadTra_BY!AN$2:AN$999,RoadTra_BY!$B$2:$B$999,'Road transport'!$C24,RoadTra_BY!$C$2:$C$999,'Road transport'!$AX24)</f>
        <v>20</v>
      </c>
      <c r="AG24" s="91">
        <f xml:space="preserve">AVERAGEIFS(RoadTra_BY!AO$2:AO$999,RoadTra_BY!$B$2:$B$999,'Road transport'!$C24,RoadTra_BY!$C$2:$C$999,'Road transport'!$AX24)</f>
        <v>15</v>
      </c>
      <c r="AH24" s="91">
        <f xml:space="preserve">AVERAGEIFS(RoadTra_BY!AP$2:AP$999,RoadTra_BY!$B$2:$B$999,'Road transport'!$C24,RoadTra_BY!$C$2:$C$999,'Road transport'!$AX24)</f>
        <v>15</v>
      </c>
      <c r="AI24" s="91">
        <f xml:space="preserve">AVERAGEIFS(RoadTra_BY!AQ$2:AQ$999,RoadTra_BY!$B$2:$B$999,'Road transport'!$C24,RoadTra_BY!$C$2:$C$999,'Road transport'!$AX24)</f>
        <v>15</v>
      </c>
      <c r="AJ24" s="91">
        <f xml:space="preserve">AVERAGEIFS(RoadTra_BY!AR$2:AR$999,RoadTra_BY!$B$2:$B$999,'Road transport'!$C24,RoadTra_BY!$C$2:$C$999,'Road transport'!$AX24)</f>
        <v>15</v>
      </c>
      <c r="AK24" s="91">
        <f xml:space="preserve">AVERAGEIFS(RoadTra_BY!AS$2:AS$999,RoadTra_BY!$B$2:$B$999,'Road transport'!$C24,RoadTra_BY!$C$2:$C$999,'Road transport'!$AX24)</f>
        <v>15</v>
      </c>
      <c r="AL24" s="91">
        <f xml:space="preserve">AVERAGEIFS(RoadTra_BY!AT$2:AT$999,RoadTra_BY!$B$2:$B$999,'Road transport'!$C24,RoadTra_BY!$C$2:$C$999,'Road transport'!$AX24)</f>
        <v>15</v>
      </c>
      <c r="AM24" s="91" t="e">
        <f xml:space="preserve">AVERAGEIFS(RoadTra_BY!AU$2:AU$999,RoadTra_BY!$B$2:$B$999,'Road transport'!$C24,RoadTra_BY!$C$2:$C$999,'Road transport'!$AX24)</f>
        <v>#DIV/0!</v>
      </c>
      <c r="AN24" s="91" t="e">
        <f xml:space="preserve">AVERAGEIFS(RoadTra_BY!AV$2:AV$999,RoadTra_BY!$B$2:$B$999,'Road transport'!$C24,RoadTra_BY!$C$2:$C$999,'Road transport'!$AX24)</f>
        <v>#DIV/0!</v>
      </c>
      <c r="AO24" s="91" t="e">
        <f xml:space="preserve">AVERAGEIFS(RoadTra_BY!AW$2:AW$999,RoadTra_BY!$B$2:$B$999,'Road transport'!$C24,RoadTra_BY!$C$2:$C$999,'Road transport'!$AX24)</f>
        <v>#DIV/0!</v>
      </c>
      <c r="AP24" s="91" t="e">
        <f xml:space="preserve">AVERAGEIFS(RoadTra_BY!AX$2:AX$999,RoadTra_BY!$B$2:$B$999,'Road transport'!$C24,RoadTra_BY!$C$2:$C$999,'Road transport'!$AX24)</f>
        <v>#DIV/0!</v>
      </c>
      <c r="AQ24" s="91" t="e">
        <f xml:space="preserve">AVERAGEIFS(RoadTra_BY!AY$2:AY$999,RoadTra_BY!$B$2:$B$999,'Road transport'!$C24,RoadTra_BY!$C$2:$C$999,'Road transport'!$AX24)</f>
        <v>#DIV/0!</v>
      </c>
      <c r="AR24" s="91" t="e">
        <f xml:space="preserve">AVERAGEIFS(RoadTra_BY!AZ$2:AZ$999,RoadTra_BY!$B$2:$B$999,'Road transport'!$C24,RoadTra_BY!$C$2:$C$999,'Road transport'!$AX24)</f>
        <v>#DIV/0!</v>
      </c>
      <c r="AS24" s="91" t="e">
        <f xml:space="preserve">AVERAGEIFS(RoadTra_BY!BA$2:BA$999,RoadTra_BY!$B$2:$B$999,'Road transport'!$C24,RoadTra_BY!$C$2:$C$999,'Road transport'!$AX24)</f>
        <v>#DIV/0!</v>
      </c>
      <c r="AT24" s="91" t="e">
        <f xml:space="preserve">AVERAGEIFS(RoadTra_BY!BB$2:BB$999,RoadTra_BY!$B$2:$B$999,'Road transport'!$C24,RoadTra_BY!$C$2:$C$999,'Road transport'!$AX24)</f>
        <v>#DIV/0!</v>
      </c>
      <c r="AU24" s="91" t="e">
        <f xml:space="preserve">AVERAGEIFS(RoadTra_BY!BC$2:BC$999,RoadTra_BY!$B$2:$B$999,'Road transport'!$C24,RoadTra_BY!$C$2:$C$999,'Road transport'!$AX24)</f>
        <v>#DIV/0!</v>
      </c>
      <c r="AV24" s="91" t="e">
        <f xml:space="preserve">AVERAGEIFS(RoadTra_BY!BD$2:BD$999,RoadTra_BY!$B$2:$B$999,'Road transport'!$C24,RoadTra_BY!$C$2:$C$999,'Road transport'!$AX24)</f>
        <v>#DIV/0!</v>
      </c>
      <c r="AW24" s="91" t="e">
        <f xml:space="preserve">AVERAGEIFS(RoadTra_BY!BE$2:BE$999,RoadTra_BY!$B$2:$B$999,'Road transport'!$C24,RoadTra_BY!$C$2:$C$999,'Road transport'!$AX24)</f>
        <v>#DIV/0!</v>
      </c>
      <c r="AX24" t="s">
        <v>221</v>
      </c>
    </row>
    <row r="25" spans="2:50">
      <c r="C25" t="s">
        <v>174</v>
      </c>
      <c r="D25" s="91">
        <f xml:space="preserve">AVERAGEIFS(RoadTra_BY!L$2:L$999,RoadTra_BY!$B$2:$B$999,'Road transport'!$C25,RoadTra_BY!$C$2:$C$999,'Road transport'!$AX25)</f>
        <v>35</v>
      </c>
      <c r="E25" s="91">
        <f xml:space="preserve">AVERAGEIFS(RoadTra_BY!M$2:M$999,RoadTra_BY!$B$2:$B$999,'Road transport'!$C25,RoadTra_BY!$C$2:$C$999,'Road transport'!$AX25)</f>
        <v>35</v>
      </c>
      <c r="F25" s="91">
        <f xml:space="preserve">AVERAGEIFS(RoadTra_BY!N$2:N$999,RoadTra_BY!$B$2:$B$999,'Road transport'!$C25,RoadTra_BY!$C$2:$C$999,'Road transport'!$AX25)</f>
        <v>35</v>
      </c>
      <c r="G25" s="91">
        <f xml:space="preserve">AVERAGEIFS(RoadTra_BY!O$2:O$999,RoadTra_BY!$B$2:$B$999,'Road transport'!$C25,RoadTra_BY!$C$2:$C$999,'Road transport'!$AX25)</f>
        <v>35</v>
      </c>
      <c r="H25" s="91">
        <f xml:space="preserve">AVERAGEIFS(RoadTra_BY!P$2:P$999,RoadTra_BY!$B$2:$B$999,'Road transport'!$C25,RoadTra_BY!$C$2:$C$999,'Road transport'!$AX25)</f>
        <v>35</v>
      </c>
      <c r="I25" s="91">
        <f xml:space="preserve">AVERAGEIFS(RoadTra_BY!Q$2:Q$999,RoadTra_BY!$B$2:$B$999,'Road transport'!$C25,RoadTra_BY!$C$2:$C$999,'Road transport'!$AX25)</f>
        <v>35</v>
      </c>
      <c r="J25" s="91">
        <f xml:space="preserve">AVERAGEIFS(RoadTra_BY!R$2:R$999,RoadTra_BY!$B$2:$B$999,'Road transport'!$C25,RoadTra_BY!$C$2:$C$999,'Road transport'!$AX25)</f>
        <v>35</v>
      </c>
      <c r="K25" s="91">
        <f xml:space="preserve">AVERAGEIFS(RoadTra_BY!S$2:S$999,RoadTra_BY!$B$2:$B$999,'Road transport'!$C25,RoadTra_BY!$C$2:$C$999,'Road transport'!$AX25)</f>
        <v>35</v>
      </c>
      <c r="L25" s="91">
        <f xml:space="preserve">AVERAGEIFS(RoadTra_BY!T$2:T$999,RoadTra_BY!$B$2:$B$999,'Road transport'!$C25,RoadTra_BY!$C$2:$C$999,'Road transport'!$AX25)</f>
        <v>35</v>
      </c>
      <c r="M25" s="91">
        <f xml:space="preserve">AVERAGEIFS(RoadTra_BY!U$2:U$999,RoadTra_BY!$B$2:$B$999,'Road transport'!$C25,RoadTra_BY!$C$2:$C$999,'Road transport'!$AX25)</f>
        <v>35</v>
      </c>
      <c r="N25" s="91">
        <f xml:space="preserve">AVERAGEIFS(RoadTra_BY!V$2:V$999,RoadTra_BY!$B$2:$B$999,'Road transport'!$C25,RoadTra_BY!$C$2:$C$999,'Road transport'!$AX25)</f>
        <v>35</v>
      </c>
      <c r="O25" s="91">
        <f xml:space="preserve">AVERAGEIFS(RoadTra_BY!W$2:W$999,RoadTra_BY!$B$2:$B$999,'Road transport'!$C25,RoadTra_BY!$C$2:$C$999,'Road transport'!$AX25)</f>
        <v>35</v>
      </c>
      <c r="P25" s="91">
        <f xml:space="preserve">AVERAGEIFS(RoadTra_BY!X$2:X$999,RoadTra_BY!$B$2:$B$999,'Road transport'!$C25,RoadTra_BY!$C$2:$C$999,'Road transport'!$AX25)</f>
        <v>35</v>
      </c>
      <c r="Q25" s="91">
        <f xml:space="preserve">AVERAGEIFS(RoadTra_BY!Y$2:Y$999,RoadTra_BY!$B$2:$B$999,'Road transport'!$C25,RoadTra_BY!$C$2:$C$999,'Road transport'!$AX25)</f>
        <v>35</v>
      </c>
      <c r="R25" s="91">
        <f xml:space="preserve">AVERAGEIFS(RoadTra_BY!Z$2:Z$999,RoadTra_BY!$B$2:$B$999,'Road transport'!$C25,RoadTra_BY!$C$2:$C$999,'Road transport'!$AX25)</f>
        <v>35</v>
      </c>
      <c r="S25" s="91">
        <f xml:space="preserve">AVERAGEIFS(RoadTra_BY!AA$2:AA$999,RoadTra_BY!$B$2:$B$999,'Road transport'!$C25,RoadTra_BY!$C$2:$C$999,'Road transport'!$AX25)</f>
        <v>35</v>
      </c>
      <c r="T25" s="91">
        <f xml:space="preserve">AVERAGEIFS(RoadTra_BY!AB$2:AB$999,RoadTra_BY!$B$2:$B$999,'Road transport'!$C25,RoadTra_BY!$C$2:$C$999,'Road transport'!$AX25)</f>
        <v>35</v>
      </c>
      <c r="U25" s="91">
        <f xml:space="preserve">AVERAGEIFS(RoadTra_BY!AC$2:AC$999,RoadTra_BY!$B$2:$B$999,'Road transport'!$C25,RoadTra_BY!$C$2:$C$999,'Road transport'!$AX25)</f>
        <v>35</v>
      </c>
      <c r="V25" s="91">
        <f xml:space="preserve">AVERAGEIFS(RoadTra_BY!AD$2:AD$999,RoadTra_BY!$B$2:$B$999,'Road transport'!$C25,RoadTra_BY!$C$2:$C$999,'Road transport'!$AX25)</f>
        <v>35</v>
      </c>
      <c r="W25" s="91">
        <f xml:space="preserve">AVERAGEIFS(RoadTra_BY!AE$2:AE$999,RoadTra_BY!$B$2:$B$999,'Road transport'!$C25,RoadTra_BY!$C$2:$C$999,'Road transport'!$AX25)</f>
        <v>35</v>
      </c>
      <c r="X25" s="91">
        <f xml:space="preserve">AVERAGEIFS(RoadTra_BY!AF$2:AF$999,RoadTra_BY!$B$2:$B$999,'Road transport'!$C25,RoadTra_BY!$C$2:$C$999,'Road transport'!$AX25)</f>
        <v>35</v>
      </c>
      <c r="Y25" s="91">
        <f xml:space="preserve">AVERAGEIFS(RoadTra_BY!AG$2:AG$999,RoadTra_BY!$B$2:$B$999,'Road transport'!$C25,RoadTra_BY!$C$2:$C$999,'Road transport'!$AX25)</f>
        <v>35</v>
      </c>
      <c r="Z25" s="91">
        <f xml:space="preserve">AVERAGEIFS(RoadTra_BY!AH$2:AH$999,RoadTra_BY!$B$2:$B$999,'Road transport'!$C25,RoadTra_BY!$C$2:$C$999,'Road transport'!$AX25)</f>
        <v>35</v>
      </c>
      <c r="AA25" s="91">
        <f xml:space="preserve">AVERAGEIFS(RoadTra_BY!AI$2:AI$999,RoadTra_BY!$B$2:$B$999,'Road transport'!$C25,RoadTra_BY!$C$2:$C$999,'Road transport'!$AX25)</f>
        <v>35</v>
      </c>
      <c r="AB25" s="91">
        <f xml:space="preserve">AVERAGEIFS(RoadTra_BY!AJ$2:AJ$999,RoadTra_BY!$B$2:$B$999,'Road transport'!$C25,RoadTra_BY!$C$2:$C$999,'Road transport'!$AX25)</f>
        <v>35</v>
      </c>
      <c r="AC25" s="91">
        <f xml:space="preserve">AVERAGEIFS(RoadTra_BY!AK$2:AK$999,RoadTra_BY!$B$2:$B$999,'Road transport'!$C25,RoadTra_BY!$C$2:$C$999,'Road transport'!$AX25)</f>
        <v>35</v>
      </c>
      <c r="AD25" s="91">
        <f xml:space="preserve">AVERAGEIFS(RoadTra_BY!AL$2:AL$999,RoadTra_BY!$B$2:$B$999,'Road transport'!$C25,RoadTra_BY!$C$2:$C$999,'Road transport'!$AX25)</f>
        <v>35</v>
      </c>
      <c r="AE25" s="91">
        <f xml:space="preserve">AVERAGEIFS(RoadTra_BY!AM$2:AM$999,RoadTra_BY!$B$2:$B$999,'Road transport'!$C25,RoadTra_BY!$C$2:$C$999,'Road transport'!$AX25)</f>
        <v>35</v>
      </c>
      <c r="AF25" s="91">
        <f xml:space="preserve">AVERAGEIFS(RoadTra_BY!AN$2:AN$999,RoadTra_BY!$B$2:$B$999,'Road transport'!$C25,RoadTra_BY!$C$2:$C$999,'Road transport'!$AX25)</f>
        <v>35</v>
      </c>
      <c r="AG25" s="91">
        <f xml:space="preserve">AVERAGEIFS(RoadTra_BY!AO$2:AO$999,RoadTra_BY!$B$2:$B$999,'Road transport'!$C25,RoadTra_BY!$C$2:$C$999,'Road transport'!$AX25)</f>
        <v>35</v>
      </c>
      <c r="AH25" s="91">
        <f xml:space="preserve">AVERAGEIFS(RoadTra_BY!AP$2:AP$999,RoadTra_BY!$B$2:$B$999,'Road transport'!$C25,RoadTra_BY!$C$2:$C$999,'Road transport'!$AX25)</f>
        <v>35</v>
      </c>
      <c r="AI25" s="91">
        <f xml:space="preserve">AVERAGEIFS(RoadTra_BY!AQ$2:AQ$999,RoadTra_BY!$B$2:$B$999,'Road transport'!$C25,RoadTra_BY!$C$2:$C$999,'Road transport'!$AX25)</f>
        <v>35</v>
      </c>
      <c r="AJ25" s="91">
        <f xml:space="preserve">AVERAGEIFS(RoadTra_BY!AR$2:AR$999,RoadTra_BY!$B$2:$B$999,'Road transport'!$C25,RoadTra_BY!$C$2:$C$999,'Road transport'!$AX25)</f>
        <v>35</v>
      </c>
      <c r="AK25" s="91">
        <f xml:space="preserve">AVERAGEIFS(RoadTra_BY!AS$2:AS$999,RoadTra_BY!$B$2:$B$999,'Road transport'!$C25,RoadTra_BY!$C$2:$C$999,'Road transport'!$AX25)</f>
        <v>35</v>
      </c>
      <c r="AL25" s="91">
        <f xml:space="preserve">AVERAGEIFS(RoadTra_BY!AT$2:AT$999,RoadTra_BY!$B$2:$B$999,'Road transport'!$C25,RoadTra_BY!$C$2:$C$999,'Road transport'!$AX25)</f>
        <v>20</v>
      </c>
      <c r="AM25" s="91" t="e">
        <f xml:space="preserve">AVERAGEIFS(RoadTra_BY!AU$2:AU$999,RoadTra_BY!$B$2:$B$999,'Road transport'!$C25,RoadTra_BY!$C$2:$C$999,'Road transport'!$AX25)</f>
        <v>#DIV/0!</v>
      </c>
      <c r="AN25" s="91" t="e">
        <f xml:space="preserve">AVERAGEIFS(RoadTra_BY!AV$2:AV$999,RoadTra_BY!$B$2:$B$999,'Road transport'!$C25,RoadTra_BY!$C$2:$C$999,'Road transport'!$AX25)</f>
        <v>#DIV/0!</v>
      </c>
      <c r="AO25" s="91" t="e">
        <f xml:space="preserve">AVERAGEIFS(RoadTra_BY!AW$2:AW$999,RoadTra_BY!$B$2:$B$999,'Road transport'!$C25,RoadTra_BY!$C$2:$C$999,'Road transport'!$AX25)</f>
        <v>#DIV/0!</v>
      </c>
      <c r="AP25" s="91" t="e">
        <f xml:space="preserve">AVERAGEIFS(RoadTra_BY!AX$2:AX$999,RoadTra_BY!$B$2:$B$999,'Road transport'!$C25,RoadTra_BY!$C$2:$C$999,'Road transport'!$AX25)</f>
        <v>#DIV/0!</v>
      </c>
      <c r="AQ25" s="91" t="e">
        <f xml:space="preserve">AVERAGEIFS(RoadTra_BY!AY$2:AY$999,RoadTra_BY!$B$2:$B$999,'Road transport'!$C25,RoadTra_BY!$C$2:$C$999,'Road transport'!$AX25)</f>
        <v>#DIV/0!</v>
      </c>
      <c r="AR25" s="91" t="e">
        <f xml:space="preserve">AVERAGEIFS(RoadTra_BY!AZ$2:AZ$999,RoadTra_BY!$B$2:$B$999,'Road transport'!$C25,RoadTra_BY!$C$2:$C$999,'Road transport'!$AX25)</f>
        <v>#DIV/0!</v>
      </c>
      <c r="AS25" s="91" t="e">
        <f xml:space="preserve">AVERAGEIFS(RoadTra_BY!BA$2:BA$999,RoadTra_BY!$B$2:$B$999,'Road transport'!$C25,RoadTra_BY!$C$2:$C$999,'Road transport'!$AX25)</f>
        <v>#DIV/0!</v>
      </c>
      <c r="AT25" s="91" t="e">
        <f xml:space="preserve">AVERAGEIFS(RoadTra_BY!BB$2:BB$999,RoadTra_BY!$B$2:$B$999,'Road transport'!$C25,RoadTra_BY!$C$2:$C$999,'Road transport'!$AX25)</f>
        <v>#DIV/0!</v>
      </c>
      <c r="AU25" s="91" t="e">
        <f xml:space="preserve">AVERAGEIFS(RoadTra_BY!BC$2:BC$999,RoadTra_BY!$B$2:$B$999,'Road transport'!$C25,RoadTra_BY!$C$2:$C$999,'Road transport'!$AX25)</f>
        <v>#DIV/0!</v>
      </c>
      <c r="AV25" s="91" t="e">
        <f xml:space="preserve">AVERAGEIFS(RoadTra_BY!BD$2:BD$999,RoadTra_BY!$B$2:$B$999,'Road transport'!$C25,RoadTra_BY!$C$2:$C$999,'Road transport'!$AX25)</f>
        <v>#DIV/0!</v>
      </c>
      <c r="AW25" s="91" t="e">
        <f xml:space="preserve">AVERAGEIFS(RoadTra_BY!BE$2:BE$999,RoadTra_BY!$B$2:$B$999,'Road transport'!$C25,RoadTra_BY!$C$2:$C$999,'Road transport'!$AX25)</f>
        <v>#DIV/0!</v>
      </c>
      <c r="AX25" t="s">
        <v>222</v>
      </c>
    </row>
    <row r="26" spans="2:50">
      <c r="C26" t="s">
        <v>174</v>
      </c>
      <c r="D26" s="91">
        <f xml:space="preserve">AVERAGEIFS(RoadTra_BY!L$2:L$999,RoadTra_BY!$B$2:$B$999,'Road transport'!$C26,RoadTra_BY!$C$2:$C$999,'Road transport'!$AX26)</f>
        <v>12</v>
      </c>
      <c r="E26" s="91">
        <f xml:space="preserve">AVERAGEIFS(RoadTra_BY!M$2:M$999,RoadTra_BY!$B$2:$B$999,'Road transport'!$C26,RoadTra_BY!$C$2:$C$999,'Road transport'!$AX26)</f>
        <v>12</v>
      </c>
      <c r="F26" s="91">
        <f xml:space="preserve">AVERAGEIFS(RoadTra_BY!N$2:N$999,RoadTra_BY!$B$2:$B$999,'Road transport'!$C26,RoadTra_BY!$C$2:$C$999,'Road transport'!$AX26)</f>
        <v>12</v>
      </c>
      <c r="G26" s="91">
        <f xml:space="preserve">AVERAGEIFS(RoadTra_BY!O$2:O$999,RoadTra_BY!$B$2:$B$999,'Road transport'!$C26,RoadTra_BY!$C$2:$C$999,'Road transport'!$AX26)</f>
        <v>12</v>
      </c>
      <c r="H26" s="91">
        <f xml:space="preserve">AVERAGEIFS(RoadTra_BY!P$2:P$999,RoadTra_BY!$B$2:$B$999,'Road transport'!$C26,RoadTra_BY!$C$2:$C$999,'Road transport'!$AX26)</f>
        <v>12</v>
      </c>
      <c r="I26" s="91">
        <f xml:space="preserve">AVERAGEIFS(RoadTra_BY!Q$2:Q$999,RoadTra_BY!$B$2:$B$999,'Road transport'!$C26,RoadTra_BY!$C$2:$C$999,'Road transport'!$AX26)</f>
        <v>12</v>
      </c>
      <c r="J26" s="91">
        <f xml:space="preserve">AVERAGEIFS(RoadTra_BY!R$2:R$999,RoadTra_BY!$B$2:$B$999,'Road transport'!$C26,RoadTra_BY!$C$2:$C$999,'Road transport'!$AX26)</f>
        <v>12</v>
      </c>
      <c r="K26" s="91">
        <f xml:space="preserve">AVERAGEIFS(RoadTra_BY!S$2:S$999,RoadTra_BY!$B$2:$B$999,'Road transport'!$C26,RoadTra_BY!$C$2:$C$999,'Road transport'!$AX26)</f>
        <v>8</v>
      </c>
      <c r="L26" s="91">
        <f xml:space="preserve">AVERAGEIFS(RoadTra_BY!T$2:T$999,RoadTra_BY!$B$2:$B$999,'Road transport'!$C26,RoadTra_BY!$C$2:$C$999,'Road transport'!$AX26)</f>
        <v>12</v>
      </c>
      <c r="M26" s="91">
        <f xml:space="preserve">AVERAGEIFS(RoadTra_BY!U$2:U$999,RoadTra_BY!$B$2:$B$999,'Road transport'!$C26,RoadTra_BY!$C$2:$C$999,'Road transport'!$AX26)</f>
        <v>12</v>
      </c>
      <c r="N26" s="91">
        <f xml:space="preserve">AVERAGEIFS(RoadTra_BY!V$2:V$999,RoadTra_BY!$B$2:$B$999,'Road transport'!$C26,RoadTra_BY!$C$2:$C$999,'Road transport'!$AX26)</f>
        <v>12</v>
      </c>
      <c r="O26" s="91">
        <f xml:space="preserve">AVERAGEIFS(RoadTra_BY!W$2:W$999,RoadTra_BY!$B$2:$B$999,'Road transport'!$C26,RoadTra_BY!$C$2:$C$999,'Road transport'!$AX26)</f>
        <v>12</v>
      </c>
      <c r="P26" s="91">
        <f xml:space="preserve">AVERAGEIFS(RoadTra_BY!X$2:X$999,RoadTra_BY!$B$2:$B$999,'Road transport'!$C26,RoadTra_BY!$C$2:$C$999,'Road transport'!$AX26)</f>
        <v>12</v>
      </c>
      <c r="Q26" s="91">
        <f xml:space="preserve">AVERAGEIFS(RoadTra_BY!Y$2:Y$999,RoadTra_BY!$B$2:$B$999,'Road transport'!$C26,RoadTra_BY!$C$2:$C$999,'Road transport'!$AX26)</f>
        <v>12</v>
      </c>
      <c r="R26" s="91">
        <f xml:space="preserve">AVERAGEIFS(RoadTra_BY!Z$2:Z$999,RoadTra_BY!$B$2:$B$999,'Road transport'!$C26,RoadTra_BY!$C$2:$C$999,'Road transport'!$AX26)</f>
        <v>12</v>
      </c>
      <c r="S26" s="91">
        <f xml:space="preserve">AVERAGEIFS(RoadTra_BY!AA$2:AA$999,RoadTra_BY!$B$2:$B$999,'Road transport'!$C26,RoadTra_BY!$C$2:$C$999,'Road transport'!$AX26)</f>
        <v>12</v>
      </c>
      <c r="T26" s="91">
        <f xml:space="preserve">AVERAGEIFS(RoadTra_BY!AB$2:AB$999,RoadTra_BY!$B$2:$B$999,'Road transport'!$C26,RoadTra_BY!$C$2:$C$999,'Road transport'!$AX26)</f>
        <v>12</v>
      </c>
      <c r="U26" s="91">
        <f xml:space="preserve">AVERAGEIFS(RoadTra_BY!AC$2:AC$999,RoadTra_BY!$B$2:$B$999,'Road transport'!$C26,RoadTra_BY!$C$2:$C$999,'Road transport'!$AX26)</f>
        <v>12</v>
      </c>
      <c r="V26" s="91">
        <f xml:space="preserve">AVERAGEIFS(RoadTra_BY!AD$2:AD$999,RoadTra_BY!$B$2:$B$999,'Road transport'!$C26,RoadTra_BY!$C$2:$C$999,'Road transport'!$AX26)</f>
        <v>12</v>
      </c>
      <c r="W26" s="91">
        <f xml:space="preserve">AVERAGEIFS(RoadTra_BY!AE$2:AE$999,RoadTra_BY!$B$2:$B$999,'Road transport'!$C26,RoadTra_BY!$C$2:$C$999,'Road transport'!$AX26)</f>
        <v>12</v>
      </c>
      <c r="X26" s="91">
        <f xml:space="preserve">AVERAGEIFS(RoadTra_BY!AF$2:AF$999,RoadTra_BY!$B$2:$B$999,'Road transport'!$C26,RoadTra_BY!$C$2:$C$999,'Road transport'!$AX26)</f>
        <v>12</v>
      </c>
      <c r="Y26" s="91">
        <f xml:space="preserve">AVERAGEIFS(RoadTra_BY!AG$2:AG$999,RoadTra_BY!$B$2:$B$999,'Road transport'!$C26,RoadTra_BY!$C$2:$C$999,'Road transport'!$AX26)</f>
        <v>18</v>
      </c>
      <c r="Z26" s="91">
        <f xml:space="preserve">AVERAGEIFS(RoadTra_BY!AH$2:AH$999,RoadTra_BY!$B$2:$B$999,'Road transport'!$C26,RoadTra_BY!$C$2:$C$999,'Road transport'!$AX26)</f>
        <v>12</v>
      </c>
      <c r="AA26" s="91">
        <f xml:space="preserve">AVERAGEIFS(RoadTra_BY!AI$2:AI$999,RoadTra_BY!$B$2:$B$999,'Road transport'!$C26,RoadTra_BY!$C$2:$C$999,'Road transport'!$AX26)</f>
        <v>12</v>
      </c>
      <c r="AB26" s="91">
        <f xml:space="preserve">AVERAGEIFS(RoadTra_BY!AJ$2:AJ$999,RoadTra_BY!$B$2:$B$999,'Road transport'!$C26,RoadTra_BY!$C$2:$C$999,'Road transport'!$AX26)</f>
        <v>12</v>
      </c>
      <c r="AC26" s="91">
        <f xml:space="preserve">AVERAGEIFS(RoadTra_BY!AK$2:AK$999,RoadTra_BY!$B$2:$B$999,'Road transport'!$C26,RoadTra_BY!$C$2:$C$999,'Road transport'!$AX26)</f>
        <v>12</v>
      </c>
      <c r="AD26" s="91">
        <f xml:space="preserve">AVERAGEIFS(RoadTra_BY!AL$2:AL$999,RoadTra_BY!$B$2:$B$999,'Road transport'!$C26,RoadTra_BY!$C$2:$C$999,'Road transport'!$AX26)</f>
        <v>12</v>
      </c>
      <c r="AE26" s="91">
        <f xml:space="preserve">AVERAGEIFS(RoadTra_BY!AM$2:AM$999,RoadTra_BY!$B$2:$B$999,'Road transport'!$C26,RoadTra_BY!$C$2:$C$999,'Road transport'!$AX26)</f>
        <v>12</v>
      </c>
      <c r="AF26" s="91">
        <f xml:space="preserve">AVERAGEIFS(RoadTra_BY!AN$2:AN$999,RoadTra_BY!$B$2:$B$999,'Road transport'!$C26,RoadTra_BY!$C$2:$C$999,'Road transport'!$AX26)</f>
        <v>12</v>
      </c>
      <c r="AG26" s="91">
        <f xml:space="preserve">AVERAGEIFS(RoadTra_BY!AO$2:AO$999,RoadTra_BY!$B$2:$B$999,'Road transport'!$C26,RoadTra_BY!$C$2:$C$999,'Road transport'!$AX26)</f>
        <v>12</v>
      </c>
      <c r="AH26" s="91">
        <f xml:space="preserve">AVERAGEIFS(RoadTra_BY!AP$2:AP$999,RoadTra_BY!$B$2:$B$999,'Road transport'!$C26,RoadTra_BY!$C$2:$C$999,'Road transport'!$AX26)</f>
        <v>12</v>
      </c>
      <c r="AI26" s="91">
        <f xml:space="preserve">AVERAGEIFS(RoadTra_BY!AQ$2:AQ$999,RoadTra_BY!$B$2:$B$999,'Road transport'!$C26,RoadTra_BY!$C$2:$C$999,'Road transport'!$AX26)</f>
        <v>12</v>
      </c>
      <c r="AJ26" s="91">
        <f xml:space="preserve">AVERAGEIFS(RoadTra_BY!AR$2:AR$999,RoadTra_BY!$B$2:$B$999,'Road transport'!$C26,RoadTra_BY!$C$2:$C$999,'Road transport'!$AX26)</f>
        <v>12</v>
      </c>
      <c r="AK26" s="91">
        <f xml:space="preserve">AVERAGEIFS(RoadTra_BY!AS$2:AS$999,RoadTra_BY!$B$2:$B$999,'Road transport'!$C26,RoadTra_BY!$C$2:$C$999,'Road transport'!$AX26)</f>
        <v>12</v>
      </c>
      <c r="AL26" s="91">
        <f xml:space="preserve">AVERAGEIFS(RoadTra_BY!AT$2:AT$999,RoadTra_BY!$B$2:$B$999,'Road transport'!$C26,RoadTra_BY!$C$2:$C$999,'Road transport'!$AX26)</f>
        <v>12</v>
      </c>
      <c r="AM26" s="91" t="e">
        <f xml:space="preserve">AVERAGEIFS(RoadTra_BY!AU$2:AU$999,RoadTra_BY!$B$2:$B$999,'Road transport'!$C26,RoadTra_BY!$C$2:$C$999,'Road transport'!$AX26)</f>
        <v>#DIV/0!</v>
      </c>
      <c r="AN26" s="91" t="e">
        <f xml:space="preserve">AVERAGEIFS(RoadTra_BY!AV$2:AV$999,RoadTra_BY!$B$2:$B$999,'Road transport'!$C26,RoadTra_BY!$C$2:$C$999,'Road transport'!$AX26)</f>
        <v>#DIV/0!</v>
      </c>
      <c r="AO26" s="91" t="e">
        <f xml:space="preserve">AVERAGEIFS(RoadTra_BY!AW$2:AW$999,RoadTra_BY!$B$2:$B$999,'Road transport'!$C26,RoadTra_BY!$C$2:$C$999,'Road transport'!$AX26)</f>
        <v>#DIV/0!</v>
      </c>
      <c r="AP26" s="91" t="e">
        <f xml:space="preserve">AVERAGEIFS(RoadTra_BY!AX$2:AX$999,RoadTra_BY!$B$2:$B$999,'Road transport'!$C26,RoadTra_BY!$C$2:$C$999,'Road transport'!$AX26)</f>
        <v>#DIV/0!</v>
      </c>
      <c r="AQ26" s="91" t="e">
        <f xml:space="preserve">AVERAGEIFS(RoadTra_BY!AY$2:AY$999,RoadTra_BY!$B$2:$B$999,'Road transport'!$C26,RoadTra_BY!$C$2:$C$999,'Road transport'!$AX26)</f>
        <v>#DIV/0!</v>
      </c>
      <c r="AR26" s="91" t="e">
        <f xml:space="preserve">AVERAGEIFS(RoadTra_BY!AZ$2:AZ$999,RoadTra_BY!$B$2:$B$999,'Road transport'!$C26,RoadTra_BY!$C$2:$C$999,'Road transport'!$AX26)</f>
        <v>#DIV/0!</v>
      </c>
      <c r="AS26" s="91" t="e">
        <f xml:space="preserve">AVERAGEIFS(RoadTra_BY!BA$2:BA$999,RoadTra_BY!$B$2:$B$999,'Road transport'!$C26,RoadTra_BY!$C$2:$C$999,'Road transport'!$AX26)</f>
        <v>#DIV/0!</v>
      </c>
      <c r="AT26" s="91" t="e">
        <f xml:space="preserve">AVERAGEIFS(RoadTra_BY!BB$2:BB$999,RoadTra_BY!$B$2:$B$999,'Road transport'!$C26,RoadTra_BY!$C$2:$C$999,'Road transport'!$AX26)</f>
        <v>#DIV/0!</v>
      </c>
      <c r="AU26" s="91" t="e">
        <f xml:space="preserve">AVERAGEIFS(RoadTra_BY!BC$2:BC$999,RoadTra_BY!$B$2:$B$999,'Road transport'!$C26,RoadTra_BY!$C$2:$C$999,'Road transport'!$AX26)</f>
        <v>#DIV/0!</v>
      </c>
      <c r="AV26" s="91" t="e">
        <f xml:space="preserve">AVERAGEIFS(RoadTra_BY!BD$2:BD$999,RoadTra_BY!$B$2:$B$999,'Road transport'!$C26,RoadTra_BY!$C$2:$C$999,'Road transport'!$AX26)</f>
        <v>#DIV/0!</v>
      </c>
      <c r="AW26" s="91" t="e">
        <f xml:space="preserve">AVERAGEIFS(RoadTra_BY!BE$2:BE$999,RoadTra_BY!$B$2:$B$999,'Road transport'!$C26,RoadTra_BY!$C$2:$C$999,'Road transport'!$AX26)</f>
        <v>#DIV/0!</v>
      </c>
      <c r="AX26" t="s">
        <v>223</v>
      </c>
    </row>
    <row r="27" spans="2:50">
      <c r="C27" t="s">
        <v>174</v>
      </c>
      <c r="D27" s="91">
        <f xml:space="preserve">AVERAGEIFS(RoadTra_BY!L$2:L$999,RoadTra_BY!$B$2:$B$999,'Road transport'!$C27,RoadTra_BY!$C$2:$C$999,'Road transport'!$AX27)</f>
        <v>100</v>
      </c>
      <c r="E27" s="91">
        <f xml:space="preserve">AVERAGEIFS(RoadTra_BY!M$2:M$999,RoadTra_BY!$B$2:$B$999,'Road transport'!$C27,RoadTra_BY!$C$2:$C$999,'Road transport'!$AX27)</f>
        <v>100</v>
      </c>
      <c r="F27" s="91">
        <f xml:space="preserve">AVERAGEIFS(RoadTra_BY!N$2:N$999,RoadTra_BY!$B$2:$B$999,'Road transport'!$C27,RoadTra_BY!$C$2:$C$999,'Road transport'!$AX27)</f>
        <v>100</v>
      </c>
      <c r="G27" s="91">
        <f xml:space="preserve">AVERAGEIFS(RoadTra_BY!O$2:O$999,RoadTra_BY!$B$2:$B$999,'Road transport'!$C27,RoadTra_BY!$C$2:$C$999,'Road transport'!$AX27)</f>
        <v>100</v>
      </c>
      <c r="H27" s="91">
        <f xml:space="preserve">AVERAGEIFS(RoadTra_BY!P$2:P$999,RoadTra_BY!$B$2:$B$999,'Road transport'!$C27,RoadTra_BY!$C$2:$C$999,'Road transport'!$AX27)</f>
        <v>100</v>
      </c>
      <c r="I27" s="91">
        <f xml:space="preserve">AVERAGEIFS(RoadTra_BY!Q$2:Q$999,RoadTra_BY!$B$2:$B$999,'Road transport'!$C27,RoadTra_BY!$C$2:$C$999,'Road transport'!$AX27)</f>
        <v>100</v>
      </c>
      <c r="J27" s="91">
        <f xml:space="preserve">AVERAGEIFS(RoadTra_BY!R$2:R$999,RoadTra_BY!$B$2:$B$999,'Road transport'!$C27,RoadTra_BY!$C$2:$C$999,'Road transport'!$AX27)</f>
        <v>100</v>
      </c>
      <c r="K27" s="91">
        <f xml:space="preserve">AVERAGEIFS(RoadTra_BY!S$2:S$999,RoadTra_BY!$B$2:$B$999,'Road transport'!$C27,RoadTra_BY!$C$2:$C$999,'Road transport'!$AX27)</f>
        <v>100</v>
      </c>
      <c r="L27" s="91">
        <f xml:space="preserve">AVERAGEIFS(RoadTra_BY!T$2:T$999,RoadTra_BY!$B$2:$B$999,'Road transport'!$C27,RoadTra_BY!$C$2:$C$999,'Road transport'!$AX27)</f>
        <v>100</v>
      </c>
      <c r="M27" s="91">
        <f xml:space="preserve">AVERAGEIFS(RoadTra_BY!U$2:U$999,RoadTra_BY!$B$2:$B$999,'Road transport'!$C27,RoadTra_BY!$C$2:$C$999,'Road transport'!$AX27)</f>
        <v>100</v>
      </c>
      <c r="N27" s="91">
        <f xml:space="preserve">AVERAGEIFS(RoadTra_BY!V$2:V$999,RoadTra_BY!$B$2:$B$999,'Road transport'!$C27,RoadTra_BY!$C$2:$C$999,'Road transport'!$AX27)</f>
        <v>100</v>
      </c>
      <c r="O27" s="91">
        <f xml:space="preserve">AVERAGEIFS(RoadTra_BY!W$2:W$999,RoadTra_BY!$B$2:$B$999,'Road transport'!$C27,RoadTra_BY!$C$2:$C$999,'Road transport'!$AX27)</f>
        <v>100</v>
      </c>
      <c r="P27" s="91">
        <f xml:space="preserve">AVERAGEIFS(RoadTra_BY!X$2:X$999,RoadTra_BY!$B$2:$B$999,'Road transport'!$C27,RoadTra_BY!$C$2:$C$999,'Road transport'!$AX27)</f>
        <v>100</v>
      </c>
      <c r="Q27" s="91">
        <f xml:space="preserve">AVERAGEIFS(RoadTra_BY!Y$2:Y$999,RoadTra_BY!$B$2:$B$999,'Road transport'!$C27,RoadTra_BY!$C$2:$C$999,'Road transport'!$AX27)</f>
        <v>100</v>
      </c>
      <c r="R27" s="91">
        <f xml:space="preserve">AVERAGEIFS(RoadTra_BY!Z$2:Z$999,RoadTra_BY!$B$2:$B$999,'Road transport'!$C27,RoadTra_BY!$C$2:$C$999,'Road transport'!$AX27)</f>
        <v>100</v>
      </c>
      <c r="S27" s="91">
        <f xml:space="preserve">AVERAGEIFS(RoadTra_BY!AA$2:AA$999,RoadTra_BY!$B$2:$B$999,'Road transport'!$C27,RoadTra_BY!$C$2:$C$999,'Road transport'!$AX27)</f>
        <v>100</v>
      </c>
      <c r="T27" s="91">
        <f xml:space="preserve">AVERAGEIFS(RoadTra_BY!AB$2:AB$999,RoadTra_BY!$B$2:$B$999,'Road transport'!$C27,RoadTra_BY!$C$2:$C$999,'Road transport'!$AX27)</f>
        <v>100</v>
      </c>
      <c r="U27" s="91">
        <f xml:space="preserve">AVERAGEIFS(RoadTra_BY!AC$2:AC$999,RoadTra_BY!$B$2:$B$999,'Road transport'!$C27,RoadTra_BY!$C$2:$C$999,'Road transport'!$AX27)</f>
        <v>100</v>
      </c>
      <c r="V27" s="91">
        <f xml:space="preserve">AVERAGEIFS(RoadTra_BY!AD$2:AD$999,RoadTra_BY!$B$2:$B$999,'Road transport'!$C27,RoadTra_BY!$C$2:$C$999,'Road transport'!$AX27)</f>
        <v>100</v>
      </c>
      <c r="W27" s="91">
        <f xml:space="preserve">AVERAGEIFS(RoadTra_BY!AE$2:AE$999,RoadTra_BY!$B$2:$B$999,'Road transport'!$C27,RoadTra_BY!$C$2:$C$999,'Road transport'!$AX27)</f>
        <v>100</v>
      </c>
      <c r="X27" s="91">
        <f xml:space="preserve">AVERAGEIFS(RoadTra_BY!AF$2:AF$999,RoadTra_BY!$B$2:$B$999,'Road transport'!$C27,RoadTra_BY!$C$2:$C$999,'Road transport'!$AX27)</f>
        <v>100</v>
      </c>
      <c r="Y27" s="91">
        <f xml:space="preserve">AVERAGEIFS(RoadTra_BY!AG$2:AG$999,RoadTra_BY!$B$2:$B$999,'Road transport'!$C27,RoadTra_BY!$C$2:$C$999,'Road transport'!$AX27)</f>
        <v>100</v>
      </c>
      <c r="Z27" s="91">
        <f xml:space="preserve">AVERAGEIFS(RoadTra_BY!AH$2:AH$999,RoadTra_BY!$B$2:$B$999,'Road transport'!$C27,RoadTra_BY!$C$2:$C$999,'Road transport'!$AX27)</f>
        <v>100</v>
      </c>
      <c r="AA27" s="91">
        <f xml:space="preserve">AVERAGEIFS(RoadTra_BY!AI$2:AI$999,RoadTra_BY!$B$2:$B$999,'Road transport'!$C27,RoadTra_BY!$C$2:$C$999,'Road transport'!$AX27)</f>
        <v>100</v>
      </c>
      <c r="AB27" s="91">
        <f xml:space="preserve">AVERAGEIFS(RoadTra_BY!AJ$2:AJ$999,RoadTra_BY!$B$2:$B$999,'Road transport'!$C27,RoadTra_BY!$C$2:$C$999,'Road transport'!$AX27)</f>
        <v>100</v>
      </c>
      <c r="AC27" s="91">
        <f xml:space="preserve">AVERAGEIFS(RoadTra_BY!AK$2:AK$999,RoadTra_BY!$B$2:$B$999,'Road transport'!$C27,RoadTra_BY!$C$2:$C$999,'Road transport'!$AX27)</f>
        <v>100</v>
      </c>
      <c r="AD27" s="91">
        <f xml:space="preserve">AVERAGEIFS(RoadTra_BY!AL$2:AL$999,RoadTra_BY!$B$2:$B$999,'Road transport'!$C27,RoadTra_BY!$C$2:$C$999,'Road transport'!$AX27)</f>
        <v>100</v>
      </c>
      <c r="AE27" s="91">
        <f xml:space="preserve">AVERAGEIFS(RoadTra_BY!AM$2:AM$999,RoadTra_BY!$B$2:$B$999,'Road transport'!$C27,RoadTra_BY!$C$2:$C$999,'Road transport'!$AX27)</f>
        <v>100</v>
      </c>
      <c r="AF27" s="91">
        <f xml:space="preserve">AVERAGEIFS(RoadTra_BY!AN$2:AN$999,RoadTra_BY!$B$2:$B$999,'Road transport'!$C27,RoadTra_BY!$C$2:$C$999,'Road transport'!$AX27)</f>
        <v>35</v>
      </c>
      <c r="AG27" s="91">
        <f xml:space="preserve">AVERAGEIFS(RoadTra_BY!AO$2:AO$999,RoadTra_BY!$B$2:$B$999,'Road transport'!$C27,RoadTra_BY!$C$2:$C$999,'Road transport'!$AX27)</f>
        <v>100</v>
      </c>
      <c r="AH27" s="91">
        <f xml:space="preserve">AVERAGEIFS(RoadTra_BY!AP$2:AP$999,RoadTra_BY!$B$2:$B$999,'Road transport'!$C27,RoadTra_BY!$C$2:$C$999,'Road transport'!$AX27)</f>
        <v>100</v>
      </c>
      <c r="AI27" s="91">
        <f xml:space="preserve">AVERAGEIFS(RoadTra_BY!AQ$2:AQ$999,RoadTra_BY!$B$2:$B$999,'Road transport'!$C27,RoadTra_BY!$C$2:$C$999,'Road transport'!$AX27)</f>
        <v>100</v>
      </c>
      <c r="AJ27" s="91">
        <f xml:space="preserve">AVERAGEIFS(RoadTra_BY!AR$2:AR$999,RoadTra_BY!$B$2:$B$999,'Road transport'!$C27,RoadTra_BY!$C$2:$C$999,'Road transport'!$AX27)</f>
        <v>100</v>
      </c>
      <c r="AK27" s="91">
        <f xml:space="preserve">AVERAGEIFS(RoadTra_BY!AS$2:AS$999,RoadTra_BY!$B$2:$B$999,'Road transport'!$C27,RoadTra_BY!$C$2:$C$999,'Road transport'!$AX27)</f>
        <v>100</v>
      </c>
      <c r="AL27" s="91">
        <f xml:space="preserve">AVERAGEIFS(RoadTra_BY!AT$2:AT$999,RoadTra_BY!$B$2:$B$999,'Road transport'!$C27,RoadTra_BY!$C$2:$C$999,'Road transport'!$AX27)</f>
        <v>35</v>
      </c>
      <c r="AM27" s="91" t="e">
        <f xml:space="preserve">AVERAGEIFS(RoadTra_BY!AU$2:AU$999,RoadTra_BY!$B$2:$B$999,'Road transport'!$C27,RoadTra_BY!$C$2:$C$999,'Road transport'!$AX27)</f>
        <v>#DIV/0!</v>
      </c>
      <c r="AN27" s="91" t="e">
        <f xml:space="preserve">AVERAGEIFS(RoadTra_BY!AV$2:AV$999,RoadTra_BY!$B$2:$B$999,'Road transport'!$C27,RoadTra_BY!$C$2:$C$999,'Road transport'!$AX27)</f>
        <v>#DIV/0!</v>
      </c>
      <c r="AO27" s="91" t="e">
        <f xml:space="preserve">AVERAGEIFS(RoadTra_BY!AW$2:AW$999,RoadTra_BY!$B$2:$B$999,'Road transport'!$C27,RoadTra_BY!$C$2:$C$999,'Road transport'!$AX27)</f>
        <v>#DIV/0!</v>
      </c>
      <c r="AP27" s="91" t="e">
        <f xml:space="preserve">AVERAGEIFS(RoadTra_BY!AX$2:AX$999,RoadTra_BY!$B$2:$B$999,'Road transport'!$C27,RoadTra_BY!$C$2:$C$999,'Road transport'!$AX27)</f>
        <v>#DIV/0!</v>
      </c>
      <c r="AQ27" s="91" t="e">
        <f xml:space="preserve">AVERAGEIFS(RoadTra_BY!AY$2:AY$999,RoadTra_BY!$B$2:$B$999,'Road transport'!$C27,RoadTra_BY!$C$2:$C$999,'Road transport'!$AX27)</f>
        <v>#DIV/0!</v>
      </c>
      <c r="AR27" s="91" t="e">
        <f xml:space="preserve">AVERAGEIFS(RoadTra_BY!AZ$2:AZ$999,RoadTra_BY!$B$2:$B$999,'Road transport'!$C27,RoadTra_BY!$C$2:$C$999,'Road transport'!$AX27)</f>
        <v>#DIV/0!</v>
      </c>
      <c r="AS27" s="91" t="e">
        <f xml:space="preserve">AVERAGEIFS(RoadTra_BY!BA$2:BA$999,RoadTra_BY!$B$2:$B$999,'Road transport'!$C27,RoadTra_BY!$C$2:$C$999,'Road transport'!$AX27)</f>
        <v>#DIV/0!</v>
      </c>
      <c r="AT27" s="91" t="e">
        <f xml:space="preserve">AVERAGEIFS(RoadTra_BY!BB$2:BB$999,RoadTra_BY!$B$2:$B$999,'Road transport'!$C27,RoadTra_BY!$C$2:$C$999,'Road transport'!$AX27)</f>
        <v>#DIV/0!</v>
      </c>
      <c r="AU27" s="91" t="e">
        <f xml:space="preserve">AVERAGEIFS(RoadTra_BY!BC$2:BC$999,RoadTra_BY!$B$2:$B$999,'Road transport'!$C27,RoadTra_BY!$C$2:$C$999,'Road transport'!$AX27)</f>
        <v>#DIV/0!</v>
      </c>
      <c r="AV27" s="91" t="e">
        <f xml:space="preserve">AVERAGEIFS(RoadTra_BY!BD$2:BD$999,RoadTra_BY!$B$2:$B$999,'Road transport'!$C27,RoadTra_BY!$C$2:$C$999,'Road transport'!$AX27)</f>
        <v>#DIV/0!</v>
      </c>
      <c r="AW27" s="91" t="e">
        <f xml:space="preserve">AVERAGEIFS(RoadTra_BY!BE$2:BE$999,RoadTra_BY!$B$2:$B$999,'Road transport'!$C27,RoadTra_BY!$C$2:$C$999,'Road transport'!$AX27)</f>
        <v>#DIV/0!</v>
      </c>
      <c r="AX27" t="s">
        <v>224</v>
      </c>
    </row>
    <row r="28" spans="2:50">
      <c r="C28" t="s">
        <v>174</v>
      </c>
      <c r="D28" s="91">
        <f xml:space="preserve">AVERAGEIFS(RoadTra_BY!L$2:L$999,RoadTra_BY!$B$2:$B$999,'Road transport'!$C28,RoadTra_BY!$C$2:$C$999,'Road transport'!$AX28)</f>
        <v>40</v>
      </c>
      <c r="E28" s="91">
        <f xml:space="preserve">AVERAGEIFS(RoadTra_BY!M$2:M$999,RoadTra_BY!$B$2:$B$999,'Road transport'!$C28,RoadTra_BY!$C$2:$C$999,'Road transport'!$AX28)</f>
        <v>40</v>
      </c>
      <c r="F28" s="91">
        <f xml:space="preserve">AVERAGEIFS(RoadTra_BY!N$2:N$999,RoadTra_BY!$B$2:$B$999,'Road transport'!$C28,RoadTra_BY!$C$2:$C$999,'Road transport'!$AX28)</f>
        <v>40</v>
      </c>
      <c r="G28" s="91">
        <f xml:space="preserve">AVERAGEIFS(RoadTra_BY!O$2:O$999,RoadTra_BY!$B$2:$B$999,'Road transport'!$C28,RoadTra_BY!$C$2:$C$999,'Road transport'!$AX28)</f>
        <v>40</v>
      </c>
      <c r="H28" s="91">
        <f xml:space="preserve">AVERAGEIFS(RoadTra_BY!P$2:P$999,RoadTra_BY!$B$2:$B$999,'Road transport'!$C28,RoadTra_BY!$C$2:$C$999,'Road transport'!$AX28)</f>
        <v>40</v>
      </c>
      <c r="I28" s="91">
        <f xml:space="preserve">AVERAGEIFS(RoadTra_BY!Q$2:Q$999,RoadTra_BY!$B$2:$B$999,'Road transport'!$C28,RoadTra_BY!$C$2:$C$999,'Road transport'!$AX28)</f>
        <v>40</v>
      </c>
      <c r="J28" s="91">
        <f xml:space="preserve">AVERAGEIFS(RoadTra_BY!R$2:R$999,RoadTra_BY!$B$2:$B$999,'Road transport'!$C28,RoadTra_BY!$C$2:$C$999,'Road transport'!$AX28)</f>
        <v>40</v>
      </c>
      <c r="K28" s="91">
        <f xml:space="preserve">AVERAGEIFS(RoadTra_BY!S$2:S$999,RoadTra_BY!$B$2:$B$999,'Road transport'!$C28,RoadTra_BY!$C$2:$C$999,'Road transport'!$AX28)</f>
        <v>40</v>
      </c>
      <c r="L28" s="91">
        <f xml:space="preserve">AVERAGEIFS(RoadTra_BY!T$2:T$999,RoadTra_BY!$B$2:$B$999,'Road transport'!$C28,RoadTra_BY!$C$2:$C$999,'Road transport'!$AX28)</f>
        <v>40</v>
      </c>
      <c r="M28" s="91">
        <f xml:space="preserve">AVERAGEIFS(RoadTra_BY!U$2:U$999,RoadTra_BY!$B$2:$B$999,'Road transport'!$C28,RoadTra_BY!$C$2:$C$999,'Road transport'!$AX28)</f>
        <v>40</v>
      </c>
      <c r="N28" s="91">
        <f xml:space="preserve">AVERAGEIFS(RoadTra_BY!V$2:V$999,RoadTra_BY!$B$2:$B$999,'Road transport'!$C28,RoadTra_BY!$C$2:$C$999,'Road transport'!$AX28)</f>
        <v>40</v>
      </c>
      <c r="O28" s="91">
        <f xml:space="preserve">AVERAGEIFS(RoadTra_BY!W$2:W$999,RoadTra_BY!$B$2:$B$999,'Road transport'!$C28,RoadTra_BY!$C$2:$C$999,'Road transport'!$AX28)</f>
        <v>40</v>
      </c>
      <c r="P28" s="91">
        <f xml:space="preserve">AVERAGEIFS(RoadTra_BY!X$2:X$999,RoadTra_BY!$B$2:$B$999,'Road transport'!$C28,RoadTra_BY!$C$2:$C$999,'Road transport'!$AX28)</f>
        <v>40</v>
      </c>
      <c r="Q28" s="91">
        <f xml:space="preserve">AVERAGEIFS(RoadTra_BY!Y$2:Y$999,RoadTra_BY!$B$2:$B$999,'Road transport'!$C28,RoadTra_BY!$C$2:$C$999,'Road transport'!$AX28)</f>
        <v>40</v>
      </c>
      <c r="R28" s="91">
        <f xml:space="preserve">AVERAGEIFS(RoadTra_BY!Z$2:Z$999,RoadTra_BY!$B$2:$B$999,'Road transport'!$C28,RoadTra_BY!$C$2:$C$999,'Road transport'!$AX28)</f>
        <v>40</v>
      </c>
      <c r="S28" s="91">
        <f xml:space="preserve">AVERAGEIFS(RoadTra_BY!AA$2:AA$999,RoadTra_BY!$B$2:$B$999,'Road transport'!$C28,RoadTra_BY!$C$2:$C$999,'Road transport'!$AX28)</f>
        <v>40</v>
      </c>
      <c r="T28" s="91">
        <f xml:space="preserve">AVERAGEIFS(RoadTra_BY!AB$2:AB$999,RoadTra_BY!$B$2:$B$999,'Road transport'!$C28,RoadTra_BY!$C$2:$C$999,'Road transport'!$AX28)</f>
        <v>40</v>
      </c>
      <c r="U28" s="91">
        <f xml:space="preserve">AVERAGEIFS(RoadTra_BY!AC$2:AC$999,RoadTra_BY!$B$2:$B$999,'Road transport'!$C28,RoadTra_BY!$C$2:$C$999,'Road transport'!$AX28)</f>
        <v>40</v>
      </c>
      <c r="V28" s="91">
        <f xml:space="preserve">AVERAGEIFS(RoadTra_BY!AD$2:AD$999,RoadTra_BY!$B$2:$B$999,'Road transport'!$C28,RoadTra_BY!$C$2:$C$999,'Road transport'!$AX28)</f>
        <v>40</v>
      </c>
      <c r="W28" s="91">
        <f xml:space="preserve">AVERAGEIFS(RoadTra_BY!AE$2:AE$999,RoadTra_BY!$B$2:$B$999,'Road transport'!$C28,RoadTra_BY!$C$2:$C$999,'Road transport'!$AX28)</f>
        <v>40</v>
      </c>
      <c r="X28" s="91">
        <f xml:space="preserve">AVERAGEIFS(RoadTra_BY!AF$2:AF$999,RoadTra_BY!$B$2:$B$999,'Road transport'!$C28,RoadTra_BY!$C$2:$C$999,'Road transport'!$AX28)</f>
        <v>40</v>
      </c>
      <c r="Y28" s="91">
        <f xml:space="preserve">AVERAGEIFS(RoadTra_BY!AG$2:AG$999,RoadTra_BY!$B$2:$B$999,'Road transport'!$C28,RoadTra_BY!$C$2:$C$999,'Road transport'!$AX28)</f>
        <v>40</v>
      </c>
      <c r="Z28" s="91">
        <f xml:space="preserve">AVERAGEIFS(RoadTra_BY!AH$2:AH$999,RoadTra_BY!$B$2:$B$999,'Road transport'!$C28,RoadTra_BY!$C$2:$C$999,'Road transport'!$AX28)</f>
        <v>40</v>
      </c>
      <c r="AA28" s="91">
        <f xml:space="preserve">AVERAGEIFS(RoadTra_BY!AI$2:AI$999,RoadTra_BY!$B$2:$B$999,'Road transport'!$C28,RoadTra_BY!$C$2:$C$999,'Road transport'!$AX28)</f>
        <v>40</v>
      </c>
      <c r="AB28" s="91">
        <f xml:space="preserve">AVERAGEIFS(RoadTra_BY!AJ$2:AJ$999,RoadTra_BY!$B$2:$B$999,'Road transport'!$C28,RoadTra_BY!$C$2:$C$999,'Road transport'!$AX28)</f>
        <v>40</v>
      </c>
      <c r="AC28" s="91">
        <f xml:space="preserve">AVERAGEIFS(RoadTra_BY!AK$2:AK$999,RoadTra_BY!$B$2:$B$999,'Road transport'!$C28,RoadTra_BY!$C$2:$C$999,'Road transport'!$AX28)</f>
        <v>40</v>
      </c>
      <c r="AD28" s="91">
        <f xml:space="preserve">AVERAGEIFS(RoadTra_BY!AL$2:AL$999,RoadTra_BY!$B$2:$B$999,'Road transport'!$C28,RoadTra_BY!$C$2:$C$999,'Road transport'!$AX28)</f>
        <v>40</v>
      </c>
      <c r="AE28" s="91">
        <f xml:space="preserve">AVERAGEIFS(RoadTra_BY!AM$2:AM$999,RoadTra_BY!$B$2:$B$999,'Road transport'!$C28,RoadTra_BY!$C$2:$C$999,'Road transport'!$AX28)</f>
        <v>40</v>
      </c>
      <c r="AF28" s="91">
        <f xml:space="preserve">AVERAGEIFS(RoadTra_BY!AN$2:AN$999,RoadTra_BY!$B$2:$B$999,'Road transport'!$C28,RoadTra_BY!$C$2:$C$999,'Road transport'!$AX28)</f>
        <v>25</v>
      </c>
      <c r="AG28" s="91">
        <f xml:space="preserve">AVERAGEIFS(RoadTra_BY!AO$2:AO$999,RoadTra_BY!$B$2:$B$999,'Road transport'!$C28,RoadTra_BY!$C$2:$C$999,'Road transport'!$AX28)</f>
        <v>40</v>
      </c>
      <c r="AH28" s="91">
        <f xml:space="preserve">AVERAGEIFS(RoadTra_BY!AP$2:AP$999,RoadTra_BY!$B$2:$B$999,'Road transport'!$C28,RoadTra_BY!$C$2:$C$999,'Road transport'!$AX28)</f>
        <v>40</v>
      </c>
      <c r="AI28" s="91">
        <f xml:space="preserve">AVERAGEIFS(RoadTra_BY!AQ$2:AQ$999,RoadTra_BY!$B$2:$B$999,'Road transport'!$C28,RoadTra_BY!$C$2:$C$999,'Road transport'!$AX28)</f>
        <v>40</v>
      </c>
      <c r="AJ28" s="91">
        <f xml:space="preserve">AVERAGEIFS(RoadTra_BY!AR$2:AR$999,RoadTra_BY!$B$2:$B$999,'Road transport'!$C28,RoadTra_BY!$C$2:$C$999,'Road transport'!$AX28)</f>
        <v>40</v>
      </c>
      <c r="AK28" s="91">
        <f xml:space="preserve">AVERAGEIFS(RoadTra_BY!AS$2:AS$999,RoadTra_BY!$B$2:$B$999,'Road transport'!$C28,RoadTra_BY!$C$2:$C$999,'Road transport'!$AX28)</f>
        <v>40</v>
      </c>
      <c r="AL28" s="91">
        <f xml:space="preserve">AVERAGEIFS(RoadTra_BY!AT$2:AT$999,RoadTra_BY!$B$2:$B$999,'Road transport'!$C28,RoadTra_BY!$C$2:$C$999,'Road transport'!$AX28)</f>
        <v>15</v>
      </c>
      <c r="AM28" s="91" t="e">
        <f xml:space="preserve">AVERAGEIFS(RoadTra_BY!AU$2:AU$999,RoadTra_BY!$B$2:$B$999,'Road transport'!$C28,RoadTra_BY!$C$2:$C$999,'Road transport'!$AX28)</f>
        <v>#DIV/0!</v>
      </c>
      <c r="AN28" s="91" t="e">
        <f xml:space="preserve">AVERAGEIFS(RoadTra_BY!AV$2:AV$999,RoadTra_BY!$B$2:$B$999,'Road transport'!$C28,RoadTra_BY!$C$2:$C$999,'Road transport'!$AX28)</f>
        <v>#DIV/0!</v>
      </c>
      <c r="AO28" s="91" t="e">
        <f xml:space="preserve">AVERAGEIFS(RoadTra_BY!AW$2:AW$999,RoadTra_BY!$B$2:$B$999,'Road transport'!$C28,RoadTra_BY!$C$2:$C$999,'Road transport'!$AX28)</f>
        <v>#DIV/0!</v>
      </c>
      <c r="AP28" s="91" t="e">
        <f xml:space="preserve">AVERAGEIFS(RoadTra_BY!AX$2:AX$999,RoadTra_BY!$B$2:$B$999,'Road transport'!$C28,RoadTra_BY!$C$2:$C$999,'Road transport'!$AX28)</f>
        <v>#DIV/0!</v>
      </c>
      <c r="AQ28" s="91" t="e">
        <f xml:space="preserve">AVERAGEIFS(RoadTra_BY!AY$2:AY$999,RoadTra_BY!$B$2:$B$999,'Road transport'!$C28,RoadTra_BY!$C$2:$C$999,'Road transport'!$AX28)</f>
        <v>#DIV/0!</v>
      </c>
      <c r="AR28" s="91" t="e">
        <f xml:space="preserve">AVERAGEIFS(RoadTra_BY!AZ$2:AZ$999,RoadTra_BY!$B$2:$B$999,'Road transport'!$C28,RoadTra_BY!$C$2:$C$999,'Road transport'!$AX28)</f>
        <v>#DIV/0!</v>
      </c>
      <c r="AS28" s="91" t="e">
        <f xml:space="preserve">AVERAGEIFS(RoadTra_BY!BA$2:BA$999,RoadTra_BY!$B$2:$B$999,'Road transport'!$C28,RoadTra_BY!$C$2:$C$999,'Road transport'!$AX28)</f>
        <v>#DIV/0!</v>
      </c>
      <c r="AT28" s="91" t="e">
        <f xml:space="preserve">AVERAGEIFS(RoadTra_BY!BB$2:BB$999,RoadTra_BY!$B$2:$B$999,'Road transport'!$C28,RoadTra_BY!$C$2:$C$999,'Road transport'!$AX28)</f>
        <v>#DIV/0!</v>
      </c>
      <c r="AU28" s="91" t="e">
        <f xml:space="preserve">AVERAGEIFS(RoadTra_BY!BC$2:BC$999,RoadTra_BY!$B$2:$B$999,'Road transport'!$C28,RoadTra_BY!$C$2:$C$999,'Road transport'!$AX28)</f>
        <v>#DIV/0!</v>
      </c>
      <c r="AV28" s="91" t="e">
        <f xml:space="preserve">AVERAGEIFS(RoadTra_BY!BD$2:BD$999,RoadTra_BY!$B$2:$B$999,'Road transport'!$C28,RoadTra_BY!$C$2:$C$999,'Road transport'!$AX28)</f>
        <v>#DIV/0!</v>
      </c>
      <c r="AW28" s="91" t="e">
        <f xml:space="preserve">AVERAGEIFS(RoadTra_BY!BE$2:BE$999,RoadTra_BY!$B$2:$B$999,'Road transport'!$C28,RoadTra_BY!$C$2:$C$999,'Road transport'!$AX28)</f>
        <v>#DIV/0!</v>
      </c>
      <c r="AX28" t="s">
        <v>225</v>
      </c>
    </row>
    <row r="31" spans="2:50">
      <c r="C31" t="s">
        <v>226</v>
      </c>
    </row>
    <row r="32" spans="2:50">
      <c r="C32" t="s">
        <v>193</v>
      </c>
      <c r="D32" t="str">
        <f xml:space="preserve">IF(RoadTra_BY!L$1="","\I:",RoadTra_BY!L$1)</f>
        <v>Africa_North</v>
      </c>
      <c r="E32" t="str">
        <f xml:space="preserve">IF(RoadTra_BY!M$1="","\I:",RoadTra_BY!M$1)</f>
        <v>Africa_Other</v>
      </c>
      <c r="F32" t="str">
        <f xml:space="preserve">IF(RoadTra_BY!N$1="","\I:",RoadTra_BY!N$1)</f>
        <v>Australia</v>
      </c>
      <c r="G32" t="str">
        <f xml:space="preserve">IF(RoadTra_BY!O$1="","\I:",RoadTra_BY!O$1)</f>
        <v>Austria</v>
      </c>
      <c r="H32" t="str">
        <f xml:space="preserve">IF(RoadTra_BY!P$1="","\I:",RoadTra_BY!P$1)</f>
        <v>Baltics</v>
      </c>
      <c r="I32" t="str">
        <f xml:space="preserve">IF(RoadTra_BY!Q$1="","\I:",RoadTra_BY!Q$1)</f>
        <v>BeNeLux</v>
      </c>
      <c r="J32" t="str">
        <f xml:space="preserve">IF(RoadTra_BY!R$1="","\I:",RoadTra_BY!R$1)</f>
        <v>Brazil</v>
      </c>
      <c r="K32" t="str">
        <f xml:space="preserve">IF(RoadTra_BY!S$1="","\I:",RoadTra_BY!S$1)</f>
        <v>China</v>
      </c>
      <c r="L32" t="str">
        <f xml:space="preserve">IF(RoadTra_BY!T$1="","\I:",RoadTra_BY!T$1)</f>
        <v>CroSloven</v>
      </c>
      <c r="M32" t="str">
        <f xml:space="preserve">IF(RoadTra_BY!U$1="","\I:",RoadTra_BY!U$1)</f>
        <v>CzechSlovak</v>
      </c>
      <c r="N32" t="str">
        <f xml:space="preserve">IF(RoadTra_BY!V$1="","\I:",RoadTra_BY!V$1)</f>
        <v>France</v>
      </c>
      <c r="O32" t="str">
        <f xml:space="preserve">IF(RoadTra_BY!W$1="","\I:",RoadTra_BY!W$1)</f>
        <v>Germany</v>
      </c>
      <c r="P32" t="str">
        <f xml:space="preserve">IF(RoadTra_BY!X$1="","\I:",RoadTra_BY!X$1)</f>
        <v>GreeceCyp</v>
      </c>
      <c r="Q32" t="str">
        <f xml:space="preserve">IF(RoadTra_BY!Y$1="","\I:",RoadTra_BY!Y$1)</f>
        <v>HunRomBul</v>
      </c>
      <c r="R32" t="str">
        <f xml:space="preserve">IF(RoadTra_BY!Z$1="","\I:",RoadTra_BY!Z$1)</f>
        <v>Iceland</v>
      </c>
      <c r="S32" t="str">
        <f xml:space="preserve">IF(RoadTra_BY!AA$1="","\I:",RoadTra_BY!AA$1)</f>
        <v>India</v>
      </c>
      <c r="T32" t="str">
        <f xml:space="preserve">IF(RoadTra_BY!AB$1="","\I:",RoadTra_BY!AB$1)</f>
        <v>Ireland</v>
      </c>
      <c r="U32" t="str">
        <f xml:space="preserve">IF(RoadTra_BY!AC$1="","\I:",RoadTra_BY!AC$1)</f>
        <v>ItalyMal</v>
      </c>
      <c r="V32" t="str">
        <f xml:space="preserve">IF(RoadTra_BY!AD$1="","\I:",RoadTra_BY!AD$1)</f>
        <v>Japan</v>
      </c>
      <c r="W32" t="str">
        <f xml:space="preserve">IF(RoadTra_BY!AE$1="","\I:",RoadTra_BY!AE$1)</f>
        <v>LatAm</v>
      </c>
      <c r="X32" t="str">
        <f xml:space="preserve">IF(RoadTra_BY!AF$1="","\I:",RoadTra_BY!AF$1)</f>
        <v>MidEast</v>
      </c>
      <c r="Y32" t="str">
        <f xml:space="preserve">IF(RoadTra_BY!AG$1="","\I:",RoadTra_BY!AG$1)</f>
        <v>NorthAm</v>
      </c>
      <c r="Z32" t="str">
        <f xml:space="preserve">IF(RoadTra_BY!AH$1="","\I:",RoadTra_BY!AH$1)</f>
        <v>Norway</v>
      </c>
      <c r="AA32" t="str">
        <f xml:space="preserve">IF(RoadTra_BY!AI$1="","\I:",RoadTra_BY!AI$1)</f>
        <v>Poland</v>
      </c>
      <c r="AB32" t="str">
        <f xml:space="preserve">IF(RoadTra_BY!AJ$1="","\I:",RoadTra_BY!AJ$1)</f>
        <v>ROW</v>
      </c>
      <c r="AC32" t="str">
        <f xml:space="preserve">IF(RoadTra_BY!AK$1="","\I:",RoadTra_BY!AK$1)</f>
        <v>Russia</v>
      </c>
      <c r="AD32" t="str">
        <f xml:space="preserve">IF(RoadTra_BY!AL$1="","\I:",RoadTra_BY!AL$1)</f>
        <v>SaudiArabia</v>
      </c>
      <c r="AE32" t="str">
        <f xml:space="preserve">IF(RoadTra_BY!AM$1="","\I:",RoadTra_BY!AM$1)</f>
        <v>SouthAfrica</v>
      </c>
      <c r="AF32" t="str">
        <f xml:space="preserve">IF(RoadTra_BY!AN$1="","\I:",RoadTra_BY!AN$1)</f>
        <v>SpainPor</v>
      </c>
      <c r="AG32" t="str">
        <f xml:space="preserve">IF(RoadTra_BY!AO$1="","\I:",RoadTra_BY!AO$1)</f>
        <v>SweFinDen</v>
      </c>
      <c r="AH32" t="str">
        <f xml:space="preserve">IF(RoadTra_BY!AP$1="","\I:",RoadTra_BY!AP$1)</f>
        <v>Switzerland</v>
      </c>
      <c r="AI32" t="str">
        <f xml:space="preserve">IF(RoadTra_BY!AQ$1="","\I:",RoadTra_BY!AQ$1)</f>
        <v>Turkey</v>
      </c>
      <c r="AJ32" t="str">
        <f xml:space="preserve">IF(RoadTra_BY!AR$1="","\I:",RoadTra_BY!AR$1)</f>
        <v>UK</v>
      </c>
      <c r="AK32" t="str">
        <f xml:space="preserve">IF(RoadTra_BY!AS$1="","\I:",RoadTra_BY!AS$1)</f>
        <v>Ukraine</v>
      </c>
      <c r="AL32" t="str">
        <f xml:space="preserve">IF(RoadTra_BY!AT$1="","\I:",RoadTra_BY!AT$1)</f>
        <v>WestBalkans</v>
      </c>
      <c r="AM32" t="str">
        <f xml:space="preserve">IF(RoadTra_BY!AU$1="","\I:",RoadTra_BY!AU$1)</f>
        <v>year2</v>
      </c>
      <c r="AN32" t="str">
        <f xml:space="preserve">IF(RoadTra_BY!AV$1="","\I:",RoadTra_BY!AV$1)</f>
        <v>\I:</v>
      </c>
      <c r="AO32" t="str">
        <f xml:space="preserve">IF(RoadTra_BY!AW$1="","\I:",RoadTra_BY!AW$1)</f>
        <v>\I:</v>
      </c>
      <c r="AP32" t="str">
        <f xml:space="preserve">IF(RoadTra_BY!AX$1="","\I:",RoadTra_BY!AX$1)</f>
        <v>\I:</v>
      </c>
      <c r="AQ32" t="str">
        <f xml:space="preserve">IF(RoadTra_BY!AY$1="","\I:",RoadTra_BY!AY$1)</f>
        <v>\I:</v>
      </c>
      <c r="AR32" t="str">
        <f xml:space="preserve">IF(RoadTra_BY!AZ$1="","\I:",RoadTra_BY!AZ$1)</f>
        <v>\I:</v>
      </c>
      <c r="AS32" t="str">
        <f xml:space="preserve">IF(RoadTra_BY!BA$1="","\I:",RoadTra_BY!BA$1)</f>
        <v>\I:</v>
      </c>
      <c r="AT32" t="str">
        <f xml:space="preserve">IF(RoadTra_BY!BB$1="","\I:",RoadTra_BY!BB$1)</f>
        <v>\I:</v>
      </c>
      <c r="AU32" t="str">
        <f xml:space="preserve">IF(RoadTra_BY!BC$1="","\I:",RoadTra_BY!BC$1)</f>
        <v>\I:</v>
      </c>
      <c r="AV32" t="str">
        <f xml:space="preserve">IF(RoadTra_BY!BD$1="","\I:",RoadTra_BY!BD$1)</f>
        <v>\I:</v>
      </c>
      <c r="AW32" t="str">
        <f xml:space="preserve">IF(RoadTra_BY!BE$1="","\I:",RoadTra_BY!BE$1)</f>
        <v>\I:</v>
      </c>
      <c r="AX32" t="s">
        <v>66</v>
      </c>
    </row>
    <row r="33" spans="2:53">
      <c r="C33" t="s">
        <v>184</v>
      </c>
      <c r="D33" t="str">
        <f xml:space="preserve">"*"&amp;ROUND(SUMIFS(RoadTra_BY!L$2:L$79,RoadTra_BY!$B$2:$B$79,'Road transport'!$C33,RoadTra_BY!$C$2:$C$79,'Road transport'!$BA33),3)</f>
        <v>*0.99</v>
      </c>
      <c r="E33" t="str">
        <f xml:space="preserve">"*"&amp;ROUND(SUMIFS(RoadTra_BY!M$2:M$79,RoadTra_BY!$B$2:$B$79,'Road transport'!$C33,RoadTra_BY!$C$2:$C$79,'Road transport'!$BA33),3)</f>
        <v>*0.99</v>
      </c>
      <c r="F33" t="str">
        <f xml:space="preserve">"*"&amp;ROUND(SUMIFS(RoadTra_BY!N$2:N$79,RoadTra_BY!$B$2:$B$79,'Road transport'!$C33,RoadTra_BY!$C$2:$C$79,'Road transport'!$BA33),3)</f>
        <v>*0.99</v>
      </c>
      <c r="G33" t="str">
        <f xml:space="preserve">"*"&amp;ROUND(SUMIFS(RoadTra_BY!O$2:O$79,RoadTra_BY!$B$2:$B$79,'Road transport'!$C33,RoadTra_BY!$C$2:$C$79,'Road transport'!$BA33),3)</f>
        <v>*0.99</v>
      </c>
      <c r="H33" t="str">
        <f xml:space="preserve">"*"&amp;ROUND(SUMIFS(RoadTra_BY!P$2:P$79,RoadTra_BY!$B$2:$B$79,'Road transport'!$C33,RoadTra_BY!$C$2:$C$79,'Road transport'!$BA33),3)</f>
        <v>*0.99</v>
      </c>
      <c r="I33" t="str">
        <f xml:space="preserve">"*"&amp;ROUND(SUMIFS(RoadTra_BY!Q$2:Q$79,RoadTra_BY!$B$2:$B$79,'Road transport'!$C33,RoadTra_BY!$C$2:$C$79,'Road transport'!$BA33),3)</f>
        <v>*0.99</v>
      </c>
      <c r="J33" t="str">
        <f xml:space="preserve">"*"&amp;ROUND(SUMIFS(RoadTra_BY!R$2:R$79,RoadTra_BY!$B$2:$B$79,'Road transport'!$C33,RoadTra_BY!$C$2:$C$79,'Road transport'!$BA33),3)</f>
        <v>*0.99</v>
      </c>
      <c r="K33" t="str">
        <f xml:space="preserve">"*"&amp;ROUND(SUMIFS(RoadTra_BY!S$2:S$79,RoadTra_BY!$B$2:$B$79,'Road transport'!$C33,RoadTra_BY!$C$2:$C$79,'Road transport'!$BA33),3)</f>
        <v>*0.99</v>
      </c>
      <c r="L33" t="str">
        <f xml:space="preserve">"*"&amp;ROUND(SUMIFS(RoadTra_BY!T$2:T$79,RoadTra_BY!$B$2:$B$79,'Road transport'!$C33,RoadTra_BY!$C$2:$C$79,'Road transport'!$BA33),3)</f>
        <v>*0.99</v>
      </c>
      <c r="M33" t="str">
        <f xml:space="preserve">"*"&amp;ROUND(SUMIFS(RoadTra_BY!U$2:U$79,RoadTra_BY!$B$2:$B$79,'Road transport'!$C33,RoadTra_BY!$C$2:$C$79,'Road transport'!$BA33),3)</f>
        <v>*0.99</v>
      </c>
      <c r="N33" t="str">
        <f xml:space="preserve">"*"&amp;ROUND(SUMIFS(RoadTra_BY!V$2:V$79,RoadTra_BY!$B$2:$B$79,'Road transport'!$C33,RoadTra_BY!$C$2:$C$79,'Road transport'!$BA33),3)</f>
        <v>*0.99</v>
      </c>
      <c r="O33" t="str">
        <f xml:space="preserve">"*"&amp;ROUND(SUMIFS(RoadTra_BY!W$2:W$79,RoadTra_BY!$B$2:$B$79,'Road transport'!$C33,RoadTra_BY!$C$2:$C$79,'Road transport'!$BA33),3)</f>
        <v>*0.99</v>
      </c>
      <c r="P33" t="str">
        <f xml:space="preserve">"*"&amp;ROUND(SUMIFS(RoadTra_BY!X$2:X$79,RoadTra_BY!$B$2:$B$79,'Road transport'!$C33,RoadTra_BY!$C$2:$C$79,'Road transport'!$BA33),3)</f>
        <v>*0.99</v>
      </c>
      <c r="Q33" t="str">
        <f xml:space="preserve">"*"&amp;ROUND(SUMIFS(RoadTra_BY!Y$2:Y$79,RoadTra_BY!$B$2:$B$79,'Road transport'!$C33,RoadTra_BY!$C$2:$C$79,'Road transport'!$BA33),3)</f>
        <v>*0.99</v>
      </c>
      <c r="R33" t="str">
        <f xml:space="preserve">"*"&amp;ROUND(SUMIFS(RoadTra_BY!Z$2:Z$79,RoadTra_BY!$B$2:$B$79,'Road transport'!$C33,RoadTra_BY!$C$2:$C$79,'Road transport'!$BA33),3)</f>
        <v>*0.99</v>
      </c>
      <c r="S33" t="str">
        <f xml:space="preserve">"*"&amp;ROUND(SUMIFS(RoadTra_BY!AA$2:AA$79,RoadTra_BY!$B$2:$B$79,'Road transport'!$C33,RoadTra_BY!$C$2:$C$79,'Road transport'!$BA33),3)</f>
        <v>*0.99</v>
      </c>
      <c r="T33" t="str">
        <f xml:space="preserve">"*"&amp;ROUND(SUMIFS(RoadTra_BY!AB$2:AB$79,RoadTra_BY!$B$2:$B$79,'Road transport'!$C33,RoadTra_BY!$C$2:$C$79,'Road transport'!$BA33),3)</f>
        <v>*0.99</v>
      </c>
      <c r="U33" t="str">
        <f xml:space="preserve">"*"&amp;ROUND(SUMIFS(RoadTra_BY!AC$2:AC$79,RoadTra_BY!$B$2:$B$79,'Road transport'!$C33,RoadTra_BY!$C$2:$C$79,'Road transport'!$BA33),3)</f>
        <v>*0.99</v>
      </c>
      <c r="V33" t="str">
        <f xml:space="preserve">"*"&amp;ROUND(SUMIFS(RoadTra_BY!AD$2:AD$79,RoadTra_BY!$B$2:$B$79,'Road transport'!$C33,RoadTra_BY!$C$2:$C$79,'Road transport'!$BA33),3)</f>
        <v>*0.99</v>
      </c>
      <c r="W33" t="str">
        <f xml:space="preserve">"*"&amp;ROUND(SUMIFS(RoadTra_BY!AE$2:AE$79,RoadTra_BY!$B$2:$B$79,'Road transport'!$C33,RoadTra_BY!$C$2:$C$79,'Road transport'!$BA33),3)</f>
        <v>*0.99</v>
      </c>
      <c r="X33" t="str">
        <f xml:space="preserve">"*"&amp;ROUND(SUMIFS(RoadTra_BY!AF$2:AF$79,RoadTra_BY!$B$2:$B$79,'Road transport'!$C33,RoadTra_BY!$C$2:$C$79,'Road transport'!$BA33),3)</f>
        <v>*0.99</v>
      </c>
      <c r="Y33" t="str">
        <f xml:space="preserve">"*"&amp;ROUND(SUMIFS(RoadTra_BY!AG$2:AG$79,RoadTra_BY!$B$2:$B$79,'Road transport'!$C33,RoadTra_BY!$C$2:$C$79,'Road transport'!$BA33),3)</f>
        <v>*0.99</v>
      </c>
      <c r="Z33" t="str">
        <f xml:space="preserve">"*"&amp;ROUND(SUMIFS(RoadTra_BY!AH$2:AH$79,RoadTra_BY!$B$2:$B$79,'Road transport'!$C33,RoadTra_BY!$C$2:$C$79,'Road transport'!$BA33),3)</f>
        <v>*0.99</v>
      </c>
      <c r="AA33" t="str">
        <f xml:space="preserve">"*"&amp;ROUND(SUMIFS(RoadTra_BY!AI$2:AI$79,RoadTra_BY!$B$2:$B$79,'Road transport'!$C33,RoadTra_BY!$C$2:$C$79,'Road transport'!$BA33),3)</f>
        <v>*0.99</v>
      </c>
      <c r="AB33" t="str">
        <f xml:space="preserve">"*"&amp;ROUND(SUMIFS(RoadTra_BY!AJ$2:AJ$79,RoadTra_BY!$B$2:$B$79,'Road transport'!$C33,RoadTra_BY!$C$2:$C$79,'Road transport'!$BA33),3)</f>
        <v>*0.99</v>
      </c>
      <c r="AC33" t="str">
        <f xml:space="preserve">"*"&amp;ROUND(SUMIFS(RoadTra_BY!AK$2:AK$79,RoadTra_BY!$B$2:$B$79,'Road transport'!$C33,RoadTra_BY!$C$2:$C$79,'Road transport'!$BA33),3)</f>
        <v>*0.99</v>
      </c>
      <c r="AD33" t="str">
        <f xml:space="preserve">"*"&amp;ROUND(SUMIFS(RoadTra_BY!AL$2:AL$79,RoadTra_BY!$B$2:$B$79,'Road transport'!$C33,RoadTra_BY!$C$2:$C$79,'Road transport'!$BA33),3)</f>
        <v>*0.99</v>
      </c>
      <c r="AE33" t="str">
        <f xml:space="preserve">"*"&amp;ROUND(SUMIFS(RoadTra_BY!AM$2:AM$79,RoadTra_BY!$B$2:$B$79,'Road transport'!$C33,RoadTra_BY!$C$2:$C$79,'Road transport'!$BA33),3)</f>
        <v>*0.99</v>
      </c>
      <c r="AF33" t="str">
        <f xml:space="preserve">"*"&amp;ROUND(SUMIFS(RoadTra_BY!AN$2:AN$79,RoadTra_BY!$B$2:$B$79,'Road transport'!$C33,RoadTra_BY!$C$2:$C$79,'Road transport'!$BA33),3)</f>
        <v>*0.99</v>
      </c>
      <c r="AG33" t="str">
        <f xml:space="preserve">"*"&amp;ROUND(SUMIFS(RoadTra_BY!AO$2:AO$79,RoadTra_BY!$B$2:$B$79,'Road transport'!$C33,RoadTra_BY!$C$2:$C$79,'Road transport'!$BA33),3)</f>
        <v>*0.99</v>
      </c>
      <c r="AH33" t="str">
        <f xml:space="preserve">"*"&amp;ROUND(SUMIFS(RoadTra_BY!AP$2:AP$79,RoadTra_BY!$B$2:$B$79,'Road transport'!$C33,RoadTra_BY!$C$2:$C$79,'Road transport'!$BA33),3)</f>
        <v>*0.99</v>
      </c>
      <c r="AI33" t="str">
        <f xml:space="preserve">"*"&amp;ROUND(SUMIFS(RoadTra_BY!AQ$2:AQ$79,RoadTra_BY!$B$2:$B$79,'Road transport'!$C33,RoadTra_BY!$C$2:$C$79,'Road transport'!$BA33),3)</f>
        <v>*0.99</v>
      </c>
      <c r="AJ33" t="str">
        <f xml:space="preserve">"*"&amp;ROUND(SUMIFS(RoadTra_BY!AR$2:AR$79,RoadTra_BY!$B$2:$B$79,'Road transport'!$C33,RoadTra_BY!$C$2:$C$79,'Road transport'!$BA33),3)</f>
        <v>*0.99</v>
      </c>
      <c r="AK33" t="str">
        <f xml:space="preserve">"*"&amp;ROUND(SUMIFS(RoadTra_BY!AS$2:AS$79,RoadTra_BY!$B$2:$B$79,'Road transport'!$C33,RoadTra_BY!$C$2:$C$79,'Road transport'!$BA33),3)</f>
        <v>*0.99</v>
      </c>
      <c r="AL33" t="str">
        <f xml:space="preserve">"*"&amp;ROUND(SUMIFS(RoadTra_BY!AT$2:AT$79,RoadTra_BY!$B$2:$B$79,'Road transport'!$C33,RoadTra_BY!$C$2:$C$79,'Road transport'!$BA33),3)</f>
        <v>*0.99</v>
      </c>
      <c r="AM33" t="str">
        <f xml:space="preserve">"*"&amp;ROUND(SUMIFS(RoadTra_BY!AU$2:AU$79,RoadTra_BY!$B$2:$B$79,'Road transport'!$C33,RoadTra_BY!$C$2:$C$79,'Road transport'!$BA33),3)</f>
        <v>*0</v>
      </c>
      <c r="AN33" t="str">
        <f xml:space="preserve">"*"&amp;ROUND(SUMIFS(RoadTra_BY!AV$2:AV$79,RoadTra_BY!$B$2:$B$79,'Road transport'!$C33,RoadTra_BY!$C$2:$C$79,'Road transport'!$BA33),3)</f>
        <v>*0</v>
      </c>
      <c r="AO33" t="str">
        <f xml:space="preserve">"*"&amp;ROUND(SUMIFS(RoadTra_BY!AW$2:AW$79,RoadTra_BY!$B$2:$B$79,'Road transport'!$C33,RoadTra_BY!$C$2:$C$79,'Road transport'!$BA33),3)</f>
        <v>*0</v>
      </c>
      <c r="AP33" t="str">
        <f xml:space="preserve">"*"&amp;ROUND(SUMIFS(RoadTra_BY!AX$2:AX$79,RoadTra_BY!$B$2:$B$79,'Road transport'!$C33,RoadTra_BY!$C$2:$C$79,'Road transport'!$BA33),3)</f>
        <v>*0</v>
      </c>
      <c r="AQ33" t="str">
        <f xml:space="preserve">"*"&amp;ROUND(SUMIFS(RoadTra_BY!AY$2:AY$79,RoadTra_BY!$B$2:$B$79,'Road transport'!$C33,RoadTra_BY!$C$2:$C$79,'Road transport'!$BA33),3)</f>
        <v>*0</v>
      </c>
      <c r="AR33" t="str">
        <f xml:space="preserve">"*"&amp;ROUND(SUMIFS(RoadTra_BY!AZ$2:AZ$79,RoadTra_BY!$B$2:$B$79,'Road transport'!$C33,RoadTra_BY!$C$2:$C$79,'Road transport'!$BA33),3)</f>
        <v>*0</v>
      </c>
      <c r="AS33" t="str">
        <f xml:space="preserve">"*"&amp;ROUND(SUMIFS(RoadTra_BY!BA$2:BA$79,RoadTra_BY!$B$2:$B$79,'Road transport'!$C33,RoadTra_BY!$C$2:$C$79,'Road transport'!$BA33),3)</f>
        <v>*0</v>
      </c>
      <c r="AT33" t="str">
        <f xml:space="preserve">"*"&amp;ROUND(SUMIFS(RoadTra_BY!BB$2:BB$79,RoadTra_BY!$B$2:$B$79,'Road transport'!$C33,RoadTra_BY!$C$2:$C$79,'Road transport'!$BA33),3)</f>
        <v>*0</v>
      </c>
      <c r="AU33" t="str">
        <f xml:space="preserve">"*"&amp;ROUND(SUMIFS(RoadTra_BY!BC$2:BC$79,RoadTra_BY!$B$2:$B$79,'Road transport'!$C33,RoadTra_BY!$C$2:$C$79,'Road transport'!$BA33),3)</f>
        <v>*0</v>
      </c>
      <c r="AV33" t="str">
        <f xml:space="preserve">"*"&amp;ROUND(SUMIFS(RoadTra_BY!BD$2:BD$79,RoadTra_BY!$B$2:$B$79,'Road transport'!$C33,RoadTra_BY!$C$2:$C$79,'Road transport'!$BA33),3)</f>
        <v>*0</v>
      </c>
      <c r="AW33" t="str">
        <f xml:space="preserve">"*"&amp;ROUND(SUMIFS(RoadTra_BY!BE$2:BE$79,RoadTra_BY!$B$2:$B$79,'Road transport'!$C33,RoadTra_BY!$C$2:$C$79,'Road transport'!$BA33),3)</f>
        <v>*0</v>
      </c>
      <c r="AX33" t="str">
        <f xml:space="preserve">SUBSTITUTE(SUBSTITUTE(BA33,"gsl",""),"dsl","")&amp;"*"</f>
        <v>Trd_2w_*</v>
      </c>
      <c r="AZ33">
        <f t="shared" ref="AZ33:AZ38" si="0" xml:space="preserve">IFERROR(IF(FIND("gsl",BA33)&gt;0,1,0),2)</f>
        <v>1</v>
      </c>
      <c r="BA33" t="s">
        <v>227</v>
      </c>
    </row>
    <row r="34" spans="2:53">
      <c r="C34" t="s">
        <v>184</v>
      </c>
      <c r="D34" t="str">
        <f xml:space="preserve">"*"&amp;ROUND(SUMIFS(RoadTra_BY!L$2:L$79,RoadTra_BY!$B$2:$B$79,'Road transport'!$C34,RoadTra_BY!$C$2:$C$79,'Road transport'!$BA34),3)</f>
        <v>*0.587</v>
      </c>
      <c r="E34" t="str">
        <f xml:space="preserve">"*"&amp;ROUND(SUMIFS(RoadTra_BY!M$2:M$79,RoadTra_BY!$B$2:$B$79,'Road transport'!$C34,RoadTra_BY!$C$2:$C$79,'Road transport'!$BA34),3)</f>
        <v>*0.587</v>
      </c>
      <c r="F34" t="str">
        <f xml:space="preserve">"*"&amp;ROUND(SUMIFS(RoadTra_BY!N$2:N$79,RoadTra_BY!$B$2:$B$79,'Road transport'!$C34,RoadTra_BY!$C$2:$C$79,'Road transport'!$BA34),3)</f>
        <v>*0.587</v>
      </c>
      <c r="G34" t="str">
        <f xml:space="preserve">"*"&amp;ROUND(SUMIFS(RoadTra_BY!O$2:O$79,RoadTra_BY!$B$2:$B$79,'Road transport'!$C34,RoadTra_BY!$C$2:$C$79,'Road transport'!$BA34),3)</f>
        <v>*0.587</v>
      </c>
      <c r="H34" t="str">
        <f xml:space="preserve">"*"&amp;ROUND(SUMIFS(RoadTra_BY!P$2:P$79,RoadTra_BY!$B$2:$B$79,'Road transport'!$C34,RoadTra_BY!$C$2:$C$79,'Road transport'!$BA34),3)</f>
        <v>*0.587</v>
      </c>
      <c r="I34" t="str">
        <f xml:space="preserve">"*"&amp;ROUND(SUMIFS(RoadTra_BY!Q$2:Q$79,RoadTra_BY!$B$2:$B$79,'Road transport'!$C34,RoadTra_BY!$C$2:$C$79,'Road transport'!$BA34),3)</f>
        <v>*0.587</v>
      </c>
      <c r="J34" t="str">
        <f xml:space="preserve">"*"&amp;ROUND(SUMIFS(RoadTra_BY!R$2:R$79,RoadTra_BY!$B$2:$B$79,'Road transport'!$C34,RoadTra_BY!$C$2:$C$79,'Road transport'!$BA34),3)</f>
        <v>*0.587</v>
      </c>
      <c r="K34" t="str">
        <f xml:space="preserve">"*"&amp;ROUND(SUMIFS(RoadTra_BY!S$2:S$79,RoadTra_BY!$B$2:$B$79,'Road transport'!$C34,RoadTra_BY!$C$2:$C$79,'Road transport'!$BA34),3)</f>
        <v>*0.587</v>
      </c>
      <c r="L34" t="str">
        <f xml:space="preserve">"*"&amp;ROUND(SUMIFS(RoadTra_BY!T$2:T$79,RoadTra_BY!$B$2:$B$79,'Road transport'!$C34,RoadTra_BY!$C$2:$C$79,'Road transport'!$BA34),3)</f>
        <v>*0.587</v>
      </c>
      <c r="M34" t="str">
        <f xml:space="preserve">"*"&amp;ROUND(SUMIFS(RoadTra_BY!U$2:U$79,RoadTra_BY!$B$2:$B$79,'Road transport'!$C34,RoadTra_BY!$C$2:$C$79,'Road transport'!$BA34),3)</f>
        <v>*0.587</v>
      </c>
      <c r="N34" t="str">
        <f xml:space="preserve">"*"&amp;ROUND(SUMIFS(RoadTra_BY!V$2:V$79,RoadTra_BY!$B$2:$B$79,'Road transport'!$C34,RoadTra_BY!$C$2:$C$79,'Road transport'!$BA34),3)</f>
        <v>*0.587</v>
      </c>
      <c r="O34" t="str">
        <f xml:space="preserve">"*"&amp;ROUND(SUMIFS(RoadTra_BY!W$2:W$79,RoadTra_BY!$B$2:$B$79,'Road transport'!$C34,RoadTra_BY!$C$2:$C$79,'Road transport'!$BA34),3)</f>
        <v>*0.587</v>
      </c>
      <c r="P34" t="str">
        <f xml:space="preserve">"*"&amp;ROUND(SUMIFS(RoadTra_BY!X$2:X$79,RoadTra_BY!$B$2:$B$79,'Road transport'!$C34,RoadTra_BY!$C$2:$C$79,'Road transport'!$BA34),3)</f>
        <v>*0.587</v>
      </c>
      <c r="Q34" t="str">
        <f xml:space="preserve">"*"&amp;ROUND(SUMIFS(RoadTra_BY!Y$2:Y$79,RoadTra_BY!$B$2:$B$79,'Road transport'!$C34,RoadTra_BY!$C$2:$C$79,'Road transport'!$BA34),3)</f>
        <v>*0.587</v>
      </c>
      <c r="R34" t="str">
        <f xml:space="preserve">"*"&amp;ROUND(SUMIFS(RoadTra_BY!Z$2:Z$79,RoadTra_BY!$B$2:$B$79,'Road transport'!$C34,RoadTra_BY!$C$2:$C$79,'Road transport'!$BA34),3)</f>
        <v>*0.587</v>
      </c>
      <c r="S34" t="str">
        <f xml:space="preserve">"*"&amp;ROUND(SUMIFS(RoadTra_BY!AA$2:AA$79,RoadTra_BY!$B$2:$B$79,'Road transport'!$C34,RoadTra_BY!$C$2:$C$79,'Road transport'!$BA34),3)</f>
        <v>*0.587</v>
      </c>
      <c r="T34" t="str">
        <f xml:space="preserve">"*"&amp;ROUND(SUMIFS(RoadTra_BY!AB$2:AB$79,RoadTra_BY!$B$2:$B$79,'Road transport'!$C34,RoadTra_BY!$C$2:$C$79,'Road transport'!$BA34),3)</f>
        <v>*0.587</v>
      </c>
      <c r="U34" t="str">
        <f xml:space="preserve">"*"&amp;ROUND(SUMIFS(RoadTra_BY!AC$2:AC$79,RoadTra_BY!$B$2:$B$79,'Road transport'!$C34,RoadTra_BY!$C$2:$C$79,'Road transport'!$BA34),3)</f>
        <v>*0.587</v>
      </c>
      <c r="V34" t="str">
        <f xml:space="preserve">"*"&amp;ROUND(SUMIFS(RoadTra_BY!AD$2:AD$79,RoadTra_BY!$B$2:$B$79,'Road transport'!$C34,RoadTra_BY!$C$2:$C$79,'Road transport'!$BA34),3)</f>
        <v>*0.587</v>
      </c>
      <c r="W34" t="str">
        <f xml:space="preserve">"*"&amp;ROUND(SUMIFS(RoadTra_BY!AE$2:AE$79,RoadTra_BY!$B$2:$B$79,'Road transport'!$C34,RoadTra_BY!$C$2:$C$79,'Road transport'!$BA34),3)</f>
        <v>*0.587</v>
      </c>
      <c r="X34" t="str">
        <f xml:space="preserve">"*"&amp;ROUND(SUMIFS(RoadTra_BY!AF$2:AF$79,RoadTra_BY!$B$2:$B$79,'Road transport'!$C34,RoadTra_BY!$C$2:$C$79,'Road transport'!$BA34),3)</f>
        <v>*0.587</v>
      </c>
      <c r="Y34" t="str">
        <f xml:space="preserve">"*"&amp;ROUND(SUMIFS(RoadTra_BY!AG$2:AG$79,RoadTra_BY!$B$2:$B$79,'Road transport'!$C34,RoadTra_BY!$C$2:$C$79,'Road transport'!$BA34),3)</f>
        <v>*0.587</v>
      </c>
      <c r="Z34" t="str">
        <f xml:space="preserve">"*"&amp;ROUND(SUMIFS(RoadTra_BY!AH$2:AH$79,RoadTra_BY!$B$2:$B$79,'Road transport'!$C34,RoadTra_BY!$C$2:$C$79,'Road transport'!$BA34),3)</f>
        <v>*0.587</v>
      </c>
      <c r="AA34" t="str">
        <f xml:space="preserve">"*"&amp;ROUND(SUMIFS(RoadTra_BY!AI$2:AI$79,RoadTra_BY!$B$2:$B$79,'Road transport'!$C34,RoadTra_BY!$C$2:$C$79,'Road transport'!$BA34),3)</f>
        <v>*0.587</v>
      </c>
      <c r="AB34" t="str">
        <f xml:space="preserve">"*"&amp;ROUND(SUMIFS(RoadTra_BY!AJ$2:AJ$79,RoadTra_BY!$B$2:$B$79,'Road transport'!$C34,RoadTra_BY!$C$2:$C$79,'Road transport'!$BA34),3)</f>
        <v>*0.587</v>
      </c>
      <c r="AC34" t="str">
        <f xml:space="preserve">"*"&amp;ROUND(SUMIFS(RoadTra_BY!AK$2:AK$79,RoadTra_BY!$B$2:$B$79,'Road transport'!$C34,RoadTra_BY!$C$2:$C$79,'Road transport'!$BA34),3)</f>
        <v>*0.587</v>
      </c>
      <c r="AD34" t="str">
        <f xml:space="preserve">"*"&amp;ROUND(SUMIFS(RoadTra_BY!AL$2:AL$79,RoadTra_BY!$B$2:$B$79,'Road transport'!$C34,RoadTra_BY!$C$2:$C$79,'Road transport'!$BA34),3)</f>
        <v>*0.587</v>
      </c>
      <c r="AE34" t="str">
        <f xml:space="preserve">"*"&amp;ROUND(SUMIFS(RoadTra_BY!AM$2:AM$79,RoadTra_BY!$B$2:$B$79,'Road transport'!$C34,RoadTra_BY!$C$2:$C$79,'Road transport'!$BA34),3)</f>
        <v>*0.587</v>
      </c>
      <c r="AF34" t="str">
        <f xml:space="preserve">"*"&amp;ROUND(SUMIFS(RoadTra_BY!AN$2:AN$79,RoadTra_BY!$B$2:$B$79,'Road transport'!$C34,RoadTra_BY!$C$2:$C$79,'Road transport'!$BA34),3)</f>
        <v>*0.587</v>
      </c>
      <c r="AG34" t="str">
        <f xml:space="preserve">"*"&amp;ROUND(SUMIFS(RoadTra_BY!AO$2:AO$79,RoadTra_BY!$B$2:$B$79,'Road transport'!$C34,RoadTra_BY!$C$2:$C$79,'Road transport'!$BA34),3)</f>
        <v>*0.587</v>
      </c>
      <c r="AH34" t="str">
        <f xml:space="preserve">"*"&amp;ROUND(SUMIFS(RoadTra_BY!AP$2:AP$79,RoadTra_BY!$B$2:$B$79,'Road transport'!$C34,RoadTra_BY!$C$2:$C$79,'Road transport'!$BA34),3)</f>
        <v>*0.587</v>
      </c>
      <c r="AI34" t="str">
        <f xml:space="preserve">"*"&amp;ROUND(SUMIFS(RoadTra_BY!AQ$2:AQ$79,RoadTra_BY!$B$2:$B$79,'Road transport'!$C34,RoadTra_BY!$C$2:$C$79,'Road transport'!$BA34),3)</f>
        <v>*0.587</v>
      </c>
      <c r="AJ34" t="str">
        <f xml:space="preserve">"*"&amp;ROUND(SUMIFS(RoadTra_BY!AR$2:AR$79,RoadTra_BY!$B$2:$B$79,'Road transport'!$C34,RoadTra_BY!$C$2:$C$79,'Road transport'!$BA34),3)</f>
        <v>*0.587</v>
      </c>
      <c r="AK34" t="str">
        <f xml:space="preserve">"*"&amp;ROUND(SUMIFS(RoadTra_BY!AS$2:AS$79,RoadTra_BY!$B$2:$B$79,'Road transport'!$C34,RoadTra_BY!$C$2:$C$79,'Road transport'!$BA34),3)</f>
        <v>*0.587</v>
      </c>
      <c r="AL34" t="str">
        <f xml:space="preserve">"*"&amp;ROUND(SUMIFS(RoadTra_BY!AT$2:AT$79,RoadTra_BY!$B$2:$B$79,'Road transport'!$C34,RoadTra_BY!$C$2:$C$79,'Road transport'!$BA34),3)</f>
        <v>*0.587</v>
      </c>
      <c r="AM34" t="str">
        <f xml:space="preserve">"*"&amp;ROUND(SUMIFS(RoadTra_BY!AU$2:AU$79,RoadTra_BY!$B$2:$B$79,'Road transport'!$C34,RoadTra_BY!$C$2:$C$79,'Road transport'!$BA34),3)</f>
        <v>*0</v>
      </c>
      <c r="AN34" t="str">
        <f xml:space="preserve">"*"&amp;ROUND(SUMIFS(RoadTra_BY!AV$2:AV$79,RoadTra_BY!$B$2:$B$79,'Road transport'!$C34,RoadTra_BY!$C$2:$C$79,'Road transport'!$BA34),3)</f>
        <v>*0</v>
      </c>
      <c r="AO34" t="str">
        <f xml:space="preserve">"*"&amp;ROUND(SUMIFS(RoadTra_BY!AW$2:AW$79,RoadTra_BY!$B$2:$B$79,'Road transport'!$C34,RoadTra_BY!$C$2:$C$79,'Road transport'!$BA34),3)</f>
        <v>*0</v>
      </c>
      <c r="AP34" t="str">
        <f xml:space="preserve">"*"&amp;ROUND(SUMIFS(RoadTra_BY!AX$2:AX$79,RoadTra_BY!$B$2:$B$79,'Road transport'!$C34,RoadTra_BY!$C$2:$C$79,'Road transport'!$BA34),3)</f>
        <v>*0</v>
      </c>
      <c r="AQ34" t="str">
        <f xml:space="preserve">"*"&amp;ROUND(SUMIFS(RoadTra_BY!AY$2:AY$79,RoadTra_BY!$B$2:$B$79,'Road transport'!$C34,RoadTra_BY!$C$2:$C$79,'Road transport'!$BA34),3)</f>
        <v>*0</v>
      </c>
      <c r="AR34" t="str">
        <f xml:space="preserve">"*"&amp;ROUND(SUMIFS(RoadTra_BY!AZ$2:AZ$79,RoadTra_BY!$B$2:$B$79,'Road transport'!$C34,RoadTra_BY!$C$2:$C$79,'Road transport'!$BA34),3)</f>
        <v>*0</v>
      </c>
      <c r="AS34" t="str">
        <f xml:space="preserve">"*"&amp;ROUND(SUMIFS(RoadTra_BY!BA$2:BA$79,RoadTra_BY!$B$2:$B$79,'Road transport'!$C34,RoadTra_BY!$C$2:$C$79,'Road transport'!$BA34),3)</f>
        <v>*0</v>
      </c>
      <c r="AT34" t="str">
        <f xml:space="preserve">"*"&amp;ROUND(SUMIFS(RoadTra_BY!BB$2:BB$79,RoadTra_BY!$B$2:$B$79,'Road transport'!$C34,RoadTra_BY!$C$2:$C$79,'Road transport'!$BA34),3)</f>
        <v>*0</v>
      </c>
      <c r="AU34" t="str">
        <f xml:space="preserve">"*"&amp;ROUND(SUMIFS(RoadTra_BY!BC$2:BC$79,RoadTra_BY!$B$2:$B$79,'Road transport'!$C34,RoadTra_BY!$C$2:$C$79,'Road transport'!$BA34),3)</f>
        <v>*0</v>
      </c>
      <c r="AV34" t="str">
        <f xml:space="preserve">"*"&amp;ROUND(SUMIFS(RoadTra_BY!BD$2:BD$79,RoadTra_BY!$B$2:$B$79,'Road transport'!$C34,RoadTra_BY!$C$2:$C$79,'Road transport'!$BA34),3)</f>
        <v>*0</v>
      </c>
      <c r="AW34" t="str">
        <f xml:space="preserve">"*"&amp;ROUND(SUMIFS(RoadTra_BY!BE$2:BE$79,RoadTra_BY!$B$2:$B$79,'Road transport'!$C34,RoadTra_BY!$C$2:$C$79,'Road transport'!$BA34),3)</f>
        <v>*0</v>
      </c>
      <c r="AX34" t="str">
        <f t="shared" ref="AX34:AX38" si="1" xml:space="preserve">SUBSTITUTE(SUBSTITUTE(BA34,"gsl",""),"dsl","")&amp;"*"</f>
        <v>Trd_3w_*</v>
      </c>
      <c r="AZ34">
        <f t="shared" si="0"/>
        <v>1</v>
      </c>
      <c r="BA34" t="s">
        <v>228</v>
      </c>
    </row>
    <row r="35" spans="2:53">
      <c r="C35" t="s">
        <v>184</v>
      </c>
      <c r="D35" t="str">
        <f xml:space="preserve">"*"&amp;ROUND(SUMIFS(RoadTra_BY!L$2:L$79,RoadTra_BY!$B$2:$B$79,'Road transport'!$C35,RoadTra_BY!$C$2:$C$79,'Road transport'!$BA35),3)</f>
        <v>*0.072</v>
      </c>
      <c r="E35" t="str">
        <f xml:space="preserve">"*"&amp;ROUND(SUMIFS(RoadTra_BY!M$2:M$79,RoadTra_BY!$B$2:$B$79,'Road transport'!$C35,RoadTra_BY!$C$2:$C$79,'Road transport'!$BA35),3)</f>
        <v>*0.072</v>
      </c>
      <c r="F35" t="str">
        <f xml:space="preserve">"*"&amp;ROUND(SUMIFS(RoadTra_BY!N$2:N$79,RoadTra_BY!$B$2:$B$79,'Road transport'!$C35,RoadTra_BY!$C$2:$C$79,'Road transport'!$BA35),3)</f>
        <v>*0.072</v>
      </c>
      <c r="G35" t="str">
        <f xml:space="preserve">"*"&amp;ROUND(SUMIFS(RoadTra_BY!O$2:O$79,RoadTra_BY!$B$2:$B$79,'Road transport'!$C35,RoadTra_BY!$C$2:$C$79,'Road transport'!$BA35),3)</f>
        <v>*0.072</v>
      </c>
      <c r="H35" t="str">
        <f xml:space="preserve">"*"&amp;ROUND(SUMIFS(RoadTra_BY!P$2:P$79,RoadTra_BY!$B$2:$B$79,'Road transport'!$C35,RoadTra_BY!$C$2:$C$79,'Road transport'!$BA35),3)</f>
        <v>*0.072</v>
      </c>
      <c r="I35" t="str">
        <f xml:space="preserve">"*"&amp;ROUND(SUMIFS(RoadTra_BY!Q$2:Q$79,RoadTra_BY!$B$2:$B$79,'Road transport'!$C35,RoadTra_BY!$C$2:$C$79,'Road transport'!$BA35),3)</f>
        <v>*0.072</v>
      </c>
      <c r="J35" t="str">
        <f xml:space="preserve">"*"&amp;ROUND(SUMIFS(RoadTra_BY!R$2:R$79,RoadTra_BY!$B$2:$B$79,'Road transport'!$C35,RoadTra_BY!$C$2:$C$79,'Road transport'!$BA35),3)</f>
        <v>*0.072</v>
      </c>
      <c r="K35" t="str">
        <f xml:space="preserve">"*"&amp;ROUND(SUMIFS(RoadTra_BY!S$2:S$79,RoadTra_BY!$B$2:$B$79,'Road transport'!$C35,RoadTra_BY!$C$2:$C$79,'Road transport'!$BA35),3)</f>
        <v>*0.072</v>
      </c>
      <c r="L35" t="str">
        <f xml:space="preserve">"*"&amp;ROUND(SUMIFS(RoadTra_BY!T$2:T$79,RoadTra_BY!$B$2:$B$79,'Road transport'!$C35,RoadTra_BY!$C$2:$C$79,'Road transport'!$BA35),3)</f>
        <v>*0.072</v>
      </c>
      <c r="M35" t="str">
        <f xml:space="preserve">"*"&amp;ROUND(SUMIFS(RoadTra_BY!U$2:U$79,RoadTra_BY!$B$2:$B$79,'Road transport'!$C35,RoadTra_BY!$C$2:$C$79,'Road transport'!$BA35),3)</f>
        <v>*0.072</v>
      </c>
      <c r="N35" t="str">
        <f xml:space="preserve">"*"&amp;ROUND(SUMIFS(RoadTra_BY!V$2:V$79,RoadTra_BY!$B$2:$B$79,'Road transport'!$C35,RoadTra_BY!$C$2:$C$79,'Road transport'!$BA35),3)</f>
        <v>*0.072</v>
      </c>
      <c r="O35" t="str">
        <f xml:space="preserve">"*"&amp;ROUND(SUMIFS(RoadTra_BY!W$2:W$79,RoadTra_BY!$B$2:$B$79,'Road transport'!$C35,RoadTra_BY!$C$2:$C$79,'Road transport'!$BA35),3)</f>
        <v>*0.072</v>
      </c>
      <c r="P35" t="str">
        <f xml:space="preserve">"*"&amp;ROUND(SUMIFS(RoadTra_BY!X$2:X$79,RoadTra_BY!$B$2:$B$79,'Road transport'!$C35,RoadTra_BY!$C$2:$C$79,'Road transport'!$BA35),3)</f>
        <v>*0.072</v>
      </c>
      <c r="Q35" t="str">
        <f xml:space="preserve">"*"&amp;ROUND(SUMIFS(RoadTra_BY!Y$2:Y$79,RoadTra_BY!$B$2:$B$79,'Road transport'!$C35,RoadTra_BY!$C$2:$C$79,'Road transport'!$BA35),3)</f>
        <v>*0.072</v>
      </c>
      <c r="R35" t="str">
        <f xml:space="preserve">"*"&amp;ROUND(SUMIFS(RoadTra_BY!Z$2:Z$79,RoadTra_BY!$B$2:$B$79,'Road transport'!$C35,RoadTra_BY!$C$2:$C$79,'Road transport'!$BA35),3)</f>
        <v>*0.072</v>
      </c>
      <c r="S35" t="str">
        <f xml:space="preserve">"*"&amp;ROUND(SUMIFS(RoadTra_BY!AA$2:AA$79,RoadTra_BY!$B$2:$B$79,'Road transport'!$C35,RoadTra_BY!$C$2:$C$79,'Road transport'!$BA35),3)</f>
        <v>*0.072</v>
      </c>
      <c r="T35" t="str">
        <f xml:space="preserve">"*"&amp;ROUND(SUMIFS(RoadTra_BY!AB$2:AB$79,RoadTra_BY!$B$2:$B$79,'Road transport'!$C35,RoadTra_BY!$C$2:$C$79,'Road transport'!$BA35),3)</f>
        <v>*0.072</v>
      </c>
      <c r="U35" t="str">
        <f xml:space="preserve">"*"&amp;ROUND(SUMIFS(RoadTra_BY!AC$2:AC$79,RoadTra_BY!$B$2:$B$79,'Road transport'!$C35,RoadTra_BY!$C$2:$C$79,'Road transport'!$BA35),3)</f>
        <v>*0.072</v>
      </c>
      <c r="V35" t="str">
        <f xml:space="preserve">"*"&amp;ROUND(SUMIFS(RoadTra_BY!AD$2:AD$79,RoadTra_BY!$B$2:$B$79,'Road transport'!$C35,RoadTra_BY!$C$2:$C$79,'Road transport'!$BA35),3)</f>
        <v>*0.072</v>
      </c>
      <c r="W35" t="str">
        <f xml:space="preserve">"*"&amp;ROUND(SUMIFS(RoadTra_BY!AE$2:AE$79,RoadTra_BY!$B$2:$B$79,'Road transport'!$C35,RoadTra_BY!$C$2:$C$79,'Road transport'!$BA35),3)</f>
        <v>*0.072</v>
      </c>
      <c r="X35" t="str">
        <f xml:space="preserve">"*"&amp;ROUND(SUMIFS(RoadTra_BY!AF$2:AF$79,RoadTra_BY!$B$2:$B$79,'Road transport'!$C35,RoadTra_BY!$C$2:$C$79,'Road transport'!$BA35),3)</f>
        <v>*0.072</v>
      </c>
      <c r="Y35" t="str">
        <f xml:space="preserve">"*"&amp;ROUND(SUMIFS(RoadTra_BY!AG$2:AG$79,RoadTra_BY!$B$2:$B$79,'Road transport'!$C35,RoadTra_BY!$C$2:$C$79,'Road transport'!$BA35),3)</f>
        <v>*0.072</v>
      </c>
      <c r="Z35" t="str">
        <f xml:space="preserve">"*"&amp;ROUND(SUMIFS(RoadTra_BY!AH$2:AH$79,RoadTra_BY!$B$2:$B$79,'Road transport'!$C35,RoadTra_BY!$C$2:$C$79,'Road transport'!$BA35),3)</f>
        <v>*0.072</v>
      </c>
      <c r="AA35" t="str">
        <f xml:space="preserve">"*"&amp;ROUND(SUMIFS(RoadTra_BY!AI$2:AI$79,RoadTra_BY!$B$2:$B$79,'Road transport'!$C35,RoadTra_BY!$C$2:$C$79,'Road transport'!$BA35),3)</f>
        <v>*0.072</v>
      </c>
      <c r="AB35" t="str">
        <f xml:space="preserve">"*"&amp;ROUND(SUMIFS(RoadTra_BY!AJ$2:AJ$79,RoadTra_BY!$B$2:$B$79,'Road transport'!$C35,RoadTra_BY!$C$2:$C$79,'Road transport'!$BA35),3)</f>
        <v>*0.072</v>
      </c>
      <c r="AC35" t="str">
        <f xml:space="preserve">"*"&amp;ROUND(SUMIFS(RoadTra_BY!AK$2:AK$79,RoadTra_BY!$B$2:$B$79,'Road transport'!$C35,RoadTra_BY!$C$2:$C$79,'Road transport'!$BA35),3)</f>
        <v>*0.072</v>
      </c>
      <c r="AD35" t="str">
        <f xml:space="preserve">"*"&amp;ROUND(SUMIFS(RoadTra_BY!AL$2:AL$79,RoadTra_BY!$B$2:$B$79,'Road transport'!$C35,RoadTra_BY!$C$2:$C$79,'Road transport'!$BA35),3)</f>
        <v>*0.072</v>
      </c>
      <c r="AE35" t="str">
        <f xml:space="preserve">"*"&amp;ROUND(SUMIFS(RoadTra_BY!AM$2:AM$79,RoadTra_BY!$B$2:$B$79,'Road transport'!$C35,RoadTra_BY!$C$2:$C$79,'Road transport'!$BA35),3)</f>
        <v>*0.072</v>
      </c>
      <c r="AF35" t="str">
        <f xml:space="preserve">"*"&amp;ROUND(SUMIFS(RoadTra_BY!AN$2:AN$79,RoadTra_BY!$B$2:$B$79,'Road transport'!$C35,RoadTra_BY!$C$2:$C$79,'Road transport'!$BA35),3)</f>
        <v>*0.072</v>
      </c>
      <c r="AG35" t="str">
        <f xml:space="preserve">"*"&amp;ROUND(SUMIFS(RoadTra_BY!AO$2:AO$79,RoadTra_BY!$B$2:$B$79,'Road transport'!$C35,RoadTra_BY!$C$2:$C$79,'Road transport'!$BA35),3)</f>
        <v>*0.072</v>
      </c>
      <c r="AH35" t="str">
        <f xml:space="preserve">"*"&amp;ROUND(SUMIFS(RoadTra_BY!AP$2:AP$79,RoadTra_BY!$B$2:$B$79,'Road transport'!$C35,RoadTra_BY!$C$2:$C$79,'Road transport'!$BA35),3)</f>
        <v>*0.072</v>
      </c>
      <c r="AI35" t="str">
        <f xml:space="preserve">"*"&amp;ROUND(SUMIFS(RoadTra_BY!AQ$2:AQ$79,RoadTra_BY!$B$2:$B$79,'Road transport'!$C35,RoadTra_BY!$C$2:$C$79,'Road transport'!$BA35),3)</f>
        <v>*0.072</v>
      </c>
      <c r="AJ35" t="str">
        <f xml:space="preserve">"*"&amp;ROUND(SUMIFS(RoadTra_BY!AR$2:AR$79,RoadTra_BY!$B$2:$B$79,'Road transport'!$C35,RoadTra_BY!$C$2:$C$79,'Road transport'!$BA35),3)</f>
        <v>*0.072</v>
      </c>
      <c r="AK35" t="str">
        <f xml:space="preserve">"*"&amp;ROUND(SUMIFS(RoadTra_BY!AS$2:AS$79,RoadTra_BY!$B$2:$B$79,'Road transport'!$C35,RoadTra_BY!$C$2:$C$79,'Road transport'!$BA35),3)</f>
        <v>*0.072</v>
      </c>
      <c r="AL35" t="str">
        <f xml:space="preserve">"*"&amp;ROUND(SUMIFS(RoadTra_BY!AT$2:AT$79,RoadTra_BY!$B$2:$B$79,'Road transport'!$C35,RoadTra_BY!$C$2:$C$79,'Road transport'!$BA35),3)</f>
        <v>*0.072</v>
      </c>
      <c r="AM35" t="str">
        <f xml:space="preserve">"*"&amp;ROUND(SUMIFS(RoadTra_BY!AU$2:AU$79,RoadTra_BY!$B$2:$B$79,'Road transport'!$C35,RoadTra_BY!$C$2:$C$79,'Road transport'!$BA35),3)</f>
        <v>*0</v>
      </c>
      <c r="AN35" t="str">
        <f xml:space="preserve">"*"&amp;ROUND(SUMIFS(RoadTra_BY!AV$2:AV$79,RoadTra_BY!$B$2:$B$79,'Road transport'!$C35,RoadTra_BY!$C$2:$C$79,'Road transport'!$BA35),3)</f>
        <v>*0</v>
      </c>
      <c r="AO35" t="str">
        <f xml:space="preserve">"*"&amp;ROUND(SUMIFS(RoadTra_BY!AW$2:AW$79,RoadTra_BY!$B$2:$B$79,'Road transport'!$C35,RoadTra_BY!$C$2:$C$79,'Road transport'!$BA35),3)</f>
        <v>*0</v>
      </c>
      <c r="AP35" t="str">
        <f xml:space="preserve">"*"&amp;ROUND(SUMIFS(RoadTra_BY!AX$2:AX$79,RoadTra_BY!$B$2:$B$79,'Road transport'!$C35,RoadTra_BY!$C$2:$C$79,'Road transport'!$BA35),3)</f>
        <v>*0</v>
      </c>
      <c r="AQ35" t="str">
        <f xml:space="preserve">"*"&amp;ROUND(SUMIFS(RoadTra_BY!AY$2:AY$79,RoadTra_BY!$B$2:$B$79,'Road transport'!$C35,RoadTra_BY!$C$2:$C$79,'Road transport'!$BA35),3)</f>
        <v>*0</v>
      </c>
      <c r="AR35" t="str">
        <f xml:space="preserve">"*"&amp;ROUND(SUMIFS(RoadTra_BY!AZ$2:AZ$79,RoadTra_BY!$B$2:$B$79,'Road transport'!$C35,RoadTra_BY!$C$2:$C$79,'Road transport'!$BA35),3)</f>
        <v>*0</v>
      </c>
      <c r="AS35" t="str">
        <f xml:space="preserve">"*"&amp;ROUND(SUMIFS(RoadTra_BY!BA$2:BA$79,RoadTra_BY!$B$2:$B$79,'Road transport'!$C35,RoadTra_BY!$C$2:$C$79,'Road transport'!$BA35),3)</f>
        <v>*0</v>
      </c>
      <c r="AT35" t="str">
        <f xml:space="preserve">"*"&amp;ROUND(SUMIFS(RoadTra_BY!BB$2:BB$79,RoadTra_BY!$B$2:$B$79,'Road transport'!$C35,RoadTra_BY!$C$2:$C$79,'Road transport'!$BA35),3)</f>
        <v>*0</v>
      </c>
      <c r="AU35" t="str">
        <f xml:space="preserve">"*"&amp;ROUND(SUMIFS(RoadTra_BY!BC$2:BC$79,RoadTra_BY!$B$2:$B$79,'Road transport'!$C35,RoadTra_BY!$C$2:$C$79,'Road transport'!$BA35),3)</f>
        <v>*0</v>
      </c>
      <c r="AV35" t="str">
        <f xml:space="preserve">"*"&amp;ROUND(SUMIFS(RoadTra_BY!BD$2:BD$79,RoadTra_BY!$B$2:$B$79,'Road transport'!$C35,RoadTra_BY!$C$2:$C$79,'Road transport'!$BA35),3)</f>
        <v>*0</v>
      </c>
      <c r="AW35" t="str">
        <f xml:space="preserve">"*"&amp;ROUND(SUMIFS(RoadTra_BY!BE$2:BE$79,RoadTra_BY!$B$2:$B$79,'Road transport'!$C35,RoadTra_BY!$C$2:$C$79,'Road transport'!$BA35),3)</f>
        <v>*0</v>
      </c>
      <c r="AX35" t="str">
        <f t="shared" si="1"/>
        <v>Trd_bus_*</v>
      </c>
      <c r="AZ35">
        <f t="shared" si="0"/>
        <v>2</v>
      </c>
      <c r="BA35" t="s">
        <v>229</v>
      </c>
    </row>
    <row r="36" s="81" customFormat="1" spans="2:53">
      <c r="C36" s="81" t="s">
        <v>184</v>
      </c>
      <c r="D36" s="81" t="str">
        <f xml:space="preserve">"*"&amp;ROUND(SUMIFS(RoadTra_BY!L$2:L$79,RoadTra_BY!$B$2:$B$79,'Road transport'!$C36,RoadTra_BY!$C$2:$C$79,'Road transport'!$BA36),3)</f>
        <v>*0.466</v>
      </c>
      <c r="E36" s="81" t="str">
        <f xml:space="preserve">"*"&amp;ROUND(SUMIFS(RoadTra_BY!M$2:M$79,RoadTra_BY!$B$2:$B$79,'Road transport'!$C36,RoadTra_BY!$C$2:$C$79,'Road transport'!$BA36),3)</f>
        <v>*0.466</v>
      </c>
      <c r="F36" s="81" t="str">
        <f xml:space="preserve">"*"&amp;ROUND(SUMIFS(RoadTra_BY!N$2:N$79,RoadTra_BY!$B$2:$B$79,'Road transport'!$C36,RoadTra_BY!$C$2:$C$79,'Road transport'!$BA36),3)</f>
        <v>*0.466</v>
      </c>
      <c r="G36" s="81" t="str">
        <f xml:space="preserve">"*"&amp;ROUND(SUMIFS(RoadTra_BY!O$2:O$79,RoadTra_BY!$B$2:$B$79,'Road transport'!$C36,RoadTra_BY!$C$2:$C$79,'Road transport'!$BA36),3)</f>
        <v>*0.466</v>
      </c>
      <c r="H36" s="81" t="str">
        <f xml:space="preserve">"*"&amp;ROUND(SUMIFS(RoadTra_BY!P$2:P$79,RoadTra_BY!$B$2:$B$79,'Road transport'!$C36,RoadTra_BY!$C$2:$C$79,'Road transport'!$BA36),3)</f>
        <v>*0.466</v>
      </c>
      <c r="I36" s="81" t="str">
        <f xml:space="preserve">"*"&amp;ROUND(SUMIFS(RoadTra_BY!Q$2:Q$79,RoadTra_BY!$B$2:$B$79,'Road transport'!$C36,RoadTra_BY!$C$2:$C$79,'Road transport'!$BA36),3)</f>
        <v>*0.466</v>
      </c>
      <c r="J36" s="81" t="str">
        <f xml:space="preserve">"*"&amp;ROUND(SUMIFS(RoadTra_BY!R$2:R$79,RoadTra_BY!$B$2:$B$79,'Road transport'!$C36,RoadTra_BY!$C$2:$C$79,'Road transport'!$BA36),3)</f>
        <v>*0.466</v>
      </c>
      <c r="K36" s="81" t="str">
        <f xml:space="preserve">"*"&amp;ROUND(SUMIFS(RoadTra_BY!S$2:S$79,RoadTra_BY!$B$2:$B$79,'Road transport'!$C36,RoadTra_BY!$C$2:$C$79,'Road transport'!$BA36),3)</f>
        <v>*0.466</v>
      </c>
      <c r="L36" s="81" t="str">
        <f xml:space="preserve">"*"&amp;ROUND(SUMIFS(RoadTra_BY!T$2:T$79,RoadTra_BY!$B$2:$B$79,'Road transport'!$C36,RoadTra_BY!$C$2:$C$79,'Road transport'!$BA36),3)</f>
        <v>*0.466</v>
      </c>
      <c r="M36" s="81" t="str">
        <f xml:space="preserve">"*"&amp;ROUND(SUMIFS(RoadTra_BY!U$2:U$79,RoadTra_BY!$B$2:$B$79,'Road transport'!$C36,RoadTra_BY!$C$2:$C$79,'Road transport'!$BA36),3)</f>
        <v>*0.466</v>
      </c>
      <c r="N36" s="81" t="str">
        <f xml:space="preserve">"*"&amp;ROUND(SUMIFS(RoadTra_BY!V$2:V$79,RoadTra_BY!$B$2:$B$79,'Road transport'!$C36,RoadTra_BY!$C$2:$C$79,'Road transport'!$BA36),3)</f>
        <v>*0.466</v>
      </c>
      <c r="O36" s="81" t="str">
        <f xml:space="preserve">"*"&amp;ROUND(SUMIFS(RoadTra_BY!W$2:W$79,RoadTra_BY!$B$2:$B$79,'Road transport'!$C36,RoadTra_BY!$C$2:$C$79,'Road transport'!$BA36),3)</f>
        <v>*0.466</v>
      </c>
      <c r="P36" s="81" t="str">
        <f xml:space="preserve">"*"&amp;ROUND(SUMIFS(RoadTra_BY!X$2:X$79,RoadTra_BY!$B$2:$B$79,'Road transport'!$C36,RoadTra_BY!$C$2:$C$79,'Road transport'!$BA36),3)</f>
        <v>*0.466</v>
      </c>
      <c r="Q36" s="81" t="str">
        <f xml:space="preserve">"*"&amp;ROUND(SUMIFS(RoadTra_BY!Y$2:Y$79,RoadTra_BY!$B$2:$B$79,'Road transport'!$C36,RoadTra_BY!$C$2:$C$79,'Road transport'!$BA36),3)</f>
        <v>*0.466</v>
      </c>
      <c r="R36" s="81" t="str">
        <f xml:space="preserve">"*"&amp;ROUND(SUMIFS(RoadTra_BY!Z$2:Z$79,RoadTra_BY!$B$2:$B$79,'Road transport'!$C36,RoadTra_BY!$C$2:$C$79,'Road transport'!$BA36),3)</f>
        <v>*0.466</v>
      </c>
      <c r="S36" s="81" t="str">
        <f xml:space="preserve">"*"&amp;ROUND(SUMIFS(RoadTra_BY!AA$2:AA$79,RoadTra_BY!$B$2:$B$79,'Road transport'!$C36,RoadTra_BY!$C$2:$C$79,'Road transport'!$BA36),3)</f>
        <v>*0.466</v>
      </c>
      <c r="T36" s="81" t="str">
        <f xml:space="preserve">"*"&amp;ROUND(SUMIFS(RoadTra_BY!AB$2:AB$79,RoadTra_BY!$B$2:$B$79,'Road transport'!$C36,RoadTra_BY!$C$2:$C$79,'Road transport'!$BA36),3)</f>
        <v>*0.466</v>
      </c>
      <c r="U36" s="81" t="str">
        <f xml:space="preserve">"*"&amp;ROUND(SUMIFS(RoadTra_BY!AC$2:AC$79,RoadTra_BY!$B$2:$B$79,'Road transport'!$C36,RoadTra_BY!$C$2:$C$79,'Road transport'!$BA36),3)</f>
        <v>*0.466</v>
      </c>
      <c r="V36" s="81" t="str">
        <f xml:space="preserve">"*"&amp;ROUND(SUMIFS(RoadTra_BY!AD$2:AD$79,RoadTra_BY!$B$2:$B$79,'Road transport'!$C36,RoadTra_BY!$C$2:$C$79,'Road transport'!$BA36),3)</f>
        <v>*0.466</v>
      </c>
      <c r="W36" s="81" t="str">
        <f xml:space="preserve">"*"&amp;ROUND(SUMIFS(RoadTra_BY!AE$2:AE$79,RoadTra_BY!$B$2:$B$79,'Road transport'!$C36,RoadTra_BY!$C$2:$C$79,'Road transport'!$BA36),3)</f>
        <v>*0.466</v>
      </c>
      <c r="X36" s="81" t="str">
        <f xml:space="preserve">"*"&amp;ROUND(SUMIFS(RoadTra_BY!AF$2:AF$79,RoadTra_BY!$B$2:$B$79,'Road transport'!$C36,RoadTra_BY!$C$2:$C$79,'Road transport'!$BA36),3)</f>
        <v>*0.466</v>
      </c>
      <c r="Y36" s="81" t="str">
        <f xml:space="preserve">"*"&amp;ROUND(SUMIFS(RoadTra_BY!AG$2:AG$79,RoadTra_BY!$B$2:$B$79,'Road transport'!$C36,RoadTra_BY!$C$2:$C$79,'Road transport'!$BA36),3)</f>
        <v>*0.28</v>
      </c>
      <c r="Z36" s="81" t="str">
        <f xml:space="preserve">"*"&amp;ROUND(SUMIFS(RoadTra_BY!AH$2:AH$79,RoadTra_BY!$B$2:$B$79,'Road transport'!$C36,RoadTra_BY!$C$2:$C$79,'Road transport'!$BA36),3)</f>
        <v>*0.466</v>
      </c>
      <c r="AA36" s="81" t="str">
        <f xml:space="preserve">"*"&amp;ROUND(SUMIFS(RoadTra_BY!AI$2:AI$79,RoadTra_BY!$B$2:$B$79,'Road transport'!$C36,RoadTra_BY!$C$2:$C$79,'Road transport'!$BA36),3)</f>
        <v>*0.466</v>
      </c>
      <c r="AB36" s="81" t="str">
        <f xml:space="preserve">"*"&amp;ROUND(SUMIFS(RoadTra_BY!AJ$2:AJ$79,RoadTra_BY!$B$2:$B$79,'Road transport'!$C36,RoadTra_BY!$C$2:$C$79,'Road transport'!$BA36),3)</f>
        <v>*0.466</v>
      </c>
      <c r="AC36" s="81" t="str">
        <f xml:space="preserve">"*"&amp;ROUND(SUMIFS(RoadTra_BY!AK$2:AK$79,RoadTra_BY!$B$2:$B$79,'Road transport'!$C36,RoadTra_BY!$C$2:$C$79,'Road transport'!$BA36),3)</f>
        <v>*0.466</v>
      </c>
      <c r="AD36" s="81" t="str">
        <f xml:space="preserve">"*"&amp;ROUND(SUMIFS(RoadTra_BY!AL$2:AL$79,RoadTra_BY!$B$2:$B$79,'Road transport'!$C36,RoadTra_BY!$C$2:$C$79,'Road transport'!$BA36),3)</f>
        <v>*0.466</v>
      </c>
      <c r="AE36" s="81" t="str">
        <f xml:space="preserve">"*"&amp;ROUND(SUMIFS(RoadTra_BY!AM$2:AM$79,RoadTra_BY!$B$2:$B$79,'Road transport'!$C36,RoadTra_BY!$C$2:$C$79,'Road transport'!$BA36),3)</f>
        <v>*0.466</v>
      </c>
      <c r="AF36" s="81" t="str">
        <f xml:space="preserve">"*"&amp;ROUND(SUMIFS(RoadTra_BY!AN$2:AN$79,RoadTra_BY!$B$2:$B$79,'Road transport'!$C36,RoadTra_BY!$C$2:$C$79,'Road transport'!$BA36),3)</f>
        <v>*0.466</v>
      </c>
      <c r="AG36" s="81" t="str">
        <f xml:space="preserve">"*"&amp;ROUND(SUMIFS(RoadTra_BY!AO$2:AO$79,RoadTra_BY!$B$2:$B$79,'Road transport'!$C36,RoadTra_BY!$C$2:$C$79,'Road transport'!$BA36),3)</f>
        <v>*0.466</v>
      </c>
      <c r="AH36" s="81" t="str">
        <f xml:space="preserve">"*"&amp;ROUND(SUMIFS(RoadTra_BY!AP$2:AP$79,RoadTra_BY!$B$2:$B$79,'Road transport'!$C36,RoadTra_BY!$C$2:$C$79,'Road transport'!$BA36),3)</f>
        <v>*0.466</v>
      </c>
      <c r="AI36" s="81" t="str">
        <f xml:space="preserve">"*"&amp;ROUND(SUMIFS(RoadTra_BY!AQ$2:AQ$79,RoadTra_BY!$B$2:$B$79,'Road transport'!$C36,RoadTra_BY!$C$2:$C$79,'Road transport'!$BA36),3)</f>
        <v>*0.466</v>
      </c>
      <c r="AJ36" s="81" t="str">
        <f xml:space="preserve">"*"&amp;ROUND(SUMIFS(RoadTra_BY!AR$2:AR$79,RoadTra_BY!$B$2:$B$79,'Road transport'!$C36,RoadTra_BY!$C$2:$C$79,'Road transport'!$BA36),3)</f>
        <v>*0.466</v>
      </c>
      <c r="AK36" s="81" t="str">
        <f xml:space="preserve">"*"&amp;ROUND(SUMIFS(RoadTra_BY!AS$2:AS$79,RoadTra_BY!$B$2:$B$79,'Road transport'!$C36,RoadTra_BY!$C$2:$C$79,'Road transport'!$BA36),3)</f>
        <v>*0.466</v>
      </c>
      <c r="AL36" s="81" t="str">
        <f xml:space="preserve">"*"&amp;ROUND(SUMIFS(RoadTra_BY!AT$2:AT$79,RoadTra_BY!$B$2:$B$79,'Road transport'!$C36,RoadTra_BY!$C$2:$C$79,'Road transport'!$BA36),3)</f>
        <v>*0.466</v>
      </c>
      <c r="AM36" s="81" t="str">
        <f xml:space="preserve">"*"&amp;ROUND(SUMIFS(RoadTra_BY!AU$2:AU$79,RoadTra_BY!$B$2:$B$79,'Road transport'!$C36,RoadTra_BY!$C$2:$C$79,'Road transport'!$BA36),3)</f>
        <v>*0</v>
      </c>
      <c r="AN36" s="81" t="str">
        <f xml:space="preserve">"*"&amp;ROUND(SUMIFS(RoadTra_BY!AV$2:AV$79,RoadTra_BY!$B$2:$B$79,'Road transport'!$C36,RoadTra_BY!$C$2:$C$79,'Road transport'!$BA36),3)</f>
        <v>*0</v>
      </c>
      <c r="AO36" s="81" t="str">
        <f xml:space="preserve">"*"&amp;ROUND(SUMIFS(RoadTra_BY!AW$2:AW$79,RoadTra_BY!$B$2:$B$79,'Road transport'!$C36,RoadTra_BY!$C$2:$C$79,'Road transport'!$BA36),3)</f>
        <v>*0</v>
      </c>
      <c r="AP36" s="81" t="str">
        <f xml:space="preserve">"*"&amp;ROUND(SUMIFS(RoadTra_BY!AX$2:AX$79,RoadTra_BY!$B$2:$B$79,'Road transport'!$C36,RoadTra_BY!$C$2:$C$79,'Road transport'!$BA36),3)</f>
        <v>*0</v>
      </c>
      <c r="AQ36" s="81" t="str">
        <f xml:space="preserve">"*"&amp;ROUND(SUMIFS(RoadTra_BY!AY$2:AY$79,RoadTra_BY!$B$2:$B$79,'Road transport'!$C36,RoadTra_BY!$C$2:$C$79,'Road transport'!$BA36),3)</f>
        <v>*0</v>
      </c>
      <c r="AR36" s="81" t="str">
        <f xml:space="preserve">"*"&amp;ROUND(SUMIFS(RoadTra_BY!AZ$2:AZ$79,RoadTra_BY!$B$2:$B$79,'Road transport'!$C36,RoadTra_BY!$C$2:$C$79,'Road transport'!$BA36),3)</f>
        <v>*0</v>
      </c>
      <c r="AS36" s="81" t="str">
        <f xml:space="preserve">"*"&amp;ROUND(SUMIFS(RoadTra_BY!BA$2:BA$79,RoadTra_BY!$B$2:$B$79,'Road transport'!$C36,RoadTra_BY!$C$2:$C$79,'Road transport'!$BA36),3)</f>
        <v>*0</v>
      </c>
      <c r="AT36" s="81" t="str">
        <f xml:space="preserve">"*"&amp;ROUND(SUMIFS(RoadTra_BY!BB$2:BB$79,RoadTra_BY!$B$2:$B$79,'Road transport'!$C36,RoadTra_BY!$C$2:$C$79,'Road transport'!$BA36),3)</f>
        <v>*0</v>
      </c>
      <c r="AU36" s="81" t="str">
        <f xml:space="preserve">"*"&amp;ROUND(SUMIFS(RoadTra_BY!BC$2:BC$79,RoadTra_BY!$B$2:$B$79,'Road transport'!$C36,RoadTra_BY!$C$2:$C$79,'Road transport'!$BA36),3)</f>
        <v>*0</v>
      </c>
      <c r="AV36" s="81" t="str">
        <f xml:space="preserve">"*"&amp;ROUND(SUMIFS(RoadTra_BY!BD$2:BD$79,RoadTra_BY!$B$2:$B$79,'Road transport'!$C36,RoadTra_BY!$C$2:$C$79,'Road transport'!$BA36),3)</f>
        <v>*0</v>
      </c>
      <c r="AW36" s="81" t="str">
        <f xml:space="preserve">"*"&amp;ROUND(SUMIFS(RoadTra_BY!BE$2:BE$79,RoadTra_BY!$B$2:$B$79,'Road transport'!$C36,RoadTra_BY!$C$2:$C$79,'Road transport'!$BA36),3)</f>
        <v>*0</v>
      </c>
      <c r="AX36" s="81" t="str">
        <f t="shared" si="1"/>
        <v>Trd_car_*</v>
      </c>
      <c r="AZ36" s="81">
        <f t="shared" si="0"/>
        <v>1</v>
      </c>
      <c r="BA36" s="81" t="s">
        <v>230</v>
      </c>
    </row>
    <row r="37" spans="2:53">
      <c r="C37" t="s">
        <v>184</v>
      </c>
      <c r="D37" t="str">
        <f xml:space="preserve">"*"&amp;ROUND(SUMIFS(RoadTra_BY!L$2:L$79,RoadTra_BY!$B$2:$B$79,'Road transport'!$C37,RoadTra_BY!$C$2:$C$79,'Road transport'!$BA37),3)</f>
        <v>*0.139</v>
      </c>
      <c r="E37" t="str">
        <f xml:space="preserve">"*"&amp;ROUND(SUMIFS(RoadTra_BY!M$2:M$79,RoadTra_BY!$B$2:$B$79,'Road transport'!$C37,RoadTra_BY!$C$2:$C$79,'Road transport'!$BA37),3)</f>
        <v>*0.139</v>
      </c>
      <c r="F37" t="str">
        <f xml:space="preserve">"*"&amp;ROUND(SUMIFS(RoadTra_BY!N$2:N$79,RoadTra_BY!$B$2:$B$79,'Road transport'!$C37,RoadTra_BY!$C$2:$C$79,'Road transport'!$BA37),3)</f>
        <v>*0.139</v>
      </c>
      <c r="G37" t="str">
        <f xml:space="preserve">"*"&amp;ROUND(SUMIFS(RoadTra_BY!O$2:O$79,RoadTra_BY!$B$2:$B$79,'Road transport'!$C37,RoadTra_BY!$C$2:$C$79,'Road transport'!$BA37),3)</f>
        <v>*0.139</v>
      </c>
      <c r="H37" t="str">
        <f xml:space="preserve">"*"&amp;ROUND(SUMIFS(RoadTra_BY!P$2:P$79,RoadTra_BY!$B$2:$B$79,'Road transport'!$C37,RoadTra_BY!$C$2:$C$79,'Road transport'!$BA37),3)</f>
        <v>*0.139</v>
      </c>
      <c r="I37" t="str">
        <f xml:space="preserve">"*"&amp;ROUND(SUMIFS(RoadTra_BY!Q$2:Q$79,RoadTra_BY!$B$2:$B$79,'Road transport'!$C37,RoadTra_BY!$C$2:$C$79,'Road transport'!$BA37),3)</f>
        <v>*0.139</v>
      </c>
      <c r="J37" t="str">
        <f xml:space="preserve">"*"&amp;ROUND(SUMIFS(RoadTra_BY!R$2:R$79,RoadTra_BY!$B$2:$B$79,'Road transport'!$C37,RoadTra_BY!$C$2:$C$79,'Road transport'!$BA37),3)</f>
        <v>*0.139</v>
      </c>
      <c r="K37" t="str">
        <f xml:space="preserve">"*"&amp;ROUND(SUMIFS(RoadTra_BY!S$2:S$79,RoadTra_BY!$B$2:$B$79,'Road transport'!$C37,RoadTra_BY!$C$2:$C$79,'Road transport'!$BA37),3)</f>
        <v>*0.139</v>
      </c>
      <c r="L37" t="str">
        <f xml:space="preserve">"*"&amp;ROUND(SUMIFS(RoadTra_BY!T$2:T$79,RoadTra_BY!$B$2:$B$79,'Road transport'!$C37,RoadTra_BY!$C$2:$C$79,'Road transport'!$BA37),3)</f>
        <v>*0.139</v>
      </c>
      <c r="M37" t="str">
        <f xml:space="preserve">"*"&amp;ROUND(SUMIFS(RoadTra_BY!U$2:U$79,RoadTra_BY!$B$2:$B$79,'Road transport'!$C37,RoadTra_BY!$C$2:$C$79,'Road transport'!$BA37),3)</f>
        <v>*0.139</v>
      </c>
      <c r="N37" t="str">
        <f xml:space="preserve">"*"&amp;ROUND(SUMIFS(RoadTra_BY!V$2:V$79,RoadTra_BY!$B$2:$B$79,'Road transport'!$C37,RoadTra_BY!$C$2:$C$79,'Road transport'!$BA37),3)</f>
        <v>*0.139</v>
      </c>
      <c r="O37" t="str">
        <f xml:space="preserve">"*"&amp;ROUND(SUMIFS(RoadTra_BY!W$2:W$79,RoadTra_BY!$B$2:$B$79,'Road transport'!$C37,RoadTra_BY!$C$2:$C$79,'Road transport'!$BA37),3)</f>
        <v>*0.139</v>
      </c>
      <c r="P37" t="str">
        <f xml:space="preserve">"*"&amp;ROUND(SUMIFS(RoadTra_BY!X$2:X$79,RoadTra_BY!$B$2:$B$79,'Road transport'!$C37,RoadTra_BY!$C$2:$C$79,'Road transport'!$BA37),3)</f>
        <v>*0.139</v>
      </c>
      <c r="Q37" t="str">
        <f xml:space="preserve">"*"&amp;ROUND(SUMIFS(RoadTra_BY!Y$2:Y$79,RoadTra_BY!$B$2:$B$79,'Road transport'!$C37,RoadTra_BY!$C$2:$C$79,'Road transport'!$BA37),3)</f>
        <v>*0.139</v>
      </c>
      <c r="R37" t="str">
        <f xml:space="preserve">"*"&amp;ROUND(SUMIFS(RoadTra_BY!Z$2:Z$79,RoadTra_BY!$B$2:$B$79,'Road transport'!$C37,RoadTra_BY!$C$2:$C$79,'Road transport'!$BA37),3)</f>
        <v>*0.139</v>
      </c>
      <c r="S37" t="str">
        <f xml:space="preserve">"*"&amp;ROUND(SUMIFS(RoadTra_BY!AA$2:AA$79,RoadTra_BY!$B$2:$B$79,'Road transport'!$C37,RoadTra_BY!$C$2:$C$79,'Road transport'!$BA37),3)</f>
        <v>*0.139</v>
      </c>
      <c r="T37" t="str">
        <f xml:space="preserve">"*"&amp;ROUND(SUMIFS(RoadTra_BY!AB$2:AB$79,RoadTra_BY!$B$2:$B$79,'Road transport'!$C37,RoadTra_BY!$C$2:$C$79,'Road transport'!$BA37),3)</f>
        <v>*0.139</v>
      </c>
      <c r="U37" t="str">
        <f xml:space="preserve">"*"&amp;ROUND(SUMIFS(RoadTra_BY!AC$2:AC$79,RoadTra_BY!$B$2:$B$79,'Road transport'!$C37,RoadTra_BY!$C$2:$C$79,'Road transport'!$BA37),3)</f>
        <v>*0.139</v>
      </c>
      <c r="V37" t="str">
        <f xml:space="preserve">"*"&amp;ROUND(SUMIFS(RoadTra_BY!AD$2:AD$79,RoadTra_BY!$B$2:$B$79,'Road transport'!$C37,RoadTra_BY!$C$2:$C$79,'Road transport'!$BA37),3)</f>
        <v>*0.139</v>
      </c>
      <c r="W37" t="str">
        <f xml:space="preserve">"*"&amp;ROUND(SUMIFS(RoadTra_BY!AE$2:AE$79,RoadTra_BY!$B$2:$B$79,'Road transport'!$C37,RoadTra_BY!$C$2:$C$79,'Road transport'!$BA37),3)</f>
        <v>*0.139</v>
      </c>
      <c r="X37" t="str">
        <f xml:space="preserve">"*"&amp;ROUND(SUMIFS(RoadTra_BY!AF$2:AF$79,RoadTra_BY!$B$2:$B$79,'Road transport'!$C37,RoadTra_BY!$C$2:$C$79,'Road transport'!$BA37),3)</f>
        <v>*0.139</v>
      </c>
      <c r="Y37" t="str">
        <f xml:space="preserve">"*"&amp;ROUND(SUMIFS(RoadTra_BY!AG$2:AG$79,RoadTra_BY!$B$2:$B$79,'Road transport'!$C37,RoadTra_BY!$C$2:$C$79,'Road transport'!$BA37),3)</f>
        <v>*0.139</v>
      </c>
      <c r="Z37" t="str">
        <f xml:space="preserve">"*"&amp;ROUND(SUMIFS(RoadTra_BY!AH$2:AH$79,RoadTra_BY!$B$2:$B$79,'Road transport'!$C37,RoadTra_BY!$C$2:$C$79,'Road transport'!$BA37),3)</f>
        <v>*0.139</v>
      </c>
      <c r="AA37" t="str">
        <f xml:space="preserve">"*"&amp;ROUND(SUMIFS(RoadTra_BY!AI$2:AI$79,RoadTra_BY!$B$2:$B$79,'Road transport'!$C37,RoadTra_BY!$C$2:$C$79,'Road transport'!$BA37),3)</f>
        <v>*0.139</v>
      </c>
      <c r="AB37" t="str">
        <f xml:space="preserve">"*"&amp;ROUND(SUMIFS(RoadTra_BY!AJ$2:AJ$79,RoadTra_BY!$B$2:$B$79,'Road transport'!$C37,RoadTra_BY!$C$2:$C$79,'Road transport'!$BA37),3)</f>
        <v>*0.139</v>
      </c>
      <c r="AC37" t="str">
        <f xml:space="preserve">"*"&amp;ROUND(SUMIFS(RoadTra_BY!AK$2:AK$79,RoadTra_BY!$B$2:$B$79,'Road transport'!$C37,RoadTra_BY!$C$2:$C$79,'Road transport'!$BA37),3)</f>
        <v>*0.139</v>
      </c>
      <c r="AD37" t="str">
        <f xml:space="preserve">"*"&amp;ROUND(SUMIFS(RoadTra_BY!AL$2:AL$79,RoadTra_BY!$B$2:$B$79,'Road transport'!$C37,RoadTra_BY!$C$2:$C$79,'Road transport'!$BA37),3)</f>
        <v>*0.139</v>
      </c>
      <c r="AE37" t="str">
        <f xml:space="preserve">"*"&amp;ROUND(SUMIFS(RoadTra_BY!AM$2:AM$79,RoadTra_BY!$B$2:$B$79,'Road transport'!$C37,RoadTra_BY!$C$2:$C$79,'Road transport'!$BA37),3)</f>
        <v>*0.139</v>
      </c>
      <c r="AF37" t="str">
        <f xml:space="preserve">"*"&amp;ROUND(SUMIFS(RoadTra_BY!AN$2:AN$79,RoadTra_BY!$B$2:$B$79,'Road transport'!$C37,RoadTra_BY!$C$2:$C$79,'Road transport'!$BA37),3)</f>
        <v>*0.139</v>
      </c>
      <c r="AG37" t="str">
        <f xml:space="preserve">"*"&amp;ROUND(SUMIFS(RoadTra_BY!AO$2:AO$79,RoadTra_BY!$B$2:$B$79,'Road transport'!$C37,RoadTra_BY!$C$2:$C$79,'Road transport'!$BA37),3)</f>
        <v>*0.139</v>
      </c>
      <c r="AH37" t="str">
        <f xml:space="preserve">"*"&amp;ROUND(SUMIFS(RoadTra_BY!AP$2:AP$79,RoadTra_BY!$B$2:$B$79,'Road transport'!$C37,RoadTra_BY!$C$2:$C$79,'Road transport'!$BA37),3)</f>
        <v>*0.139</v>
      </c>
      <c r="AI37" t="str">
        <f xml:space="preserve">"*"&amp;ROUND(SUMIFS(RoadTra_BY!AQ$2:AQ$79,RoadTra_BY!$B$2:$B$79,'Road transport'!$C37,RoadTra_BY!$C$2:$C$79,'Road transport'!$BA37),3)</f>
        <v>*0.139</v>
      </c>
      <c r="AJ37" t="str">
        <f xml:space="preserve">"*"&amp;ROUND(SUMIFS(RoadTra_BY!AR$2:AR$79,RoadTra_BY!$B$2:$B$79,'Road transport'!$C37,RoadTra_BY!$C$2:$C$79,'Road transport'!$BA37),3)</f>
        <v>*0.139</v>
      </c>
      <c r="AK37" t="str">
        <f xml:space="preserve">"*"&amp;ROUND(SUMIFS(RoadTra_BY!AS$2:AS$79,RoadTra_BY!$B$2:$B$79,'Road transport'!$C37,RoadTra_BY!$C$2:$C$79,'Road transport'!$BA37),3)</f>
        <v>*0.139</v>
      </c>
      <c r="AL37" t="str">
        <f xml:space="preserve">"*"&amp;ROUND(SUMIFS(RoadTra_BY!AT$2:AT$79,RoadTra_BY!$B$2:$B$79,'Road transport'!$C37,RoadTra_BY!$C$2:$C$79,'Road transport'!$BA37),3)</f>
        <v>*0.139</v>
      </c>
      <c r="AM37" t="str">
        <f xml:space="preserve">"*"&amp;ROUND(SUMIFS(RoadTra_BY!AU$2:AU$79,RoadTra_BY!$B$2:$B$79,'Road transport'!$C37,RoadTra_BY!$C$2:$C$79,'Road transport'!$BA37),3)</f>
        <v>*0</v>
      </c>
      <c r="AN37" t="str">
        <f xml:space="preserve">"*"&amp;ROUND(SUMIFS(RoadTra_BY!AV$2:AV$79,RoadTra_BY!$B$2:$B$79,'Road transport'!$C37,RoadTra_BY!$C$2:$C$79,'Road transport'!$BA37),3)</f>
        <v>*0</v>
      </c>
      <c r="AO37" t="str">
        <f xml:space="preserve">"*"&amp;ROUND(SUMIFS(RoadTra_BY!AW$2:AW$79,RoadTra_BY!$B$2:$B$79,'Road transport'!$C37,RoadTra_BY!$C$2:$C$79,'Road transport'!$BA37),3)</f>
        <v>*0</v>
      </c>
      <c r="AP37" t="str">
        <f xml:space="preserve">"*"&amp;ROUND(SUMIFS(RoadTra_BY!AX$2:AX$79,RoadTra_BY!$B$2:$B$79,'Road transport'!$C37,RoadTra_BY!$C$2:$C$79,'Road transport'!$BA37),3)</f>
        <v>*0</v>
      </c>
      <c r="AQ37" t="str">
        <f xml:space="preserve">"*"&amp;ROUND(SUMIFS(RoadTra_BY!AY$2:AY$79,RoadTra_BY!$B$2:$B$79,'Road transport'!$C37,RoadTra_BY!$C$2:$C$79,'Road transport'!$BA37),3)</f>
        <v>*0</v>
      </c>
      <c r="AR37" t="str">
        <f xml:space="preserve">"*"&amp;ROUND(SUMIFS(RoadTra_BY!AZ$2:AZ$79,RoadTra_BY!$B$2:$B$79,'Road transport'!$C37,RoadTra_BY!$C$2:$C$79,'Road transport'!$BA37),3)</f>
        <v>*0</v>
      </c>
      <c r="AS37" t="str">
        <f xml:space="preserve">"*"&amp;ROUND(SUMIFS(RoadTra_BY!BA$2:BA$79,RoadTra_BY!$B$2:$B$79,'Road transport'!$C37,RoadTra_BY!$C$2:$C$79,'Road transport'!$BA37),3)</f>
        <v>*0</v>
      </c>
      <c r="AT37" t="str">
        <f xml:space="preserve">"*"&amp;ROUND(SUMIFS(RoadTra_BY!BB$2:BB$79,RoadTra_BY!$B$2:$B$79,'Road transport'!$C37,RoadTra_BY!$C$2:$C$79,'Road transport'!$BA37),3)</f>
        <v>*0</v>
      </c>
      <c r="AU37" t="str">
        <f xml:space="preserve">"*"&amp;ROUND(SUMIFS(RoadTra_BY!BC$2:BC$79,RoadTra_BY!$B$2:$B$79,'Road transport'!$C37,RoadTra_BY!$C$2:$C$79,'Road transport'!$BA37),3)</f>
        <v>*0</v>
      </c>
      <c r="AV37" t="str">
        <f xml:space="preserve">"*"&amp;ROUND(SUMIFS(RoadTra_BY!BD$2:BD$79,RoadTra_BY!$B$2:$B$79,'Road transport'!$C37,RoadTra_BY!$C$2:$C$79,'Road transport'!$BA37),3)</f>
        <v>*0</v>
      </c>
      <c r="AW37" t="str">
        <f xml:space="preserve">"*"&amp;ROUND(SUMIFS(RoadTra_BY!BE$2:BE$79,RoadTra_BY!$B$2:$B$79,'Road transport'!$C37,RoadTra_BY!$C$2:$C$79,'Road transport'!$BA37),3)</f>
        <v>*0</v>
      </c>
      <c r="AX37" t="str">
        <f t="shared" si="1"/>
        <v>Trd_hdt_*</v>
      </c>
      <c r="AZ37">
        <f t="shared" si="0"/>
        <v>2</v>
      </c>
      <c r="BA37" t="s">
        <v>231</v>
      </c>
    </row>
    <row r="38" spans="2:53">
      <c r="C38" t="s">
        <v>184</v>
      </c>
      <c r="D38" t="str">
        <f xml:space="preserve">"*"&amp;ROUND(SUMIFS(RoadTra_BY!L$2:L$79,RoadTra_BY!$B$2:$B$79,'Road transport'!$C38,RoadTra_BY!$C$2:$C$79,'Road transport'!$BA38),3)</f>
        <v>*0.38</v>
      </c>
      <c r="E38" t="str">
        <f xml:space="preserve">"*"&amp;ROUND(SUMIFS(RoadTra_BY!M$2:M$79,RoadTra_BY!$B$2:$B$79,'Road transport'!$C38,RoadTra_BY!$C$2:$C$79,'Road transport'!$BA38),3)</f>
        <v>*0.38</v>
      </c>
      <c r="F38" t="str">
        <f xml:space="preserve">"*"&amp;ROUND(SUMIFS(RoadTra_BY!N$2:N$79,RoadTra_BY!$B$2:$B$79,'Road transport'!$C38,RoadTra_BY!$C$2:$C$79,'Road transport'!$BA38),3)</f>
        <v>*0.38</v>
      </c>
      <c r="G38" t="str">
        <f xml:space="preserve">"*"&amp;ROUND(SUMIFS(RoadTra_BY!O$2:O$79,RoadTra_BY!$B$2:$B$79,'Road transport'!$C38,RoadTra_BY!$C$2:$C$79,'Road transport'!$BA38),3)</f>
        <v>*0.38</v>
      </c>
      <c r="H38" t="str">
        <f xml:space="preserve">"*"&amp;ROUND(SUMIFS(RoadTra_BY!P$2:P$79,RoadTra_BY!$B$2:$B$79,'Road transport'!$C38,RoadTra_BY!$C$2:$C$79,'Road transport'!$BA38),3)</f>
        <v>*0.38</v>
      </c>
      <c r="I38" t="str">
        <f xml:space="preserve">"*"&amp;ROUND(SUMIFS(RoadTra_BY!Q$2:Q$79,RoadTra_BY!$B$2:$B$79,'Road transport'!$C38,RoadTra_BY!$C$2:$C$79,'Road transport'!$BA38),3)</f>
        <v>*0.38</v>
      </c>
      <c r="J38" t="str">
        <f xml:space="preserve">"*"&amp;ROUND(SUMIFS(RoadTra_BY!R$2:R$79,RoadTra_BY!$B$2:$B$79,'Road transport'!$C38,RoadTra_BY!$C$2:$C$79,'Road transport'!$BA38),3)</f>
        <v>*0.38</v>
      </c>
      <c r="K38" t="str">
        <f xml:space="preserve">"*"&amp;ROUND(SUMIFS(RoadTra_BY!S$2:S$79,RoadTra_BY!$B$2:$B$79,'Road transport'!$C38,RoadTra_BY!$C$2:$C$79,'Road transport'!$BA38),3)</f>
        <v>*0.38</v>
      </c>
      <c r="L38" t="str">
        <f xml:space="preserve">"*"&amp;ROUND(SUMIFS(RoadTra_BY!T$2:T$79,RoadTra_BY!$B$2:$B$79,'Road transport'!$C38,RoadTra_BY!$C$2:$C$79,'Road transport'!$BA38),3)</f>
        <v>*0.38</v>
      </c>
      <c r="M38" t="str">
        <f xml:space="preserve">"*"&amp;ROUND(SUMIFS(RoadTra_BY!U$2:U$79,RoadTra_BY!$B$2:$B$79,'Road transport'!$C38,RoadTra_BY!$C$2:$C$79,'Road transport'!$BA38),3)</f>
        <v>*0.38</v>
      </c>
      <c r="N38" t="str">
        <f xml:space="preserve">"*"&amp;ROUND(SUMIFS(RoadTra_BY!V$2:V$79,RoadTra_BY!$B$2:$B$79,'Road transport'!$C38,RoadTra_BY!$C$2:$C$79,'Road transport'!$BA38),3)</f>
        <v>*0.38</v>
      </c>
      <c r="O38" t="str">
        <f xml:space="preserve">"*"&amp;ROUND(SUMIFS(RoadTra_BY!W$2:W$79,RoadTra_BY!$B$2:$B$79,'Road transport'!$C38,RoadTra_BY!$C$2:$C$79,'Road transport'!$BA38),3)</f>
        <v>*0.38</v>
      </c>
      <c r="P38" t="str">
        <f xml:space="preserve">"*"&amp;ROUND(SUMIFS(RoadTra_BY!X$2:X$79,RoadTra_BY!$B$2:$B$79,'Road transport'!$C38,RoadTra_BY!$C$2:$C$79,'Road transport'!$BA38),3)</f>
        <v>*0.38</v>
      </c>
      <c r="Q38" t="str">
        <f xml:space="preserve">"*"&amp;ROUND(SUMIFS(RoadTra_BY!Y$2:Y$79,RoadTra_BY!$B$2:$B$79,'Road transport'!$C38,RoadTra_BY!$C$2:$C$79,'Road transport'!$BA38),3)</f>
        <v>*0.38</v>
      </c>
      <c r="R38" t="str">
        <f xml:space="preserve">"*"&amp;ROUND(SUMIFS(RoadTra_BY!Z$2:Z$79,RoadTra_BY!$B$2:$B$79,'Road transport'!$C38,RoadTra_BY!$C$2:$C$79,'Road transport'!$BA38),3)</f>
        <v>*0.38</v>
      </c>
      <c r="S38" t="str">
        <f xml:space="preserve">"*"&amp;ROUND(SUMIFS(RoadTra_BY!AA$2:AA$79,RoadTra_BY!$B$2:$B$79,'Road transport'!$C38,RoadTra_BY!$C$2:$C$79,'Road transport'!$BA38),3)</f>
        <v>*0.38</v>
      </c>
      <c r="T38" t="str">
        <f xml:space="preserve">"*"&amp;ROUND(SUMIFS(RoadTra_BY!AB$2:AB$79,RoadTra_BY!$B$2:$B$79,'Road transport'!$C38,RoadTra_BY!$C$2:$C$79,'Road transport'!$BA38),3)</f>
        <v>*0.38</v>
      </c>
      <c r="U38" t="str">
        <f xml:space="preserve">"*"&amp;ROUND(SUMIFS(RoadTra_BY!AC$2:AC$79,RoadTra_BY!$B$2:$B$79,'Road transport'!$C38,RoadTra_BY!$C$2:$C$79,'Road transport'!$BA38),3)</f>
        <v>*0.38</v>
      </c>
      <c r="V38" t="str">
        <f xml:space="preserve">"*"&amp;ROUND(SUMIFS(RoadTra_BY!AD$2:AD$79,RoadTra_BY!$B$2:$B$79,'Road transport'!$C38,RoadTra_BY!$C$2:$C$79,'Road transport'!$BA38),3)</f>
        <v>*0.38</v>
      </c>
      <c r="W38" t="str">
        <f xml:space="preserve">"*"&amp;ROUND(SUMIFS(RoadTra_BY!AE$2:AE$79,RoadTra_BY!$B$2:$B$79,'Road transport'!$C38,RoadTra_BY!$C$2:$C$79,'Road transport'!$BA38),3)</f>
        <v>*0.38</v>
      </c>
      <c r="X38" t="str">
        <f xml:space="preserve">"*"&amp;ROUND(SUMIFS(RoadTra_BY!AF$2:AF$79,RoadTra_BY!$B$2:$B$79,'Road transport'!$C38,RoadTra_BY!$C$2:$C$79,'Road transport'!$BA38),3)</f>
        <v>*0.38</v>
      </c>
      <c r="Y38" t="str">
        <f xml:space="preserve">"*"&amp;ROUND(SUMIFS(RoadTra_BY!AG$2:AG$79,RoadTra_BY!$B$2:$B$79,'Road transport'!$C38,RoadTra_BY!$C$2:$C$79,'Road transport'!$BA38),3)</f>
        <v>*0.38</v>
      </c>
      <c r="Z38" t="str">
        <f xml:space="preserve">"*"&amp;ROUND(SUMIFS(RoadTra_BY!AH$2:AH$79,RoadTra_BY!$B$2:$B$79,'Road transport'!$C38,RoadTra_BY!$C$2:$C$79,'Road transport'!$BA38),3)</f>
        <v>*0.38</v>
      </c>
      <c r="AA38" t="str">
        <f xml:space="preserve">"*"&amp;ROUND(SUMIFS(RoadTra_BY!AI$2:AI$79,RoadTra_BY!$B$2:$B$79,'Road transport'!$C38,RoadTra_BY!$C$2:$C$79,'Road transport'!$BA38),3)</f>
        <v>*0.38</v>
      </c>
      <c r="AB38" t="str">
        <f xml:space="preserve">"*"&amp;ROUND(SUMIFS(RoadTra_BY!AJ$2:AJ$79,RoadTra_BY!$B$2:$B$79,'Road transport'!$C38,RoadTra_BY!$C$2:$C$79,'Road transport'!$BA38),3)</f>
        <v>*0.38</v>
      </c>
      <c r="AC38" t="str">
        <f xml:space="preserve">"*"&amp;ROUND(SUMIFS(RoadTra_BY!AK$2:AK$79,RoadTra_BY!$B$2:$B$79,'Road transport'!$C38,RoadTra_BY!$C$2:$C$79,'Road transport'!$BA38),3)</f>
        <v>*0.38</v>
      </c>
      <c r="AD38" t="str">
        <f xml:space="preserve">"*"&amp;ROUND(SUMIFS(RoadTra_BY!AL$2:AL$79,RoadTra_BY!$B$2:$B$79,'Road transport'!$C38,RoadTra_BY!$C$2:$C$79,'Road transport'!$BA38),3)</f>
        <v>*0.38</v>
      </c>
      <c r="AE38" t="str">
        <f xml:space="preserve">"*"&amp;ROUND(SUMIFS(RoadTra_BY!AM$2:AM$79,RoadTra_BY!$B$2:$B$79,'Road transport'!$C38,RoadTra_BY!$C$2:$C$79,'Road transport'!$BA38),3)</f>
        <v>*0.38</v>
      </c>
      <c r="AF38" t="str">
        <f xml:space="preserve">"*"&amp;ROUND(SUMIFS(RoadTra_BY!AN$2:AN$79,RoadTra_BY!$B$2:$B$79,'Road transport'!$C38,RoadTra_BY!$C$2:$C$79,'Road transport'!$BA38),3)</f>
        <v>*0.38</v>
      </c>
      <c r="AG38" t="str">
        <f xml:space="preserve">"*"&amp;ROUND(SUMIFS(RoadTra_BY!AO$2:AO$79,RoadTra_BY!$B$2:$B$79,'Road transport'!$C38,RoadTra_BY!$C$2:$C$79,'Road transport'!$BA38),3)</f>
        <v>*0.38</v>
      </c>
      <c r="AH38" t="str">
        <f xml:space="preserve">"*"&amp;ROUND(SUMIFS(RoadTra_BY!AP$2:AP$79,RoadTra_BY!$B$2:$B$79,'Road transport'!$C38,RoadTra_BY!$C$2:$C$79,'Road transport'!$BA38),3)</f>
        <v>*0.38</v>
      </c>
      <c r="AI38" t="str">
        <f xml:space="preserve">"*"&amp;ROUND(SUMIFS(RoadTra_BY!AQ$2:AQ$79,RoadTra_BY!$B$2:$B$79,'Road transport'!$C38,RoadTra_BY!$C$2:$C$79,'Road transport'!$BA38),3)</f>
        <v>*0.38</v>
      </c>
      <c r="AJ38" t="str">
        <f xml:space="preserve">"*"&amp;ROUND(SUMIFS(RoadTra_BY!AR$2:AR$79,RoadTra_BY!$B$2:$B$79,'Road transport'!$C38,RoadTra_BY!$C$2:$C$79,'Road transport'!$BA38),3)</f>
        <v>*0.38</v>
      </c>
      <c r="AK38" t="str">
        <f xml:space="preserve">"*"&amp;ROUND(SUMIFS(RoadTra_BY!AS$2:AS$79,RoadTra_BY!$B$2:$B$79,'Road transport'!$C38,RoadTra_BY!$C$2:$C$79,'Road transport'!$BA38),3)</f>
        <v>*0.38</v>
      </c>
      <c r="AL38" t="str">
        <f xml:space="preserve">"*"&amp;ROUND(SUMIFS(RoadTra_BY!AT$2:AT$79,RoadTra_BY!$B$2:$B$79,'Road transport'!$C38,RoadTra_BY!$C$2:$C$79,'Road transport'!$BA38),3)</f>
        <v>*0.38</v>
      </c>
      <c r="AM38" t="str">
        <f xml:space="preserve">"*"&amp;ROUND(SUMIFS(RoadTra_BY!AU$2:AU$79,RoadTra_BY!$B$2:$B$79,'Road transport'!$C38,RoadTra_BY!$C$2:$C$79,'Road transport'!$BA38),3)</f>
        <v>*0</v>
      </c>
      <c r="AN38" t="str">
        <f xml:space="preserve">"*"&amp;ROUND(SUMIFS(RoadTra_BY!AV$2:AV$79,RoadTra_BY!$B$2:$B$79,'Road transport'!$C38,RoadTra_BY!$C$2:$C$79,'Road transport'!$BA38),3)</f>
        <v>*0</v>
      </c>
      <c r="AO38" t="str">
        <f xml:space="preserve">"*"&amp;ROUND(SUMIFS(RoadTra_BY!AW$2:AW$79,RoadTra_BY!$B$2:$B$79,'Road transport'!$C38,RoadTra_BY!$C$2:$C$79,'Road transport'!$BA38),3)</f>
        <v>*0</v>
      </c>
      <c r="AP38" t="str">
        <f xml:space="preserve">"*"&amp;ROUND(SUMIFS(RoadTra_BY!AX$2:AX$79,RoadTra_BY!$B$2:$B$79,'Road transport'!$C38,RoadTra_BY!$C$2:$C$79,'Road transport'!$BA38),3)</f>
        <v>*0</v>
      </c>
      <c r="AQ38" t="str">
        <f xml:space="preserve">"*"&amp;ROUND(SUMIFS(RoadTra_BY!AY$2:AY$79,RoadTra_BY!$B$2:$B$79,'Road transport'!$C38,RoadTra_BY!$C$2:$C$79,'Road transport'!$BA38),3)</f>
        <v>*0</v>
      </c>
      <c r="AR38" t="str">
        <f xml:space="preserve">"*"&amp;ROUND(SUMIFS(RoadTra_BY!AZ$2:AZ$79,RoadTra_BY!$B$2:$B$79,'Road transport'!$C38,RoadTra_BY!$C$2:$C$79,'Road transport'!$BA38),3)</f>
        <v>*0</v>
      </c>
      <c r="AS38" t="str">
        <f xml:space="preserve">"*"&amp;ROUND(SUMIFS(RoadTra_BY!BA$2:BA$79,RoadTra_BY!$B$2:$B$79,'Road transport'!$C38,RoadTra_BY!$C$2:$C$79,'Road transport'!$BA38),3)</f>
        <v>*0</v>
      </c>
      <c r="AT38" t="str">
        <f xml:space="preserve">"*"&amp;ROUND(SUMIFS(RoadTra_BY!BB$2:BB$79,RoadTra_BY!$B$2:$B$79,'Road transport'!$C38,RoadTra_BY!$C$2:$C$79,'Road transport'!$BA38),3)</f>
        <v>*0</v>
      </c>
      <c r="AU38" t="str">
        <f xml:space="preserve">"*"&amp;ROUND(SUMIFS(RoadTra_BY!BC$2:BC$79,RoadTra_BY!$B$2:$B$79,'Road transport'!$C38,RoadTra_BY!$C$2:$C$79,'Road transport'!$BA38),3)</f>
        <v>*0</v>
      </c>
      <c r="AV38" t="str">
        <f xml:space="preserve">"*"&amp;ROUND(SUMIFS(RoadTra_BY!BD$2:BD$79,RoadTra_BY!$B$2:$B$79,'Road transport'!$C38,RoadTra_BY!$C$2:$C$79,'Road transport'!$BA38),3)</f>
        <v>*0</v>
      </c>
      <c r="AW38" t="str">
        <f xml:space="preserve">"*"&amp;ROUND(SUMIFS(RoadTra_BY!BE$2:BE$79,RoadTra_BY!$B$2:$B$79,'Road transport'!$C38,RoadTra_BY!$C$2:$C$79,'Road transport'!$BA38),3)</f>
        <v>*0</v>
      </c>
      <c r="AX38" t="str">
        <f t="shared" si="1"/>
        <v>Trd_lcv_*</v>
      </c>
      <c r="AZ38">
        <f t="shared" si="0"/>
        <v>2</v>
      </c>
      <c r="BA38" t="s">
        <v>232</v>
      </c>
    </row>
    <row r="45" spans="2:53">
      <c r="E45" s="92"/>
    </row>
    <row r="48" spans="2:53">
      <c r="B48" t="s">
        <v>226</v>
      </c>
    </row>
    <row r="49" spans="1:106">
      <c r="B49" t="s">
        <v>193</v>
      </c>
      <c r="C49" t="s">
        <v>50</v>
      </c>
      <c r="D49" t="s">
        <v>170</v>
      </c>
      <c r="E49" t="s">
        <v>171</v>
      </c>
      <c r="I49" t="s">
        <v>233</v>
      </c>
    </row>
    <row r="50" spans="1:106">
      <c r="B50" t="s">
        <v>184</v>
      </c>
      <c r="C50" t="s">
        <v>234</v>
      </c>
      <c r="D50" t="s">
        <v>181</v>
      </c>
      <c r="E50" t="s">
        <v>235</v>
      </c>
    </row>
    <row r="53" spans="1:106">
      <c r="B53" t="s">
        <v>191</v>
      </c>
    </row>
    <row r="54" spans="1:106">
      <c r="B54" t="s">
        <v>193</v>
      </c>
      <c r="C54" t="s">
        <v>50</v>
      </c>
      <c r="D54" t="s">
        <v>236</v>
      </c>
      <c r="E54" t="s">
        <v>216</v>
      </c>
      <c r="F54" t="s">
        <v>172</v>
      </c>
      <c r="G54" t="s">
        <v>237</v>
      </c>
      <c r="H54" t="s">
        <v>171</v>
      </c>
      <c r="I54" t="s">
        <v>207</v>
      </c>
    </row>
    <row r="55" spans="1:106">
      <c r="B55" t="s">
        <v>208</v>
      </c>
      <c r="C55">
        <v>10</v>
      </c>
      <c r="D55" t="s">
        <v>238</v>
      </c>
      <c r="E55" s="232" t="s">
        <v>239</v>
      </c>
      <c r="I55" s="232" t="s">
        <v>240</v>
      </c>
    </row>
    <row r="56" spans="1:106">
      <c r="B56" t="s">
        <v>241</v>
      </c>
      <c r="C56">
        <v>1</v>
      </c>
      <c r="F56" t="s">
        <v>242</v>
      </c>
      <c r="G56" t="s">
        <v>180</v>
      </c>
      <c r="H56" t="str">
        <f xml:space="preserve">F56</f>
        <v>AuxStoIN</v>
      </c>
      <c r="I56" t="s">
        <v>243</v>
      </c>
    </row>
    <row r="62" spans="1:106">
      <c r="H62" s="2"/>
    </row>
    <row r="63" spans="1:106">
      <c r="H63" s="2"/>
      <c r="BA63" s="83"/>
      <c r="CW63" s="14"/>
      <c r="CX63" s="93" t="s">
        <v>191</v>
      </c>
      <c r="CY63" s="14"/>
      <c r="CZ63" s="14"/>
      <c r="DA63" s="14"/>
      <c r="DB63" s="14"/>
    </row>
    <row r="64" spans="1:106">
      <c r="A64" t="s">
        <v>244</v>
      </c>
      <c r="CW64" s="14"/>
      <c r="CX64" s="14"/>
      <c r="CY64" s="14"/>
      <c r="CZ64" s="14"/>
      <c r="DA64" s="14"/>
      <c r="DB64" s="14"/>
    </row>
    <row r="65" s="82" customFormat="1" spans="1:106">
      <c r="A65" s="83"/>
      <c r="B65" s="86"/>
      <c r="C65" s="94"/>
      <c r="D65" s="86"/>
      <c r="E65" s="86"/>
      <c r="F65" s="83"/>
      <c r="G65" s="83"/>
      <c r="H65" s="83"/>
      <c r="I65" s="83"/>
      <c r="J65" s="83"/>
      <c r="K65" s="83"/>
      <c r="L65" s="83"/>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Y65" s="83"/>
      <c r="AZ65" s="83"/>
      <c r="BB65" s="83"/>
      <c r="BC65" s="83"/>
      <c r="BD65" s="83"/>
      <c r="BE65" s="83"/>
      <c r="BF65" s="83"/>
      <c r="BG65" s="83"/>
      <c r="BH65" s="83"/>
      <c r="BI65" s="83"/>
      <c r="CO65" s="95"/>
      <c r="CP65" s="95"/>
      <c r="CR65" s="95"/>
      <c r="CS65" s="95"/>
      <c r="CT65" s="95"/>
      <c r="CU65" s="95"/>
      <c r="CW65" s="96"/>
      <c r="CX65" s="96"/>
      <c r="CY65" s="96"/>
      <c r="CZ65" s="96"/>
      <c r="DA65" s="96"/>
      <c r="DB65" s="96"/>
    </row>
    <row r="66" s="83" customFormat="1" spans="1:106">
      <c r="A66" s="83" t="s">
        <v>41</v>
      </c>
      <c r="B66" s="86" t="s">
        <v>193</v>
      </c>
      <c r="C66" s="86" t="s">
        <v>197</v>
      </c>
      <c r="D66" s="86" t="s">
        <v>66</v>
      </c>
      <c r="E66" s="86" t="s">
        <v>172</v>
      </c>
      <c r="F66" s="83" t="s">
        <v>3</v>
      </c>
      <c r="G66" s="83" t="s">
        <v>5</v>
      </c>
      <c r="H66" s="83" t="s">
        <v>6</v>
      </c>
      <c r="I66" s="83" t="s">
        <v>7</v>
      </c>
      <c r="J66" s="83" t="s">
        <v>8</v>
      </c>
      <c r="K66" s="83" t="s">
        <v>9</v>
      </c>
      <c r="L66" s="83" t="s">
        <v>10</v>
      </c>
      <c r="M66" s="83" t="s">
        <v>11</v>
      </c>
      <c r="N66" s="83" t="s">
        <v>12</v>
      </c>
      <c r="O66" s="83" t="s">
        <v>13</v>
      </c>
      <c r="P66" s="83" t="s">
        <v>14</v>
      </c>
      <c r="Q66" s="83" t="s">
        <v>15</v>
      </c>
      <c r="R66" s="83" t="s">
        <v>16</v>
      </c>
      <c r="S66" s="83" t="s">
        <v>17</v>
      </c>
      <c r="T66" s="83" t="s">
        <v>18</v>
      </c>
      <c r="U66" s="83" t="s">
        <v>19</v>
      </c>
      <c r="V66" s="83" t="s">
        <v>20</v>
      </c>
      <c r="W66" s="83" t="s">
        <v>21</v>
      </c>
      <c r="X66" s="83" t="s">
        <v>22</v>
      </c>
      <c r="Y66" s="83" t="s">
        <v>23</v>
      </c>
      <c r="Z66" s="83" t="s">
        <v>24</v>
      </c>
      <c r="AA66" s="83" t="s">
        <v>25</v>
      </c>
      <c r="AB66" s="83" t="s">
        <v>26</v>
      </c>
      <c r="AC66" s="83" t="s">
        <v>27</v>
      </c>
      <c r="AD66" s="83" t="s">
        <v>28</v>
      </c>
      <c r="AE66" s="83" t="s">
        <v>29</v>
      </c>
      <c r="AF66" s="83" t="s">
        <v>30</v>
      </c>
      <c r="AG66" s="83" t="s">
        <v>31</v>
      </c>
      <c r="AH66" s="83" t="s">
        <v>32</v>
      </c>
      <c r="AI66" s="83" t="s">
        <v>33</v>
      </c>
      <c r="AJ66" s="83" t="s">
        <v>34</v>
      </c>
      <c r="AK66" s="83" t="s">
        <v>35</v>
      </c>
      <c r="AL66" s="83" t="s">
        <v>36</v>
      </c>
      <c r="AM66" s="83" t="s">
        <v>37</v>
      </c>
      <c r="AN66" t="s">
        <v>38</v>
      </c>
      <c r="AO66" s="83" t="s">
        <v>245</v>
      </c>
      <c r="CQ66" s="97"/>
      <c r="CR66" s="97"/>
      <c r="CT66" s="97"/>
      <c r="CU66" s="97"/>
      <c r="CW66" s="14" t="s">
        <v>193</v>
      </c>
      <c r="CX66" s="14" t="s">
        <v>197</v>
      </c>
      <c r="CY66" s="14" t="s">
        <v>66</v>
      </c>
      <c r="CZ66" s="14" t="s">
        <v>172</v>
      </c>
      <c r="DA66" s="98" t="s">
        <v>41</v>
      </c>
      <c r="DB66" s="98" t="s">
        <v>65</v>
      </c>
    </row>
    <row r="67" s="83" customFormat="1" ht="14.5" spans="1:106">
      <c r="A67" s="83" t="s">
        <v>246</v>
      </c>
      <c r="B67" s="99" t="s">
        <v>247</v>
      </c>
      <c r="C67" s="86" t="s">
        <v>248</v>
      </c>
      <c r="D67" s="100" t="s">
        <v>249</v>
      </c>
      <c r="E67" s="94" t="s">
        <v>250</v>
      </c>
      <c r="F67" s="83">
        <f t="shared" ref="F67:L68" si="2" xml:space="preserve">D77/1000</f>
        <v>0</v>
      </c>
      <c r="G67" s="83">
        <f t="shared" si="2"/>
        <v>310</v>
      </c>
      <c r="H67" s="83">
        <f t="shared" si="2"/>
        <v>6200</v>
      </c>
      <c r="I67" s="83">
        <f t="shared" si="2"/>
        <v>0</v>
      </c>
      <c r="J67" s="83">
        <f t="shared" si="2"/>
        <v>0</v>
      </c>
      <c r="K67" s="83">
        <f t="shared" si="2"/>
        <v>0</v>
      </c>
      <c r="L67" s="83">
        <f t="shared" si="2"/>
        <v>250</v>
      </c>
      <c r="M67" s="83">
        <v>2000</v>
      </c>
      <c r="N67" s="83">
        <f t="shared" ref="N67:W68" si="3" xml:space="preserve">L77/1000</f>
        <v>0</v>
      </c>
      <c r="O67" s="83">
        <f t="shared" si="3"/>
        <v>0</v>
      </c>
      <c r="P67" s="83">
        <f t="shared" si="3"/>
        <v>0</v>
      </c>
      <c r="Q67" s="83">
        <f t="shared" si="3"/>
        <v>0</v>
      </c>
      <c r="R67" s="83">
        <f t="shared" si="3"/>
        <v>0</v>
      </c>
      <c r="S67" s="83">
        <f t="shared" si="3"/>
        <v>0</v>
      </c>
      <c r="T67" s="83">
        <f t="shared" si="3"/>
        <v>0</v>
      </c>
      <c r="U67" s="83">
        <f t="shared" si="3"/>
        <v>0</v>
      </c>
      <c r="V67" s="83">
        <f t="shared" si="3"/>
        <v>0</v>
      </c>
      <c r="W67" s="83">
        <f t="shared" si="3"/>
        <v>0</v>
      </c>
      <c r="X67" s="83">
        <f t="shared" ref="X67:AG68" si="4" xml:space="preserve">V77/1000</f>
        <v>0</v>
      </c>
      <c r="Y67" s="83">
        <f t="shared" si="4"/>
        <v>12250</v>
      </c>
      <c r="Z67" s="83">
        <f t="shared" si="4"/>
        <v>0</v>
      </c>
      <c r="AA67" s="83">
        <f t="shared" si="4"/>
        <v>1930</v>
      </c>
      <c r="AB67" s="83">
        <f t="shared" si="4"/>
        <v>0</v>
      </c>
      <c r="AC67" s="83">
        <f t="shared" si="4"/>
        <v>0</v>
      </c>
      <c r="AD67" s="83">
        <f t="shared" si="4"/>
        <v>3300</v>
      </c>
      <c r="AE67" s="83">
        <f t="shared" si="4"/>
        <v>0</v>
      </c>
      <c r="AF67" s="83">
        <f t="shared" si="4"/>
        <v>0</v>
      </c>
      <c r="AG67" s="83">
        <f t="shared" si="4"/>
        <v>0</v>
      </c>
      <c r="AH67" s="83">
        <f t="shared" ref="AH67:AM68" si="5" xml:space="preserve">AF77/1000</f>
        <v>60</v>
      </c>
      <c r="AI67" s="83">
        <f t="shared" si="5"/>
        <v>0</v>
      </c>
      <c r="AJ67" s="83">
        <f t="shared" si="5"/>
        <v>0</v>
      </c>
      <c r="AK67" s="83">
        <f t="shared" si="5"/>
        <v>0</v>
      </c>
      <c r="AL67" s="83">
        <f t="shared" si="5"/>
        <v>0</v>
      </c>
      <c r="AM67" s="83">
        <f t="shared" si="5"/>
        <v>0</v>
      </c>
      <c r="AN67">
        <v>0</v>
      </c>
      <c r="AO67" s="83" t="str">
        <f xml:space="preserve">E67</f>
        <v>m_lithium</v>
      </c>
      <c r="CQ67" s="97"/>
      <c r="CR67" s="97"/>
      <c r="CT67" s="97"/>
      <c r="CU67" s="97"/>
      <c r="CW67" s="101" t="s">
        <v>247</v>
      </c>
      <c r="CX67" s="14" t="s">
        <v>248</v>
      </c>
      <c r="CY67" s="96" t="str">
        <f xml:space="preserve">D67</f>
        <v>MINBatMaterials_LI</v>
      </c>
      <c r="CZ67" s="96" t="s">
        <v>250</v>
      </c>
      <c r="DA67" s="98">
        <v>0</v>
      </c>
      <c r="DB67" s="98">
        <v>1</v>
      </c>
    </row>
    <row r="68" s="83" customFormat="1" ht="16" spans="1:106">
      <c r="A68" s="83" t="s">
        <v>246</v>
      </c>
      <c r="B68" s="99" t="s">
        <v>247</v>
      </c>
      <c r="C68" s="86" t="s">
        <v>248</v>
      </c>
      <c r="D68" s="18" t="s">
        <v>251</v>
      </c>
      <c r="E68" s="94" t="s">
        <v>252</v>
      </c>
      <c r="F68" s="83">
        <f t="shared" si="2"/>
        <v>0</v>
      </c>
      <c r="G68" s="83">
        <f t="shared" si="2"/>
        <v>0</v>
      </c>
      <c r="H68" s="83">
        <f t="shared" si="2"/>
        <v>21000</v>
      </c>
      <c r="I68" s="83">
        <f t="shared" si="2"/>
        <v>0</v>
      </c>
      <c r="J68" s="83">
        <f t="shared" si="2"/>
        <v>0</v>
      </c>
      <c r="K68" s="83">
        <f t="shared" si="2"/>
        <v>0</v>
      </c>
      <c r="L68" s="83">
        <f t="shared" si="2"/>
        <v>16000</v>
      </c>
      <c r="M68" s="83">
        <f xml:space="preserve">K78/1000</f>
        <v>2100</v>
      </c>
      <c r="N68" s="83">
        <f t="shared" si="3"/>
        <v>0</v>
      </c>
      <c r="O68" s="83">
        <f t="shared" si="3"/>
        <v>0</v>
      </c>
      <c r="P68" s="83">
        <f t="shared" si="3"/>
        <v>0</v>
      </c>
      <c r="Q68" s="83">
        <f t="shared" si="3"/>
        <v>0</v>
      </c>
      <c r="R68" s="83">
        <f t="shared" si="3"/>
        <v>0</v>
      </c>
      <c r="S68" s="83">
        <f t="shared" si="3"/>
        <v>0</v>
      </c>
      <c r="T68" s="83">
        <f t="shared" si="3"/>
        <v>0</v>
      </c>
      <c r="U68" s="83">
        <f t="shared" si="3"/>
        <v>0</v>
      </c>
      <c r="V68" s="83">
        <f t="shared" si="3"/>
        <v>0</v>
      </c>
      <c r="W68" s="83">
        <f t="shared" si="3"/>
        <v>0</v>
      </c>
      <c r="X68" s="83">
        <f t="shared" si="4"/>
        <v>0</v>
      </c>
      <c r="Y68" s="83">
        <f t="shared" si="4"/>
        <v>16000</v>
      </c>
      <c r="Z68" s="83">
        <f t="shared" si="4"/>
        <v>0</v>
      </c>
      <c r="AA68" s="83">
        <f t="shared" si="4"/>
        <v>2570</v>
      </c>
      <c r="AB68" s="83">
        <f t="shared" si="4"/>
        <v>0</v>
      </c>
      <c r="AC68" s="83">
        <f t="shared" si="4"/>
        <v>0</v>
      </c>
      <c r="AD68" s="83">
        <f t="shared" si="4"/>
        <v>52900</v>
      </c>
      <c r="AE68" s="83">
        <f t="shared" si="4"/>
        <v>7500</v>
      </c>
      <c r="AF68" s="83">
        <f t="shared" si="4"/>
        <v>0</v>
      </c>
      <c r="AG68" s="83">
        <f t="shared" si="4"/>
        <v>0</v>
      </c>
      <c r="AH68" s="83">
        <f t="shared" si="5"/>
        <v>0</v>
      </c>
      <c r="AI68" s="83">
        <f t="shared" si="5"/>
        <v>0</v>
      </c>
      <c r="AJ68" s="83">
        <f t="shared" si="5"/>
        <v>0</v>
      </c>
      <c r="AK68" s="83">
        <f t="shared" si="5"/>
        <v>0</v>
      </c>
      <c r="AL68" s="83">
        <f t="shared" si="5"/>
        <v>0</v>
      </c>
      <c r="AM68" s="83">
        <f t="shared" si="5"/>
        <v>0</v>
      </c>
      <c r="AN68">
        <v>0</v>
      </c>
      <c r="AO68" s="83" t="str">
        <f t="shared" ref="AO68:AO73" si="6" xml:space="preserve">E68</f>
        <v>m_nickel</v>
      </c>
      <c r="CQ68" s="97"/>
      <c r="CR68" s="97"/>
      <c r="CT68" s="97"/>
      <c r="CU68" s="97"/>
      <c r="CW68" s="101" t="s">
        <v>247</v>
      </c>
      <c r="CX68" s="14" t="s">
        <v>248</v>
      </c>
      <c r="CY68" s="96" t="str">
        <f t="shared" ref="CY68:CY73" si="7" xml:space="preserve">D68</f>
        <v>MINBatMaterials_NI</v>
      </c>
      <c r="CZ68" s="96" t="s">
        <v>252</v>
      </c>
      <c r="DA68" s="98">
        <v>0</v>
      </c>
      <c r="DB68" s="98">
        <v>1</v>
      </c>
    </row>
    <row r="69" s="84" customFormat="1" ht="16" spans="1:106">
      <c r="A69" s="83" t="s">
        <v>246</v>
      </c>
      <c r="B69" s="102" t="s">
        <v>247</v>
      </c>
      <c r="C69" s="84" t="s">
        <v>248</v>
      </c>
      <c r="D69" s="18" t="s">
        <v>253</v>
      </c>
      <c r="E69" s="103" t="s">
        <v>254</v>
      </c>
      <c r="F69" s="104">
        <v>0</v>
      </c>
      <c r="G69" s="104">
        <f xml:space="preserve">E79/10000</f>
        <v>410</v>
      </c>
      <c r="H69" s="104">
        <f xml:space="preserve">F79/10000</f>
        <v>150</v>
      </c>
      <c r="I69" s="104">
        <f xml:space="preserve">G79/10000</f>
        <v>0</v>
      </c>
      <c r="J69" s="104">
        <f xml:space="preserve">H79/10000</f>
        <v>0</v>
      </c>
      <c r="K69" s="104">
        <f xml:space="preserve">I79/10000</f>
        <v>0</v>
      </c>
      <c r="L69" s="104">
        <f t="shared" ref="L69:AM69" si="8" xml:space="preserve">J79/10000</f>
        <v>0</v>
      </c>
      <c r="M69" s="104">
        <f t="shared" si="8"/>
        <v>14</v>
      </c>
      <c r="N69" s="104">
        <f t="shared" si="8"/>
        <v>0</v>
      </c>
      <c r="O69" s="104">
        <f t="shared" si="8"/>
        <v>0</v>
      </c>
      <c r="P69" s="104">
        <f t="shared" si="8"/>
        <v>0</v>
      </c>
      <c r="Q69" s="104">
        <f t="shared" si="8"/>
        <v>0</v>
      </c>
      <c r="R69" s="104">
        <f t="shared" si="8"/>
        <v>0</v>
      </c>
      <c r="S69" s="104">
        <f t="shared" si="8"/>
        <v>0</v>
      </c>
      <c r="T69" s="104">
        <f t="shared" si="8"/>
        <v>0</v>
      </c>
      <c r="U69" s="104">
        <f t="shared" si="8"/>
        <v>0</v>
      </c>
      <c r="V69" s="104">
        <f t="shared" si="8"/>
        <v>0</v>
      </c>
      <c r="W69" s="104">
        <f t="shared" si="8"/>
        <v>0</v>
      </c>
      <c r="X69" s="104">
        <f t="shared" si="8"/>
        <v>0</v>
      </c>
      <c r="Y69" s="104">
        <f t="shared" si="8"/>
        <v>50</v>
      </c>
      <c r="Z69" s="104">
        <f t="shared" si="8"/>
        <v>3.6</v>
      </c>
      <c r="AA69" s="104">
        <f t="shared" si="8"/>
        <v>28.9</v>
      </c>
      <c r="AB69" s="104">
        <f t="shared" si="8"/>
        <v>0</v>
      </c>
      <c r="AC69" s="104">
        <f t="shared" si="8"/>
        <v>0</v>
      </c>
      <c r="AD69" s="104">
        <f t="shared" si="8"/>
        <v>151.7</v>
      </c>
      <c r="AE69" s="104">
        <f t="shared" si="8"/>
        <v>25</v>
      </c>
      <c r="AF69" s="104">
        <f t="shared" si="8"/>
        <v>0</v>
      </c>
      <c r="AG69" s="104">
        <f t="shared" si="8"/>
        <v>0</v>
      </c>
      <c r="AH69" s="104">
        <f t="shared" si="8"/>
        <v>0</v>
      </c>
      <c r="AI69" s="104">
        <f t="shared" si="8"/>
        <v>0</v>
      </c>
      <c r="AJ69" s="104">
        <f t="shared" si="8"/>
        <v>0</v>
      </c>
      <c r="AK69" s="104">
        <f t="shared" si="8"/>
        <v>3.6</v>
      </c>
      <c r="AL69" s="104">
        <f t="shared" si="8"/>
        <v>0</v>
      </c>
      <c r="AM69" s="104">
        <f t="shared" si="8"/>
        <v>0</v>
      </c>
      <c r="AN69">
        <v>0</v>
      </c>
      <c r="AO69" s="83" t="str">
        <f t="shared" si="6"/>
        <v>m_cobalt</v>
      </c>
      <c r="CQ69" s="105"/>
      <c r="CR69" s="105"/>
      <c r="CT69" s="105"/>
      <c r="CU69" s="105"/>
      <c r="CW69" s="101" t="s">
        <v>247</v>
      </c>
      <c r="CX69" s="14" t="s">
        <v>248</v>
      </c>
      <c r="CY69" s="106" t="s">
        <v>255</v>
      </c>
      <c r="CZ69" s="96" t="s">
        <v>254</v>
      </c>
      <c r="DA69" s="98">
        <v>0</v>
      </c>
      <c r="DB69" s="98">
        <v>1</v>
      </c>
    </row>
    <row r="70" s="83" customFormat="1" ht="16" spans="1:106">
      <c r="A70" s="83" t="s">
        <v>246</v>
      </c>
      <c r="B70" s="99" t="s">
        <v>247</v>
      </c>
      <c r="C70" s="86" t="s">
        <v>248</v>
      </c>
      <c r="D70" s="18" t="s">
        <v>256</v>
      </c>
      <c r="E70" s="107" t="s">
        <v>257</v>
      </c>
      <c r="F70" s="108">
        <f t="shared" ref="F70:Z70" si="9" xml:space="preserve">D80/1000</f>
        <v>0</v>
      </c>
      <c r="G70" s="108">
        <f t="shared" si="9"/>
        <v>74000</v>
      </c>
      <c r="H70" s="108">
        <f t="shared" si="9"/>
        <v>270000</v>
      </c>
      <c r="I70" s="108">
        <f t="shared" si="9"/>
        <v>0</v>
      </c>
      <c r="J70" s="108">
        <f t="shared" si="9"/>
        <v>0</v>
      </c>
      <c r="K70" s="108">
        <f t="shared" si="9"/>
        <v>0</v>
      </c>
      <c r="L70" s="108">
        <f t="shared" si="9"/>
        <v>270000</v>
      </c>
      <c r="M70" s="108">
        <f t="shared" si="9"/>
        <v>280000</v>
      </c>
      <c r="N70" s="108">
        <f t="shared" si="9"/>
        <v>0</v>
      </c>
      <c r="O70" s="108">
        <f t="shared" si="9"/>
        <v>0</v>
      </c>
      <c r="P70" s="108">
        <f t="shared" si="9"/>
        <v>0</v>
      </c>
      <c r="Q70" s="108">
        <f t="shared" si="9"/>
        <v>0</v>
      </c>
      <c r="R70" s="108">
        <f t="shared" si="9"/>
        <v>0</v>
      </c>
      <c r="S70" s="108">
        <f t="shared" si="9"/>
        <v>0</v>
      </c>
      <c r="T70" s="108">
        <f t="shared" si="9"/>
        <v>0</v>
      </c>
      <c r="U70" s="108">
        <f t="shared" si="9"/>
        <v>34000</v>
      </c>
      <c r="V70" s="108">
        <f t="shared" si="9"/>
        <v>0</v>
      </c>
      <c r="W70" s="108">
        <f t="shared" si="9"/>
        <v>0</v>
      </c>
      <c r="X70" s="108">
        <f t="shared" si="9"/>
        <v>0</v>
      </c>
      <c r="Y70" s="108">
        <f t="shared" si="9"/>
        <v>275000</v>
      </c>
      <c r="Z70" s="108">
        <f t="shared" si="9"/>
        <v>0</v>
      </c>
      <c r="AA70" s="109">
        <v>100</v>
      </c>
      <c r="AB70" s="83">
        <f t="shared" ref="AB70:AM73" si="10" xml:space="preserve">Z80/1000</f>
        <v>0</v>
      </c>
      <c r="AC70" s="83">
        <f t="shared" si="10"/>
        <v>0</v>
      </c>
      <c r="AD70" s="83">
        <f t="shared" si="10"/>
        <v>5000</v>
      </c>
      <c r="AE70" s="83">
        <f t="shared" si="10"/>
        <v>0</v>
      </c>
      <c r="AF70" s="83">
        <f t="shared" si="10"/>
        <v>0</v>
      </c>
      <c r="AG70" s="86">
        <f t="shared" si="10"/>
        <v>640000</v>
      </c>
      <c r="AH70" s="83">
        <f t="shared" si="10"/>
        <v>0</v>
      </c>
      <c r="AI70" s="83">
        <f t="shared" si="10"/>
        <v>0</v>
      </c>
      <c r="AJ70" s="83">
        <f t="shared" si="10"/>
        <v>0</v>
      </c>
      <c r="AK70" s="83">
        <f t="shared" si="10"/>
        <v>0</v>
      </c>
      <c r="AL70" s="83">
        <f t="shared" si="10"/>
        <v>0</v>
      </c>
      <c r="AM70" s="83">
        <f t="shared" si="10"/>
        <v>140000</v>
      </c>
      <c r="AN70">
        <v>0</v>
      </c>
      <c r="AO70" s="83" t="str">
        <f t="shared" si="6"/>
        <v>m_manganese</v>
      </c>
      <c r="CQ70" s="97"/>
      <c r="CR70" s="97"/>
      <c r="CT70" s="97"/>
      <c r="CU70" s="97"/>
      <c r="CW70" s="101" t="s">
        <v>247</v>
      </c>
      <c r="CX70" s="14" t="s">
        <v>248</v>
      </c>
      <c r="CY70" s="96" t="str">
        <f t="shared" si="7"/>
        <v>MINBatMaterials_MN</v>
      </c>
      <c r="CZ70" s="110" t="s">
        <v>257</v>
      </c>
      <c r="DA70" s="98">
        <v>0</v>
      </c>
      <c r="DB70" s="98">
        <v>1</v>
      </c>
    </row>
    <row r="71" s="85" customFormat="1" ht="16" spans="1:106">
      <c r="A71" s="85" t="s">
        <v>246</v>
      </c>
      <c r="B71" s="111" t="s">
        <v>247</v>
      </c>
      <c r="C71" s="85" t="s">
        <v>248</v>
      </c>
      <c r="D71" s="112" t="s">
        <v>258</v>
      </c>
      <c r="E71" s="113" t="s">
        <v>259</v>
      </c>
      <c r="F71" s="85">
        <f t="shared" ref="F71:L73" si="11" xml:space="preserve">D81/1000</f>
        <v>0</v>
      </c>
      <c r="G71" s="85">
        <f t="shared" si="11"/>
        <v>0</v>
      </c>
      <c r="H71" s="85">
        <f t="shared" si="11"/>
        <v>0</v>
      </c>
      <c r="I71" s="85">
        <f t="shared" si="11"/>
        <v>0</v>
      </c>
      <c r="J71" s="85">
        <f t="shared" si="11"/>
        <v>0</v>
      </c>
      <c r="K71" s="85">
        <f t="shared" si="11"/>
        <v>0</v>
      </c>
      <c r="L71" s="85">
        <f t="shared" si="11"/>
        <v>0</v>
      </c>
      <c r="M71" s="114">
        <v>41500</v>
      </c>
      <c r="N71" s="85">
        <f t="shared" ref="N71:Z73" si="12" xml:space="preserve">L81/1000</f>
        <v>0</v>
      </c>
      <c r="O71" s="85">
        <f t="shared" si="12"/>
        <v>0</v>
      </c>
      <c r="P71" s="85">
        <f t="shared" si="12"/>
        <v>0</v>
      </c>
      <c r="Q71" s="85">
        <f t="shared" si="12"/>
        <v>0</v>
      </c>
      <c r="R71" s="85">
        <f t="shared" si="12"/>
        <v>0</v>
      </c>
      <c r="S71" s="85">
        <f t="shared" si="12"/>
        <v>0</v>
      </c>
      <c r="T71" s="85">
        <f t="shared" si="12"/>
        <v>0</v>
      </c>
      <c r="U71" s="85">
        <f t="shared" si="12"/>
        <v>0</v>
      </c>
      <c r="V71" s="85">
        <f t="shared" si="12"/>
        <v>0</v>
      </c>
      <c r="W71" s="85">
        <f t="shared" si="12"/>
        <v>0</v>
      </c>
      <c r="X71" s="85">
        <f t="shared" si="12"/>
        <v>0</v>
      </c>
      <c r="Y71" s="85">
        <f t="shared" si="12"/>
        <v>0</v>
      </c>
      <c r="Z71" s="85">
        <f t="shared" si="12"/>
        <v>0</v>
      </c>
      <c r="AA71" s="114">
        <v>3650</v>
      </c>
      <c r="AB71" s="85">
        <f t="shared" si="10"/>
        <v>0</v>
      </c>
      <c r="AC71" s="85">
        <f t="shared" si="10"/>
        <v>0</v>
      </c>
      <c r="AD71" s="85">
        <f t="shared" si="10"/>
        <v>0</v>
      </c>
      <c r="AE71" s="85">
        <f t="shared" si="10"/>
        <v>0</v>
      </c>
      <c r="AF71" s="85">
        <f t="shared" si="10"/>
        <v>0</v>
      </c>
      <c r="AG71" s="85">
        <f t="shared" si="10"/>
        <v>0</v>
      </c>
      <c r="AH71" s="85">
        <f t="shared" si="10"/>
        <v>0</v>
      </c>
      <c r="AI71" s="85">
        <f t="shared" si="10"/>
        <v>0</v>
      </c>
      <c r="AJ71" s="85">
        <f t="shared" si="10"/>
        <v>0</v>
      </c>
      <c r="AK71" s="85">
        <f t="shared" si="10"/>
        <v>0</v>
      </c>
      <c r="AL71" s="85">
        <f t="shared" si="10"/>
        <v>0</v>
      </c>
      <c r="AM71" s="85">
        <f t="shared" si="10"/>
        <v>0</v>
      </c>
      <c r="AN71">
        <v>0</v>
      </c>
      <c r="AO71" s="85" t="str">
        <f t="shared" si="6"/>
        <v>m_aluminum</v>
      </c>
      <c r="CQ71" s="115"/>
      <c r="CR71" s="115"/>
      <c r="CT71" s="115"/>
      <c r="CU71" s="115"/>
      <c r="CW71" s="101" t="s">
        <v>247</v>
      </c>
      <c r="CX71" s="14" t="s">
        <v>248</v>
      </c>
      <c r="CY71" s="96" t="str">
        <f t="shared" si="7"/>
        <v>MINBatMaterials_AL</v>
      </c>
      <c r="CZ71" s="96" t="s">
        <v>259</v>
      </c>
      <c r="DA71" s="98">
        <v>0</v>
      </c>
      <c r="DB71" s="98">
        <v>1</v>
      </c>
    </row>
    <row r="72" s="83" customFormat="1" ht="16" spans="1:106">
      <c r="A72" s="83" t="s">
        <v>246</v>
      </c>
      <c r="B72" s="99" t="s">
        <v>247</v>
      </c>
      <c r="C72" s="86" t="s">
        <v>248</v>
      </c>
      <c r="D72" s="18" t="s">
        <v>260</v>
      </c>
      <c r="E72" s="94" t="s">
        <v>261</v>
      </c>
      <c r="F72" s="83">
        <f t="shared" si="11"/>
        <v>0</v>
      </c>
      <c r="G72" s="83">
        <f t="shared" si="11"/>
        <v>50000</v>
      </c>
      <c r="H72" s="83">
        <f t="shared" si="11"/>
        <v>97000</v>
      </c>
      <c r="I72" s="83">
        <f t="shared" si="11"/>
        <v>0</v>
      </c>
      <c r="J72" s="83">
        <f t="shared" si="11"/>
        <v>0</v>
      </c>
      <c r="K72" s="83">
        <f t="shared" si="11"/>
        <v>0</v>
      </c>
      <c r="L72" s="83">
        <f t="shared" si="11"/>
        <v>0</v>
      </c>
      <c r="M72" s="83">
        <f xml:space="preserve">K82/1000</f>
        <v>27000</v>
      </c>
      <c r="N72" s="83">
        <f t="shared" si="12"/>
        <v>0</v>
      </c>
      <c r="O72" s="83">
        <f t="shared" si="12"/>
        <v>0</v>
      </c>
      <c r="P72" s="83">
        <f t="shared" si="12"/>
        <v>0</v>
      </c>
      <c r="Q72" s="83">
        <f t="shared" si="12"/>
        <v>0</v>
      </c>
      <c r="R72" s="83">
        <f t="shared" si="12"/>
        <v>0</v>
      </c>
      <c r="S72" s="83">
        <f t="shared" si="12"/>
        <v>0</v>
      </c>
      <c r="T72" s="83">
        <f t="shared" si="12"/>
        <v>0</v>
      </c>
      <c r="U72" s="83">
        <f t="shared" si="12"/>
        <v>0</v>
      </c>
      <c r="V72" s="83">
        <f t="shared" si="12"/>
        <v>0</v>
      </c>
      <c r="W72" s="83">
        <f t="shared" si="12"/>
        <v>0</v>
      </c>
      <c r="X72" s="83">
        <f t="shared" si="12"/>
        <v>0</v>
      </c>
      <c r="Y72" s="83">
        <f t="shared" si="12"/>
        <v>324000</v>
      </c>
      <c r="Z72" s="83">
        <f t="shared" si="12"/>
        <v>0</v>
      </c>
      <c r="AA72" s="83">
        <f xml:space="preserve">Y82/1000</f>
        <v>51600</v>
      </c>
      <c r="AB72" s="83">
        <f t="shared" si="10"/>
        <v>0</v>
      </c>
      <c r="AC72" s="83">
        <f t="shared" si="10"/>
        <v>30000</v>
      </c>
      <c r="AD72" s="83">
        <f t="shared" si="10"/>
        <v>244000</v>
      </c>
      <c r="AE72" s="83">
        <f t="shared" si="10"/>
        <v>62000</v>
      </c>
      <c r="AF72" s="83">
        <f t="shared" si="10"/>
        <v>0</v>
      </c>
      <c r="AG72" s="83">
        <f t="shared" si="10"/>
        <v>0</v>
      </c>
      <c r="AH72" s="83">
        <f t="shared" si="10"/>
        <v>0</v>
      </c>
      <c r="AI72" s="83">
        <f t="shared" si="10"/>
        <v>0</v>
      </c>
      <c r="AJ72" s="83">
        <f t="shared" si="10"/>
        <v>0</v>
      </c>
      <c r="AK72" s="83">
        <f t="shared" si="10"/>
        <v>0</v>
      </c>
      <c r="AL72" s="83">
        <f t="shared" si="10"/>
        <v>0</v>
      </c>
      <c r="AM72" s="83">
        <f t="shared" si="10"/>
        <v>0</v>
      </c>
      <c r="AN72">
        <v>0</v>
      </c>
      <c r="AO72" s="83" t="str">
        <f t="shared" si="6"/>
        <v>m_copper</v>
      </c>
      <c r="CQ72" s="97"/>
      <c r="CR72" s="97"/>
      <c r="CT72" s="97"/>
      <c r="CU72" s="97"/>
      <c r="CW72" s="101" t="s">
        <v>247</v>
      </c>
      <c r="CX72" s="14" t="s">
        <v>248</v>
      </c>
      <c r="CY72" s="96" t="str">
        <f t="shared" si="7"/>
        <v>MINBatMaterials_COP</v>
      </c>
      <c r="CZ72" s="96" t="s">
        <v>261</v>
      </c>
      <c r="DA72" s="98">
        <v>0</v>
      </c>
      <c r="DB72" s="98">
        <v>1</v>
      </c>
    </row>
    <row r="73" s="82" customFormat="1" ht="16" spans="1:106">
      <c r="A73" s="83" t="s">
        <v>246</v>
      </c>
      <c r="B73" s="99" t="s">
        <v>247</v>
      </c>
      <c r="C73" s="86" t="s">
        <v>248</v>
      </c>
      <c r="D73" s="18" t="s">
        <v>262</v>
      </c>
      <c r="E73" s="94" t="s">
        <v>263</v>
      </c>
      <c r="F73" s="83">
        <f t="shared" si="11"/>
        <v>0</v>
      </c>
      <c r="G73" s="83">
        <f t="shared" si="11"/>
        <v>69000</v>
      </c>
      <c r="H73" s="83">
        <f t="shared" si="11"/>
        <v>0</v>
      </c>
      <c r="I73" s="83">
        <f t="shared" si="11"/>
        <v>0</v>
      </c>
      <c r="J73" s="83">
        <f t="shared" si="11"/>
        <v>0</v>
      </c>
      <c r="K73" s="83">
        <f t="shared" si="11"/>
        <v>0</v>
      </c>
      <c r="L73" s="83">
        <f t="shared" si="11"/>
        <v>74000</v>
      </c>
      <c r="M73" s="83">
        <f xml:space="preserve">K83/1000</f>
        <v>52000</v>
      </c>
      <c r="N73" s="83">
        <f t="shared" si="12"/>
        <v>0</v>
      </c>
      <c r="O73" s="83">
        <f t="shared" si="12"/>
        <v>0</v>
      </c>
      <c r="P73" s="83">
        <f t="shared" si="12"/>
        <v>0</v>
      </c>
      <c r="Q73" s="83">
        <f t="shared" si="12"/>
        <v>0</v>
      </c>
      <c r="R73" s="83">
        <f t="shared" si="12"/>
        <v>0</v>
      </c>
      <c r="S73" s="83">
        <f t="shared" si="12"/>
        <v>0</v>
      </c>
      <c r="T73" s="83">
        <f t="shared" si="12"/>
        <v>0</v>
      </c>
      <c r="U73" s="83">
        <f t="shared" si="12"/>
        <v>8000</v>
      </c>
      <c r="V73" s="83">
        <f t="shared" si="12"/>
        <v>0</v>
      </c>
      <c r="W73" s="83">
        <f t="shared" si="12"/>
        <v>0</v>
      </c>
      <c r="X73" s="83">
        <f t="shared" si="12"/>
        <v>0</v>
      </c>
      <c r="Y73" s="83">
        <f t="shared" si="12"/>
        <v>77100</v>
      </c>
      <c r="Z73" s="83">
        <f t="shared" si="12"/>
        <v>90000</v>
      </c>
      <c r="AA73" s="83">
        <f xml:space="preserve">Y83/1000</f>
        <v>5700</v>
      </c>
      <c r="AB73" s="83">
        <f t="shared" si="10"/>
        <v>600</v>
      </c>
      <c r="AC73" s="83">
        <f t="shared" si="10"/>
        <v>0</v>
      </c>
      <c r="AD73" s="83">
        <f t="shared" si="10"/>
        <v>12900</v>
      </c>
      <c r="AE73" s="83">
        <f t="shared" si="10"/>
        <v>14000</v>
      </c>
      <c r="AF73" s="83">
        <f t="shared" si="10"/>
        <v>0</v>
      </c>
      <c r="AG73" s="83">
        <f t="shared" si="10"/>
        <v>0</v>
      </c>
      <c r="AH73" s="83">
        <f t="shared" si="10"/>
        <v>0</v>
      </c>
      <c r="AI73" s="83">
        <f t="shared" si="10"/>
        <v>0</v>
      </c>
      <c r="AJ73" s="83">
        <f t="shared" si="10"/>
        <v>0</v>
      </c>
      <c r="AK73" s="83">
        <f t="shared" si="10"/>
        <v>90000</v>
      </c>
      <c r="AL73" s="83">
        <f t="shared" si="10"/>
        <v>0</v>
      </c>
      <c r="AM73" s="83">
        <f t="shared" si="10"/>
        <v>0</v>
      </c>
      <c r="AN73">
        <v>0</v>
      </c>
      <c r="AO73" s="83" t="str">
        <f t="shared" si="6"/>
        <v>m_graphite</v>
      </c>
      <c r="AY73" s="83"/>
      <c r="BB73" s="83"/>
      <c r="CQ73" s="95"/>
      <c r="CR73" s="97"/>
      <c r="CT73" s="95"/>
      <c r="CU73" s="95"/>
      <c r="CW73" s="101" t="s">
        <v>247</v>
      </c>
      <c r="CX73" s="14" t="s">
        <v>248</v>
      </c>
      <c r="CY73" s="96" t="str">
        <f t="shared" si="7"/>
        <v>MINBatMaterials_GR</v>
      </c>
      <c r="CZ73" s="96" t="s">
        <v>263</v>
      </c>
      <c r="DA73" s="98">
        <v>0</v>
      </c>
      <c r="DB73" s="98">
        <v>1</v>
      </c>
    </row>
    <row r="74" s="2" customFormat="1"/>
    <row r="75" s="2" customFormat="1" spans="1:106">
      <c r="E75" s="2" t="s">
        <v>264</v>
      </c>
    </row>
    <row r="76" s="2" customFormat="1"/>
    <row r="77" s="2" customFormat="1" spans="1:106">
      <c r="B77" t="s">
        <v>265</v>
      </c>
      <c r="D77" s="116">
        <v>0</v>
      </c>
      <c r="E77" s="116">
        <v>310000</v>
      </c>
      <c r="F77" s="116">
        <v>6200000</v>
      </c>
      <c r="G77" s="116">
        <v>0</v>
      </c>
      <c r="H77" s="116"/>
      <c r="I77" s="116"/>
      <c r="J77" s="116">
        <v>250000</v>
      </c>
      <c r="K77" s="116">
        <v>2000000</v>
      </c>
      <c r="L77" s="116"/>
      <c r="M77" s="116">
        <v>0</v>
      </c>
      <c r="N77" s="116">
        <v>0</v>
      </c>
      <c r="O77" s="116">
        <v>0</v>
      </c>
      <c r="P77" s="116">
        <v>0</v>
      </c>
      <c r="Q77" s="116"/>
      <c r="R77" s="116"/>
      <c r="S77" s="116">
        <v>0</v>
      </c>
      <c r="T77" s="116"/>
      <c r="U77" s="116"/>
      <c r="V77" s="116">
        <v>0</v>
      </c>
      <c r="W77" s="116">
        <v>12250000</v>
      </c>
      <c r="X77" s="116">
        <v>0</v>
      </c>
      <c r="Y77" s="116">
        <v>1930000</v>
      </c>
      <c r="Z77" s="116">
        <v>0</v>
      </c>
      <c r="AA77" s="116">
        <v>0</v>
      </c>
      <c r="AB77" s="116">
        <v>3300000</v>
      </c>
      <c r="AC77" s="116">
        <v>0</v>
      </c>
      <c r="AD77" s="116">
        <v>0</v>
      </c>
      <c r="AE77" s="116">
        <v>0</v>
      </c>
      <c r="AF77" s="116">
        <v>60000</v>
      </c>
      <c r="AG77" s="116">
        <v>0</v>
      </c>
      <c r="AH77" s="116"/>
      <c r="AI77" s="116">
        <v>0</v>
      </c>
      <c r="AJ77" s="116">
        <v>0</v>
      </c>
      <c r="AK77" s="116">
        <v>0</v>
      </c>
    </row>
    <row r="78" s="2" customFormat="1" spans="1:106">
      <c r="D78" s="116">
        <v>0</v>
      </c>
      <c r="E78" s="116">
        <v>0</v>
      </c>
      <c r="F78" s="116">
        <v>21000000</v>
      </c>
      <c r="G78" s="116">
        <v>0</v>
      </c>
      <c r="H78" s="116"/>
      <c r="I78" s="116"/>
      <c r="J78" s="116">
        <v>16000000</v>
      </c>
      <c r="K78" s="116">
        <v>2100000</v>
      </c>
      <c r="L78" s="116"/>
      <c r="M78" s="116">
        <v>0</v>
      </c>
      <c r="N78" s="116">
        <v>0</v>
      </c>
      <c r="O78" s="116">
        <v>0</v>
      </c>
      <c r="P78" s="116">
        <v>0</v>
      </c>
      <c r="Q78" s="116"/>
      <c r="R78" s="116"/>
      <c r="S78" s="116">
        <v>0</v>
      </c>
      <c r="T78" s="116"/>
      <c r="U78" s="116"/>
      <c r="V78" s="116">
        <v>0</v>
      </c>
      <c r="W78" s="116">
        <v>16000000</v>
      </c>
      <c r="X78" s="116">
        <v>0</v>
      </c>
      <c r="Y78" s="116">
        <v>2570000</v>
      </c>
      <c r="Z78" s="116">
        <v>0</v>
      </c>
      <c r="AA78" s="116">
        <v>0</v>
      </c>
      <c r="AB78" s="116">
        <v>52900000</v>
      </c>
      <c r="AC78" s="116">
        <v>7500000</v>
      </c>
      <c r="AD78" s="116">
        <v>0</v>
      </c>
      <c r="AE78" s="116">
        <v>0</v>
      </c>
      <c r="AF78" s="116">
        <v>0</v>
      </c>
      <c r="AG78" s="116">
        <v>0</v>
      </c>
      <c r="AH78" s="116"/>
      <c r="AI78" s="116">
        <v>0</v>
      </c>
      <c r="AJ78" s="116">
        <v>0</v>
      </c>
      <c r="AK78" s="116">
        <v>0</v>
      </c>
    </row>
    <row r="79" s="2" customFormat="1" spans="1:106">
      <c r="D79" s="116">
        <v>13000</v>
      </c>
      <c r="E79" s="116">
        <v>4100000</v>
      </c>
      <c r="F79" s="116">
        <v>1500000</v>
      </c>
      <c r="G79" s="116">
        <v>0</v>
      </c>
      <c r="H79" s="116"/>
      <c r="I79" s="116"/>
      <c r="J79" s="116">
        <v>0</v>
      </c>
      <c r="K79" s="116">
        <v>140000</v>
      </c>
      <c r="L79" s="116"/>
      <c r="M79" s="116">
        <v>0</v>
      </c>
      <c r="N79" s="116">
        <v>0</v>
      </c>
      <c r="O79" s="116">
        <v>0</v>
      </c>
      <c r="P79" s="116">
        <v>0</v>
      </c>
      <c r="Q79" s="116"/>
      <c r="R79" s="116"/>
      <c r="S79" s="116">
        <v>0</v>
      </c>
      <c r="T79" s="116"/>
      <c r="U79" s="116"/>
      <c r="V79" s="116">
        <v>0</v>
      </c>
      <c r="W79" s="116">
        <v>500000</v>
      </c>
      <c r="X79" s="116">
        <v>36000</v>
      </c>
      <c r="Y79" s="116">
        <v>289000</v>
      </c>
      <c r="Z79" s="116">
        <v>0</v>
      </c>
      <c r="AA79" s="116">
        <v>0</v>
      </c>
      <c r="AB79" s="116">
        <v>1517000</v>
      </c>
      <c r="AC79" s="116">
        <v>250000</v>
      </c>
      <c r="AD79" s="116">
        <v>0</v>
      </c>
      <c r="AE79" s="116">
        <v>0</v>
      </c>
      <c r="AF79" s="116">
        <v>0</v>
      </c>
      <c r="AG79" s="116">
        <v>0</v>
      </c>
      <c r="AH79" s="116"/>
      <c r="AI79" s="116">
        <v>36000</v>
      </c>
      <c r="AJ79" s="116">
        <v>0</v>
      </c>
      <c r="AK79" s="116">
        <v>0</v>
      </c>
    </row>
    <row r="80" s="2" customFormat="1" spans="1:106">
      <c r="D80" s="116">
        <v>0</v>
      </c>
      <c r="E80" s="116">
        <v>74000000</v>
      </c>
      <c r="F80" s="116">
        <v>270000000</v>
      </c>
      <c r="G80" s="116">
        <v>0</v>
      </c>
      <c r="H80" s="116"/>
      <c r="I80" s="116"/>
      <c r="J80" s="116">
        <v>270000000</v>
      </c>
      <c r="K80" s="116">
        <v>280000000</v>
      </c>
      <c r="L80" s="116"/>
      <c r="M80" s="116">
        <v>0</v>
      </c>
      <c r="N80" s="116">
        <v>0</v>
      </c>
      <c r="O80" s="116">
        <v>0</v>
      </c>
      <c r="P80" s="116">
        <v>0</v>
      </c>
      <c r="Q80" s="116"/>
      <c r="R80" s="116"/>
      <c r="S80" s="116">
        <v>34000000</v>
      </c>
      <c r="T80" s="116"/>
      <c r="U80" s="116"/>
      <c r="V80" s="116">
        <v>0</v>
      </c>
      <c r="W80" s="116">
        <v>275000000</v>
      </c>
      <c r="X80" s="116">
        <v>0</v>
      </c>
      <c r="Y80" s="116">
        <v>0</v>
      </c>
      <c r="Z80" s="116">
        <v>0</v>
      </c>
      <c r="AA80" s="116">
        <v>0</v>
      </c>
      <c r="AB80" s="116">
        <v>5000000</v>
      </c>
      <c r="AC80" s="116">
        <v>0</v>
      </c>
      <c r="AD80" s="116">
        <v>0</v>
      </c>
      <c r="AE80" s="116">
        <v>640000000</v>
      </c>
      <c r="AF80" s="116">
        <v>0</v>
      </c>
      <c r="AG80" s="116">
        <v>0</v>
      </c>
      <c r="AH80" s="116"/>
      <c r="AI80" s="116">
        <v>0</v>
      </c>
      <c r="AJ80" s="116">
        <v>0</v>
      </c>
      <c r="AK80" s="116">
        <v>140000000</v>
      </c>
    </row>
    <row r="81" s="2" customFormat="1" spans="1:104">
      <c r="D81" s="116"/>
      <c r="E81" s="116"/>
      <c r="F81" s="116"/>
      <c r="G81" s="116"/>
      <c r="H81" s="116"/>
      <c r="I81" s="116"/>
      <c r="J81" s="116"/>
      <c r="K81" s="116"/>
      <c r="L81" s="116"/>
      <c r="M81" s="116"/>
      <c r="N81" s="116"/>
      <c r="O81" s="116"/>
      <c r="P81" s="116"/>
      <c r="Q81" s="116"/>
      <c r="R81" s="116"/>
      <c r="S81" s="116"/>
      <c r="T81" s="116"/>
      <c r="U81" s="116"/>
      <c r="V81" s="116"/>
      <c r="W81" s="116"/>
      <c r="X81" s="116"/>
      <c r="Y81" s="116">
        <v>0</v>
      </c>
      <c r="Z81" s="116"/>
      <c r="AA81" s="116"/>
      <c r="AB81" s="116"/>
      <c r="AC81" s="116"/>
      <c r="AD81" s="116"/>
      <c r="AE81" s="116"/>
      <c r="AF81" s="116"/>
      <c r="AG81" s="116"/>
      <c r="AH81" s="116"/>
      <c r="AI81" s="116"/>
      <c r="AJ81" s="116"/>
      <c r="AK81" s="116"/>
    </row>
    <row r="82" s="2" customFormat="1" spans="1:104">
      <c r="D82" s="116">
        <v>0</v>
      </c>
      <c r="E82" s="116">
        <v>50000000</v>
      </c>
      <c r="F82" s="116">
        <v>97000000</v>
      </c>
      <c r="G82" s="116">
        <v>0</v>
      </c>
      <c r="H82" s="116"/>
      <c r="I82" s="116"/>
      <c r="J82" s="116">
        <v>0</v>
      </c>
      <c r="K82" s="116">
        <v>27000000</v>
      </c>
      <c r="L82" s="116"/>
      <c r="M82" s="116">
        <v>0</v>
      </c>
      <c r="N82" s="116">
        <v>0</v>
      </c>
      <c r="O82" s="116">
        <v>0</v>
      </c>
      <c r="P82" s="116">
        <v>0</v>
      </c>
      <c r="Q82" s="116"/>
      <c r="R82" s="116"/>
      <c r="S82" s="116">
        <v>0</v>
      </c>
      <c r="T82" s="116"/>
      <c r="U82" s="116"/>
      <c r="V82" s="116">
        <v>0</v>
      </c>
      <c r="W82" s="116">
        <v>324000000</v>
      </c>
      <c r="X82" s="116">
        <v>0</v>
      </c>
      <c r="Y82" s="116">
        <v>51600000</v>
      </c>
      <c r="Z82" s="116">
        <v>0</v>
      </c>
      <c r="AA82" s="116">
        <v>30000000</v>
      </c>
      <c r="AB82" s="116">
        <v>244000000</v>
      </c>
      <c r="AC82" s="116">
        <v>62000000</v>
      </c>
      <c r="AD82" s="116">
        <v>0</v>
      </c>
      <c r="AE82" s="116">
        <v>0</v>
      </c>
      <c r="AF82" s="116">
        <v>0</v>
      </c>
      <c r="AG82" s="116">
        <v>0</v>
      </c>
      <c r="AH82" s="116"/>
      <c r="AI82" s="116">
        <v>0</v>
      </c>
      <c r="AJ82" s="116">
        <v>0</v>
      </c>
      <c r="AK82" s="116">
        <v>0</v>
      </c>
    </row>
    <row r="83" s="2" customFormat="1" spans="1:104">
      <c r="D83" s="116">
        <v>0</v>
      </c>
      <c r="E83" s="116">
        <v>69000000</v>
      </c>
      <c r="F83" s="116">
        <v>0</v>
      </c>
      <c r="G83" s="116">
        <v>0</v>
      </c>
      <c r="H83" s="116"/>
      <c r="I83" s="116"/>
      <c r="J83" s="116">
        <v>74000000</v>
      </c>
      <c r="K83" s="116">
        <v>52000000</v>
      </c>
      <c r="L83" s="116"/>
      <c r="M83" s="116">
        <v>0</v>
      </c>
      <c r="N83" s="116">
        <v>0</v>
      </c>
      <c r="O83" s="116">
        <v>0</v>
      </c>
      <c r="P83" s="116">
        <v>0</v>
      </c>
      <c r="Q83" s="116"/>
      <c r="R83" s="116"/>
      <c r="S83" s="116">
        <v>8000000</v>
      </c>
      <c r="T83" s="116"/>
      <c r="U83" s="116"/>
      <c r="V83" s="116">
        <v>0</v>
      </c>
      <c r="W83" s="116">
        <v>77100000</v>
      </c>
      <c r="X83" s="116">
        <v>90000000</v>
      </c>
      <c r="Y83" s="116">
        <v>5700000</v>
      </c>
      <c r="Z83" s="116">
        <v>600000</v>
      </c>
      <c r="AA83" s="116">
        <v>0</v>
      </c>
      <c r="AB83" s="116">
        <v>12900000</v>
      </c>
      <c r="AC83" s="116">
        <v>14000000</v>
      </c>
      <c r="AD83" s="116">
        <v>0</v>
      </c>
      <c r="AE83" s="116">
        <v>0</v>
      </c>
      <c r="AF83" s="116">
        <v>0</v>
      </c>
      <c r="AG83" s="116">
        <v>0</v>
      </c>
      <c r="AH83" s="116"/>
      <c r="AI83" s="116">
        <v>90000000</v>
      </c>
      <c r="AJ83" s="116">
        <v>0</v>
      </c>
      <c r="AK83" s="116">
        <v>0</v>
      </c>
    </row>
    <row r="84" s="2" customFormat="1"/>
    <row r="85" spans="1:104">
      <c r="A85" s="14"/>
      <c r="B85" s="14" t="s">
        <v>191</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W85" t="s">
        <v>266</v>
      </c>
    </row>
    <row r="86" spans="1:104">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spans="1:104">
      <c r="A87" s="14" t="s">
        <v>41</v>
      </c>
      <c r="B87" s="14" t="s">
        <v>193</v>
      </c>
      <c r="C87" s="14" t="s">
        <v>197</v>
      </c>
      <c r="D87" s="14" t="s">
        <v>66</v>
      </c>
      <c r="E87" s="14" t="s">
        <v>172</v>
      </c>
      <c r="F87" s="14" t="s">
        <v>3</v>
      </c>
      <c r="G87" s="14" t="s">
        <v>5</v>
      </c>
      <c r="H87" s="14" t="s">
        <v>6</v>
      </c>
      <c r="I87" s="14" t="s">
        <v>7</v>
      </c>
      <c r="J87" s="14" t="s">
        <v>8</v>
      </c>
      <c r="K87" s="14" t="s">
        <v>9</v>
      </c>
      <c r="L87" s="14" t="s">
        <v>10</v>
      </c>
      <c r="M87" s="14" t="s">
        <v>11</v>
      </c>
      <c r="N87" s="14" t="s">
        <v>12</v>
      </c>
      <c r="O87" s="14" t="s">
        <v>13</v>
      </c>
      <c r="P87" s="14" t="s">
        <v>14</v>
      </c>
      <c r="Q87" s="14" t="s">
        <v>15</v>
      </c>
      <c r="R87" s="14" t="s">
        <v>16</v>
      </c>
      <c r="S87" s="14" t="s">
        <v>17</v>
      </c>
      <c r="T87" s="14" t="s">
        <v>18</v>
      </c>
      <c r="U87" s="14" t="s">
        <v>19</v>
      </c>
      <c r="V87" s="14" t="s">
        <v>20</v>
      </c>
      <c r="W87" s="14" t="s">
        <v>21</v>
      </c>
      <c r="X87" s="14" t="s">
        <v>22</v>
      </c>
      <c r="Y87" s="14" t="s">
        <v>23</v>
      </c>
      <c r="Z87" s="14" t="s">
        <v>24</v>
      </c>
      <c r="AA87" s="14" t="s">
        <v>25</v>
      </c>
      <c r="AB87" s="14" t="s">
        <v>26</v>
      </c>
      <c r="AC87" s="14" t="s">
        <v>27</v>
      </c>
      <c r="AD87" s="14" t="s">
        <v>28</v>
      </c>
      <c r="AE87" s="14" t="s">
        <v>29</v>
      </c>
      <c r="AF87" s="14" t="s">
        <v>30</v>
      </c>
      <c r="AG87" s="14" t="s">
        <v>31</v>
      </c>
      <c r="AH87" s="14" t="s">
        <v>32</v>
      </c>
      <c r="AI87" s="14" t="s">
        <v>33</v>
      </c>
      <c r="AJ87" s="14" t="s">
        <v>34</v>
      </c>
      <c r="AK87" s="14" t="s">
        <v>35</v>
      </c>
      <c r="AL87" s="14" t="s">
        <v>36</v>
      </c>
      <c r="AM87" s="14" t="s">
        <v>37</v>
      </c>
      <c r="AN87" s="14" t="s">
        <v>38</v>
      </c>
      <c r="AO87" s="14" t="s">
        <v>245</v>
      </c>
      <c r="AW87" s="117" t="s">
        <v>1</v>
      </c>
      <c r="AX87" s="118" t="s">
        <v>267</v>
      </c>
      <c r="AY87" s="118" t="s">
        <v>268</v>
      </c>
      <c r="AZ87" s="118" t="s">
        <v>269</v>
      </c>
      <c r="BA87" s="118" t="s">
        <v>270</v>
      </c>
      <c r="BB87" s="118" t="s">
        <v>271</v>
      </c>
      <c r="BC87" s="118" t="s">
        <v>272</v>
      </c>
      <c r="BD87" s="118" t="s">
        <v>273</v>
      </c>
      <c r="BH87" s="119" t="s">
        <v>1</v>
      </c>
      <c r="BI87" s="120" t="s">
        <v>274</v>
      </c>
      <c r="BJ87" s="120" t="s">
        <v>275</v>
      </c>
      <c r="BK87" s="120" t="s">
        <v>276</v>
      </c>
      <c r="BL87" s="120" t="s">
        <v>277</v>
      </c>
      <c r="BM87" s="120" t="s">
        <v>278</v>
      </c>
      <c r="BN87" s="120" t="s">
        <v>279</v>
      </c>
      <c r="BO87" s="120" t="s">
        <v>280</v>
      </c>
      <c r="BQ87" s="119" t="s">
        <v>1</v>
      </c>
      <c r="BR87" s="121" t="s">
        <v>3</v>
      </c>
      <c r="BS87" s="121" t="s">
        <v>5</v>
      </c>
      <c r="BT87" s="121" t="s">
        <v>6</v>
      </c>
      <c r="BU87" s="121" t="s">
        <v>7</v>
      </c>
      <c r="BV87" s="121" t="s">
        <v>8</v>
      </c>
      <c r="BW87" s="121" t="s">
        <v>9</v>
      </c>
      <c r="BX87" s="121" t="s">
        <v>10</v>
      </c>
      <c r="BY87" s="121" t="s">
        <v>11</v>
      </c>
      <c r="BZ87" s="121" t="s">
        <v>12</v>
      </c>
      <c r="CA87" s="121" t="s">
        <v>13</v>
      </c>
      <c r="CB87" s="121" t="s">
        <v>14</v>
      </c>
      <c r="CC87" s="121" t="s">
        <v>15</v>
      </c>
      <c r="CD87" s="121" t="s">
        <v>16</v>
      </c>
      <c r="CE87" s="121" t="s">
        <v>17</v>
      </c>
      <c r="CF87" s="121" t="s">
        <v>18</v>
      </c>
      <c r="CG87" s="121" t="s">
        <v>19</v>
      </c>
      <c r="CH87" s="121" t="s">
        <v>20</v>
      </c>
      <c r="CI87" s="121" t="s">
        <v>21</v>
      </c>
      <c r="CJ87" s="121" t="s">
        <v>22</v>
      </c>
      <c r="CK87" s="121" t="s">
        <v>23</v>
      </c>
      <c r="CL87" s="121" t="s">
        <v>24</v>
      </c>
      <c r="CM87" s="121" t="s">
        <v>25</v>
      </c>
      <c r="CN87" s="121" t="s">
        <v>26</v>
      </c>
      <c r="CO87" s="121" t="s">
        <v>27</v>
      </c>
      <c r="CP87" s="121" t="s">
        <v>28</v>
      </c>
      <c r="CQ87" s="121" t="s">
        <v>29</v>
      </c>
      <c r="CR87" s="121" t="s">
        <v>30</v>
      </c>
      <c r="CS87" s="121" t="s">
        <v>31</v>
      </c>
      <c r="CT87" s="121" t="s">
        <v>32</v>
      </c>
      <c r="CU87" s="121" t="s">
        <v>33</v>
      </c>
      <c r="CV87" s="121" t="s">
        <v>34</v>
      </c>
      <c r="CW87" s="121" t="s">
        <v>35</v>
      </c>
      <c r="CX87" s="121" t="s">
        <v>36</v>
      </c>
      <c r="CY87" s="121" t="s">
        <v>37</v>
      </c>
      <c r="CZ87" s="117" t="s">
        <v>281</v>
      </c>
    </row>
    <row r="88" spans="1:104">
      <c r="A88" s="14">
        <v>2019</v>
      </c>
      <c r="B88" s="14" t="s">
        <v>247</v>
      </c>
      <c r="C88" s="14" t="s">
        <v>248</v>
      </c>
      <c r="D88" s="14" t="s">
        <v>249</v>
      </c>
      <c r="E88" s="14" t="s">
        <v>250</v>
      </c>
      <c r="F88" s="14">
        <f t="shared" ref="F88:AM88" si="13" xml:space="preserve">BR88*1</f>
        <v>0</v>
      </c>
      <c r="G88" s="14">
        <f t="shared" si="13"/>
        <v>24.7</v>
      </c>
      <c r="H88" s="14">
        <f t="shared" si="13"/>
        <v>88</v>
      </c>
      <c r="I88" s="14">
        <f t="shared" si="13"/>
        <v>0</v>
      </c>
      <c r="J88" s="14">
        <f t="shared" si="13"/>
        <v>0</v>
      </c>
      <c r="K88" s="14">
        <f t="shared" si="13"/>
        <v>0</v>
      </c>
      <c r="L88" s="14">
        <f t="shared" si="13"/>
        <v>10</v>
      </c>
      <c r="M88" s="14">
        <f t="shared" si="13"/>
        <v>41</v>
      </c>
      <c r="N88" s="14">
        <f t="shared" si="13"/>
        <v>0</v>
      </c>
      <c r="O88" s="14">
        <f t="shared" si="13"/>
        <v>0</v>
      </c>
      <c r="P88" s="14">
        <f t="shared" si="13"/>
        <v>0</v>
      </c>
      <c r="Q88" s="14">
        <f t="shared" si="13"/>
        <v>0</v>
      </c>
      <c r="R88" s="14">
        <f t="shared" si="13"/>
        <v>0</v>
      </c>
      <c r="S88" s="14">
        <f t="shared" si="13"/>
        <v>0</v>
      </c>
      <c r="T88" s="14">
        <f t="shared" si="13"/>
        <v>0</v>
      </c>
      <c r="U88" s="14">
        <f t="shared" si="13"/>
        <v>0</v>
      </c>
      <c r="V88" s="14">
        <f t="shared" si="13"/>
        <v>0</v>
      </c>
      <c r="W88" s="14">
        <f t="shared" si="13"/>
        <v>0</v>
      </c>
      <c r="X88" s="14">
        <f t="shared" si="13"/>
        <v>0</v>
      </c>
      <c r="Y88" s="14">
        <f t="shared" si="13"/>
        <v>67</v>
      </c>
      <c r="Z88" s="14">
        <f t="shared" si="13"/>
        <v>0</v>
      </c>
      <c r="AA88" s="14">
        <f t="shared" si="13"/>
        <v>4.3</v>
      </c>
      <c r="AB88" s="14">
        <f t="shared" si="13"/>
        <v>0</v>
      </c>
      <c r="AC88" s="14">
        <f t="shared" si="13"/>
        <v>0</v>
      </c>
      <c r="AD88" s="14">
        <f t="shared" si="13"/>
        <v>4.6</v>
      </c>
      <c r="AE88" s="14">
        <f t="shared" si="13"/>
        <v>0</v>
      </c>
      <c r="AF88" s="14">
        <f t="shared" si="13"/>
        <v>0</v>
      </c>
      <c r="AG88" s="14">
        <f t="shared" si="13"/>
        <v>0</v>
      </c>
      <c r="AH88" s="14">
        <f t="shared" si="13"/>
        <v>0.4</v>
      </c>
      <c r="AI88" s="14">
        <f t="shared" si="13"/>
        <v>0</v>
      </c>
      <c r="AJ88" s="14">
        <f t="shared" si="13"/>
        <v>0</v>
      </c>
      <c r="AK88" s="14">
        <f t="shared" si="13"/>
        <v>0</v>
      </c>
      <c r="AL88" s="14">
        <f t="shared" si="13"/>
        <v>0</v>
      </c>
      <c r="AM88" s="14">
        <f t="shared" si="13"/>
        <v>0</v>
      </c>
      <c r="AN88" s="14">
        <v>0</v>
      </c>
      <c r="AO88" s="14" t="s">
        <v>250</v>
      </c>
      <c r="AW88" s="122" t="s">
        <v>282</v>
      </c>
      <c r="AX88" s="123" t="s">
        <v>283</v>
      </c>
      <c r="AY88" s="123" t="s">
        <v>283</v>
      </c>
      <c r="AZ88" s="123" t="s">
        <v>283</v>
      </c>
      <c r="BA88" s="123" t="s">
        <v>283</v>
      </c>
      <c r="BB88" s="123" t="s">
        <v>283</v>
      </c>
      <c r="BC88" s="123" t="s">
        <v>283</v>
      </c>
      <c r="BD88" s="123" t="s">
        <v>283</v>
      </c>
      <c r="BH88" s="121" t="s">
        <v>3</v>
      </c>
      <c r="BI88" s="124">
        <v>0</v>
      </c>
      <c r="BJ88" s="124">
        <v>0</v>
      </c>
      <c r="BK88" s="124">
        <v>0</v>
      </c>
      <c r="BL88" s="124">
        <v>0</v>
      </c>
      <c r="BM88" s="125">
        <f xml:space="preserve">Attached_sourcedAlumina_and!P12</f>
        <v>0</v>
      </c>
      <c r="BN88" s="124">
        <v>0</v>
      </c>
      <c r="BO88" s="124">
        <v>0</v>
      </c>
      <c r="BQ88" s="120" t="s">
        <v>274</v>
      </c>
      <c r="BR88" s="126">
        <v>0</v>
      </c>
      <c r="BS88" s="126">
        <v>24.7</v>
      </c>
      <c r="BT88" s="126">
        <v>88</v>
      </c>
      <c r="BU88" s="126">
        <v>0</v>
      </c>
      <c r="BV88" s="126">
        <v>0</v>
      </c>
      <c r="BW88" s="126">
        <v>0</v>
      </c>
      <c r="BX88" s="126">
        <v>10</v>
      </c>
      <c r="BY88" s="126">
        <v>41</v>
      </c>
      <c r="BZ88" s="126">
        <v>0</v>
      </c>
      <c r="CA88" s="126">
        <v>0</v>
      </c>
      <c r="CB88" s="126">
        <v>0</v>
      </c>
      <c r="CC88" s="126">
        <v>0</v>
      </c>
      <c r="CD88" s="126">
        <v>0</v>
      </c>
      <c r="CE88" s="126">
        <v>0</v>
      </c>
      <c r="CF88" s="126">
        <v>0</v>
      </c>
      <c r="CG88" s="126">
        <v>0</v>
      </c>
      <c r="CH88" s="126">
        <v>0</v>
      </c>
      <c r="CI88" s="126">
        <v>0</v>
      </c>
      <c r="CJ88" s="126">
        <v>0</v>
      </c>
      <c r="CK88" s="126">
        <v>67</v>
      </c>
      <c r="CL88" s="126">
        <v>0</v>
      </c>
      <c r="CM88" s="126">
        <v>4.3</v>
      </c>
      <c r="CN88" s="126">
        <v>0</v>
      </c>
      <c r="CO88" s="126">
        <v>0</v>
      </c>
      <c r="CP88" s="126">
        <v>4.6</v>
      </c>
      <c r="CQ88" s="126">
        <v>0</v>
      </c>
      <c r="CR88" s="126">
        <v>0</v>
      </c>
      <c r="CS88" s="126">
        <v>0</v>
      </c>
      <c r="CT88" s="126">
        <v>0.4</v>
      </c>
      <c r="CU88" s="126">
        <v>0</v>
      </c>
      <c r="CV88" s="126">
        <v>0</v>
      </c>
      <c r="CW88" s="126">
        <v>0</v>
      </c>
      <c r="CX88" s="126">
        <v>0</v>
      </c>
      <c r="CY88" s="126">
        <v>0</v>
      </c>
      <c r="CZ88" s="127">
        <v>240</v>
      </c>
    </row>
    <row r="89" spans="1:104">
      <c r="A89" s="14">
        <v>2019</v>
      </c>
      <c r="B89" s="14" t="s">
        <v>247</v>
      </c>
      <c r="C89" s="14" t="s">
        <v>248</v>
      </c>
      <c r="D89" s="14" t="s">
        <v>251</v>
      </c>
      <c r="E89" s="14" t="s">
        <v>252</v>
      </c>
      <c r="F89" s="14">
        <f t="shared" ref="F89:AM89" si="14" xml:space="preserve">BR89*1</f>
        <v>0</v>
      </c>
      <c r="G89" s="14">
        <f t="shared" si="14"/>
        <v>0</v>
      </c>
      <c r="H89" s="14">
        <f t="shared" si="14"/>
        <v>110</v>
      </c>
      <c r="I89" s="14">
        <f t="shared" si="14"/>
        <v>0</v>
      </c>
      <c r="J89" s="14">
        <f t="shared" si="14"/>
        <v>0</v>
      </c>
      <c r="K89" s="14">
        <f t="shared" si="14"/>
        <v>0</v>
      </c>
      <c r="L89" s="14">
        <f t="shared" si="14"/>
        <v>77</v>
      </c>
      <c r="M89" s="14">
        <f t="shared" si="14"/>
        <v>120</v>
      </c>
      <c r="N89" s="14">
        <f t="shared" si="14"/>
        <v>0</v>
      </c>
      <c r="O89" s="14">
        <f t="shared" si="14"/>
        <v>0</v>
      </c>
      <c r="P89" s="14">
        <f t="shared" si="14"/>
        <v>0</v>
      </c>
      <c r="Q89" s="14">
        <f t="shared" si="14"/>
        <v>0</v>
      </c>
      <c r="R89" s="14">
        <f t="shared" si="14"/>
        <v>0</v>
      </c>
      <c r="S89" s="14">
        <f t="shared" si="14"/>
        <v>0</v>
      </c>
      <c r="T89" s="14">
        <f t="shared" si="14"/>
        <v>0</v>
      </c>
      <c r="U89" s="14">
        <f t="shared" si="14"/>
        <v>0</v>
      </c>
      <c r="V89" s="14">
        <f t="shared" si="14"/>
        <v>0</v>
      </c>
      <c r="W89" s="14">
        <f t="shared" si="14"/>
        <v>0</v>
      </c>
      <c r="X89" s="14">
        <f t="shared" si="14"/>
        <v>0</v>
      </c>
      <c r="Y89" s="14">
        <f t="shared" si="14"/>
        <v>0</v>
      </c>
      <c r="Z89" s="14">
        <f t="shared" si="14"/>
        <v>0</v>
      </c>
      <c r="AA89" s="14">
        <f t="shared" si="14"/>
        <v>198</v>
      </c>
      <c r="AB89" s="14">
        <f t="shared" si="14"/>
        <v>0</v>
      </c>
      <c r="AC89" s="14">
        <f t="shared" si="14"/>
        <v>0</v>
      </c>
      <c r="AD89" s="14">
        <f t="shared" si="14"/>
        <v>2985</v>
      </c>
      <c r="AE89" s="14">
        <f t="shared" si="14"/>
        <v>210</v>
      </c>
      <c r="AF89" s="14">
        <f t="shared" si="14"/>
        <v>0</v>
      </c>
      <c r="AG89" s="14">
        <f t="shared" si="14"/>
        <v>0</v>
      </c>
      <c r="AH89" s="14">
        <f t="shared" si="14"/>
        <v>0</v>
      </c>
      <c r="AI89" s="14">
        <f t="shared" si="14"/>
        <v>0</v>
      </c>
      <c r="AJ89" s="14">
        <f t="shared" si="14"/>
        <v>0</v>
      </c>
      <c r="AK89" s="14">
        <f t="shared" si="14"/>
        <v>0</v>
      </c>
      <c r="AL89" s="14">
        <f t="shared" si="14"/>
        <v>0</v>
      </c>
      <c r="AM89" s="14">
        <f t="shared" si="14"/>
        <v>0</v>
      </c>
      <c r="AN89" s="14">
        <v>0</v>
      </c>
      <c r="AO89" s="14" t="s">
        <v>252</v>
      </c>
      <c r="AW89" s="122" t="s">
        <v>284</v>
      </c>
      <c r="AX89" s="128">
        <v>24.7</v>
      </c>
      <c r="AY89" s="128">
        <v>223</v>
      </c>
      <c r="AZ89" s="123" t="s">
        <v>283</v>
      </c>
      <c r="BA89" s="129">
        <v>5780</v>
      </c>
      <c r="BB89" s="129">
        <v>3980</v>
      </c>
      <c r="BC89" s="123" t="s">
        <v>283</v>
      </c>
      <c r="BD89" s="128">
        <v>189</v>
      </c>
      <c r="BH89" s="121" t="s">
        <v>5</v>
      </c>
      <c r="BI89" s="124">
        <v>24.7</v>
      </c>
      <c r="BJ89" s="124">
        <v>0</v>
      </c>
      <c r="BK89" s="124">
        <v>222.6</v>
      </c>
      <c r="BL89" s="130">
        <v>5780</v>
      </c>
      <c r="BM89" s="125">
        <f xml:space="preserve">Attached_sourcedAlumina_and!P13</f>
        <v>159</v>
      </c>
      <c r="BN89" s="130">
        <v>3980</v>
      </c>
      <c r="BO89" s="124">
        <v>189</v>
      </c>
      <c r="BQ89" s="120" t="s">
        <v>275</v>
      </c>
      <c r="BR89" s="126">
        <v>0</v>
      </c>
      <c r="BS89" s="126">
        <v>0</v>
      </c>
      <c r="BT89" s="126">
        <v>110</v>
      </c>
      <c r="BU89" s="126">
        <v>0</v>
      </c>
      <c r="BV89" s="126">
        <v>0</v>
      </c>
      <c r="BW89" s="126">
        <v>0</v>
      </c>
      <c r="BX89" s="126">
        <v>77</v>
      </c>
      <c r="BY89" s="126">
        <v>120</v>
      </c>
      <c r="BZ89" s="126">
        <v>0</v>
      </c>
      <c r="CA89" s="126">
        <v>0</v>
      </c>
      <c r="CB89" s="126">
        <v>0</v>
      </c>
      <c r="CC89" s="126">
        <v>0</v>
      </c>
      <c r="CD89" s="126">
        <v>0</v>
      </c>
      <c r="CE89" s="126">
        <v>0</v>
      </c>
      <c r="CF89" s="126">
        <v>0</v>
      </c>
      <c r="CG89" s="126">
        <v>0</v>
      </c>
      <c r="CH89" s="126">
        <v>0</v>
      </c>
      <c r="CI89" s="126">
        <v>0</v>
      </c>
      <c r="CJ89" s="126">
        <v>0</v>
      </c>
      <c r="CK89" s="126">
        <v>0</v>
      </c>
      <c r="CL89" s="126">
        <v>0</v>
      </c>
      <c r="CM89" s="126">
        <v>198</v>
      </c>
      <c r="CN89" s="126">
        <v>0</v>
      </c>
      <c r="CO89" s="126">
        <v>0</v>
      </c>
      <c r="CP89" s="126">
        <v>2985</v>
      </c>
      <c r="CQ89" s="126">
        <v>210</v>
      </c>
      <c r="CR89" s="126">
        <v>0</v>
      </c>
      <c r="CS89" s="126">
        <v>0</v>
      </c>
      <c r="CT89" s="126">
        <v>0</v>
      </c>
      <c r="CU89" s="126">
        <v>0</v>
      </c>
      <c r="CV89" s="126">
        <v>0</v>
      </c>
      <c r="CW89" s="126">
        <v>0</v>
      </c>
      <c r="CX89" s="126">
        <v>0</v>
      </c>
      <c r="CY89" s="126">
        <v>0</v>
      </c>
      <c r="CZ89" s="127">
        <v>3700</v>
      </c>
    </row>
    <row r="90" ht="16" spans="1:104">
      <c r="A90" s="14">
        <v>2019</v>
      </c>
      <c r="B90" s="14" t="s">
        <v>247</v>
      </c>
      <c r="C90" s="14" t="s">
        <v>248</v>
      </c>
      <c r="D90" s="106" t="s">
        <v>255</v>
      </c>
      <c r="E90" s="14" t="s">
        <v>254</v>
      </c>
      <c r="F90" s="14">
        <f t="shared" ref="F90:AM90" si="15" xml:space="preserve">BR90*1</f>
        <v>0</v>
      </c>
      <c r="G90" s="14">
        <f t="shared" si="15"/>
        <v>222.6</v>
      </c>
      <c r="H90" s="14">
        <f t="shared" si="15"/>
        <v>3.6</v>
      </c>
      <c r="I90" s="14">
        <f t="shared" si="15"/>
        <v>0</v>
      </c>
      <c r="J90" s="14">
        <f t="shared" si="15"/>
        <v>0</v>
      </c>
      <c r="K90" s="14">
        <f t="shared" si="15"/>
        <v>0</v>
      </c>
      <c r="L90" s="14">
        <f t="shared" si="15"/>
        <v>0</v>
      </c>
      <c r="M90" s="14">
        <f t="shared" si="15"/>
        <v>0</v>
      </c>
      <c r="N90" s="14">
        <f t="shared" si="15"/>
        <v>0</v>
      </c>
      <c r="O90" s="14">
        <f t="shared" si="15"/>
        <v>0</v>
      </c>
      <c r="P90" s="14">
        <f t="shared" si="15"/>
        <v>0</v>
      </c>
      <c r="Q90" s="14">
        <f t="shared" si="15"/>
        <v>0</v>
      </c>
      <c r="R90" s="14">
        <f t="shared" si="15"/>
        <v>0</v>
      </c>
      <c r="S90" s="14">
        <f t="shared" si="15"/>
        <v>0</v>
      </c>
      <c r="T90" s="14">
        <f t="shared" si="15"/>
        <v>0</v>
      </c>
      <c r="U90" s="14">
        <f t="shared" si="15"/>
        <v>0</v>
      </c>
      <c r="V90" s="14">
        <f t="shared" si="15"/>
        <v>0</v>
      </c>
      <c r="W90" s="14">
        <f t="shared" si="15"/>
        <v>0</v>
      </c>
      <c r="X90" s="14">
        <f t="shared" si="15"/>
        <v>0</v>
      </c>
      <c r="Y90" s="14">
        <f t="shared" si="15"/>
        <v>3.5</v>
      </c>
      <c r="Z90" s="14">
        <f t="shared" si="15"/>
        <v>0</v>
      </c>
      <c r="AA90" s="14">
        <f t="shared" si="15"/>
        <v>4.8</v>
      </c>
      <c r="AB90" s="14">
        <f t="shared" si="15"/>
        <v>0</v>
      </c>
      <c r="AC90" s="14">
        <f t="shared" si="15"/>
        <v>0</v>
      </c>
      <c r="AD90" s="14">
        <f t="shared" si="15"/>
        <v>43.8</v>
      </c>
      <c r="AE90" s="14">
        <f t="shared" si="15"/>
        <v>8.7</v>
      </c>
      <c r="AF90" s="14">
        <f t="shared" si="15"/>
        <v>0</v>
      </c>
      <c r="AG90" s="14">
        <f t="shared" si="15"/>
        <v>0</v>
      </c>
      <c r="AH90" s="14">
        <f t="shared" si="15"/>
        <v>0</v>
      </c>
      <c r="AI90" s="14">
        <f t="shared" si="15"/>
        <v>0</v>
      </c>
      <c r="AJ90" s="14">
        <f t="shared" si="15"/>
        <v>0</v>
      </c>
      <c r="AK90" s="14">
        <f t="shared" si="15"/>
        <v>2.7</v>
      </c>
      <c r="AL90" s="14">
        <f t="shared" si="15"/>
        <v>0</v>
      </c>
      <c r="AM90" s="14">
        <f t="shared" si="15"/>
        <v>0</v>
      </c>
      <c r="AN90" s="14">
        <v>0</v>
      </c>
      <c r="AO90" s="14" t="s">
        <v>254</v>
      </c>
      <c r="AW90" s="122" t="s">
        <v>285</v>
      </c>
      <c r="AX90" s="128">
        <v>88</v>
      </c>
      <c r="AY90" s="128">
        <v>3.6</v>
      </c>
      <c r="AZ90" s="128">
        <v>110</v>
      </c>
      <c r="BA90" s="129">
        <v>2800</v>
      </c>
      <c r="BB90" s="128">
        <v>800</v>
      </c>
      <c r="BC90" s="129">
        <v>1500</v>
      </c>
      <c r="BD90" s="123" t="s">
        <v>283</v>
      </c>
      <c r="BH90" s="121" t="s">
        <v>6</v>
      </c>
      <c r="BI90" s="124">
        <v>88</v>
      </c>
      <c r="BJ90" s="124">
        <v>110</v>
      </c>
      <c r="BK90" s="124">
        <v>3.6</v>
      </c>
      <c r="BL90" s="130">
        <v>2800</v>
      </c>
      <c r="BM90" s="125">
        <f xml:space="preserve">Attached_sourcedAlumina_and!P14</f>
        <v>9522</v>
      </c>
      <c r="BN90" s="124">
        <v>800</v>
      </c>
      <c r="BO90" s="124">
        <v>0</v>
      </c>
      <c r="BQ90" s="120" t="s">
        <v>276</v>
      </c>
      <c r="BR90" s="126">
        <v>0</v>
      </c>
      <c r="BS90" s="126">
        <v>222.6</v>
      </c>
      <c r="BT90" s="126">
        <v>3.6</v>
      </c>
      <c r="BU90" s="126">
        <v>0</v>
      </c>
      <c r="BV90" s="126">
        <v>0</v>
      </c>
      <c r="BW90" s="126">
        <v>0</v>
      </c>
      <c r="BX90" s="126">
        <v>0</v>
      </c>
      <c r="BY90" s="126">
        <v>0</v>
      </c>
      <c r="BZ90" s="126">
        <v>0</v>
      </c>
      <c r="CA90" s="126">
        <v>0</v>
      </c>
      <c r="CB90" s="126">
        <v>0</v>
      </c>
      <c r="CC90" s="126">
        <v>0</v>
      </c>
      <c r="CD90" s="126">
        <v>0</v>
      </c>
      <c r="CE90" s="126">
        <v>0</v>
      </c>
      <c r="CF90" s="126">
        <v>0</v>
      </c>
      <c r="CG90" s="126">
        <v>0</v>
      </c>
      <c r="CH90" s="126">
        <v>0</v>
      </c>
      <c r="CI90" s="126">
        <v>0</v>
      </c>
      <c r="CJ90" s="126">
        <v>0</v>
      </c>
      <c r="CK90" s="126">
        <v>3.5</v>
      </c>
      <c r="CL90" s="126">
        <v>0</v>
      </c>
      <c r="CM90" s="126">
        <v>4.8</v>
      </c>
      <c r="CN90" s="126">
        <v>0</v>
      </c>
      <c r="CO90" s="126">
        <v>0</v>
      </c>
      <c r="CP90" s="126">
        <v>43.8</v>
      </c>
      <c r="CQ90" s="126">
        <v>8.7</v>
      </c>
      <c r="CR90" s="126">
        <v>0</v>
      </c>
      <c r="CS90" s="126">
        <v>0</v>
      </c>
      <c r="CT90" s="126">
        <v>0</v>
      </c>
      <c r="CU90" s="126">
        <v>0</v>
      </c>
      <c r="CV90" s="126">
        <v>0</v>
      </c>
      <c r="CW90" s="126">
        <v>2.7</v>
      </c>
      <c r="CX90" s="126">
        <v>0</v>
      </c>
      <c r="CY90" s="126">
        <v>0</v>
      </c>
      <c r="CZ90" s="127">
        <v>290</v>
      </c>
    </row>
    <row r="91" spans="1:104">
      <c r="A91" s="14">
        <v>2019</v>
      </c>
      <c r="B91" s="14" t="s">
        <v>247</v>
      </c>
      <c r="C91" s="14" t="s">
        <v>248</v>
      </c>
      <c r="D91" s="14" t="s">
        <v>256</v>
      </c>
      <c r="E91" s="14" t="s">
        <v>257</v>
      </c>
      <c r="F91" s="14">
        <f t="shared" ref="F91:AM91" si="16" xml:space="preserve">BR91*1</f>
        <v>0</v>
      </c>
      <c r="G91" s="14">
        <f t="shared" si="16"/>
        <v>5780</v>
      </c>
      <c r="H91" s="14">
        <f t="shared" si="16"/>
        <v>2800</v>
      </c>
      <c r="I91" s="14">
        <f t="shared" si="16"/>
        <v>0</v>
      </c>
      <c r="J91" s="14">
        <f t="shared" si="16"/>
        <v>0</v>
      </c>
      <c r="K91" s="14">
        <f t="shared" si="16"/>
        <v>0</v>
      </c>
      <c r="L91" s="14">
        <f t="shared" si="16"/>
        <v>590</v>
      </c>
      <c r="M91" s="14">
        <f t="shared" si="16"/>
        <v>770</v>
      </c>
      <c r="N91" s="14">
        <f t="shared" si="16"/>
        <v>0</v>
      </c>
      <c r="O91" s="14">
        <f t="shared" si="16"/>
        <v>0</v>
      </c>
      <c r="P91" s="14">
        <f t="shared" si="16"/>
        <v>0</v>
      </c>
      <c r="Q91" s="14">
        <f t="shared" si="16"/>
        <v>0</v>
      </c>
      <c r="R91" s="14">
        <f t="shared" si="16"/>
        <v>0</v>
      </c>
      <c r="S91" s="14">
        <f t="shared" si="16"/>
        <v>0</v>
      </c>
      <c r="T91" s="14">
        <f t="shared" si="16"/>
        <v>0</v>
      </c>
      <c r="U91" s="14">
        <f t="shared" si="16"/>
        <v>800</v>
      </c>
      <c r="V91" s="14">
        <f t="shared" si="16"/>
        <v>0</v>
      </c>
      <c r="W91" s="14">
        <f t="shared" si="16"/>
        <v>0</v>
      </c>
      <c r="X91" s="14">
        <f t="shared" si="16"/>
        <v>0</v>
      </c>
      <c r="Y91" s="14">
        <f t="shared" si="16"/>
        <v>0</v>
      </c>
      <c r="Z91" s="14">
        <f t="shared" si="16"/>
        <v>0</v>
      </c>
      <c r="AA91" s="14">
        <f t="shared" si="16"/>
        <v>0</v>
      </c>
      <c r="AB91" s="14">
        <f t="shared" si="16"/>
        <v>0</v>
      </c>
      <c r="AC91" s="14">
        <f t="shared" si="16"/>
        <v>0</v>
      </c>
      <c r="AD91" s="14">
        <f t="shared" si="16"/>
        <v>2060</v>
      </c>
      <c r="AE91" s="14">
        <f t="shared" si="16"/>
        <v>0</v>
      </c>
      <c r="AF91" s="14">
        <f t="shared" si="16"/>
        <v>0</v>
      </c>
      <c r="AG91" s="14">
        <f t="shared" si="16"/>
        <v>7400</v>
      </c>
      <c r="AH91" s="14">
        <f t="shared" si="16"/>
        <v>0</v>
      </c>
      <c r="AI91" s="14">
        <f t="shared" si="16"/>
        <v>0</v>
      </c>
      <c r="AJ91" s="14">
        <f t="shared" si="16"/>
        <v>0</v>
      </c>
      <c r="AK91" s="14">
        <f t="shared" si="16"/>
        <v>0</v>
      </c>
      <c r="AL91" s="14">
        <f t="shared" si="16"/>
        <v>0</v>
      </c>
      <c r="AM91" s="14">
        <f t="shared" si="16"/>
        <v>0</v>
      </c>
      <c r="AN91" s="14">
        <v>0</v>
      </c>
      <c r="AO91" s="14" t="s">
        <v>257</v>
      </c>
      <c r="AW91" s="122" t="s">
        <v>286</v>
      </c>
      <c r="AX91" s="123" t="s">
        <v>283</v>
      </c>
      <c r="AY91" s="123" t="s">
        <v>283</v>
      </c>
      <c r="AZ91" s="123" t="s">
        <v>283</v>
      </c>
      <c r="BA91" s="123" t="s">
        <v>283</v>
      </c>
      <c r="BB91" s="123" t="s">
        <v>283</v>
      </c>
      <c r="BC91" s="123" t="s">
        <v>283</v>
      </c>
      <c r="BD91" s="128">
        <v>0.5</v>
      </c>
      <c r="BH91" s="121" t="s">
        <v>7</v>
      </c>
      <c r="BI91" s="124">
        <v>0</v>
      </c>
      <c r="BJ91" s="124">
        <v>0</v>
      </c>
      <c r="BK91" s="124">
        <v>0</v>
      </c>
      <c r="BL91" s="124">
        <v>0</v>
      </c>
      <c r="BM91" s="125">
        <f xml:space="preserve">Attached_sourcedAlumina_and!P15</f>
        <v>0</v>
      </c>
      <c r="BN91" s="124">
        <v>0</v>
      </c>
      <c r="BO91" s="124">
        <v>0.5</v>
      </c>
      <c r="BQ91" s="120" t="s">
        <v>277</v>
      </c>
      <c r="BR91" s="126">
        <v>0</v>
      </c>
      <c r="BS91" s="126">
        <v>5780</v>
      </c>
      <c r="BT91" s="126">
        <v>2800</v>
      </c>
      <c r="BU91" s="126">
        <v>0</v>
      </c>
      <c r="BV91" s="126">
        <v>0</v>
      </c>
      <c r="BW91" s="126">
        <v>0</v>
      </c>
      <c r="BX91" s="126">
        <v>590</v>
      </c>
      <c r="BY91" s="126">
        <v>770</v>
      </c>
      <c r="BZ91" s="126">
        <v>0</v>
      </c>
      <c r="CA91" s="126">
        <v>0</v>
      </c>
      <c r="CB91" s="126">
        <v>0</v>
      </c>
      <c r="CC91" s="126">
        <v>0</v>
      </c>
      <c r="CD91" s="126">
        <v>0</v>
      </c>
      <c r="CE91" s="126">
        <v>0</v>
      </c>
      <c r="CF91" s="126">
        <v>0</v>
      </c>
      <c r="CG91" s="126">
        <v>800</v>
      </c>
      <c r="CH91" s="126">
        <v>0</v>
      </c>
      <c r="CI91" s="126">
        <v>0</v>
      </c>
      <c r="CJ91" s="126">
        <v>0</v>
      </c>
      <c r="CK91" s="126">
        <v>0</v>
      </c>
      <c r="CL91" s="126">
        <v>0</v>
      </c>
      <c r="CM91" s="126">
        <v>0</v>
      </c>
      <c r="CN91" s="126">
        <v>0</v>
      </c>
      <c r="CO91" s="126">
        <v>0</v>
      </c>
      <c r="CP91" s="126">
        <v>2060</v>
      </c>
      <c r="CQ91" s="126">
        <v>0</v>
      </c>
      <c r="CR91" s="126">
        <v>0</v>
      </c>
      <c r="CS91" s="126">
        <v>7400</v>
      </c>
      <c r="CT91" s="126">
        <v>0</v>
      </c>
      <c r="CU91" s="126">
        <v>0</v>
      </c>
      <c r="CV91" s="126">
        <v>0</v>
      </c>
      <c r="CW91" s="126">
        <v>0</v>
      </c>
      <c r="CX91" s="126">
        <v>0</v>
      </c>
      <c r="CY91" s="126">
        <v>0</v>
      </c>
      <c r="CZ91" s="127">
        <v>20190</v>
      </c>
    </row>
    <row r="92" spans="1:104">
      <c r="A92" s="14">
        <v>2019</v>
      </c>
      <c r="B92" s="14" t="s">
        <v>247</v>
      </c>
      <c r="C92" s="14" t="s">
        <v>248</v>
      </c>
      <c r="D92" s="96" t="s">
        <v>258</v>
      </c>
      <c r="E92" s="14" t="s">
        <v>259</v>
      </c>
      <c r="F92" s="14">
        <f t="shared" ref="F92:AM92" si="17" xml:space="preserve">BR92*1</f>
        <v>0</v>
      </c>
      <c r="G92" s="14">
        <f t="shared" si="17"/>
        <v>159</v>
      </c>
      <c r="H92" s="14">
        <f t="shared" si="17"/>
        <v>9522</v>
      </c>
      <c r="I92" s="14">
        <f t="shared" si="17"/>
        <v>0</v>
      </c>
      <c r="J92" s="14">
        <f t="shared" si="17"/>
        <v>0</v>
      </c>
      <c r="K92" s="14">
        <f t="shared" si="17"/>
        <v>0</v>
      </c>
      <c r="L92" s="14">
        <f t="shared" si="17"/>
        <v>5819</v>
      </c>
      <c r="M92" s="14">
        <f t="shared" si="17"/>
        <v>44436</v>
      </c>
      <c r="N92" s="14">
        <f t="shared" si="17"/>
        <v>0</v>
      </c>
      <c r="O92" s="14">
        <f t="shared" si="17"/>
        <v>0</v>
      </c>
      <c r="P92" s="14">
        <f t="shared" si="17"/>
        <v>0</v>
      </c>
      <c r="Q92" s="14">
        <f t="shared" si="17"/>
        <v>508</v>
      </c>
      <c r="R92" s="14">
        <f t="shared" si="17"/>
        <v>455</v>
      </c>
      <c r="S92" s="14">
        <f t="shared" si="17"/>
        <v>0</v>
      </c>
      <c r="T92" s="14">
        <f t="shared" si="17"/>
        <v>0</v>
      </c>
      <c r="U92" s="14">
        <f t="shared" si="17"/>
        <v>4020</v>
      </c>
      <c r="V92" s="14">
        <f t="shared" si="17"/>
        <v>846</v>
      </c>
      <c r="W92" s="14">
        <f t="shared" si="17"/>
        <v>0</v>
      </c>
      <c r="X92" s="14">
        <f t="shared" si="17"/>
        <v>0</v>
      </c>
      <c r="Y92" s="14">
        <f t="shared" si="17"/>
        <v>0</v>
      </c>
      <c r="Z92" s="14">
        <f t="shared" si="17"/>
        <v>1270</v>
      </c>
      <c r="AA92" s="14">
        <f t="shared" si="17"/>
        <v>1175</v>
      </c>
      <c r="AB92" s="14">
        <f t="shared" si="17"/>
        <v>0</v>
      </c>
      <c r="AC92" s="14">
        <f t="shared" si="17"/>
        <v>0</v>
      </c>
      <c r="AD92" s="14">
        <f t="shared" si="17"/>
        <v>3015</v>
      </c>
      <c r="AE92" s="14">
        <f t="shared" si="17"/>
        <v>1534</v>
      </c>
      <c r="AF92" s="14">
        <f t="shared" si="17"/>
        <v>952</v>
      </c>
      <c r="AG92" s="14">
        <f t="shared" si="17"/>
        <v>0</v>
      </c>
      <c r="AH92" s="14">
        <f t="shared" si="17"/>
        <v>434</v>
      </c>
      <c r="AI92" s="14">
        <f t="shared" si="17"/>
        <v>0</v>
      </c>
      <c r="AJ92" s="14">
        <f t="shared" si="17"/>
        <v>0</v>
      </c>
      <c r="AK92" s="14">
        <f t="shared" si="17"/>
        <v>169</v>
      </c>
      <c r="AL92" s="14">
        <f t="shared" si="17"/>
        <v>0</v>
      </c>
      <c r="AM92" s="14">
        <f t="shared" si="17"/>
        <v>0</v>
      </c>
      <c r="AN92" s="14">
        <v>0</v>
      </c>
      <c r="AO92" s="14" t="s">
        <v>259</v>
      </c>
      <c r="AW92" s="122" t="s">
        <v>287</v>
      </c>
      <c r="AX92" s="123" t="s">
        <v>283</v>
      </c>
      <c r="AY92" s="123" t="s">
        <v>283</v>
      </c>
      <c r="AZ92" s="123" t="s">
        <v>283</v>
      </c>
      <c r="BA92" s="123" t="s">
        <v>283</v>
      </c>
      <c r="BB92" s="123" t="s">
        <v>283</v>
      </c>
      <c r="BC92" s="123" t="s">
        <v>283</v>
      </c>
      <c r="BD92" s="123" t="s">
        <v>283</v>
      </c>
      <c r="BH92" s="121" t="s">
        <v>8</v>
      </c>
      <c r="BI92" s="124">
        <v>0</v>
      </c>
      <c r="BJ92" s="124">
        <v>0</v>
      </c>
      <c r="BK92" s="124">
        <v>0</v>
      </c>
      <c r="BL92" s="124">
        <v>0</v>
      </c>
      <c r="BM92" s="125">
        <f xml:space="preserve">Attached_sourcedAlumina_and!P16</f>
        <v>0</v>
      </c>
      <c r="BN92" s="124">
        <v>0</v>
      </c>
      <c r="BO92" s="124">
        <v>0</v>
      </c>
      <c r="BQ92" s="120" t="s">
        <v>278</v>
      </c>
      <c r="BR92" s="86">
        <v>0</v>
      </c>
      <c r="BS92" s="86">
        <v>159</v>
      </c>
      <c r="BT92" s="86">
        <v>9522</v>
      </c>
      <c r="BU92" s="86">
        <v>0</v>
      </c>
      <c r="BV92" s="86">
        <v>0</v>
      </c>
      <c r="BW92" s="86">
        <v>0</v>
      </c>
      <c r="BX92" s="86">
        <v>5819</v>
      </c>
      <c r="BY92" s="86">
        <v>44436</v>
      </c>
      <c r="BZ92" s="86">
        <v>0</v>
      </c>
      <c r="CA92" s="86">
        <v>0</v>
      </c>
      <c r="CB92" s="86">
        <v>0</v>
      </c>
      <c r="CC92" s="86">
        <v>508</v>
      </c>
      <c r="CD92" s="86">
        <v>455</v>
      </c>
      <c r="CE92" s="86">
        <v>0</v>
      </c>
      <c r="CF92" s="86">
        <v>0</v>
      </c>
      <c r="CG92" s="86">
        <v>4020</v>
      </c>
      <c r="CH92" s="86">
        <v>846</v>
      </c>
      <c r="CI92" s="86">
        <v>0</v>
      </c>
      <c r="CJ92" s="86">
        <v>0</v>
      </c>
      <c r="CK92" s="86">
        <v>0</v>
      </c>
      <c r="CL92" s="86">
        <v>1270</v>
      </c>
      <c r="CM92" s="86">
        <v>1175</v>
      </c>
      <c r="CN92" s="86">
        <v>0</v>
      </c>
      <c r="CO92" s="86">
        <v>0</v>
      </c>
      <c r="CP92" s="86">
        <v>3015</v>
      </c>
      <c r="CQ92" s="86">
        <v>1534</v>
      </c>
      <c r="CR92" s="86">
        <v>952</v>
      </c>
      <c r="CS92" s="86">
        <v>0</v>
      </c>
      <c r="CT92" s="86">
        <v>434</v>
      </c>
      <c r="CU92" s="86">
        <v>0</v>
      </c>
      <c r="CV92" s="86">
        <v>0</v>
      </c>
      <c r="CW92" s="86">
        <v>169</v>
      </c>
      <c r="CX92" s="86">
        <v>0</v>
      </c>
      <c r="CY92" s="86">
        <v>0</v>
      </c>
      <c r="CZ92" s="86">
        <v>75118</v>
      </c>
    </row>
    <row r="93" spans="1:104">
      <c r="A93" s="14">
        <v>2019</v>
      </c>
      <c r="B93" s="14" t="s">
        <v>247</v>
      </c>
      <c r="C93" s="96" t="s">
        <v>248</v>
      </c>
      <c r="D93" s="96" t="s">
        <v>260</v>
      </c>
      <c r="E93" s="14" t="s">
        <v>261</v>
      </c>
      <c r="F93" s="14">
        <f t="shared" ref="F93:AM93" si="18" xml:space="preserve">BR93*1</f>
        <v>0</v>
      </c>
      <c r="G93" s="14">
        <f t="shared" si="18"/>
        <v>3980</v>
      </c>
      <c r="H93" s="14">
        <f t="shared" si="18"/>
        <v>800</v>
      </c>
      <c r="I93" s="14">
        <f t="shared" si="18"/>
        <v>0</v>
      </c>
      <c r="J93" s="14">
        <f t="shared" si="18"/>
        <v>0</v>
      </c>
      <c r="K93" s="14">
        <f t="shared" si="18"/>
        <v>0</v>
      </c>
      <c r="L93" s="14">
        <f t="shared" si="18"/>
        <v>0</v>
      </c>
      <c r="M93" s="14">
        <f t="shared" si="18"/>
        <v>1800</v>
      </c>
      <c r="N93" s="14">
        <f t="shared" si="18"/>
        <v>0</v>
      </c>
      <c r="O93" s="14">
        <f t="shared" si="18"/>
        <v>0</v>
      </c>
      <c r="P93" s="14">
        <f t="shared" si="18"/>
        <v>0</v>
      </c>
      <c r="Q93" s="14">
        <f t="shared" si="18"/>
        <v>0</v>
      </c>
      <c r="R93" s="14">
        <f t="shared" si="18"/>
        <v>0</v>
      </c>
      <c r="S93" s="14">
        <f t="shared" si="18"/>
        <v>0</v>
      </c>
      <c r="T93" s="14">
        <f t="shared" si="18"/>
        <v>0</v>
      </c>
      <c r="U93" s="14">
        <f t="shared" si="18"/>
        <v>30</v>
      </c>
      <c r="V93" s="14">
        <f t="shared" si="18"/>
        <v>0</v>
      </c>
      <c r="W93" s="14">
        <f t="shared" si="18"/>
        <v>0</v>
      </c>
      <c r="X93" s="14">
        <f t="shared" si="18"/>
        <v>0</v>
      </c>
      <c r="Y93" s="14">
        <f t="shared" si="18"/>
        <v>7900</v>
      </c>
      <c r="Z93" s="14">
        <f t="shared" si="18"/>
        <v>0</v>
      </c>
      <c r="AA93" s="14">
        <f t="shared" si="18"/>
        <v>2250</v>
      </c>
      <c r="AB93" s="14">
        <f t="shared" si="18"/>
        <v>0</v>
      </c>
      <c r="AC93" s="14">
        <f t="shared" si="18"/>
        <v>410</v>
      </c>
      <c r="AD93" s="14">
        <f t="shared" si="18"/>
        <v>4700</v>
      </c>
      <c r="AE93" s="14">
        <f t="shared" si="18"/>
        <v>930</v>
      </c>
      <c r="AF93" s="14">
        <f t="shared" si="18"/>
        <v>0</v>
      </c>
      <c r="AG93" s="14">
        <f t="shared" si="18"/>
        <v>0</v>
      </c>
      <c r="AH93" s="14">
        <f t="shared" si="18"/>
        <v>0</v>
      </c>
      <c r="AI93" s="14">
        <f t="shared" si="18"/>
        <v>0</v>
      </c>
      <c r="AJ93" s="14">
        <f t="shared" si="18"/>
        <v>0</v>
      </c>
      <c r="AK93" s="14">
        <f t="shared" si="18"/>
        <v>0</v>
      </c>
      <c r="AL93" s="14">
        <f t="shared" si="18"/>
        <v>0</v>
      </c>
      <c r="AM93" s="14">
        <f t="shared" si="18"/>
        <v>0</v>
      </c>
      <c r="AN93" s="14">
        <v>0</v>
      </c>
      <c r="AO93" s="14" t="s">
        <v>261</v>
      </c>
      <c r="AW93" s="122" t="s">
        <v>288</v>
      </c>
      <c r="AX93" s="123" t="s">
        <v>283</v>
      </c>
      <c r="AY93" s="123" t="s">
        <v>283</v>
      </c>
      <c r="AZ93" s="123" t="s">
        <v>283</v>
      </c>
      <c r="BA93" s="123" t="s">
        <v>283</v>
      </c>
      <c r="BB93" s="123" t="s">
        <v>283</v>
      </c>
      <c r="BC93" s="123" t="s">
        <v>283</v>
      </c>
      <c r="BD93" s="123" t="s">
        <v>283</v>
      </c>
      <c r="BH93" s="121" t="s">
        <v>9</v>
      </c>
      <c r="BI93" s="124">
        <v>0</v>
      </c>
      <c r="BJ93" s="124">
        <v>0</v>
      </c>
      <c r="BK93" s="124">
        <v>0</v>
      </c>
      <c r="BL93" s="124">
        <v>0</v>
      </c>
      <c r="BM93" s="125">
        <f xml:space="preserve">Attached_sourcedAlumina_and!P17</f>
        <v>0</v>
      </c>
      <c r="BN93" s="124">
        <v>0</v>
      </c>
      <c r="BO93" s="124">
        <v>0</v>
      </c>
      <c r="BQ93" s="120" t="s">
        <v>279</v>
      </c>
      <c r="BR93" s="126">
        <v>0</v>
      </c>
      <c r="BS93" s="126">
        <v>3980</v>
      </c>
      <c r="BT93" s="126">
        <v>800</v>
      </c>
      <c r="BU93" s="126">
        <v>0</v>
      </c>
      <c r="BV93" s="126">
        <v>0</v>
      </c>
      <c r="BW93" s="126">
        <v>0</v>
      </c>
      <c r="BX93" s="126">
        <v>0</v>
      </c>
      <c r="BY93" s="126">
        <v>1800</v>
      </c>
      <c r="BZ93" s="126">
        <v>0</v>
      </c>
      <c r="CA93" s="126">
        <v>0</v>
      </c>
      <c r="CB93" s="126">
        <v>0</v>
      </c>
      <c r="CC93" s="126">
        <v>0</v>
      </c>
      <c r="CD93" s="126">
        <v>0</v>
      </c>
      <c r="CE93" s="126">
        <v>0</v>
      </c>
      <c r="CF93" s="126">
        <v>0</v>
      </c>
      <c r="CG93" s="126">
        <v>30</v>
      </c>
      <c r="CH93" s="126">
        <v>0</v>
      </c>
      <c r="CI93" s="126">
        <v>0</v>
      </c>
      <c r="CJ93" s="126">
        <v>0</v>
      </c>
      <c r="CK93" s="126">
        <v>7900</v>
      </c>
      <c r="CL93" s="126">
        <v>0</v>
      </c>
      <c r="CM93" s="126">
        <v>2250</v>
      </c>
      <c r="CN93" s="126">
        <v>0</v>
      </c>
      <c r="CO93" s="126">
        <v>410</v>
      </c>
      <c r="CP93" s="126">
        <v>4700</v>
      </c>
      <c r="CQ93" s="126">
        <v>930</v>
      </c>
      <c r="CR93" s="126">
        <v>0</v>
      </c>
      <c r="CS93" s="126">
        <v>0</v>
      </c>
      <c r="CT93" s="126">
        <v>0</v>
      </c>
      <c r="CU93" s="126">
        <v>0</v>
      </c>
      <c r="CV93" s="126">
        <v>0</v>
      </c>
      <c r="CW93" s="126">
        <v>0</v>
      </c>
      <c r="CX93" s="126">
        <v>0</v>
      </c>
      <c r="CY93" s="126">
        <v>0</v>
      </c>
      <c r="CZ93" s="127">
        <v>22000</v>
      </c>
    </row>
    <row r="94" spans="1:104">
      <c r="A94" s="14">
        <v>2019</v>
      </c>
      <c r="B94" s="14" t="s">
        <v>247</v>
      </c>
      <c r="C94" s="96" t="s">
        <v>248</v>
      </c>
      <c r="D94" s="96" t="s">
        <v>262</v>
      </c>
      <c r="E94" s="14" t="s">
        <v>263</v>
      </c>
      <c r="F94" s="14">
        <f t="shared" ref="F94:AM94" si="19" xml:space="preserve">BR94*1</f>
        <v>0</v>
      </c>
      <c r="G94" s="14">
        <f t="shared" si="19"/>
        <v>189</v>
      </c>
      <c r="H94" s="14">
        <f t="shared" si="19"/>
        <v>0</v>
      </c>
      <c r="I94" s="14">
        <f t="shared" si="19"/>
        <v>0.5</v>
      </c>
      <c r="J94" s="14">
        <f t="shared" si="19"/>
        <v>0</v>
      </c>
      <c r="K94" s="14">
        <f t="shared" si="19"/>
        <v>0</v>
      </c>
      <c r="L94" s="14">
        <f t="shared" si="19"/>
        <v>68</v>
      </c>
      <c r="M94" s="14">
        <f t="shared" si="19"/>
        <v>1270</v>
      </c>
      <c r="N94" s="14">
        <f t="shared" si="19"/>
        <v>0</v>
      </c>
      <c r="O94" s="14">
        <f t="shared" si="19"/>
        <v>0</v>
      </c>
      <c r="P94" s="14">
        <f t="shared" si="19"/>
        <v>0</v>
      </c>
      <c r="Q94" s="14">
        <f t="shared" si="19"/>
        <v>0.2</v>
      </c>
      <c r="R94" s="14">
        <f t="shared" si="19"/>
        <v>0</v>
      </c>
      <c r="S94" s="14">
        <f t="shared" si="19"/>
        <v>0</v>
      </c>
      <c r="T94" s="14">
        <f t="shared" si="19"/>
        <v>0</v>
      </c>
      <c r="U94" s="14">
        <f t="shared" si="19"/>
        <v>28</v>
      </c>
      <c r="V94" s="14">
        <f t="shared" si="19"/>
        <v>0</v>
      </c>
      <c r="W94" s="14">
        <f t="shared" si="19"/>
        <v>0</v>
      </c>
      <c r="X94" s="14">
        <f t="shared" si="19"/>
        <v>0</v>
      </c>
      <c r="Y94" s="14">
        <f t="shared" si="19"/>
        <v>0</v>
      </c>
      <c r="Z94" s="14">
        <f t="shared" si="19"/>
        <v>0</v>
      </c>
      <c r="AA94" s="14">
        <f t="shared" si="19"/>
        <v>20.9</v>
      </c>
      <c r="AB94" s="14">
        <f t="shared" si="19"/>
        <v>7</v>
      </c>
      <c r="AC94" s="14">
        <f t="shared" si="19"/>
        <v>0</v>
      </c>
      <c r="AD94" s="14">
        <f t="shared" si="19"/>
        <v>22.9</v>
      </c>
      <c r="AE94" s="14">
        <f t="shared" si="19"/>
        <v>20</v>
      </c>
      <c r="AF94" s="14">
        <f t="shared" si="19"/>
        <v>0</v>
      </c>
      <c r="AG94" s="14">
        <f t="shared" si="19"/>
        <v>0</v>
      </c>
      <c r="AH94" s="14">
        <f t="shared" si="19"/>
        <v>0</v>
      </c>
      <c r="AI94" s="14">
        <f t="shared" si="19"/>
        <v>0</v>
      </c>
      <c r="AJ94" s="14">
        <f t="shared" si="19"/>
        <v>0</v>
      </c>
      <c r="AK94" s="14">
        <f t="shared" si="19"/>
        <v>3</v>
      </c>
      <c r="AL94" s="14">
        <f t="shared" si="19"/>
        <v>0</v>
      </c>
      <c r="AM94" s="14">
        <f t="shared" si="19"/>
        <v>1.2</v>
      </c>
      <c r="AN94" s="14">
        <v>0</v>
      </c>
      <c r="AO94" s="14" t="s">
        <v>263</v>
      </c>
      <c r="AW94" s="122" t="s">
        <v>289</v>
      </c>
      <c r="AX94" s="128">
        <v>10</v>
      </c>
      <c r="AY94" s="123" t="s">
        <v>283</v>
      </c>
      <c r="AZ94" s="128">
        <v>77</v>
      </c>
      <c r="BA94" s="128">
        <v>590</v>
      </c>
      <c r="BB94" s="123" t="s">
        <v>283</v>
      </c>
      <c r="BC94" s="129">
        <v>1100</v>
      </c>
      <c r="BD94" s="128">
        <v>68</v>
      </c>
      <c r="BH94" s="121" t="s">
        <v>10</v>
      </c>
      <c r="BI94" s="124">
        <v>10</v>
      </c>
      <c r="BJ94" s="124">
        <v>77</v>
      </c>
      <c r="BK94" s="124">
        <v>0</v>
      </c>
      <c r="BL94" s="124">
        <v>590</v>
      </c>
      <c r="BM94" s="125">
        <f xml:space="preserve">Attached_sourcedAlumina_and!P18</f>
        <v>5819</v>
      </c>
      <c r="BN94" s="124">
        <v>0</v>
      </c>
      <c r="BO94" s="124">
        <v>68</v>
      </c>
      <c r="BQ94" s="120" t="s">
        <v>280</v>
      </c>
      <c r="BR94" s="126">
        <v>0</v>
      </c>
      <c r="BS94" s="126">
        <v>189</v>
      </c>
      <c r="BT94" s="126">
        <v>0</v>
      </c>
      <c r="BU94" s="126">
        <v>0.5</v>
      </c>
      <c r="BV94" s="126">
        <v>0</v>
      </c>
      <c r="BW94" s="126">
        <v>0</v>
      </c>
      <c r="BX94" s="126">
        <v>68</v>
      </c>
      <c r="BY94" s="126">
        <v>1270</v>
      </c>
      <c r="BZ94" s="126">
        <v>0</v>
      </c>
      <c r="CA94" s="126">
        <v>0</v>
      </c>
      <c r="CB94" s="126">
        <v>0</v>
      </c>
      <c r="CC94" s="126">
        <v>0.2</v>
      </c>
      <c r="CD94" s="126">
        <v>0</v>
      </c>
      <c r="CE94" s="126">
        <v>0</v>
      </c>
      <c r="CF94" s="126">
        <v>0</v>
      </c>
      <c r="CG94" s="126">
        <v>28</v>
      </c>
      <c r="CH94" s="126">
        <v>0</v>
      </c>
      <c r="CI94" s="126">
        <v>0</v>
      </c>
      <c r="CJ94" s="126">
        <v>0</v>
      </c>
      <c r="CK94" s="126">
        <v>0</v>
      </c>
      <c r="CL94" s="126">
        <v>0</v>
      </c>
      <c r="CM94" s="126">
        <v>20.9</v>
      </c>
      <c r="CN94" s="126">
        <v>7</v>
      </c>
      <c r="CO94" s="126">
        <v>0</v>
      </c>
      <c r="CP94" s="126">
        <v>22.9</v>
      </c>
      <c r="CQ94" s="126">
        <v>20</v>
      </c>
      <c r="CR94" s="126">
        <v>0</v>
      </c>
      <c r="CS94" s="126">
        <v>0</v>
      </c>
      <c r="CT94" s="126">
        <v>0</v>
      </c>
      <c r="CU94" s="126">
        <v>0</v>
      </c>
      <c r="CV94" s="126">
        <v>0</v>
      </c>
      <c r="CW94" s="126">
        <v>3</v>
      </c>
      <c r="CX94" s="126">
        <v>0</v>
      </c>
      <c r="CY94" s="126">
        <v>1.2</v>
      </c>
      <c r="CZ94" s="127">
        <v>1631</v>
      </c>
    </row>
    <row r="95" ht="14.5" spans="1:104">
      <c r="A95" s="14">
        <f xml:space="preserve">A94</f>
        <v>2019</v>
      </c>
      <c r="B95" s="14" t="str">
        <f xml:space="preserve">B94</f>
        <v>FLO_BND</v>
      </c>
      <c r="C95" s="14" t="str">
        <f xml:space="preserve">C94</f>
        <v>UP</v>
      </c>
      <c r="D95" s="131" t="s">
        <v>290</v>
      </c>
      <c r="E95" s="14"/>
      <c r="F95" s="96">
        <v>0</v>
      </c>
      <c r="G95" s="14">
        <v>0</v>
      </c>
      <c r="H95" s="96">
        <v>0</v>
      </c>
      <c r="I95" s="14">
        <v>0</v>
      </c>
      <c r="J95" s="96">
        <v>0</v>
      </c>
      <c r="K95" s="14">
        <v>0</v>
      </c>
      <c r="L95" s="96">
        <v>0</v>
      </c>
      <c r="M95" s="14">
        <v>0</v>
      </c>
      <c r="N95" s="96">
        <v>0</v>
      </c>
      <c r="O95" s="14">
        <v>0</v>
      </c>
      <c r="P95" s="96">
        <v>0</v>
      </c>
      <c r="Q95" s="14">
        <v>0</v>
      </c>
      <c r="R95" s="96">
        <v>0</v>
      </c>
      <c r="S95" s="14">
        <v>0</v>
      </c>
      <c r="T95" s="96">
        <v>0</v>
      </c>
      <c r="U95" s="14">
        <v>0</v>
      </c>
      <c r="V95" s="96">
        <v>0</v>
      </c>
      <c r="W95" s="14">
        <v>0</v>
      </c>
      <c r="X95" s="96">
        <v>0</v>
      </c>
      <c r="Y95" s="14">
        <v>0</v>
      </c>
      <c r="Z95" s="96">
        <v>0</v>
      </c>
      <c r="AA95" s="14">
        <v>0</v>
      </c>
      <c r="AB95" s="96">
        <v>0</v>
      </c>
      <c r="AC95" s="14">
        <v>0</v>
      </c>
      <c r="AD95" s="96">
        <v>0</v>
      </c>
      <c r="AE95" s="14">
        <v>0</v>
      </c>
      <c r="AF95" s="96">
        <v>0</v>
      </c>
      <c r="AG95" s="14">
        <v>0</v>
      </c>
      <c r="AH95" s="96">
        <v>0</v>
      </c>
      <c r="AI95" s="14">
        <v>0</v>
      </c>
      <c r="AJ95" s="96">
        <v>0</v>
      </c>
      <c r="AK95" s="14">
        <v>0</v>
      </c>
      <c r="AL95" s="96">
        <v>0</v>
      </c>
      <c r="AM95" s="14">
        <v>0</v>
      </c>
      <c r="AN95" s="96">
        <v>0</v>
      </c>
      <c r="AO95" s="14"/>
      <c r="AW95" s="122" t="s">
        <v>291</v>
      </c>
      <c r="AX95" s="128">
        <v>41</v>
      </c>
      <c r="AY95" s="123" t="s">
        <v>283</v>
      </c>
      <c r="AZ95" s="128">
        <v>120</v>
      </c>
      <c r="BA95" s="128">
        <v>770</v>
      </c>
      <c r="BB95" s="129">
        <v>1800</v>
      </c>
      <c r="BC95" s="129">
        <v>43000</v>
      </c>
      <c r="BD95" s="129">
        <v>1270</v>
      </c>
      <c r="BH95" s="121" t="s">
        <v>11</v>
      </c>
      <c r="BI95" s="124">
        <v>41</v>
      </c>
      <c r="BJ95" s="124">
        <v>120</v>
      </c>
      <c r="BK95" s="124">
        <v>0</v>
      </c>
      <c r="BL95" s="124">
        <v>770</v>
      </c>
      <c r="BM95" s="125">
        <f xml:space="preserve">Attached_sourcedAlumina_and!P19</f>
        <v>44436</v>
      </c>
      <c r="BN95" s="130">
        <v>1800</v>
      </c>
      <c r="BO95" s="130">
        <v>1270</v>
      </c>
    </row>
    <row r="96" ht="14.5" spans="1:104">
      <c r="A96" s="14">
        <f xml:space="preserve">A95</f>
        <v>2019</v>
      </c>
      <c r="B96" s="14" t="str">
        <f xml:space="preserve">B95</f>
        <v>FLO_BND</v>
      </c>
      <c r="C96" s="14" t="str">
        <f xml:space="preserve">C95</f>
        <v>UP</v>
      </c>
      <c r="D96" s="131" t="s">
        <v>292</v>
      </c>
      <c r="E96" s="14"/>
      <c r="F96" s="14">
        <v>0</v>
      </c>
      <c r="G96" s="14">
        <v>0</v>
      </c>
      <c r="H96" s="14">
        <v>0</v>
      </c>
      <c r="I96" s="14">
        <v>0</v>
      </c>
      <c r="J96" s="14">
        <v>0</v>
      </c>
      <c r="K96" s="14">
        <v>0</v>
      </c>
      <c r="L96" s="14">
        <v>0</v>
      </c>
      <c r="M96" s="14">
        <v>0</v>
      </c>
      <c r="N96" s="14">
        <v>0</v>
      </c>
      <c r="O96" s="14">
        <v>0</v>
      </c>
      <c r="P96" s="14">
        <v>0</v>
      </c>
      <c r="Q96" s="14">
        <v>0</v>
      </c>
      <c r="R96" s="14">
        <v>0</v>
      </c>
      <c r="S96" s="14">
        <v>0</v>
      </c>
      <c r="T96" s="14">
        <v>0</v>
      </c>
      <c r="U96" s="14">
        <v>0</v>
      </c>
      <c r="V96" s="14">
        <v>0</v>
      </c>
      <c r="W96" s="14">
        <v>0</v>
      </c>
      <c r="X96" s="14">
        <v>0</v>
      </c>
      <c r="Y96" s="14">
        <v>0</v>
      </c>
      <c r="Z96" s="14">
        <v>0</v>
      </c>
      <c r="AA96" s="14">
        <v>0</v>
      </c>
      <c r="AB96" s="14">
        <v>0</v>
      </c>
      <c r="AC96" s="14">
        <v>0</v>
      </c>
      <c r="AD96" s="14">
        <v>0</v>
      </c>
      <c r="AE96" s="14">
        <v>0</v>
      </c>
      <c r="AF96" s="14">
        <v>0</v>
      </c>
      <c r="AG96" s="14">
        <v>0</v>
      </c>
      <c r="AH96" s="14">
        <v>0</v>
      </c>
      <c r="AI96" s="14">
        <v>0</v>
      </c>
      <c r="AJ96" s="14">
        <v>0</v>
      </c>
      <c r="AK96" s="14">
        <v>0</v>
      </c>
      <c r="AL96" s="14">
        <v>0</v>
      </c>
      <c r="AM96" s="14">
        <v>0</v>
      </c>
      <c r="AN96" s="14">
        <v>0</v>
      </c>
      <c r="AO96" s="14"/>
      <c r="AW96" s="122" t="s">
        <v>293</v>
      </c>
      <c r="AX96" s="123" t="s">
        <v>283</v>
      </c>
      <c r="AY96" s="123" t="s">
        <v>283</v>
      </c>
      <c r="AZ96" s="123" t="s">
        <v>283</v>
      </c>
      <c r="BA96" s="123" t="s">
        <v>283</v>
      </c>
      <c r="BB96" s="123" t="s">
        <v>283</v>
      </c>
      <c r="BC96" s="123" t="s">
        <v>283</v>
      </c>
      <c r="BD96" s="123" t="s">
        <v>283</v>
      </c>
      <c r="BH96" s="121" t="s">
        <v>12</v>
      </c>
      <c r="BI96" s="124">
        <v>0</v>
      </c>
      <c r="BJ96" s="124">
        <v>0</v>
      </c>
      <c r="BK96" s="124">
        <v>0</v>
      </c>
      <c r="BL96" s="124">
        <v>0</v>
      </c>
      <c r="BM96" s="125">
        <f xml:space="preserve">Attached_sourcedAlumina_and!P20</f>
        <v>0</v>
      </c>
      <c r="BN96" s="124">
        <v>0</v>
      </c>
      <c r="BO96" s="124">
        <v>0</v>
      </c>
    </row>
    <row r="97" ht="14.5" spans="1:119">
      <c r="A97" s="14">
        <f xml:space="preserve">A96</f>
        <v>2019</v>
      </c>
      <c r="B97" s="14" t="str">
        <f xml:space="preserve">B96</f>
        <v>FLO_BND</v>
      </c>
      <c r="C97" s="14" t="str">
        <f xml:space="preserve">C96</f>
        <v>UP</v>
      </c>
      <c r="D97" s="131" t="s">
        <v>294</v>
      </c>
      <c r="E97" s="14"/>
      <c r="F97" s="96">
        <v>0</v>
      </c>
      <c r="G97" s="14">
        <v>0</v>
      </c>
      <c r="H97" s="96">
        <v>0</v>
      </c>
      <c r="I97" s="14">
        <v>0</v>
      </c>
      <c r="J97" s="96">
        <v>0</v>
      </c>
      <c r="K97" s="14">
        <v>0</v>
      </c>
      <c r="L97" s="96">
        <v>0</v>
      </c>
      <c r="M97" s="14">
        <v>0</v>
      </c>
      <c r="N97" s="96">
        <v>0</v>
      </c>
      <c r="O97" s="14">
        <v>0</v>
      </c>
      <c r="P97" s="96">
        <v>0</v>
      </c>
      <c r="Q97" s="14">
        <v>0</v>
      </c>
      <c r="R97" s="96">
        <v>0</v>
      </c>
      <c r="S97" s="14">
        <v>0</v>
      </c>
      <c r="T97" s="96">
        <v>0</v>
      </c>
      <c r="U97" s="14">
        <v>0</v>
      </c>
      <c r="V97" s="96">
        <v>0</v>
      </c>
      <c r="W97" s="14">
        <v>0</v>
      </c>
      <c r="X97" s="96">
        <v>0</v>
      </c>
      <c r="Y97" s="14">
        <v>0</v>
      </c>
      <c r="Z97" s="96">
        <v>0</v>
      </c>
      <c r="AA97" s="14">
        <v>0</v>
      </c>
      <c r="AB97" s="96">
        <v>0</v>
      </c>
      <c r="AC97" s="14">
        <v>0</v>
      </c>
      <c r="AD97" s="96">
        <v>0</v>
      </c>
      <c r="AE97" s="14">
        <v>0</v>
      </c>
      <c r="AF97" s="96">
        <v>0</v>
      </c>
      <c r="AG97" s="14">
        <v>0</v>
      </c>
      <c r="AH97" s="96">
        <v>0</v>
      </c>
      <c r="AI97" s="14">
        <v>0</v>
      </c>
      <c r="AJ97" s="96">
        <v>0</v>
      </c>
      <c r="AK97" s="14">
        <v>0</v>
      </c>
      <c r="AL97" s="96">
        <v>0</v>
      </c>
      <c r="AM97" s="14">
        <v>0</v>
      </c>
      <c r="AN97" s="96">
        <v>0</v>
      </c>
      <c r="AO97" s="14"/>
      <c r="AW97" s="122" t="s">
        <v>295</v>
      </c>
      <c r="AX97" s="123" t="s">
        <v>283</v>
      </c>
      <c r="AY97" s="123" t="s">
        <v>283</v>
      </c>
      <c r="AZ97" s="123" t="s">
        <v>283</v>
      </c>
      <c r="BA97" s="123" t="s">
        <v>283</v>
      </c>
      <c r="BB97" s="123" t="s">
        <v>283</v>
      </c>
      <c r="BC97" s="123" t="s">
        <v>283</v>
      </c>
      <c r="BD97" s="123" t="s">
        <v>283</v>
      </c>
      <c r="BH97" s="121" t="s">
        <v>13</v>
      </c>
      <c r="BI97" s="124">
        <v>0</v>
      </c>
      <c r="BJ97" s="124">
        <v>0</v>
      </c>
      <c r="BK97" s="124">
        <v>0</v>
      </c>
      <c r="BL97" s="124">
        <v>0</v>
      </c>
      <c r="BM97" s="125">
        <f xml:space="preserve">Attached_sourcedAlumina_and!P21</f>
        <v>0</v>
      </c>
      <c r="BN97" s="124">
        <v>0</v>
      </c>
      <c r="BO97" s="124">
        <v>0</v>
      </c>
    </row>
    <row r="98" spans="1:119">
      <c r="C98" s="2"/>
      <c r="D98" s="2"/>
      <c r="H98" s="2"/>
      <c r="I98" s="2"/>
      <c r="J98" s="2"/>
      <c r="K98" s="2"/>
      <c r="L98" s="2"/>
      <c r="AW98" s="122" t="s">
        <v>296</v>
      </c>
      <c r="AX98" s="123" t="s">
        <v>283</v>
      </c>
      <c r="AY98" s="123" t="s">
        <v>283</v>
      </c>
      <c r="AZ98" s="123" t="s">
        <v>283</v>
      </c>
      <c r="BA98" s="123" t="s">
        <v>283</v>
      </c>
      <c r="BB98" s="123" t="s">
        <v>283</v>
      </c>
      <c r="BC98" s="123" t="s">
        <v>283</v>
      </c>
      <c r="BD98" s="123" t="s">
        <v>283</v>
      </c>
      <c r="BH98" s="121" t="s">
        <v>14</v>
      </c>
      <c r="BI98" s="124">
        <v>0</v>
      </c>
      <c r="BJ98" s="124">
        <v>0</v>
      </c>
      <c r="BK98" s="124">
        <v>0</v>
      </c>
      <c r="BL98" s="124">
        <v>0</v>
      </c>
      <c r="BM98" s="125">
        <f xml:space="preserve">Attached_sourcedAlumina_and!P22</f>
        <v>0</v>
      </c>
      <c r="BN98" s="124">
        <v>0</v>
      </c>
      <c r="BO98" s="124">
        <v>0</v>
      </c>
    </row>
    <row r="99" spans="1:119">
      <c r="C99" s="2"/>
      <c r="F99" s="2"/>
      <c r="AW99" s="122" t="s">
        <v>297</v>
      </c>
      <c r="AX99" s="123" t="s">
        <v>283</v>
      </c>
      <c r="AY99" s="123" t="s">
        <v>283</v>
      </c>
      <c r="AZ99" s="123" t="s">
        <v>283</v>
      </c>
      <c r="BA99" s="123" t="s">
        <v>283</v>
      </c>
      <c r="BB99" s="123" t="s">
        <v>283</v>
      </c>
      <c r="BC99" s="123" t="s">
        <v>283</v>
      </c>
      <c r="BD99" s="128">
        <v>0.2</v>
      </c>
      <c r="BH99" s="121" t="s">
        <v>15</v>
      </c>
      <c r="BI99" s="124">
        <v>0</v>
      </c>
      <c r="BJ99" s="124">
        <v>0</v>
      </c>
      <c r="BK99" s="124">
        <v>0</v>
      </c>
      <c r="BL99" s="124">
        <v>0</v>
      </c>
      <c r="BM99" s="125">
        <f xml:space="preserve">Attached_sourcedAlumina_and!P23</f>
        <v>508</v>
      </c>
      <c r="BN99" s="124">
        <v>0</v>
      </c>
      <c r="BO99" s="124">
        <v>0.2</v>
      </c>
    </row>
    <row r="100" spans="1:119">
      <c r="C100" s="2"/>
      <c r="D100" s="2"/>
      <c r="AW100" s="122" t="s">
        <v>298</v>
      </c>
      <c r="AX100" s="123" t="s">
        <v>283</v>
      </c>
      <c r="AY100" s="123" t="s">
        <v>283</v>
      </c>
      <c r="AZ100" s="123" t="s">
        <v>283</v>
      </c>
      <c r="BA100" s="123" t="s">
        <v>283</v>
      </c>
      <c r="BB100" s="123" t="s">
        <v>283</v>
      </c>
      <c r="BC100" s="123" t="s">
        <v>283</v>
      </c>
      <c r="BD100" s="123" t="s">
        <v>283</v>
      </c>
      <c r="BH100" s="121" t="s">
        <v>16</v>
      </c>
      <c r="BI100" s="124">
        <v>0</v>
      </c>
      <c r="BJ100" s="124">
        <v>0</v>
      </c>
      <c r="BK100" s="124">
        <v>0</v>
      </c>
      <c r="BL100" s="124">
        <v>0</v>
      </c>
      <c r="BM100" s="125">
        <f xml:space="preserve">Attached_sourcedAlumina_and!P24</f>
        <v>455</v>
      </c>
      <c r="BN100" s="124">
        <v>0</v>
      </c>
      <c r="BO100" s="124">
        <v>0</v>
      </c>
    </row>
    <row r="101" spans="1:119">
      <c r="C101" s="2"/>
      <c r="D101" s="132"/>
      <c r="E101" s="132"/>
      <c r="F101" s="132"/>
      <c r="G101" s="132"/>
      <c r="AB101" s="133"/>
      <c r="AC101" s="133"/>
      <c r="AD101" s="133"/>
      <c r="AW101" s="122" t="s">
        <v>299</v>
      </c>
      <c r="AX101" s="123" t="s">
        <v>283</v>
      </c>
      <c r="AY101" s="123" t="s">
        <v>283</v>
      </c>
      <c r="AZ101" s="123" t="s">
        <v>283</v>
      </c>
      <c r="BA101" s="123" t="s">
        <v>283</v>
      </c>
      <c r="BB101" s="123" t="s">
        <v>283</v>
      </c>
      <c r="BC101" s="123" t="s">
        <v>283</v>
      </c>
      <c r="BD101" s="123" t="s">
        <v>283</v>
      </c>
      <c r="BH101" s="121" t="s">
        <v>17</v>
      </c>
      <c r="BI101" s="124">
        <v>0</v>
      </c>
      <c r="BJ101" s="124">
        <v>0</v>
      </c>
      <c r="BK101" s="124">
        <v>0</v>
      </c>
      <c r="BL101" s="124">
        <v>0</v>
      </c>
      <c r="BM101" s="125">
        <f xml:space="preserve">Attached_sourcedAlumina_and!P25</f>
        <v>0</v>
      </c>
      <c r="BN101" s="124">
        <v>0</v>
      </c>
      <c r="BO101" s="124">
        <v>0</v>
      </c>
    </row>
    <row r="102" ht="14.5" spans="1:119">
      <c r="C102" s="2"/>
      <c r="D102" t="s">
        <v>191</v>
      </c>
      <c r="M102" s="134"/>
      <c r="N102" s="134"/>
      <c r="O102" s="134" t="s">
        <v>191</v>
      </c>
      <c r="P102" s="134"/>
      <c r="Q102" s="134"/>
      <c r="R102" s="134"/>
      <c r="U102" s="135"/>
      <c r="AB102" s="133"/>
      <c r="AC102" s="133"/>
      <c r="AD102" s="133"/>
      <c r="AW102" s="122" t="s">
        <v>300</v>
      </c>
      <c r="AX102" s="123" t="s">
        <v>283</v>
      </c>
      <c r="AY102" s="123" t="s">
        <v>283</v>
      </c>
      <c r="AZ102" s="123" t="s">
        <v>283</v>
      </c>
      <c r="BA102" s="123" t="s">
        <v>283</v>
      </c>
      <c r="BB102" s="123" t="s">
        <v>283</v>
      </c>
      <c r="BC102" s="128">
        <v>780</v>
      </c>
      <c r="BD102" s="123" t="s">
        <v>283</v>
      </c>
      <c r="BH102" s="121" t="s">
        <v>18</v>
      </c>
      <c r="BI102" s="124">
        <v>0</v>
      </c>
      <c r="BJ102" s="124">
        <v>0</v>
      </c>
      <c r="BK102" s="124">
        <v>0</v>
      </c>
      <c r="BL102" s="124">
        <v>0</v>
      </c>
      <c r="BM102" s="125">
        <f xml:space="preserve">Attached_sourcedAlumina_and!P26</f>
        <v>0</v>
      </c>
      <c r="BN102" s="124">
        <v>0</v>
      </c>
      <c r="BO102" s="124">
        <v>0</v>
      </c>
    </row>
    <row r="103" spans="1:119">
      <c r="C103" s="2" t="s">
        <v>193</v>
      </c>
      <c r="D103" s="132" t="s">
        <v>66</v>
      </c>
      <c r="E103" s="132" t="s">
        <v>65</v>
      </c>
      <c r="F103" s="132" t="s">
        <v>11</v>
      </c>
      <c r="G103" s="132" t="s">
        <v>25</v>
      </c>
      <c r="K103" t="s">
        <v>301</v>
      </c>
      <c r="M103" s="134"/>
      <c r="N103" s="134" t="s">
        <v>193</v>
      </c>
      <c r="O103" s="134" t="s">
        <v>66</v>
      </c>
      <c r="P103" s="134" t="s">
        <v>65</v>
      </c>
      <c r="Q103" s="134" t="s">
        <v>11</v>
      </c>
      <c r="R103" s="134" t="s">
        <v>25</v>
      </c>
      <c r="U103" s="134"/>
      <c r="AB103" s="136"/>
      <c r="AC103" s="136"/>
      <c r="AD103" s="133"/>
      <c r="AW103" s="122" t="s">
        <v>302</v>
      </c>
      <c r="AX103" s="123" t="s">
        <v>283</v>
      </c>
      <c r="AY103" s="123" t="s">
        <v>283</v>
      </c>
      <c r="AZ103" s="123" t="s">
        <v>283</v>
      </c>
      <c r="BA103" s="128">
        <v>800</v>
      </c>
      <c r="BB103" s="128">
        <v>30</v>
      </c>
      <c r="BC103" s="129">
        <v>4200</v>
      </c>
      <c r="BD103" s="128">
        <v>28</v>
      </c>
      <c r="BH103" s="121" t="s">
        <v>19</v>
      </c>
      <c r="BI103" s="124">
        <v>0</v>
      </c>
      <c r="BJ103" s="124">
        <v>0</v>
      </c>
      <c r="BK103" s="124">
        <v>0</v>
      </c>
      <c r="BL103" s="124">
        <v>800</v>
      </c>
      <c r="BM103" s="125">
        <f xml:space="preserve">Attached_sourcedAlumina_and!P27</f>
        <v>4020</v>
      </c>
      <c r="BN103" s="124">
        <v>30</v>
      </c>
      <c r="BO103" s="124">
        <v>28</v>
      </c>
    </row>
    <row r="104" ht="14.5" spans="1:119">
      <c r="C104" s="2" t="s">
        <v>303</v>
      </c>
      <c r="D104" s="132" t="s">
        <v>304</v>
      </c>
      <c r="E104" s="132">
        <v>7.11384396954065</v>
      </c>
      <c r="F104" s="137">
        <v>5.40179852616065</v>
      </c>
      <c r="G104" s="137">
        <v>8.85540744288872</v>
      </c>
      <c r="K104">
        <f xml:space="preserve">E104*3-F104-G104</f>
        <v>7.08432593957258</v>
      </c>
      <c r="M104" s="134"/>
      <c r="N104" s="134" t="s">
        <v>303</v>
      </c>
      <c r="O104" s="134" t="s">
        <v>304</v>
      </c>
      <c r="P104" s="134">
        <f xml:space="preserve">E104</f>
        <v>7.11384396954065</v>
      </c>
      <c r="Q104" s="134">
        <f t="shared" ref="Q104:Q124" si="20" xml:space="preserve">F104</f>
        <v>5.40179852616065</v>
      </c>
      <c r="R104" s="134">
        <f t="shared" ref="R104:R124" si="21" xml:space="preserve">G104</f>
        <v>8.85540744288872</v>
      </c>
      <c r="U104" s="138"/>
      <c r="AB104" s="136"/>
      <c r="AC104" s="136"/>
      <c r="AD104" s="133"/>
      <c r="AW104" s="122" t="s">
        <v>305</v>
      </c>
      <c r="AX104" s="123" t="s">
        <v>283</v>
      </c>
      <c r="AY104" s="123" t="s">
        <v>283</v>
      </c>
      <c r="AZ104" s="123" t="s">
        <v>283</v>
      </c>
      <c r="BA104" s="123" t="s">
        <v>283</v>
      </c>
      <c r="BB104" s="123" t="s">
        <v>283</v>
      </c>
      <c r="BC104" s="123" t="s">
        <v>283</v>
      </c>
      <c r="BD104" s="123" t="s">
        <v>283</v>
      </c>
      <c r="BH104" s="121" t="s">
        <v>20</v>
      </c>
      <c r="BI104" s="124">
        <v>0</v>
      </c>
      <c r="BJ104" s="124">
        <v>0</v>
      </c>
      <c r="BK104" s="124">
        <v>0</v>
      </c>
      <c r="BL104" s="124">
        <v>0</v>
      </c>
      <c r="BM104" s="125">
        <f xml:space="preserve">Attached_sourcedAlumina_and!P28</f>
        <v>846</v>
      </c>
      <c r="BN104" s="124">
        <v>0</v>
      </c>
      <c r="BO104" s="124">
        <v>0</v>
      </c>
    </row>
    <row r="105" ht="14.5" spans="1:119">
      <c r="C105" s="2" t="s">
        <v>303</v>
      </c>
      <c r="D105" s="132" t="s">
        <v>306</v>
      </c>
      <c r="E105" s="132">
        <v>7.11384396954065</v>
      </c>
      <c r="F105" s="137">
        <v>5.40179852616065</v>
      </c>
      <c r="G105" s="137">
        <v>8.85540744288872</v>
      </c>
      <c r="K105">
        <f t="shared" ref="K105:K124" si="22" xml:space="preserve">E105*3-F105-G105</f>
        <v>7.08432593957258</v>
      </c>
      <c r="M105" s="134"/>
      <c r="N105" s="134" t="s">
        <v>303</v>
      </c>
      <c r="O105" s="134" t="s">
        <v>306</v>
      </c>
      <c r="P105" s="134">
        <f t="shared" ref="P105:P124" si="23" xml:space="preserve">E105</f>
        <v>7.11384396954065</v>
      </c>
      <c r="Q105" s="134">
        <f t="shared" si="20"/>
        <v>5.40179852616065</v>
      </c>
      <c r="R105" s="134">
        <f t="shared" si="21"/>
        <v>8.85540744288872</v>
      </c>
      <c r="U105" s="138"/>
      <c r="AB105" s="136"/>
      <c r="AC105" s="136"/>
      <c r="AD105" s="133"/>
      <c r="AW105" s="122" t="s">
        <v>307</v>
      </c>
      <c r="AX105" s="123" t="s">
        <v>283</v>
      </c>
      <c r="AY105" s="123" t="s">
        <v>283</v>
      </c>
      <c r="AZ105" s="123" t="s">
        <v>283</v>
      </c>
      <c r="BA105" s="123" t="s">
        <v>283</v>
      </c>
      <c r="BB105" s="123" t="s">
        <v>283</v>
      </c>
      <c r="BC105" s="123" t="s">
        <v>283</v>
      </c>
      <c r="BD105" s="123" t="s">
        <v>283</v>
      </c>
      <c r="BH105" s="121" t="s">
        <v>21</v>
      </c>
      <c r="BI105" s="124">
        <v>0</v>
      </c>
      <c r="BJ105" s="124">
        <v>0</v>
      </c>
      <c r="BK105" s="124">
        <v>0</v>
      </c>
      <c r="BL105" s="124">
        <v>0</v>
      </c>
      <c r="BM105" s="125">
        <f xml:space="preserve">Attached_sourcedAlumina_and!P29</f>
        <v>0</v>
      </c>
      <c r="BN105" s="124">
        <v>0</v>
      </c>
      <c r="BO105" s="124">
        <v>0</v>
      </c>
      <c r="CH105" s="121"/>
      <c r="CI105" s="121"/>
      <c r="CJ105" s="121"/>
      <c r="CK105" s="121"/>
      <c r="CL105" s="121"/>
      <c r="CM105" s="121"/>
      <c r="CN105" s="121"/>
      <c r="CO105" s="121"/>
      <c r="CP105" s="121"/>
      <c r="CQ105" s="121"/>
      <c r="CR105" s="121"/>
      <c r="CS105" s="121"/>
      <c r="CT105" s="121"/>
      <c r="CU105" s="121"/>
      <c r="CV105" s="121"/>
      <c r="CW105" s="121"/>
      <c r="CX105" s="121"/>
      <c r="CY105" s="121"/>
      <c r="CZ105" s="121"/>
      <c r="DA105" s="121"/>
      <c r="DB105" s="121"/>
      <c r="DC105" s="121"/>
      <c r="DD105" s="121"/>
      <c r="DE105" s="121"/>
      <c r="DF105" s="121"/>
      <c r="DG105" s="121"/>
      <c r="DH105" s="121"/>
      <c r="DI105" s="121"/>
      <c r="DJ105" s="121"/>
      <c r="DK105" s="121"/>
      <c r="DL105" s="121"/>
      <c r="DM105" s="121"/>
      <c r="DN105" s="121"/>
      <c r="DO105" s="121"/>
    </row>
    <row r="106" ht="14.5" spans="1:119">
      <c r="C106" s="2" t="s">
        <v>303</v>
      </c>
      <c r="D106" s="132" t="s">
        <v>308</v>
      </c>
      <c r="E106" s="132">
        <v>7.62975445836404</v>
      </c>
      <c r="F106" s="137">
        <v>5.79354797347089</v>
      </c>
      <c r="G106" s="137">
        <v>9.49761967575534</v>
      </c>
      <c r="K106">
        <f t="shared" si="22"/>
        <v>7.59809572586589</v>
      </c>
      <c r="M106" s="134"/>
      <c r="N106" s="134" t="s">
        <v>303</v>
      </c>
      <c r="O106" s="134" t="s">
        <v>308</v>
      </c>
      <c r="P106" s="134">
        <f t="shared" si="23"/>
        <v>7.62975445836404</v>
      </c>
      <c r="Q106" s="134">
        <f t="shared" si="20"/>
        <v>5.79354797347089</v>
      </c>
      <c r="R106" s="134">
        <f t="shared" si="21"/>
        <v>9.49761967575534</v>
      </c>
      <c r="U106" s="138"/>
      <c r="AB106" s="136"/>
      <c r="AC106" s="136"/>
      <c r="AD106" s="133"/>
      <c r="AW106" s="122" t="s">
        <v>309</v>
      </c>
      <c r="AX106" s="123" t="s">
        <v>283</v>
      </c>
      <c r="AY106" s="123" t="s">
        <v>283</v>
      </c>
      <c r="AZ106" s="123" t="s">
        <v>283</v>
      </c>
      <c r="BA106" s="123" t="s">
        <v>283</v>
      </c>
      <c r="BB106" s="123" t="s">
        <v>283</v>
      </c>
      <c r="BC106" s="123" t="s">
        <v>283</v>
      </c>
      <c r="BD106" s="123" t="s">
        <v>283</v>
      </c>
      <c r="BH106" s="121" t="s">
        <v>22</v>
      </c>
      <c r="BI106" s="124">
        <v>0</v>
      </c>
      <c r="BJ106" s="124">
        <v>0</v>
      </c>
      <c r="BK106" s="124">
        <v>0</v>
      </c>
      <c r="BL106" s="124">
        <v>0</v>
      </c>
      <c r="BM106" s="125">
        <f xml:space="preserve">Attached_sourcedAlumina_and!P30</f>
        <v>0</v>
      </c>
      <c r="BN106" s="124">
        <v>0</v>
      </c>
      <c r="BO106" s="124">
        <v>0</v>
      </c>
    </row>
    <row r="107" ht="14.5" spans="1:119">
      <c r="C107" s="2" t="s">
        <v>303</v>
      </c>
      <c r="D107" s="132" t="s">
        <v>310</v>
      </c>
      <c r="E107" s="132">
        <v>7.47097081798084</v>
      </c>
      <c r="F107" s="137">
        <v>5.67297781871776</v>
      </c>
      <c r="G107" s="137">
        <v>9.29996366985999</v>
      </c>
      <c r="K107">
        <f t="shared" si="22"/>
        <v>7.43997096536477</v>
      </c>
      <c r="M107" s="134"/>
      <c r="N107" s="134" t="s">
        <v>303</v>
      </c>
      <c r="O107" s="134" t="s">
        <v>310</v>
      </c>
      <c r="P107" s="134">
        <f t="shared" si="23"/>
        <v>7.47097081798084</v>
      </c>
      <c r="Q107" s="134">
        <f t="shared" si="20"/>
        <v>5.67297781871776</v>
      </c>
      <c r="R107" s="134">
        <f t="shared" si="21"/>
        <v>9.29996366985999</v>
      </c>
      <c r="U107" s="138"/>
      <c r="AB107" s="136"/>
      <c r="AC107" s="136"/>
      <c r="AD107" s="133"/>
      <c r="AW107" s="122" t="s">
        <v>311</v>
      </c>
      <c r="AX107" s="128">
        <v>67</v>
      </c>
      <c r="AY107" s="128">
        <v>3.5</v>
      </c>
      <c r="AZ107" s="123" t="s">
        <v>283</v>
      </c>
      <c r="BA107" s="123" t="s">
        <v>283</v>
      </c>
      <c r="BB107" s="129">
        <v>7900</v>
      </c>
      <c r="BC107" s="123" t="s">
        <v>283</v>
      </c>
      <c r="BD107" s="123" t="s">
        <v>283</v>
      </c>
      <c r="BH107" s="121" t="s">
        <v>23</v>
      </c>
      <c r="BI107" s="124">
        <v>67</v>
      </c>
      <c r="BJ107" s="124">
        <v>0</v>
      </c>
      <c r="BK107" s="124">
        <v>3.5</v>
      </c>
      <c r="BL107" s="124">
        <v>0</v>
      </c>
      <c r="BM107" s="125">
        <f xml:space="preserve">Attached_sourcedAlumina_and!P31</f>
        <v>0</v>
      </c>
      <c r="BN107" s="130">
        <v>7900</v>
      </c>
      <c r="BO107" s="124">
        <v>0</v>
      </c>
    </row>
    <row r="108" ht="14.5" spans="1:119">
      <c r="C108" s="2" t="s">
        <v>303</v>
      </c>
      <c r="D108" s="132" t="s">
        <v>312</v>
      </c>
      <c r="E108" s="132">
        <v>7.51643520019651</v>
      </c>
      <c r="F108" s="137">
        <v>5.70750058953574</v>
      </c>
      <c r="G108" s="137">
        <v>9.35655836403832</v>
      </c>
      <c r="K108">
        <f t="shared" si="22"/>
        <v>7.48524664701547</v>
      </c>
      <c r="M108" s="134"/>
      <c r="N108" s="134" t="s">
        <v>303</v>
      </c>
      <c r="O108" s="134" t="s">
        <v>312</v>
      </c>
      <c r="P108" s="134">
        <f t="shared" si="23"/>
        <v>7.51643520019651</v>
      </c>
      <c r="Q108" s="134">
        <f t="shared" si="20"/>
        <v>5.70750058953574</v>
      </c>
      <c r="R108" s="134">
        <f t="shared" si="21"/>
        <v>9.35655836403832</v>
      </c>
      <c r="U108" s="138"/>
      <c r="AB108" s="136"/>
      <c r="AC108" s="136"/>
      <c r="AD108" s="133"/>
      <c r="AW108" s="122" t="s">
        <v>313</v>
      </c>
      <c r="AX108" s="123" t="s">
        <v>283</v>
      </c>
      <c r="AY108" s="123" t="s">
        <v>283</v>
      </c>
      <c r="AZ108" s="123" t="s">
        <v>283</v>
      </c>
      <c r="BA108" s="123" t="s">
        <v>283</v>
      </c>
      <c r="BB108" s="123" t="s">
        <v>283</v>
      </c>
      <c r="BC108" s="129">
        <v>4300</v>
      </c>
      <c r="BD108" s="123" t="s">
        <v>283</v>
      </c>
      <c r="BH108" s="121" t="s">
        <v>24</v>
      </c>
      <c r="BI108" s="124">
        <v>0</v>
      </c>
      <c r="BJ108" s="124">
        <v>0</v>
      </c>
      <c r="BK108" s="124">
        <v>0</v>
      </c>
      <c r="BL108" s="124">
        <v>0</v>
      </c>
      <c r="BM108" s="125">
        <f xml:space="preserve">Attached_sourcedAlumina_and!P32</f>
        <v>1270</v>
      </c>
      <c r="BN108" s="124">
        <v>0</v>
      </c>
      <c r="BO108" s="124">
        <v>0</v>
      </c>
    </row>
    <row r="109" ht="14.5" spans="1:119">
      <c r="C109" s="2" t="s">
        <v>303</v>
      </c>
      <c r="D109" s="132" t="s">
        <v>314</v>
      </c>
      <c r="E109" s="132">
        <v>7.55036263817244</v>
      </c>
      <c r="F109" s="137">
        <v>5.73326293294031</v>
      </c>
      <c r="G109" s="137">
        <v>9.39879167280766</v>
      </c>
      <c r="K109">
        <f t="shared" si="22"/>
        <v>7.51903330876935</v>
      </c>
      <c r="M109" s="134"/>
      <c r="N109" s="134" t="s">
        <v>303</v>
      </c>
      <c r="O109" s="134" t="s">
        <v>314</v>
      </c>
      <c r="P109" s="134">
        <f t="shared" si="23"/>
        <v>7.55036263817244</v>
      </c>
      <c r="Q109" s="134">
        <f t="shared" si="20"/>
        <v>5.73326293294031</v>
      </c>
      <c r="R109" s="134">
        <f t="shared" si="21"/>
        <v>9.39879167280766</v>
      </c>
      <c r="U109" s="138"/>
      <c r="AB109" s="136"/>
      <c r="AC109" s="136"/>
      <c r="AD109" s="133"/>
      <c r="AW109" s="122" t="s">
        <v>315</v>
      </c>
      <c r="AX109" s="128">
        <v>4.3</v>
      </c>
      <c r="AY109" s="128">
        <v>4.8</v>
      </c>
      <c r="AZ109" s="128">
        <v>198</v>
      </c>
      <c r="BA109" s="123" t="s">
        <v>283</v>
      </c>
      <c r="BB109" s="129">
        <v>2250</v>
      </c>
      <c r="BC109" s="129">
        <v>3970</v>
      </c>
      <c r="BD109" s="128">
        <v>20.9</v>
      </c>
      <c r="BH109" s="121" t="s">
        <v>25</v>
      </c>
      <c r="BI109" s="124">
        <v>4.3</v>
      </c>
      <c r="BJ109" s="124">
        <v>198</v>
      </c>
      <c r="BK109" s="124">
        <v>4.8</v>
      </c>
      <c r="BL109" s="124">
        <v>0</v>
      </c>
      <c r="BM109" s="125">
        <f xml:space="preserve">Attached_sourcedAlumina_and!P33</f>
        <v>1175</v>
      </c>
      <c r="BN109" s="130">
        <v>2250</v>
      </c>
      <c r="BO109" s="124">
        <v>20.9</v>
      </c>
    </row>
    <row r="110" ht="14.5" spans="1:119">
      <c r="C110" s="2" t="s">
        <v>303</v>
      </c>
      <c r="D110" s="132" t="s">
        <v>316</v>
      </c>
      <c r="E110" s="132">
        <v>7.62975445836404</v>
      </c>
      <c r="F110" s="137">
        <v>5.79354797347089</v>
      </c>
      <c r="G110" s="137">
        <v>9.49761967575534</v>
      </c>
      <c r="K110">
        <f t="shared" si="22"/>
        <v>7.59809572586589</v>
      </c>
      <c r="M110" s="134"/>
      <c r="N110" s="134" t="s">
        <v>303</v>
      </c>
      <c r="O110" s="134" t="s">
        <v>316</v>
      </c>
      <c r="P110" s="134">
        <f t="shared" si="23"/>
        <v>7.62975445836404</v>
      </c>
      <c r="Q110" s="134">
        <f t="shared" si="20"/>
        <v>5.79354797347089</v>
      </c>
      <c r="R110" s="134">
        <f t="shared" si="21"/>
        <v>9.49761967575534</v>
      </c>
      <c r="U110" s="138"/>
      <c r="AB110" s="136"/>
      <c r="AC110" s="136"/>
      <c r="AD110" s="133"/>
      <c r="AW110" s="122" t="s">
        <v>317</v>
      </c>
      <c r="AX110" s="123" t="s">
        <v>283</v>
      </c>
      <c r="AY110" s="123" t="s">
        <v>283</v>
      </c>
      <c r="AZ110" s="123" t="s">
        <v>283</v>
      </c>
      <c r="BA110" s="123" t="s">
        <v>283</v>
      </c>
      <c r="BB110" s="123" t="s">
        <v>283</v>
      </c>
      <c r="BC110" s="129">
        <v>1300</v>
      </c>
      <c r="BD110" s="128">
        <v>7</v>
      </c>
      <c r="BH110" s="121" t="s">
        <v>26</v>
      </c>
      <c r="BI110" s="124">
        <v>0</v>
      </c>
      <c r="BJ110" s="124">
        <v>0</v>
      </c>
      <c r="BK110" s="124">
        <v>0</v>
      </c>
      <c r="BL110" s="124">
        <v>0</v>
      </c>
      <c r="BM110" s="125">
        <f xml:space="preserve">Attached_sourcedAlumina_and!P34</f>
        <v>0</v>
      </c>
      <c r="BN110" s="124">
        <v>0</v>
      </c>
      <c r="BO110" s="124">
        <v>7</v>
      </c>
    </row>
    <row r="111" ht="14.5" spans="1:119">
      <c r="C111" s="2" t="s">
        <v>303</v>
      </c>
      <c r="D111" s="132" t="s">
        <v>318</v>
      </c>
      <c r="E111" s="132">
        <v>4.18384600835176</v>
      </c>
      <c r="F111" s="137">
        <v>3.17694532056006</v>
      </c>
      <c r="G111" s="137">
        <v>5.20810707442889</v>
      </c>
      <c r="K111">
        <f t="shared" si="22"/>
        <v>4.16648563006633</v>
      </c>
      <c r="M111" s="134"/>
      <c r="N111" s="134" t="s">
        <v>303</v>
      </c>
      <c r="O111" s="134" t="s">
        <v>318</v>
      </c>
      <c r="P111" s="134">
        <f t="shared" si="23"/>
        <v>4.18384600835176</v>
      </c>
      <c r="Q111" s="134">
        <f t="shared" si="20"/>
        <v>3.17694532056006</v>
      </c>
      <c r="R111" s="134">
        <f t="shared" si="21"/>
        <v>5.20810707442889</v>
      </c>
      <c r="U111" s="138"/>
      <c r="AB111" s="136"/>
      <c r="AC111" s="136"/>
      <c r="AD111" s="133"/>
      <c r="AW111" s="122" t="s">
        <v>319</v>
      </c>
      <c r="AX111" s="123" t="s">
        <v>283</v>
      </c>
      <c r="AY111" s="123" t="s">
        <v>283</v>
      </c>
      <c r="AZ111" s="123" t="s">
        <v>283</v>
      </c>
      <c r="BA111" s="123" t="s">
        <v>283</v>
      </c>
      <c r="BB111" s="128">
        <v>410</v>
      </c>
      <c r="BC111" s="123" t="s">
        <v>283</v>
      </c>
      <c r="BD111" s="123" t="s">
        <v>283</v>
      </c>
      <c r="BH111" s="121" t="s">
        <v>27</v>
      </c>
      <c r="BI111" s="124">
        <v>0</v>
      </c>
      <c r="BJ111" s="124">
        <v>0</v>
      </c>
      <c r="BK111" s="124">
        <v>0</v>
      </c>
      <c r="BL111" s="124">
        <v>0</v>
      </c>
      <c r="BM111" s="125">
        <f xml:space="preserve">Attached_sourcedAlumina_and!P35</f>
        <v>0</v>
      </c>
      <c r="BN111" s="124">
        <v>410</v>
      </c>
      <c r="BO111" s="124">
        <v>0</v>
      </c>
    </row>
    <row r="112" spans="1:119">
      <c r="C112" s="2" t="s">
        <v>303</v>
      </c>
      <c r="D112" s="132" t="s">
        <v>320</v>
      </c>
      <c r="E112" s="132">
        <v>4.18384600835176</v>
      </c>
      <c r="F112" s="137">
        <v>3.17694532056006</v>
      </c>
      <c r="G112" s="137">
        <v>5.20810707442889</v>
      </c>
      <c r="K112">
        <f t="shared" si="22"/>
        <v>4.16648563006633</v>
      </c>
      <c r="M112" s="134"/>
      <c r="N112" s="134" t="s">
        <v>303</v>
      </c>
      <c r="O112" s="134" t="s">
        <v>320</v>
      </c>
      <c r="P112" s="134">
        <f t="shared" si="23"/>
        <v>4.18384600835176</v>
      </c>
      <c r="Q112" s="134">
        <f t="shared" si="20"/>
        <v>3.17694532056006</v>
      </c>
      <c r="R112" s="134">
        <f t="shared" si="21"/>
        <v>5.20810707442889</v>
      </c>
      <c r="AB112" s="136"/>
      <c r="AC112" s="136"/>
      <c r="AD112" s="133"/>
      <c r="AW112" s="122" t="s">
        <v>28</v>
      </c>
      <c r="AX112" s="128">
        <v>4.6</v>
      </c>
      <c r="AY112" s="128">
        <v>43.8</v>
      </c>
      <c r="AZ112" s="129">
        <v>2985</v>
      </c>
      <c r="BA112" s="129">
        <v>2060</v>
      </c>
      <c r="BB112" s="129">
        <v>4700</v>
      </c>
      <c r="BC112" s="129">
        <v>8050</v>
      </c>
      <c r="BD112" s="128">
        <v>22.9</v>
      </c>
      <c r="BH112" s="121" t="s">
        <v>28</v>
      </c>
      <c r="BI112" s="124">
        <v>4.6</v>
      </c>
      <c r="BJ112" s="130">
        <v>2985</v>
      </c>
      <c r="BK112" s="124">
        <v>43.8</v>
      </c>
      <c r="BL112" s="130">
        <v>2060</v>
      </c>
      <c r="BM112" s="125">
        <f xml:space="preserve">Attached_sourcedAlumina_and!P36</f>
        <v>3015</v>
      </c>
      <c r="BN112" s="130">
        <v>4700</v>
      </c>
      <c r="BO112" s="124">
        <v>22.9</v>
      </c>
    </row>
    <row r="113" spans="3:67">
      <c r="C113" s="2" t="s">
        <v>303</v>
      </c>
      <c r="D113" s="132" t="s">
        <v>321</v>
      </c>
      <c r="E113" s="132">
        <v>4.18384600835176</v>
      </c>
      <c r="F113" s="137">
        <v>3.17694532056006</v>
      </c>
      <c r="G113" s="137">
        <v>5.20810707442889</v>
      </c>
      <c r="K113">
        <f t="shared" si="22"/>
        <v>4.16648563006633</v>
      </c>
      <c r="M113" s="134"/>
      <c r="N113" s="134" t="s">
        <v>303</v>
      </c>
      <c r="O113" s="134" t="s">
        <v>321</v>
      </c>
      <c r="P113" s="134">
        <f t="shared" si="23"/>
        <v>4.18384600835176</v>
      </c>
      <c r="Q113" s="134">
        <f t="shared" si="20"/>
        <v>3.17694532056006</v>
      </c>
      <c r="R113" s="134">
        <f t="shared" si="21"/>
        <v>5.20810707442889</v>
      </c>
      <c r="AB113" s="136"/>
      <c r="AC113" s="136"/>
      <c r="AD113" s="133"/>
      <c r="AW113" s="122" t="s">
        <v>322</v>
      </c>
      <c r="AX113" s="123" t="s">
        <v>283</v>
      </c>
      <c r="AY113" s="128">
        <v>8.7</v>
      </c>
      <c r="AZ113" s="128">
        <v>210</v>
      </c>
      <c r="BA113" s="123" t="s">
        <v>283</v>
      </c>
      <c r="BB113" s="128">
        <v>930</v>
      </c>
      <c r="BC113" s="129">
        <v>3800</v>
      </c>
      <c r="BD113" s="128">
        <v>20</v>
      </c>
      <c r="BH113" s="121" t="s">
        <v>29</v>
      </c>
      <c r="BI113" s="124">
        <v>0</v>
      </c>
      <c r="BJ113" s="124">
        <v>210</v>
      </c>
      <c r="BK113" s="124">
        <v>8.7</v>
      </c>
      <c r="BL113" s="124">
        <v>0</v>
      </c>
      <c r="BM113" s="125">
        <f xml:space="preserve">Attached_sourcedAlumina_and!P37</f>
        <v>1534</v>
      </c>
      <c r="BN113" s="124">
        <v>930</v>
      </c>
      <c r="BO113" s="124">
        <v>20</v>
      </c>
    </row>
    <row r="114" spans="3:67">
      <c r="C114" s="2" t="s">
        <v>303</v>
      </c>
      <c r="D114" s="132" t="s">
        <v>323</v>
      </c>
      <c r="E114" s="132">
        <v>4.18384600835176</v>
      </c>
      <c r="F114" s="137">
        <v>3.17694532056006</v>
      </c>
      <c r="G114" s="137">
        <v>5.20810707442889</v>
      </c>
      <c r="K114">
        <f t="shared" si="22"/>
        <v>4.16648563006633</v>
      </c>
      <c r="M114" s="134"/>
      <c r="N114" s="134" t="s">
        <v>303</v>
      </c>
      <c r="O114" s="134" t="s">
        <v>323</v>
      </c>
      <c r="P114" s="134">
        <f t="shared" si="23"/>
        <v>4.18384600835176</v>
      </c>
      <c r="Q114" s="134">
        <f t="shared" si="20"/>
        <v>3.17694532056006</v>
      </c>
      <c r="R114" s="134">
        <f t="shared" si="21"/>
        <v>5.20810707442889</v>
      </c>
      <c r="AB114" s="136"/>
      <c r="AC114" s="136"/>
      <c r="AD114" s="133"/>
      <c r="AW114" s="122" t="s">
        <v>324</v>
      </c>
      <c r="AX114" s="123" t="s">
        <v>283</v>
      </c>
      <c r="AY114" s="123" t="s">
        <v>283</v>
      </c>
      <c r="AZ114" s="123" t="s">
        <v>283</v>
      </c>
      <c r="BA114" s="123" t="s">
        <v>283</v>
      </c>
      <c r="BB114" s="123" t="s">
        <v>283</v>
      </c>
      <c r="BC114" s="123" t="s">
        <v>283</v>
      </c>
      <c r="BD114" s="123" t="s">
        <v>283</v>
      </c>
      <c r="BH114" s="121" t="s">
        <v>30</v>
      </c>
      <c r="BI114" s="124">
        <v>0</v>
      </c>
      <c r="BJ114" s="124">
        <v>0</v>
      </c>
      <c r="BK114" s="124">
        <v>0</v>
      </c>
      <c r="BL114" s="124">
        <v>0</v>
      </c>
      <c r="BM114" s="125">
        <f xml:space="preserve">Attached_sourcedAlumina_and!P38</f>
        <v>952</v>
      </c>
      <c r="BN114" s="124">
        <v>0</v>
      </c>
      <c r="BO114" s="124">
        <v>0</v>
      </c>
    </row>
    <row r="115" spans="3:67">
      <c r="C115" s="2" t="s">
        <v>303</v>
      </c>
      <c r="D115" s="132" t="s">
        <v>325</v>
      </c>
      <c r="E115" s="132">
        <v>4.18384600835176</v>
      </c>
      <c r="F115" s="137">
        <v>3.17694532056006</v>
      </c>
      <c r="G115" s="137">
        <v>5.20810707442889</v>
      </c>
      <c r="K115">
        <f t="shared" si="22"/>
        <v>4.16648563006633</v>
      </c>
      <c r="M115" s="134"/>
      <c r="N115" s="134" t="s">
        <v>303</v>
      </c>
      <c r="O115" s="134" t="s">
        <v>325</v>
      </c>
      <c r="P115" s="134">
        <f t="shared" si="23"/>
        <v>4.18384600835176</v>
      </c>
      <c r="Q115" s="134">
        <f t="shared" si="20"/>
        <v>3.17694532056006</v>
      </c>
      <c r="R115" s="134">
        <f t="shared" si="21"/>
        <v>5.20810707442889</v>
      </c>
      <c r="AB115" s="136"/>
      <c r="AC115" s="136"/>
      <c r="AD115" s="133"/>
      <c r="AW115" s="122" t="s">
        <v>326</v>
      </c>
      <c r="AX115" s="123" t="s">
        <v>283</v>
      </c>
      <c r="AY115" s="123" t="s">
        <v>283</v>
      </c>
      <c r="AZ115" s="123" t="s">
        <v>283</v>
      </c>
      <c r="BA115" s="129">
        <v>7400</v>
      </c>
      <c r="BB115" s="123" t="s">
        <v>283</v>
      </c>
      <c r="BC115" s="123" t="s">
        <v>283</v>
      </c>
      <c r="BD115" s="123" t="s">
        <v>283</v>
      </c>
      <c r="BH115" s="121" t="s">
        <v>31</v>
      </c>
      <c r="BI115" s="124">
        <v>0</v>
      </c>
      <c r="BJ115" s="124">
        <v>0</v>
      </c>
      <c r="BK115" s="124">
        <v>0</v>
      </c>
      <c r="BL115" s="130">
        <v>7400</v>
      </c>
      <c r="BM115" s="125">
        <f xml:space="preserve">Attached_sourcedAlumina_and!P39</f>
        <v>0</v>
      </c>
      <c r="BN115" s="124">
        <v>0</v>
      </c>
      <c r="BO115" s="124">
        <v>0</v>
      </c>
    </row>
    <row r="116" spans="3:67">
      <c r="C116" s="2" t="s">
        <v>303</v>
      </c>
      <c r="D116" s="132" t="s">
        <v>327</v>
      </c>
      <c r="E116" s="132">
        <v>4.18384600835176</v>
      </c>
      <c r="F116" s="137">
        <v>3.17694532056006</v>
      </c>
      <c r="G116" s="137">
        <v>5.20810707442889</v>
      </c>
      <c r="K116">
        <f t="shared" si="22"/>
        <v>4.16648563006633</v>
      </c>
      <c r="M116" s="134"/>
      <c r="N116" s="134" t="s">
        <v>303</v>
      </c>
      <c r="O116" s="134" t="s">
        <v>327</v>
      </c>
      <c r="P116" s="134">
        <f t="shared" si="23"/>
        <v>4.18384600835176</v>
      </c>
      <c r="Q116" s="134">
        <f t="shared" si="20"/>
        <v>3.17694532056006</v>
      </c>
      <c r="R116" s="134">
        <f t="shared" si="21"/>
        <v>5.20810707442889</v>
      </c>
      <c r="AB116" s="136"/>
      <c r="AC116" s="136"/>
      <c r="AD116" s="133"/>
      <c r="AW116" s="122" t="s">
        <v>328</v>
      </c>
      <c r="AX116" s="128">
        <v>0.4</v>
      </c>
      <c r="AY116" s="123" t="s">
        <v>283</v>
      </c>
      <c r="AZ116" s="123" t="s">
        <v>283</v>
      </c>
      <c r="BA116" s="123" t="s">
        <v>283</v>
      </c>
      <c r="BB116" s="123" t="s">
        <v>283</v>
      </c>
      <c r="BC116" s="123" t="s">
        <v>283</v>
      </c>
      <c r="BD116" s="123" t="s">
        <v>283</v>
      </c>
      <c r="BH116" s="121" t="s">
        <v>32</v>
      </c>
      <c r="BI116" s="124">
        <v>0.4</v>
      </c>
      <c r="BJ116" s="124">
        <v>0</v>
      </c>
      <c r="BK116" s="124">
        <v>0</v>
      </c>
      <c r="BL116" s="124">
        <v>0</v>
      </c>
      <c r="BM116" s="125">
        <f xml:space="preserve">Attached_sourcedAlumina_and!P40</f>
        <v>434</v>
      </c>
      <c r="BN116" s="124">
        <v>0</v>
      </c>
      <c r="BO116" s="124">
        <v>0</v>
      </c>
    </row>
    <row r="117" spans="3:67">
      <c r="C117" s="2" t="s">
        <v>303</v>
      </c>
      <c r="D117" s="132" t="s">
        <v>329</v>
      </c>
      <c r="E117" s="132">
        <v>4.18384600835176</v>
      </c>
      <c r="F117" s="137">
        <v>3.17694532056006</v>
      </c>
      <c r="G117" s="137">
        <v>5.20810707442889</v>
      </c>
      <c r="K117">
        <f t="shared" si="22"/>
        <v>4.16648563006633</v>
      </c>
      <c r="M117" s="134"/>
      <c r="N117" s="134" t="s">
        <v>303</v>
      </c>
      <c r="O117" s="134" t="s">
        <v>329</v>
      </c>
      <c r="P117" s="134">
        <f t="shared" si="23"/>
        <v>4.18384600835176</v>
      </c>
      <c r="Q117" s="134">
        <f t="shared" si="20"/>
        <v>3.17694532056006</v>
      </c>
      <c r="R117" s="134">
        <f t="shared" si="21"/>
        <v>5.20810707442889</v>
      </c>
      <c r="AB117" s="136"/>
      <c r="AC117" s="136"/>
      <c r="AD117" s="133"/>
      <c r="AW117" s="122" t="s">
        <v>330</v>
      </c>
      <c r="AX117" s="123" t="s">
        <v>283</v>
      </c>
      <c r="AY117" s="123" t="s">
        <v>283</v>
      </c>
      <c r="AZ117" s="123" t="s">
        <v>283</v>
      </c>
      <c r="BA117" s="123" t="s">
        <v>283</v>
      </c>
      <c r="BB117" s="123" t="s">
        <v>283</v>
      </c>
      <c r="BC117" s="123" t="s">
        <v>283</v>
      </c>
      <c r="BD117" s="123" t="s">
        <v>283</v>
      </c>
      <c r="BH117" s="121" t="s">
        <v>33</v>
      </c>
      <c r="BI117" s="124">
        <v>0</v>
      </c>
      <c r="BJ117" s="124">
        <v>0</v>
      </c>
      <c r="BK117" s="124">
        <v>0</v>
      </c>
      <c r="BL117" s="124">
        <v>0</v>
      </c>
      <c r="BM117" s="125">
        <f xml:space="preserve">Attached_sourcedAlumina_and!P41</f>
        <v>0</v>
      </c>
      <c r="BN117" s="124">
        <v>0</v>
      </c>
      <c r="BO117" s="124">
        <v>0</v>
      </c>
    </row>
    <row r="118" spans="3:67">
      <c r="C118" s="2" t="s">
        <v>303</v>
      </c>
      <c r="D118" s="132" t="s">
        <v>331</v>
      </c>
      <c r="E118" s="132">
        <v>3.56556266273643</v>
      </c>
      <c r="F118" s="137">
        <v>2.70746042741341</v>
      </c>
      <c r="G118" s="137">
        <v>4.4384597641857</v>
      </c>
      <c r="K118">
        <f t="shared" si="22"/>
        <v>3.55076779661018</v>
      </c>
      <c r="M118" s="134"/>
      <c r="N118" s="134" t="s">
        <v>303</v>
      </c>
      <c r="O118" s="134" t="s">
        <v>331</v>
      </c>
      <c r="P118" s="134">
        <f t="shared" si="23"/>
        <v>3.56556266273643</v>
      </c>
      <c r="Q118" s="134">
        <f t="shared" si="20"/>
        <v>2.70746042741341</v>
      </c>
      <c r="R118" s="134">
        <f t="shared" si="21"/>
        <v>4.4384597641857</v>
      </c>
      <c r="AB118" s="136"/>
      <c r="AC118" s="136"/>
      <c r="AD118" s="133"/>
      <c r="AW118" s="122" t="s">
        <v>332</v>
      </c>
      <c r="AX118" s="123" t="s">
        <v>283</v>
      </c>
      <c r="AY118" s="123" t="s">
        <v>283</v>
      </c>
      <c r="AZ118" s="123" t="s">
        <v>283</v>
      </c>
      <c r="BA118" s="123" t="s">
        <v>283</v>
      </c>
      <c r="BB118" s="123" t="s">
        <v>283</v>
      </c>
      <c r="BC118" s="123" t="s">
        <v>283</v>
      </c>
      <c r="BD118" s="123" t="s">
        <v>283</v>
      </c>
      <c r="BH118" s="121" t="s">
        <v>34</v>
      </c>
      <c r="BI118" s="124">
        <v>0</v>
      </c>
      <c r="BJ118" s="124">
        <v>0</v>
      </c>
      <c r="BK118" s="124">
        <v>0</v>
      </c>
      <c r="BL118" s="124">
        <v>0</v>
      </c>
      <c r="BM118" s="125">
        <f xml:space="preserve">Attached_sourcedAlumina_and!P42</f>
        <v>0</v>
      </c>
      <c r="BN118" s="124">
        <v>0</v>
      </c>
      <c r="BO118" s="124">
        <v>0</v>
      </c>
    </row>
    <row r="119" spans="3:67">
      <c r="C119" s="2" t="s">
        <v>303</v>
      </c>
      <c r="D119" s="132" t="s">
        <v>333</v>
      </c>
      <c r="E119" s="132">
        <v>3.60087708179809</v>
      </c>
      <c r="F119" s="137">
        <v>2.73427597641857</v>
      </c>
      <c r="G119" s="137">
        <v>4.48241960206338</v>
      </c>
      <c r="K119">
        <f t="shared" si="22"/>
        <v>3.58593566691232</v>
      </c>
      <c r="M119" s="134"/>
      <c r="N119" s="134" t="s">
        <v>303</v>
      </c>
      <c r="O119" s="134" t="s">
        <v>333</v>
      </c>
      <c r="P119" s="134">
        <f t="shared" si="23"/>
        <v>3.60087708179809</v>
      </c>
      <c r="Q119" s="134">
        <f t="shared" si="20"/>
        <v>2.73427597641857</v>
      </c>
      <c r="R119" s="134">
        <f t="shared" si="21"/>
        <v>4.48241960206338</v>
      </c>
      <c r="AB119" s="136"/>
      <c r="AC119" s="136"/>
      <c r="AD119" s="133"/>
      <c r="AW119" s="122" t="s">
        <v>334</v>
      </c>
      <c r="AX119" s="123" t="s">
        <v>283</v>
      </c>
      <c r="AY119" s="128">
        <v>2.7</v>
      </c>
      <c r="AZ119" s="123" t="s">
        <v>283</v>
      </c>
      <c r="BA119" s="123" t="s">
        <v>283</v>
      </c>
      <c r="BB119" s="123" t="s">
        <v>283</v>
      </c>
      <c r="BC119" s="123" t="s">
        <v>283</v>
      </c>
      <c r="BD119" s="128">
        <v>3</v>
      </c>
      <c r="BH119" s="121" t="s">
        <v>35</v>
      </c>
      <c r="BI119" s="124">
        <v>0</v>
      </c>
      <c r="BJ119" s="124">
        <v>0</v>
      </c>
      <c r="BK119" s="124">
        <v>2.7</v>
      </c>
      <c r="BL119" s="124">
        <v>0</v>
      </c>
      <c r="BM119" s="125">
        <f xml:space="preserve">Attached_sourcedAlumina_and!P43</f>
        <v>169</v>
      </c>
      <c r="BN119" s="124">
        <v>0</v>
      </c>
      <c r="BO119" s="124">
        <v>3</v>
      </c>
    </row>
    <row r="120" spans="3:67">
      <c r="C120" s="2" t="s">
        <v>303</v>
      </c>
      <c r="D120" s="132" t="s">
        <v>335</v>
      </c>
      <c r="E120" s="132">
        <v>3.56556266273643</v>
      </c>
      <c r="F120" s="137">
        <v>2.70746042741341</v>
      </c>
      <c r="G120" s="137">
        <v>4.4384597641857</v>
      </c>
      <c r="K120">
        <f t="shared" si="22"/>
        <v>3.55076779661018</v>
      </c>
      <c r="M120" s="134"/>
      <c r="N120" s="134" t="s">
        <v>303</v>
      </c>
      <c r="O120" s="134" t="s">
        <v>335</v>
      </c>
      <c r="P120" s="134">
        <f t="shared" si="23"/>
        <v>3.56556266273643</v>
      </c>
      <c r="Q120" s="134">
        <f t="shared" si="20"/>
        <v>2.70746042741341</v>
      </c>
      <c r="R120" s="134">
        <f t="shared" si="21"/>
        <v>4.4384597641857</v>
      </c>
      <c r="AB120" s="136"/>
      <c r="AC120" s="136"/>
      <c r="AD120" s="133"/>
      <c r="AW120" s="122" t="s">
        <v>36</v>
      </c>
      <c r="AX120" s="123" t="s">
        <v>283</v>
      </c>
      <c r="AY120" s="123" t="s">
        <v>283</v>
      </c>
      <c r="AZ120" s="123" t="s">
        <v>283</v>
      </c>
      <c r="BA120" s="123" t="s">
        <v>283</v>
      </c>
      <c r="BB120" s="123" t="s">
        <v>283</v>
      </c>
      <c r="BC120" s="123" t="s">
        <v>283</v>
      </c>
      <c r="BD120" s="123" t="s">
        <v>283</v>
      </c>
      <c r="BH120" s="121" t="s">
        <v>36</v>
      </c>
      <c r="BI120" s="124">
        <v>0</v>
      </c>
      <c r="BJ120" s="124">
        <v>0</v>
      </c>
      <c r="BK120" s="124">
        <v>0</v>
      </c>
      <c r="BL120" s="124">
        <v>0</v>
      </c>
      <c r="BM120" s="125">
        <f xml:space="preserve">Attached_sourcedAlumina_and!P44</f>
        <v>0</v>
      </c>
      <c r="BN120" s="124">
        <v>0</v>
      </c>
      <c r="BO120" s="124">
        <v>0</v>
      </c>
    </row>
    <row r="121" spans="3:67">
      <c r="C121" s="2" t="s">
        <v>303</v>
      </c>
      <c r="D121" s="132" t="s">
        <v>336</v>
      </c>
      <c r="E121" s="132">
        <v>3.56645369688037</v>
      </c>
      <c r="F121" s="137">
        <v>2.70813706705969</v>
      </c>
      <c r="G121" s="137">
        <v>4.43956890198968</v>
      </c>
      <c r="K121">
        <f t="shared" si="22"/>
        <v>3.55165512159174</v>
      </c>
      <c r="M121" s="134"/>
      <c r="N121" s="134" t="s">
        <v>303</v>
      </c>
      <c r="O121" s="134" t="s">
        <v>336</v>
      </c>
      <c r="P121" s="134">
        <f t="shared" si="23"/>
        <v>3.56645369688037</v>
      </c>
      <c r="Q121" s="134">
        <f t="shared" si="20"/>
        <v>2.70813706705969</v>
      </c>
      <c r="R121" s="134">
        <f t="shared" si="21"/>
        <v>4.43956890198968</v>
      </c>
      <c r="AB121" s="136"/>
      <c r="AC121" s="136"/>
      <c r="AD121" s="133"/>
      <c r="AW121" s="122" t="s">
        <v>337</v>
      </c>
      <c r="AX121" s="123" t="s">
        <v>283</v>
      </c>
      <c r="AY121" s="123" t="s">
        <v>283</v>
      </c>
      <c r="AZ121" s="123" t="s">
        <v>283</v>
      </c>
      <c r="BA121" s="123" t="s">
        <v>283</v>
      </c>
      <c r="BB121" s="123" t="s">
        <v>283</v>
      </c>
      <c r="BC121" s="123" t="s">
        <v>283</v>
      </c>
      <c r="BD121" s="128">
        <v>1.2</v>
      </c>
      <c r="BH121" s="121" t="s">
        <v>37</v>
      </c>
      <c r="BI121" s="124">
        <v>0</v>
      </c>
      <c r="BJ121" s="124">
        <v>0</v>
      </c>
      <c r="BK121" s="124">
        <v>0</v>
      </c>
      <c r="BL121" s="124">
        <v>0</v>
      </c>
      <c r="BM121" s="125">
        <f xml:space="preserve">Attached_sourcedAlumina_and!P45</f>
        <v>0</v>
      </c>
      <c r="BN121" s="124">
        <v>0</v>
      </c>
      <c r="BO121" s="124">
        <v>1.2</v>
      </c>
    </row>
    <row r="122" spans="3:67">
      <c r="C122" s="2" t="s">
        <v>303</v>
      </c>
      <c r="D122" s="132" t="s">
        <v>338</v>
      </c>
      <c r="E122" s="132">
        <v>3.56585961680177</v>
      </c>
      <c r="F122" s="137">
        <v>2.70768592483419</v>
      </c>
      <c r="G122" s="137">
        <v>4.43882940309506</v>
      </c>
      <c r="K122">
        <f t="shared" si="22"/>
        <v>3.55106352247606</v>
      </c>
      <c r="M122" s="134"/>
      <c r="N122" s="134" t="s">
        <v>303</v>
      </c>
      <c r="O122" s="134" t="s">
        <v>338</v>
      </c>
      <c r="P122" s="134">
        <f t="shared" si="23"/>
        <v>3.56585961680177</v>
      </c>
      <c r="Q122" s="134">
        <f t="shared" si="20"/>
        <v>2.70768592483419</v>
      </c>
      <c r="R122" s="134">
        <f t="shared" si="21"/>
        <v>4.43882940309506</v>
      </c>
      <c r="AB122" s="136"/>
      <c r="AC122" s="136"/>
      <c r="AD122" s="133"/>
      <c r="AW122" s="122" t="s">
        <v>339</v>
      </c>
      <c r="AX122" s="123" t="s">
        <v>283</v>
      </c>
      <c r="AY122" s="123" t="s">
        <v>283</v>
      </c>
      <c r="AZ122" s="123" t="s">
        <v>283</v>
      </c>
      <c r="BA122" s="123" t="s">
        <v>283</v>
      </c>
      <c r="BB122" s="123" t="s">
        <v>283</v>
      </c>
      <c r="BC122" s="123" t="s">
        <v>283</v>
      </c>
      <c r="BD122" s="123" t="s">
        <v>283</v>
      </c>
      <c r="BH122" s="117" t="s">
        <v>281</v>
      </c>
      <c r="BI122" s="118">
        <v>240</v>
      </c>
      <c r="BJ122" s="139">
        <v>3700</v>
      </c>
      <c r="BK122" s="118">
        <v>290</v>
      </c>
      <c r="BL122" s="139">
        <v>20200</v>
      </c>
      <c r="BM122" s="125">
        <f xml:space="preserve">Attached_sourcedAlumina_and!P46</f>
        <v>75118</v>
      </c>
      <c r="BN122" s="139">
        <v>22000</v>
      </c>
      <c r="BO122" s="139">
        <v>1631</v>
      </c>
    </row>
    <row r="123" spans="3:67">
      <c r="C123" s="2" t="s">
        <v>303</v>
      </c>
      <c r="D123" s="132" t="s">
        <v>340</v>
      </c>
      <c r="E123" s="132">
        <v>3.56556266273643</v>
      </c>
      <c r="F123" s="137">
        <v>2.70746042741341</v>
      </c>
      <c r="G123" s="137">
        <v>4.4384597641857</v>
      </c>
      <c r="K123">
        <f t="shared" si="22"/>
        <v>3.55076779661018</v>
      </c>
      <c r="M123" s="134"/>
      <c r="N123" s="134" t="s">
        <v>303</v>
      </c>
      <c r="O123" s="134" t="s">
        <v>340</v>
      </c>
      <c r="P123" s="134">
        <f t="shared" si="23"/>
        <v>3.56556266273643</v>
      </c>
      <c r="Q123" s="134">
        <f t="shared" si="20"/>
        <v>2.70746042741341</v>
      </c>
      <c r="R123" s="134">
        <f t="shared" si="21"/>
        <v>4.4384597641857</v>
      </c>
      <c r="AB123" s="136"/>
      <c r="AC123" s="136"/>
      <c r="AD123" s="133"/>
      <c r="AW123" s="140" t="s">
        <v>281</v>
      </c>
      <c r="AX123" s="141">
        <v>240</v>
      </c>
      <c r="AY123" s="141">
        <v>290</v>
      </c>
      <c r="AZ123" s="142">
        <v>3700</v>
      </c>
      <c r="BA123" s="142">
        <v>20200</v>
      </c>
      <c r="BB123" s="142">
        <v>22000</v>
      </c>
      <c r="BC123" s="142">
        <v>72000</v>
      </c>
      <c r="BD123" s="142">
        <v>1631</v>
      </c>
    </row>
    <row r="124" spans="3:67">
      <c r="C124" s="2" t="s">
        <v>303</v>
      </c>
      <c r="D124" s="143" t="s">
        <v>341</v>
      </c>
      <c r="E124" s="132">
        <v>3.56496890198968</v>
      </c>
      <c r="F124" s="137">
        <v>2.70700957995578</v>
      </c>
      <c r="G124" s="137">
        <v>4.43772063375092</v>
      </c>
      <c r="K124">
        <f t="shared" si="22"/>
        <v>3.55017649226234</v>
      </c>
      <c r="M124" s="134"/>
      <c r="N124" s="134" t="s">
        <v>303</v>
      </c>
      <c r="O124" s="134" t="s">
        <v>341</v>
      </c>
      <c r="P124" s="134">
        <f t="shared" si="23"/>
        <v>3.56496890198968</v>
      </c>
      <c r="Q124" s="134">
        <f t="shared" si="20"/>
        <v>2.70700957995578</v>
      </c>
      <c r="R124" s="134">
        <f t="shared" si="21"/>
        <v>4.43772063375092</v>
      </c>
      <c r="AB124" s="136"/>
      <c r="AC124" s="136"/>
      <c r="AD124" s="133"/>
    </row>
    <row r="125" spans="3:67">
      <c r="AB125" s="133"/>
      <c r="AC125" s="133"/>
      <c r="AD125" s="133"/>
    </row>
    <row r="126" spans="3:67">
      <c r="AB126" s="133"/>
      <c r="AC126" s="133"/>
      <c r="AD126" s="133"/>
    </row>
    <row r="127" spans="3:67">
      <c r="AB127" s="133"/>
      <c r="AC127" s="133"/>
      <c r="AD127" s="133"/>
    </row>
    <row r="129" spans="3:35">
      <c r="C129" s="34"/>
      <c r="D129" s="34"/>
      <c r="E129" s="34"/>
      <c r="F129" s="34"/>
      <c r="G129" s="34"/>
    </row>
    <row r="130" spans="3:35">
      <c r="C130" s="34"/>
      <c r="D130" s="34"/>
      <c r="E130" s="34"/>
      <c r="F130" s="34"/>
      <c r="G130" s="34"/>
    </row>
    <row r="131" spans="3:35">
      <c r="C131" s="34"/>
      <c r="D131" s="34"/>
      <c r="E131" s="34"/>
      <c r="F131" s="34"/>
      <c r="G131" s="34"/>
    </row>
    <row r="132" ht="14.5" spans="3:35">
      <c r="C132" s="136"/>
      <c r="D132" s="133" t="s">
        <v>191</v>
      </c>
      <c r="E132" s="133"/>
      <c r="F132" s="133"/>
      <c r="G132" s="133"/>
      <c r="H132" s="144"/>
      <c r="I132" s="144"/>
      <c r="K132" s="136"/>
      <c r="L132" s="133" t="s">
        <v>191</v>
      </c>
      <c r="M132" s="133"/>
      <c r="O132" s="145"/>
      <c r="P132" s="145"/>
      <c r="Q132" s="134" t="s">
        <v>191</v>
      </c>
      <c r="R132" s="146"/>
      <c r="X132" s="144"/>
      <c r="Y132" s="147"/>
      <c r="Z132" s="144"/>
      <c r="AA132" s="144"/>
      <c r="AE132" s="2"/>
      <c r="AF132" t="s">
        <v>191</v>
      </c>
    </row>
    <row r="133" spans="3:35">
      <c r="C133" s="136" t="str">
        <f xml:space="preserve">C103</f>
        <v>attribute</v>
      </c>
      <c r="D133" s="136" t="s">
        <v>66</v>
      </c>
      <c r="E133" s="134" t="s">
        <v>65</v>
      </c>
      <c r="G133" s="148" t="s">
        <v>11</v>
      </c>
      <c r="H133" s="148" t="s">
        <v>25</v>
      </c>
      <c r="I133" s="144"/>
      <c r="K133" s="136" t="s">
        <v>166</v>
      </c>
      <c r="L133" s="136" t="s">
        <v>66</v>
      </c>
      <c r="M133" s="133" t="s">
        <v>65</v>
      </c>
      <c r="N133" s="2"/>
      <c r="O133" s="134" t="s">
        <v>193</v>
      </c>
      <c r="P133" s="134" t="s">
        <v>66</v>
      </c>
      <c r="Q133" s="134" t="s">
        <v>65</v>
      </c>
      <c r="S133" s="148" t="s">
        <v>11</v>
      </c>
      <c r="T133" s="148" t="s">
        <v>25</v>
      </c>
      <c r="X133" s="144"/>
      <c r="Y133" s="147"/>
      <c r="Z133" s="149"/>
      <c r="AA133" s="149"/>
      <c r="AB133" s="2"/>
      <c r="AC133" s="2"/>
      <c r="AD133" t="s">
        <v>41</v>
      </c>
      <c r="AE133" s="2" t="s">
        <v>193</v>
      </c>
      <c r="AF133" s="132" t="s">
        <v>66</v>
      </c>
      <c r="AG133" s="132" t="s">
        <v>65</v>
      </c>
      <c r="AH133" s="132" t="s">
        <v>11</v>
      </c>
      <c r="AI133" s="132" t="s">
        <v>25</v>
      </c>
    </row>
    <row r="134" ht="14.5" spans="3:35">
      <c r="C134" s="136" t="s">
        <v>342</v>
      </c>
      <c r="D134" s="136" t="s">
        <v>304</v>
      </c>
      <c r="E134" s="136">
        <v>10</v>
      </c>
      <c r="G134" s="150">
        <f xml:space="preserve">E134*Q104/P104</f>
        <v>7.59336098639432</v>
      </c>
      <c r="H134" s="151">
        <f xml:space="preserve">E134*R104/P104</f>
        <v>12.4481327968464</v>
      </c>
      <c r="I134" s="144"/>
      <c r="K134" s="152" t="s">
        <v>343</v>
      </c>
      <c r="L134" s="136" t="s">
        <v>304</v>
      </c>
      <c r="M134" s="153">
        <v>25</v>
      </c>
      <c r="N134" s="2"/>
      <c r="O134" s="154" t="s">
        <v>342</v>
      </c>
      <c r="P134" s="146" t="s">
        <v>68</v>
      </c>
      <c r="Q134" s="155">
        <f xml:space="preserve">E134</f>
        <v>10</v>
      </c>
      <c r="S134" s="156">
        <f xml:space="preserve">G134</f>
        <v>7.59336098639432</v>
      </c>
      <c r="T134" s="156">
        <f xml:space="preserve">H134</f>
        <v>12.4481327968464</v>
      </c>
      <c r="X134" s="144"/>
      <c r="Y134" s="147"/>
      <c r="Z134" s="149"/>
      <c r="AA134" s="149"/>
      <c r="AB134" s="2"/>
      <c r="AC134" s="2"/>
      <c r="AD134">
        <v>2050</v>
      </c>
      <c r="AE134" s="2" t="s">
        <v>303</v>
      </c>
      <c r="AF134" s="132" t="s">
        <v>304</v>
      </c>
      <c r="AG134" s="132">
        <f xml:space="preserve">E104*0.313</f>
        <v>2.22663316246622</v>
      </c>
      <c r="AH134" s="132">
        <f xml:space="preserve">F104*0.313</f>
        <v>1.69076293868828</v>
      </c>
      <c r="AI134" s="132">
        <f xml:space="preserve">G104*0.313</f>
        <v>2.77174252962417</v>
      </c>
    </row>
    <row r="135" ht="14.5" spans="3:35">
      <c r="C135" s="136" t="s">
        <v>342</v>
      </c>
      <c r="D135" s="136" t="s">
        <v>306</v>
      </c>
      <c r="E135" s="136">
        <f xml:space="preserve">E134</f>
        <v>10</v>
      </c>
      <c r="G135" s="150">
        <f t="shared" ref="G135:G154" si="24" xml:space="preserve">E135*Q105/P105</f>
        <v>7.59336098639432</v>
      </c>
      <c r="H135" s="151">
        <f t="shared" ref="H135:H154" si="25" xml:space="preserve">E135*R105/P105</f>
        <v>12.4481327968464</v>
      </c>
      <c r="I135" s="144"/>
      <c r="K135" s="152" t="s">
        <v>343</v>
      </c>
      <c r="L135" s="136" t="s">
        <v>306</v>
      </c>
      <c r="M135" s="153">
        <v>25</v>
      </c>
      <c r="N135" s="2"/>
      <c r="O135" s="154" t="s">
        <v>342</v>
      </c>
      <c r="P135" s="155" t="s">
        <v>73</v>
      </c>
      <c r="Q135" s="155">
        <f t="shared" ref="Q135:Q141" si="26" xml:space="preserve">E135</f>
        <v>10</v>
      </c>
      <c r="S135" s="156">
        <f t="shared" ref="S135:S141" si="27" xml:space="preserve">G135</f>
        <v>7.59336098639432</v>
      </c>
      <c r="T135" s="156">
        <f t="shared" ref="T135:T141" si="28" xml:space="preserve">H135</f>
        <v>12.4481327968464</v>
      </c>
      <c r="X135" s="144"/>
      <c r="Y135" s="147"/>
      <c r="Z135" s="149"/>
      <c r="AA135" s="149"/>
      <c r="AB135" s="2"/>
      <c r="AC135" s="2"/>
      <c r="AD135">
        <v>2050</v>
      </c>
      <c r="AE135" s="2" t="s">
        <v>303</v>
      </c>
      <c r="AF135" s="132" t="s">
        <v>306</v>
      </c>
      <c r="AG135" s="132">
        <f t="shared" ref="AG135:AG154" si="29" xml:space="preserve">E105*0.313</f>
        <v>2.22663316246622</v>
      </c>
      <c r="AH135" s="132">
        <f t="shared" ref="AH135:AH154" si="30" xml:space="preserve">F105*0.313</f>
        <v>1.69076293868828</v>
      </c>
      <c r="AI135" s="132">
        <f t="shared" ref="AI135:AI154" si="31" xml:space="preserve">G105*0.313</f>
        <v>2.77174252962417</v>
      </c>
    </row>
    <row r="136" ht="14.5" spans="3:35">
      <c r="C136" s="136" t="s">
        <v>342</v>
      </c>
      <c r="D136" s="136" t="s">
        <v>308</v>
      </c>
      <c r="E136" s="136">
        <f t="shared" ref="E136:E154" si="32" xml:space="preserve">E135</f>
        <v>10</v>
      </c>
      <c r="G136" s="150">
        <f t="shared" si="24"/>
        <v>7.5933609726061</v>
      </c>
      <c r="H136" s="151">
        <f t="shared" si="25"/>
        <v>12.4481328037283</v>
      </c>
      <c r="I136" s="144"/>
      <c r="K136" s="152" t="s">
        <v>343</v>
      </c>
      <c r="L136" s="136" t="s">
        <v>308</v>
      </c>
      <c r="M136" s="153">
        <v>25</v>
      </c>
      <c r="N136" s="2"/>
      <c r="O136" s="154" t="s">
        <v>342</v>
      </c>
      <c r="P136" s="155" t="s">
        <v>77</v>
      </c>
      <c r="Q136" s="155">
        <f t="shared" si="26"/>
        <v>10</v>
      </c>
      <c r="S136" s="156">
        <f t="shared" si="27"/>
        <v>7.5933609726061</v>
      </c>
      <c r="T136" s="156">
        <f t="shared" si="28"/>
        <v>12.4481328037283</v>
      </c>
      <c r="X136" s="144"/>
      <c r="Y136" s="147"/>
      <c r="Z136" s="149"/>
      <c r="AA136" s="149"/>
      <c r="AB136" s="2"/>
      <c r="AC136" s="2"/>
      <c r="AD136">
        <v>2050</v>
      </c>
      <c r="AE136" s="2" t="s">
        <v>303</v>
      </c>
      <c r="AF136" s="132" t="s">
        <v>308</v>
      </c>
      <c r="AG136" s="132">
        <f t="shared" si="29"/>
        <v>2.38811314546794</v>
      </c>
      <c r="AH136" s="132">
        <f t="shared" si="30"/>
        <v>1.81338051569639</v>
      </c>
      <c r="AI136" s="132">
        <f t="shared" si="31"/>
        <v>2.97275495851142</v>
      </c>
    </row>
    <row r="137" ht="14.5" spans="3:35">
      <c r="C137" s="136" t="s">
        <v>342</v>
      </c>
      <c r="D137" s="136" t="s">
        <v>310</v>
      </c>
      <c r="E137" s="136">
        <f t="shared" si="32"/>
        <v>10</v>
      </c>
      <c r="G137" s="150">
        <f t="shared" si="24"/>
        <v>7.5933609659728</v>
      </c>
      <c r="H137" s="151">
        <f t="shared" si="25"/>
        <v>12.4481327747623</v>
      </c>
      <c r="I137" s="144"/>
      <c r="K137" s="152" t="s">
        <v>343</v>
      </c>
      <c r="L137" s="136" t="s">
        <v>310</v>
      </c>
      <c r="M137" s="153">
        <v>25</v>
      </c>
      <c r="N137" s="2"/>
      <c r="O137" s="154" t="s">
        <v>342</v>
      </c>
      <c r="P137" s="155" t="s">
        <v>81</v>
      </c>
      <c r="Q137" s="155">
        <f t="shared" si="26"/>
        <v>10</v>
      </c>
      <c r="S137" s="156">
        <f t="shared" si="27"/>
        <v>7.5933609659728</v>
      </c>
      <c r="T137" s="156">
        <f t="shared" si="28"/>
        <v>12.4481327747623</v>
      </c>
      <c r="X137" s="144"/>
      <c r="Y137" s="147"/>
      <c r="Z137" s="149"/>
      <c r="AA137" s="149"/>
      <c r="AB137" s="2"/>
      <c r="AC137" s="2"/>
      <c r="AD137">
        <v>2050</v>
      </c>
      <c r="AE137" s="2" t="s">
        <v>303</v>
      </c>
      <c r="AF137" s="132" t="s">
        <v>310</v>
      </c>
      <c r="AG137" s="132">
        <f t="shared" si="29"/>
        <v>2.338413866028</v>
      </c>
      <c r="AH137" s="132">
        <f t="shared" si="30"/>
        <v>1.77564205725866</v>
      </c>
      <c r="AI137" s="132">
        <f t="shared" si="31"/>
        <v>2.91088862866618</v>
      </c>
    </row>
    <row r="138" ht="14.5" spans="3:35">
      <c r="C138" s="136" t="s">
        <v>342</v>
      </c>
      <c r="D138" s="136" t="s">
        <v>312</v>
      </c>
      <c r="E138" s="136">
        <f t="shared" si="32"/>
        <v>10</v>
      </c>
      <c r="G138" s="150">
        <f t="shared" si="24"/>
        <v>7.59336099829148</v>
      </c>
      <c r="H138" s="151">
        <f t="shared" si="25"/>
        <v>12.4481328114073</v>
      </c>
      <c r="I138" s="144"/>
      <c r="K138" s="152" t="s">
        <v>343</v>
      </c>
      <c r="L138" s="136" t="s">
        <v>312</v>
      </c>
      <c r="M138" s="153">
        <v>25</v>
      </c>
      <c r="N138" s="2"/>
      <c r="O138" s="154" t="s">
        <v>342</v>
      </c>
      <c r="P138" s="155" t="s">
        <v>90</v>
      </c>
      <c r="Q138" s="155">
        <f t="shared" si="26"/>
        <v>10</v>
      </c>
      <c r="S138" s="156">
        <f t="shared" si="27"/>
        <v>7.59336099829148</v>
      </c>
      <c r="T138" s="156">
        <f t="shared" si="28"/>
        <v>12.4481328114073</v>
      </c>
      <c r="X138" s="144"/>
      <c r="Y138" s="147"/>
      <c r="Z138" s="149"/>
      <c r="AA138" s="149"/>
      <c r="AB138" s="2"/>
      <c r="AC138" s="2"/>
      <c r="AD138">
        <v>2050</v>
      </c>
      <c r="AE138" s="2" t="s">
        <v>303</v>
      </c>
      <c r="AF138" s="132" t="s">
        <v>312</v>
      </c>
      <c r="AG138" s="132">
        <f t="shared" si="29"/>
        <v>2.35264421766151</v>
      </c>
      <c r="AH138" s="132">
        <f t="shared" si="30"/>
        <v>1.78644768452469</v>
      </c>
      <c r="AI138" s="132">
        <f t="shared" si="31"/>
        <v>2.92860276794399</v>
      </c>
    </row>
    <row r="139" ht="14.5" spans="3:35">
      <c r="C139" s="136" t="s">
        <v>342</v>
      </c>
      <c r="D139" s="136" t="s">
        <v>314</v>
      </c>
      <c r="E139" s="136">
        <f t="shared" si="32"/>
        <v>10</v>
      </c>
      <c r="G139" s="150">
        <f t="shared" si="24"/>
        <v>7.59336101812461</v>
      </c>
      <c r="H139" s="151">
        <f t="shared" si="25"/>
        <v>12.4481327893976</v>
      </c>
      <c r="I139" s="144"/>
      <c r="K139" s="152" t="s">
        <v>343</v>
      </c>
      <c r="L139" s="136" t="s">
        <v>314</v>
      </c>
      <c r="M139" s="153">
        <v>25</v>
      </c>
      <c r="N139" s="2"/>
      <c r="O139" s="154" t="s">
        <v>342</v>
      </c>
      <c r="P139" s="155" t="s">
        <v>94</v>
      </c>
      <c r="Q139" s="155">
        <f t="shared" si="26"/>
        <v>10</v>
      </c>
      <c r="S139" s="156">
        <f t="shared" si="27"/>
        <v>7.59336101812461</v>
      </c>
      <c r="T139" s="156">
        <f t="shared" si="28"/>
        <v>12.4481327893976</v>
      </c>
      <c r="X139" s="144"/>
      <c r="Y139" s="147"/>
      <c r="Z139" s="149"/>
      <c r="AA139" s="149"/>
      <c r="AB139" s="2"/>
      <c r="AC139" s="2"/>
      <c r="AD139">
        <v>2050</v>
      </c>
      <c r="AE139" s="2" t="s">
        <v>303</v>
      </c>
      <c r="AF139" s="132" t="s">
        <v>314</v>
      </c>
      <c r="AG139" s="132">
        <f t="shared" si="29"/>
        <v>2.36326350574797</v>
      </c>
      <c r="AH139" s="132">
        <f t="shared" si="30"/>
        <v>1.79451129801032</v>
      </c>
      <c r="AI139" s="132">
        <f t="shared" si="31"/>
        <v>2.9418217935888</v>
      </c>
    </row>
    <row r="140" ht="14.5" spans="3:35">
      <c r="C140" s="136" t="s">
        <v>342</v>
      </c>
      <c r="D140" s="136" t="s">
        <v>316</v>
      </c>
      <c r="E140" s="136">
        <f t="shared" si="32"/>
        <v>10</v>
      </c>
      <c r="G140" s="150">
        <f t="shared" si="24"/>
        <v>7.5933609726061</v>
      </c>
      <c r="H140" s="151">
        <f t="shared" si="25"/>
        <v>12.4481328037283</v>
      </c>
      <c r="I140" s="144"/>
      <c r="K140" s="152" t="s">
        <v>343</v>
      </c>
      <c r="L140" s="136" t="s">
        <v>316</v>
      </c>
      <c r="M140" s="153">
        <v>25</v>
      </c>
      <c r="N140" s="2"/>
      <c r="O140" s="154" t="s">
        <v>342</v>
      </c>
      <c r="P140" s="155" t="s">
        <v>86</v>
      </c>
      <c r="Q140" s="155">
        <f t="shared" si="26"/>
        <v>10</v>
      </c>
      <c r="S140" s="156">
        <f t="shared" si="27"/>
        <v>7.5933609726061</v>
      </c>
      <c r="T140" s="156">
        <f t="shared" si="28"/>
        <v>12.4481328037283</v>
      </c>
      <c r="X140" s="144"/>
      <c r="Y140" s="147"/>
      <c r="Z140" s="149"/>
      <c r="AA140" s="149"/>
      <c r="AB140" s="2"/>
      <c r="AC140" s="2"/>
      <c r="AD140">
        <v>2050</v>
      </c>
      <c r="AE140" s="2" t="s">
        <v>303</v>
      </c>
      <c r="AF140" s="132" t="s">
        <v>316</v>
      </c>
      <c r="AG140" s="132">
        <f t="shared" si="29"/>
        <v>2.38811314546794</v>
      </c>
      <c r="AH140" s="132">
        <f t="shared" si="30"/>
        <v>1.81338051569639</v>
      </c>
      <c r="AI140" s="132">
        <f t="shared" si="31"/>
        <v>2.97275495851142</v>
      </c>
    </row>
    <row r="141" ht="14.5" spans="3:35">
      <c r="C141" s="136" t="s">
        <v>342</v>
      </c>
      <c r="D141" s="136" t="s">
        <v>318</v>
      </c>
      <c r="E141" s="136">
        <f t="shared" si="32"/>
        <v>10</v>
      </c>
      <c r="G141" s="150">
        <f t="shared" si="24"/>
        <v>7.59336102289202</v>
      </c>
      <c r="H141" s="151">
        <f t="shared" si="25"/>
        <v>12.448132804201</v>
      </c>
      <c r="I141" s="144"/>
      <c r="K141" s="152" t="s">
        <v>343</v>
      </c>
      <c r="L141" s="136" t="s">
        <v>318</v>
      </c>
      <c r="M141" s="153">
        <v>25</v>
      </c>
      <c r="N141" s="2"/>
      <c r="O141" s="154" t="s">
        <v>342</v>
      </c>
      <c r="P141" s="155" t="s">
        <v>97</v>
      </c>
      <c r="Q141" s="155">
        <f t="shared" si="26"/>
        <v>10</v>
      </c>
      <c r="S141" s="156">
        <f t="shared" si="27"/>
        <v>7.59336102289202</v>
      </c>
      <c r="T141" s="156">
        <f t="shared" si="28"/>
        <v>12.448132804201</v>
      </c>
      <c r="X141" s="144"/>
      <c r="Y141" s="147"/>
      <c r="Z141" s="149"/>
      <c r="AA141" s="149"/>
      <c r="AB141" s="2"/>
      <c r="AC141" s="2"/>
      <c r="AD141">
        <v>2050</v>
      </c>
      <c r="AE141" s="2" t="s">
        <v>303</v>
      </c>
      <c r="AF141" s="132" t="s">
        <v>318</v>
      </c>
      <c r="AG141" s="132">
        <f t="shared" si="29"/>
        <v>1.3095438006141</v>
      </c>
      <c r="AH141" s="132">
        <f t="shared" si="30"/>
        <v>0.994383885335299</v>
      </c>
      <c r="AI141" s="132">
        <f t="shared" si="31"/>
        <v>1.63013751429624</v>
      </c>
    </row>
    <row r="142" spans="3:35">
      <c r="C142" s="136" t="s">
        <v>342</v>
      </c>
      <c r="D142" s="136" t="s">
        <v>320</v>
      </c>
      <c r="E142" s="136">
        <f t="shared" si="32"/>
        <v>10</v>
      </c>
      <c r="G142" s="150">
        <f t="shared" si="24"/>
        <v>7.59336102289202</v>
      </c>
      <c r="H142" s="151">
        <f t="shared" si="25"/>
        <v>12.448132804201</v>
      </c>
      <c r="I142" s="144"/>
      <c r="K142" s="152" t="s">
        <v>343</v>
      </c>
      <c r="L142" s="136" t="s">
        <v>320</v>
      </c>
      <c r="M142" s="153">
        <v>25</v>
      </c>
      <c r="N142" s="2"/>
      <c r="O142" s="2"/>
      <c r="P142" s="2"/>
      <c r="Q142" s="2"/>
      <c r="X142" s="144"/>
      <c r="Y142" s="147"/>
      <c r="Z142" s="149"/>
      <c r="AA142" s="149"/>
      <c r="AB142" s="2"/>
      <c r="AC142" s="2"/>
      <c r="AD142">
        <v>2050</v>
      </c>
      <c r="AE142" s="2" t="s">
        <v>303</v>
      </c>
      <c r="AF142" s="132" t="s">
        <v>320</v>
      </c>
      <c r="AG142" s="132">
        <f t="shared" si="29"/>
        <v>1.3095438006141</v>
      </c>
      <c r="AH142" s="132">
        <f t="shared" si="30"/>
        <v>0.994383885335299</v>
      </c>
      <c r="AI142" s="132">
        <f t="shared" si="31"/>
        <v>1.63013751429624</v>
      </c>
    </row>
    <row r="143" spans="3:35">
      <c r="C143" s="136" t="s">
        <v>342</v>
      </c>
      <c r="D143" s="136" t="s">
        <v>321</v>
      </c>
      <c r="E143" s="136">
        <f t="shared" si="32"/>
        <v>10</v>
      </c>
      <c r="G143" s="150">
        <f t="shared" si="24"/>
        <v>7.59336102289202</v>
      </c>
      <c r="H143" s="151">
        <f t="shared" si="25"/>
        <v>12.448132804201</v>
      </c>
      <c r="I143" s="144"/>
      <c r="K143" s="152" t="s">
        <v>343</v>
      </c>
      <c r="L143" s="136" t="s">
        <v>321</v>
      </c>
      <c r="M143" s="153">
        <v>25</v>
      </c>
      <c r="N143" s="2"/>
      <c r="O143" s="2"/>
      <c r="P143" s="2"/>
      <c r="Q143" s="2"/>
      <c r="X143" s="144"/>
      <c r="Y143" s="147"/>
      <c r="Z143" s="149"/>
      <c r="AA143" s="149"/>
      <c r="AB143" s="2"/>
      <c r="AC143" s="2"/>
      <c r="AD143">
        <v>2050</v>
      </c>
      <c r="AE143" s="2" t="s">
        <v>303</v>
      </c>
      <c r="AF143" s="132" t="s">
        <v>321</v>
      </c>
      <c r="AG143" s="132">
        <f t="shared" si="29"/>
        <v>1.3095438006141</v>
      </c>
      <c r="AH143" s="132">
        <f t="shared" si="30"/>
        <v>0.994383885335299</v>
      </c>
      <c r="AI143" s="132">
        <f t="shared" si="31"/>
        <v>1.63013751429624</v>
      </c>
    </row>
    <row r="144" spans="3:35">
      <c r="C144" s="136" t="s">
        <v>342</v>
      </c>
      <c r="D144" s="136" t="s">
        <v>323</v>
      </c>
      <c r="E144" s="136">
        <f t="shared" si="32"/>
        <v>10</v>
      </c>
      <c r="G144" s="150">
        <f t="shared" si="24"/>
        <v>7.59336102289202</v>
      </c>
      <c r="H144" s="151">
        <f t="shared" si="25"/>
        <v>12.448132804201</v>
      </c>
      <c r="I144" s="144"/>
      <c r="K144" s="152" t="s">
        <v>343</v>
      </c>
      <c r="L144" s="136" t="s">
        <v>323</v>
      </c>
      <c r="M144" s="153">
        <v>25</v>
      </c>
      <c r="N144" s="2"/>
      <c r="O144" s="2"/>
      <c r="P144" s="2"/>
      <c r="Q144" s="2"/>
      <c r="X144" s="144"/>
      <c r="Y144" s="147"/>
      <c r="Z144" s="149"/>
      <c r="AA144" s="149"/>
      <c r="AB144" s="2"/>
      <c r="AC144" s="2"/>
      <c r="AD144">
        <v>2050</v>
      </c>
      <c r="AE144" s="2" t="s">
        <v>303</v>
      </c>
      <c r="AF144" s="132" t="s">
        <v>323</v>
      </c>
      <c r="AG144" s="132">
        <f t="shared" si="29"/>
        <v>1.3095438006141</v>
      </c>
      <c r="AH144" s="132">
        <f t="shared" si="30"/>
        <v>0.994383885335299</v>
      </c>
      <c r="AI144" s="132">
        <f t="shared" si="31"/>
        <v>1.63013751429624</v>
      </c>
    </row>
    <row r="145" spans="3:35">
      <c r="C145" s="136" t="s">
        <v>342</v>
      </c>
      <c r="D145" s="136" t="s">
        <v>325</v>
      </c>
      <c r="E145" s="136">
        <f t="shared" si="32"/>
        <v>10</v>
      </c>
      <c r="G145" s="150">
        <f t="shared" si="24"/>
        <v>7.59336102289202</v>
      </c>
      <c r="H145" s="151">
        <f t="shared" si="25"/>
        <v>12.448132804201</v>
      </c>
      <c r="I145" s="144"/>
      <c r="K145" s="152" t="s">
        <v>343</v>
      </c>
      <c r="L145" s="136" t="s">
        <v>325</v>
      </c>
      <c r="M145" s="153">
        <v>25</v>
      </c>
      <c r="N145" s="2"/>
      <c r="O145" s="2"/>
      <c r="P145" s="2"/>
      <c r="Q145" s="2"/>
      <c r="X145" s="144"/>
      <c r="Y145" s="147"/>
      <c r="Z145" s="149"/>
      <c r="AA145" s="149"/>
      <c r="AB145" s="2"/>
      <c r="AC145" s="2"/>
      <c r="AD145">
        <v>2050</v>
      </c>
      <c r="AE145" s="2" t="s">
        <v>303</v>
      </c>
      <c r="AF145" s="132" t="s">
        <v>325</v>
      </c>
      <c r="AG145" s="132">
        <f t="shared" si="29"/>
        <v>1.3095438006141</v>
      </c>
      <c r="AH145" s="132">
        <f t="shared" si="30"/>
        <v>0.994383885335299</v>
      </c>
      <c r="AI145" s="132">
        <f t="shared" si="31"/>
        <v>1.63013751429624</v>
      </c>
    </row>
    <row r="146" spans="3:35">
      <c r="C146" s="136" t="s">
        <v>342</v>
      </c>
      <c r="D146" s="136" t="s">
        <v>327</v>
      </c>
      <c r="E146" s="136">
        <f t="shared" si="32"/>
        <v>10</v>
      </c>
      <c r="G146" s="150">
        <f t="shared" si="24"/>
        <v>7.59336102289202</v>
      </c>
      <c r="H146" s="151">
        <f t="shared" si="25"/>
        <v>12.448132804201</v>
      </c>
      <c r="I146" s="144"/>
      <c r="K146" s="152" t="s">
        <v>343</v>
      </c>
      <c r="L146" s="136" t="s">
        <v>327</v>
      </c>
      <c r="M146" s="153">
        <v>25</v>
      </c>
      <c r="N146" s="2"/>
      <c r="O146" s="2"/>
      <c r="P146" s="2"/>
      <c r="Q146" s="2"/>
      <c r="X146" s="144"/>
      <c r="Y146" s="147"/>
      <c r="Z146" s="149"/>
      <c r="AA146" s="149"/>
      <c r="AB146" s="2"/>
      <c r="AC146" s="2"/>
      <c r="AD146">
        <v>2050</v>
      </c>
      <c r="AE146" s="2" t="s">
        <v>303</v>
      </c>
      <c r="AF146" s="132" t="s">
        <v>327</v>
      </c>
      <c r="AG146" s="132">
        <f t="shared" si="29"/>
        <v>1.3095438006141</v>
      </c>
      <c r="AH146" s="132">
        <f t="shared" si="30"/>
        <v>0.994383885335299</v>
      </c>
      <c r="AI146" s="132">
        <f t="shared" si="31"/>
        <v>1.63013751429624</v>
      </c>
    </row>
    <row r="147" spans="3:35">
      <c r="C147" s="136" t="s">
        <v>342</v>
      </c>
      <c r="D147" s="136" t="s">
        <v>329</v>
      </c>
      <c r="E147" s="136">
        <f t="shared" si="32"/>
        <v>10</v>
      </c>
      <c r="G147" s="150">
        <f t="shared" si="24"/>
        <v>7.59336102289202</v>
      </c>
      <c r="H147" s="151">
        <f t="shared" si="25"/>
        <v>12.448132804201</v>
      </c>
      <c r="I147" s="144"/>
      <c r="K147" s="152" t="s">
        <v>343</v>
      </c>
      <c r="L147" s="136" t="s">
        <v>329</v>
      </c>
      <c r="M147" s="153">
        <v>25</v>
      </c>
      <c r="N147" s="2"/>
      <c r="O147" s="2"/>
      <c r="P147" s="2"/>
      <c r="Q147" s="2"/>
      <c r="X147" s="144"/>
      <c r="Y147" s="147"/>
      <c r="Z147" s="149"/>
      <c r="AA147" s="149"/>
      <c r="AB147" s="2"/>
      <c r="AC147" s="2"/>
      <c r="AD147">
        <v>2050</v>
      </c>
      <c r="AE147" s="2" t="s">
        <v>303</v>
      </c>
      <c r="AF147" s="132" t="s">
        <v>329</v>
      </c>
      <c r="AG147" s="132">
        <f t="shared" si="29"/>
        <v>1.3095438006141</v>
      </c>
      <c r="AH147" s="132">
        <f t="shared" si="30"/>
        <v>0.994383885335299</v>
      </c>
      <c r="AI147" s="132">
        <f t="shared" si="31"/>
        <v>1.63013751429624</v>
      </c>
    </row>
    <row r="148" spans="3:35">
      <c r="C148" s="136" t="s">
        <v>342</v>
      </c>
      <c r="D148" s="136" t="s">
        <v>331</v>
      </c>
      <c r="E148" s="136">
        <f t="shared" si="32"/>
        <v>10</v>
      </c>
      <c r="G148" s="150">
        <f t="shared" si="24"/>
        <v>7.59336094611093</v>
      </c>
      <c r="H148" s="151">
        <f t="shared" si="25"/>
        <v>12.4481328306802</v>
      </c>
      <c r="I148" s="144"/>
      <c r="K148" s="152" t="s">
        <v>343</v>
      </c>
      <c r="L148" s="136" t="s">
        <v>331</v>
      </c>
      <c r="M148" s="153">
        <v>25</v>
      </c>
      <c r="N148" s="2"/>
      <c r="O148" s="2"/>
      <c r="P148" s="2"/>
      <c r="Q148" s="2"/>
      <c r="X148" s="144"/>
      <c r="Y148" s="147"/>
      <c r="Z148" s="149"/>
      <c r="AA148" s="149"/>
      <c r="AB148" s="2"/>
      <c r="AC148" s="2"/>
      <c r="AD148">
        <v>2050</v>
      </c>
      <c r="AE148" s="2" t="s">
        <v>303</v>
      </c>
      <c r="AF148" s="132" t="s">
        <v>331</v>
      </c>
      <c r="AG148" s="132">
        <f t="shared" si="29"/>
        <v>1.1160211134365</v>
      </c>
      <c r="AH148" s="132">
        <f t="shared" si="30"/>
        <v>0.847435113780397</v>
      </c>
      <c r="AI148" s="132">
        <f t="shared" si="31"/>
        <v>1.38923790619012</v>
      </c>
    </row>
    <row r="149" spans="3:35">
      <c r="C149" s="136" t="s">
        <v>342</v>
      </c>
      <c r="D149" s="136" t="s">
        <v>333</v>
      </c>
      <c r="E149" s="136">
        <f t="shared" si="32"/>
        <v>10</v>
      </c>
      <c r="G149" s="150">
        <f t="shared" si="24"/>
        <v>7.59336104595166</v>
      </c>
      <c r="H149" s="151">
        <f t="shared" si="25"/>
        <v>12.448132774988</v>
      </c>
      <c r="I149" s="144"/>
      <c r="K149" s="152" t="s">
        <v>343</v>
      </c>
      <c r="L149" s="136" t="s">
        <v>333</v>
      </c>
      <c r="M149" s="153">
        <v>25</v>
      </c>
      <c r="N149" s="2"/>
      <c r="O149" s="2"/>
      <c r="P149" s="2"/>
      <c r="Q149" s="2"/>
      <c r="X149" s="144"/>
      <c r="Y149" s="147"/>
      <c r="Z149" s="149"/>
      <c r="AA149" s="149"/>
      <c r="AB149" s="2"/>
      <c r="AC149" s="2"/>
      <c r="AD149">
        <v>2050</v>
      </c>
      <c r="AE149" s="2" t="s">
        <v>303</v>
      </c>
      <c r="AF149" s="132" t="s">
        <v>333</v>
      </c>
      <c r="AG149" s="132">
        <f t="shared" si="29"/>
        <v>1.1270745266028</v>
      </c>
      <c r="AH149" s="132">
        <f t="shared" si="30"/>
        <v>0.855828380619012</v>
      </c>
      <c r="AI149" s="132">
        <f t="shared" si="31"/>
        <v>1.40299733544584</v>
      </c>
    </row>
    <row r="150" spans="3:35">
      <c r="C150" s="136" t="s">
        <v>342</v>
      </c>
      <c r="D150" s="136" t="s">
        <v>335</v>
      </c>
      <c r="E150" s="136">
        <f t="shared" si="32"/>
        <v>10</v>
      </c>
      <c r="G150" s="150">
        <f t="shared" si="24"/>
        <v>7.59336094611093</v>
      </c>
      <c r="H150" s="151">
        <f t="shared" si="25"/>
        <v>12.4481328306802</v>
      </c>
      <c r="I150" s="144"/>
      <c r="K150" s="152" t="s">
        <v>343</v>
      </c>
      <c r="L150" s="136" t="s">
        <v>335</v>
      </c>
      <c r="M150" s="153">
        <v>25</v>
      </c>
      <c r="N150" s="2"/>
      <c r="O150" s="2"/>
      <c r="P150" s="2"/>
      <c r="Q150" s="2"/>
      <c r="X150" s="144"/>
      <c r="Y150" s="147"/>
      <c r="Z150" s="149"/>
      <c r="AA150" s="149"/>
      <c r="AB150" s="2"/>
      <c r="AC150" s="2"/>
      <c r="AD150">
        <v>2050</v>
      </c>
      <c r="AE150" s="2" t="s">
        <v>303</v>
      </c>
      <c r="AF150" s="132" t="s">
        <v>335</v>
      </c>
      <c r="AG150" s="132">
        <f t="shared" si="29"/>
        <v>1.1160211134365</v>
      </c>
      <c r="AH150" s="132">
        <f t="shared" si="30"/>
        <v>0.847435113780397</v>
      </c>
      <c r="AI150" s="132">
        <f t="shared" si="31"/>
        <v>1.38923790619012</v>
      </c>
    </row>
    <row r="151" spans="3:35">
      <c r="C151" s="136" t="s">
        <v>342</v>
      </c>
      <c r="D151" s="136" t="s">
        <v>336</v>
      </c>
      <c r="E151" s="136">
        <f t="shared" si="32"/>
        <v>10</v>
      </c>
      <c r="G151" s="150">
        <f t="shared" si="24"/>
        <v>7.59336107301362</v>
      </c>
      <c r="H151" s="151">
        <f t="shared" si="25"/>
        <v>12.4481327372147</v>
      </c>
      <c r="I151" s="144"/>
      <c r="K151" s="152" t="s">
        <v>343</v>
      </c>
      <c r="L151" s="136" t="s">
        <v>336</v>
      </c>
      <c r="M151" s="153">
        <v>25</v>
      </c>
      <c r="N151" s="2"/>
      <c r="O151" s="2"/>
      <c r="P151" s="2"/>
      <c r="Q151" s="2"/>
      <c r="X151" s="144"/>
      <c r="Y151" s="147"/>
      <c r="Z151" s="149"/>
      <c r="AA151" s="149"/>
      <c r="AB151" s="2"/>
      <c r="AC151" s="2"/>
      <c r="AD151">
        <v>2050</v>
      </c>
      <c r="AE151" s="2" t="s">
        <v>303</v>
      </c>
      <c r="AF151" s="132" t="s">
        <v>336</v>
      </c>
      <c r="AG151" s="132">
        <f t="shared" si="29"/>
        <v>1.11630000712356</v>
      </c>
      <c r="AH151" s="132">
        <f t="shared" si="30"/>
        <v>0.847646901989683</v>
      </c>
      <c r="AI151" s="132">
        <f t="shared" si="31"/>
        <v>1.38958506632277</v>
      </c>
    </row>
    <row r="152" spans="3:35">
      <c r="C152" s="136" t="s">
        <v>342</v>
      </c>
      <c r="D152" s="136" t="s">
        <v>338</v>
      </c>
      <c r="E152" s="136">
        <f t="shared" si="32"/>
        <v>10</v>
      </c>
      <c r="G152" s="150">
        <f t="shared" si="24"/>
        <v>7.59336097269786</v>
      </c>
      <c r="H152" s="151">
        <f t="shared" si="25"/>
        <v>12.4481327929456</v>
      </c>
      <c r="I152" s="144"/>
      <c r="K152" s="152" t="s">
        <v>343</v>
      </c>
      <c r="L152" s="136" t="s">
        <v>338</v>
      </c>
      <c r="M152" s="153">
        <v>25</v>
      </c>
      <c r="N152" s="2"/>
      <c r="O152" s="2"/>
      <c r="P152" s="2"/>
      <c r="Q152" s="2"/>
      <c r="X152" s="144"/>
      <c r="Y152" s="147"/>
      <c r="Z152" s="149"/>
      <c r="AA152" s="149"/>
      <c r="AB152" s="2"/>
      <c r="AC152" s="2"/>
      <c r="AD152">
        <v>2050</v>
      </c>
      <c r="AE152" s="2" t="s">
        <v>303</v>
      </c>
      <c r="AF152" s="132" t="s">
        <v>338</v>
      </c>
      <c r="AG152" s="132">
        <f t="shared" si="29"/>
        <v>1.11611406005895</v>
      </c>
      <c r="AH152" s="132">
        <f t="shared" si="30"/>
        <v>0.847505694473101</v>
      </c>
      <c r="AI152" s="132">
        <f t="shared" si="31"/>
        <v>1.38935360316875</v>
      </c>
    </row>
    <row r="153" spans="3:35">
      <c r="C153" s="136" t="s">
        <v>342</v>
      </c>
      <c r="D153" s="136" t="s">
        <v>340</v>
      </c>
      <c r="E153" s="136">
        <f t="shared" si="32"/>
        <v>10</v>
      </c>
      <c r="G153" s="150">
        <f t="shared" si="24"/>
        <v>7.59336094611093</v>
      </c>
      <c r="H153" s="151">
        <f t="shared" si="25"/>
        <v>12.4481328306802</v>
      </c>
      <c r="I153" s="144"/>
      <c r="K153" s="152" t="s">
        <v>343</v>
      </c>
      <c r="L153" s="136" t="s">
        <v>340</v>
      </c>
      <c r="M153" s="153">
        <v>25</v>
      </c>
      <c r="N153" s="2"/>
      <c r="O153" s="2"/>
      <c r="P153" s="2"/>
      <c r="Q153" s="2"/>
      <c r="X153" s="144"/>
      <c r="Y153" s="147"/>
      <c r="Z153" s="149"/>
      <c r="AA153" s="149"/>
      <c r="AB153" s="2"/>
      <c r="AC153" s="2"/>
      <c r="AD153">
        <v>2050</v>
      </c>
      <c r="AE153" s="2" t="s">
        <v>303</v>
      </c>
      <c r="AF153" s="132" t="s">
        <v>340</v>
      </c>
      <c r="AG153" s="132">
        <f t="shared" si="29"/>
        <v>1.1160211134365</v>
      </c>
      <c r="AH153" s="132">
        <f t="shared" si="30"/>
        <v>0.847435113780397</v>
      </c>
      <c r="AI153" s="132">
        <f t="shared" si="31"/>
        <v>1.38923790619012</v>
      </c>
    </row>
    <row r="154" spans="3:35">
      <c r="C154" s="136" t="s">
        <v>342</v>
      </c>
      <c r="D154" s="136" t="s">
        <v>341</v>
      </c>
      <c r="E154" s="136">
        <f t="shared" si="32"/>
        <v>10</v>
      </c>
      <c r="G154" s="150">
        <f t="shared" si="24"/>
        <v>7.59336099241972</v>
      </c>
      <c r="H154" s="151">
        <f t="shared" si="25"/>
        <v>12.448132804957</v>
      </c>
      <c r="I154" s="144"/>
      <c r="K154" s="152" t="s">
        <v>343</v>
      </c>
      <c r="L154" s="136" t="s">
        <v>341</v>
      </c>
      <c r="M154" s="153">
        <v>25</v>
      </c>
      <c r="N154" s="2"/>
      <c r="O154" s="2"/>
      <c r="P154" s="2"/>
      <c r="Q154" s="2"/>
      <c r="X154" s="144"/>
      <c r="Y154" s="147"/>
      <c r="Z154" s="149"/>
      <c r="AA154" s="149"/>
      <c r="AB154" s="2"/>
      <c r="AC154" s="2"/>
      <c r="AD154">
        <v>2050</v>
      </c>
      <c r="AE154" s="2" t="s">
        <v>303</v>
      </c>
      <c r="AF154" s="143" t="s">
        <v>341</v>
      </c>
      <c r="AG154" s="132">
        <f t="shared" si="29"/>
        <v>1.11583526632277</v>
      </c>
      <c r="AH154" s="132">
        <f t="shared" si="30"/>
        <v>0.847293998526159</v>
      </c>
      <c r="AI154" s="132">
        <f t="shared" si="31"/>
        <v>1.38900655836404</v>
      </c>
    </row>
    <row r="155" spans="3:35">
      <c r="C155" s="144"/>
      <c r="D155" s="144"/>
      <c r="E155" s="144"/>
      <c r="F155" s="144"/>
      <c r="G155" s="144"/>
      <c r="H155" s="144"/>
      <c r="I155" s="144"/>
      <c r="J155" s="144"/>
      <c r="K155" s="144"/>
      <c r="L155" s="144"/>
    </row>
    <row r="161" spans="1:40">
      <c r="B161" s="86" t="s">
        <v>191</v>
      </c>
    </row>
    <row r="164" spans="1:40">
      <c r="A164" t="s">
        <v>41</v>
      </c>
      <c r="B164" t="s">
        <v>193</v>
      </c>
      <c r="C164" t="s">
        <v>197</v>
      </c>
      <c r="D164" t="s">
        <v>66</v>
      </c>
      <c r="E164" t="s">
        <v>172</v>
      </c>
      <c r="F164" t="s">
        <v>3</v>
      </c>
      <c r="G164" t="s">
        <v>5</v>
      </c>
      <c r="H164" t="s">
        <v>6</v>
      </c>
      <c r="I164" t="s">
        <v>7</v>
      </c>
      <c r="J164" t="s">
        <v>8</v>
      </c>
      <c r="K164" t="s">
        <v>9</v>
      </c>
      <c r="L164" t="s">
        <v>10</v>
      </c>
      <c r="M164" t="s">
        <v>11</v>
      </c>
      <c r="N164" t="s">
        <v>12</v>
      </c>
      <c r="O164" t="s">
        <v>13</v>
      </c>
      <c r="P164" t="s">
        <v>14</v>
      </c>
      <c r="Q164" t="s">
        <v>15</v>
      </c>
      <c r="R164" t="s">
        <v>16</v>
      </c>
      <c r="S164" t="s">
        <v>17</v>
      </c>
      <c r="T164" t="s">
        <v>18</v>
      </c>
      <c r="U164" t="s">
        <v>19</v>
      </c>
      <c r="V164" t="s">
        <v>20</v>
      </c>
      <c r="W164" t="s">
        <v>21</v>
      </c>
      <c r="X164" t="s">
        <v>22</v>
      </c>
      <c r="Y164" t="s">
        <v>23</v>
      </c>
      <c r="Z164" t="s">
        <v>24</v>
      </c>
      <c r="AA164" t="s">
        <v>25</v>
      </c>
      <c r="AB164" t="s">
        <v>26</v>
      </c>
      <c r="AC164" t="s">
        <v>27</v>
      </c>
      <c r="AD164" t="s">
        <v>28</v>
      </c>
      <c r="AE164" t="s">
        <v>29</v>
      </c>
      <c r="AF164" t="s">
        <v>30</v>
      </c>
      <c r="AG164" t="s">
        <v>31</v>
      </c>
      <c r="AH164" t="s">
        <v>32</v>
      </c>
      <c r="AI164" t="s">
        <v>33</v>
      </c>
      <c r="AJ164" t="s">
        <v>34</v>
      </c>
      <c r="AK164" t="s">
        <v>35</v>
      </c>
      <c r="AL164" t="s">
        <v>36</v>
      </c>
      <c r="AM164" t="s">
        <v>37</v>
      </c>
      <c r="AN164" t="s">
        <v>245</v>
      </c>
    </row>
    <row r="165" spans="1:40">
      <c r="A165">
        <v>2025</v>
      </c>
      <c r="B165" t="s">
        <v>247</v>
      </c>
      <c r="C165" t="s">
        <v>248</v>
      </c>
      <c r="D165" t="s">
        <v>249</v>
      </c>
      <c r="E165" t="s">
        <v>250</v>
      </c>
      <c r="F165">
        <f xml:space="preserve">F88</f>
        <v>0</v>
      </c>
      <c r="G165">
        <f t="shared" ref="G165:AM165" si="33" xml:space="preserve">G88</f>
        <v>24.7</v>
      </c>
      <c r="H165">
        <f t="shared" si="33"/>
        <v>88</v>
      </c>
      <c r="I165">
        <f t="shared" si="33"/>
        <v>0</v>
      </c>
      <c r="J165">
        <f t="shared" si="33"/>
        <v>0</v>
      </c>
      <c r="K165">
        <f t="shared" si="33"/>
        <v>0</v>
      </c>
      <c r="L165">
        <f t="shared" si="33"/>
        <v>10</v>
      </c>
      <c r="M165">
        <f t="shared" si="33"/>
        <v>41</v>
      </c>
      <c r="N165">
        <f t="shared" si="33"/>
        <v>0</v>
      </c>
      <c r="O165">
        <f t="shared" si="33"/>
        <v>0</v>
      </c>
      <c r="P165">
        <f t="shared" si="33"/>
        <v>0</v>
      </c>
      <c r="Q165">
        <f t="shared" si="33"/>
        <v>0</v>
      </c>
      <c r="R165">
        <f t="shared" si="33"/>
        <v>0</v>
      </c>
      <c r="S165">
        <f t="shared" si="33"/>
        <v>0</v>
      </c>
      <c r="T165">
        <f t="shared" si="33"/>
        <v>0</v>
      </c>
      <c r="U165">
        <f t="shared" si="33"/>
        <v>0</v>
      </c>
      <c r="V165">
        <f t="shared" si="33"/>
        <v>0</v>
      </c>
      <c r="W165">
        <f t="shared" si="33"/>
        <v>0</v>
      </c>
      <c r="X165">
        <f t="shared" si="33"/>
        <v>0</v>
      </c>
      <c r="Y165">
        <f t="shared" si="33"/>
        <v>67</v>
      </c>
      <c r="Z165">
        <f t="shared" si="33"/>
        <v>0</v>
      </c>
      <c r="AA165">
        <f t="shared" si="33"/>
        <v>4.3</v>
      </c>
      <c r="AB165">
        <f t="shared" si="33"/>
        <v>0</v>
      </c>
      <c r="AC165">
        <f t="shared" si="33"/>
        <v>0</v>
      </c>
      <c r="AD165">
        <f t="shared" si="33"/>
        <v>4.6</v>
      </c>
      <c r="AE165">
        <f t="shared" si="33"/>
        <v>0</v>
      </c>
      <c r="AF165">
        <f t="shared" si="33"/>
        <v>0</v>
      </c>
      <c r="AG165">
        <f t="shared" si="33"/>
        <v>0</v>
      </c>
      <c r="AH165">
        <f t="shared" si="33"/>
        <v>0.4</v>
      </c>
      <c r="AI165">
        <f t="shared" si="33"/>
        <v>0</v>
      </c>
      <c r="AJ165">
        <f t="shared" si="33"/>
        <v>0</v>
      </c>
      <c r="AK165">
        <f t="shared" si="33"/>
        <v>0</v>
      </c>
      <c r="AL165">
        <f t="shared" si="33"/>
        <v>0</v>
      </c>
      <c r="AM165">
        <f t="shared" si="33"/>
        <v>0</v>
      </c>
      <c r="AN165" t="s">
        <v>250</v>
      </c>
    </row>
    <row r="166" spans="1:40">
      <c r="A166">
        <v>2025</v>
      </c>
      <c r="B166" t="s">
        <v>247</v>
      </c>
      <c r="C166" t="s">
        <v>248</v>
      </c>
      <c r="D166" t="s">
        <v>251</v>
      </c>
      <c r="E166" t="s">
        <v>252</v>
      </c>
      <c r="F166">
        <f t="shared" ref="F166:F171" si="34" xml:space="preserve">F89</f>
        <v>0</v>
      </c>
      <c r="G166">
        <f t="shared" ref="G166:AM166" si="35" xml:space="preserve">G89</f>
        <v>0</v>
      </c>
      <c r="H166">
        <f t="shared" si="35"/>
        <v>110</v>
      </c>
      <c r="I166">
        <f t="shared" si="35"/>
        <v>0</v>
      </c>
      <c r="J166">
        <f t="shared" si="35"/>
        <v>0</v>
      </c>
      <c r="K166">
        <f t="shared" si="35"/>
        <v>0</v>
      </c>
      <c r="L166">
        <f t="shared" si="35"/>
        <v>77</v>
      </c>
      <c r="M166">
        <f t="shared" si="35"/>
        <v>120</v>
      </c>
      <c r="N166">
        <f t="shared" si="35"/>
        <v>0</v>
      </c>
      <c r="O166">
        <f t="shared" si="35"/>
        <v>0</v>
      </c>
      <c r="P166">
        <f t="shared" si="35"/>
        <v>0</v>
      </c>
      <c r="Q166">
        <f t="shared" si="35"/>
        <v>0</v>
      </c>
      <c r="R166">
        <f t="shared" si="35"/>
        <v>0</v>
      </c>
      <c r="S166">
        <f t="shared" si="35"/>
        <v>0</v>
      </c>
      <c r="T166">
        <f t="shared" si="35"/>
        <v>0</v>
      </c>
      <c r="U166">
        <f t="shared" si="35"/>
        <v>0</v>
      </c>
      <c r="V166">
        <f t="shared" si="35"/>
        <v>0</v>
      </c>
      <c r="W166">
        <f t="shared" si="35"/>
        <v>0</v>
      </c>
      <c r="X166">
        <f t="shared" si="35"/>
        <v>0</v>
      </c>
      <c r="Y166">
        <f t="shared" si="35"/>
        <v>0</v>
      </c>
      <c r="Z166">
        <f t="shared" si="35"/>
        <v>0</v>
      </c>
      <c r="AA166">
        <f t="shared" si="35"/>
        <v>198</v>
      </c>
      <c r="AB166">
        <f t="shared" si="35"/>
        <v>0</v>
      </c>
      <c r="AC166">
        <f t="shared" si="35"/>
        <v>0</v>
      </c>
      <c r="AD166">
        <f t="shared" si="35"/>
        <v>2985</v>
      </c>
      <c r="AE166">
        <f t="shared" si="35"/>
        <v>210</v>
      </c>
      <c r="AF166">
        <f t="shared" si="35"/>
        <v>0</v>
      </c>
      <c r="AG166">
        <f t="shared" si="35"/>
        <v>0</v>
      </c>
      <c r="AH166">
        <f t="shared" si="35"/>
        <v>0</v>
      </c>
      <c r="AI166">
        <f t="shared" si="35"/>
        <v>0</v>
      </c>
      <c r="AJ166">
        <f t="shared" si="35"/>
        <v>0</v>
      </c>
      <c r="AK166">
        <f t="shared" si="35"/>
        <v>0</v>
      </c>
      <c r="AL166">
        <f t="shared" si="35"/>
        <v>0</v>
      </c>
      <c r="AM166">
        <f t="shared" si="35"/>
        <v>0</v>
      </c>
      <c r="AN166" t="s">
        <v>252</v>
      </c>
    </row>
    <row r="167" spans="1:40">
      <c r="A167">
        <v>2025</v>
      </c>
      <c r="B167" t="s">
        <v>247</v>
      </c>
      <c r="C167" t="s">
        <v>248</v>
      </c>
      <c r="D167" t="s">
        <v>253</v>
      </c>
      <c r="E167" t="s">
        <v>254</v>
      </c>
      <c r="F167">
        <f t="shared" si="34"/>
        <v>0</v>
      </c>
      <c r="G167">
        <f t="shared" ref="G167:AM167" si="36" xml:space="preserve">G90</f>
        <v>222.6</v>
      </c>
      <c r="H167">
        <f t="shared" si="36"/>
        <v>3.6</v>
      </c>
      <c r="I167">
        <f t="shared" si="36"/>
        <v>0</v>
      </c>
      <c r="J167">
        <f t="shared" si="36"/>
        <v>0</v>
      </c>
      <c r="K167">
        <f t="shared" si="36"/>
        <v>0</v>
      </c>
      <c r="L167">
        <f t="shared" si="36"/>
        <v>0</v>
      </c>
      <c r="M167">
        <f t="shared" si="36"/>
        <v>0</v>
      </c>
      <c r="N167">
        <f t="shared" si="36"/>
        <v>0</v>
      </c>
      <c r="O167">
        <f t="shared" si="36"/>
        <v>0</v>
      </c>
      <c r="P167">
        <f t="shared" si="36"/>
        <v>0</v>
      </c>
      <c r="Q167">
        <f t="shared" si="36"/>
        <v>0</v>
      </c>
      <c r="R167">
        <f t="shared" si="36"/>
        <v>0</v>
      </c>
      <c r="S167">
        <f t="shared" si="36"/>
        <v>0</v>
      </c>
      <c r="T167">
        <f t="shared" si="36"/>
        <v>0</v>
      </c>
      <c r="U167">
        <f t="shared" si="36"/>
        <v>0</v>
      </c>
      <c r="V167">
        <f t="shared" si="36"/>
        <v>0</v>
      </c>
      <c r="W167">
        <f t="shared" si="36"/>
        <v>0</v>
      </c>
      <c r="X167">
        <f t="shared" si="36"/>
        <v>0</v>
      </c>
      <c r="Y167">
        <f t="shared" si="36"/>
        <v>3.5</v>
      </c>
      <c r="Z167">
        <f t="shared" si="36"/>
        <v>0</v>
      </c>
      <c r="AA167">
        <f t="shared" si="36"/>
        <v>4.8</v>
      </c>
      <c r="AB167">
        <f t="shared" si="36"/>
        <v>0</v>
      </c>
      <c r="AC167">
        <f t="shared" si="36"/>
        <v>0</v>
      </c>
      <c r="AD167">
        <f t="shared" si="36"/>
        <v>43.8</v>
      </c>
      <c r="AE167">
        <f t="shared" si="36"/>
        <v>8.7</v>
      </c>
      <c r="AF167">
        <f t="shared" si="36"/>
        <v>0</v>
      </c>
      <c r="AG167">
        <f t="shared" si="36"/>
        <v>0</v>
      </c>
      <c r="AH167">
        <f t="shared" si="36"/>
        <v>0</v>
      </c>
      <c r="AI167">
        <f t="shared" si="36"/>
        <v>0</v>
      </c>
      <c r="AJ167">
        <f t="shared" si="36"/>
        <v>0</v>
      </c>
      <c r="AK167">
        <f t="shared" si="36"/>
        <v>2.7</v>
      </c>
      <c r="AL167">
        <f t="shared" si="36"/>
        <v>0</v>
      </c>
      <c r="AM167">
        <f t="shared" si="36"/>
        <v>0</v>
      </c>
      <c r="AN167" t="s">
        <v>254</v>
      </c>
    </row>
    <row r="168" spans="1:40">
      <c r="A168">
        <v>2025</v>
      </c>
      <c r="B168" t="s">
        <v>247</v>
      </c>
      <c r="C168" t="s">
        <v>248</v>
      </c>
      <c r="D168" t="s">
        <v>256</v>
      </c>
      <c r="E168" t="s">
        <v>257</v>
      </c>
      <c r="F168">
        <f t="shared" si="34"/>
        <v>0</v>
      </c>
      <c r="G168">
        <f t="shared" ref="G168:AM168" si="37" xml:space="preserve">G91</f>
        <v>5780</v>
      </c>
      <c r="H168">
        <f t="shared" si="37"/>
        <v>2800</v>
      </c>
      <c r="I168">
        <f t="shared" si="37"/>
        <v>0</v>
      </c>
      <c r="J168">
        <f t="shared" si="37"/>
        <v>0</v>
      </c>
      <c r="K168">
        <f t="shared" si="37"/>
        <v>0</v>
      </c>
      <c r="L168">
        <f t="shared" si="37"/>
        <v>590</v>
      </c>
      <c r="M168">
        <f t="shared" si="37"/>
        <v>770</v>
      </c>
      <c r="N168">
        <f t="shared" si="37"/>
        <v>0</v>
      </c>
      <c r="O168">
        <f t="shared" si="37"/>
        <v>0</v>
      </c>
      <c r="P168">
        <f t="shared" si="37"/>
        <v>0</v>
      </c>
      <c r="Q168">
        <f t="shared" si="37"/>
        <v>0</v>
      </c>
      <c r="R168">
        <f t="shared" si="37"/>
        <v>0</v>
      </c>
      <c r="S168">
        <f t="shared" si="37"/>
        <v>0</v>
      </c>
      <c r="T168">
        <f t="shared" si="37"/>
        <v>0</v>
      </c>
      <c r="U168">
        <f t="shared" si="37"/>
        <v>800</v>
      </c>
      <c r="V168">
        <f t="shared" si="37"/>
        <v>0</v>
      </c>
      <c r="W168">
        <f t="shared" si="37"/>
        <v>0</v>
      </c>
      <c r="X168">
        <f t="shared" si="37"/>
        <v>0</v>
      </c>
      <c r="Y168">
        <f t="shared" si="37"/>
        <v>0</v>
      </c>
      <c r="Z168">
        <f t="shared" si="37"/>
        <v>0</v>
      </c>
      <c r="AA168">
        <f t="shared" si="37"/>
        <v>0</v>
      </c>
      <c r="AB168">
        <f t="shared" si="37"/>
        <v>0</v>
      </c>
      <c r="AC168">
        <f t="shared" si="37"/>
        <v>0</v>
      </c>
      <c r="AD168">
        <f t="shared" si="37"/>
        <v>2060</v>
      </c>
      <c r="AE168">
        <f t="shared" si="37"/>
        <v>0</v>
      </c>
      <c r="AF168">
        <f t="shared" si="37"/>
        <v>0</v>
      </c>
      <c r="AG168">
        <f t="shared" si="37"/>
        <v>7400</v>
      </c>
      <c r="AH168">
        <f t="shared" si="37"/>
        <v>0</v>
      </c>
      <c r="AI168">
        <f t="shared" si="37"/>
        <v>0</v>
      </c>
      <c r="AJ168">
        <f t="shared" si="37"/>
        <v>0</v>
      </c>
      <c r="AK168">
        <f t="shared" si="37"/>
        <v>0</v>
      </c>
      <c r="AL168">
        <f t="shared" si="37"/>
        <v>0</v>
      </c>
      <c r="AM168">
        <f t="shared" si="37"/>
        <v>0</v>
      </c>
      <c r="AN168" t="s">
        <v>257</v>
      </c>
    </row>
    <row r="169" spans="1:40">
      <c r="A169">
        <v>2025</v>
      </c>
      <c r="B169" t="s">
        <v>247</v>
      </c>
      <c r="C169" t="s">
        <v>248</v>
      </c>
      <c r="D169" s="2" t="s">
        <v>258</v>
      </c>
      <c r="E169" t="s">
        <v>259</v>
      </c>
      <c r="F169">
        <f t="shared" si="34"/>
        <v>0</v>
      </c>
      <c r="G169">
        <f t="shared" ref="G169:AM169" si="38" xml:space="preserve">G92</f>
        <v>159</v>
      </c>
      <c r="H169">
        <f t="shared" si="38"/>
        <v>9522</v>
      </c>
      <c r="I169">
        <f t="shared" si="38"/>
        <v>0</v>
      </c>
      <c r="J169">
        <f t="shared" si="38"/>
        <v>0</v>
      </c>
      <c r="K169">
        <f t="shared" si="38"/>
        <v>0</v>
      </c>
      <c r="L169">
        <f t="shared" si="38"/>
        <v>5819</v>
      </c>
      <c r="M169">
        <f t="shared" si="38"/>
        <v>44436</v>
      </c>
      <c r="N169">
        <f t="shared" si="38"/>
        <v>0</v>
      </c>
      <c r="O169">
        <f t="shared" si="38"/>
        <v>0</v>
      </c>
      <c r="P169">
        <f t="shared" si="38"/>
        <v>0</v>
      </c>
      <c r="Q169">
        <f t="shared" si="38"/>
        <v>508</v>
      </c>
      <c r="R169">
        <f t="shared" si="38"/>
        <v>455</v>
      </c>
      <c r="S169">
        <f t="shared" si="38"/>
        <v>0</v>
      </c>
      <c r="T169">
        <f t="shared" si="38"/>
        <v>0</v>
      </c>
      <c r="U169">
        <f t="shared" si="38"/>
        <v>4020</v>
      </c>
      <c r="V169">
        <f t="shared" si="38"/>
        <v>846</v>
      </c>
      <c r="W169">
        <f t="shared" si="38"/>
        <v>0</v>
      </c>
      <c r="X169">
        <f t="shared" si="38"/>
        <v>0</v>
      </c>
      <c r="Y169">
        <f t="shared" si="38"/>
        <v>0</v>
      </c>
      <c r="Z169">
        <f t="shared" si="38"/>
        <v>1270</v>
      </c>
      <c r="AA169">
        <f t="shared" si="38"/>
        <v>1175</v>
      </c>
      <c r="AB169">
        <f t="shared" si="38"/>
        <v>0</v>
      </c>
      <c r="AC169">
        <f t="shared" si="38"/>
        <v>0</v>
      </c>
      <c r="AD169">
        <f t="shared" si="38"/>
        <v>3015</v>
      </c>
      <c r="AE169">
        <f t="shared" si="38"/>
        <v>1534</v>
      </c>
      <c r="AF169">
        <f t="shared" si="38"/>
        <v>952</v>
      </c>
      <c r="AG169">
        <f t="shared" si="38"/>
        <v>0</v>
      </c>
      <c r="AH169">
        <f t="shared" si="38"/>
        <v>434</v>
      </c>
      <c r="AI169">
        <f t="shared" si="38"/>
        <v>0</v>
      </c>
      <c r="AJ169">
        <f t="shared" si="38"/>
        <v>0</v>
      </c>
      <c r="AK169">
        <f t="shared" si="38"/>
        <v>169</v>
      </c>
      <c r="AL169">
        <f t="shared" si="38"/>
        <v>0</v>
      </c>
      <c r="AM169">
        <f t="shared" si="38"/>
        <v>0</v>
      </c>
      <c r="AN169" t="s">
        <v>259</v>
      </c>
    </row>
    <row r="170" spans="1:40">
      <c r="A170">
        <v>2025</v>
      </c>
      <c r="B170" t="s">
        <v>247</v>
      </c>
      <c r="C170" s="2" t="s">
        <v>248</v>
      </c>
      <c r="D170" s="2" t="s">
        <v>260</v>
      </c>
      <c r="E170" t="s">
        <v>261</v>
      </c>
      <c r="F170">
        <f t="shared" si="34"/>
        <v>0</v>
      </c>
      <c r="G170">
        <f t="shared" ref="G170:AM170" si="39" xml:space="preserve">G93</f>
        <v>3980</v>
      </c>
      <c r="H170">
        <f t="shared" si="39"/>
        <v>800</v>
      </c>
      <c r="I170">
        <f t="shared" si="39"/>
        <v>0</v>
      </c>
      <c r="J170">
        <f t="shared" si="39"/>
        <v>0</v>
      </c>
      <c r="K170">
        <f t="shared" si="39"/>
        <v>0</v>
      </c>
      <c r="L170">
        <f t="shared" si="39"/>
        <v>0</v>
      </c>
      <c r="M170">
        <f t="shared" si="39"/>
        <v>1800</v>
      </c>
      <c r="N170">
        <f t="shared" si="39"/>
        <v>0</v>
      </c>
      <c r="O170">
        <f t="shared" si="39"/>
        <v>0</v>
      </c>
      <c r="P170">
        <f t="shared" si="39"/>
        <v>0</v>
      </c>
      <c r="Q170">
        <f t="shared" si="39"/>
        <v>0</v>
      </c>
      <c r="R170">
        <f t="shared" si="39"/>
        <v>0</v>
      </c>
      <c r="S170">
        <f t="shared" si="39"/>
        <v>0</v>
      </c>
      <c r="T170">
        <f t="shared" si="39"/>
        <v>0</v>
      </c>
      <c r="U170">
        <f t="shared" si="39"/>
        <v>30</v>
      </c>
      <c r="V170">
        <f t="shared" si="39"/>
        <v>0</v>
      </c>
      <c r="W170">
        <f t="shared" si="39"/>
        <v>0</v>
      </c>
      <c r="X170">
        <f t="shared" si="39"/>
        <v>0</v>
      </c>
      <c r="Y170">
        <f t="shared" si="39"/>
        <v>7900</v>
      </c>
      <c r="Z170">
        <f t="shared" si="39"/>
        <v>0</v>
      </c>
      <c r="AA170">
        <f t="shared" si="39"/>
        <v>2250</v>
      </c>
      <c r="AB170">
        <f t="shared" si="39"/>
        <v>0</v>
      </c>
      <c r="AC170">
        <f t="shared" si="39"/>
        <v>410</v>
      </c>
      <c r="AD170">
        <f t="shared" si="39"/>
        <v>4700</v>
      </c>
      <c r="AE170">
        <f t="shared" si="39"/>
        <v>930</v>
      </c>
      <c r="AF170">
        <f t="shared" si="39"/>
        <v>0</v>
      </c>
      <c r="AG170">
        <f t="shared" si="39"/>
        <v>0</v>
      </c>
      <c r="AH170">
        <f t="shared" si="39"/>
        <v>0</v>
      </c>
      <c r="AI170">
        <f t="shared" si="39"/>
        <v>0</v>
      </c>
      <c r="AJ170">
        <f t="shared" si="39"/>
        <v>0</v>
      </c>
      <c r="AK170">
        <f t="shared" si="39"/>
        <v>0</v>
      </c>
      <c r="AL170">
        <f t="shared" si="39"/>
        <v>0</v>
      </c>
      <c r="AM170">
        <f t="shared" si="39"/>
        <v>0</v>
      </c>
      <c r="AN170" t="s">
        <v>261</v>
      </c>
    </row>
    <row r="171" spans="1:40">
      <c r="A171">
        <v>2025</v>
      </c>
      <c r="B171" t="s">
        <v>247</v>
      </c>
      <c r="C171" s="2" t="s">
        <v>248</v>
      </c>
      <c r="D171" s="2" t="s">
        <v>262</v>
      </c>
      <c r="E171" t="s">
        <v>263</v>
      </c>
      <c r="F171">
        <f t="shared" si="34"/>
        <v>0</v>
      </c>
      <c r="G171">
        <f t="shared" ref="G171:AM171" si="40" xml:space="preserve">G94</f>
        <v>189</v>
      </c>
      <c r="H171">
        <f t="shared" si="40"/>
        <v>0</v>
      </c>
      <c r="I171">
        <f t="shared" si="40"/>
        <v>0.5</v>
      </c>
      <c r="J171">
        <f t="shared" si="40"/>
        <v>0</v>
      </c>
      <c r="K171">
        <f t="shared" si="40"/>
        <v>0</v>
      </c>
      <c r="L171">
        <f t="shared" si="40"/>
        <v>68</v>
      </c>
      <c r="M171">
        <f t="shared" si="40"/>
        <v>1270</v>
      </c>
      <c r="N171">
        <f t="shared" si="40"/>
        <v>0</v>
      </c>
      <c r="O171">
        <f t="shared" si="40"/>
        <v>0</v>
      </c>
      <c r="P171">
        <f t="shared" si="40"/>
        <v>0</v>
      </c>
      <c r="Q171">
        <f t="shared" si="40"/>
        <v>0.2</v>
      </c>
      <c r="R171">
        <f t="shared" si="40"/>
        <v>0</v>
      </c>
      <c r="S171">
        <f t="shared" si="40"/>
        <v>0</v>
      </c>
      <c r="T171">
        <f t="shared" si="40"/>
        <v>0</v>
      </c>
      <c r="U171">
        <f t="shared" si="40"/>
        <v>28</v>
      </c>
      <c r="V171">
        <f t="shared" si="40"/>
        <v>0</v>
      </c>
      <c r="W171">
        <f t="shared" si="40"/>
        <v>0</v>
      </c>
      <c r="X171">
        <f t="shared" si="40"/>
        <v>0</v>
      </c>
      <c r="Y171">
        <f t="shared" si="40"/>
        <v>0</v>
      </c>
      <c r="Z171">
        <f t="shared" si="40"/>
        <v>0</v>
      </c>
      <c r="AA171">
        <f t="shared" si="40"/>
        <v>20.9</v>
      </c>
      <c r="AB171">
        <f t="shared" si="40"/>
        <v>7</v>
      </c>
      <c r="AC171">
        <f t="shared" si="40"/>
        <v>0</v>
      </c>
      <c r="AD171">
        <f t="shared" si="40"/>
        <v>22.9</v>
      </c>
      <c r="AE171">
        <f t="shared" si="40"/>
        <v>20</v>
      </c>
      <c r="AF171">
        <f t="shared" si="40"/>
        <v>0</v>
      </c>
      <c r="AG171">
        <f t="shared" si="40"/>
        <v>0</v>
      </c>
      <c r="AH171">
        <f t="shared" si="40"/>
        <v>0</v>
      </c>
      <c r="AI171">
        <f t="shared" si="40"/>
        <v>0</v>
      </c>
      <c r="AJ171">
        <f t="shared" si="40"/>
        <v>0</v>
      </c>
      <c r="AK171">
        <f t="shared" si="40"/>
        <v>3</v>
      </c>
      <c r="AL171">
        <f t="shared" si="40"/>
        <v>0</v>
      </c>
      <c r="AM171">
        <f t="shared" si="40"/>
        <v>1.2</v>
      </c>
      <c r="AN171" t="s">
        <v>263</v>
      </c>
    </row>
    <row r="178" spans="1:40">
      <c r="B178" s="86" t="s">
        <v>191</v>
      </c>
    </row>
    <row r="180" spans="1:40">
      <c r="A180" t="s">
        <v>41</v>
      </c>
      <c r="B180" t="s">
        <v>193</v>
      </c>
      <c r="C180" t="s">
        <v>197</v>
      </c>
      <c r="D180" t="s">
        <v>66</v>
      </c>
      <c r="E180" t="s">
        <v>172</v>
      </c>
      <c r="F180" t="s">
        <v>3</v>
      </c>
      <c r="G180" t="s">
        <v>5</v>
      </c>
      <c r="H180" t="s">
        <v>6</v>
      </c>
      <c r="I180" t="s">
        <v>7</v>
      </c>
      <c r="J180" t="s">
        <v>8</v>
      </c>
      <c r="K180" t="s">
        <v>9</v>
      </c>
      <c r="L180" t="s">
        <v>10</v>
      </c>
      <c r="M180" t="s">
        <v>11</v>
      </c>
      <c r="N180" t="s">
        <v>12</v>
      </c>
      <c r="O180" t="s">
        <v>13</v>
      </c>
      <c r="P180" t="s">
        <v>14</v>
      </c>
      <c r="Q180" t="s">
        <v>15</v>
      </c>
      <c r="R180" t="s">
        <v>16</v>
      </c>
      <c r="S180" t="s">
        <v>17</v>
      </c>
      <c r="T180" t="s">
        <v>18</v>
      </c>
      <c r="U180" t="s">
        <v>19</v>
      </c>
      <c r="V180" t="s">
        <v>20</v>
      </c>
      <c r="W180" t="s">
        <v>21</v>
      </c>
      <c r="X180" t="s">
        <v>22</v>
      </c>
      <c r="Y180" t="s">
        <v>23</v>
      </c>
      <c r="Z180" t="s">
        <v>24</v>
      </c>
      <c r="AA180" t="s">
        <v>25</v>
      </c>
      <c r="AB180" t="s">
        <v>26</v>
      </c>
      <c r="AC180" t="s">
        <v>27</v>
      </c>
      <c r="AD180" t="s">
        <v>28</v>
      </c>
      <c r="AE180" t="s">
        <v>29</v>
      </c>
      <c r="AF180" t="s">
        <v>30</v>
      </c>
      <c r="AG180" t="s">
        <v>31</v>
      </c>
      <c r="AH180" t="s">
        <v>32</v>
      </c>
      <c r="AI180" t="s">
        <v>33</v>
      </c>
      <c r="AJ180" t="s">
        <v>34</v>
      </c>
      <c r="AK180" t="s">
        <v>35</v>
      </c>
      <c r="AL180" t="s">
        <v>36</v>
      </c>
      <c r="AM180" t="s">
        <v>37</v>
      </c>
      <c r="AN180" t="s">
        <v>245</v>
      </c>
    </row>
    <row r="181" spans="1:40">
      <c r="A181">
        <v>2050</v>
      </c>
      <c r="B181" t="s">
        <v>247</v>
      </c>
      <c r="C181" t="s">
        <v>248</v>
      </c>
      <c r="D181" t="s">
        <v>249</v>
      </c>
      <c r="E181" t="s">
        <v>250</v>
      </c>
      <c r="F181">
        <f t="shared" ref="F181:AM181" si="41" xml:space="preserve">F165/1*10</f>
        <v>0</v>
      </c>
      <c r="G181">
        <f t="shared" si="41"/>
        <v>247</v>
      </c>
      <c r="H181">
        <f t="shared" si="41"/>
        <v>880</v>
      </c>
      <c r="I181">
        <f t="shared" si="41"/>
        <v>0</v>
      </c>
      <c r="J181">
        <f t="shared" si="41"/>
        <v>0</v>
      </c>
      <c r="K181">
        <f t="shared" si="41"/>
        <v>0</v>
      </c>
      <c r="L181">
        <f t="shared" si="41"/>
        <v>100</v>
      </c>
      <c r="M181">
        <f t="shared" si="41"/>
        <v>410</v>
      </c>
      <c r="N181">
        <f t="shared" si="41"/>
        <v>0</v>
      </c>
      <c r="O181">
        <f t="shared" si="41"/>
        <v>0</v>
      </c>
      <c r="P181">
        <f t="shared" si="41"/>
        <v>0</v>
      </c>
      <c r="Q181">
        <f t="shared" si="41"/>
        <v>0</v>
      </c>
      <c r="R181">
        <f t="shared" si="41"/>
        <v>0</v>
      </c>
      <c r="S181">
        <f t="shared" si="41"/>
        <v>0</v>
      </c>
      <c r="T181">
        <f t="shared" si="41"/>
        <v>0</v>
      </c>
      <c r="U181">
        <f t="shared" si="41"/>
        <v>0</v>
      </c>
      <c r="V181">
        <f t="shared" si="41"/>
        <v>0</v>
      </c>
      <c r="W181">
        <f t="shared" si="41"/>
        <v>0</v>
      </c>
      <c r="X181">
        <f t="shared" si="41"/>
        <v>0</v>
      </c>
      <c r="Y181">
        <f t="shared" si="41"/>
        <v>670</v>
      </c>
      <c r="Z181">
        <f t="shared" si="41"/>
        <v>0</v>
      </c>
      <c r="AA181">
        <f t="shared" si="41"/>
        <v>43</v>
      </c>
      <c r="AB181">
        <f t="shared" si="41"/>
        <v>0</v>
      </c>
      <c r="AC181">
        <f t="shared" si="41"/>
        <v>0</v>
      </c>
      <c r="AD181">
        <f t="shared" si="41"/>
        <v>46</v>
      </c>
      <c r="AE181">
        <f t="shared" si="41"/>
        <v>0</v>
      </c>
      <c r="AF181">
        <f t="shared" si="41"/>
        <v>0</v>
      </c>
      <c r="AG181">
        <f t="shared" si="41"/>
        <v>0</v>
      </c>
      <c r="AH181">
        <f t="shared" si="41"/>
        <v>4</v>
      </c>
      <c r="AI181">
        <f t="shared" si="41"/>
        <v>0</v>
      </c>
      <c r="AJ181">
        <f t="shared" si="41"/>
        <v>0</v>
      </c>
      <c r="AK181">
        <f t="shared" si="41"/>
        <v>0</v>
      </c>
      <c r="AL181">
        <f t="shared" si="41"/>
        <v>0</v>
      </c>
      <c r="AM181">
        <f t="shared" si="41"/>
        <v>0</v>
      </c>
      <c r="AN181" t="s">
        <v>250</v>
      </c>
    </row>
    <row r="182" spans="1:40">
      <c r="A182">
        <f t="shared" ref="A182:A187" si="42" xml:space="preserve">A181</f>
        <v>2050</v>
      </c>
      <c r="B182" t="s">
        <v>247</v>
      </c>
      <c r="C182" t="s">
        <v>248</v>
      </c>
      <c r="D182" t="s">
        <v>251</v>
      </c>
      <c r="E182" t="s">
        <v>252</v>
      </c>
      <c r="F182">
        <f t="shared" ref="F182:AM182" si="43" xml:space="preserve">F166/1*10</f>
        <v>0</v>
      </c>
      <c r="G182">
        <f t="shared" si="43"/>
        <v>0</v>
      </c>
      <c r="H182">
        <f t="shared" si="43"/>
        <v>1100</v>
      </c>
      <c r="I182">
        <f t="shared" si="43"/>
        <v>0</v>
      </c>
      <c r="J182">
        <f t="shared" si="43"/>
        <v>0</v>
      </c>
      <c r="K182">
        <f t="shared" si="43"/>
        <v>0</v>
      </c>
      <c r="L182">
        <f t="shared" si="43"/>
        <v>770</v>
      </c>
      <c r="M182">
        <f t="shared" si="43"/>
        <v>1200</v>
      </c>
      <c r="N182">
        <f t="shared" si="43"/>
        <v>0</v>
      </c>
      <c r="O182">
        <f t="shared" si="43"/>
        <v>0</v>
      </c>
      <c r="P182">
        <f t="shared" si="43"/>
        <v>0</v>
      </c>
      <c r="Q182">
        <f t="shared" si="43"/>
        <v>0</v>
      </c>
      <c r="R182">
        <f t="shared" si="43"/>
        <v>0</v>
      </c>
      <c r="S182">
        <f t="shared" si="43"/>
        <v>0</v>
      </c>
      <c r="T182">
        <f t="shared" si="43"/>
        <v>0</v>
      </c>
      <c r="U182">
        <f t="shared" si="43"/>
        <v>0</v>
      </c>
      <c r="V182">
        <f t="shared" si="43"/>
        <v>0</v>
      </c>
      <c r="W182">
        <f t="shared" si="43"/>
        <v>0</v>
      </c>
      <c r="X182">
        <f t="shared" si="43"/>
        <v>0</v>
      </c>
      <c r="Y182">
        <f t="shared" si="43"/>
        <v>0</v>
      </c>
      <c r="Z182">
        <f t="shared" si="43"/>
        <v>0</v>
      </c>
      <c r="AA182">
        <f t="shared" si="43"/>
        <v>1980</v>
      </c>
      <c r="AB182">
        <f t="shared" si="43"/>
        <v>0</v>
      </c>
      <c r="AC182">
        <f t="shared" si="43"/>
        <v>0</v>
      </c>
      <c r="AD182">
        <f t="shared" si="43"/>
        <v>29850</v>
      </c>
      <c r="AE182">
        <f t="shared" si="43"/>
        <v>2100</v>
      </c>
      <c r="AF182">
        <f t="shared" si="43"/>
        <v>0</v>
      </c>
      <c r="AG182">
        <f t="shared" si="43"/>
        <v>0</v>
      </c>
      <c r="AH182">
        <f t="shared" si="43"/>
        <v>0</v>
      </c>
      <c r="AI182">
        <f t="shared" si="43"/>
        <v>0</v>
      </c>
      <c r="AJ182">
        <f t="shared" si="43"/>
        <v>0</v>
      </c>
      <c r="AK182">
        <f t="shared" si="43"/>
        <v>0</v>
      </c>
      <c r="AL182">
        <f t="shared" si="43"/>
        <v>0</v>
      </c>
      <c r="AM182">
        <f t="shared" si="43"/>
        <v>0</v>
      </c>
      <c r="AN182" t="s">
        <v>252</v>
      </c>
    </row>
    <row r="183" spans="1:40">
      <c r="A183">
        <f t="shared" si="42"/>
        <v>2050</v>
      </c>
      <c r="B183" t="s">
        <v>247</v>
      </c>
      <c r="C183" t="s">
        <v>248</v>
      </c>
      <c r="D183" t="s">
        <v>253</v>
      </c>
      <c r="E183" t="s">
        <v>254</v>
      </c>
      <c r="F183">
        <f t="shared" ref="F183:AM183" si="44" xml:space="preserve">F167/1*10</f>
        <v>0</v>
      </c>
      <c r="G183">
        <f t="shared" si="44"/>
        <v>2226</v>
      </c>
      <c r="H183">
        <f t="shared" si="44"/>
        <v>36</v>
      </c>
      <c r="I183">
        <f t="shared" si="44"/>
        <v>0</v>
      </c>
      <c r="J183">
        <f t="shared" si="44"/>
        <v>0</v>
      </c>
      <c r="K183">
        <f t="shared" si="44"/>
        <v>0</v>
      </c>
      <c r="L183">
        <f t="shared" si="44"/>
        <v>0</v>
      </c>
      <c r="M183">
        <f t="shared" si="44"/>
        <v>0</v>
      </c>
      <c r="N183">
        <f t="shared" si="44"/>
        <v>0</v>
      </c>
      <c r="O183">
        <f t="shared" si="44"/>
        <v>0</v>
      </c>
      <c r="P183">
        <f t="shared" si="44"/>
        <v>0</v>
      </c>
      <c r="Q183">
        <f t="shared" si="44"/>
        <v>0</v>
      </c>
      <c r="R183">
        <f t="shared" si="44"/>
        <v>0</v>
      </c>
      <c r="S183">
        <f t="shared" si="44"/>
        <v>0</v>
      </c>
      <c r="T183">
        <f t="shared" si="44"/>
        <v>0</v>
      </c>
      <c r="U183">
        <f t="shared" si="44"/>
        <v>0</v>
      </c>
      <c r="V183">
        <f t="shared" si="44"/>
        <v>0</v>
      </c>
      <c r="W183">
        <f t="shared" si="44"/>
        <v>0</v>
      </c>
      <c r="X183">
        <f t="shared" si="44"/>
        <v>0</v>
      </c>
      <c r="Y183">
        <f t="shared" si="44"/>
        <v>35</v>
      </c>
      <c r="Z183">
        <f t="shared" si="44"/>
        <v>0</v>
      </c>
      <c r="AA183">
        <f t="shared" si="44"/>
        <v>48</v>
      </c>
      <c r="AB183">
        <f t="shared" si="44"/>
        <v>0</v>
      </c>
      <c r="AC183">
        <f t="shared" si="44"/>
        <v>0</v>
      </c>
      <c r="AD183">
        <f t="shared" si="44"/>
        <v>438</v>
      </c>
      <c r="AE183">
        <f t="shared" si="44"/>
        <v>87</v>
      </c>
      <c r="AF183">
        <f t="shared" si="44"/>
        <v>0</v>
      </c>
      <c r="AG183">
        <f t="shared" si="44"/>
        <v>0</v>
      </c>
      <c r="AH183">
        <f t="shared" si="44"/>
        <v>0</v>
      </c>
      <c r="AI183">
        <f t="shared" si="44"/>
        <v>0</v>
      </c>
      <c r="AJ183">
        <f t="shared" si="44"/>
        <v>0</v>
      </c>
      <c r="AK183">
        <f t="shared" si="44"/>
        <v>27</v>
      </c>
      <c r="AL183">
        <f t="shared" si="44"/>
        <v>0</v>
      </c>
      <c r="AM183">
        <f t="shared" si="44"/>
        <v>0</v>
      </c>
      <c r="AN183" t="s">
        <v>254</v>
      </c>
    </row>
    <row r="184" spans="1:40">
      <c r="A184">
        <f t="shared" si="42"/>
        <v>2050</v>
      </c>
      <c r="B184" t="s">
        <v>247</v>
      </c>
      <c r="C184" t="s">
        <v>248</v>
      </c>
      <c r="D184" t="s">
        <v>256</v>
      </c>
      <c r="E184" t="s">
        <v>257</v>
      </c>
      <c r="F184">
        <f t="shared" ref="F184:AM184" si="45" xml:space="preserve">F168/1*10</f>
        <v>0</v>
      </c>
      <c r="G184">
        <f t="shared" si="45"/>
        <v>57800</v>
      </c>
      <c r="H184">
        <f t="shared" si="45"/>
        <v>28000</v>
      </c>
      <c r="I184">
        <f t="shared" si="45"/>
        <v>0</v>
      </c>
      <c r="J184">
        <f t="shared" si="45"/>
        <v>0</v>
      </c>
      <c r="K184">
        <f t="shared" si="45"/>
        <v>0</v>
      </c>
      <c r="L184">
        <f t="shared" si="45"/>
        <v>5900</v>
      </c>
      <c r="M184">
        <f t="shared" si="45"/>
        <v>7700</v>
      </c>
      <c r="N184">
        <f t="shared" si="45"/>
        <v>0</v>
      </c>
      <c r="O184">
        <f t="shared" si="45"/>
        <v>0</v>
      </c>
      <c r="P184">
        <f t="shared" si="45"/>
        <v>0</v>
      </c>
      <c r="Q184">
        <f t="shared" si="45"/>
        <v>0</v>
      </c>
      <c r="R184">
        <f t="shared" si="45"/>
        <v>0</v>
      </c>
      <c r="S184">
        <f t="shared" si="45"/>
        <v>0</v>
      </c>
      <c r="T184">
        <f t="shared" si="45"/>
        <v>0</v>
      </c>
      <c r="U184">
        <f t="shared" si="45"/>
        <v>8000</v>
      </c>
      <c r="V184">
        <f t="shared" si="45"/>
        <v>0</v>
      </c>
      <c r="W184">
        <f t="shared" si="45"/>
        <v>0</v>
      </c>
      <c r="X184">
        <f t="shared" si="45"/>
        <v>0</v>
      </c>
      <c r="Y184">
        <f t="shared" si="45"/>
        <v>0</v>
      </c>
      <c r="Z184">
        <f t="shared" si="45"/>
        <v>0</v>
      </c>
      <c r="AA184">
        <f t="shared" si="45"/>
        <v>0</v>
      </c>
      <c r="AB184">
        <f t="shared" si="45"/>
        <v>0</v>
      </c>
      <c r="AC184">
        <f t="shared" si="45"/>
        <v>0</v>
      </c>
      <c r="AD184">
        <f t="shared" si="45"/>
        <v>20600</v>
      </c>
      <c r="AE184">
        <f t="shared" si="45"/>
        <v>0</v>
      </c>
      <c r="AF184">
        <f t="shared" si="45"/>
        <v>0</v>
      </c>
      <c r="AG184">
        <f t="shared" si="45"/>
        <v>74000</v>
      </c>
      <c r="AH184">
        <f t="shared" si="45"/>
        <v>0</v>
      </c>
      <c r="AI184">
        <f t="shared" si="45"/>
        <v>0</v>
      </c>
      <c r="AJ184">
        <f t="shared" si="45"/>
        <v>0</v>
      </c>
      <c r="AK184">
        <f t="shared" si="45"/>
        <v>0</v>
      </c>
      <c r="AL184">
        <f t="shared" si="45"/>
        <v>0</v>
      </c>
      <c r="AM184">
        <f t="shared" si="45"/>
        <v>0</v>
      </c>
      <c r="AN184" t="s">
        <v>257</v>
      </c>
    </row>
    <row r="185" spans="1:40">
      <c r="A185">
        <f t="shared" si="42"/>
        <v>2050</v>
      </c>
      <c r="B185" t="s">
        <v>247</v>
      </c>
      <c r="C185" t="s">
        <v>248</v>
      </c>
      <c r="D185" t="s">
        <v>258</v>
      </c>
      <c r="E185" t="s">
        <v>259</v>
      </c>
      <c r="F185">
        <f t="shared" ref="F185:AM185" si="46" xml:space="preserve">F169/1*10</f>
        <v>0</v>
      </c>
      <c r="G185">
        <f t="shared" si="46"/>
        <v>1590</v>
      </c>
      <c r="H185">
        <f t="shared" si="46"/>
        <v>95220</v>
      </c>
      <c r="I185">
        <f t="shared" si="46"/>
        <v>0</v>
      </c>
      <c r="J185">
        <f t="shared" si="46"/>
        <v>0</v>
      </c>
      <c r="K185">
        <f t="shared" si="46"/>
        <v>0</v>
      </c>
      <c r="L185">
        <f t="shared" si="46"/>
        <v>58190</v>
      </c>
      <c r="M185">
        <f t="shared" si="46"/>
        <v>444360</v>
      </c>
      <c r="N185">
        <f t="shared" si="46"/>
        <v>0</v>
      </c>
      <c r="O185">
        <f t="shared" si="46"/>
        <v>0</v>
      </c>
      <c r="P185">
        <f t="shared" si="46"/>
        <v>0</v>
      </c>
      <c r="Q185">
        <f t="shared" si="46"/>
        <v>5080</v>
      </c>
      <c r="R185">
        <f t="shared" si="46"/>
        <v>4550</v>
      </c>
      <c r="S185">
        <f t="shared" si="46"/>
        <v>0</v>
      </c>
      <c r="T185">
        <f t="shared" si="46"/>
        <v>0</v>
      </c>
      <c r="U185">
        <f t="shared" si="46"/>
        <v>40200</v>
      </c>
      <c r="V185">
        <f t="shared" si="46"/>
        <v>8460</v>
      </c>
      <c r="W185">
        <f t="shared" si="46"/>
        <v>0</v>
      </c>
      <c r="X185">
        <f t="shared" si="46"/>
        <v>0</v>
      </c>
      <c r="Y185">
        <f t="shared" si="46"/>
        <v>0</v>
      </c>
      <c r="Z185">
        <f t="shared" si="46"/>
        <v>12700</v>
      </c>
      <c r="AA185">
        <f t="shared" si="46"/>
        <v>11750</v>
      </c>
      <c r="AB185">
        <f t="shared" si="46"/>
        <v>0</v>
      </c>
      <c r="AC185">
        <f t="shared" si="46"/>
        <v>0</v>
      </c>
      <c r="AD185">
        <f t="shared" si="46"/>
        <v>30150</v>
      </c>
      <c r="AE185">
        <f t="shared" si="46"/>
        <v>15340</v>
      </c>
      <c r="AF185">
        <f t="shared" si="46"/>
        <v>9520</v>
      </c>
      <c r="AG185">
        <f t="shared" si="46"/>
        <v>0</v>
      </c>
      <c r="AH185">
        <f t="shared" si="46"/>
        <v>4340</v>
      </c>
      <c r="AI185">
        <f t="shared" si="46"/>
        <v>0</v>
      </c>
      <c r="AJ185">
        <f t="shared" si="46"/>
        <v>0</v>
      </c>
      <c r="AK185">
        <f t="shared" si="46"/>
        <v>1690</v>
      </c>
      <c r="AL185">
        <f t="shared" si="46"/>
        <v>0</v>
      </c>
      <c r="AM185">
        <f t="shared" si="46"/>
        <v>0</v>
      </c>
      <c r="AN185" t="s">
        <v>259</v>
      </c>
    </row>
    <row r="186" spans="1:40">
      <c r="A186">
        <f t="shared" si="42"/>
        <v>2050</v>
      </c>
      <c r="B186" t="s">
        <v>247</v>
      </c>
      <c r="C186" t="s">
        <v>248</v>
      </c>
      <c r="D186" t="s">
        <v>260</v>
      </c>
      <c r="E186" t="s">
        <v>261</v>
      </c>
      <c r="F186">
        <f t="shared" ref="F186:AM186" si="47" xml:space="preserve">F170/1*10</f>
        <v>0</v>
      </c>
      <c r="G186">
        <f t="shared" si="47"/>
        <v>39800</v>
      </c>
      <c r="H186">
        <f t="shared" si="47"/>
        <v>8000</v>
      </c>
      <c r="I186">
        <f t="shared" si="47"/>
        <v>0</v>
      </c>
      <c r="J186">
        <f t="shared" si="47"/>
        <v>0</v>
      </c>
      <c r="K186">
        <f t="shared" si="47"/>
        <v>0</v>
      </c>
      <c r="L186">
        <f t="shared" si="47"/>
        <v>0</v>
      </c>
      <c r="M186">
        <f t="shared" si="47"/>
        <v>18000</v>
      </c>
      <c r="N186">
        <f t="shared" si="47"/>
        <v>0</v>
      </c>
      <c r="O186">
        <f t="shared" si="47"/>
        <v>0</v>
      </c>
      <c r="P186">
        <f t="shared" si="47"/>
        <v>0</v>
      </c>
      <c r="Q186">
        <f t="shared" si="47"/>
        <v>0</v>
      </c>
      <c r="R186">
        <f t="shared" si="47"/>
        <v>0</v>
      </c>
      <c r="S186">
        <f t="shared" si="47"/>
        <v>0</v>
      </c>
      <c r="T186">
        <f t="shared" si="47"/>
        <v>0</v>
      </c>
      <c r="U186">
        <f t="shared" si="47"/>
        <v>300</v>
      </c>
      <c r="V186">
        <f t="shared" si="47"/>
        <v>0</v>
      </c>
      <c r="W186">
        <f t="shared" si="47"/>
        <v>0</v>
      </c>
      <c r="X186">
        <f t="shared" si="47"/>
        <v>0</v>
      </c>
      <c r="Y186">
        <f t="shared" si="47"/>
        <v>79000</v>
      </c>
      <c r="Z186">
        <f t="shared" si="47"/>
        <v>0</v>
      </c>
      <c r="AA186">
        <f t="shared" si="47"/>
        <v>22500</v>
      </c>
      <c r="AB186">
        <f t="shared" si="47"/>
        <v>0</v>
      </c>
      <c r="AC186">
        <f t="shared" si="47"/>
        <v>4100</v>
      </c>
      <c r="AD186">
        <f t="shared" si="47"/>
        <v>47000</v>
      </c>
      <c r="AE186">
        <f t="shared" si="47"/>
        <v>9300</v>
      </c>
      <c r="AF186">
        <f t="shared" si="47"/>
        <v>0</v>
      </c>
      <c r="AG186">
        <f t="shared" si="47"/>
        <v>0</v>
      </c>
      <c r="AH186">
        <f t="shared" si="47"/>
        <v>0</v>
      </c>
      <c r="AI186">
        <f t="shared" si="47"/>
        <v>0</v>
      </c>
      <c r="AJ186">
        <f t="shared" si="47"/>
        <v>0</v>
      </c>
      <c r="AK186">
        <f t="shared" si="47"/>
        <v>0</v>
      </c>
      <c r="AL186">
        <f t="shared" si="47"/>
        <v>0</v>
      </c>
      <c r="AM186">
        <f t="shared" si="47"/>
        <v>0</v>
      </c>
      <c r="AN186" t="s">
        <v>261</v>
      </c>
    </row>
    <row r="187" spans="1:40">
      <c r="A187">
        <f t="shared" si="42"/>
        <v>2050</v>
      </c>
      <c r="B187" t="s">
        <v>247</v>
      </c>
      <c r="C187" t="s">
        <v>248</v>
      </c>
      <c r="D187" t="s">
        <v>262</v>
      </c>
      <c r="E187" t="s">
        <v>263</v>
      </c>
      <c r="F187">
        <f t="shared" ref="F187:AM187" si="48" xml:space="preserve">F171/1*10</f>
        <v>0</v>
      </c>
      <c r="G187">
        <f t="shared" si="48"/>
        <v>1890</v>
      </c>
      <c r="H187">
        <f t="shared" si="48"/>
        <v>0</v>
      </c>
      <c r="I187">
        <f t="shared" si="48"/>
        <v>5</v>
      </c>
      <c r="J187">
        <f t="shared" si="48"/>
        <v>0</v>
      </c>
      <c r="K187">
        <f t="shared" si="48"/>
        <v>0</v>
      </c>
      <c r="L187">
        <f t="shared" si="48"/>
        <v>680</v>
      </c>
      <c r="M187">
        <f t="shared" si="48"/>
        <v>12700</v>
      </c>
      <c r="N187">
        <f t="shared" si="48"/>
        <v>0</v>
      </c>
      <c r="O187">
        <f t="shared" si="48"/>
        <v>0</v>
      </c>
      <c r="P187">
        <f t="shared" si="48"/>
        <v>0</v>
      </c>
      <c r="Q187">
        <f t="shared" si="48"/>
        <v>2</v>
      </c>
      <c r="R187">
        <f t="shared" si="48"/>
        <v>0</v>
      </c>
      <c r="S187">
        <f t="shared" si="48"/>
        <v>0</v>
      </c>
      <c r="T187">
        <f t="shared" si="48"/>
        <v>0</v>
      </c>
      <c r="U187">
        <f t="shared" si="48"/>
        <v>280</v>
      </c>
      <c r="V187">
        <f t="shared" si="48"/>
        <v>0</v>
      </c>
      <c r="W187">
        <f t="shared" si="48"/>
        <v>0</v>
      </c>
      <c r="X187">
        <f t="shared" si="48"/>
        <v>0</v>
      </c>
      <c r="Y187">
        <f t="shared" si="48"/>
        <v>0</v>
      </c>
      <c r="Z187">
        <f t="shared" si="48"/>
        <v>0</v>
      </c>
      <c r="AA187">
        <f t="shared" si="48"/>
        <v>209</v>
      </c>
      <c r="AB187">
        <f t="shared" si="48"/>
        <v>70</v>
      </c>
      <c r="AC187">
        <f t="shared" si="48"/>
        <v>0</v>
      </c>
      <c r="AD187">
        <f t="shared" si="48"/>
        <v>229</v>
      </c>
      <c r="AE187">
        <f t="shared" si="48"/>
        <v>200</v>
      </c>
      <c r="AF187">
        <f t="shared" si="48"/>
        <v>0</v>
      </c>
      <c r="AG187">
        <f t="shared" si="48"/>
        <v>0</v>
      </c>
      <c r="AH187">
        <f t="shared" si="48"/>
        <v>0</v>
      </c>
      <c r="AI187">
        <f t="shared" si="48"/>
        <v>0</v>
      </c>
      <c r="AJ187">
        <f t="shared" si="48"/>
        <v>0</v>
      </c>
      <c r="AK187">
        <f t="shared" si="48"/>
        <v>30</v>
      </c>
      <c r="AL187">
        <f t="shared" si="48"/>
        <v>0</v>
      </c>
      <c r="AM187">
        <f t="shared" si="48"/>
        <v>12</v>
      </c>
      <c r="AN187" t="s">
        <v>263</v>
      </c>
    </row>
    <row r="191" spans="1:40">
      <c r="B191" s="86" t="s">
        <v>191</v>
      </c>
    </row>
    <row r="193" spans="1:40">
      <c r="A193" t="s">
        <v>41</v>
      </c>
      <c r="B193" t="s">
        <v>193</v>
      </c>
      <c r="C193" t="s">
        <v>197</v>
      </c>
      <c r="D193" t="s">
        <v>66</v>
      </c>
      <c r="E193" t="s">
        <v>172</v>
      </c>
      <c r="F193" t="s">
        <v>3</v>
      </c>
      <c r="G193" t="s">
        <v>5</v>
      </c>
      <c r="H193" t="s">
        <v>6</v>
      </c>
      <c r="I193" t="s">
        <v>7</v>
      </c>
      <c r="J193" t="s">
        <v>8</v>
      </c>
      <c r="K193" t="s">
        <v>9</v>
      </c>
      <c r="L193" t="s">
        <v>10</v>
      </c>
      <c r="M193" t="s">
        <v>11</v>
      </c>
      <c r="N193" t="s">
        <v>12</v>
      </c>
      <c r="O193" t="s">
        <v>13</v>
      </c>
      <c r="P193" t="s">
        <v>14</v>
      </c>
      <c r="Q193" t="s">
        <v>15</v>
      </c>
      <c r="R193" t="s">
        <v>16</v>
      </c>
      <c r="S193" t="s">
        <v>17</v>
      </c>
      <c r="T193" t="s">
        <v>18</v>
      </c>
      <c r="U193" t="s">
        <v>19</v>
      </c>
      <c r="V193" t="s">
        <v>20</v>
      </c>
      <c r="W193" t="s">
        <v>21</v>
      </c>
      <c r="X193" t="s">
        <v>22</v>
      </c>
      <c r="Y193" t="s">
        <v>23</v>
      </c>
      <c r="Z193" t="s">
        <v>24</v>
      </c>
      <c r="AA193" t="s">
        <v>25</v>
      </c>
      <c r="AB193" t="s">
        <v>26</v>
      </c>
      <c r="AC193" t="s">
        <v>27</v>
      </c>
      <c r="AD193" t="s">
        <v>28</v>
      </c>
      <c r="AE193" t="s">
        <v>29</v>
      </c>
      <c r="AF193" t="s">
        <v>30</v>
      </c>
      <c r="AG193" t="s">
        <v>31</v>
      </c>
      <c r="AH193" t="s">
        <v>32</v>
      </c>
      <c r="AI193" t="s">
        <v>33</v>
      </c>
      <c r="AJ193" t="s">
        <v>34</v>
      </c>
      <c r="AK193" t="s">
        <v>35</v>
      </c>
      <c r="AL193" t="s">
        <v>36</v>
      </c>
      <c r="AM193" t="s">
        <v>37</v>
      </c>
      <c r="AN193" t="s">
        <v>245</v>
      </c>
    </row>
    <row r="194" spans="1:40">
      <c r="A194">
        <v>2100</v>
      </c>
      <c r="B194" t="s">
        <v>247</v>
      </c>
      <c r="C194" t="s">
        <v>248</v>
      </c>
      <c r="D194" t="s">
        <v>249</v>
      </c>
      <c r="E194" t="s">
        <v>250</v>
      </c>
      <c r="F194">
        <f t="shared" ref="F194:AM194" si="49" xml:space="preserve">F165/1*30</f>
        <v>0</v>
      </c>
      <c r="G194">
        <f t="shared" si="49"/>
        <v>741</v>
      </c>
      <c r="H194">
        <f t="shared" si="49"/>
        <v>2640</v>
      </c>
      <c r="I194">
        <f t="shared" si="49"/>
        <v>0</v>
      </c>
      <c r="J194">
        <f t="shared" si="49"/>
        <v>0</v>
      </c>
      <c r="K194">
        <f t="shared" si="49"/>
        <v>0</v>
      </c>
      <c r="L194">
        <f t="shared" si="49"/>
        <v>300</v>
      </c>
      <c r="M194">
        <f t="shared" si="49"/>
        <v>1230</v>
      </c>
      <c r="N194">
        <f t="shared" si="49"/>
        <v>0</v>
      </c>
      <c r="O194">
        <f t="shared" si="49"/>
        <v>0</v>
      </c>
      <c r="P194">
        <f t="shared" si="49"/>
        <v>0</v>
      </c>
      <c r="Q194">
        <f t="shared" si="49"/>
        <v>0</v>
      </c>
      <c r="R194">
        <f t="shared" si="49"/>
        <v>0</v>
      </c>
      <c r="S194">
        <f t="shared" si="49"/>
        <v>0</v>
      </c>
      <c r="T194">
        <f t="shared" si="49"/>
        <v>0</v>
      </c>
      <c r="U194">
        <f t="shared" si="49"/>
        <v>0</v>
      </c>
      <c r="V194">
        <f t="shared" si="49"/>
        <v>0</v>
      </c>
      <c r="W194">
        <f t="shared" si="49"/>
        <v>0</v>
      </c>
      <c r="X194">
        <f t="shared" si="49"/>
        <v>0</v>
      </c>
      <c r="Y194">
        <f t="shared" si="49"/>
        <v>2010</v>
      </c>
      <c r="Z194">
        <f t="shared" si="49"/>
        <v>0</v>
      </c>
      <c r="AA194">
        <f t="shared" si="49"/>
        <v>129</v>
      </c>
      <c r="AB194">
        <f t="shared" si="49"/>
        <v>0</v>
      </c>
      <c r="AC194">
        <f t="shared" si="49"/>
        <v>0</v>
      </c>
      <c r="AD194">
        <f t="shared" si="49"/>
        <v>138</v>
      </c>
      <c r="AE194">
        <f t="shared" si="49"/>
        <v>0</v>
      </c>
      <c r="AF194">
        <f t="shared" si="49"/>
        <v>0</v>
      </c>
      <c r="AG194">
        <f t="shared" si="49"/>
        <v>0</v>
      </c>
      <c r="AH194">
        <f t="shared" si="49"/>
        <v>12</v>
      </c>
      <c r="AI194">
        <f t="shared" si="49"/>
        <v>0</v>
      </c>
      <c r="AJ194">
        <f t="shared" si="49"/>
        <v>0</v>
      </c>
      <c r="AK194">
        <f t="shared" si="49"/>
        <v>0</v>
      </c>
      <c r="AL194">
        <f t="shared" si="49"/>
        <v>0</v>
      </c>
      <c r="AM194">
        <f t="shared" si="49"/>
        <v>0</v>
      </c>
      <c r="AN194" t="s">
        <v>250</v>
      </c>
    </row>
    <row r="195" spans="1:40">
      <c r="A195">
        <v>2100</v>
      </c>
      <c r="B195" t="s">
        <v>247</v>
      </c>
      <c r="C195" t="s">
        <v>248</v>
      </c>
      <c r="D195" t="s">
        <v>251</v>
      </c>
      <c r="E195" t="s">
        <v>252</v>
      </c>
      <c r="F195">
        <f t="shared" ref="F195:AM195" si="50" xml:space="preserve">F166/1*30</f>
        <v>0</v>
      </c>
      <c r="G195">
        <f t="shared" si="50"/>
        <v>0</v>
      </c>
      <c r="H195">
        <f t="shared" si="50"/>
        <v>3300</v>
      </c>
      <c r="I195">
        <f t="shared" si="50"/>
        <v>0</v>
      </c>
      <c r="J195">
        <f t="shared" si="50"/>
        <v>0</v>
      </c>
      <c r="K195">
        <f t="shared" si="50"/>
        <v>0</v>
      </c>
      <c r="L195">
        <f t="shared" si="50"/>
        <v>2310</v>
      </c>
      <c r="M195">
        <f t="shared" si="50"/>
        <v>3600</v>
      </c>
      <c r="N195">
        <f t="shared" si="50"/>
        <v>0</v>
      </c>
      <c r="O195">
        <f t="shared" si="50"/>
        <v>0</v>
      </c>
      <c r="P195">
        <f t="shared" si="50"/>
        <v>0</v>
      </c>
      <c r="Q195">
        <f t="shared" si="50"/>
        <v>0</v>
      </c>
      <c r="R195">
        <f t="shared" si="50"/>
        <v>0</v>
      </c>
      <c r="S195">
        <f t="shared" si="50"/>
        <v>0</v>
      </c>
      <c r="T195">
        <f t="shared" si="50"/>
        <v>0</v>
      </c>
      <c r="U195">
        <f t="shared" si="50"/>
        <v>0</v>
      </c>
      <c r="V195">
        <f t="shared" si="50"/>
        <v>0</v>
      </c>
      <c r="W195">
        <f t="shared" si="50"/>
        <v>0</v>
      </c>
      <c r="X195">
        <f t="shared" si="50"/>
        <v>0</v>
      </c>
      <c r="Y195">
        <f t="shared" si="50"/>
        <v>0</v>
      </c>
      <c r="Z195">
        <f t="shared" si="50"/>
        <v>0</v>
      </c>
      <c r="AA195">
        <f t="shared" si="50"/>
        <v>5940</v>
      </c>
      <c r="AB195">
        <f t="shared" si="50"/>
        <v>0</v>
      </c>
      <c r="AC195">
        <f t="shared" si="50"/>
        <v>0</v>
      </c>
      <c r="AD195">
        <f t="shared" si="50"/>
        <v>89550</v>
      </c>
      <c r="AE195">
        <f t="shared" si="50"/>
        <v>6300</v>
      </c>
      <c r="AF195">
        <f t="shared" si="50"/>
        <v>0</v>
      </c>
      <c r="AG195">
        <f t="shared" si="50"/>
        <v>0</v>
      </c>
      <c r="AH195">
        <f t="shared" si="50"/>
        <v>0</v>
      </c>
      <c r="AI195">
        <f t="shared" si="50"/>
        <v>0</v>
      </c>
      <c r="AJ195">
        <f t="shared" si="50"/>
        <v>0</v>
      </c>
      <c r="AK195">
        <f t="shared" si="50"/>
        <v>0</v>
      </c>
      <c r="AL195">
        <f t="shared" si="50"/>
        <v>0</v>
      </c>
      <c r="AM195">
        <f t="shared" si="50"/>
        <v>0</v>
      </c>
      <c r="AN195" t="s">
        <v>252</v>
      </c>
    </row>
    <row r="196" spans="1:40">
      <c r="A196">
        <v>2100</v>
      </c>
      <c r="B196" t="s">
        <v>247</v>
      </c>
      <c r="C196" t="s">
        <v>248</v>
      </c>
      <c r="D196" t="s">
        <v>253</v>
      </c>
      <c r="E196" t="s">
        <v>254</v>
      </c>
      <c r="F196">
        <f t="shared" ref="F196:AM196" si="51" xml:space="preserve">F167/1*30</f>
        <v>0</v>
      </c>
      <c r="G196">
        <f t="shared" si="51"/>
        <v>6678</v>
      </c>
      <c r="H196">
        <f t="shared" si="51"/>
        <v>108</v>
      </c>
      <c r="I196">
        <f t="shared" si="51"/>
        <v>0</v>
      </c>
      <c r="J196">
        <f t="shared" si="51"/>
        <v>0</v>
      </c>
      <c r="K196">
        <f t="shared" si="51"/>
        <v>0</v>
      </c>
      <c r="L196">
        <f t="shared" si="51"/>
        <v>0</v>
      </c>
      <c r="M196">
        <f t="shared" si="51"/>
        <v>0</v>
      </c>
      <c r="N196">
        <f t="shared" si="51"/>
        <v>0</v>
      </c>
      <c r="O196">
        <f t="shared" si="51"/>
        <v>0</v>
      </c>
      <c r="P196">
        <f t="shared" si="51"/>
        <v>0</v>
      </c>
      <c r="Q196">
        <f t="shared" si="51"/>
        <v>0</v>
      </c>
      <c r="R196">
        <f t="shared" si="51"/>
        <v>0</v>
      </c>
      <c r="S196">
        <f t="shared" si="51"/>
        <v>0</v>
      </c>
      <c r="T196">
        <f t="shared" si="51"/>
        <v>0</v>
      </c>
      <c r="U196">
        <f t="shared" si="51"/>
        <v>0</v>
      </c>
      <c r="V196">
        <f t="shared" si="51"/>
        <v>0</v>
      </c>
      <c r="W196">
        <f t="shared" si="51"/>
        <v>0</v>
      </c>
      <c r="X196">
        <f t="shared" si="51"/>
        <v>0</v>
      </c>
      <c r="Y196">
        <f t="shared" si="51"/>
        <v>105</v>
      </c>
      <c r="Z196">
        <f t="shared" si="51"/>
        <v>0</v>
      </c>
      <c r="AA196">
        <f t="shared" si="51"/>
        <v>144</v>
      </c>
      <c r="AB196">
        <f t="shared" si="51"/>
        <v>0</v>
      </c>
      <c r="AC196">
        <f t="shared" si="51"/>
        <v>0</v>
      </c>
      <c r="AD196">
        <f t="shared" si="51"/>
        <v>1314</v>
      </c>
      <c r="AE196">
        <f t="shared" si="51"/>
        <v>261</v>
      </c>
      <c r="AF196">
        <f t="shared" si="51"/>
        <v>0</v>
      </c>
      <c r="AG196">
        <f t="shared" si="51"/>
        <v>0</v>
      </c>
      <c r="AH196">
        <f t="shared" si="51"/>
        <v>0</v>
      </c>
      <c r="AI196">
        <f t="shared" si="51"/>
        <v>0</v>
      </c>
      <c r="AJ196">
        <f t="shared" si="51"/>
        <v>0</v>
      </c>
      <c r="AK196">
        <f t="shared" si="51"/>
        <v>81</v>
      </c>
      <c r="AL196">
        <f t="shared" si="51"/>
        <v>0</v>
      </c>
      <c r="AM196">
        <f t="shared" si="51"/>
        <v>0</v>
      </c>
      <c r="AN196" t="s">
        <v>254</v>
      </c>
    </row>
    <row r="197" spans="1:40">
      <c r="A197">
        <v>2100</v>
      </c>
      <c r="B197" t="s">
        <v>247</v>
      </c>
      <c r="C197" t="s">
        <v>248</v>
      </c>
      <c r="D197" t="s">
        <v>256</v>
      </c>
      <c r="E197" t="s">
        <v>257</v>
      </c>
      <c r="F197">
        <f t="shared" ref="F197:AM197" si="52" xml:space="preserve">F168/1*30</f>
        <v>0</v>
      </c>
      <c r="G197">
        <f t="shared" si="52"/>
        <v>173400</v>
      </c>
      <c r="H197">
        <f t="shared" si="52"/>
        <v>84000</v>
      </c>
      <c r="I197">
        <f t="shared" si="52"/>
        <v>0</v>
      </c>
      <c r="J197">
        <f t="shared" si="52"/>
        <v>0</v>
      </c>
      <c r="K197">
        <f t="shared" si="52"/>
        <v>0</v>
      </c>
      <c r="L197">
        <f t="shared" si="52"/>
        <v>17700</v>
      </c>
      <c r="M197">
        <f t="shared" si="52"/>
        <v>23100</v>
      </c>
      <c r="N197">
        <f t="shared" si="52"/>
        <v>0</v>
      </c>
      <c r="O197">
        <f t="shared" si="52"/>
        <v>0</v>
      </c>
      <c r="P197">
        <f t="shared" si="52"/>
        <v>0</v>
      </c>
      <c r="Q197">
        <f t="shared" si="52"/>
        <v>0</v>
      </c>
      <c r="R197">
        <f t="shared" si="52"/>
        <v>0</v>
      </c>
      <c r="S197">
        <f t="shared" si="52"/>
        <v>0</v>
      </c>
      <c r="T197">
        <f t="shared" si="52"/>
        <v>0</v>
      </c>
      <c r="U197">
        <f t="shared" si="52"/>
        <v>24000</v>
      </c>
      <c r="V197">
        <f t="shared" si="52"/>
        <v>0</v>
      </c>
      <c r="W197">
        <f t="shared" si="52"/>
        <v>0</v>
      </c>
      <c r="X197">
        <f t="shared" si="52"/>
        <v>0</v>
      </c>
      <c r="Y197">
        <f t="shared" si="52"/>
        <v>0</v>
      </c>
      <c r="Z197">
        <f t="shared" si="52"/>
        <v>0</v>
      </c>
      <c r="AA197">
        <f t="shared" si="52"/>
        <v>0</v>
      </c>
      <c r="AB197">
        <f t="shared" si="52"/>
        <v>0</v>
      </c>
      <c r="AC197">
        <f t="shared" si="52"/>
        <v>0</v>
      </c>
      <c r="AD197">
        <f t="shared" si="52"/>
        <v>61800</v>
      </c>
      <c r="AE197">
        <f t="shared" si="52"/>
        <v>0</v>
      </c>
      <c r="AF197">
        <f t="shared" si="52"/>
        <v>0</v>
      </c>
      <c r="AG197">
        <f t="shared" si="52"/>
        <v>222000</v>
      </c>
      <c r="AH197">
        <f t="shared" si="52"/>
        <v>0</v>
      </c>
      <c r="AI197">
        <f t="shared" si="52"/>
        <v>0</v>
      </c>
      <c r="AJ197">
        <f t="shared" si="52"/>
        <v>0</v>
      </c>
      <c r="AK197">
        <f t="shared" si="52"/>
        <v>0</v>
      </c>
      <c r="AL197">
        <f t="shared" si="52"/>
        <v>0</v>
      </c>
      <c r="AM197">
        <f t="shared" si="52"/>
        <v>0</v>
      </c>
      <c r="AN197" t="s">
        <v>257</v>
      </c>
    </row>
    <row r="198" spans="1:40">
      <c r="A198">
        <v>2100</v>
      </c>
      <c r="B198" t="s">
        <v>247</v>
      </c>
      <c r="C198" t="s">
        <v>248</v>
      </c>
      <c r="D198" t="s">
        <v>258</v>
      </c>
      <c r="E198" t="s">
        <v>259</v>
      </c>
      <c r="F198">
        <f t="shared" ref="F198:AM198" si="53" xml:space="preserve">F169/1*30</f>
        <v>0</v>
      </c>
      <c r="G198">
        <f t="shared" si="53"/>
        <v>4770</v>
      </c>
      <c r="H198">
        <f t="shared" si="53"/>
        <v>285660</v>
      </c>
      <c r="I198">
        <f t="shared" si="53"/>
        <v>0</v>
      </c>
      <c r="J198">
        <f t="shared" si="53"/>
        <v>0</v>
      </c>
      <c r="K198">
        <f t="shared" si="53"/>
        <v>0</v>
      </c>
      <c r="L198">
        <f t="shared" si="53"/>
        <v>174570</v>
      </c>
      <c r="M198">
        <f t="shared" si="53"/>
        <v>1333080</v>
      </c>
      <c r="N198">
        <f t="shared" si="53"/>
        <v>0</v>
      </c>
      <c r="O198">
        <f t="shared" si="53"/>
        <v>0</v>
      </c>
      <c r="P198">
        <f t="shared" si="53"/>
        <v>0</v>
      </c>
      <c r="Q198">
        <f t="shared" si="53"/>
        <v>15240</v>
      </c>
      <c r="R198">
        <f t="shared" si="53"/>
        <v>13650</v>
      </c>
      <c r="S198">
        <f t="shared" si="53"/>
        <v>0</v>
      </c>
      <c r="T198">
        <f t="shared" si="53"/>
        <v>0</v>
      </c>
      <c r="U198">
        <f t="shared" si="53"/>
        <v>120600</v>
      </c>
      <c r="V198">
        <f t="shared" si="53"/>
        <v>25380</v>
      </c>
      <c r="W198">
        <f t="shared" si="53"/>
        <v>0</v>
      </c>
      <c r="X198">
        <f t="shared" si="53"/>
        <v>0</v>
      </c>
      <c r="Y198">
        <f t="shared" si="53"/>
        <v>0</v>
      </c>
      <c r="Z198">
        <f t="shared" si="53"/>
        <v>38100</v>
      </c>
      <c r="AA198">
        <f t="shared" si="53"/>
        <v>35250</v>
      </c>
      <c r="AB198">
        <f t="shared" si="53"/>
        <v>0</v>
      </c>
      <c r="AC198">
        <f t="shared" si="53"/>
        <v>0</v>
      </c>
      <c r="AD198">
        <f t="shared" si="53"/>
        <v>90450</v>
      </c>
      <c r="AE198">
        <f t="shared" si="53"/>
        <v>46020</v>
      </c>
      <c r="AF198">
        <f t="shared" si="53"/>
        <v>28560</v>
      </c>
      <c r="AG198">
        <f t="shared" si="53"/>
        <v>0</v>
      </c>
      <c r="AH198">
        <f t="shared" si="53"/>
        <v>13020</v>
      </c>
      <c r="AI198">
        <f t="shared" si="53"/>
        <v>0</v>
      </c>
      <c r="AJ198">
        <f t="shared" si="53"/>
        <v>0</v>
      </c>
      <c r="AK198">
        <f t="shared" si="53"/>
        <v>5070</v>
      </c>
      <c r="AL198">
        <f t="shared" si="53"/>
        <v>0</v>
      </c>
      <c r="AM198">
        <f t="shared" si="53"/>
        <v>0</v>
      </c>
      <c r="AN198" t="s">
        <v>259</v>
      </c>
    </row>
    <row r="199" spans="1:40">
      <c r="A199">
        <v>2100</v>
      </c>
      <c r="B199" t="s">
        <v>247</v>
      </c>
      <c r="C199" t="s">
        <v>248</v>
      </c>
      <c r="D199" t="s">
        <v>260</v>
      </c>
      <c r="E199" t="s">
        <v>261</v>
      </c>
      <c r="F199">
        <f t="shared" ref="F199:AM199" si="54" xml:space="preserve">F170/1*30</f>
        <v>0</v>
      </c>
      <c r="G199">
        <f t="shared" si="54"/>
        <v>119400</v>
      </c>
      <c r="H199">
        <f t="shared" si="54"/>
        <v>24000</v>
      </c>
      <c r="I199">
        <f t="shared" si="54"/>
        <v>0</v>
      </c>
      <c r="J199">
        <f t="shared" si="54"/>
        <v>0</v>
      </c>
      <c r="K199">
        <f t="shared" si="54"/>
        <v>0</v>
      </c>
      <c r="L199">
        <f t="shared" si="54"/>
        <v>0</v>
      </c>
      <c r="M199">
        <f t="shared" si="54"/>
        <v>54000</v>
      </c>
      <c r="N199">
        <f t="shared" si="54"/>
        <v>0</v>
      </c>
      <c r="O199">
        <f t="shared" si="54"/>
        <v>0</v>
      </c>
      <c r="P199">
        <f t="shared" si="54"/>
        <v>0</v>
      </c>
      <c r="Q199">
        <f t="shared" si="54"/>
        <v>0</v>
      </c>
      <c r="R199">
        <f t="shared" si="54"/>
        <v>0</v>
      </c>
      <c r="S199">
        <f t="shared" si="54"/>
        <v>0</v>
      </c>
      <c r="T199">
        <f t="shared" si="54"/>
        <v>0</v>
      </c>
      <c r="U199">
        <f t="shared" si="54"/>
        <v>900</v>
      </c>
      <c r="V199">
        <f t="shared" si="54"/>
        <v>0</v>
      </c>
      <c r="W199">
        <f t="shared" si="54"/>
        <v>0</v>
      </c>
      <c r="X199">
        <f t="shared" si="54"/>
        <v>0</v>
      </c>
      <c r="Y199">
        <f t="shared" si="54"/>
        <v>237000</v>
      </c>
      <c r="Z199">
        <f t="shared" si="54"/>
        <v>0</v>
      </c>
      <c r="AA199">
        <f t="shared" si="54"/>
        <v>67500</v>
      </c>
      <c r="AB199">
        <f t="shared" si="54"/>
        <v>0</v>
      </c>
      <c r="AC199">
        <f t="shared" si="54"/>
        <v>12300</v>
      </c>
      <c r="AD199">
        <f t="shared" si="54"/>
        <v>141000</v>
      </c>
      <c r="AE199">
        <f t="shared" si="54"/>
        <v>27900</v>
      </c>
      <c r="AF199">
        <f t="shared" si="54"/>
        <v>0</v>
      </c>
      <c r="AG199">
        <f t="shared" si="54"/>
        <v>0</v>
      </c>
      <c r="AH199">
        <f t="shared" si="54"/>
        <v>0</v>
      </c>
      <c r="AI199">
        <f t="shared" si="54"/>
        <v>0</v>
      </c>
      <c r="AJ199">
        <f t="shared" si="54"/>
        <v>0</v>
      </c>
      <c r="AK199">
        <f t="shared" si="54"/>
        <v>0</v>
      </c>
      <c r="AL199">
        <f t="shared" si="54"/>
        <v>0</v>
      </c>
      <c r="AM199">
        <f t="shared" si="54"/>
        <v>0</v>
      </c>
      <c r="AN199" t="s">
        <v>261</v>
      </c>
    </row>
    <row r="200" spans="1:40">
      <c r="A200">
        <v>2100</v>
      </c>
      <c r="B200" t="s">
        <v>247</v>
      </c>
      <c r="C200" t="s">
        <v>248</v>
      </c>
      <c r="D200" t="s">
        <v>262</v>
      </c>
      <c r="E200" t="s">
        <v>263</v>
      </c>
      <c r="F200">
        <f t="shared" ref="F200:AM200" si="55" xml:space="preserve">F171/1*30</f>
        <v>0</v>
      </c>
      <c r="G200">
        <f t="shared" si="55"/>
        <v>5670</v>
      </c>
      <c r="H200">
        <f t="shared" si="55"/>
        <v>0</v>
      </c>
      <c r="I200">
        <f t="shared" si="55"/>
        <v>15</v>
      </c>
      <c r="J200">
        <f t="shared" si="55"/>
        <v>0</v>
      </c>
      <c r="K200">
        <f t="shared" si="55"/>
        <v>0</v>
      </c>
      <c r="L200">
        <f t="shared" si="55"/>
        <v>2040</v>
      </c>
      <c r="M200">
        <f t="shared" si="55"/>
        <v>38100</v>
      </c>
      <c r="N200">
        <f t="shared" si="55"/>
        <v>0</v>
      </c>
      <c r="O200">
        <f t="shared" si="55"/>
        <v>0</v>
      </c>
      <c r="P200">
        <f t="shared" si="55"/>
        <v>0</v>
      </c>
      <c r="Q200">
        <f t="shared" si="55"/>
        <v>6</v>
      </c>
      <c r="R200">
        <f t="shared" si="55"/>
        <v>0</v>
      </c>
      <c r="S200">
        <f t="shared" si="55"/>
        <v>0</v>
      </c>
      <c r="T200">
        <f t="shared" si="55"/>
        <v>0</v>
      </c>
      <c r="U200">
        <f t="shared" si="55"/>
        <v>840</v>
      </c>
      <c r="V200">
        <f t="shared" si="55"/>
        <v>0</v>
      </c>
      <c r="W200">
        <f t="shared" si="55"/>
        <v>0</v>
      </c>
      <c r="X200">
        <f t="shared" si="55"/>
        <v>0</v>
      </c>
      <c r="Y200">
        <f t="shared" si="55"/>
        <v>0</v>
      </c>
      <c r="Z200">
        <f t="shared" si="55"/>
        <v>0</v>
      </c>
      <c r="AA200">
        <f t="shared" si="55"/>
        <v>627</v>
      </c>
      <c r="AB200">
        <f t="shared" si="55"/>
        <v>210</v>
      </c>
      <c r="AC200">
        <f t="shared" si="55"/>
        <v>0</v>
      </c>
      <c r="AD200">
        <f t="shared" si="55"/>
        <v>687</v>
      </c>
      <c r="AE200">
        <f t="shared" si="55"/>
        <v>600</v>
      </c>
      <c r="AF200">
        <f t="shared" si="55"/>
        <v>0</v>
      </c>
      <c r="AG200">
        <f t="shared" si="55"/>
        <v>0</v>
      </c>
      <c r="AH200">
        <f t="shared" si="55"/>
        <v>0</v>
      </c>
      <c r="AI200">
        <f t="shared" si="55"/>
        <v>0</v>
      </c>
      <c r="AJ200">
        <f t="shared" si="55"/>
        <v>0</v>
      </c>
      <c r="AK200">
        <f t="shared" si="55"/>
        <v>90</v>
      </c>
      <c r="AL200">
        <f t="shared" si="55"/>
        <v>0</v>
      </c>
      <c r="AM200">
        <f t="shared" si="55"/>
        <v>36</v>
      </c>
      <c r="AN200" t="s">
        <v>263</v>
      </c>
    </row>
    <row r="208" spans="1:40">
      <c r="B208" s="86" t="s">
        <v>191</v>
      </c>
    </row>
    <row r="210" s="86" customFormat="1"/>
    <row r="211" s="86" customFormat="1" spans="1:39">
      <c r="A211" s="86" t="str">
        <f xml:space="preserve">A193</f>
        <v>year</v>
      </c>
      <c r="B211" s="86" t="str">
        <f xml:space="preserve">B193</f>
        <v>attribute</v>
      </c>
      <c r="C211" s="86" t="s">
        <v>197</v>
      </c>
      <c r="D211" s="86" t="s">
        <v>66</v>
      </c>
      <c r="E211" s="86" t="str">
        <f t="shared" ref="E211:AM211" si="56" xml:space="preserve">F87</f>
        <v>Africa_North</v>
      </c>
      <c r="F211" s="86" t="str">
        <f t="shared" si="56"/>
        <v>Africa_Other</v>
      </c>
      <c r="G211" s="86" t="str">
        <f t="shared" si="56"/>
        <v>Australia</v>
      </c>
      <c r="H211" s="86" t="str">
        <f t="shared" si="56"/>
        <v>Austria</v>
      </c>
      <c r="I211" s="86" t="str">
        <f t="shared" si="56"/>
        <v>Baltics</v>
      </c>
      <c r="J211" s="86" t="str">
        <f t="shared" si="56"/>
        <v>BeNeLux</v>
      </c>
      <c r="K211" s="86" t="str">
        <f t="shared" si="56"/>
        <v>Brazil</v>
      </c>
      <c r="L211" s="86" t="str">
        <f t="shared" si="56"/>
        <v>China</v>
      </c>
      <c r="M211" s="86" t="str">
        <f t="shared" si="56"/>
        <v>CroSloven</v>
      </c>
      <c r="N211" s="86" t="str">
        <f t="shared" si="56"/>
        <v>CzechSlovak</v>
      </c>
      <c r="O211" s="86" t="str">
        <f t="shared" si="56"/>
        <v>France</v>
      </c>
      <c r="P211" s="86" t="str">
        <f t="shared" si="56"/>
        <v>Germany</v>
      </c>
      <c r="Q211" s="86" t="str">
        <f t="shared" si="56"/>
        <v>GreeceCyp</v>
      </c>
      <c r="R211" s="86" t="str">
        <f t="shared" si="56"/>
        <v>HunRomBul</v>
      </c>
      <c r="S211" s="86" t="str">
        <f t="shared" si="56"/>
        <v>Iceland</v>
      </c>
      <c r="T211" s="86" t="str">
        <f t="shared" si="56"/>
        <v>India</v>
      </c>
      <c r="U211" s="86" t="str">
        <f t="shared" si="56"/>
        <v>Ireland</v>
      </c>
      <c r="V211" s="86" t="str">
        <f t="shared" si="56"/>
        <v>ItalyMal</v>
      </c>
      <c r="W211" s="86" t="str">
        <f t="shared" si="56"/>
        <v>Japan</v>
      </c>
      <c r="X211" s="86" t="str">
        <f t="shared" si="56"/>
        <v>LatAm</v>
      </c>
      <c r="Y211" s="86" t="str">
        <f t="shared" si="56"/>
        <v>MidEast</v>
      </c>
      <c r="Z211" s="86" t="str">
        <f t="shared" si="56"/>
        <v>NorthAm</v>
      </c>
      <c r="AA211" s="86" t="str">
        <f t="shared" si="56"/>
        <v>Norway</v>
      </c>
      <c r="AB211" s="86" t="str">
        <f t="shared" si="56"/>
        <v>Poland</v>
      </c>
      <c r="AC211" s="86" t="str">
        <f t="shared" si="56"/>
        <v>ROW</v>
      </c>
      <c r="AD211" s="86" t="str">
        <f t="shared" si="56"/>
        <v>Russia</v>
      </c>
      <c r="AE211" s="86" t="str">
        <f t="shared" si="56"/>
        <v>SaudiArabia</v>
      </c>
      <c r="AF211" s="86" t="str">
        <f t="shared" si="56"/>
        <v>SouthAfrica</v>
      </c>
      <c r="AG211" s="86" t="str">
        <f t="shared" si="56"/>
        <v>SpainPor</v>
      </c>
      <c r="AH211" s="86" t="str">
        <f t="shared" si="56"/>
        <v>SweFinDen</v>
      </c>
      <c r="AI211" s="86" t="str">
        <f t="shared" si="56"/>
        <v>Switzerland</v>
      </c>
      <c r="AJ211" s="86" t="str">
        <f t="shared" si="56"/>
        <v>Turkey</v>
      </c>
      <c r="AK211" s="86" t="str">
        <f t="shared" si="56"/>
        <v>UK</v>
      </c>
      <c r="AL211" s="86" t="str">
        <f t="shared" si="56"/>
        <v>Ukraine</v>
      </c>
      <c r="AM211" s="86" t="str">
        <f xml:space="preserve">AO87</f>
        <v>Pset_CO</v>
      </c>
    </row>
    <row r="212" s="86" customFormat="1" ht="16" spans="1:39">
      <c r="A212" s="86">
        <v>2019</v>
      </c>
      <c r="B212" s="157" t="s">
        <v>344</v>
      </c>
      <c r="C212" s="86" t="s">
        <v>201</v>
      </c>
      <c r="D212" s="86" t="s">
        <v>249</v>
      </c>
      <c r="E212" s="86">
        <f t="shared" ref="E212:AL212" si="57" xml:space="preserve">F88/1</f>
        <v>0</v>
      </c>
      <c r="F212" s="86">
        <f t="shared" si="57"/>
        <v>24.7</v>
      </c>
      <c r="G212" s="86">
        <f t="shared" si="57"/>
        <v>88</v>
      </c>
      <c r="H212" s="86">
        <f t="shared" si="57"/>
        <v>0</v>
      </c>
      <c r="I212" s="86">
        <f t="shared" si="57"/>
        <v>0</v>
      </c>
      <c r="J212" s="86">
        <f t="shared" si="57"/>
        <v>0</v>
      </c>
      <c r="K212" s="86">
        <f t="shared" si="57"/>
        <v>10</v>
      </c>
      <c r="L212" s="86">
        <f t="shared" si="57"/>
        <v>41</v>
      </c>
      <c r="M212" s="86">
        <f t="shared" si="57"/>
        <v>0</v>
      </c>
      <c r="N212" s="86">
        <f t="shared" si="57"/>
        <v>0</v>
      </c>
      <c r="O212" s="86">
        <f t="shared" si="57"/>
        <v>0</v>
      </c>
      <c r="P212" s="86">
        <f t="shared" si="57"/>
        <v>0</v>
      </c>
      <c r="Q212" s="86">
        <f t="shared" si="57"/>
        <v>0</v>
      </c>
      <c r="R212" s="86">
        <f t="shared" si="57"/>
        <v>0</v>
      </c>
      <c r="S212" s="86">
        <f t="shared" si="57"/>
        <v>0</v>
      </c>
      <c r="T212" s="86">
        <f t="shared" si="57"/>
        <v>0</v>
      </c>
      <c r="U212" s="86">
        <f t="shared" si="57"/>
        <v>0</v>
      </c>
      <c r="V212" s="86">
        <f t="shared" si="57"/>
        <v>0</v>
      </c>
      <c r="W212" s="86">
        <f t="shared" si="57"/>
        <v>0</v>
      </c>
      <c r="X212" s="86">
        <f t="shared" si="57"/>
        <v>67</v>
      </c>
      <c r="Y212" s="86">
        <f t="shared" si="57"/>
        <v>0</v>
      </c>
      <c r="Z212" s="86">
        <f t="shared" si="57"/>
        <v>4.3</v>
      </c>
      <c r="AA212" s="86">
        <f t="shared" si="57"/>
        <v>0</v>
      </c>
      <c r="AB212" s="86">
        <f t="shared" si="57"/>
        <v>0</v>
      </c>
      <c r="AC212" s="86">
        <f t="shared" si="57"/>
        <v>4.6</v>
      </c>
      <c r="AD212" s="86">
        <f t="shared" si="57"/>
        <v>0</v>
      </c>
      <c r="AE212" s="86">
        <f t="shared" si="57"/>
        <v>0</v>
      </c>
      <c r="AF212" s="86">
        <f t="shared" si="57"/>
        <v>0</v>
      </c>
      <c r="AG212" s="86">
        <f t="shared" si="57"/>
        <v>0.4</v>
      </c>
      <c r="AH212" s="86">
        <f t="shared" si="57"/>
        <v>0</v>
      </c>
      <c r="AI212" s="86">
        <f t="shared" si="57"/>
        <v>0</v>
      </c>
      <c r="AJ212" s="86">
        <f t="shared" si="57"/>
        <v>0</v>
      </c>
      <c r="AK212" s="86">
        <f t="shared" si="57"/>
        <v>0</v>
      </c>
      <c r="AL212" s="86">
        <f t="shared" si="57"/>
        <v>0</v>
      </c>
      <c r="AM212" s="86" t="str">
        <f t="shared" ref="AM212:AM218" si="58" xml:space="preserve">AO88</f>
        <v>m_lithium</v>
      </c>
    </row>
    <row r="213" s="86" customFormat="1" spans="1:39">
      <c r="A213" s="86">
        <f t="shared" ref="A213:A218" si="59" xml:space="preserve">A212</f>
        <v>2019</v>
      </c>
      <c r="B213" s="86" t="str">
        <f t="shared" ref="B213:B218" si="60" xml:space="preserve">B212</f>
        <v>PRC_RESID</v>
      </c>
      <c r="C213" s="86" t="s">
        <v>201</v>
      </c>
      <c r="D213" s="86" t="s">
        <v>251</v>
      </c>
      <c r="E213" s="86">
        <f t="shared" ref="E213:AL213" si="61" xml:space="preserve">F89/1</f>
        <v>0</v>
      </c>
      <c r="F213" s="86">
        <f t="shared" si="61"/>
        <v>0</v>
      </c>
      <c r="G213" s="86">
        <f t="shared" si="61"/>
        <v>110</v>
      </c>
      <c r="H213" s="86">
        <f t="shared" si="61"/>
        <v>0</v>
      </c>
      <c r="I213" s="86">
        <f t="shared" si="61"/>
        <v>0</v>
      </c>
      <c r="J213" s="86">
        <f t="shared" si="61"/>
        <v>0</v>
      </c>
      <c r="K213" s="86">
        <f t="shared" si="61"/>
        <v>77</v>
      </c>
      <c r="L213" s="86">
        <f t="shared" si="61"/>
        <v>120</v>
      </c>
      <c r="M213" s="86">
        <f t="shared" si="61"/>
        <v>0</v>
      </c>
      <c r="N213" s="86">
        <f t="shared" si="61"/>
        <v>0</v>
      </c>
      <c r="O213" s="86">
        <f t="shared" si="61"/>
        <v>0</v>
      </c>
      <c r="P213" s="86">
        <f t="shared" si="61"/>
        <v>0</v>
      </c>
      <c r="Q213" s="86">
        <f t="shared" si="61"/>
        <v>0</v>
      </c>
      <c r="R213" s="86">
        <f t="shared" si="61"/>
        <v>0</v>
      </c>
      <c r="S213" s="86">
        <f t="shared" si="61"/>
        <v>0</v>
      </c>
      <c r="T213" s="86">
        <f t="shared" si="61"/>
        <v>0</v>
      </c>
      <c r="U213" s="86">
        <f t="shared" si="61"/>
        <v>0</v>
      </c>
      <c r="V213" s="86">
        <f t="shared" si="61"/>
        <v>0</v>
      </c>
      <c r="W213" s="86">
        <f t="shared" si="61"/>
        <v>0</v>
      </c>
      <c r="X213" s="86">
        <f t="shared" si="61"/>
        <v>0</v>
      </c>
      <c r="Y213" s="86">
        <f t="shared" si="61"/>
        <v>0</v>
      </c>
      <c r="Z213" s="86">
        <f t="shared" si="61"/>
        <v>198</v>
      </c>
      <c r="AA213" s="86">
        <f t="shared" si="61"/>
        <v>0</v>
      </c>
      <c r="AB213" s="86">
        <f t="shared" si="61"/>
        <v>0</v>
      </c>
      <c r="AC213" s="86">
        <f t="shared" si="61"/>
        <v>2985</v>
      </c>
      <c r="AD213" s="86">
        <f t="shared" si="61"/>
        <v>210</v>
      </c>
      <c r="AE213" s="86">
        <f t="shared" si="61"/>
        <v>0</v>
      </c>
      <c r="AF213" s="86">
        <f t="shared" si="61"/>
        <v>0</v>
      </c>
      <c r="AG213" s="86">
        <f t="shared" si="61"/>
        <v>0</v>
      </c>
      <c r="AH213" s="86">
        <f t="shared" si="61"/>
        <v>0</v>
      </c>
      <c r="AI213" s="86">
        <f t="shared" si="61"/>
        <v>0</v>
      </c>
      <c r="AJ213" s="86">
        <f t="shared" si="61"/>
        <v>0</v>
      </c>
      <c r="AK213" s="86">
        <f t="shared" si="61"/>
        <v>0</v>
      </c>
      <c r="AL213" s="86">
        <f t="shared" si="61"/>
        <v>0</v>
      </c>
      <c r="AM213" s="86" t="str">
        <f t="shared" si="58"/>
        <v>m_nickel</v>
      </c>
    </row>
    <row r="214" s="86" customFormat="1" spans="1:39">
      <c r="A214" s="86">
        <f t="shared" si="59"/>
        <v>2019</v>
      </c>
      <c r="B214" s="86" t="str">
        <f t="shared" si="60"/>
        <v>PRC_RESID</v>
      </c>
      <c r="C214" s="86" t="s">
        <v>201</v>
      </c>
      <c r="D214" s="86" t="s">
        <v>253</v>
      </c>
      <c r="E214" s="86">
        <f t="shared" ref="E214:AL214" si="62" xml:space="preserve">F90/1</f>
        <v>0</v>
      </c>
      <c r="F214" s="86">
        <f t="shared" si="62"/>
        <v>222.6</v>
      </c>
      <c r="G214" s="86">
        <f t="shared" si="62"/>
        <v>3.6</v>
      </c>
      <c r="H214" s="86">
        <f t="shared" si="62"/>
        <v>0</v>
      </c>
      <c r="I214" s="86">
        <f t="shared" si="62"/>
        <v>0</v>
      </c>
      <c r="J214" s="86">
        <f t="shared" si="62"/>
        <v>0</v>
      </c>
      <c r="K214" s="86">
        <f t="shared" si="62"/>
        <v>0</v>
      </c>
      <c r="L214" s="86">
        <f t="shared" si="62"/>
        <v>0</v>
      </c>
      <c r="M214" s="86">
        <f t="shared" si="62"/>
        <v>0</v>
      </c>
      <c r="N214" s="86">
        <f t="shared" si="62"/>
        <v>0</v>
      </c>
      <c r="O214" s="86">
        <f t="shared" si="62"/>
        <v>0</v>
      </c>
      <c r="P214" s="86">
        <f t="shared" si="62"/>
        <v>0</v>
      </c>
      <c r="Q214" s="86">
        <f t="shared" si="62"/>
        <v>0</v>
      </c>
      <c r="R214" s="86">
        <f t="shared" si="62"/>
        <v>0</v>
      </c>
      <c r="S214" s="86">
        <f t="shared" si="62"/>
        <v>0</v>
      </c>
      <c r="T214" s="86">
        <f t="shared" si="62"/>
        <v>0</v>
      </c>
      <c r="U214" s="86">
        <f t="shared" si="62"/>
        <v>0</v>
      </c>
      <c r="V214" s="86">
        <f t="shared" si="62"/>
        <v>0</v>
      </c>
      <c r="W214" s="86">
        <f t="shared" si="62"/>
        <v>0</v>
      </c>
      <c r="X214" s="86">
        <f t="shared" si="62"/>
        <v>3.5</v>
      </c>
      <c r="Y214" s="86">
        <f t="shared" si="62"/>
        <v>0</v>
      </c>
      <c r="Z214" s="86">
        <f t="shared" si="62"/>
        <v>4.8</v>
      </c>
      <c r="AA214" s="86">
        <f t="shared" si="62"/>
        <v>0</v>
      </c>
      <c r="AB214" s="86">
        <f t="shared" si="62"/>
        <v>0</v>
      </c>
      <c r="AC214" s="86">
        <f t="shared" si="62"/>
        <v>43.8</v>
      </c>
      <c r="AD214" s="86">
        <f t="shared" si="62"/>
        <v>8.7</v>
      </c>
      <c r="AE214" s="86">
        <f t="shared" si="62"/>
        <v>0</v>
      </c>
      <c r="AF214" s="86">
        <f t="shared" si="62"/>
        <v>0</v>
      </c>
      <c r="AG214" s="86">
        <f t="shared" si="62"/>
        <v>0</v>
      </c>
      <c r="AH214" s="86">
        <f t="shared" si="62"/>
        <v>0</v>
      </c>
      <c r="AI214" s="86">
        <f t="shared" si="62"/>
        <v>0</v>
      </c>
      <c r="AJ214" s="86">
        <f t="shared" si="62"/>
        <v>2.7</v>
      </c>
      <c r="AK214" s="86">
        <f t="shared" si="62"/>
        <v>0</v>
      </c>
      <c r="AL214" s="86">
        <f t="shared" si="62"/>
        <v>0</v>
      </c>
      <c r="AM214" s="86" t="str">
        <f t="shared" si="58"/>
        <v>m_cobalt</v>
      </c>
    </row>
    <row r="215" s="86" customFormat="1" spans="1:39">
      <c r="A215" s="86">
        <f t="shared" si="59"/>
        <v>2019</v>
      </c>
      <c r="B215" s="86" t="str">
        <f t="shared" si="60"/>
        <v>PRC_RESID</v>
      </c>
      <c r="C215" s="86" t="s">
        <v>201</v>
      </c>
      <c r="D215" s="86" t="s">
        <v>256</v>
      </c>
      <c r="E215" s="86">
        <f t="shared" ref="E215:AL215" si="63" xml:space="preserve">F91/1</f>
        <v>0</v>
      </c>
      <c r="F215" s="86">
        <f t="shared" si="63"/>
        <v>5780</v>
      </c>
      <c r="G215" s="86">
        <f t="shared" si="63"/>
        <v>2800</v>
      </c>
      <c r="H215" s="86">
        <f t="shared" si="63"/>
        <v>0</v>
      </c>
      <c r="I215" s="86">
        <f t="shared" si="63"/>
        <v>0</v>
      </c>
      <c r="J215" s="86">
        <f t="shared" si="63"/>
        <v>0</v>
      </c>
      <c r="K215" s="86">
        <f t="shared" si="63"/>
        <v>590</v>
      </c>
      <c r="L215" s="86">
        <f t="shared" si="63"/>
        <v>770</v>
      </c>
      <c r="M215" s="86">
        <f t="shared" si="63"/>
        <v>0</v>
      </c>
      <c r="N215" s="86">
        <f t="shared" si="63"/>
        <v>0</v>
      </c>
      <c r="O215" s="86">
        <f t="shared" si="63"/>
        <v>0</v>
      </c>
      <c r="P215" s="86">
        <f t="shared" si="63"/>
        <v>0</v>
      </c>
      <c r="Q215" s="86">
        <f t="shared" si="63"/>
        <v>0</v>
      </c>
      <c r="R215" s="86">
        <f t="shared" si="63"/>
        <v>0</v>
      </c>
      <c r="S215" s="86">
        <f t="shared" si="63"/>
        <v>0</v>
      </c>
      <c r="T215" s="86">
        <f t="shared" si="63"/>
        <v>800</v>
      </c>
      <c r="U215" s="86">
        <f t="shared" si="63"/>
        <v>0</v>
      </c>
      <c r="V215" s="86">
        <f t="shared" si="63"/>
        <v>0</v>
      </c>
      <c r="W215" s="86">
        <f t="shared" si="63"/>
        <v>0</v>
      </c>
      <c r="X215" s="86">
        <f t="shared" si="63"/>
        <v>0</v>
      </c>
      <c r="Y215" s="86">
        <f t="shared" si="63"/>
        <v>0</v>
      </c>
      <c r="Z215" s="86">
        <f t="shared" si="63"/>
        <v>0</v>
      </c>
      <c r="AA215" s="86">
        <f t="shared" si="63"/>
        <v>0</v>
      </c>
      <c r="AB215" s="86">
        <f t="shared" si="63"/>
        <v>0</v>
      </c>
      <c r="AC215" s="86">
        <f t="shared" si="63"/>
        <v>2060</v>
      </c>
      <c r="AD215" s="86">
        <f t="shared" si="63"/>
        <v>0</v>
      </c>
      <c r="AE215" s="86">
        <f t="shared" si="63"/>
        <v>0</v>
      </c>
      <c r="AF215" s="86">
        <f t="shared" si="63"/>
        <v>7400</v>
      </c>
      <c r="AG215" s="86">
        <f t="shared" si="63"/>
        <v>0</v>
      </c>
      <c r="AH215" s="86">
        <f t="shared" si="63"/>
        <v>0</v>
      </c>
      <c r="AI215" s="86">
        <f t="shared" si="63"/>
        <v>0</v>
      </c>
      <c r="AJ215" s="86">
        <f t="shared" si="63"/>
        <v>0</v>
      </c>
      <c r="AK215" s="86">
        <f t="shared" si="63"/>
        <v>0</v>
      </c>
      <c r="AL215" s="86">
        <f t="shared" si="63"/>
        <v>0</v>
      </c>
      <c r="AM215" s="86" t="str">
        <f t="shared" si="58"/>
        <v>m_manganese</v>
      </c>
    </row>
    <row r="216" s="86" customFormat="1" spans="1:39">
      <c r="A216" s="86">
        <f t="shared" si="59"/>
        <v>2019</v>
      </c>
      <c r="B216" s="86" t="str">
        <f t="shared" si="60"/>
        <v>PRC_RESID</v>
      </c>
      <c r="C216" s="86" t="s">
        <v>201</v>
      </c>
      <c r="D216" s="86" t="s">
        <v>258</v>
      </c>
      <c r="E216" s="86">
        <f t="shared" ref="E216:AL216" si="64" xml:space="preserve">F92/1</f>
        <v>0</v>
      </c>
      <c r="F216" s="86">
        <f t="shared" si="64"/>
        <v>159</v>
      </c>
      <c r="G216" s="86">
        <f t="shared" si="64"/>
        <v>9522</v>
      </c>
      <c r="H216" s="86">
        <f t="shared" si="64"/>
        <v>0</v>
      </c>
      <c r="I216" s="86">
        <f t="shared" si="64"/>
        <v>0</v>
      </c>
      <c r="J216" s="86">
        <f t="shared" si="64"/>
        <v>0</v>
      </c>
      <c r="K216" s="86">
        <f t="shared" si="64"/>
        <v>5819</v>
      </c>
      <c r="L216" s="86">
        <f t="shared" si="64"/>
        <v>44436</v>
      </c>
      <c r="M216" s="86">
        <f t="shared" si="64"/>
        <v>0</v>
      </c>
      <c r="N216" s="86">
        <f t="shared" si="64"/>
        <v>0</v>
      </c>
      <c r="O216" s="86">
        <f t="shared" si="64"/>
        <v>0</v>
      </c>
      <c r="P216" s="86">
        <f t="shared" si="64"/>
        <v>508</v>
      </c>
      <c r="Q216" s="86">
        <f t="shared" si="64"/>
        <v>455</v>
      </c>
      <c r="R216" s="86">
        <f t="shared" si="64"/>
        <v>0</v>
      </c>
      <c r="S216" s="86">
        <f t="shared" si="64"/>
        <v>0</v>
      </c>
      <c r="T216" s="86">
        <f t="shared" si="64"/>
        <v>4020</v>
      </c>
      <c r="U216" s="86">
        <f t="shared" si="64"/>
        <v>846</v>
      </c>
      <c r="V216" s="86">
        <f t="shared" si="64"/>
        <v>0</v>
      </c>
      <c r="W216" s="86">
        <f t="shared" si="64"/>
        <v>0</v>
      </c>
      <c r="X216" s="86">
        <f t="shared" si="64"/>
        <v>0</v>
      </c>
      <c r="Y216" s="86">
        <f t="shared" si="64"/>
        <v>1270</v>
      </c>
      <c r="Z216" s="86">
        <f t="shared" si="64"/>
        <v>1175</v>
      </c>
      <c r="AA216" s="86">
        <f t="shared" si="64"/>
        <v>0</v>
      </c>
      <c r="AB216" s="86">
        <f t="shared" si="64"/>
        <v>0</v>
      </c>
      <c r="AC216" s="86">
        <f t="shared" si="64"/>
        <v>3015</v>
      </c>
      <c r="AD216" s="86">
        <f t="shared" si="64"/>
        <v>1534</v>
      </c>
      <c r="AE216" s="86">
        <f t="shared" si="64"/>
        <v>952</v>
      </c>
      <c r="AF216" s="86">
        <f t="shared" si="64"/>
        <v>0</v>
      </c>
      <c r="AG216" s="86">
        <f t="shared" si="64"/>
        <v>434</v>
      </c>
      <c r="AH216" s="86">
        <f t="shared" si="64"/>
        <v>0</v>
      </c>
      <c r="AI216" s="86">
        <f t="shared" si="64"/>
        <v>0</v>
      </c>
      <c r="AJ216" s="86">
        <f t="shared" si="64"/>
        <v>169</v>
      </c>
      <c r="AK216" s="86">
        <f t="shared" si="64"/>
        <v>0</v>
      </c>
      <c r="AL216" s="86">
        <f t="shared" si="64"/>
        <v>0</v>
      </c>
      <c r="AM216" s="86" t="str">
        <f t="shared" si="58"/>
        <v>m_aluminum</v>
      </c>
    </row>
    <row r="217" s="86" customFormat="1" spans="1:39">
      <c r="A217" s="86">
        <f t="shared" si="59"/>
        <v>2019</v>
      </c>
      <c r="B217" s="86" t="str">
        <f t="shared" si="60"/>
        <v>PRC_RESID</v>
      </c>
      <c r="C217" s="86" t="s">
        <v>201</v>
      </c>
      <c r="D217" s="86" t="s">
        <v>260</v>
      </c>
      <c r="E217" s="86">
        <f t="shared" ref="E217:AL217" si="65" xml:space="preserve">F93/1</f>
        <v>0</v>
      </c>
      <c r="F217" s="86">
        <f t="shared" si="65"/>
        <v>3980</v>
      </c>
      <c r="G217" s="86">
        <f t="shared" si="65"/>
        <v>800</v>
      </c>
      <c r="H217" s="86">
        <f t="shared" si="65"/>
        <v>0</v>
      </c>
      <c r="I217" s="86">
        <f t="shared" si="65"/>
        <v>0</v>
      </c>
      <c r="J217" s="86">
        <f t="shared" si="65"/>
        <v>0</v>
      </c>
      <c r="K217" s="86">
        <f t="shared" si="65"/>
        <v>0</v>
      </c>
      <c r="L217" s="86">
        <f t="shared" si="65"/>
        <v>1800</v>
      </c>
      <c r="M217" s="86">
        <f t="shared" si="65"/>
        <v>0</v>
      </c>
      <c r="N217" s="86">
        <f t="shared" si="65"/>
        <v>0</v>
      </c>
      <c r="O217" s="86">
        <f t="shared" si="65"/>
        <v>0</v>
      </c>
      <c r="P217" s="86">
        <f t="shared" si="65"/>
        <v>0</v>
      </c>
      <c r="Q217" s="86">
        <f t="shared" si="65"/>
        <v>0</v>
      </c>
      <c r="R217" s="86">
        <f t="shared" si="65"/>
        <v>0</v>
      </c>
      <c r="S217" s="86">
        <f t="shared" si="65"/>
        <v>0</v>
      </c>
      <c r="T217" s="86">
        <f t="shared" si="65"/>
        <v>30</v>
      </c>
      <c r="U217" s="86">
        <f t="shared" si="65"/>
        <v>0</v>
      </c>
      <c r="V217" s="86">
        <f t="shared" si="65"/>
        <v>0</v>
      </c>
      <c r="W217" s="86">
        <f t="shared" si="65"/>
        <v>0</v>
      </c>
      <c r="X217" s="86">
        <f t="shared" si="65"/>
        <v>7900</v>
      </c>
      <c r="Y217" s="86">
        <f t="shared" si="65"/>
        <v>0</v>
      </c>
      <c r="Z217" s="86">
        <f t="shared" si="65"/>
        <v>2250</v>
      </c>
      <c r="AA217" s="86">
        <f t="shared" si="65"/>
        <v>0</v>
      </c>
      <c r="AB217" s="86">
        <f t="shared" si="65"/>
        <v>410</v>
      </c>
      <c r="AC217" s="86">
        <f t="shared" si="65"/>
        <v>4700</v>
      </c>
      <c r="AD217" s="86">
        <f t="shared" si="65"/>
        <v>930</v>
      </c>
      <c r="AE217" s="86">
        <f t="shared" si="65"/>
        <v>0</v>
      </c>
      <c r="AF217" s="86">
        <f t="shared" si="65"/>
        <v>0</v>
      </c>
      <c r="AG217" s="86">
        <f t="shared" si="65"/>
        <v>0</v>
      </c>
      <c r="AH217" s="86">
        <f t="shared" si="65"/>
        <v>0</v>
      </c>
      <c r="AI217" s="86">
        <f t="shared" si="65"/>
        <v>0</v>
      </c>
      <c r="AJ217" s="86">
        <f t="shared" si="65"/>
        <v>0</v>
      </c>
      <c r="AK217" s="86">
        <f t="shared" si="65"/>
        <v>0</v>
      </c>
      <c r="AL217" s="86">
        <f t="shared" si="65"/>
        <v>0</v>
      </c>
      <c r="AM217" s="86" t="str">
        <f t="shared" si="58"/>
        <v>m_copper</v>
      </c>
    </row>
    <row r="218" s="86" customFormat="1" spans="1:39">
      <c r="A218" s="86">
        <f t="shared" si="59"/>
        <v>2019</v>
      </c>
      <c r="B218" s="86" t="str">
        <f t="shared" si="60"/>
        <v>PRC_RESID</v>
      </c>
      <c r="C218" s="86" t="s">
        <v>201</v>
      </c>
      <c r="D218" s="86" t="s">
        <v>262</v>
      </c>
      <c r="E218" s="86">
        <f t="shared" ref="E218:AL218" si="66" xml:space="preserve">F94/1</f>
        <v>0</v>
      </c>
      <c r="F218" s="86">
        <f t="shared" si="66"/>
        <v>189</v>
      </c>
      <c r="G218" s="86">
        <f t="shared" si="66"/>
        <v>0</v>
      </c>
      <c r="H218" s="86">
        <f t="shared" si="66"/>
        <v>0.5</v>
      </c>
      <c r="I218" s="86">
        <f t="shared" si="66"/>
        <v>0</v>
      </c>
      <c r="J218" s="86">
        <f t="shared" si="66"/>
        <v>0</v>
      </c>
      <c r="K218" s="86">
        <f t="shared" si="66"/>
        <v>68</v>
      </c>
      <c r="L218" s="86">
        <f t="shared" si="66"/>
        <v>1270</v>
      </c>
      <c r="M218" s="86">
        <f t="shared" si="66"/>
        <v>0</v>
      </c>
      <c r="N218" s="86">
        <f t="shared" si="66"/>
        <v>0</v>
      </c>
      <c r="O218" s="86">
        <f t="shared" si="66"/>
        <v>0</v>
      </c>
      <c r="P218" s="86">
        <f t="shared" si="66"/>
        <v>0.2</v>
      </c>
      <c r="Q218" s="86">
        <f t="shared" si="66"/>
        <v>0</v>
      </c>
      <c r="R218" s="86">
        <f t="shared" si="66"/>
        <v>0</v>
      </c>
      <c r="S218" s="86">
        <f t="shared" si="66"/>
        <v>0</v>
      </c>
      <c r="T218" s="86">
        <f t="shared" si="66"/>
        <v>28</v>
      </c>
      <c r="U218" s="86">
        <f t="shared" si="66"/>
        <v>0</v>
      </c>
      <c r="V218" s="86">
        <f t="shared" si="66"/>
        <v>0</v>
      </c>
      <c r="W218" s="86">
        <f t="shared" si="66"/>
        <v>0</v>
      </c>
      <c r="X218" s="86">
        <f t="shared" si="66"/>
        <v>0</v>
      </c>
      <c r="Y218" s="86">
        <f t="shared" si="66"/>
        <v>0</v>
      </c>
      <c r="Z218" s="86">
        <f t="shared" si="66"/>
        <v>20.9</v>
      </c>
      <c r="AA218" s="86">
        <f t="shared" si="66"/>
        <v>7</v>
      </c>
      <c r="AB218" s="86">
        <f t="shared" si="66"/>
        <v>0</v>
      </c>
      <c r="AC218" s="86">
        <f t="shared" si="66"/>
        <v>22.9</v>
      </c>
      <c r="AD218" s="86">
        <f t="shared" si="66"/>
        <v>20</v>
      </c>
      <c r="AE218" s="86">
        <f t="shared" si="66"/>
        <v>0</v>
      </c>
      <c r="AF218" s="86">
        <f t="shared" si="66"/>
        <v>0</v>
      </c>
      <c r="AG218" s="86">
        <f t="shared" si="66"/>
        <v>0</v>
      </c>
      <c r="AH218" s="86">
        <f t="shared" si="66"/>
        <v>0</v>
      </c>
      <c r="AI218" s="86">
        <f t="shared" si="66"/>
        <v>0</v>
      </c>
      <c r="AJ218" s="86">
        <f t="shared" si="66"/>
        <v>3</v>
      </c>
      <c r="AK218" s="86">
        <f t="shared" si="66"/>
        <v>0</v>
      </c>
      <c r="AL218" s="86">
        <f t="shared" si="66"/>
        <v>1.2</v>
      </c>
      <c r="AM218" s="86" t="str">
        <f t="shared" si="58"/>
        <v>m_graphite</v>
      </c>
    </row>
    <row r="226" s="34" customFormat="1"/>
    <row r="227" s="34" customFormat="1"/>
    <row r="228" s="34" customFormat="1"/>
    <row r="229" s="34" customFormat="1"/>
    <row r="230" s="34" customFormat="1"/>
    <row r="231" s="34" customFormat="1"/>
    <row r="232" s="34" customFormat="1"/>
    <row r="233" s="34" customFormat="1"/>
    <row r="234" s="34" customFormat="1"/>
    <row r="241" spans="4:23">
      <c r="D241" t="s">
        <v>345</v>
      </c>
    </row>
    <row r="243" ht="14.5" spans="4:23">
      <c r="D243" s="6" t="s">
        <v>1</v>
      </c>
      <c r="E243" s="6" t="s">
        <v>68</v>
      </c>
      <c r="F243" s="6" t="s">
        <v>90</v>
      </c>
      <c r="G243" s="6" t="s">
        <v>94</v>
      </c>
      <c r="H243" s="6" t="s">
        <v>86</v>
      </c>
      <c r="I243" s="6" t="s">
        <v>77</v>
      </c>
      <c r="J243" s="6" t="s">
        <v>73</v>
      </c>
      <c r="K243" s="6" t="s">
        <v>97</v>
      </c>
      <c r="P243" t="s">
        <v>346</v>
      </c>
    </row>
    <row r="244" ht="14.5" spans="4:23">
      <c r="D244" s="6" t="s">
        <v>3</v>
      </c>
      <c r="E244" s="6">
        <v>0</v>
      </c>
      <c r="F244" s="6">
        <v>0</v>
      </c>
      <c r="G244" s="6">
        <v>0</v>
      </c>
      <c r="H244" s="6">
        <v>0</v>
      </c>
      <c r="I244" s="6">
        <v>0</v>
      </c>
      <c r="J244" s="6">
        <v>0</v>
      </c>
      <c r="K244" s="6">
        <v>0</v>
      </c>
      <c r="Q244">
        <f xml:space="preserve">E244/3</f>
        <v>0</v>
      </c>
      <c r="R244">
        <f t="shared" ref="R244:W244" si="67" xml:space="preserve">F244/3</f>
        <v>0</v>
      </c>
      <c r="S244">
        <f t="shared" si="67"/>
        <v>0</v>
      </c>
      <c r="T244">
        <f t="shared" si="67"/>
        <v>0</v>
      </c>
      <c r="U244">
        <f t="shared" si="67"/>
        <v>0</v>
      </c>
      <c r="V244">
        <f t="shared" si="67"/>
        <v>0</v>
      </c>
      <c r="W244">
        <f t="shared" si="67"/>
        <v>0</v>
      </c>
    </row>
    <row r="245" ht="14.5" spans="4:23">
      <c r="D245" s="6" t="s">
        <v>5</v>
      </c>
      <c r="E245" s="6">
        <v>0</v>
      </c>
      <c r="F245" s="6">
        <v>0</v>
      </c>
      <c r="G245" s="6">
        <v>0</v>
      </c>
      <c r="H245" s="6">
        <v>0</v>
      </c>
      <c r="I245" s="6">
        <v>0</v>
      </c>
      <c r="J245" s="6">
        <v>0</v>
      </c>
      <c r="K245" s="6">
        <v>0</v>
      </c>
      <c r="Q245">
        <f t="shared" ref="Q245:Q277" si="68" xml:space="preserve">E245/3</f>
        <v>0</v>
      </c>
      <c r="R245">
        <f t="shared" ref="R245:W245" si="69" xml:space="preserve">F245/3</f>
        <v>0</v>
      </c>
      <c r="S245">
        <f t="shared" si="69"/>
        <v>0</v>
      </c>
      <c r="T245">
        <f t="shared" si="69"/>
        <v>0</v>
      </c>
      <c r="U245">
        <f t="shared" si="69"/>
        <v>0</v>
      </c>
      <c r="V245">
        <f t="shared" si="69"/>
        <v>0</v>
      </c>
      <c r="W245">
        <f t="shared" si="69"/>
        <v>0</v>
      </c>
    </row>
    <row r="246" ht="14.5" spans="4:23">
      <c r="D246" s="6" t="s">
        <v>6</v>
      </c>
      <c r="E246" s="6">
        <v>0</v>
      </c>
      <c r="F246" s="6">
        <v>0</v>
      </c>
      <c r="G246" s="6">
        <v>0</v>
      </c>
      <c r="H246" s="6">
        <v>0</v>
      </c>
      <c r="I246" s="6">
        <v>0</v>
      </c>
      <c r="J246" s="6">
        <v>0</v>
      </c>
      <c r="K246" s="6">
        <v>0</v>
      </c>
      <c r="Q246">
        <f t="shared" si="68"/>
        <v>0</v>
      </c>
      <c r="R246">
        <f t="shared" ref="R246:W246" si="70" xml:space="preserve">F246/3</f>
        <v>0</v>
      </c>
      <c r="S246">
        <f t="shared" si="70"/>
        <v>0</v>
      </c>
      <c r="T246">
        <f t="shared" si="70"/>
        <v>0</v>
      </c>
      <c r="U246">
        <f t="shared" si="70"/>
        <v>0</v>
      </c>
      <c r="V246">
        <f t="shared" si="70"/>
        <v>0</v>
      </c>
      <c r="W246">
        <f t="shared" si="70"/>
        <v>0</v>
      </c>
    </row>
    <row r="247" ht="14.5" spans="4:23">
      <c r="D247" s="6" t="s">
        <v>7</v>
      </c>
      <c r="E247" s="6">
        <v>0</v>
      </c>
      <c r="F247" s="6">
        <v>0</v>
      </c>
      <c r="G247" s="6">
        <v>0</v>
      </c>
      <c r="H247" s="6">
        <v>0</v>
      </c>
      <c r="I247" s="6">
        <v>0</v>
      </c>
      <c r="J247" s="6">
        <v>0</v>
      </c>
      <c r="K247" s="6">
        <v>0</v>
      </c>
      <c r="Q247">
        <f t="shared" si="68"/>
        <v>0</v>
      </c>
      <c r="R247">
        <f t="shared" ref="R247:W247" si="71" xml:space="preserve">F247/3</f>
        <v>0</v>
      </c>
      <c r="S247">
        <f t="shared" si="71"/>
        <v>0</v>
      </c>
      <c r="T247">
        <f t="shared" si="71"/>
        <v>0</v>
      </c>
      <c r="U247">
        <f t="shared" si="71"/>
        <v>0</v>
      </c>
      <c r="V247">
        <f t="shared" si="71"/>
        <v>0</v>
      </c>
      <c r="W247">
        <f t="shared" si="71"/>
        <v>0</v>
      </c>
    </row>
    <row r="248" ht="14.5" spans="4:23">
      <c r="D248" s="6" t="s">
        <v>8</v>
      </c>
      <c r="E248" s="6">
        <v>0</v>
      </c>
      <c r="F248" s="6">
        <v>0</v>
      </c>
      <c r="G248" s="6">
        <v>0</v>
      </c>
      <c r="H248" s="6">
        <v>0</v>
      </c>
      <c r="I248" s="6">
        <v>0</v>
      </c>
      <c r="J248" s="6">
        <v>0</v>
      </c>
      <c r="K248" s="6">
        <v>0</v>
      </c>
      <c r="Q248">
        <f t="shared" si="68"/>
        <v>0</v>
      </c>
      <c r="R248">
        <f t="shared" ref="R248:W248" si="72" xml:space="preserve">F248/3</f>
        <v>0</v>
      </c>
      <c r="S248">
        <f t="shared" si="72"/>
        <v>0</v>
      </c>
      <c r="T248">
        <f t="shared" si="72"/>
        <v>0</v>
      </c>
      <c r="U248">
        <f t="shared" si="72"/>
        <v>0</v>
      </c>
      <c r="V248">
        <f t="shared" si="72"/>
        <v>0</v>
      </c>
      <c r="W248">
        <f t="shared" si="72"/>
        <v>0</v>
      </c>
    </row>
    <row r="249" ht="14.5" spans="4:23">
      <c r="D249" s="6" t="s">
        <v>9</v>
      </c>
      <c r="E249" s="6">
        <v>0</v>
      </c>
      <c r="F249" s="6">
        <v>0</v>
      </c>
      <c r="G249" s="6">
        <v>0</v>
      </c>
      <c r="H249" s="6">
        <v>0</v>
      </c>
      <c r="I249" s="6">
        <v>0</v>
      </c>
      <c r="J249" s="6">
        <v>0</v>
      </c>
      <c r="K249" s="6">
        <v>0</v>
      </c>
      <c r="Q249">
        <f t="shared" si="68"/>
        <v>0</v>
      </c>
      <c r="R249">
        <f t="shared" ref="R249:W249" si="73" xml:space="preserve">F249/3</f>
        <v>0</v>
      </c>
      <c r="S249">
        <f t="shared" si="73"/>
        <v>0</v>
      </c>
      <c r="T249">
        <f t="shared" si="73"/>
        <v>0</v>
      </c>
      <c r="U249">
        <f t="shared" si="73"/>
        <v>0</v>
      </c>
      <c r="V249">
        <f t="shared" si="73"/>
        <v>0</v>
      </c>
      <c r="W249">
        <f t="shared" si="73"/>
        <v>0</v>
      </c>
    </row>
    <row r="250" ht="14.5" spans="4:23">
      <c r="D250" s="6" t="s">
        <v>10</v>
      </c>
      <c r="E250" s="6">
        <v>0</v>
      </c>
      <c r="F250" s="6">
        <v>0</v>
      </c>
      <c r="G250" s="6">
        <v>0</v>
      </c>
      <c r="H250" s="6">
        <v>0</v>
      </c>
      <c r="I250" s="6">
        <v>0</v>
      </c>
      <c r="J250" s="6">
        <v>0</v>
      </c>
      <c r="K250" s="6">
        <v>0</v>
      </c>
      <c r="Q250">
        <f t="shared" si="68"/>
        <v>0</v>
      </c>
      <c r="R250">
        <f t="shared" ref="R250:W250" si="74" xml:space="preserve">F250/3</f>
        <v>0</v>
      </c>
      <c r="S250">
        <f t="shared" si="74"/>
        <v>0</v>
      </c>
      <c r="T250">
        <f t="shared" si="74"/>
        <v>0</v>
      </c>
      <c r="U250">
        <f t="shared" si="74"/>
        <v>0</v>
      </c>
      <c r="V250">
        <f t="shared" si="74"/>
        <v>0</v>
      </c>
      <c r="W250">
        <f t="shared" si="74"/>
        <v>0</v>
      </c>
    </row>
    <row r="251" ht="14.5" spans="4:23">
      <c r="D251" s="6" t="s">
        <v>11</v>
      </c>
      <c r="E251" s="6">
        <v>970</v>
      </c>
      <c r="F251" s="6">
        <v>483</v>
      </c>
      <c r="G251" s="6">
        <v>268</v>
      </c>
      <c r="H251" s="6">
        <v>188</v>
      </c>
      <c r="I251" s="6">
        <v>80</v>
      </c>
      <c r="J251" s="6">
        <v>188</v>
      </c>
      <c r="K251" s="6">
        <v>0</v>
      </c>
      <c r="Q251">
        <f t="shared" si="68"/>
        <v>323.333333333333</v>
      </c>
      <c r="R251">
        <f t="shared" ref="R251:W251" si="75" xml:space="preserve">F251/3</f>
        <v>161</v>
      </c>
      <c r="S251">
        <f t="shared" si="75"/>
        <v>89.3333333333333</v>
      </c>
      <c r="T251">
        <f t="shared" si="75"/>
        <v>62.6666666666667</v>
      </c>
      <c r="U251">
        <f t="shared" si="75"/>
        <v>26.6666666666667</v>
      </c>
      <c r="V251">
        <f t="shared" si="75"/>
        <v>62.6666666666667</v>
      </c>
      <c r="W251">
        <f t="shared" si="75"/>
        <v>0</v>
      </c>
    </row>
    <row r="252" ht="14.5" spans="4:23">
      <c r="D252" s="6" t="s">
        <v>12</v>
      </c>
      <c r="E252" s="6">
        <v>0</v>
      </c>
      <c r="F252" s="6">
        <v>0</v>
      </c>
      <c r="G252" s="6">
        <v>0</v>
      </c>
      <c r="H252" s="6">
        <v>0</v>
      </c>
      <c r="I252" s="6">
        <v>0</v>
      </c>
      <c r="J252" s="6">
        <v>0</v>
      </c>
      <c r="K252" s="6">
        <v>0</v>
      </c>
      <c r="Q252">
        <f t="shared" si="68"/>
        <v>0</v>
      </c>
      <c r="R252">
        <f t="shared" ref="R252:W252" si="76" xml:space="preserve">F252/3</f>
        <v>0</v>
      </c>
      <c r="S252">
        <f t="shared" si="76"/>
        <v>0</v>
      </c>
      <c r="T252">
        <f t="shared" si="76"/>
        <v>0</v>
      </c>
      <c r="U252">
        <f t="shared" si="76"/>
        <v>0</v>
      </c>
      <c r="V252">
        <f t="shared" si="76"/>
        <v>0</v>
      </c>
      <c r="W252">
        <f t="shared" si="76"/>
        <v>0</v>
      </c>
    </row>
    <row r="253" ht="14.5" spans="4:23">
      <c r="D253" s="6" t="s">
        <v>13</v>
      </c>
      <c r="E253" s="6">
        <v>0</v>
      </c>
      <c r="F253" s="6">
        <v>0</v>
      </c>
      <c r="G253" s="6">
        <v>0</v>
      </c>
      <c r="H253" s="6">
        <v>0</v>
      </c>
      <c r="I253" s="6">
        <v>0</v>
      </c>
      <c r="J253" s="6">
        <v>0</v>
      </c>
      <c r="K253" s="6">
        <v>0</v>
      </c>
      <c r="Q253">
        <f t="shared" si="68"/>
        <v>0</v>
      </c>
      <c r="R253">
        <f t="shared" ref="R253:W253" si="77" xml:space="preserve">F253/3</f>
        <v>0</v>
      </c>
      <c r="S253">
        <f t="shared" si="77"/>
        <v>0</v>
      </c>
      <c r="T253">
        <f t="shared" si="77"/>
        <v>0</v>
      </c>
      <c r="U253">
        <f t="shared" si="77"/>
        <v>0</v>
      </c>
      <c r="V253">
        <f t="shared" si="77"/>
        <v>0</v>
      </c>
      <c r="W253">
        <f t="shared" si="77"/>
        <v>0</v>
      </c>
    </row>
    <row r="254" ht="14.5" spans="4:23">
      <c r="D254" s="6" t="s">
        <v>14</v>
      </c>
      <c r="E254" s="6">
        <v>1</v>
      </c>
      <c r="F254" s="6">
        <v>2</v>
      </c>
      <c r="G254" s="6">
        <v>2</v>
      </c>
      <c r="H254" s="6">
        <v>1</v>
      </c>
      <c r="I254" s="6">
        <v>1</v>
      </c>
      <c r="J254" s="6">
        <v>0</v>
      </c>
      <c r="K254" s="6">
        <v>0</v>
      </c>
      <c r="Q254">
        <f t="shared" si="68"/>
        <v>0.333333333333333</v>
      </c>
      <c r="R254">
        <f t="shared" ref="R254:W254" si="78" xml:space="preserve">F254/3</f>
        <v>0.666666666666667</v>
      </c>
      <c r="S254">
        <f t="shared" si="78"/>
        <v>0.666666666666667</v>
      </c>
      <c r="T254">
        <f t="shared" si="78"/>
        <v>0.333333333333333</v>
      </c>
      <c r="U254">
        <f t="shared" si="78"/>
        <v>0.333333333333333</v>
      </c>
      <c r="V254">
        <f t="shared" si="78"/>
        <v>0</v>
      </c>
      <c r="W254">
        <f t="shared" si="78"/>
        <v>0</v>
      </c>
    </row>
    <row r="255" ht="14.5" spans="4:23">
      <c r="D255" s="6" t="s">
        <v>15</v>
      </c>
      <c r="E255" s="6">
        <v>3</v>
      </c>
      <c r="F255" s="6">
        <v>8</v>
      </c>
      <c r="G255" s="6">
        <v>6</v>
      </c>
      <c r="H255" s="6">
        <v>5</v>
      </c>
      <c r="I255" s="6">
        <v>3</v>
      </c>
      <c r="J255" s="6">
        <v>1</v>
      </c>
      <c r="K255" s="6">
        <v>0</v>
      </c>
      <c r="Q255">
        <f t="shared" si="68"/>
        <v>1</v>
      </c>
      <c r="R255">
        <f t="shared" ref="R255:W255" si="79" xml:space="preserve">F255/3</f>
        <v>2.66666666666667</v>
      </c>
      <c r="S255">
        <f t="shared" si="79"/>
        <v>2</v>
      </c>
      <c r="T255">
        <f t="shared" si="79"/>
        <v>1.66666666666667</v>
      </c>
      <c r="U255">
        <f t="shared" si="79"/>
        <v>1</v>
      </c>
      <c r="V255">
        <f t="shared" si="79"/>
        <v>0.333333333333333</v>
      </c>
      <c r="W255">
        <f t="shared" si="79"/>
        <v>0</v>
      </c>
    </row>
    <row r="256" ht="14.5" spans="4:23">
      <c r="D256" s="6" t="s">
        <v>16</v>
      </c>
      <c r="E256" s="6">
        <v>0</v>
      </c>
      <c r="F256" s="6">
        <v>0</v>
      </c>
      <c r="G256" s="6">
        <v>0</v>
      </c>
      <c r="H256" s="6">
        <v>0</v>
      </c>
      <c r="I256" s="6">
        <v>0</v>
      </c>
      <c r="J256" s="6">
        <v>0</v>
      </c>
      <c r="K256" s="6">
        <v>0</v>
      </c>
      <c r="Q256">
        <f t="shared" si="68"/>
        <v>0</v>
      </c>
      <c r="R256">
        <f t="shared" ref="R256:W256" si="80" xml:space="preserve">F256/3</f>
        <v>0</v>
      </c>
      <c r="S256">
        <f t="shared" si="80"/>
        <v>0</v>
      </c>
      <c r="T256">
        <f t="shared" si="80"/>
        <v>0</v>
      </c>
      <c r="U256">
        <f t="shared" si="80"/>
        <v>0</v>
      </c>
      <c r="V256">
        <f t="shared" si="80"/>
        <v>0</v>
      </c>
      <c r="W256">
        <f t="shared" si="80"/>
        <v>0</v>
      </c>
    </row>
    <row r="257" ht="14.5" spans="4:23">
      <c r="D257" s="6" t="s">
        <v>17</v>
      </c>
      <c r="E257" s="6">
        <v>3</v>
      </c>
      <c r="F257" s="6">
        <v>8</v>
      </c>
      <c r="G257" s="6">
        <v>6</v>
      </c>
      <c r="H257" s="6">
        <v>5</v>
      </c>
      <c r="I257" s="6">
        <v>3</v>
      </c>
      <c r="J257" s="6">
        <v>1</v>
      </c>
      <c r="K257" s="6">
        <v>0</v>
      </c>
      <c r="Q257">
        <f t="shared" si="68"/>
        <v>1</v>
      </c>
      <c r="R257">
        <f t="shared" ref="R257:W257" si="81" xml:space="preserve">F257/3</f>
        <v>2.66666666666667</v>
      </c>
      <c r="S257">
        <f t="shared" si="81"/>
        <v>2</v>
      </c>
      <c r="T257">
        <f t="shared" si="81"/>
        <v>1.66666666666667</v>
      </c>
      <c r="U257">
        <f t="shared" si="81"/>
        <v>1</v>
      </c>
      <c r="V257">
        <f t="shared" si="81"/>
        <v>0.333333333333333</v>
      </c>
      <c r="W257">
        <f t="shared" si="81"/>
        <v>0</v>
      </c>
    </row>
    <row r="258" ht="14.5" spans="4:23">
      <c r="D258" s="6" t="s">
        <v>18</v>
      </c>
      <c r="E258" s="6">
        <v>0</v>
      </c>
      <c r="F258" s="6">
        <v>0</v>
      </c>
      <c r="G258" s="6">
        <v>0</v>
      </c>
      <c r="H258" s="6">
        <v>0</v>
      </c>
      <c r="I258" s="6">
        <v>0</v>
      </c>
      <c r="J258" s="6">
        <v>0</v>
      </c>
      <c r="K258" s="6">
        <v>0</v>
      </c>
      <c r="Q258">
        <f t="shared" si="68"/>
        <v>0</v>
      </c>
      <c r="R258">
        <f t="shared" ref="R258:W258" si="82" xml:space="preserve">F258/3</f>
        <v>0</v>
      </c>
      <c r="S258">
        <f t="shared" si="82"/>
        <v>0</v>
      </c>
      <c r="T258">
        <f t="shared" si="82"/>
        <v>0</v>
      </c>
      <c r="U258">
        <f t="shared" si="82"/>
        <v>0</v>
      </c>
      <c r="V258">
        <f t="shared" si="82"/>
        <v>0</v>
      </c>
      <c r="W258">
        <f t="shared" si="82"/>
        <v>0</v>
      </c>
    </row>
    <row r="259" ht="14.5" spans="4:23">
      <c r="D259" s="6" t="s">
        <v>19</v>
      </c>
      <c r="E259" s="6">
        <v>0</v>
      </c>
      <c r="F259" s="6">
        <v>0</v>
      </c>
      <c r="G259" s="6">
        <v>0</v>
      </c>
      <c r="H259" s="6">
        <v>0</v>
      </c>
      <c r="I259" s="6">
        <v>0</v>
      </c>
      <c r="J259" s="6">
        <v>0</v>
      </c>
      <c r="K259" s="6">
        <v>0</v>
      </c>
      <c r="Q259">
        <f t="shared" si="68"/>
        <v>0</v>
      </c>
      <c r="R259">
        <f t="shared" ref="R259:W259" si="83" xml:space="preserve">F259/3</f>
        <v>0</v>
      </c>
      <c r="S259">
        <f t="shared" si="83"/>
        <v>0</v>
      </c>
      <c r="T259">
        <f t="shared" si="83"/>
        <v>0</v>
      </c>
      <c r="U259">
        <f t="shared" si="83"/>
        <v>0</v>
      </c>
      <c r="V259">
        <f t="shared" si="83"/>
        <v>0</v>
      </c>
      <c r="W259">
        <f t="shared" si="83"/>
        <v>0</v>
      </c>
    </row>
    <row r="260" ht="14.5" spans="4:23">
      <c r="D260" s="6" t="s">
        <v>20</v>
      </c>
      <c r="E260" s="6">
        <v>0</v>
      </c>
      <c r="F260" s="6">
        <v>0</v>
      </c>
      <c r="G260" s="6">
        <v>0</v>
      </c>
      <c r="H260" s="6">
        <v>0</v>
      </c>
      <c r="I260" s="6">
        <v>0</v>
      </c>
      <c r="J260" s="6">
        <v>0</v>
      </c>
      <c r="K260" s="6">
        <v>0</v>
      </c>
      <c r="Q260">
        <f t="shared" si="68"/>
        <v>0</v>
      </c>
      <c r="R260">
        <f t="shared" ref="R260:W260" si="84" xml:space="preserve">F260/3</f>
        <v>0</v>
      </c>
      <c r="S260">
        <f t="shared" si="84"/>
        <v>0</v>
      </c>
      <c r="T260">
        <f t="shared" si="84"/>
        <v>0</v>
      </c>
      <c r="U260">
        <f t="shared" si="84"/>
        <v>0</v>
      </c>
      <c r="V260">
        <f t="shared" si="84"/>
        <v>0</v>
      </c>
      <c r="W260">
        <f t="shared" si="84"/>
        <v>0</v>
      </c>
    </row>
    <row r="261" ht="14.5" spans="4:23">
      <c r="D261" s="6" t="s">
        <v>21</v>
      </c>
      <c r="E261" s="6">
        <v>0</v>
      </c>
      <c r="F261" s="6">
        <v>0</v>
      </c>
      <c r="G261" s="6">
        <v>0</v>
      </c>
      <c r="H261" s="6">
        <v>0</v>
      </c>
      <c r="I261" s="6">
        <v>0</v>
      </c>
      <c r="J261" s="6">
        <v>0</v>
      </c>
      <c r="K261" s="6">
        <v>0</v>
      </c>
      <c r="Q261">
        <f t="shared" si="68"/>
        <v>0</v>
      </c>
      <c r="R261">
        <f t="shared" ref="R261:W261" si="85" xml:space="preserve">F261/3</f>
        <v>0</v>
      </c>
      <c r="S261">
        <f t="shared" si="85"/>
        <v>0</v>
      </c>
      <c r="T261">
        <f t="shared" si="85"/>
        <v>0</v>
      </c>
      <c r="U261">
        <f t="shared" si="85"/>
        <v>0</v>
      </c>
      <c r="V261">
        <f t="shared" si="85"/>
        <v>0</v>
      </c>
      <c r="W261">
        <f t="shared" si="85"/>
        <v>0</v>
      </c>
    </row>
    <row r="262" ht="14.5" spans="4:23">
      <c r="D262" s="6" t="s">
        <v>22</v>
      </c>
      <c r="E262" s="6">
        <v>3</v>
      </c>
      <c r="F262" s="6">
        <v>12</v>
      </c>
      <c r="G262" s="6">
        <v>12</v>
      </c>
      <c r="H262" s="6">
        <v>9</v>
      </c>
      <c r="I262" s="6">
        <v>23</v>
      </c>
      <c r="J262" s="6">
        <v>1</v>
      </c>
      <c r="K262" s="6">
        <v>0</v>
      </c>
      <c r="Q262">
        <f t="shared" si="68"/>
        <v>1</v>
      </c>
      <c r="R262">
        <f t="shared" ref="R262:W262" si="86" xml:space="preserve">F262/3</f>
        <v>4</v>
      </c>
      <c r="S262">
        <f t="shared" si="86"/>
        <v>4</v>
      </c>
      <c r="T262">
        <f t="shared" si="86"/>
        <v>3</v>
      </c>
      <c r="U262">
        <f t="shared" si="86"/>
        <v>7.66666666666667</v>
      </c>
      <c r="V262">
        <f t="shared" si="86"/>
        <v>0.333333333333333</v>
      </c>
      <c r="W262">
        <f t="shared" si="86"/>
        <v>0</v>
      </c>
    </row>
    <row r="263" ht="14.5" spans="4:23">
      <c r="D263" s="6" t="s">
        <v>23</v>
      </c>
      <c r="E263" s="6">
        <v>0</v>
      </c>
      <c r="F263" s="6">
        <v>0</v>
      </c>
      <c r="G263" s="6">
        <v>0</v>
      </c>
      <c r="H263" s="6">
        <v>0</v>
      </c>
      <c r="I263" s="6">
        <v>0</v>
      </c>
      <c r="J263" s="6">
        <v>0</v>
      </c>
      <c r="K263" s="6">
        <v>0</v>
      </c>
      <c r="Q263">
        <f t="shared" si="68"/>
        <v>0</v>
      </c>
      <c r="R263">
        <f t="shared" ref="R263:W263" si="87" xml:space="preserve">F263/3</f>
        <v>0</v>
      </c>
      <c r="S263">
        <f t="shared" si="87"/>
        <v>0</v>
      </c>
      <c r="T263">
        <f t="shared" si="87"/>
        <v>0</v>
      </c>
      <c r="U263">
        <f t="shared" si="87"/>
        <v>0</v>
      </c>
      <c r="V263">
        <f t="shared" si="87"/>
        <v>0</v>
      </c>
      <c r="W263">
        <f t="shared" si="87"/>
        <v>0</v>
      </c>
    </row>
    <row r="264" ht="14.5" spans="4:23">
      <c r="D264" s="6" t="s">
        <v>24</v>
      </c>
      <c r="E264" s="6">
        <v>0</v>
      </c>
      <c r="F264" s="6">
        <v>0</v>
      </c>
      <c r="G264" s="6">
        <v>0</v>
      </c>
      <c r="H264" s="6">
        <v>0</v>
      </c>
      <c r="I264" s="6">
        <v>0</v>
      </c>
      <c r="J264" s="6">
        <v>0</v>
      </c>
      <c r="K264" s="6">
        <v>0</v>
      </c>
      <c r="Q264">
        <f t="shared" si="68"/>
        <v>0</v>
      </c>
      <c r="R264">
        <f t="shared" ref="R264:W264" si="88" xml:space="preserve">F264/3</f>
        <v>0</v>
      </c>
      <c r="S264">
        <f t="shared" si="88"/>
        <v>0</v>
      </c>
      <c r="T264">
        <f t="shared" si="88"/>
        <v>0</v>
      </c>
      <c r="U264">
        <f t="shared" si="88"/>
        <v>0</v>
      </c>
      <c r="V264">
        <f t="shared" si="88"/>
        <v>0</v>
      </c>
      <c r="W264">
        <f t="shared" si="88"/>
        <v>0</v>
      </c>
    </row>
    <row r="265" ht="14.5" spans="4:23">
      <c r="D265" s="6" t="s">
        <v>25</v>
      </c>
      <c r="E265" s="6">
        <v>19</v>
      </c>
      <c r="F265" s="6">
        <v>26</v>
      </c>
      <c r="G265" s="6">
        <v>23</v>
      </c>
      <c r="H265" s="6">
        <v>15</v>
      </c>
      <c r="I265" s="6">
        <v>38</v>
      </c>
      <c r="J265" s="6">
        <v>6</v>
      </c>
      <c r="K265" s="6">
        <v>0</v>
      </c>
      <c r="Q265">
        <f t="shared" si="68"/>
        <v>6.33333333333333</v>
      </c>
      <c r="R265">
        <f t="shared" ref="R265:W265" si="89" xml:space="preserve">F265/3</f>
        <v>8.66666666666667</v>
      </c>
      <c r="S265">
        <f t="shared" si="89"/>
        <v>7.66666666666667</v>
      </c>
      <c r="T265">
        <f t="shared" si="89"/>
        <v>5</v>
      </c>
      <c r="U265">
        <f t="shared" si="89"/>
        <v>12.6666666666667</v>
      </c>
      <c r="V265">
        <f t="shared" si="89"/>
        <v>2</v>
      </c>
      <c r="W265">
        <f t="shared" si="89"/>
        <v>0</v>
      </c>
    </row>
    <row r="266" ht="14.5" spans="4:23">
      <c r="D266" s="6" t="s">
        <v>26</v>
      </c>
      <c r="E266" s="6">
        <v>0</v>
      </c>
      <c r="F266" s="6">
        <v>0</v>
      </c>
      <c r="G266" s="6">
        <v>0</v>
      </c>
      <c r="H266" s="6">
        <v>0</v>
      </c>
      <c r="I266" s="6">
        <v>0</v>
      </c>
      <c r="J266" s="6">
        <v>0</v>
      </c>
      <c r="K266" s="6">
        <v>0</v>
      </c>
      <c r="Q266">
        <f t="shared" si="68"/>
        <v>0</v>
      </c>
      <c r="R266">
        <f t="shared" ref="R266:W266" si="90" xml:space="preserve">F266/3</f>
        <v>0</v>
      </c>
      <c r="S266">
        <f t="shared" si="90"/>
        <v>0</v>
      </c>
      <c r="T266">
        <f t="shared" si="90"/>
        <v>0</v>
      </c>
      <c r="U266">
        <f t="shared" si="90"/>
        <v>0</v>
      </c>
      <c r="V266">
        <f t="shared" si="90"/>
        <v>0</v>
      </c>
      <c r="W266">
        <f t="shared" si="90"/>
        <v>0</v>
      </c>
    </row>
    <row r="267" ht="14.5" spans="4:23">
      <c r="D267" s="6" t="s">
        <v>27</v>
      </c>
      <c r="E267" s="6">
        <v>7</v>
      </c>
      <c r="F267" s="6">
        <v>19</v>
      </c>
      <c r="G267" s="6">
        <v>14</v>
      </c>
      <c r="H267" s="6">
        <v>10</v>
      </c>
      <c r="I267" s="6">
        <v>6</v>
      </c>
      <c r="J267" s="6">
        <v>2</v>
      </c>
      <c r="K267" s="6">
        <v>0</v>
      </c>
      <c r="Q267">
        <f t="shared" si="68"/>
        <v>2.33333333333333</v>
      </c>
      <c r="R267">
        <f t="shared" ref="R267:W267" si="91" xml:space="preserve">F267/3</f>
        <v>6.33333333333333</v>
      </c>
      <c r="S267">
        <f t="shared" si="91"/>
        <v>4.66666666666667</v>
      </c>
      <c r="T267">
        <f t="shared" si="91"/>
        <v>3.33333333333333</v>
      </c>
      <c r="U267">
        <f t="shared" si="91"/>
        <v>2</v>
      </c>
      <c r="V267">
        <f t="shared" si="91"/>
        <v>0.666666666666667</v>
      </c>
      <c r="W267">
        <f t="shared" si="91"/>
        <v>0</v>
      </c>
    </row>
    <row r="268" ht="14.5" spans="4:23">
      <c r="D268" s="6" t="s">
        <v>28</v>
      </c>
      <c r="E268" s="6">
        <v>17</v>
      </c>
      <c r="F268" s="6">
        <v>17</v>
      </c>
      <c r="G268" s="6">
        <v>12</v>
      </c>
      <c r="H268" s="6">
        <v>8</v>
      </c>
      <c r="I268" s="6">
        <v>12</v>
      </c>
      <c r="J268" s="6">
        <v>1</v>
      </c>
      <c r="K268" s="6">
        <v>0</v>
      </c>
      <c r="Q268">
        <f t="shared" si="68"/>
        <v>5.66666666666667</v>
      </c>
      <c r="R268">
        <f t="shared" ref="R268:W268" si="92" xml:space="preserve">F268/3</f>
        <v>5.66666666666667</v>
      </c>
      <c r="S268">
        <f t="shared" si="92"/>
        <v>4</v>
      </c>
      <c r="T268">
        <f t="shared" si="92"/>
        <v>2.66666666666667</v>
      </c>
      <c r="U268">
        <f t="shared" si="92"/>
        <v>4</v>
      </c>
      <c r="V268">
        <f t="shared" si="92"/>
        <v>0.333333333333333</v>
      </c>
      <c r="W268">
        <f t="shared" si="92"/>
        <v>0</v>
      </c>
    </row>
    <row r="269" ht="14.5" spans="4:23">
      <c r="D269" s="6" t="s">
        <v>29</v>
      </c>
      <c r="E269" s="6">
        <v>0</v>
      </c>
      <c r="F269" s="6">
        <v>0</v>
      </c>
      <c r="G269" s="6">
        <v>0</v>
      </c>
      <c r="H269" s="6">
        <v>0</v>
      </c>
      <c r="I269" s="6">
        <v>0</v>
      </c>
      <c r="J269" s="6">
        <v>0</v>
      </c>
      <c r="K269" s="6">
        <v>0</v>
      </c>
      <c r="Q269">
        <f t="shared" si="68"/>
        <v>0</v>
      </c>
      <c r="R269">
        <f t="shared" ref="R269:W269" si="93" xml:space="preserve">F269/3</f>
        <v>0</v>
      </c>
      <c r="S269">
        <f t="shared" si="93"/>
        <v>0</v>
      </c>
      <c r="T269">
        <f t="shared" si="93"/>
        <v>0</v>
      </c>
      <c r="U269">
        <f t="shared" si="93"/>
        <v>0</v>
      </c>
      <c r="V269">
        <f t="shared" si="93"/>
        <v>0</v>
      </c>
      <c r="W269">
        <f t="shared" si="93"/>
        <v>0</v>
      </c>
    </row>
    <row r="270" ht="14.5" spans="4:23">
      <c r="D270" s="6" t="s">
        <v>30</v>
      </c>
      <c r="E270" s="6">
        <v>0</v>
      </c>
      <c r="F270" s="6">
        <v>0</v>
      </c>
      <c r="G270" s="6">
        <v>0</v>
      </c>
      <c r="H270" s="6">
        <v>0</v>
      </c>
      <c r="I270" s="6">
        <v>0</v>
      </c>
      <c r="J270" s="6">
        <v>0</v>
      </c>
      <c r="K270" s="6">
        <v>0</v>
      </c>
      <c r="Q270">
        <f t="shared" si="68"/>
        <v>0</v>
      </c>
      <c r="R270">
        <f t="shared" ref="R270:W270" si="94" xml:space="preserve">F270/3</f>
        <v>0</v>
      </c>
      <c r="S270">
        <f t="shared" si="94"/>
        <v>0</v>
      </c>
      <c r="T270">
        <f t="shared" si="94"/>
        <v>0</v>
      </c>
      <c r="U270">
        <f t="shared" si="94"/>
        <v>0</v>
      </c>
      <c r="V270">
        <f t="shared" si="94"/>
        <v>0</v>
      </c>
      <c r="W270">
        <f t="shared" si="94"/>
        <v>0</v>
      </c>
    </row>
    <row r="271" ht="14.5" spans="4:23">
      <c r="D271" s="6" t="s">
        <v>31</v>
      </c>
      <c r="E271" s="6">
        <v>0</v>
      </c>
      <c r="F271" s="6">
        <v>0</v>
      </c>
      <c r="G271" s="6">
        <v>0</v>
      </c>
      <c r="H271" s="6">
        <v>0</v>
      </c>
      <c r="I271" s="6">
        <v>0</v>
      </c>
      <c r="J271" s="6">
        <v>0</v>
      </c>
      <c r="K271" s="6">
        <v>0</v>
      </c>
      <c r="Q271">
        <f t="shared" si="68"/>
        <v>0</v>
      </c>
      <c r="R271">
        <f t="shared" ref="R271:W271" si="95" xml:space="preserve">F271/3</f>
        <v>0</v>
      </c>
      <c r="S271">
        <f t="shared" si="95"/>
        <v>0</v>
      </c>
      <c r="T271">
        <f t="shared" si="95"/>
        <v>0</v>
      </c>
      <c r="U271">
        <f t="shared" si="95"/>
        <v>0</v>
      </c>
      <c r="V271">
        <f t="shared" si="95"/>
        <v>0</v>
      </c>
      <c r="W271">
        <f t="shared" si="95"/>
        <v>0</v>
      </c>
    </row>
    <row r="272" ht="14.5" spans="4:23">
      <c r="D272" s="6" t="s">
        <v>32</v>
      </c>
      <c r="E272" s="6">
        <v>0</v>
      </c>
      <c r="F272" s="6">
        <v>0</v>
      </c>
      <c r="G272" s="6">
        <v>0</v>
      </c>
      <c r="H272" s="6">
        <v>0</v>
      </c>
      <c r="I272" s="6">
        <v>0</v>
      </c>
      <c r="J272" s="6">
        <v>0</v>
      </c>
      <c r="K272" s="6">
        <v>0</v>
      </c>
      <c r="Q272">
        <f t="shared" si="68"/>
        <v>0</v>
      </c>
      <c r="R272">
        <f t="shared" ref="R272:W272" si="96" xml:space="preserve">F272/3</f>
        <v>0</v>
      </c>
      <c r="S272">
        <f t="shared" si="96"/>
        <v>0</v>
      </c>
      <c r="T272">
        <f t="shared" si="96"/>
        <v>0</v>
      </c>
      <c r="U272">
        <f t="shared" si="96"/>
        <v>0</v>
      </c>
      <c r="V272">
        <f t="shared" si="96"/>
        <v>0</v>
      </c>
      <c r="W272">
        <f t="shared" si="96"/>
        <v>0</v>
      </c>
    </row>
    <row r="273" ht="14.5" spans="1:38">
      <c r="D273" s="6" t="s">
        <v>33</v>
      </c>
      <c r="E273" s="6">
        <v>2</v>
      </c>
      <c r="F273" s="6">
        <v>4</v>
      </c>
      <c r="G273" s="6">
        <v>3</v>
      </c>
      <c r="H273" s="6">
        <v>2</v>
      </c>
      <c r="I273" s="6">
        <v>1</v>
      </c>
      <c r="J273" s="6">
        <v>0</v>
      </c>
      <c r="K273" s="6">
        <v>0</v>
      </c>
      <c r="Q273">
        <f t="shared" si="68"/>
        <v>0.666666666666667</v>
      </c>
      <c r="R273">
        <f t="shared" ref="R273:W273" si="97" xml:space="preserve">F273/3</f>
        <v>1.33333333333333</v>
      </c>
      <c r="S273">
        <f t="shared" si="97"/>
        <v>1</v>
      </c>
      <c r="T273">
        <f t="shared" si="97"/>
        <v>0.666666666666667</v>
      </c>
      <c r="U273">
        <f t="shared" si="97"/>
        <v>0.333333333333333</v>
      </c>
      <c r="V273">
        <f t="shared" si="97"/>
        <v>0</v>
      </c>
      <c r="W273">
        <f t="shared" si="97"/>
        <v>0</v>
      </c>
    </row>
    <row r="274" ht="14.5" spans="1:38">
      <c r="D274" s="6" t="s">
        <v>34</v>
      </c>
      <c r="E274" s="6">
        <v>0</v>
      </c>
      <c r="F274" s="6">
        <v>0</v>
      </c>
      <c r="G274" s="6">
        <v>0</v>
      </c>
      <c r="H274" s="6">
        <v>0</v>
      </c>
      <c r="I274" s="6">
        <v>0</v>
      </c>
      <c r="J274" s="6">
        <v>0</v>
      </c>
      <c r="K274" s="6">
        <v>0</v>
      </c>
      <c r="Q274">
        <f t="shared" si="68"/>
        <v>0</v>
      </c>
      <c r="R274">
        <f t="shared" ref="R274:W274" si="98" xml:space="preserve">F274/3</f>
        <v>0</v>
      </c>
      <c r="S274">
        <f t="shared" si="98"/>
        <v>0</v>
      </c>
      <c r="T274">
        <f t="shared" si="98"/>
        <v>0</v>
      </c>
      <c r="U274">
        <f t="shared" si="98"/>
        <v>0</v>
      </c>
      <c r="V274">
        <f t="shared" si="98"/>
        <v>0</v>
      </c>
      <c r="W274">
        <f t="shared" si="98"/>
        <v>0</v>
      </c>
    </row>
    <row r="275" ht="14.5" spans="1:38">
      <c r="D275" s="6" t="s">
        <v>35</v>
      </c>
      <c r="E275" s="6">
        <v>0</v>
      </c>
      <c r="F275" s="6">
        <v>0</v>
      </c>
      <c r="G275" s="6">
        <v>0</v>
      </c>
      <c r="H275" s="6">
        <v>0</v>
      </c>
      <c r="I275" s="6">
        <v>0</v>
      </c>
      <c r="J275" s="6">
        <v>0</v>
      </c>
      <c r="K275" s="6">
        <v>0</v>
      </c>
      <c r="Q275">
        <f t="shared" si="68"/>
        <v>0</v>
      </c>
      <c r="R275">
        <f t="shared" ref="R275:W275" si="99" xml:space="preserve">F275/3</f>
        <v>0</v>
      </c>
      <c r="S275">
        <f t="shared" si="99"/>
        <v>0</v>
      </c>
      <c r="T275">
        <f t="shared" si="99"/>
        <v>0</v>
      </c>
      <c r="U275">
        <f t="shared" si="99"/>
        <v>0</v>
      </c>
      <c r="V275">
        <f t="shared" si="99"/>
        <v>0</v>
      </c>
      <c r="W275">
        <f t="shared" si="99"/>
        <v>0</v>
      </c>
    </row>
    <row r="276" ht="14.5" spans="1:38">
      <c r="D276" s="6" t="s">
        <v>36</v>
      </c>
      <c r="E276" s="6">
        <v>0</v>
      </c>
      <c r="F276" s="6">
        <v>0</v>
      </c>
      <c r="G276" s="6">
        <v>0</v>
      </c>
      <c r="H276" s="6">
        <v>0</v>
      </c>
      <c r="I276" s="6">
        <v>0</v>
      </c>
      <c r="J276" s="6">
        <v>0</v>
      </c>
      <c r="K276" s="6">
        <v>0</v>
      </c>
      <c r="Q276">
        <f t="shared" si="68"/>
        <v>0</v>
      </c>
      <c r="R276">
        <f t="shared" ref="R276:W276" si="100" xml:space="preserve">F276/3</f>
        <v>0</v>
      </c>
      <c r="S276">
        <f t="shared" si="100"/>
        <v>0</v>
      </c>
      <c r="T276">
        <f t="shared" si="100"/>
        <v>0</v>
      </c>
      <c r="U276">
        <f t="shared" si="100"/>
        <v>0</v>
      </c>
      <c r="V276">
        <f t="shared" si="100"/>
        <v>0</v>
      </c>
      <c r="W276">
        <f t="shared" si="100"/>
        <v>0</v>
      </c>
    </row>
    <row r="277" ht="14.5" spans="1:38">
      <c r="D277" s="6" t="s">
        <v>37</v>
      </c>
      <c r="E277" s="6">
        <v>0</v>
      </c>
      <c r="F277" s="6">
        <v>0</v>
      </c>
      <c r="G277" s="6">
        <v>0</v>
      </c>
      <c r="H277" s="6">
        <v>0</v>
      </c>
      <c r="I277" s="6">
        <v>0</v>
      </c>
      <c r="J277" s="6">
        <v>0</v>
      </c>
      <c r="K277" s="6">
        <v>0</v>
      </c>
      <c r="Q277">
        <f t="shared" si="68"/>
        <v>0</v>
      </c>
      <c r="R277">
        <f t="shared" ref="R277:W277" si="101" xml:space="preserve">F277/3</f>
        <v>0</v>
      </c>
      <c r="S277">
        <f t="shared" si="101"/>
        <v>0</v>
      </c>
      <c r="T277">
        <f t="shared" si="101"/>
        <v>0</v>
      </c>
      <c r="U277">
        <f t="shared" si="101"/>
        <v>0</v>
      </c>
      <c r="V277">
        <f t="shared" si="101"/>
        <v>0</v>
      </c>
      <c r="W277">
        <f t="shared" si="101"/>
        <v>0</v>
      </c>
    </row>
    <row r="278" ht="14.5" spans="1:38">
      <c r="D278" s="6"/>
      <c r="E278" s="6"/>
      <c r="F278" s="6"/>
      <c r="G278" s="6"/>
      <c r="H278" s="6"/>
      <c r="I278" s="6"/>
      <c r="J278" s="6"/>
      <c r="K278" s="6"/>
    </row>
    <row r="280" spans="1:38">
      <c r="B280" s="158" t="s">
        <v>191</v>
      </c>
    </row>
    <row r="283" spans="1:38">
      <c r="B283" t="s">
        <v>191</v>
      </c>
    </row>
    <row r="284" spans="1:38">
      <c r="A284" s="86"/>
      <c r="C284" s="86"/>
    </row>
    <row r="285" ht="14.5" spans="1:38">
      <c r="A285" s="158" t="s">
        <v>41</v>
      </c>
      <c r="B285" s="158" t="s">
        <v>193</v>
      </c>
      <c r="C285" s="158" t="s">
        <v>197</v>
      </c>
      <c r="D285" s="159" t="s">
        <v>66</v>
      </c>
      <c r="E285" s="159" t="s">
        <v>3</v>
      </c>
      <c r="F285" s="159" t="s">
        <v>5</v>
      </c>
      <c r="G285" s="159" t="s">
        <v>6</v>
      </c>
      <c r="H285" s="159" t="s">
        <v>7</v>
      </c>
      <c r="I285" s="159" t="s">
        <v>8</v>
      </c>
      <c r="J285" s="159" t="s">
        <v>9</v>
      </c>
      <c r="K285" s="159" t="s">
        <v>10</v>
      </c>
      <c r="L285" s="159" t="s">
        <v>11</v>
      </c>
      <c r="M285" s="159" t="s">
        <v>12</v>
      </c>
      <c r="N285" s="159" t="s">
        <v>13</v>
      </c>
      <c r="O285" s="159" t="s">
        <v>14</v>
      </c>
      <c r="P285" s="159" t="s">
        <v>15</v>
      </c>
      <c r="Q285" s="159" t="s">
        <v>16</v>
      </c>
      <c r="R285" s="159" t="s">
        <v>17</v>
      </c>
      <c r="S285" s="159" t="s">
        <v>18</v>
      </c>
      <c r="T285" s="159" t="s">
        <v>19</v>
      </c>
      <c r="U285" s="159" t="s">
        <v>20</v>
      </c>
      <c r="V285" s="159" t="s">
        <v>21</v>
      </c>
      <c r="W285" s="159" t="s">
        <v>22</v>
      </c>
      <c r="X285" s="159" t="s">
        <v>23</v>
      </c>
      <c r="Y285" s="159" t="s">
        <v>24</v>
      </c>
      <c r="Z285" s="159" t="s">
        <v>25</v>
      </c>
      <c r="AA285" s="159" t="s">
        <v>26</v>
      </c>
      <c r="AB285" s="159" t="s">
        <v>27</v>
      </c>
      <c r="AC285" s="159" t="s">
        <v>28</v>
      </c>
      <c r="AD285" s="159" t="s">
        <v>29</v>
      </c>
      <c r="AE285" s="159" t="s">
        <v>30</v>
      </c>
      <c r="AF285" s="159" t="s">
        <v>31</v>
      </c>
      <c r="AG285" s="159" t="s">
        <v>32</v>
      </c>
      <c r="AH285" s="159" t="s">
        <v>33</v>
      </c>
      <c r="AI285" s="159" t="s">
        <v>34</v>
      </c>
      <c r="AJ285" s="159" t="s">
        <v>35</v>
      </c>
      <c r="AK285" s="159" t="s">
        <v>36</v>
      </c>
      <c r="AL285" s="159" t="s">
        <v>37</v>
      </c>
    </row>
    <row r="286" ht="14.5" spans="1:38">
      <c r="A286" s="158">
        <v>2019</v>
      </c>
      <c r="B286" s="158" t="s">
        <v>344</v>
      </c>
      <c r="C286" s="158" t="s">
        <v>201</v>
      </c>
      <c r="D286" s="159" t="s">
        <v>347</v>
      </c>
      <c r="E286" s="158">
        <f xml:space="preserve">F309*25%</f>
        <v>2.70047156845812</v>
      </c>
      <c r="F286" s="158">
        <f t="shared" ref="F286:AL286" si="102" xml:space="preserve">G309*25%</f>
        <v>0</v>
      </c>
      <c r="G286" s="158">
        <f t="shared" si="102"/>
        <v>3.03412561201197</v>
      </c>
      <c r="H286" s="158">
        <f t="shared" si="102"/>
        <v>0.476962737941833</v>
      </c>
      <c r="I286" s="158">
        <f t="shared" si="102"/>
        <v>0.00409064974235645</v>
      </c>
      <c r="J286" s="158">
        <f t="shared" si="102"/>
        <v>4.6301135077302</v>
      </c>
      <c r="K286" s="158">
        <f t="shared" si="102"/>
        <v>1.90663375437732</v>
      </c>
      <c r="L286" s="158">
        <f t="shared" si="102"/>
        <v>167.552498082159</v>
      </c>
      <c r="M286" s="158">
        <f t="shared" si="102"/>
        <v>0.579445415374862</v>
      </c>
      <c r="N286" s="158">
        <f t="shared" si="102"/>
        <v>2.64382085354907</v>
      </c>
      <c r="O286" s="158">
        <f t="shared" si="102"/>
        <v>11.2538795555429</v>
      </c>
      <c r="P286" s="158">
        <f t="shared" si="102"/>
        <v>6.6423572524105</v>
      </c>
      <c r="Q286" s="158">
        <f t="shared" si="102"/>
        <v>0.224780310033883</v>
      </c>
      <c r="R286" s="158">
        <f t="shared" si="102"/>
        <v>3.0175573987723</v>
      </c>
      <c r="S286" s="158">
        <f t="shared" si="102"/>
        <v>0.0840570283394965</v>
      </c>
      <c r="T286" s="158">
        <f t="shared" si="102"/>
        <v>22.6664174429379</v>
      </c>
      <c r="U286" s="158">
        <f t="shared" si="102"/>
        <v>0.024654019511857</v>
      </c>
      <c r="V286" s="158">
        <f t="shared" si="102"/>
        <v>7.09546051638262</v>
      </c>
      <c r="W286" s="158">
        <f t="shared" si="102"/>
        <v>22.1794832455743</v>
      </c>
      <c r="X286" s="158">
        <f t="shared" si="102"/>
        <v>1.8551035254334</v>
      </c>
      <c r="Y286" s="158">
        <f t="shared" si="102"/>
        <v>0.147291672799524</v>
      </c>
      <c r="Z286" s="158">
        <f t="shared" si="102"/>
        <v>10.7367486821926</v>
      </c>
      <c r="AA286" s="158">
        <f t="shared" si="102"/>
        <v>2.32906895797145</v>
      </c>
      <c r="AB286" s="158">
        <f t="shared" si="102"/>
        <v>4.03549622432517</v>
      </c>
      <c r="AC286" s="158">
        <f t="shared" si="102"/>
        <v>16.6333708524932</v>
      </c>
      <c r="AD286" s="158">
        <f t="shared" si="102"/>
        <v>66.0476618761158</v>
      </c>
      <c r="AE286" s="158">
        <f t="shared" si="102"/>
        <v>0</v>
      </c>
      <c r="AF286" s="158">
        <f t="shared" si="102"/>
        <v>3.17356159859707</v>
      </c>
      <c r="AG286" s="158">
        <f t="shared" si="102"/>
        <v>7.830330737292</v>
      </c>
      <c r="AH286" s="158">
        <f t="shared" si="102"/>
        <v>5.264142175387</v>
      </c>
      <c r="AI286" s="158">
        <f t="shared" si="102"/>
        <v>0</v>
      </c>
      <c r="AJ286" s="158">
        <f t="shared" si="102"/>
        <v>0</v>
      </c>
      <c r="AK286" s="158">
        <f t="shared" si="102"/>
        <v>0</v>
      </c>
      <c r="AL286" s="158">
        <f t="shared" si="102"/>
        <v>0</v>
      </c>
    </row>
    <row r="287" ht="14.5" spans="1:38">
      <c r="A287" s="158">
        <v>2019</v>
      </c>
      <c r="B287" s="158" t="s">
        <v>344</v>
      </c>
      <c r="C287" s="158" t="s">
        <v>201</v>
      </c>
      <c r="D287" s="159" t="s">
        <v>348</v>
      </c>
      <c r="E287" s="158">
        <f xml:space="preserve">F309*15%</f>
        <v>1.62028294107487</v>
      </c>
      <c r="F287" s="158">
        <f t="shared" ref="F287:AL287" si="103" xml:space="preserve">G309*15%</f>
        <v>0</v>
      </c>
      <c r="G287" s="158">
        <f t="shared" si="103"/>
        <v>1.82047536720718</v>
      </c>
      <c r="H287" s="158">
        <f t="shared" si="103"/>
        <v>0.286177642765099</v>
      </c>
      <c r="I287" s="158">
        <f t="shared" si="103"/>
        <v>0.00245438984541387</v>
      </c>
      <c r="J287" s="158">
        <f t="shared" si="103"/>
        <v>2.77806810463812</v>
      </c>
      <c r="K287" s="158">
        <f t="shared" si="103"/>
        <v>1.14398025262639</v>
      </c>
      <c r="L287" s="158">
        <f t="shared" si="103"/>
        <v>100.531498849296</v>
      </c>
      <c r="M287" s="158">
        <f t="shared" si="103"/>
        <v>0.347667249224917</v>
      </c>
      <c r="N287" s="158">
        <f t="shared" si="103"/>
        <v>1.58629251212944</v>
      </c>
      <c r="O287" s="158">
        <f t="shared" si="103"/>
        <v>6.75232773332572</v>
      </c>
      <c r="P287" s="158">
        <f t="shared" si="103"/>
        <v>3.9854143514463</v>
      </c>
      <c r="Q287" s="158">
        <f t="shared" si="103"/>
        <v>0.13486818602033</v>
      </c>
      <c r="R287" s="158">
        <f t="shared" si="103"/>
        <v>1.81053443926338</v>
      </c>
      <c r="S287" s="158">
        <f t="shared" si="103"/>
        <v>0.0504342170036979</v>
      </c>
      <c r="T287" s="158">
        <f t="shared" si="103"/>
        <v>13.5998504657627</v>
      </c>
      <c r="U287" s="158">
        <f t="shared" si="103"/>
        <v>0.0147924117071142</v>
      </c>
      <c r="V287" s="158">
        <f t="shared" si="103"/>
        <v>4.25727630982957</v>
      </c>
      <c r="W287" s="158">
        <f t="shared" si="103"/>
        <v>13.3076899473446</v>
      </c>
      <c r="X287" s="158">
        <f t="shared" si="103"/>
        <v>1.11306211526004</v>
      </c>
      <c r="Y287" s="158">
        <f t="shared" si="103"/>
        <v>0.0883750036797145</v>
      </c>
      <c r="Z287" s="158">
        <f t="shared" si="103"/>
        <v>6.44204920931559</v>
      </c>
      <c r="AA287" s="158">
        <f t="shared" si="103"/>
        <v>1.39744137478287</v>
      </c>
      <c r="AB287" s="158">
        <f t="shared" si="103"/>
        <v>2.4212977345951</v>
      </c>
      <c r="AC287" s="158">
        <f t="shared" si="103"/>
        <v>9.98002251149592</v>
      </c>
      <c r="AD287" s="158">
        <f t="shared" si="103"/>
        <v>39.6285971256695</v>
      </c>
      <c r="AE287" s="158">
        <f t="shared" si="103"/>
        <v>0</v>
      </c>
      <c r="AF287" s="158">
        <f t="shared" si="103"/>
        <v>1.90413695915824</v>
      </c>
      <c r="AG287" s="158">
        <f t="shared" si="103"/>
        <v>4.6981984423752</v>
      </c>
      <c r="AH287" s="158">
        <f t="shared" si="103"/>
        <v>3.1584853052322</v>
      </c>
      <c r="AI287" s="158">
        <f t="shared" si="103"/>
        <v>0</v>
      </c>
      <c r="AJ287" s="158">
        <f t="shared" si="103"/>
        <v>0</v>
      </c>
      <c r="AK287" s="158">
        <f t="shared" si="103"/>
        <v>0</v>
      </c>
      <c r="AL287" s="158">
        <f t="shared" si="103"/>
        <v>0</v>
      </c>
    </row>
    <row r="288" ht="14.5" spans="1:38">
      <c r="A288" s="158">
        <v>2019</v>
      </c>
      <c r="B288" s="158" t="s">
        <v>344</v>
      </c>
      <c r="C288" s="158" t="s">
        <v>201</v>
      </c>
      <c r="D288" s="159" t="s">
        <v>349</v>
      </c>
      <c r="E288" s="158">
        <f xml:space="preserve">F309*15%</f>
        <v>1.62028294107487</v>
      </c>
      <c r="F288" s="158">
        <f t="shared" ref="F288:AL288" si="104" xml:space="preserve">G309*15%</f>
        <v>0</v>
      </c>
      <c r="G288" s="158">
        <f t="shared" si="104"/>
        <v>1.82047536720718</v>
      </c>
      <c r="H288" s="158">
        <f t="shared" si="104"/>
        <v>0.286177642765099</v>
      </c>
      <c r="I288" s="158">
        <f t="shared" si="104"/>
        <v>0.00245438984541387</v>
      </c>
      <c r="J288" s="158">
        <f t="shared" si="104"/>
        <v>2.77806810463812</v>
      </c>
      <c r="K288" s="158">
        <f t="shared" si="104"/>
        <v>1.14398025262639</v>
      </c>
      <c r="L288" s="158">
        <f t="shared" si="104"/>
        <v>100.531498849296</v>
      </c>
      <c r="M288" s="158">
        <f t="shared" si="104"/>
        <v>0.347667249224917</v>
      </c>
      <c r="N288" s="158">
        <f t="shared" si="104"/>
        <v>1.58629251212944</v>
      </c>
      <c r="O288" s="158">
        <f t="shared" si="104"/>
        <v>6.75232773332572</v>
      </c>
      <c r="P288" s="158">
        <f t="shared" si="104"/>
        <v>3.9854143514463</v>
      </c>
      <c r="Q288" s="158">
        <f t="shared" si="104"/>
        <v>0.13486818602033</v>
      </c>
      <c r="R288" s="158">
        <f t="shared" si="104"/>
        <v>1.81053443926338</v>
      </c>
      <c r="S288" s="158">
        <f t="shared" si="104"/>
        <v>0.0504342170036979</v>
      </c>
      <c r="T288" s="158">
        <f t="shared" si="104"/>
        <v>13.5998504657627</v>
      </c>
      <c r="U288" s="158">
        <f t="shared" si="104"/>
        <v>0.0147924117071142</v>
      </c>
      <c r="V288" s="158">
        <f t="shared" si="104"/>
        <v>4.25727630982957</v>
      </c>
      <c r="W288" s="158">
        <f t="shared" si="104"/>
        <v>13.3076899473446</v>
      </c>
      <c r="X288" s="158">
        <f t="shared" si="104"/>
        <v>1.11306211526004</v>
      </c>
      <c r="Y288" s="158">
        <f t="shared" si="104"/>
        <v>0.0883750036797145</v>
      </c>
      <c r="Z288" s="158">
        <f t="shared" si="104"/>
        <v>6.44204920931559</v>
      </c>
      <c r="AA288" s="158">
        <f t="shared" si="104"/>
        <v>1.39744137478287</v>
      </c>
      <c r="AB288" s="158">
        <f t="shared" si="104"/>
        <v>2.4212977345951</v>
      </c>
      <c r="AC288" s="158">
        <f t="shared" si="104"/>
        <v>9.98002251149592</v>
      </c>
      <c r="AD288" s="158">
        <f t="shared" si="104"/>
        <v>39.6285971256695</v>
      </c>
      <c r="AE288" s="158">
        <f t="shared" si="104"/>
        <v>0</v>
      </c>
      <c r="AF288" s="158">
        <f t="shared" si="104"/>
        <v>1.90413695915824</v>
      </c>
      <c r="AG288" s="158">
        <f t="shared" si="104"/>
        <v>4.6981984423752</v>
      </c>
      <c r="AH288" s="158">
        <f t="shared" si="104"/>
        <v>3.1584853052322</v>
      </c>
      <c r="AI288" s="158">
        <f t="shared" si="104"/>
        <v>0</v>
      </c>
      <c r="AJ288" s="158">
        <f t="shared" si="104"/>
        <v>0</v>
      </c>
      <c r="AK288" s="158">
        <f t="shared" si="104"/>
        <v>0</v>
      </c>
      <c r="AL288" s="158">
        <f t="shared" si="104"/>
        <v>0</v>
      </c>
    </row>
    <row r="289" ht="14.5" spans="1:38">
      <c r="A289" s="158">
        <v>2019</v>
      </c>
      <c r="B289" s="158" t="s">
        <v>344</v>
      </c>
      <c r="C289" s="158" t="s">
        <v>201</v>
      </c>
      <c r="D289" s="159" t="s">
        <v>350</v>
      </c>
      <c r="E289" s="158">
        <f xml:space="preserve">F309*15%</f>
        <v>1.62028294107487</v>
      </c>
      <c r="F289" s="158">
        <f t="shared" ref="F289:AL289" si="105" xml:space="preserve">G309*15%</f>
        <v>0</v>
      </c>
      <c r="G289" s="158">
        <f t="shared" si="105"/>
        <v>1.82047536720718</v>
      </c>
      <c r="H289" s="158">
        <f t="shared" si="105"/>
        <v>0.286177642765099</v>
      </c>
      <c r="I289" s="158">
        <f t="shared" si="105"/>
        <v>0.00245438984541387</v>
      </c>
      <c r="J289" s="158">
        <f t="shared" si="105"/>
        <v>2.77806810463812</v>
      </c>
      <c r="K289" s="158">
        <f t="shared" si="105"/>
        <v>1.14398025262639</v>
      </c>
      <c r="L289" s="158">
        <f t="shared" si="105"/>
        <v>100.531498849296</v>
      </c>
      <c r="M289" s="158">
        <f t="shared" si="105"/>
        <v>0.347667249224917</v>
      </c>
      <c r="N289" s="158">
        <f t="shared" si="105"/>
        <v>1.58629251212944</v>
      </c>
      <c r="O289" s="158">
        <f t="shared" si="105"/>
        <v>6.75232773332572</v>
      </c>
      <c r="P289" s="158">
        <f t="shared" si="105"/>
        <v>3.9854143514463</v>
      </c>
      <c r="Q289" s="158">
        <f t="shared" si="105"/>
        <v>0.13486818602033</v>
      </c>
      <c r="R289" s="158">
        <f t="shared" si="105"/>
        <v>1.81053443926338</v>
      </c>
      <c r="S289" s="158">
        <f t="shared" si="105"/>
        <v>0.0504342170036979</v>
      </c>
      <c r="T289" s="158">
        <f t="shared" si="105"/>
        <v>13.5998504657627</v>
      </c>
      <c r="U289" s="158">
        <f t="shared" si="105"/>
        <v>0.0147924117071142</v>
      </c>
      <c r="V289" s="158">
        <f t="shared" si="105"/>
        <v>4.25727630982957</v>
      </c>
      <c r="W289" s="158">
        <f t="shared" si="105"/>
        <v>13.3076899473446</v>
      </c>
      <c r="X289" s="158">
        <f t="shared" si="105"/>
        <v>1.11306211526004</v>
      </c>
      <c r="Y289" s="158">
        <f t="shared" si="105"/>
        <v>0.0883750036797145</v>
      </c>
      <c r="Z289" s="158">
        <f t="shared" si="105"/>
        <v>6.44204920931559</v>
      </c>
      <c r="AA289" s="158">
        <f t="shared" si="105"/>
        <v>1.39744137478287</v>
      </c>
      <c r="AB289" s="158">
        <f t="shared" si="105"/>
        <v>2.4212977345951</v>
      </c>
      <c r="AC289" s="158">
        <f t="shared" si="105"/>
        <v>9.98002251149592</v>
      </c>
      <c r="AD289" s="158">
        <f t="shared" si="105"/>
        <v>39.6285971256695</v>
      </c>
      <c r="AE289" s="158">
        <f t="shared" si="105"/>
        <v>0</v>
      </c>
      <c r="AF289" s="158">
        <f t="shared" si="105"/>
        <v>1.90413695915824</v>
      </c>
      <c r="AG289" s="158">
        <f t="shared" si="105"/>
        <v>4.6981984423752</v>
      </c>
      <c r="AH289" s="158">
        <f t="shared" si="105"/>
        <v>3.1584853052322</v>
      </c>
      <c r="AI289" s="158">
        <f t="shared" si="105"/>
        <v>0</v>
      </c>
      <c r="AJ289" s="158">
        <f t="shared" si="105"/>
        <v>0</v>
      </c>
      <c r="AK289" s="158">
        <f t="shared" si="105"/>
        <v>0</v>
      </c>
      <c r="AL289" s="158">
        <f t="shared" si="105"/>
        <v>0</v>
      </c>
    </row>
    <row r="290" ht="14.5" spans="1:38">
      <c r="A290" s="158">
        <v>2019</v>
      </c>
      <c r="B290" s="158" t="s">
        <v>344</v>
      </c>
      <c r="C290" s="158" t="s">
        <v>201</v>
      </c>
      <c r="D290" s="159" t="s">
        <v>351</v>
      </c>
      <c r="E290" s="158">
        <f xml:space="preserve">F309*15%</f>
        <v>1.62028294107487</v>
      </c>
      <c r="F290" s="158">
        <f t="shared" ref="F290:AL290" si="106" xml:space="preserve">G309*15%</f>
        <v>0</v>
      </c>
      <c r="G290" s="158">
        <f t="shared" si="106"/>
        <v>1.82047536720718</v>
      </c>
      <c r="H290" s="158">
        <f t="shared" si="106"/>
        <v>0.286177642765099</v>
      </c>
      <c r="I290" s="158">
        <f t="shared" si="106"/>
        <v>0.00245438984541387</v>
      </c>
      <c r="J290" s="158">
        <f t="shared" si="106"/>
        <v>2.77806810463812</v>
      </c>
      <c r="K290" s="158">
        <f t="shared" si="106"/>
        <v>1.14398025262639</v>
      </c>
      <c r="L290" s="158">
        <f t="shared" si="106"/>
        <v>100.531498849296</v>
      </c>
      <c r="M290" s="158">
        <f t="shared" si="106"/>
        <v>0.347667249224917</v>
      </c>
      <c r="N290" s="158">
        <f t="shared" si="106"/>
        <v>1.58629251212944</v>
      </c>
      <c r="O290" s="158">
        <f t="shared" si="106"/>
        <v>6.75232773332572</v>
      </c>
      <c r="P290" s="158">
        <f t="shared" si="106"/>
        <v>3.9854143514463</v>
      </c>
      <c r="Q290" s="158">
        <f t="shared" si="106"/>
        <v>0.13486818602033</v>
      </c>
      <c r="R290" s="158">
        <f t="shared" si="106"/>
        <v>1.81053443926338</v>
      </c>
      <c r="S290" s="158">
        <f t="shared" si="106"/>
        <v>0.0504342170036979</v>
      </c>
      <c r="T290" s="158">
        <f t="shared" si="106"/>
        <v>13.5998504657627</v>
      </c>
      <c r="U290" s="158">
        <f t="shared" si="106"/>
        <v>0.0147924117071142</v>
      </c>
      <c r="V290" s="158">
        <f t="shared" si="106"/>
        <v>4.25727630982957</v>
      </c>
      <c r="W290" s="158">
        <f t="shared" si="106"/>
        <v>13.3076899473446</v>
      </c>
      <c r="X290" s="158">
        <f t="shared" si="106"/>
        <v>1.11306211526004</v>
      </c>
      <c r="Y290" s="158">
        <f t="shared" si="106"/>
        <v>0.0883750036797145</v>
      </c>
      <c r="Z290" s="158">
        <f t="shared" si="106"/>
        <v>6.44204920931559</v>
      </c>
      <c r="AA290" s="158">
        <f t="shared" si="106"/>
        <v>1.39744137478287</v>
      </c>
      <c r="AB290" s="158">
        <f t="shared" si="106"/>
        <v>2.4212977345951</v>
      </c>
      <c r="AC290" s="158">
        <f t="shared" si="106"/>
        <v>9.98002251149592</v>
      </c>
      <c r="AD290" s="158">
        <f t="shared" si="106"/>
        <v>39.6285971256695</v>
      </c>
      <c r="AE290" s="158">
        <f t="shared" si="106"/>
        <v>0</v>
      </c>
      <c r="AF290" s="158">
        <f t="shared" si="106"/>
        <v>1.90413695915824</v>
      </c>
      <c r="AG290" s="158">
        <f t="shared" si="106"/>
        <v>4.6981984423752</v>
      </c>
      <c r="AH290" s="158">
        <f t="shared" si="106"/>
        <v>3.1584853052322</v>
      </c>
      <c r="AI290" s="158">
        <f t="shared" si="106"/>
        <v>0</v>
      </c>
      <c r="AJ290" s="158">
        <f t="shared" si="106"/>
        <v>0</v>
      </c>
      <c r="AK290" s="158">
        <f t="shared" si="106"/>
        <v>0</v>
      </c>
      <c r="AL290" s="158">
        <f t="shared" si="106"/>
        <v>0</v>
      </c>
    </row>
    <row r="291" ht="14.5" spans="1:38">
      <c r="A291" s="158">
        <v>2019</v>
      </c>
      <c r="B291" s="158" t="s">
        <v>344</v>
      </c>
      <c r="C291" s="158" t="s">
        <v>201</v>
      </c>
      <c r="D291" s="159" t="s">
        <v>352</v>
      </c>
      <c r="E291" s="158">
        <f xml:space="preserve">0</f>
        <v>0</v>
      </c>
      <c r="F291" s="158">
        <f t="shared" ref="F291:O291" si="107" xml:space="preserve">0</f>
        <v>0</v>
      </c>
      <c r="G291" s="158">
        <f t="shared" si="107"/>
        <v>0</v>
      </c>
      <c r="H291" s="158">
        <f t="shared" si="107"/>
        <v>0</v>
      </c>
      <c r="I291" s="158">
        <f t="shared" si="107"/>
        <v>0</v>
      </c>
      <c r="J291" s="158">
        <f t="shared" si="107"/>
        <v>0</v>
      </c>
      <c r="K291" s="158">
        <f t="shared" si="107"/>
        <v>0</v>
      </c>
      <c r="L291" s="158">
        <f t="shared" si="107"/>
        <v>0</v>
      </c>
      <c r="M291" s="158">
        <f t="shared" si="107"/>
        <v>0</v>
      </c>
      <c r="N291" s="158">
        <f t="shared" si="107"/>
        <v>0</v>
      </c>
      <c r="O291" s="158">
        <f t="shared" si="107"/>
        <v>0</v>
      </c>
      <c r="P291" s="158">
        <f t="shared" ref="P291:Y291" si="108" xml:space="preserve">0</f>
        <v>0</v>
      </c>
      <c r="Q291" s="158">
        <f t="shared" si="108"/>
        <v>0</v>
      </c>
      <c r="R291" s="158">
        <f t="shared" si="108"/>
        <v>0</v>
      </c>
      <c r="S291" s="158">
        <f t="shared" si="108"/>
        <v>0</v>
      </c>
      <c r="T291" s="158">
        <f t="shared" si="108"/>
        <v>0</v>
      </c>
      <c r="U291" s="158">
        <f t="shared" si="108"/>
        <v>0</v>
      </c>
      <c r="V291" s="158">
        <f t="shared" si="108"/>
        <v>0</v>
      </c>
      <c r="W291" s="158">
        <f t="shared" si="108"/>
        <v>0</v>
      </c>
      <c r="X291" s="158">
        <f t="shared" si="108"/>
        <v>0</v>
      </c>
      <c r="Y291" s="158">
        <f t="shared" si="108"/>
        <v>0</v>
      </c>
      <c r="Z291" s="158">
        <f t="shared" ref="Z291:AL291" si="109" xml:space="preserve">0</f>
        <v>0</v>
      </c>
      <c r="AA291" s="158">
        <f t="shared" si="109"/>
        <v>0</v>
      </c>
      <c r="AB291" s="158">
        <f t="shared" si="109"/>
        <v>0</v>
      </c>
      <c r="AC291" s="158">
        <f t="shared" si="109"/>
        <v>0</v>
      </c>
      <c r="AD291" s="158">
        <f t="shared" si="109"/>
        <v>0</v>
      </c>
      <c r="AE291" s="158">
        <f t="shared" si="109"/>
        <v>0</v>
      </c>
      <c r="AF291" s="158">
        <f t="shared" si="109"/>
        <v>0</v>
      </c>
      <c r="AG291" s="158">
        <f t="shared" si="109"/>
        <v>0</v>
      </c>
      <c r="AH291" s="158">
        <f t="shared" si="109"/>
        <v>0</v>
      </c>
      <c r="AI291" s="158">
        <f t="shared" si="109"/>
        <v>0</v>
      </c>
      <c r="AJ291" s="158">
        <f t="shared" si="109"/>
        <v>0</v>
      </c>
      <c r="AK291" s="158">
        <f t="shared" si="109"/>
        <v>0</v>
      </c>
      <c r="AL291" s="158">
        <f t="shared" si="109"/>
        <v>0</v>
      </c>
    </row>
    <row r="292" ht="14.5" spans="1:38">
      <c r="A292" s="158">
        <v>2019</v>
      </c>
      <c r="B292" s="158" t="s">
        <v>344</v>
      </c>
      <c r="C292" s="158" t="s">
        <v>201</v>
      </c>
      <c r="D292" s="159" t="s">
        <v>353</v>
      </c>
      <c r="E292" s="158">
        <f xml:space="preserve">0</f>
        <v>0</v>
      </c>
      <c r="F292" s="158">
        <f t="shared" ref="F292:O292" si="110" xml:space="preserve">0</f>
        <v>0</v>
      </c>
      <c r="G292" s="158">
        <f t="shared" si="110"/>
        <v>0</v>
      </c>
      <c r="H292" s="158">
        <f t="shared" si="110"/>
        <v>0</v>
      </c>
      <c r="I292" s="158">
        <f t="shared" si="110"/>
        <v>0</v>
      </c>
      <c r="J292" s="158">
        <f t="shared" si="110"/>
        <v>0</v>
      </c>
      <c r="K292" s="158">
        <f t="shared" si="110"/>
        <v>0</v>
      </c>
      <c r="L292" s="158">
        <f t="shared" si="110"/>
        <v>0</v>
      </c>
      <c r="M292" s="158">
        <f t="shared" si="110"/>
        <v>0</v>
      </c>
      <c r="N292" s="158">
        <f t="shared" si="110"/>
        <v>0</v>
      </c>
      <c r="O292" s="158">
        <f t="shared" si="110"/>
        <v>0</v>
      </c>
      <c r="P292" s="158">
        <f t="shared" ref="P292:Y292" si="111" xml:space="preserve">0</f>
        <v>0</v>
      </c>
      <c r="Q292" s="158">
        <f t="shared" si="111"/>
        <v>0</v>
      </c>
      <c r="R292" s="158">
        <f t="shared" si="111"/>
        <v>0</v>
      </c>
      <c r="S292" s="158">
        <f t="shared" si="111"/>
        <v>0</v>
      </c>
      <c r="T292" s="158">
        <f t="shared" si="111"/>
        <v>0</v>
      </c>
      <c r="U292" s="158">
        <f t="shared" si="111"/>
        <v>0</v>
      </c>
      <c r="V292" s="158">
        <f t="shared" si="111"/>
        <v>0</v>
      </c>
      <c r="W292" s="158">
        <f t="shared" si="111"/>
        <v>0</v>
      </c>
      <c r="X292" s="158">
        <f t="shared" si="111"/>
        <v>0</v>
      </c>
      <c r="Y292" s="158">
        <f t="shared" si="111"/>
        <v>0</v>
      </c>
      <c r="Z292" s="158">
        <f t="shared" ref="Z292:AL292" si="112" xml:space="preserve">0</f>
        <v>0</v>
      </c>
      <c r="AA292" s="158">
        <f t="shared" si="112"/>
        <v>0</v>
      </c>
      <c r="AB292" s="158">
        <f t="shared" si="112"/>
        <v>0</v>
      </c>
      <c r="AC292" s="158">
        <f t="shared" si="112"/>
        <v>0</v>
      </c>
      <c r="AD292" s="158">
        <f t="shared" si="112"/>
        <v>0</v>
      </c>
      <c r="AE292" s="158">
        <f t="shared" si="112"/>
        <v>0</v>
      </c>
      <c r="AF292" s="158">
        <f t="shared" si="112"/>
        <v>0</v>
      </c>
      <c r="AG292" s="158">
        <f t="shared" si="112"/>
        <v>0</v>
      </c>
      <c r="AH292" s="158">
        <f t="shared" si="112"/>
        <v>0</v>
      </c>
      <c r="AI292" s="158">
        <f t="shared" si="112"/>
        <v>0</v>
      </c>
      <c r="AJ292" s="158">
        <f t="shared" si="112"/>
        <v>0</v>
      </c>
      <c r="AK292" s="158">
        <f t="shared" si="112"/>
        <v>0</v>
      </c>
      <c r="AL292" s="158">
        <f t="shared" si="112"/>
        <v>0</v>
      </c>
    </row>
    <row r="293" ht="14.5" spans="1:38">
      <c r="A293" s="158">
        <v>2019</v>
      </c>
      <c r="B293" s="158" t="s">
        <v>344</v>
      </c>
      <c r="C293" s="158" t="s">
        <v>201</v>
      </c>
      <c r="D293" s="159" t="s">
        <v>354</v>
      </c>
      <c r="E293" s="158">
        <f xml:space="preserve">E290</f>
        <v>1.62028294107487</v>
      </c>
      <c r="F293" s="158">
        <f t="shared" ref="F293:AL293" si="113" xml:space="preserve">F290</f>
        <v>0</v>
      </c>
      <c r="G293" s="158">
        <f t="shared" si="113"/>
        <v>1.82047536720718</v>
      </c>
      <c r="H293" s="158">
        <f t="shared" si="113"/>
        <v>0.286177642765099</v>
      </c>
      <c r="I293" s="158">
        <f t="shared" si="113"/>
        <v>0.00245438984541387</v>
      </c>
      <c r="J293" s="158">
        <f t="shared" si="113"/>
        <v>2.77806810463812</v>
      </c>
      <c r="K293" s="158">
        <f t="shared" si="113"/>
        <v>1.14398025262639</v>
      </c>
      <c r="L293" s="158">
        <f t="shared" si="113"/>
        <v>100.531498849296</v>
      </c>
      <c r="M293" s="158">
        <f t="shared" si="113"/>
        <v>0.347667249224917</v>
      </c>
      <c r="N293" s="158">
        <f t="shared" si="113"/>
        <v>1.58629251212944</v>
      </c>
      <c r="O293" s="158">
        <f t="shared" si="113"/>
        <v>6.75232773332572</v>
      </c>
      <c r="P293" s="158">
        <f t="shared" si="113"/>
        <v>3.9854143514463</v>
      </c>
      <c r="Q293" s="158">
        <f t="shared" si="113"/>
        <v>0.13486818602033</v>
      </c>
      <c r="R293" s="158">
        <f t="shared" si="113"/>
        <v>1.81053443926338</v>
      </c>
      <c r="S293" s="158">
        <f t="shared" si="113"/>
        <v>0.0504342170036979</v>
      </c>
      <c r="T293" s="158">
        <f t="shared" si="113"/>
        <v>13.5998504657627</v>
      </c>
      <c r="U293" s="158">
        <f t="shared" si="113"/>
        <v>0.0147924117071142</v>
      </c>
      <c r="V293" s="158">
        <f t="shared" si="113"/>
        <v>4.25727630982957</v>
      </c>
      <c r="W293" s="158">
        <f t="shared" si="113"/>
        <v>13.3076899473446</v>
      </c>
      <c r="X293" s="158">
        <f t="shared" si="113"/>
        <v>1.11306211526004</v>
      </c>
      <c r="Y293" s="158">
        <f t="shared" si="113"/>
        <v>0.0883750036797145</v>
      </c>
      <c r="Z293" s="158">
        <f t="shared" si="113"/>
        <v>6.44204920931559</v>
      </c>
      <c r="AA293" s="158">
        <f t="shared" si="113"/>
        <v>1.39744137478287</v>
      </c>
      <c r="AB293" s="158">
        <f t="shared" si="113"/>
        <v>2.4212977345951</v>
      </c>
      <c r="AC293" s="158">
        <f t="shared" si="113"/>
        <v>9.98002251149592</v>
      </c>
      <c r="AD293" s="158">
        <f t="shared" si="113"/>
        <v>39.6285971256695</v>
      </c>
      <c r="AE293" s="158">
        <f t="shared" si="113"/>
        <v>0</v>
      </c>
      <c r="AF293" s="158">
        <f t="shared" si="113"/>
        <v>1.90413695915824</v>
      </c>
      <c r="AG293" s="158">
        <f t="shared" si="113"/>
        <v>4.6981984423752</v>
      </c>
      <c r="AH293" s="158">
        <f t="shared" si="113"/>
        <v>3.1584853052322</v>
      </c>
      <c r="AI293" s="158">
        <f t="shared" si="113"/>
        <v>0</v>
      </c>
      <c r="AJ293" s="158">
        <f t="shared" si="113"/>
        <v>0</v>
      </c>
      <c r="AK293" s="158">
        <f t="shared" si="113"/>
        <v>0</v>
      </c>
      <c r="AL293" s="158">
        <f t="shared" si="113"/>
        <v>0</v>
      </c>
    </row>
    <row r="305" spans="5:39">
      <c r="F305" t="s">
        <v>355</v>
      </c>
    </row>
    <row r="307" ht="15.5" spans="5:39">
      <c r="E307" s="160"/>
      <c r="F307" s="160" t="s">
        <v>3</v>
      </c>
      <c r="G307" s="160" t="s">
        <v>5</v>
      </c>
      <c r="H307" s="160" t="s">
        <v>6</v>
      </c>
      <c r="I307" s="160" t="s">
        <v>7</v>
      </c>
      <c r="J307" s="160" t="s">
        <v>8</v>
      </c>
      <c r="K307" s="160" t="s">
        <v>9</v>
      </c>
      <c r="L307" s="160" t="s">
        <v>10</v>
      </c>
      <c r="M307" s="160" t="s">
        <v>11</v>
      </c>
      <c r="N307" s="160" t="s">
        <v>12</v>
      </c>
      <c r="O307" s="160" t="s">
        <v>13</v>
      </c>
      <c r="P307" s="160" t="s">
        <v>14</v>
      </c>
      <c r="Q307" s="160" t="s">
        <v>15</v>
      </c>
      <c r="R307" s="160" t="s">
        <v>16</v>
      </c>
      <c r="S307" s="160" t="s">
        <v>17</v>
      </c>
      <c r="T307" s="160" t="s">
        <v>18</v>
      </c>
      <c r="U307" s="160" t="s">
        <v>19</v>
      </c>
      <c r="V307" s="160" t="s">
        <v>20</v>
      </c>
      <c r="W307" s="160" t="s">
        <v>21</v>
      </c>
      <c r="X307" s="160" t="s">
        <v>22</v>
      </c>
      <c r="Y307" s="160" t="s">
        <v>23</v>
      </c>
      <c r="Z307" s="160" t="s">
        <v>24</v>
      </c>
      <c r="AA307" s="160" t="s">
        <v>25</v>
      </c>
      <c r="AB307" s="160" t="s">
        <v>26</v>
      </c>
      <c r="AC307" s="160" t="s">
        <v>27</v>
      </c>
      <c r="AD307" s="160" t="s">
        <v>28</v>
      </c>
      <c r="AE307" s="160" t="s">
        <v>29</v>
      </c>
      <c r="AF307" s="160" t="s">
        <v>30</v>
      </c>
      <c r="AG307" s="160" t="s">
        <v>31</v>
      </c>
      <c r="AH307" s="160" t="s">
        <v>32</v>
      </c>
      <c r="AI307" s="160" t="s">
        <v>33</v>
      </c>
      <c r="AJ307" s="159" t="s">
        <v>34</v>
      </c>
      <c r="AK307" s="159" t="s">
        <v>35</v>
      </c>
      <c r="AL307" s="159" t="s">
        <v>36</v>
      </c>
      <c r="AM307" s="159" t="s">
        <v>37</v>
      </c>
    </row>
    <row r="308" ht="15.5" spans="5:39">
      <c r="E308" s="160"/>
      <c r="F308" s="160"/>
      <c r="G308" s="160"/>
      <c r="H308" s="160"/>
      <c r="I308" s="160"/>
      <c r="J308" s="160"/>
      <c r="K308" s="160"/>
      <c r="L308" s="160"/>
      <c r="M308" s="160"/>
      <c r="N308" s="160"/>
      <c r="O308" s="160"/>
      <c r="P308" s="160"/>
      <c r="Q308" s="160"/>
      <c r="R308" s="160"/>
      <c r="S308" s="160"/>
      <c r="T308" s="160"/>
      <c r="U308" s="160"/>
      <c r="V308" s="160"/>
      <c r="W308" s="160"/>
      <c r="X308" s="160"/>
      <c r="Y308" s="160"/>
      <c r="Z308" s="160"/>
      <c r="AA308" s="160"/>
      <c r="AB308" s="160"/>
      <c r="AC308" s="160"/>
      <c r="AD308" s="160"/>
      <c r="AE308" s="160"/>
      <c r="AF308" s="160"/>
      <c r="AG308" s="160"/>
      <c r="AH308" s="160"/>
      <c r="AI308" s="160"/>
    </row>
    <row r="309" ht="15.5" spans="5:39">
      <c r="E309" s="160"/>
      <c r="F309" s="160">
        <v>10.8018862738325</v>
      </c>
      <c r="G309" s="160">
        <v>0</v>
      </c>
      <c r="H309" s="160">
        <v>12.1365024480479</v>
      </c>
      <c r="I309" s="160">
        <v>1.90785095176733</v>
      </c>
      <c r="J309" s="160">
        <v>0.0163625989694258</v>
      </c>
      <c r="K309" s="160">
        <v>18.5204540309208</v>
      </c>
      <c r="L309" s="160">
        <v>7.62653501750928</v>
      </c>
      <c r="M309" s="160">
        <v>670.209992328637</v>
      </c>
      <c r="N309" s="160">
        <v>2.31778166149945</v>
      </c>
      <c r="O309" s="160">
        <v>10.5752834141963</v>
      </c>
      <c r="P309" s="160">
        <v>45.0155182221715</v>
      </c>
      <c r="Q309" s="160">
        <v>26.569429009642</v>
      </c>
      <c r="R309" s="160">
        <v>0.899121240135531</v>
      </c>
      <c r="S309" s="160">
        <v>12.0702295950892</v>
      </c>
      <c r="T309" s="160">
        <v>0.336228113357986</v>
      </c>
      <c r="U309" s="160">
        <v>90.6656697717516</v>
      </c>
      <c r="V309" s="160">
        <v>0.0986160780474282</v>
      </c>
      <c r="W309" s="160">
        <v>28.3818420655305</v>
      </c>
      <c r="X309" s="160">
        <v>88.7179329822972</v>
      </c>
      <c r="Y309" s="160">
        <v>7.42041410173359</v>
      </c>
      <c r="Z309" s="160">
        <v>0.589166691198097</v>
      </c>
      <c r="AA309" s="160">
        <v>42.9469947287706</v>
      </c>
      <c r="AB309" s="160">
        <v>9.31627583188582</v>
      </c>
      <c r="AC309" s="160">
        <v>16.1419848973007</v>
      </c>
      <c r="AD309" s="160">
        <v>66.5334834099728</v>
      </c>
      <c r="AE309" s="160">
        <v>264.190647504463</v>
      </c>
      <c r="AF309" s="160">
        <v>0</v>
      </c>
      <c r="AG309" s="160">
        <v>12.6942463943883</v>
      </c>
      <c r="AH309" s="160">
        <v>31.321322949168</v>
      </c>
      <c r="AI309" s="160">
        <v>21.056568701548</v>
      </c>
    </row>
  </sheetData>
  <sortState ref="AZ33:BA38">
    <sortCondition ref="AZ33:AZ38"/>
  </sortState>
  <pageMargins left="0.7" right="0.7" top="0.75" bottom="0.75" header="0.3" footer="0.3"/>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57"/>
  <sheetViews>
    <sheetView zoomScale="49" zoomScaleNormal="49" topLeftCell="E1" workbookViewId="0">
      <selection activeCell="L1" sqref="L1:AT1"/>
    </sheetView>
  </sheetViews>
  <sheetFormatPr defaultColWidth="9" defaultRowHeight="12.5"/>
  <cols>
    <col min="3" max="3" width="11.5727272727273" customWidth="1"/>
    <col min="8" max="11" width="9" style="80"/>
    <col min="12" max="16" width="5.28181818181818" style="80" customWidth="1"/>
    <col min="17" max="28" width="5.28181818181818" customWidth="1"/>
  </cols>
  <sheetData>
    <row r="1" spans="1:47">
      <c r="A1" t="s">
        <v>42</v>
      </c>
      <c r="B1" t="s">
        <v>193</v>
      </c>
      <c r="C1" t="s">
        <v>66</v>
      </c>
      <c r="D1" t="s">
        <v>169</v>
      </c>
      <c r="E1" t="s">
        <v>356</v>
      </c>
      <c r="F1" t="s">
        <v>357</v>
      </c>
      <c r="G1" t="s">
        <v>41</v>
      </c>
      <c r="H1" s="80" t="s">
        <v>358</v>
      </c>
      <c r="I1" s="80" t="s">
        <v>359</v>
      </c>
      <c r="J1" s="80" t="s">
        <v>360</v>
      </c>
      <c r="K1" s="80" t="s">
        <v>361</v>
      </c>
      <c r="L1" s="80" t="s">
        <v>3</v>
      </c>
      <c r="M1" s="80" t="s">
        <v>5</v>
      </c>
      <c r="N1" s="80" t="s">
        <v>6</v>
      </c>
      <c r="O1" s="80" t="s">
        <v>7</v>
      </c>
      <c r="P1" s="80" t="s">
        <v>8</v>
      </c>
      <c r="Q1" t="s">
        <v>9</v>
      </c>
      <c r="R1" t="s">
        <v>10</v>
      </c>
      <c r="S1" t="s">
        <v>11</v>
      </c>
      <c r="T1" t="s">
        <v>12</v>
      </c>
      <c r="U1" t="s">
        <v>13</v>
      </c>
      <c r="V1" t="s">
        <v>14</v>
      </c>
      <c r="W1" t="s">
        <v>15</v>
      </c>
      <c r="X1" t="s">
        <v>16</v>
      </c>
      <c r="Y1" t="s">
        <v>17</v>
      </c>
      <c r="Z1" t="s">
        <v>18</v>
      </c>
      <c r="AA1" t="s">
        <v>19</v>
      </c>
      <c r="AB1" t="s">
        <v>20</v>
      </c>
      <c r="AC1" t="s">
        <v>21</v>
      </c>
      <c r="AD1" t="s">
        <v>22</v>
      </c>
      <c r="AE1" t="s">
        <v>23</v>
      </c>
      <c r="AF1" t="s">
        <v>24</v>
      </c>
      <c r="AG1" t="s">
        <v>25</v>
      </c>
      <c r="AH1" t="s">
        <v>26</v>
      </c>
      <c r="AI1" t="s">
        <v>27</v>
      </c>
      <c r="AJ1" t="s">
        <v>28</v>
      </c>
      <c r="AK1" t="s">
        <v>29</v>
      </c>
      <c r="AL1" t="s">
        <v>30</v>
      </c>
      <c r="AM1" t="s">
        <v>31</v>
      </c>
      <c r="AN1" t="s">
        <v>32</v>
      </c>
      <c r="AO1" t="s">
        <v>33</v>
      </c>
      <c r="AP1" t="s">
        <v>34</v>
      </c>
      <c r="AQ1" t="s">
        <v>35</v>
      </c>
      <c r="AR1" t="s">
        <v>36</v>
      </c>
      <c r="AS1" t="s">
        <v>37</v>
      </c>
      <c r="AT1" t="s">
        <v>38</v>
      </c>
      <c r="AU1" t="s">
        <v>362</v>
      </c>
    </row>
    <row r="2" spans="1:47">
      <c r="A2" t="s">
        <v>173</v>
      </c>
      <c r="B2" t="s">
        <v>174</v>
      </c>
      <c r="C2" t="s">
        <v>363</v>
      </c>
      <c r="D2" t="s">
        <v>364</v>
      </c>
      <c r="E2" t="s">
        <v>248</v>
      </c>
      <c r="F2" t="s">
        <v>365</v>
      </c>
      <c r="G2" t="s">
        <v>366</v>
      </c>
      <c r="H2" s="80" t="s">
        <v>364</v>
      </c>
      <c r="I2" s="80" t="s">
        <v>364</v>
      </c>
      <c r="J2" s="80" t="s">
        <v>364</v>
      </c>
      <c r="K2" s="80" t="s">
        <v>364</v>
      </c>
      <c r="L2" s="80">
        <v>7</v>
      </c>
      <c r="M2" s="80">
        <v>7</v>
      </c>
      <c r="N2" s="80">
        <v>7</v>
      </c>
      <c r="O2" s="80">
        <v>7</v>
      </c>
      <c r="P2" s="80">
        <v>7</v>
      </c>
      <c r="Q2">
        <v>7</v>
      </c>
      <c r="R2">
        <v>7</v>
      </c>
      <c r="S2">
        <v>7</v>
      </c>
      <c r="T2">
        <v>7</v>
      </c>
      <c r="U2">
        <v>7</v>
      </c>
      <c r="V2">
        <v>7</v>
      </c>
      <c r="W2">
        <v>7</v>
      </c>
      <c r="X2">
        <v>7</v>
      </c>
      <c r="Y2">
        <v>7</v>
      </c>
      <c r="Z2">
        <v>7</v>
      </c>
      <c r="AA2">
        <v>7</v>
      </c>
      <c r="AB2">
        <v>7</v>
      </c>
      <c r="AC2">
        <v>7</v>
      </c>
      <c r="AD2">
        <v>4</v>
      </c>
      <c r="AE2">
        <v>7</v>
      </c>
      <c r="AF2">
        <v>5</v>
      </c>
      <c r="AG2">
        <v>7</v>
      </c>
      <c r="AH2">
        <v>4</v>
      </c>
      <c r="AI2">
        <v>7</v>
      </c>
      <c r="AJ2">
        <v>7</v>
      </c>
      <c r="AK2">
        <v>3</v>
      </c>
      <c r="AL2">
        <v>7</v>
      </c>
      <c r="AM2">
        <v>7</v>
      </c>
      <c r="AN2">
        <v>6.5</v>
      </c>
      <c r="AO2">
        <v>7</v>
      </c>
      <c r="AP2">
        <v>7</v>
      </c>
      <c r="AQ2">
        <v>7</v>
      </c>
      <c r="AR2">
        <v>4</v>
      </c>
      <c r="AS2">
        <v>4</v>
      </c>
      <c r="AT2">
        <v>4</v>
      </c>
      <c r="AU2" t="s">
        <v>364</v>
      </c>
    </row>
    <row r="3" spans="1:47">
      <c r="A3" t="s">
        <v>173</v>
      </c>
      <c r="B3" t="s">
        <v>174</v>
      </c>
      <c r="C3" t="s">
        <v>227</v>
      </c>
      <c r="D3" t="s">
        <v>364</v>
      </c>
      <c r="E3" t="s">
        <v>248</v>
      </c>
      <c r="F3" t="s">
        <v>365</v>
      </c>
      <c r="G3" t="s">
        <v>366</v>
      </c>
      <c r="H3" s="80" t="s">
        <v>364</v>
      </c>
      <c r="I3" s="80" t="s">
        <v>364</v>
      </c>
      <c r="J3" s="80" t="s">
        <v>364</v>
      </c>
      <c r="K3" s="80" t="s">
        <v>364</v>
      </c>
      <c r="L3" s="80">
        <v>7</v>
      </c>
      <c r="M3" s="80">
        <v>7</v>
      </c>
      <c r="N3" s="80">
        <v>7</v>
      </c>
      <c r="O3" s="80">
        <v>7</v>
      </c>
      <c r="P3" s="80">
        <v>7</v>
      </c>
      <c r="Q3">
        <v>7</v>
      </c>
      <c r="R3">
        <v>7</v>
      </c>
      <c r="S3">
        <v>7</v>
      </c>
      <c r="T3">
        <v>7</v>
      </c>
      <c r="U3">
        <v>7</v>
      </c>
      <c r="V3">
        <v>7</v>
      </c>
      <c r="W3">
        <v>7</v>
      </c>
      <c r="X3">
        <v>7</v>
      </c>
      <c r="Y3">
        <v>7</v>
      </c>
      <c r="Z3">
        <v>7</v>
      </c>
      <c r="AA3">
        <v>7</v>
      </c>
      <c r="AB3">
        <v>7</v>
      </c>
      <c r="AC3">
        <v>7</v>
      </c>
      <c r="AD3">
        <v>4</v>
      </c>
      <c r="AE3">
        <v>7</v>
      </c>
      <c r="AF3">
        <v>5</v>
      </c>
      <c r="AG3">
        <v>7</v>
      </c>
      <c r="AH3">
        <v>4</v>
      </c>
      <c r="AI3">
        <v>7</v>
      </c>
      <c r="AJ3">
        <v>7</v>
      </c>
      <c r="AK3">
        <v>3</v>
      </c>
      <c r="AL3">
        <v>7</v>
      </c>
      <c r="AM3">
        <v>7</v>
      </c>
      <c r="AN3">
        <v>6.5</v>
      </c>
      <c r="AO3">
        <v>7</v>
      </c>
      <c r="AP3">
        <v>7</v>
      </c>
      <c r="AQ3">
        <v>7</v>
      </c>
      <c r="AR3">
        <v>4</v>
      </c>
      <c r="AS3">
        <v>4</v>
      </c>
      <c r="AT3">
        <v>4</v>
      </c>
      <c r="AU3" t="s">
        <v>364</v>
      </c>
    </row>
    <row r="4" spans="1:47">
      <c r="A4" t="s">
        <v>173</v>
      </c>
      <c r="B4" t="s">
        <v>174</v>
      </c>
      <c r="C4" t="s">
        <v>367</v>
      </c>
      <c r="D4" t="s">
        <v>364</v>
      </c>
      <c r="E4" t="s">
        <v>248</v>
      </c>
      <c r="F4" t="s">
        <v>365</v>
      </c>
      <c r="G4" t="s">
        <v>366</v>
      </c>
      <c r="H4" s="80" t="s">
        <v>364</v>
      </c>
      <c r="I4" s="80" t="s">
        <v>364</v>
      </c>
      <c r="J4" s="80" t="s">
        <v>364</v>
      </c>
      <c r="K4" s="80" t="s">
        <v>364</v>
      </c>
      <c r="L4" s="80">
        <v>15</v>
      </c>
      <c r="M4" s="80">
        <v>15</v>
      </c>
      <c r="N4" s="80">
        <v>15</v>
      </c>
      <c r="O4" s="80">
        <v>15</v>
      </c>
      <c r="P4" s="80">
        <v>15</v>
      </c>
      <c r="Q4">
        <v>15</v>
      </c>
      <c r="R4">
        <v>15</v>
      </c>
      <c r="S4">
        <v>15</v>
      </c>
      <c r="T4">
        <v>15</v>
      </c>
      <c r="U4">
        <v>15</v>
      </c>
      <c r="V4">
        <v>15</v>
      </c>
      <c r="W4">
        <v>15</v>
      </c>
      <c r="X4">
        <v>15</v>
      </c>
      <c r="Y4">
        <v>15</v>
      </c>
      <c r="Z4">
        <v>15</v>
      </c>
      <c r="AA4">
        <v>15</v>
      </c>
      <c r="AB4">
        <v>15</v>
      </c>
      <c r="AC4">
        <v>15</v>
      </c>
      <c r="AD4">
        <v>15</v>
      </c>
      <c r="AE4">
        <v>15</v>
      </c>
      <c r="AF4">
        <v>15</v>
      </c>
      <c r="AG4">
        <v>15</v>
      </c>
      <c r="AH4">
        <v>15</v>
      </c>
      <c r="AI4">
        <v>15</v>
      </c>
      <c r="AJ4">
        <v>15</v>
      </c>
      <c r="AK4">
        <v>15</v>
      </c>
      <c r="AL4">
        <v>15</v>
      </c>
      <c r="AM4">
        <v>15</v>
      </c>
      <c r="AN4">
        <v>20</v>
      </c>
      <c r="AO4">
        <v>15</v>
      </c>
      <c r="AP4">
        <v>15</v>
      </c>
      <c r="AQ4">
        <v>15</v>
      </c>
      <c r="AR4">
        <v>15</v>
      </c>
      <c r="AS4">
        <v>15</v>
      </c>
      <c r="AT4">
        <v>15</v>
      </c>
      <c r="AU4" t="s">
        <v>364</v>
      </c>
    </row>
    <row r="5" spans="1:47">
      <c r="A5" t="s">
        <v>173</v>
      </c>
      <c r="B5" t="s">
        <v>174</v>
      </c>
      <c r="C5" t="s">
        <v>368</v>
      </c>
      <c r="D5" t="s">
        <v>364</v>
      </c>
      <c r="E5" t="s">
        <v>248</v>
      </c>
      <c r="F5" t="s">
        <v>365</v>
      </c>
      <c r="G5" t="s">
        <v>366</v>
      </c>
      <c r="H5" s="80" t="s">
        <v>364</v>
      </c>
      <c r="I5" s="80" t="s">
        <v>364</v>
      </c>
      <c r="J5" s="80" t="s">
        <v>364</v>
      </c>
      <c r="K5" s="80" t="s">
        <v>364</v>
      </c>
      <c r="L5" s="80">
        <v>15</v>
      </c>
      <c r="M5" s="80">
        <v>15</v>
      </c>
      <c r="N5" s="80">
        <v>15</v>
      </c>
      <c r="O5" s="80">
        <v>15</v>
      </c>
      <c r="P5" s="80">
        <v>15</v>
      </c>
      <c r="Q5">
        <v>15</v>
      </c>
      <c r="R5">
        <v>15</v>
      </c>
      <c r="S5">
        <v>15</v>
      </c>
      <c r="T5">
        <v>15</v>
      </c>
      <c r="U5">
        <v>15</v>
      </c>
      <c r="V5">
        <v>15</v>
      </c>
      <c r="W5">
        <v>15</v>
      </c>
      <c r="X5">
        <v>15</v>
      </c>
      <c r="Y5">
        <v>15</v>
      </c>
      <c r="Z5">
        <v>15</v>
      </c>
      <c r="AA5">
        <v>15</v>
      </c>
      <c r="AB5">
        <v>15</v>
      </c>
      <c r="AC5">
        <v>15</v>
      </c>
      <c r="AD5">
        <v>15</v>
      </c>
      <c r="AE5">
        <v>15</v>
      </c>
      <c r="AF5">
        <v>15</v>
      </c>
      <c r="AG5">
        <v>15</v>
      </c>
      <c r="AH5">
        <v>15</v>
      </c>
      <c r="AI5">
        <v>15</v>
      </c>
      <c r="AJ5">
        <v>15</v>
      </c>
      <c r="AK5">
        <v>15</v>
      </c>
      <c r="AL5">
        <v>15</v>
      </c>
      <c r="AM5">
        <v>15</v>
      </c>
      <c r="AN5">
        <v>20</v>
      </c>
      <c r="AO5">
        <v>15</v>
      </c>
      <c r="AP5">
        <v>15</v>
      </c>
      <c r="AQ5">
        <v>15</v>
      </c>
      <c r="AR5">
        <v>15</v>
      </c>
      <c r="AS5">
        <v>15</v>
      </c>
      <c r="AT5">
        <v>15</v>
      </c>
      <c r="AU5" t="s">
        <v>364</v>
      </c>
    </row>
    <row r="6" spans="1:47">
      <c r="A6" t="s">
        <v>173</v>
      </c>
      <c r="B6" t="s">
        <v>174</v>
      </c>
      <c r="C6" t="s">
        <v>228</v>
      </c>
      <c r="D6" t="s">
        <v>364</v>
      </c>
      <c r="E6" t="s">
        <v>248</v>
      </c>
      <c r="F6" t="s">
        <v>365</v>
      </c>
      <c r="G6" t="s">
        <v>366</v>
      </c>
      <c r="H6" s="80" t="s">
        <v>364</v>
      </c>
      <c r="I6" s="80" t="s">
        <v>364</v>
      </c>
      <c r="J6" s="80" t="s">
        <v>364</v>
      </c>
      <c r="K6" s="80" t="s">
        <v>364</v>
      </c>
      <c r="L6" s="80">
        <v>15</v>
      </c>
      <c r="M6" s="80">
        <v>15</v>
      </c>
      <c r="N6" s="80">
        <v>15</v>
      </c>
      <c r="O6" s="80">
        <v>15</v>
      </c>
      <c r="P6" s="80">
        <v>15</v>
      </c>
      <c r="Q6">
        <v>15</v>
      </c>
      <c r="R6">
        <v>15</v>
      </c>
      <c r="S6">
        <v>15</v>
      </c>
      <c r="T6">
        <v>15</v>
      </c>
      <c r="U6">
        <v>15</v>
      </c>
      <c r="V6">
        <v>15</v>
      </c>
      <c r="W6">
        <v>15</v>
      </c>
      <c r="X6">
        <v>15</v>
      </c>
      <c r="Y6">
        <v>15</v>
      </c>
      <c r="Z6">
        <v>15</v>
      </c>
      <c r="AA6">
        <v>15</v>
      </c>
      <c r="AB6">
        <v>15</v>
      </c>
      <c r="AC6">
        <v>15</v>
      </c>
      <c r="AD6">
        <v>15</v>
      </c>
      <c r="AE6">
        <v>15</v>
      </c>
      <c r="AF6">
        <v>15</v>
      </c>
      <c r="AG6">
        <v>15</v>
      </c>
      <c r="AH6">
        <v>15</v>
      </c>
      <c r="AI6">
        <v>15</v>
      </c>
      <c r="AJ6">
        <v>15</v>
      </c>
      <c r="AK6">
        <v>15</v>
      </c>
      <c r="AL6">
        <v>15</v>
      </c>
      <c r="AM6">
        <v>15</v>
      </c>
      <c r="AN6">
        <v>20</v>
      </c>
      <c r="AO6">
        <v>15</v>
      </c>
      <c r="AP6">
        <v>15</v>
      </c>
      <c r="AQ6">
        <v>15</v>
      </c>
      <c r="AR6">
        <v>15</v>
      </c>
      <c r="AS6">
        <v>15</v>
      </c>
      <c r="AT6">
        <v>15</v>
      </c>
      <c r="AU6" t="s">
        <v>364</v>
      </c>
    </row>
    <row r="7" spans="1:47">
      <c r="A7" t="s">
        <v>173</v>
      </c>
      <c r="B7" t="s">
        <v>174</v>
      </c>
      <c r="C7" t="s">
        <v>369</v>
      </c>
      <c r="D7" t="s">
        <v>364</v>
      </c>
      <c r="E7" t="s">
        <v>248</v>
      </c>
      <c r="F7" t="s">
        <v>365</v>
      </c>
      <c r="G7" t="s">
        <v>366</v>
      </c>
      <c r="H7" s="80" t="s">
        <v>364</v>
      </c>
      <c r="I7" s="80" t="s">
        <v>364</v>
      </c>
      <c r="J7" s="80" t="s">
        <v>364</v>
      </c>
      <c r="K7" s="80" t="s">
        <v>364</v>
      </c>
      <c r="L7" s="80">
        <v>35</v>
      </c>
      <c r="M7" s="80">
        <v>35</v>
      </c>
      <c r="N7" s="80">
        <v>35</v>
      </c>
      <c r="O7" s="80">
        <v>35</v>
      </c>
      <c r="P7" s="80">
        <v>35</v>
      </c>
      <c r="Q7">
        <v>35</v>
      </c>
      <c r="R7">
        <v>35</v>
      </c>
      <c r="S7">
        <v>35</v>
      </c>
      <c r="T7">
        <v>35</v>
      </c>
      <c r="U7">
        <v>35</v>
      </c>
      <c r="V7">
        <v>35</v>
      </c>
      <c r="W7">
        <v>35</v>
      </c>
      <c r="X7">
        <v>35</v>
      </c>
      <c r="Y7">
        <v>35</v>
      </c>
      <c r="Z7">
        <v>35</v>
      </c>
      <c r="AA7">
        <v>35</v>
      </c>
      <c r="AB7">
        <v>35</v>
      </c>
      <c r="AC7">
        <v>35</v>
      </c>
      <c r="AD7">
        <v>35</v>
      </c>
      <c r="AE7">
        <v>35</v>
      </c>
      <c r="AF7">
        <v>35</v>
      </c>
      <c r="AG7">
        <v>35</v>
      </c>
      <c r="AH7">
        <v>35</v>
      </c>
      <c r="AI7">
        <v>35</v>
      </c>
      <c r="AJ7">
        <v>35</v>
      </c>
      <c r="AK7">
        <v>35</v>
      </c>
      <c r="AL7">
        <v>35</v>
      </c>
      <c r="AM7">
        <v>35</v>
      </c>
      <c r="AN7">
        <v>35</v>
      </c>
      <c r="AO7">
        <v>35</v>
      </c>
      <c r="AP7">
        <v>35</v>
      </c>
      <c r="AQ7">
        <v>35</v>
      </c>
      <c r="AR7">
        <v>35</v>
      </c>
      <c r="AS7">
        <v>35</v>
      </c>
      <c r="AT7">
        <v>20</v>
      </c>
      <c r="AU7" t="s">
        <v>364</v>
      </c>
    </row>
    <row r="8" spans="1:47">
      <c r="A8" t="s">
        <v>173</v>
      </c>
      <c r="B8" t="s">
        <v>174</v>
      </c>
      <c r="C8" t="s">
        <v>229</v>
      </c>
      <c r="D8" t="s">
        <v>364</v>
      </c>
      <c r="E8" t="s">
        <v>248</v>
      </c>
      <c r="F8" t="s">
        <v>365</v>
      </c>
      <c r="G8" t="s">
        <v>366</v>
      </c>
      <c r="H8" s="80" t="s">
        <v>364</v>
      </c>
      <c r="I8" s="80" t="s">
        <v>364</v>
      </c>
      <c r="J8" s="80" t="s">
        <v>364</v>
      </c>
      <c r="K8" s="80" t="s">
        <v>364</v>
      </c>
      <c r="L8" s="80">
        <v>35</v>
      </c>
      <c r="M8" s="80">
        <v>35</v>
      </c>
      <c r="N8" s="80">
        <v>35</v>
      </c>
      <c r="O8" s="80">
        <v>35</v>
      </c>
      <c r="P8" s="80">
        <v>35</v>
      </c>
      <c r="Q8">
        <v>35</v>
      </c>
      <c r="R8">
        <v>35</v>
      </c>
      <c r="S8">
        <v>35</v>
      </c>
      <c r="T8">
        <v>35</v>
      </c>
      <c r="U8">
        <v>35</v>
      </c>
      <c r="V8">
        <v>35</v>
      </c>
      <c r="W8">
        <v>35</v>
      </c>
      <c r="X8">
        <v>35</v>
      </c>
      <c r="Y8">
        <v>35</v>
      </c>
      <c r="Z8">
        <v>35</v>
      </c>
      <c r="AA8">
        <v>35</v>
      </c>
      <c r="AB8">
        <v>35</v>
      </c>
      <c r="AC8">
        <v>35</v>
      </c>
      <c r="AD8">
        <v>35</v>
      </c>
      <c r="AE8">
        <v>35</v>
      </c>
      <c r="AF8">
        <v>35</v>
      </c>
      <c r="AG8">
        <v>35</v>
      </c>
      <c r="AH8">
        <v>35</v>
      </c>
      <c r="AI8">
        <v>35</v>
      </c>
      <c r="AJ8">
        <v>35</v>
      </c>
      <c r="AK8">
        <v>35</v>
      </c>
      <c r="AL8">
        <v>35</v>
      </c>
      <c r="AM8">
        <v>35</v>
      </c>
      <c r="AN8">
        <v>35</v>
      </c>
      <c r="AO8">
        <v>35</v>
      </c>
      <c r="AP8">
        <v>35</v>
      </c>
      <c r="AQ8">
        <v>35</v>
      </c>
      <c r="AR8">
        <v>35</v>
      </c>
      <c r="AS8">
        <v>35</v>
      </c>
      <c r="AT8">
        <v>20</v>
      </c>
      <c r="AU8" t="s">
        <v>364</v>
      </c>
    </row>
    <row r="9" spans="1:47">
      <c r="A9" t="s">
        <v>173</v>
      </c>
      <c r="B9" t="s">
        <v>174</v>
      </c>
      <c r="C9" t="s">
        <v>370</v>
      </c>
      <c r="D9" t="s">
        <v>364</v>
      </c>
      <c r="E9" t="s">
        <v>248</v>
      </c>
      <c r="F9" t="s">
        <v>365</v>
      </c>
      <c r="G9" t="s">
        <v>366</v>
      </c>
      <c r="H9" s="80" t="s">
        <v>364</v>
      </c>
      <c r="I9" s="80" t="s">
        <v>364</v>
      </c>
      <c r="J9" s="80" t="s">
        <v>364</v>
      </c>
      <c r="K9" s="80" t="s">
        <v>364</v>
      </c>
      <c r="L9" s="80">
        <v>35</v>
      </c>
      <c r="M9" s="80">
        <v>35</v>
      </c>
      <c r="N9" s="80">
        <v>35</v>
      </c>
      <c r="O9" s="80">
        <v>35</v>
      </c>
      <c r="P9" s="80">
        <v>35</v>
      </c>
      <c r="Q9">
        <v>35</v>
      </c>
      <c r="R9">
        <v>35</v>
      </c>
      <c r="S9">
        <v>35</v>
      </c>
      <c r="T9">
        <v>35</v>
      </c>
      <c r="U9">
        <v>35</v>
      </c>
      <c r="V9">
        <v>35</v>
      </c>
      <c r="W9">
        <v>35</v>
      </c>
      <c r="X9">
        <v>35</v>
      </c>
      <c r="Y9">
        <v>35</v>
      </c>
      <c r="Z9">
        <v>35</v>
      </c>
      <c r="AA9">
        <v>35</v>
      </c>
      <c r="AB9">
        <v>35</v>
      </c>
      <c r="AC9">
        <v>35</v>
      </c>
      <c r="AD9">
        <v>35</v>
      </c>
      <c r="AE9">
        <v>35</v>
      </c>
      <c r="AF9">
        <v>35</v>
      </c>
      <c r="AG9">
        <v>35</v>
      </c>
      <c r="AH9">
        <v>35</v>
      </c>
      <c r="AI9">
        <v>35</v>
      </c>
      <c r="AJ9">
        <v>35</v>
      </c>
      <c r="AK9">
        <v>35</v>
      </c>
      <c r="AL9">
        <v>35</v>
      </c>
      <c r="AM9">
        <v>35</v>
      </c>
      <c r="AN9">
        <v>35</v>
      </c>
      <c r="AO9">
        <v>35</v>
      </c>
      <c r="AP9">
        <v>35</v>
      </c>
      <c r="AQ9">
        <v>35</v>
      </c>
      <c r="AR9">
        <v>35</v>
      </c>
      <c r="AS9">
        <v>35</v>
      </c>
      <c r="AT9">
        <v>20</v>
      </c>
      <c r="AU9" t="s">
        <v>364</v>
      </c>
    </row>
    <row r="10" spans="1:47">
      <c r="A10" t="s">
        <v>173</v>
      </c>
      <c r="B10" t="s">
        <v>174</v>
      </c>
      <c r="C10" t="s">
        <v>371</v>
      </c>
      <c r="D10" t="s">
        <v>364</v>
      </c>
      <c r="E10" t="s">
        <v>248</v>
      </c>
      <c r="F10" t="s">
        <v>365</v>
      </c>
      <c r="G10" t="s">
        <v>366</v>
      </c>
      <c r="H10" s="80" t="s">
        <v>364</v>
      </c>
      <c r="I10" s="80" t="s">
        <v>364</v>
      </c>
      <c r="J10" s="80" t="s">
        <v>364</v>
      </c>
      <c r="K10" s="80" t="s">
        <v>364</v>
      </c>
      <c r="L10" s="80">
        <v>35</v>
      </c>
      <c r="M10" s="80">
        <v>35</v>
      </c>
      <c r="N10" s="80">
        <v>35</v>
      </c>
      <c r="O10" s="80">
        <v>35</v>
      </c>
      <c r="P10" s="80">
        <v>35</v>
      </c>
      <c r="Q10">
        <v>35</v>
      </c>
      <c r="R10">
        <v>35</v>
      </c>
      <c r="S10">
        <v>35</v>
      </c>
      <c r="T10">
        <v>35</v>
      </c>
      <c r="U10">
        <v>35</v>
      </c>
      <c r="V10">
        <v>35</v>
      </c>
      <c r="W10">
        <v>35</v>
      </c>
      <c r="X10">
        <v>35</v>
      </c>
      <c r="Y10">
        <v>35</v>
      </c>
      <c r="Z10">
        <v>35</v>
      </c>
      <c r="AA10">
        <v>35</v>
      </c>
      <c r="AB10">
        <v>35</v>
      </c>
      <c r="AC10">
        <v>35</v>
      </c>
      <c r="AD10">
        <v>35</v>
      </c>
      <c r="AE10">
        <v>35</v>
      </c>
      <c r="AF10">
        <v>35</v>
      </c>
      <c r="AG10">
        <v>35</v>
      </c>
      <c r="AH10">
        <v>35</v>
      </c>
      <c r="AI10">
        <v>35</v>
      </c>
      <c r="AJ10">
        <v>35</v>
      </c>
      <c r="AK10">
        <v>35</v>
      </c>
      <c r="AL10">
        <v>35</v>
      </c>
      <c r="AM10">
        <v>35</v>
      </c>
      <c r="AN10">
        <v>35</v>
      </c>
      <c r="AO10">
        <v>35</v>
      </c>
      <c r="AP10">
        <v>35</v>
      </c>
      <c r="AQ10">
        <v>35</v>
      </c>
      <c r="AR10">
        <v>35</v>
      </c>
      <c r="AS10">
        <v>35</v>
      </c>
      <c r="AT10">
        <v>20</v>
      </c>
      <c r="AU10" t="s">
        <v>364</v>
      </c>
    </row>
    <row r="11" spans="1:47">
      <c r="A11" t="s">
        <v>173</v>
      </c>
      <c r="B11" t="s">
        <v>174</v>
      </c>
      <c r="C11" t="s">
        <v>372</v>
      </c>
      <c r="D11" t="s">
        <v>364</v>
      </c>
      <c r="E11" t="s">
        <v>248</v>
      </c>
      <c r="F11" t="s">
        <v>365</v>
      </c>
      <c r="G11" t="s">
        <v>366</v>
      </c>
      <c r="H11" s="80" t="s">
        <v>364</v>
      </c>
      <c r="I11" s="80" t="s">
        <v>364</v>
      </c>
      <c r="J11" s="80" t="s">
        <v>364</v>
      </c>
      <c r="K11" s="80" t="s">
        <v>364</v>
      </c>
      <c r="L11" s="80">
        <v>35</v>
      </c>
      <c r="M11" s="80">
        <v>35</v>
      </c>
      <c r="N11" s="80">
        <v>35</v>
      </c>
      <c r="O11" s="80">
        <v>35</v>
      </c>
      <c r="P11" s="80">
        <v>35</v>
      </c>
      <c r="Q11">
        <v>35</v>
      </c>
      <c r="R11">
        <v>35</v>
      </c>
      <c r="S11">
        <v>35</v>
      </c>
      <c r="T11">
        <v>35</v>
      </c>
      <c r="U11">
        <v>35</v>
      </c>
      <c r="V11">
        <v>35</v>
      </c>
      <c r="W11">
        <v>35</v>
      </c>
      <c r="X11">
        <v>35</v>
      </c>
      <c r="Y11">
        <v>35</v>
      </c>
      <c r="Z11">
        <v>35</v>
      </c>
      <c r="AA11">
        <v>35</v>
      </c>
      <c r="AB11">
        <v>35</v>
      </c>
      <c r="AC11">
        <v>35</v>
      </c>
      <c r="AD11">
        <v>35</v>
      </c>
      <c r="AE11">
        <v>35</v>
      </c>
      <c r="AF11">
        <v>35</v>
      </c>
      <c r="AG11">
        <v>35</v>
      </c>
      <c r="AH11">
        <v>35</v>
      </c>
      <c r="AI11">
        <v>35</v>
      </c>
      <c r="AJ11">
        <v>35</v>
      </c>
      <c r="AK11">
        <v>35</v>
      </c>
      <c r="AL11">
        <v>35</v>
      </c>
      <c r="AM11">
        <v>35</v>
      </c>
      <c r="AN11">
        <v>35</v>
      </c>
      <c r="AO11">
        <v>35</v>
      </c>
      <c r="AP11">
        <v>35</v>
      </c>
      <c r="AQ11">
        <v>35</v>
      </c>
      <c r="AR11">
        <v>35</v>
      </c>
      <c r="AS11">
        <v>35</v>
      </c>
      <c r="AT11">
        <v>20</v>
      </c>
      <c r="AU11" t="s">
        <v>364</v>
      </c>
    </row>
    <row r="12" spans="1:47">
      <c r="A12" t="s">
        <v>173</v>
      </c>
      <c r="B12" t="s">
        <v>174</v>
      </c>
      <c r="C12" t="s">
        <v>373</v>
      </c>
      <c r="D12" t="s">
        <v>364</v>
      </c>
      <c r="E12" t="s">
        <v>248</v>
      </c>
      <c r="F12" t="s">
        <v>365</v>
      </c>
      <c r="G12" t="s">
        <v>366</v>
      </c>
      <c r="H12" s="80" t="s">
        <v>364</v>
      </c>
      <c r="I12" s="80" t="s">
        <v>364</v>
      </c>
      <c r="J12" s="80" t="s">
        <v>364</v>
      </c>
      <c r="K12" s="80" t="s">
        <v>364</v>
      </c>
      <c r="L12" s="80">
        <v>35</v>
      </c>
      <c r="M12" s="80">
        <v>35</v>
      </c>
      <c r="N12" s="80">
        <v>35</v>
      </c>
      <c r="O12" s="80">
        <v>35</v>
      </c>
      <c r="P12" s="80">
        <v>35</v>
      </c>
      <c r="Q12">
        <v>35</v>
      </c>
      <c r="R12">
        <v>35</v>
      </c>
      <c r="S12">
        <v>35</v>
      </c>
      <c r="T12">
        <v>35</v>
      </c>
      <c r="U12">
        <v>35</v>
      </c>
      <c r="V12">
        <v>35</v>
      </c>
      <c r="W12">
        <v>35</v>
      </c>
      <c r="X12">
        <v>35</v>
      </c>
      <c r="Y12">
        <v>35</v>
      </c>
      <c r="Z12">
        <v>35</v>
      </c>
      <c r="AA12">
        <v>35</v>
      </c>
      <c r="AB12">
        <v>35</v>
      </c>
      <c r="AC12">
        <v>35</v>
      </c>
      <c r="AD12">
        <v>35</v>
      </c>
      <c r="AE12">
        <v>35</v>
      </c>
      <c r="AF12">
        <v>35</v>
      </c>
      <c r="AG12">
        <v>35</v>
      </c>
      <c r="AH12">
        <v>35</v>
      </c>
      <c r="AI12">
        <v>35</v>
      </c>
      <c r="AJ12">
        <v>35</v>
      </c>
      <c r="AK12">
        <v>35</v>
      </c>
      <c r="AL12">
        <v>35</v>
      </c>
      <c r="AM12">
        <v>35</v>
      </c>
      <c r="AN12">
        <v>35</v>
      </c>
      <c r="AO12">
        <v>35</v>
      </c>
      <c r="AP12">
        <v>35</v>
      </c>
      <c r="AQ12">
        <v>35</v>
      </c>
      <c r="AR12">
        <v>35</v>
      </c>
      <c r="AS12">
        <v>35</v>
      </c>
      <c r="AT12">
        <v>20</v>
      </c>
      <c r="AU12" t="s">
        <v>364</v>
      </c>
    </row>
    <row r="13" spans="1:47">
      <c r="A13" t="s">
        <v>173</v>
      </c>
      <c r="B13" t="s">
        <v>174</v>
      </c>
      <c r="C13" t="s">
        <v>374</v>
      </c>
      <c r="D13" t="s">
        <v>364</v>
      </c>
      <c r="E13" t="s">
        <v>248</v>
      </c>
      <c r="F13" t="s">
        <v>365</v>
      </c>
      <c r="G13" t="s">
        <v>366</v>
      </c>
      <c r="H13" s="80" t="s">
        <v>364</v>
      </c>
      <c r="I13" s="80" t="s">
        <v>364</v>
      </c>
      <c r="J13" s="80" t="s">
        <v>364</v>
      </c>
      <c r="K13" s="80" t="s">
        <v>364</v>
      </c>
      <c r="L13" s="80">
        <v>35</v>
      </c>
      <c r="M13" s="80">
        <v>35</v>
      </c>
      <c r="N13" s="80">
        <v>35</v>
      </c>
      <c r="O13" s="80">
        <v>35</v>
      </c>
      <c r="P13" s="80">
        <v>35</v>
      </c>
      <c r="Q13">
        <v>35</v>
      </c>
      <c r="R13">
        <v>35</v>
      </c>
      <c r="S13">
        <v>35</v>
      </c>
      <c r="T13">
        <v>35</v>
      </c>
      <c r="U13">
        <v>35</v>
      </c>
      <c r="V13">
        <v>35</v>
      </c>
      <c r="W13">
        <v>35</v>
      </c>
      <c r="X13">
        <v>35</v>
      </c>
      <c r="Y13">
        <v>35</v>
      </c>
      <c r="Z13">
        <v>35</v>
      </c>
      <c r="AA13">
        <v>35</v>
      </c>
      <c r="AB13">
        <v>35</v>
      </c>
      <c r="AC13">
        <v>35</v>
      </c>
      <c r="AD13">
        <v>35</v>
      </c>
      <c r="AE13">
        <v>35</v>
      </c>
      <c r="AF13">
        <v>35</v>
      </c>
      <c r="AG13">
        <v>35</v>
      </c>
      <c r="AH13">
        <v>35</v>
      </c>
      <c r="AI13">
        <v>35</v>
      </c>
      <c r="AJ13">
        <v>35</v>
      </c>
      <c r="AK13">
        <v>35</v>
      </c>
      <c r="AL13">
        <v>35</v>
      </c>
      <c r="AM13">
        <v>35</v>
      </c>
      <c r="AN13">
        <v>35</v>
      </c>
      <c r="AO13">
        <v>35</v>
      </c>
      <c r="AP13">
        <v>35</v>
      </c>
      <c r="AQ13">
        <v>35</v>
      </c>
      <c r="AR13">
        <v>35</v>
      </c>
      <c r="AS13">
        <v>35</v>
      </c>
      <c r="AT13">
        <v>20</v>
      </c>
      <c r="AU13" t="s">
        <v>364</v>
      </c>
    </row>
    <row r="14" spans="1:47">
      <c r="A14" t="s">
        <v>173</v>
      </c>
      <c r="B14" t="s">
        <v>174</v>
      </c>
      <c r="C14" t="s">
        <v>375</v>
      </c>
      <c r="D14" t="s">
        <v>364</v>
      </c>
      <c r="E14" t="s">
        <v>248</v>
      </c>
      <c r="F14" t="s">
        <v>365</v>
      </c>
      <c r="G14" t="s">
        <v>366</v>
      </c>
      <c r="H14" s="80" t="s">
        <v>364</v>
      </c>
      <c r="I14" s="80" t="s">
        <v>364</v>
      </c>
      <c r="J14" s="80" t="s">
        <v>364</v>
      </c>
      <c r="K14" s="80" t="s">
        <v>364</v>
      </c>
      <c r="L14" s="80">
        <v>12</v>
      </c>
      <c r="M14" s="80">
        <v>12</v>
      </c>
      <c r="N14" s="80">
        <v>12</v>
      </c>
      <c r="O14" s="80">
        <v>12</v>
      </c>
      <c r="P14" s="80">
        <v>12</v>
      </c>
      <c r="Q14">
        <v>12</v>
      </c>
      <c r="R14">
        <v>12</v>
      </c>
      <c r="S14">
        <v>8</v>
      </c>
      <c r="T14">
        <v>12</v>
      </c>
      <c r="U14">
        <v>12</v>
      </c>
      <c r="V14">
        <v>12</v>
      </c>
      <c r="W14">
        <v>12</v>
      </c>
      <c r="X14">
        <v>12</v>
      </c>
      <c r="Y14">
        <v>12</v>
      </c>
      <c r="Z14">
        <v>12</v>
      </c>
      <c r="AA14">
        <v>12</v>
      </c>
      <c r="AB14">
        <v>12</v>
      </c>
      <c r="AC14">
        <v>12</v>
      </c>
      <c r="AD14">
        <v>12</v>
      </c>
      <c r="AE14">
        <v>12</v>
      </c>
      <c r="AF14">
        <v>12</v>
      </c>
      <c r="AG14">
        <v>18</v>
      </c>
      <c r="AH14">
        <v>12</v>
      </c>
      <c r="AI14">
        <v>12</v>
      </c>
      <c r="AJ14">
        <v>12</v>
      </c>
      <c r="AK14">
        <v>12</v>
      </c>
      <c r="AL14">
        <v>12</v>
      </c>
      <c r="AM14">
        <v>12</v>
      </c>
      <c r="AN14">
        <v>12</v>
      </c>
      <c r="AO14">
        <v>12</v>
      </c>
      <c r="AP14">
        <v>12</v>
      </c>
      <c r="AQ14">
        <v>12</v>
      </c>
      <c r="AR14">
        <v>12</v>
      </c>
      <c r="AS14">
        <v>12</v>
      </c>
      <c r="AT14">
        <v>12</v>
      </c>
      <c r="AU14" t="s">
        <v>364</v>
      </c>
    </row>
    <row r="15" spans="1:47">
      <c r="A15" t="s">
        <v>173</v>
      </c>
      <c r="B15" t="s">
        <v>174</v>
      </c>
      <c r="C15" t="s">
        <v>376</v>
      </c>
      <c r="D15" t="s">
        <v>364</v>
      </c>
      <c r="E15" t="s">
        <v>248</v>
      </c>
      <c r="F15" t="s">
        <v>365</v>
      </c>
      <c r="G15" t="s">
        <v>366</v>
      </c>
      <c r="H15" s="80" t="s">
        <v>364</v>
      </c>
      <c r="I15" s="80" t="s">
        <v>364</v>
      </c>
      <c r="J15" s="80" t="s">
        <v>364</v>
      </c>
      <c r="K15" s="80" t="s">
        <v>364</v>
      </c>
      <c r="L15" s="80">
        <v>12</v>
      </c>
      <c r="M15" s="80">
        <v>12</v>
      </c>
      <c r="N15" s="80">
        <v>12</v>
      </c>
      <c r="O15" s="80">
        <v>12</v>
      </c>
      <c r="P15" s="80">
        <v>12</v>
      </c>
      <c r="Q15">
        <v>12</v>
      </c>
      <c r="R15">
        <v>12</v>
      </c>
      <c r="S15">
        <v>8</v>
      </c>
      <c r="T15">
        <v>12</v>
      </c>
      <c r="U15">
        <v>12</v>
      </c>
      <c r="V15">
        <v>12</v>
      </c>
      <c r="W15">
        <v>12</v>
      </c>
      <c r="X15">
        <v>12</v>
      </c>
      <c r="Y15">
        <v>12</v>
      </c>
      <c r="Z15">
        <v>12</v>
      </c>
      <c r="AA15">
        <v>12</v>
      </c>
      <c r="AB15">
        <v>12</v>
      </c>
      <c r="AC15">
        <v>12</v>
      </c>
      <c r="AD15">
        <v>12</v>
      </c>
      <c r="AE15">
        <v>12</v>
      </c>
      <c r="AF15">
        <v>12</v>
      </c>
      <c r="AG15">
        <v>18</v>
      </c>
      <c r="AH15">
        <v>12</v>
      </c>
      <c r="AI15">
        <v>12</v>
      </c>
      <c r="AJ15">
        <v>12</v>
      </c>
      <c r="AK15">
        <v>12</v>
      </c>
      <c r="AL15">
        <v>12</v>
      </c>
      <c r="AM15">
        <v>12</v>
      </c>
      <c r="AN15">
        <v>12</v>
      </c>
      <c r="AO15">
        <v>12</v>
      </c>
      <c r="AP15">
        <v>12</v>
      </c>
      <c r="AQ15">
        <v>12</v>
      </c>
      <c r="AR15">
        <v>12</v>
      </c>
      <c r="AS15">
        <v>12</v>
      </c>
      <c r="AT15">
        <v>12</v>
      </c>
      <c r="AU15" t="s">
        <v>364</v>
      </c>
    </row>
    <row r="16" spans="1:47">
      <c r="A16" t="s">
        <v>173</v>
      </c>
      <c r="B16" t="s">
        <v>174</v>
      </c>
      <c r="C16" t="s">
        <v>377</v>
      </c>
      <c r="D16" t="s">
        <v>364</v>
      </c>
      <c r="E16" t="s">
        <v>248</v>
      </c>
      <c r="F16" t="s">
        <v>365</v>
      </c>
      <c r="G16" t="s">
        <v>366</v>
      </c>
      <c r="H16" s="80" t="s">
        <v>364</v>
      </c>
      <c r="I16" s="80" t="s">
        <v>364</v>
      </c>
      <c r="J16" s="80" t="s">
        <v>364</v>
      </c>
      <c r="K16" s="80" t="s">
        <v>364</v>
      </c>
      <c r="L16" s="80">
        <v>12</v>
      </c>
      <c r="M16" s="80">
        <v>12</v>
      </c>
      <c r="N16" s="80">
        <v>12</v>
      </c>
      <c r="O16" s="80">
        <v>12</v>
      </c>
      <c r="P16" s="80">
        <v>12</v>
      </c>
      <c r="Q16">
        <v>12</v>
      </c>
      <c r="R16">
        <v>12</v>
      </c>
      <c r="S16">
        <v>8</v>
      </c>
      <c r="T16">
        <v>12</v>
      </c>
      <c r="U16">
        <v>12</v>
      </c>
      <c r="V16">
        <v>12</v>
      </c>
      <c r="W16">
        <v>12</v>
      </c>
      <c r="X16">
        <v>12</v>
      </c>
      <c r="Y16">
        <v>12</v>
      </c>
      <c r="Z16">
        <v>12</v>
      </c>
      <c r="AA16">
        <v>12</v>
      </c>
      <c r="AB16">
        <v>12</v>
      </c>
      <c r="AC16">
        <v>12</v>
      </c>
      <c r="AD16">
        <v>12</v>
      </c>
      <c r="AE16">
        <v>12</v>
      </c>
      <c r="AF16">
        <v>12</v>
      </c>
      <c r="AG16">
        <v>18</v>
      </c>
      <c r="AH16">
        <v>12</v>
      </c>
      <c r="AI16">
        <v>12</v>
      </c>
      <c r="AJ16">
        <v>12</v>
      </c>
      <c r="AK16">
        <v>12</v>
      </c>
      <c r="AL16">
        <v>12</v>
      </c>
      <c r="AM16">
        <v>12</v>
      </c>
      <c r="AN16">
        <v>12</v>
      </c>
      <c r="AO16">
        <v>12</v>
      </c>
      <c r="AP16">
        <v>12</v>
      </c>
      <c r="AQ16">
        <v>12</v>
      </c>
      <c r="AR16">
        <v>12</v>
      </c>
      <c r="AS16">
        <v>12</v>
      </c>
      <c r="AT16">
        <v>12</v>
      </c>
      <c r="AU16" t="s">
        <v>364</v>
      </c>
    </row>
    <row r="17" spans="1:47">
      <c r="A17" t="s">
        <v>173</v>
      </c>
      <c r="B17" t="s">
        <v>174</v>
      </c>
      <c r="C17" t="s">
        <v>378</v>
      </c>
      <c r="D17" t="s">
        <v>364</v>
      </c>
      <c r="E17" t="s">
        <v>248</v>
      </c>
      <c r="F17" t="s">
        <v>365</v>
      </c>
      <c r="G17" t="s">
        <v>366</v>
      </c>
      <c r="H17" s="80" t="s">
        <v>364</v>
      </c>
      <c r="I17" s="80" t="s">
        <v>364</v>
      </c>
      <c r="J17" s="80" t="s">
        <v>364</v>
      </c>
      <c r="K17" s="80" t="s">
        <v>364</v>
      </c>
      <c r="L17" s="80">
        <v>12</v>
      </c>
      <c r="M17" s="80">
        <v>12</v>
      </c>
      <c r="N17" s="80">
        <v>12</v>
      </c>
      <c r="O17" s="80">
        <v>12</v>
      </c>
      <c r="P17" s="80">
        <v>12</v>
      </c>
      <c r="Q17">
        <v>12</v>
      </c>
      <c r="R17">
        <v>12</v>
      </c>
      <c r="S17">
        <v>8</v>
      </c>
      <c r="T17">
        <v>12</v>
      </c>
      <c r="U17">
        <v>12</v>
      </c>
      <c r="V17">
        <v>12</v>
      </c>
      <c r="W17">
        <v>12</v>
      </c>
      <c r="X17">
        <v>12</v>
      </c>
      <c r="Y17">
        <v>12</v>
      </c>
      <c r="Z17">
        <v>12</v>
      </c>
      <c r="AA17">
        <v>12</v>
      </c>
      <c r="AB17">
        <v>12</v>
      </c>
      <c r="AC17">
        <v>12</v>
      </c>
      <c r="AD17">
        <v>12</v>
      </c>
      <c r="AE17">
        <v>12</v>
      </c>
      <c r="AF17">
        <v>12</v>
      </c>
      <c r="AG17">
        <v>18</v>
      </c>
      <c r="AH17">
        <v>12</v>
      </c>
      <c r="AI17">
        <v>12</v>
      </c>
      <c r="AJ17">
        <v>12</v>
      </c>
      <c r="AK17">
        <v>12</v>
      </c>
      <c r="AL17">
        <v>12</v>
      </c>
      <c r="AM17">
        <v>12</v>
      </c>
      <c r="AN17">
        <v>12</v>
      </c>
      <c r="AO17">
        <v>12</v>
      </c>
      <c r="AP17">
        <v>12</v>
      </c>
      <c r="AQ17">
        <v>12</v>
      </c>
      <c r="AR17">
        <v>12</v>
      </c>
      <c r="AS17">
        <v>12</v>
      </c>
      <c r="AT17">
        <v>12</v>
      </c>
      <c r="AU17" t="s">
        <v>364</v>
      </c>
    </row>
    <row r="18" spans="1:47">
      <c r="A18" t="s">
        <v>173</v>
      </c>
      <c r="B18" t="s">
        <v>174</v>
      </c>
      <c r="C18" t="s">
        <v>230</v>
      </c>
      <c r="D18" t="s">
        <v>364</v>
      </c>
      <c r="E18" t="s">
        <v>248</v>
      </c>
      <c r="F18" t="s">
        <v>365</v>
      </c>
      <c r="G18" t="s">
        <v>366</v>
      </c>
      <c r="H18" s="80" t="s">
        <v>364</v>
      </c>
      <c r="I18" s="80" t="s">
        <v>364</v>
      </c>
      <c r="J18" s="80" t="s">
        <v>364</v>
      </c>
      <c r="K18" s="80" t="s">
        <v>364</v>
      </c>
      <c r="L18" s="80">
        <v>12</v>
      </c>
      <c r="M18" s="80">
        <v>12</v>
      </c>
      <c r="N18" s="80">
        <v>12</v>
      </c>
      <c r="O18" s="80">
        <v>12</v>
      </c>
      <c r="P18" s="80">
        <v>12</v>
      </c>
      <c r="Q18">
        <v>12</v>
      </c>
      <c r="R18">
        <v>12</v>
      </c>
      <c r="S18">
        <v>8</v>
      </c>
      <c r="T18">
        <v>12</v>
      </c>
      <c r="U18">
        <v>12</v>
      </c>
      <c r="V18">
        <v>12</v>
      </c>
      <c r="W18">
        <v>12</v>
      </c>
      <c r="X18">
        <v>12</v>
      </c>
      <c r="Y18">
        <v>12</v>
      </c>
      <c r="Z18">
        <v>12</v>
      </c>
      <c r="AA18">
        <v>12</v>
      </c>
      <c r="AB18">
        <v>12</v>
      </c>
      <c r="AC18">
        <v>12</v>
      </c>
      <c r="AD18">
        <v>12</v>
      </c>
      <c r="AE18">
        <v>12</v>
      </c>
      <c r="AF18">
        <v>12</v>
      </c>
      <c r="AG18">
        <v>18</v>
      </c>
      <c r="AH18">
        <v>12</v>
      </c>
      <c r="AI18">
        <v>12</v>
      </c>
      <c r="AJ18">
        <v>12</v>
      </c>
      <c r="AK18">
        <v>12</v>
      </c>
      <c r="AL18">
        <v>12</v>
      </c>
      <c r="AM18">
        <v>12</v>
      </c>
      <c r="AN18">
        <v>12</v>
      </c>
      <c r="AO18">
        <v>12</v>
      </c>
      <c r="AP18">
        <v>12</v>
      </c>
      <c r="AQ18">
        <v>12</v>
      </c>
      <c r="AR18">
        <v>12</v>
      </c>
      <c r="AS18">
        <v>12</v>
      </c>
      <c r="AT18">
        <v>12</v>
      </c>
      <c r="AU18" t="s">
        <v>364</v>
      </c>
    </row>
    <row r="19" spans="1:47">
      <c r="A19" t="s">
        <v>173</v>
      </c>
      <c r="B19" t="s">
        <v>174</v>
      </c>
      <c r="C19" t="s">
        <v>379</v>
      </c>
      <c r="D19" t="s">
        <v>364</v>
      </c>
      <c r="E19" t="s">
        <v>248</v>
      </c>
      <c r="F19" t="s">
        <v>365</v>
      </c>
      <c r="G19" t="s">
        <v>366</v>
      </c>
      <c r="H19" s="80" t="s">
        <v>364</v>
      </c>
      <c r="I19" s="80" t="s">
        <v>364</v>
      </c>
      <c r="J19" s="80" t="s">
        <v>364</v>
      </c>
      <c r="K19" s="80" t="s">
        <v>364</v>
      </c>
      <c r="L19" s="80">
        <v>12</v>
      </c>
      <c r="M19" s="80">
        <v>12</v>
      </c>
      <c r="N19" s="80">
        <v>12</v>
      </c>
      <c r="O19" s="80">
        <v>12</v>
      </c>
      <c r="P19" s="80">
        <v>12</v>
      </c>
      <c r="Q19">
        <v>12</v>
      </c>
      <c r="R19">
        <v>12</v>
      </c>
      <c r="S19">
        <v>8</v>
      </c>
      <c r="T19">
        <v>12</v>
      </c>
      <c r="U19">
        <v>12</v>
      </c>
      <c r="V19">
        <v>12</v>
      </c>
      <c r="W19">
        <v>12</v>
      </c>
      <c r="X19">
        <v>12</v>
      </c>
      <c r="Y19">
        <v>12</v>
      </c>
      <c r="Z19">
        <v>12</v>
      </c>
      <c r="AA19">
        <v>12</v>
      </c>
      <c r="AB19">
        <v>12</v>
      </c>
      <c r="AC19">
        <v>12</v>
      </c>
      <c r="AD19">
        <v>12</v>
      </c>
      <c r="AE19">
        <v>12</v>
      </c>
      <c r="AF19">
        <v>12</v>
      </c>
      <c r="AG19">
        <v>18</v>
      </c>
      <c r="AH19">
        <v>12</v>
      </c>
      <c r="AI19">
        <v>12</v>
      </c>
      <c r="AJ19">
        <v>12</v>
      </c>
      <c r="AK19">
        <v>12</v>
      </c>
      <c r="AL19">
        <v>12</v>
      </c>
      <c r="AM19">
        <v>12</v>
      </c>
      <c r="AN19">
        <v>12</v>
      </c>
      <c r="AO19">
        <v>12</v>
      </c>
      <c r="AP19">
        <v>12</v>
      </c>
      <c r="AQ19">
        <v>12</v>
      </c>
      <c r="AR19">
        <v>12</v>
      </c>
      <c r="AS19">
        <v>12</v>
      </c>
      <c r="AT19">
        <v>12</v>
      </c>
      <c r="AU19" t="s">
        <v>364</v>
      </c>
    </row>
    <row r="20" spans="1:47">
      <c r="A20" t="s">
        <v>173</v>
      </c>
      <c r="B20" t="s">
        <v>174</v>
      </c>
      <c r="C20" t="s">
        <v>380</v>
      </c>
      <c r="D20" t="s">
        <v>364</v>
      </c>
      <c r="E20" t="s">
        <v>248</v>
      </c>
      <c r="F20" t="s">
        <v>365</v>
      </c>
      <c r="G20" t="s">
        <v>366</v>
      </c>
      <c r="H20" s="80" t="s">
        <v>364</v>
      </c>
      <c r="I20" s="80" t="s">
        <v>364</v>
      </c>
      <c r="J20" s="80" t="s">
        <v>364</v>
      </c>
      <c r="K20" s="80" t="s">
        <v>364</v>
      </c>
      <c r="L20" s="80">
        <v>12</v>
      </c>
      <c r="M20" s="80">
        <v>12</v>
      </c>
      <c r="N20" s="80">
        <v>12</v>
      </c>
      <c r="O20" s="80">
        <v>12</v>
      </c>
      <c r="P20" s="80">
        <v>12</v>
      </c>
      <c r="Q20">
        <v>12</v>
      </c>
      <c r="R20">
        <v>12</v>
      </c>
      <c r="S20">
        <v>8</v>
      </c>
      <c r="T20">
        <v>12</v>
      </c>
      <c r="U20">
        <v>12</v>
      </c>
      <c r="V20">
        <v>12</v>
      </c>
      <c r="W20">
        <v>12</v>
      </c>
      <c r="X20">
        <v>12</v>
      </c>
      <c r="Y20">
        <v>12</v>
      </c>
      <c r="Z20">
        <v>12</v>
      </c>
      <c r="AA20">
        <v>12</v>
      </c>
      <c r="AB20">
        <v>12</v>
      </c>
      <c r="AC20">
        <v>12</v>
      </c>
      <c r="AD20">
        <v>12</v>
      </c>
      <c r="AE20">
        <v>12</v>
      </c>
      <c r="AF20">
        <v>12</v>
      </c>
      <c r="AG20">
        <v>18</v>
      </c>
      <c r="AH20">
        <v>12</v>
      </c>
      <c r="AI20">
        <v>12</v>
      </c>
      <c r="AJ20">
        <v>12</v>
      </c>
      <c r="AK20">
        <v>12</v>
      </c>
      <c r="AL20">
        <v>12</v>
      </c>
      <c r="AM20">
        <v>12</v>
      </c>
      <c r="AN20">
        <v>12</v>
      </c>
      <c r="AO20">
        <v>12</v>
      </c>
      <c r="AP20">
        <v>12</v>
      </c>
      <c r="AQ20">
        <v>12</v>
      </c>
      <c r="AR20">
        <v>12</v>
      </c>
      <c r="AS20">
        <v>12</v>
      </c>
      <c r="AT20">
        <v>12</v>
      </c>
      <c r="AU20" t="s">
        <v>364</v>
      </c>
    </row>
    <row r="21" spans="1:47">
      <c r="A21" t="s">
        <v>173</v>
      </c>
      <c r="B21" t="s">
        <v>174</v>
      </c>
      <c r="C21" t="s">
        <v>381</v>
      </c>
      <c r="D21" t="s">
        <v>364</v>
      </c>
      <c r="E21" t="s">
        <v>248</v>
      </c>
      <c r="F21" t="s">
        <v>365</v>
      </c>
      <c r="G21" t="s">
        <v>366</v>
      </c>
      <c r="H21" s="80" t="s">
        <v>364</v>
      </c>
      <c r="I21" s="80" t="s">
        <v>364</v>
      </c>
      <c r="J21" s="80" t="s">
        <v>364</v>
      </c>
      <c r="K21" s="80" t="s">
        <v>364</v>
      </c>
      <c r="L21" s="80">
        <v>100</v>
      </c>
      <c r="M21" s="80">
        <v>100</v>
      </c>
      <c r="N21" s="80">
        <v>100</v>
      </c>
      <c r="O21" s="80">
        <v>100</v>
      </c>
      <c r="P21" s="80">
        <v>100</v>
      </c>
      <c r="Q21">
        <v>100</v>
      </c>
      <c r="R21">
        <v>100</v>
      </c>
      <c r="S21">
        <v>100</v>
      </c>
      <c r="T21">
        <v>100</v>
      </c>
      <c r="U21">
        <v>100</v>
      </c>
      <c r="V21">
        <v>100</v>
      </c>
      <c r="W21">
        <v>100</v>
      </c>
      <c r="X21">
        <v>100</v>
      </c>
      <c r="Y21">
        <v>100</v>
      </c>
      <c r="Z21">
        <v>100</v>
      </c>
      <c r="AA21">
        <v>100</v>
      </c>
      <c r="AB21">
        <v>100</v>
      </c>
      <c r="AC21">
        <v>100</v>
      </c>
      <c r="AD21">
        <v>100</v>
      </c>
      <c r="AE21">
        <v>100</v>
      </c>
      <c r="AF21">
        <v>100</v>
      </c>
      <c r="AG21">
        <v>100</v>
      </c>
      <c r="AH21">
        <v>100</v>
      </c>
      <c r="AI21">
        <v>100</v>
      </c>
      <c r="AJ21">
        <v>100</v>
      </c>
      <c r="AK21">
        <v>100</v>
      </c>
      <c r="AL21">
        <v>100</v>
      </c>
      <c r="AM21">
        <v>100</v>
      </c>
      <c r="AN21">
        <v>35</v>
      </c>
      <c r="AO21">
        <v>100</v>
      </c>
      <c r="AP21">
        <v>100</v>
      </c>
      <c r="AQ21">
        <v>100</v>
      </c>
      <c r="AR21">
        <v>100</v>
      </c>
      <c r="AS21">
        <v>100</v>
      </c>
      <c r="AT21">
        <v>35</v>
      </c>
      <c r="AU21" t="s">
        <v>364</v>
      </c>
    </row>
    <row r="22" spans="1:47">
      <c r="A22" t="s">
        <v>173</v>
      </c>
      <c r="B22" t="s">
        <v>174</v>
      </c>
      <c r="C22" t="s">
        <v>231</v>
      </c>
      <c r="D22" t="s">
        <v>364</v>
      </c>
      <c r="E22" t="s">
        <v>248</v>
      </c>
      <c r="F22" t="s">
        <v>365</v>
      </c>
      <c r="G22" t="s">
        <v>366</v>
      </c>
      <c r="H22" s="80" t="s">
        <v>364</v>
      </c>
      <c r="I22" s="80" t="s">
        <v>364</v>
      </c>
      <c r="J22" s="80" t="s">
        <v>364</v>
      </c>
      <c r="K22" s="80" t="s">
        <v>364</v>
      </c>
      <c r="L22" s="80">
        <v>100</v>
      </c>
      <c r="M22" s="80">
        <v>100</v>
      </c>
      <c r="N22" s="80">
        <v>100</v>
      </c>
      <c r="O22" s="80">
        <v>100</v>
      </c>
      <c r="P22" s="80">
        <v>100</v>
      </c>
      <c r="Q22">
        <v>100</v>
      </c>
      <c r="R22">
        <v>100</v>
      </c>
      <c r="S22">
        <v>100</v>
      </c>
      <c r="T22">
        <v>100</v>
      </c>
      <c r="U22">
        <v>100</v>
      </c>
      <c r="V22">
        <v>100</v>
      </c>
      <c r="W22">
        <v>100</v>
      </c>
      <c r="X22">
        <v>100</v>
      </c>
      <c r="Y22">
        <v>100</v>
      </c>
      <c r="Z22">
        <v>100</v>
      </c>
      <c r="AA22">
        <v>100</v>
      </c>
      <c r="AB22">
        <v>100</v>
      </c>
      <c r="AC22">
        <v>100</v>
      </c>
      <c r="AD22">
        <v>100</v>
      </c>
      <c r="AE22">
        <v>100</v>
      </c>
      <c r="AF22">
        <v>100</v>
      </c>
      <c r="AG22">
        <v>100</v>
      </c>
      <c r="AH22">
        <v>100</v>
      </c>
      <c r="AI22">
        <v>100</v>
      </c>
      <c r="AJ22">
        <v>100</v>
      </c>
      <c r="AK22">
        <v>100</v>
      </c>
      <c r="AL22">
        <v>100</v>
      </c>
      <c r="AM22">
        <v>100</v>
      </c>
      <c r="AN22">
        <v>35</v>
      </c>
      <c r="AO22">
        <v>100</v>
      </c>
      <c r="AP22">
        <v>100</v>
      </c>
      <c r="AQ22">
        <v>100</v>
      </c>
      <c r="AR22">
        <v>100</v>
      </c>
      <c r="AS22">
        <v>100</v>
      </c>
      <c r="AT22">
        <v>35</v>
      </c>
      <c r="AU22" t="s">
        <v>364</v>
      </c>
    </row>
    <row r="23" spans="1:47">
      <c r="A23" t="s">
        <v>173</v>
      </c>
      <c r="B23" t="s">
        <v>174</v>
      </c>
      <c r="C23" t="s">
        <v>382</v>
      </c>
      <c r="D23" t="s">
        <v>364</v>
      </c>
      <c r="E23" t="s">
        <v>248</v>
      </c>
      <c r="F23" t="s">
        <v>365</v>
      </c>
      <c r="G23" t="s">
        <v>366</v>
      </c>
      <c r="H23" s="80" t="s">
        <v>364</v>
      </c>
      <c r="I23" s="80" t="s">
        <v>364</v>
      </c>
      <c r="J23" s="80" t="s">
        <v>364</v>
      </c>
      <c r="K23" s="80" t="s">
        <v>364</v>
      </c>
      <c r="L23" s="80">
        <v>100</v>
      </c>
      <c r="M23" s="80">
        <v>100</v>
      </c>
      <c r="N23" s="80">
        <v>100</v>
      </c>
      <c r="O23" s="80">
        <v>100</v>
      </c>
      <c r="P23" s="80">
        <v>100</v>
      </c>
      <c r="Q23">
        <v>100</v>
      </c>
      <c r="R23">
        <v>100</v>
      </c>
      <c r="S23">
        <v>100</v>
      </c>
      <c r="T23">
        <v>100</v>
      </c>
      <c r="U23">
        <v>100</v>
      </c>
      <c r="V23">
        <v>100</v>
      </c>
      <c r="W23">
        <v>100</v>
      </c>
      <c r="X23">
        <v>100</v>
      </c>
      <c r="Y23">
        <v>100</v>
      </c>
      <c r="Z23">
        <v>100</v>
      </c>
      <c r="AA23">
        <v>100</v>
      </c>
      <c r="AB23">
        <v>100</v>
      </c>
      <c r="AC23">
        <v>100</v>
      </c>
      <c r="AD23">
        <v>100</v>
      </c>
      <c r="AE23">
        <v>100</v>
      </c>
      <c r="AF23">
        <v>100</v>
      </c>
      <c r="AG23">
        <v>100</v>
      </c>
      <c r="AH23">
        <v>100</v>
      </c>
      <c r="AI23">
        <v>100</v>
      </c>
      <c r="AJ23">
        <v>100</v>
      </c>
      <c r="AK23">
        <v>100</v>
      </c>
      <c r="AL23">
        <v>100</v>
      </c>
      <c r="AM23">
        <v>100</v>
      </c>
      <c r="AN23">
        <v>35</v>
      </c>
      <c r="AO23">
        <v>100</v>
      </c>
      <c r="AP23">
        <v>100</v>
      </c>
      <c r="AQ23">
        <v>100</v>
      </c>
      <c r="AR23">
        <v>100</v>
      </c>
      <c r="AS23">
        <v>100</v>
      </c>
      <c r="AT23">
        <v>35</v>
      </c>
      <c r="AU23" t="s">
        <v>364</v>
      </c>
    </row>
    <row r="24" spans="1:47">
      <c r="A24" t="s">
        <v>173</v>
      </c>
      <c r="B24" t="s">
        <v>174</v>
      </c>
      <c r="C24" t="s">
        <v>383</v>
      </c>
      <c r="D24" t="s">
        <v>364</v>
      </c>
      <c r="E24" t="s">
        <v>248</v>
      </c>
      <c r="F24" t="s">
        <v>365</v>
      </c>
      <c r="G24" t="s">
        <v>366</v>
      </c>
      <c r="H24" s="80" t="s">
        <v>364</v>
      </c>
      <c r="I24" s="80" t="s">
        <v>364</v>
      </c>
      <c r="J24" s="80" t="s">
        <v>364</v>
      </c>
      <c r="K24" s="80" t="s">
        <v>364</v>
      </c>
      <c r="L24" s="80">
        <v>40</v>
      </c>
      <c r="M24" s="80">
        <v>40</v>
      </c>
      <c r="N24" s="80">
        <v>40</v>
      </c>
      <c r="O24" s="80">
        <v>40</v>
      </c>
      <c r="P24" s="80">
        <v>40</v>
      </c>
      <c r="Q24">
        <v>40</v>
      </c>
      <c r="R24">
        <v>40</v>
      </c>
      <c r="S24">
        <v>40</v>
      </c>
      <c r="T24">
        <v>40</v>
      </c>
      <c r="U24">
        <v>40</v>
      </c>
      <c r="V24">
        <v>40</v>
      </c>
      <c r="W24">
        <v>40</v>
      </c>
      <c r="X24">
        <v>40</v>
      </c>
      <c r="Y24">
        <v>40</v>
      </c>
      <c r="Z24">
        <v>40</v>
      </c>
      <c r="AA24">
        <v>40</v>
      </c>
      <c r="AB24">
        <v>40</v>
      </c>
      <c r="AC24">
        <v>40</v>
      </c>
      <c r="AD24">
        <v>40</v>
      </c>
      <c r="AE24">
        <v>40</v>
      </c>
      <c r="AF24">
        <v>40</v>
      </c>
      <c r="AG24">
        <v>40</v>
      </c>
      <c r="AH24">
        <v>40</v>
      </c>
      <c r="AI24">
        <v>40</v>
      </c>
      <c r="AJ24">
        <v>40</v>
      </c>
      <c r="AK24">
        <v>40</v>
      </c>
      <c r="AL24">
        <v>40</v>
      </c>
      <c r="AM24">
        <v>40</v>
      </c>
      <c r="AN24">
        <v>25</v>
      </c>
      <c r="AO24">
        <v>40</v>
      </c>
      <c r="AP24">
        <v>40</v>
      </c>
      <c r="AQ24">
        <v>40</v>
      </c>
      <c r="AR24">
        <v>40</v>
      </c>
      <c r="AS24">
        <v>40</v>
      </c>
      <c r="AT24">
        <v>15</v>
      </c>
      <c r="AU24" t="s">
        <v>364</v>
      </c>
    </row>
    <row r="25" spans="1:47">
      <c r="A25" t="s">
        <v>173</v>
      </c>
      <c r="B25" t="s">
        <v>174</v>
      </c>
      <c r="C25" t="s">
        <v>232</v>
      </c>
      <c r="D25" t="s">
        <v>364</v>
      </c>
      <c r="E25" t="s">
        <v>248</v>
      </c>
      <c r="F25" t="s">
        <v>365</v>
      </c>
      <c r="G25" t="s">
        <v>366</v>
      </c>
      <c r="H25" s="80" t="s">
        <v>364</v>
      </c>
      <c r="I25" s="80" t="s">
        <v>364</v>
      </c>
      <c r="J25" s="80" t="s">
        <v>364</v>
      </c>
      <c r="K25" s="80" t="s">
        <v>364</v>
      </c>
      <c r="L25" s="80">
        <v>40</v>
      </c>
      <c r="M25" s="80">
        <v>40</v>
      </c>
      <c r="N25" s="80">
        <v>40</v>
      </c>
      <c r="O25" s="80">
        <v>40</v>
      </c>
      <c r="P25" s="80">
        <v>40</v>
      </c>
      <c r="Q25">
        <v>40</v>
      </c>
      <c r="R25">
        <v>40</v>
      </c>
      <c r="S25">
        <v>40</v>
      </c>
      <c r="T25">
        <v>40</v>
      </c>
      <c r="U25">
        <v>40</v>
      </c>
      <c r="V25">
        <v>40</v>
      </c>
      <c r="W25">
        <v>40</v>
      </c>
      <c r="X25">
        <v>40</v>
      </c>
      <c r="Y25">
        <v>40</v>
      </c>
      <c r="Z25">
        <v>40</v>
      </c>
      <c r="AA25">
        <v>40</v>
      </c>
      <c r="AB25">
        <v>40</v>
      </c>
      <c r="AC25">
        <v>40</v>
      </c>
      <c r="AD25">
        <v>40</v>
      </c>
      <c r="AE25">
        <v>40</v>
      </c>
      <c r="AF25">
        <v>40</v>
      </c>
      <c r="AG25">
        <v>40</v>
      </c>
      <c r="AH25">
        <v>40</v>
      </c>
      <c r="AI25">
        <v>40</v>
      </c>
      <c r="AJ25">
        <v>40</v>
      </c>
      <c r="AK25">
        <v>40</v>
      </c>
      <c r="AL25">
        <v>40</v>
      </c>
      <c r="AM25">
        <v>40</v>
      </c>
      <c r="AN25">
        <v>25</v>
      </c>
      <c r="AO25">
        <v>40</v>
      </c>
      <c r="AP25">
        <v>40</v>
      </c>
      <c r="AQ25">
        <v>40</v>
      </c>
      <c r="AR25">
        <v>40</v>
      </c>
      <c r="AS25">
        <v>40</v>
      </c>
      <c r="AT25">
        <v>15</v>
      </c>
      <c r="AU25" t="s">
        <v>364</v>
      </c>
    </row>
    <row r="26" spans="1:47">
      <c r="A26" t="s">
        <v>173</v>
      </c>
      <c r="B26" t="s">
        <v>174</v>
      </c>
      <c r="C26" t="s">
        <v>384</v>
      </c>
      <c r="D26" t="s">
        <v>364</v>
      </c>
      <c r="E26" t="s">
        <v>248</v>
      </c>
      <c r="F26" t="s">
        <v>365</v>
      </c>
      <c r="G26" t="s">
        <v>366</v>
      </c>
      <c r="H26" s="80" t="s">
        <v>364</v>
      </c>
      <c r="I26" s="80" t="s">
        <v>364</v>
      </c>
      <c r="J26" s="80" t="s">
        <v>364</v>
      </c>
      <c r="K26" s="80" t="s">
        <v>364</v>
      </c>
      <c r="L26" s="80">
        <v>40</v>
      </c>
      <c r="M26" s="80">
        <v>40</v>
      </c>
      <c r="N26" s="80">
        <v>40</v>
      </c>
      <c r="O26" s="80">
        <v>40</v>
      </c>
      <c r="P26" s="80">
        <v>40</v>
      </c>
      <c r="Q26">
        <v>40</v>
      </c>
      <c r="R26">
        <v>40</v>
      </c>
      <c r="S26">
        <v>40</v>
      </c>
      <c r="T26">
        <v>40</v>
      </c>
      <c r="U26">
        <v>40</v>
      </c>
      <c r="V26">
        <v>40</v>
      </c>
      <c r="W26">
        <v>40</v>
      </c>
      <c r="X26">
        <v>40</v>
      </c>
      <c r="Y26">
        <v>40</v>
      </c>
      <c r="Z26">
        <v>40</v>
      </c>
      <c r="AA26">
        <v>40</v>
      </c>
      <c r="AB26">
        <v>40</v>
      </c>
      <c r="AC26">
        <v>40</v>
      </c>
      <c r="AD26">
        <v>40</v>
      </c>
      <c r="AE26">
        <v>40</v>
      </c>
      <c r="AF26">
        <v>40</v>
      </c>
      <c r="AG26">
        <v>40</v>
      </c>
      <c r="AH26">
        <v>40</v>
      </c>
      <c r="AI26">
        <v>40</v>
      </c>
      <c r="AJ26">
        <v>40</v>
      </c>
      <c r="AK26">
        <v>40</v>
      </c>
      <c r="AL26">
        <v>40</v>
      </c>
      <c r="AM26">
        <v>40</v>
      </c>
      <c r="AN26">
        <v>25</v>
      </c>
      <c r="AO26">
        <v>40</v>
      </c>
      <c r="AP26">
        <v>40</v>
      </c>
      <c r="AQ26">
        <v>40</v>
      </c>
      <c r="AR26">
        <v>40</v>
      </c>
      <c r="AS26">
        <v>40</v>
      </c>
      <c r="AT26">
        <v>15</v>
      </c>
      <c r="AU26" t="s">
        <v>364</v>
      </c>
    </row>
    <row r="27" spans="1:47">
      <c r="A27" t="s">
        <v>173</v>
      </c>
      <c r="B27" t="s">
        <v>174</v>
      </c>
      <c r="C27" t="s">
        <v>385</v>
      </c>
      <c r="D27" t="s">
        <v>364</v>
      </c>
      <c r="E27" t="s">
        <v>248</v>
      </c>
      <c r="F27" t="s">
        <v>365</v>
      </c>
      <c r="G27" t="s">
        <v>366</v>
      </c>
      <c r="H27" s="80" t="s">
        <v>364</v>
      </c>
      <c r="I27" s="80" t="s">
        <v>364</v>
      </c>
      <c r="J27" s="80" t="s">
        <v>364</v>
      </c>
      <c r="K27" s="80" t="s">
        <v>364</v>
      </c>
      <c r="L27" s="80">
        <v>40</v>
      </c>
      <c r="M27" s="80">
        <v>40</v>
      </c>
      <c r="N27" s="80">
        <v>40</v>
      </c>
      <c r="O27" s="80">
        <v>40</v>
      </c>
      <c r="P27" s="80">
        <v>40</v>
      </c>
      <c r="Q27">
        <v>40</v>
      </c>
      <c r="R27">
        <v>40</v>
      </c>
      <c r="S27">
        <v>40</v>
      </c>
      <c r="T27">
        <v>40</v>
      </c>
      <c r="U27">
        <v>40</v>
      </c>
      <c r="V27">
        <v>40</v>
      </c>
      <c r="W27">
        <v>40</v>
      </c>
      <c r="X27">
        <v>40</v>
      </c>
      <c r="Y27">
        <v>40</v>
      </c>
      <c r="Z27">
        <v>40</v>
      </c>
      <c r="AA27">
        <v>40</v>
      </c>
      <c r="AB27">
        <v>40</v>
      </c>
      <c r="AC27">
        <v>40</v>
      </c>
      <c r="AD27">
        <v>40</v>
      </c>
      <c r="AE27">
        <v>40</v>
      </c>
      <c r="AF27">
        <v>40</v>
      </c>
      <c r="AG27">
        <v>40</v>
      </c>
      <c r="AH27">
        <v>40</v>
      </c>
      <c r="AI27">
        <v>40</v>
      </c>
      <c r="AJ27">
        <v>40</v>
      </c>
      <c r="AK27">
        <v>40</v>
      </c>
      <c r="AL27">
        <v>40</v>
      </c>
      <c r="AM27">
        <v>40</v>
      </c>
      <c r="AN27">
        <v>25</v>
      </c>
      <c r="AO27">
        <v>40</v>
      </c>
      <c r="AP27">
        <v>40</v>
      </c>
      <c r="AQ27">
        <v>40</v>
      </c>
      <c r="AR27">
        <v>40</v>
      </c>
      <c r="AS27">
        <v>40</v>
      </c>
      <c r="AT27">
        <v>15</v>
      </c>
      <c r="AU27" t="s">
        <v>364</v>
      </c>
    </row>
    <row r="28" spans="1:47">
      <c r="A28" t="s">
        <v>173</v>
      </c>
      <c r="B28" t="s">
        <v>174</v>
      </c>
      <c r="C28" t="s">
        <v>386</v>
      </c>
      <c r="D28" t="s">
        <v>364</v>
      </c>
      <c r="E28" t="s">
        <v>248</v>
      </c>
      <c r="F28" t="s">
        <v>365</v>
      </c>
      <c r="G28" t="s">
        <v>366</v>
      </c>
      <c r="H28" s="80" t="s">
        <v>364</v>
      </c>
      <c r="I28" s="80" t="s">
        <v>364</v>
      </c>
      <c r="J28" s="80" t="s">
        <v>364</v>
      </c>
      <c r="K28" s="80" t="s">
        <v>364</v>
      </c>
      <c r="L28" s="80">
        <v>40</v>
      </c>
      <c r="M28" s="80">
        <v>40</v>
      </c>
      <c r="N28" s="80">
        <v>40</v>
      </c>
      <c r="O28" s="80">
        <v>40</v>
      </c>
      <c r="P28" s="80">
        <v>40</v>
      </c>
      <c r="Q28">
        <v>40</v>
      </c>
      <c r="R28">
        <v>40</v>
      </c>
      <c r="S28">
        <v>40</v>
      </c>
      <c r="T28">
        <v>40</v>
      </c>
      <c r="U28">
        <v>40</v>
      </c>
      <c r="V28">
        <v>40</v>
      </c>
      <c r="W28">
        <v>40</v>
      </c>
      <c r="X28">
        <v>40</v>
      </c>
      <c r="Y28">
        <v>40</v>
      </c>
      <c r="Z28">
        <v>40</v>
      </c>
      <c r="AA28">
        <v>40</v>
      </c>
      <c r="AB28">
        <v>40</v>
      </c>
      <c r="AC28">
        <v>40</v>
      </c>
      <c r="AD28">
        <v>40</v>
      </c>
      <c r="AE28">
        <v>40</v>
      </c>
      <c r="AF28">
        <v>40</v>
      </c>
      <c r="AG28">
        <v>40</v>
      </c>
      <c r="AH28">
        <v>40</v>
      </c>
      <c r="AI28">
        <v>40</v>
      </c>
      <c r="AJ28">
        <v>40</v>
      </c>
      <c r="AK28">
        <v>40</v>
      </c>
      <c r="AL28">
        <v>40</v>
      </c>
      <c r="AM28">
        <v>40</v>
      </c>
      <c r="AN28">
        <v>25</v>
      </c>
      <c r="AO28">
        <v>40</v>
      </c>
      <c r="AP28">
        <v>40</v>
      </c>
      <c r="AQ28">
        <v>40</v>
      </c>
      <c r="AR28">
        <v>40</v>
      </c>
      <c r="AS28">
        <v>40</v>
      </c>
      <c r="AT28">
        <v>15</v>
      </c>
      <c r="AU28" t="s">
        <v>364</v>
      </c>
    </row>
    <row r="29" spans="1:47">
      <c r="A29" t="s">
        <v>173</v>
      </c>
      <c r="B29" t="s">
        <v>174</v>
      </c>
      <c r="C29" t="s">
        <v>387</v>
      </c>
      <c r="D29" t="s">
        <v>364</v>
      </c>
      <c r="E29" t="s">
        <v>248</v>
      </c>
      <c r="F29" t="s">
        <v>365</v>
      </c>
      <c r="G29" t="s">
        <v>366</v>
      </c>
      <c r="H29" s="80" t="s">
        <v>364</v>
      </c>
      <c r="I29" s="80" t="s">
        <v>364</v>
      </c>
      <c r="J29" s="80" t="s">
        <v>364</v>
      </c>
      <c r="K29" s="80" t="s">
        <v>364</v>
      </c>
      <c r="L29" s="80">
        <v>40</v>
      </c>
      <c r="M29" s="80">
        <v>40</v>
      </c>
      <c r="N29" s="80">
        <v>40</v>
      </c>
      <c r="O29" s="80">
        <v>40</v>
      </c>
      <c r="P29" s="80">
        <v>40</v>
      </c>
      <c r="Q29">
        <v>40</v>
      </c>
      <c r="R29">
        <v>40</v>
      </c>
      <c r="S29">
        <v>40</v>
      </c>
      <c r="T29">
        <v>40</v>
      </c>
      <c r="U29">
        <v>40</v>
      </c>
      <c r="V29">
        <v>40</v>
      </c>
      <c r="W29">
        <v>40</v>
      </c>
      <c r="X29">
        <v>40</v>
      </c>
      <c r="Y29">
        <v>40</v>
      </c>
      <c r="Z29">
        <v>40</v>
      </c>
      <c r="AA29">
        <v>40</v>
      </c>
      <c r="AB29">
        <v>40</v>
      </c>
      <c r="AC29">
        <v>40</v>
      </c>
      <c r="AD29">
        <v>40</v>
      </c>
      <c r="AE29">
        <v>40</v>
      </c>
      <c r="AF29">
        <v>40</v>
      </c>
      <c r="AG29">
        <v>40</v>
      </c>
      <c r="AH29">
        <v>40</v>
      </c>
      <c r="AI29">
        <v>40</v>
      </c>
      <c r="AJ29">
        <v>40</v>
      </c>
      <c r="AK29">
        <v>40</v>
      </c>
      <c r="AL29">
        <v>40</v>
      </c>
      <c r="AM29">
        <v>40</v>
      </c>
      <c r="AN29">
        <v>25</v>
      </c>
      <c r="AO29">
        <v>40</v>
      </c>
      <c r="AP29">
        <v>40</v>
      </c>
      <c r="AQ29">
        <v>40</v>
      </c>
      <c r="AR29">
        <v>40</v>
      </c>
      <c r="AS29">
        <v>40</v>
      </c>
      <c r="AT29">
        <v>15</v>
      </c>
      <c r="AU29" t="s">
        <v>364</v>
      </c>
    </row>
    <row r="30" spans="1:47">
      <c r="A30" t="s">
        <v>173</v>
      </c>
      <c r="B30" t="s">
        <v>184</v>
      </c>
      <c r="C30" t="s">
        <v>363</v>
      </c>
      <c r="D30" t="s">
        <v>364</v>
      </c>
      <c r="E30" t="s">
        <v>364</v>
      </c>
      <c r="F30" t="s">
        <v>365</v>
      </c>
      <c r="G30" t="s">
        <v>366</v>
      </c>
      <c r="H30" s="80" t="s">
        <v>364</v>
      </c>
      <c r="I30" s="80" t="s">
        <v>364</v>
      </c>
      <c r="J30" s="80" t="s">
        <v>364</v>
      </c>
      <c r="K30" s="80" t="s">
        <v>364</v>
      </c>
      <c r="L30" s="80">
        <v>3</v>
      </c>
      <c r="M30" s="80">
        <v>3</v>
      </c>
      <c r="N30" s="80">
        <v>3</v>
      </c>
      <c r="O30" s="80">
        <v>3</v>
      </c>
      <c r="P30" s="80">
        <v>3</v>
      </c>
      <c r="Q30">
        <v>3</v>
      </c>
      <c r="R30">
        <v>3</v>
      </c>
      <c r="S30">
        <v>3</v>
      </c>
      <c r="T30">
        <v>3</v>
      </c>
      <c r="U30">
        <v>3</v>
      </c>
      <c r="V30">
        <v>3</v>
      </c>
      <c r="W30">
        <v>3</v>
      </c>
      <c r="X30">
        <v>3</v>
      </c>
      <c r="Y30">
        <v>3</v>
      </c>
      <c r="Z30">
        <v>3</v>
      </c>
      <c r="AA30">
        <v>3</v>
      </c>
      <c r="AB30">
        <v>3</v>
      </c>
      <c r="AC30">
        <v>3</v>
      </c>
      <c r="AD30">
        <v>3</v>
      </c>
      <c r="AE30">
        <v>3</v>
      </c>
      <c r="AF30">
        <v>3</v>
      </c>
      <c r="AG30">
        <v>3</v>
      </c>
      <c r="AH30">
        <v>3</v>
      </c>
      <c r="AI30">
        <v>3</v>
      </c>
      <c r="AJ30">
        <v>3</v>
      </c>
      <c r="AK30">
        <v>3</v>
      </c>
      <c r="AL30">
        <v>3</v>
      </c>
      <c r="AM30">
        <v>3</v>
      </c>
      <c r="AN30">
        <v>3</v>
      </c>
      <c r="AO30">
        <v>3</v>
      </c>
      <c r="AP30">
        <v>3</v>
      </c>
      <c r="AQ30">
        <v>3</v>
      </c>
      <c r="AR30">
        <v>3</v>
      </c>
      <c r="AS30">
        <v>3</v>
      </c>
      <c r="AT30">
        <v>3</v>
      </c>
      <c r="AU30" t="s">
        <v>364</v>
      </c>
    </row>
    <row r="31" spans="1:47">
      <c r="A31" t="s">
        <v>173</v>
      </c>
      <c r="B31" t="s">
        <v>184</v>
      </c>
      <c r="C31" t="s">
        <v>227</v>
      </c>
      <c r="D31" t="s">
        <v>364</v>
      </c>
      <c r="E31" t="s">
        <v>364</v>
      </c>
      <c r="F31" t="s">
        <v>365</v>
      </c>
      <c r="G31" t="s">
        <v>366</v>
      </c>
      <c r="H31" s="80" t="s">
        <v>364</v>
      </c>
      <c r="I31" s="80" t="s">
        <v>364</v>
      </c>
      <c r="J31" s="80" t="s">
        <v>364</v>
      </c>
      <c r="K31" s="80" t="s">
        <v>364</v>
      </c>
      <c r="L31" s="80">
        <v>0.99</v>
      </c>
      <c r="M31" s="80">
        <v>0.99</v>
      </c>
      <c r="N31" s="80">
        <v>0.99</v>
      </c>
      <c r="O31" s="80">
        <v>0.99</v>
      </c>
      <c r="P31" s="80">
        <v>0.99</v>
      </c>
      <c r="Q31">
        <v>0.99</v>
      </c>
      <c r="R31">
        <v>0.99</v>
      </c>
      <c r="S31">
        <v>0.99</v>
      </c>
      <c r="T31">
        <v>0.99</v>
      </c>
      <c r="U31">
        <v>0.99</v>
      </c>
      <c r="V31">
        <v>0.99</v>
      </c>
      <c r="W31">
        <v>0.99</v>
      </c>
      <c r="X31">
        <v>0.99</v>
      </c>
      <c r="Y31">
        <v>0.99</v>
      </c>
      <c r="Z31">
        <v>0.99</v>
      </c>
      <c r="AA31">
        <v>0.99</v>
      </c>
      <c r="AB31">
        <v>0.99</v>
      </c>
      <c r="AC31">
        <v>0.99</v>
      </c>
      <c r="AD31">
        <v>0.99</v>
      </c>
      <c r="AE31">
        <v>0.99</v>
      </c>
      <c r="AF31">
        <v>0.99</v>
      </c>
      <c r="AG31">
        <v>0.99</v>
      </c>
      <c r="AH31">
        <v>0.99</v>
      </c>
      <c r="AI31">
        <v>0.99</v>
      </c>
      <c r="AJ31">
        <v>0.99</v>
      </c>
      <c r="AK31">
        <v>0.99</v>
      </c>
      <c r="AL31">
        <v>0.99</v>
      </c>
      <c r="AM31">
        <v>0.99</v>
      </c>
      <c r="AN31">
        <v>0.99</v>
      </c>
      <c r="AO31">
        <v>0.99</v>
      </c>
      <c r="AP31">
        <v>0.99</v>
      </c>
      <c r="AQ31">
        <v>0.99</v>
      </c>
      <c r="AR31">
        <v>0.99</v>
      </c>
      <c r="AS31">
        <v>0.99</v>
      </c>
      <c r="AT31">
        <v>0.99</v>
      </c>
      <c r="AU31" t="s">
        <v>364</v>
      </c>
    </row>
    <row r="32" spans="1:47">
      <c r="A32" t="s">
        <v>173</v>
      </c>
      <c r="B32" t="s">
        <v>184</v>
      </c>
      <c r="C32" t="s">
        <v>367</v>
      </c>
      <c r="D32" t="s">
        <v>364</v>
      </c>
      <c r="E32" t="s">
        <v>364</v>
      </c>
      <c r="F32" t="s">
        <v>365</v>
      </c>
      <c r="G32" t="s">
        <v>366</v>
      </c>
      <c r="H32" s="80" t="s">
        <v>364</v>
      </c>
      <c r="I32" s="80" t="s">
        <v>364</v>
      </c>
      <c r="J32" s="80" t="s">
        <v>364</v>
      </c>
      <c r="K32" s="80" t="s">
        <v>364</v>
      </c>
      <c r="L32" s="80">
        <v>0.58697</v>
      </c>
      <c r="M32" s="80">
        <v>0.58697</v>
      </c>
      <c r="N32" s="80">
        <v>0.58697</v>
      </c>
      <c r="O32" s="80">
        <v>0.58697</v>
      </c>
      <c r="P32" s="80">
        <v>0.58697</v>
      </c>
      <c r="Q32">
        <v>0.58697</v>
      </c>
      <c r="R32">
        <v>0.58697</v>
      </c>
      <c r="S32">
        <v>0.58697</v>
      </c>
      <c r="T32">
        <v>0.58697</v>
      </c>
      <c r="U32">
        <v>0.58697</v>
      </c>
      <c r="V32">
        <v>0.58697</v>
      </c>
      <c r="W32">
        <v>0.58697</v>
      </c>
      <c r="X32">
        <v>0.58697</v>
      </c>
      <c r="Y32">
        <v>0.58697</v>
      </c>
      <c r="Z32">
        <v>0.58697</v>
      </c>
      <c r="AA32">
        <v>0.58697</v>
      </c>
      <c r="AB32">
        <v>0.58697</v>
      </c>
      <c r="AC32">
        <v>0.58697</v>
      </c>
      <c r="AD32">
        <v>0.58697</v>
      </c>
      <c r="AE32">
        <v>0.58697</v>
      </c>
      <c r="AF32">
        <v>0.58697</v>
      </c>
      <c r="AG32">
        <v>0.58697</v>
      </c>
      <c r="AH32">
        <v>0.58697</v>
      </c>
      <c r="AI32">
        <v>0.58697</v>
      </c>
      <c r="AJ32">
        <v>0.58697</v>
      </c>
      <c r="AK32">
        <v>0.58697</v>
      </c>
      <c r="AL32">
        <v>0.58697</v>
      </c>
      <c r="AM32">
        <v>0.58697</v>
      </c>
      <c r="AN32">
        <v>0.58697</v>
      </c>
      <c r="AO32">
        <v>0.58697</v>
      </c>
      <c r="AP32">
        <v>0.58697</v>
      </c>
      <c r="AQ32">
        <v>0.58697</v>
      </c>
      <c r="AR32">
        <v>0.58697</v>
      </c>
      <c r="AS32">
        <v>0.58697</v>
      </c>
      <c r="AT32">
        <v>0.58697</v>
      </c>
      <c r="AU32" t="s">
        <v>364</v>
      </c>
    </row>
    <row r="33" spans="1:47">
      <c r="A33" t="s">
        <v>173</v>
      </c>
      <c r="B33" t="s">
        <v>184</v>
      </c>
      <c r="C33" t="s">
        <v>368</v>
      </c>
      <c r="D33" t="s">
        <v>364</v>
      </c>
      <c r="E33" t="s">
        <v>364</v>
      </c>
      <c r="F33" t="s">
        <v>365</v>
      </c>
      <c r="G33" t="s">
        <v>366</v>
      </c>
      <c r="H33" s="80" t="s">
        <v>364</v>
      </c>
      <c r="I33" s="80" t="s">
        <v>364</v>
      </c>
      <c r="J33" s="80" t="s">
        <v>364</v>
      </c>
      <c r="K33" s="80" t="s">
        <v>364</v>
      </c>
      <c r="L33" s="80">
        <v>0.58697</v>
      </c>
      <c r="M33" s="80">
        <v>0.58697</v>
      </c>
      <c r="N33" s="80">
        <v>0.58697</v>
      </c>
      <c r="O33" s="80">
        <v>0.58697</v>
      </c>
      <c r="P33" s="80">
        <v>0.58697</v>
      </c>
      <c r="Q33">
        <v>0.58697</v>
      </c>
      <c r="R33">
        <v>0.58697</v>
      </c>
      <c r="S33">
        <v>0.58697</v>
      </c>
      <c r="T33">
        <v>0.58697</v>
      </c>
      <c r="U33">
        <v>0.58697</v>
      </c>
      <c r="V33">
        <v>0.58697</v>
      </c>
      <c r="W33">
        <v>0.58697</v>
      </c>
      <c r="X33">
        <v>0.58697</v>
      </c>
      <c r="Y33">
        <v>0.58697</v>
      </c>
      <c r="Z33">
        <v>0.58697</v>
      </c>
      <c r="AA33">
        <v>0.58697</v>
      </c>
      <c r="AB33">
        <v>0.58697</v>
      </c>
      <c r="AC33">
        <v>0.58697</v>
      </c>
      <c r="AD33">
        <v>0.58697</v>
      </c>
      <c r="AE33">
        <v>0.58697</v>
      </c>
      <c r="AF33">
        <v>0.58697</v>
      </c>
      <c r="AG33">
        <v>0.58697</v>
      </c>
      <c r="AH33">
        <v>0.58697</v>
      </c>
      <c r="AI33">
        <v>0.58697</v>
      </c>
      <c r="AJ33">
        <v>0.58697</v>
      </c>
      <c r="AK33">
        <v>0.58697</v>
      </c>
      <c r="AL33">
        <v>0.58697</v>
      </c>
      <c r="AM33">
        <v>0.58697</v>
      </c>
      <c r="AN33">
        <v>0.58697</v>
      </c>
      <c r="AO33">
        <v>0.58697</v>
      </c>
      <c r="AP33">
        <v>0.58697</v>
      </c>
      <c r="AQ33">
        <v>0.58697</v>
      </c>
      <c r="AR33">
        <v>0.58697</v>
      </c>
      <c r="AS33">
        <v>0.58697</v>
      </c>
      <c r="AT33">
        <v>0.58697</v>
      </c>
      <c r="AU33" t="s">
        <v>364</v>
      </c>
    </row>
    <row r="34" spans="1:47">
      <c r="A34" t="s">
        <v>173</v>
      </c>
      <c r="B34" t="s">
        <v>184</v>
      </c>
      <c r="C34" t="s">
        <v>228</v>
      </c>
      <c r="D34" t="s">
        <v>364</v>
      </c>
      <c r="E34" t="s">
        <v>364</v>
      </c>
      <c r="F34" t="s">
        <v>365</v>
      </c>
      <c r="G34" t="s">
        <v>366</v>
      </c>
      <c r="H34" s="80" t="s">
        <v>364</v>
      </c>
      <c r="I34" s="80" t="s">
        <v>364</v>
      </c>
      <c r="J34" s="80" t="s">
        <v>364</v>
      </c>
      <c r="K34" s="80" t="s">
        <v>364</v>
      </c>
      <c r="L34" s="80">
        <v>0.58697</v>
      </c>
      <c r="M34" s="80">
        <v>0.58697</v>
      </c>
      <c r="N34" s="80">
        <v>0.58697</v>
      </c>
      <c r="O34" s="80">
        <v>0.58697</v>
      </c>
      <c r="P34" s="80">
        <v>0.58697</v>
      </c>
      <c r="Q34">
        <v>0.58697</v>
      </c>
      <c r="R34">
        <v>0.58697</v>
      </c>
      <c r="S34">
        <v>0.58697</v>
      </c>
      <c r="T34">
        <v>0.58697</v>
      </c>
      <c r="U34">
        <v>0.58697</v>
      </c>
      <c r="V34">
        <v>0.58697</v>
      </c>
      <c r="W34">
        <v>0.58697</v>
      </c>
      <c r="X34">
        <v>0.58697</v>
      </c>
      <c r="Y34">
        <v>0.58697</v>
      </c>
      <c r="Z34">
        <v>0.58697</v>
      </c>
      <c r="AA34">
        <v>0.58697</v>
      </c>
      <c r="AB34">
        <v>0.58697</v>
      </c>
      <c r="AC34">
        <v>0.58697</v>
      </c>
      <c r="AD34">
        <v>0.58697</v>
      </c>
      <c r="AE34">
        <v>0.58697</v>
      </c>
      <c r="AF34">
        <v>0.58697</v>
      </c>
      <c r="AG34">
        <v>0.58697</v>
      </c>
      <c r="AH34">
        <v>0.58697</v>
      </c>
      <c r="AI34">
        <v>0.58697</v>
      </c>
      <c r="AJ34">
        <v>0.58697</v>
      </c>
      <c r="AK34">
        <v>0.58697</v>
      </c>
      <c r="AL34">
        <v>0.58697</v>
      </c>
      <c r="AM34">
        <v>0.58697</v>
      </c>
      <c r="AN34">
        <v>0.58697</v>
      </c>
      <c r="AO34">
        <v>0.58697</v>
      </c>
      <c r="AP34">
        <v>0.58697</v>
      </c>
      <c r="AQ34">
        <v>0.58697</v>
      </c>
      <c r="AR34">
        <v>0.58697</v>
      </c>
      <c r="AS34">
        <v>0.58697</v>
      </c>
      <c r="AT34">
        <v>0.58697</v>
      </c>
      <c r="AU34" t="s">
        <v>364</v>
      </c>
    </row>
    <row r="35" spans="1:47">
      <c r="A35" t="s">
        <v>173</v>
      </c>
      <c r="B35" t="s">
        <v>184</v>
      </c>
      <c r="C35" t="s">
        <v>369</v>
      </c>
      <c r="D35" t="s">
        <v>364</v>
      </c>
      <c r="E35" t="s">
        <v>364</v>
      </c>
      <c r="F35" t="s">
        <v>365</v>
      </c>
      <c r="G35" t="s">
        <v>366</v>
      </c>
      <c r="H35" s="80" t="s">
        <v>364</v>
      </c>
      <c r="I35" s="80" t="s">
        <v>364</v>
      </c>
      <c r="J35" s="80" t="s">
        <v>364</v>
      </c>
      <c r="K35" s="80" t="s">
        <v>364</v>
      </c>
      <c r="L35" s="80">
        <v>0.07207</v>
      </c>
      <c r="M35" s="80">
        <v>0.07207</v>
      </c>
      <c r="N35" s="80">
        <v>0.07207</v>
      </c>
      <c r="O35" s="80">
        <v>0.07207</v>
      </c>
      <c r="P35" s="80">
        <v>0.07207</v>
      </c>
      <c r="Q35">
        <v>0.07207</v>
      </c>
      <c r="R35">
        <v>0.07207</v>
      </c>
      <c r="S35">
        <v>0.07207</v>
      </c>
      <c r="T35">
        <v>0.07207</v>
      </c>
      <c r="U35">
        <v>0.07207</v>
      </c>
      <c r="V35">
        <v>0.07207</v>
      </c>
      <c r="W35">
        <v>0.07207</v>
      </c>
      <c r="X35">
        <v>0.07207</v>
      </c>
      <c r="Y35">
        <v>0.07207</v>
      </c>
      <c r="Z35">
        <v>0.07207</v>
      </c>
      <c r="AA35">
        <v>0.07207</v>
      </c>
      <c r="AB35">
        <v>0.07207</v>
      </c>
      <c r="AC35">
        <v>0.07207</v>
      </c>
      <c r="AD35">
        <v>0.07207</v>
      </c>
      <c r="AE35">
        <v>0.07207</v>
      </c>
      <c r="AF35">
        <v>0.07207</v>
      </c>
      <c r="AG35">
        <v>0.07207</v>
      </c>
      <c r="AH35">
        <v>0.07207</v>
      </c>
      <c r="AI35">
        <v>0.07207</v>
      </c>
      <c r="AJ35">
        <v>0.07207</v>
      </c>
      <c r="AK35">
        <v>0.07207</v>
      </c>
      <c r="AL35">
        <v>0.07207</v>
      </c>
      <c r="AM35">
        <v>0.07207</v>
      </c>
      <c r="AN35">
        <v>0.07207</v>
      </c>
      <c r="AO35">
        <v>0.07207</v>
      </c>
      <c r="AP35">
        <v>0.07207</v>
      </c>
      <c r="AQ35">
        <v>0.07207</v>
      </c>
      <c r="AR35">
        <v>0.07207</v>
      </c>
      <c r="AS35">
        <v>0.07207</v>
      </c>
      <c r="AT35">
        <v>0.07207</v>
      </c>
      <c r="AU35" t="s">
        <v>364</v>
      </c>
    </row>
    <row r="36" spans="1:47">
      <c r="A36" t="s">
        <v>173</v>
      </c>
      <c r="B36" t="s">
        <v>184</v>
      </c>
      <c r="C36" t="s">
        <v>229</v>
      </c>
      <c r="D36" t="s">
        <v>364</v>
      </c>
      <c r="E36" t="s">
        <v>364</v>
      </c>
      <c r="F36" t="s">
        <v>365</v>
      </c>
      <c r="G36" t="s">
        <v>366</v>
      </c>
      <c r="H36" s="80" t="s">
        <v>364</v>
      </c>
      <c r="I36" s="80" t="s">
        <v>364</v>
      </c>
      <c r="J36" s="80" t="s">
        <v>364</v>
      </c>
      <c r="K36" s="80" t="s">
        <v>364</v>
      </c>
      <c r="L36" s="80">
        <v>0.07207</v>
      </c>
      <c r="M36" s="80">
        <v>0.07207</v>
      </c>
      <c r="N36" s="80">
        <v>0.07207</v>
      </c>
      <c r="O36" s="80">
        <v>0.07207</v>
      </c>
      <c r="P36" s="80">
        <v>0.07207</v>
      </c>
      <c r="Q36">
        <v>0.07207</v>
      </c>
      <c r="R36">
        <v>0.07207</v>
      </c>
      <c r="S36">
        <v>0.07207</v>
      </c>
      <c r="T36">
        <v>0.07207</v>
      </c>
      <c r="U36">
        <v>0.07207</v>
      </c>
      <c r="V36">
        <v>0.07207</v>
      </c>
      <c r="W36">
        <v>0.07207</v>
      </c>
      <c r="X36">
        <v>0.07207</v>
      </c>
      <c r="Y36">
        <v>0.07207</v>
      </c>
      <c r="Z36">
        <v>0.07207</v>
      </c>
      <c r="AA36">
        <v>0.07207</v>
      </c>
      <c r="AB36">
        <v>0.07207</v>
      </c>
      <c r="AC36">
        <v>0.07207</v>
      </c>
      <c r="AD36">
        <v>0.07207</v>
      </c>
      <c r="AE36">
        <v>0.07207</v>
      </c>
      <c r="AF36">
        <v>0.07207</v>
      </c>
      <c r="AG36">
        <v>0.07207</v>
      </c>
      <c r="AH36">
        <v>0.07207</v>
      </c>
      <c r="AI36">
        <v>0.07207</v>
      </c>
      <c r="AJ36">
        <v>0.07207</v>
      </c>
      <c r="AK36">
        <v>0.07207</v>
      </c>
      <c r="AL36">
        <v>0.07207</v>
      </c>
      <c r="AM36">
        <v>0.07207</v>
      </c>
      <c r="AN36">
        <v>0.07207</v>
      </c>
      <c r="AO36">
        <v>0.07207</v>
      </c>
      <c r="AP36">
        <v>0.07207</v>
      </c>
      <c r="AQ36">
        <v>0.07207</v>
      </c>
      <c r="AR36">
        <v>0.07207</v>
      </c>
      <c r="AS36">
        <v>0.07207</v>
      </c>
      <c r="AT36">
        <v>0.07207</v>
      </c>
      <c r="AU36" t="s">
        <v>364</v>
      </c>
    </row>
    <row r="37" spans="1:47">
      <c r="A37" t="s">
        <v>173</v>
      </c>
      <c r="B37" t="s">
        <v>184</v>
      </c>
      <c r="C37" t="s">
        <v>370</v>
      </c>
      <c r="D37" t="s">
        <v>364</v>
      </c>
      <c r="E37" t="s">
        <v>364</v>
      </c>
      <c r="F37" t="s">
        <v>365</v>
      </c>
      <c r="G37" t="s">
        <v>366</v>
      </c>
      <c r="H37" s="80" t="s">
        <v>364</v>
      </c>
      <c r="I37" s="80" t="s">
        <v>364</v>
      </c>
      <c r="J37" s="80" t="s">
        <v>364</v>
      </c>
      <c r="K37" s="80" t="s">
        <v>364</v>
      </c>
      <c r="L37" s="80">
        <v>0.313</v>
      </c>
      <c r="M37" s="80">
        <v>0.313</v>
      </c>
      <c r="N37" s="80">
        <v>0.313</v>
      </c>
      <c r="O37" s="80">
        <v>0.313</v>
      </c>
      <c r="P37" s="80">
        <v>0.313</v>
      </c>
      <c r="Q37">
        <v>0.313</v>
      </c>
      <c r="R37">
        <v>0.313</v>
      </c>
      <c r="S37">
        <v>0.313</v>
      </c>
      <c r="T37">
        <v>0.313</v>
      </c>
      <c r="U37">
        <v>0.313</v>
      </c>
      <c r="V37">
        <v>0.313</v>
      </c>
      <c r="W37">
        <v>0.313</v>
      </c>
      <c r="X37">
        <v>0.313</v>
      </c>
      <c r="Y37">
        <v>0.313</v>
      </c>
      <c r="Z37">
        <v>0.313</v>
      </c>
      <c r="AA37">
        <v>0.313</v>
      </c>
      <c r="AB37">
        <v>0.313</v>
      </c>
      <c r="AC37">
        <v>0.313</v>
      </c>
      <c r="AD37">
        <v>0.313</v>
      </c>
      <c r="AE37">
        <v>0.313</v>
      </c>
      <c r="AF37">
        <v>0.313</v>
      </c>
      <c r="AG37">
        <v>0.313</v>
      </c>
      <c r="AH37">
        <v>0.313</v>
      </c>
      <c r="AI37">
        <v>0.313</v>
      </c>
      <c r="AJ37">
        <v>0.313</v>
      </c>
      <c r="AK37">
        <v>0.313</v>
      </c>
      <c r="AL37">
        <v>0.313</v>
      </c>
      <c r="AM37">
        <v>0.313</v>
      </c>
      <c r="AN37">
        <v>0.313</v>
      </c>
      <c r="AO37">
        <v>0.313</v>
      </c>
      <c r="AP37">
        <v>0.313</v>
      </c>
      <c r="AQ37">
        <v>0.313</v>
      </c>
      <c r="AR37">
        <v>0.313</v>
      </c>
      <c r="AS37">
        <v>0.313</v>
      </c>
      <c r="AT37">
        <v>0.313</v>
      </c>
      <c r="AU37" t="s">
        <v>364</v>
      </c>
    </row>
    <row r="38" spans="1:47">
      <c r="A38" t="s">
        <v>173</v>
      </c>
      <c r="B38" t="s">
        <v>184</v>
      </c>
      <c r="C38" t="s">
        <v>371</v>
      </c>
      <c r="D38" t="s">
        <v>364</v>
      </c>
      <c r="E38" t="s">
        <v>364</v>
      </c>
      <c r="F38" t="s">
        <v>365</v>
      </c>
      <c r="G38" t="s">
        <v>366</v>
      </c>
      <c r="H38" s="80" t="s">
        <v>364</v>
      </c>
      <c r="I38" s="80" t="s">
        <v>364</v>
      </c>
      <c r="J38" s="80" t="s">
        <v>364</v>
      </c>
      <c r="K38" s="80" t="s">
        <v>364</v>
      </c>
      <c r="L38" s="80">
        <v>0.08</v>
      </c>
      <c r="M38" s="80">
        <v>0.08</v>
      </c>
      <c r="N38" s="80">
        <v>0.08</v>
      </c>
      <c r="O38" s="80">
        <v>0.08</v>
      </c>
      <c r="P38" s="80">
        <v>0.08</v>
      </c>
      <c r="Q38">
        <v>0.08</v>
      </c>
      <c r="R38">
        <v>0.08</v>
      </c>
      <c r="S38">
        <v>0.08</v>
      </c>
      <c r="T38">
        <v>0.08</v>
      </c>
      <c r="U38">
        <v>0.08</v>
      </c>
      <c r="V38">
        <v>0.08</v>
      </c>
      <c r="W38">
        <v>0.08</v>
      </c>
      <c r="X38">
        <v>0.08</v>
      </c>
      <c r="Y38">
        <v>0.08</v>
      </c>
      <c r="Z38">
        <v>0.08</v>
      </c>
      <c r="AA38">
        <v>0.08</v>
      </c>
      <c r="AB38">
        <v>0.08</v>
      </c>
      <c r="AC38">
        <v>0.08</v>
      </c>
      <c r="AD38">
        <v>0.08</v>
      </c>
      <c r="AE38">
        <v>0.08</v>
      </c>
      <c r="AF38">
        <v>0.08</v>
      </c>
      <c r="AG38">
        <v>0.08</v>
      </c>
      <c r="AH38">
        <v>0.08</v>
      </c>
      <c r="AI38">
        <v>0.08</v>
      </c>
      <c r="AJ38">
        <v>0.08</v>
      </c>
      <c r="AK38">
        <v>0.08</v>
      </c>
      <c r="AL38">
        <v>0.08</v>
      </c>
      <c r="AM38">
        <v>0.08</v>
      </c>
      <c r="AN38">
        <v>0.08</v>
      </c>
      <c r="AO38">
        <v>0.08</v>
      </c>
      <c r="AP38">
        <v>0.08</v>
      </c>
      <c r="AQ38">
        <v>0.08</v>
      </c>
      <c r="AR38">
        <v>0.08</v>
      </c>
      <c r="AS38">
        <v>0.08</v>
      </c>
      <c r="AT38">
        <v>0.08</v>
      </c>
      <c r="AU38" t="s">
        <v>364</v>
      </c>
    </row>
    <row r="39" spans="1:47">
      <c r="A39" t="s">
        <v>173</v>
      </c>
      <c r="B39" t="s">
        <v>184</v>
      </c>
      <c r="C39" t="s">
        <v>372</v>
      </c>
      <c r="D39" t="s">
        <v>364</v>
      </c>
      <c r="E39" t="s">
        <v>364</v>
      </c>
      <c r="F39" t="s">
        <v>365</v>
      </c>
      <c r="G39" t="s">
        <v>366</v>
      </c>
      <c r="H39" s="80" t="s">
        <v>364</v>
      </c>
      <c r="I39" s="80" t="s">
        <v>364</v>
      </c>
      <c r="J39" s="80" t="s">
        <v>364</v>
      </c>
      <c r="K39" s="80" t="s">
        <v>364</v>
      </c>
      <c r="L39" s="80">
        <v>0.08</v>
      </c>
      <c r="M39" s="80">
        <v>0.08</v>
      </c>
      <c r="N39" s="80">
        <v>0.08</v>
      </c>
      <c r="O39" s="80">
        <v>0.08</v>
      </c>
      <c r="P39" s="80">
        <v>0.08</v>
      </c>
      <c r="Q39">
        <v>0.08</v>
      </c>
      <c r="R39">
        <v>0.08</v>
      </c>
      <c r="S39">
        <v>0.08</v>
      </c>
      <c r="T39">
        <v>0.08</v>
      </c>
      <c r="U39">
        <v>0.08</v>
      </c>
      <c r="V39">
        <v>0.08</v>
      </c>
      <c r="W39">
        <v>0.08</v>
      </c>
      <c r="X39">
        <v>0.08</v>
      </c>
      <c r="Y39">
        <v>0.08</v>
      </c>
      <c r="Z39">
        <v>0.08</v>
      </c>
      <c r="AA39">
        <v>0.08</v>
      </c>
      <c r="AB39">
        <v>0.08</v>
      </c>
      <c r="AC39">
        <v>0.08</v>
      </c>
      <c r="AD39">
        <v>0.08</v>
      </c>
      <c r="AE39">
        <v>0.08</v>
      </c>
      <c r="AF39">
        <v>0.08</v>
      </c>
      <c r="AG39">
        <v>0.08</v>
      </c>
      <c r="AH39">
        <v>0.08</v>
      </c>
      <c r="AI39">
        <v>0.08</v>
      </c>
      <c r="AJ39">
        <v>0.08</v>
      </c>
      <c r="AK39">
        <v>0.08</v>
      </c>
      <c r="AL39">
        <v>0.08</v>
      </c>
      <c r="AM39">
        <v>0.08</v>
      </c>
      <c r="AN39">
        <v>0.08</v>
      </c>
      <c r="AO39">
        <v>0.08</v>
      </c>
      <c r="AP39">
        <v>0.08</v>
      </c>
      <c r="AQ39">
        <v>0.08</v>
      </c>
      <c r="AR39">
        <v>0.08</v>
      </c>
      <c r="AS39">
        <v>0.08</v>
      </c>
      <c r="AT39">
        <v>0.08</v>
      </c>
      <c r="AU39" t="s">
        <v>364</v>
      </c>
    </row>
    <row r="40" spans="1:47">
      <c r="A40" t="s">
        <v>173</v>
      </c>
      <c r="B40" t="s">
        <v>184</v>
      </c>
      <c r="C40" t="s">
        <v>373</v>
      </c>
      <c r="D40" t="s">
        <v>364</v>
      </c>
      <c r="E40" t="s">
        <v>364</v>
      </c>
      <c r="F40" t="s">
        <v>365</v>
      </c>
      <c r="G40" t="s">
        <v>366</v>
      </c>
      <c r="H40" s="80" t="s">
        <v>364</v>
      </c>
      <c r="I40" s="80" t="s">
        <v>364</v>
      </c>
      <c r="J40" s="80" t="s">
        <v>364</v>
      </c>
      <c r="K40" s="80" t="s">
        <v>364</v>
      </c>
      <c r="L40" s="80">
        <v>0.076</v>
      </c>
      <c r="M40" s="80">
        <v>0.076</v>
      </c>
      <c r="N40" s="80">
        <v>0.076</v>
      </c>
      <c r="O40" s="80">
        <v>0.076</v>
      </c>
      <c r="P40" s="80">
        <v>0.076</v>
      </c>
      <c r="Q40">
        <v>0.076</v>
      </c>
      <c r="R40">
        <v>0.076</v>
      </c>
      <c r="S40">
        <v>0.076</v>
      </c>
      <c r="T40">
        <v>0.076</v>
      </c>
      <c r="U40">
        <v>0.076</v>
      </c>
      <c r="V40">
        <v>0.076</v>
      </c>
      <c r="W40">
        <v>0.076</v>
      </c>
      <c r="X40">
        <v>0.076</v>
      </c>
      <c r="Y40">
        <v>0.076</v>
      </c>
      <c r="Z40">
        <v>0.076</v>
      </c>
      <c r="AA40">
        <v>0.076</v>
      </c>
      <c r="AB40">
        <v>0.076</v>
      </c>
      <c r="AC40">
        <v>0.076</v>
      </c>
      <c r="AD40">
        <v>0.076</v>
      </c>
      <c r="AE40">
        <v>0.076</v>
      </c>
      <c r="AF40">
        <v>0.076</v>
      </c>
      <c r="AG40">
        <v>0.076</v>
      </c>
      <c r="AH40">
        <v>0.076</v>
      </c>
      <c r="AI40">
        <v>0.076</v>
      </c>
      <c r="AJ40">
        <v>0.076</v>
      </c>
      <c r="AK40">
        <v>0.076</v>
      </c>
      <c r="AL40">
        <v>0.076</v>
      </c>
      <c r="AM40">
        <v>0.076</v>
      </c>
      <c r="AN40">
        <v>0.076</v>
      </c>
      <c r="AO40">
        <v>0.076</v>
      </c>
      <c r="AP40">
        <v>0.076</v>
      </c>
      <c r="AQ40">
        <v>0.076</v>
      </c>
      <c r="AR40">
        <v>0.076</v>
      </c>
      <c r="AS40">
        <v>0.076</v>
      </c>
      <c r="AT40">
        <v>0.076</v>
      </c>
      <c r="AU40" t="s">
        <v>364</v>
      </c>
    </row>
    <row r="41" spans="1:47">
      <c r="A41" t="s">
        <v>173</v>
      </c>
      <c r="B41" t="s">
        <v>184</v>
      </c>
      <c r="C41" t="s">
        <v>374</v>
      </c>
      <c r="D41" t="s">
        <v>364</v>
      </c>
      <c r="E41" t="s">
        <v>364</v>
      </c>
      <c r="F41" t="s">
        <v>365</v>
      </c>
      <c r="G41" t="s">
        <v>366</v>
      </c>
      <c r="H41" s="80" t="s">
        <v>364</v>
      </c>
      <c r="I41" s="80" t="s">
        <v>364</v>
      </c>
      <c r="J41" s="80" t="s">
        <v>364</v>
      </c>
      <c r="K41" s="80" t="s">
        <v>364</v>
      </c>
      <c r="L41" s="80">
        <v>0.0612</v>
      </c>
      <c r="M41" s="80">
        <v>0.0612</v>
      </c>
      <c r="N41" s="80">
        <v>0.0612</v>
      </c>
      <c r="O41" s="80">
        <v>0.0612</v>
      </c>
      <c r="P41" s="80">
        <v>0.0612</v>
      </c>
      <c r="Q41">
        <v>0.0612</v>
      </c>
      <c r="R41">
        <v>0.0612</v>
      </c>
      <c r="S41">
        <v>0.0612</v>
      </c>
      <c r="T41">
        <v>0.0612</v>
      </c>
      <c r="U41">
        <v>0.0612</v>
      </c>
      <c r="V41">
        <v>0.0612</v>
      </c>
      <c r="W41">
        <v>0.0612</v>
      </c>
      <c r="X41">
        <v>0.0612</v>
      </c>
      <c r="Y41">
        <v>0.0612</v>
      </c>
      <c r="Z41">
        <v>0.0612</v>
      </c>
      <c r="AA41">
        <v>0.0612</v>
      </c>
      <c r="AB41">
        <v>0.0612</v>
      </c>
      <c r="AC41">
        <v>0.0612</v>
      </c>
      <c r="AD41">
        <v>0.0612</v>
      </c>
      <c r="AE41">
        <v>0.0612</v>
      </c>
      <c r="AF41">
        <v>0.0612</v>
      </c>
      <c r="AG41">
        <v>0.0612</v>
      </c>
      <c r="AH41">
        <v>0.0612</v>
      </c>
      <c r="AI41">
        <v>0.0612</v>
      </c>
      <c r="AJ41">
        <v>0.0612</v>
      </c>
      <c r="AK41">
        <v>0.0612</v>
      </c>
      <c r="AL41">
        <v>0.0612</v>
      </c>
      <c r="AM41">
        <v>0.0612</v>
      </c>
      <c r="AN41">
        <v>0.0612</v>
      </c>
      <c r="AO41">
        <v>0.0612</v>
      </c>
      <c r="AP41">
        <v>0.0612</v>
      </c>
      <c r="AQ41">
        <v>0.0612</v>
      </c>
      <c r="AR41">
        <v>0.0612</v>
      </c>
      <c r="AS41">
        <v>0.0612</v>
      </c>
      <c r="AT41">
        <v>0.0612</v>
      </c>
      <c r="AU41" t="s">
        <v>364</v>
      </c>
    </row>
    <row r="42" spans="1:47">
      <c r="A42" t="s">
        <v>173</v>
      </c>
      <c r="B42" t="s">
        <v>184</v>
      </c>
      <c r="C42" t="s">
        <v>375</v>
      </c>
      <c r="D42" t="s">
        <v>364</v>
      </c>
      <c r="E42" t="s">
        <v>364</v>
      </c>
      <c r="F42" t="s">
        <v>365</v>
      </c>
      <c r="G42" t="s">
        <v>366</v>
      </c>
      <c r="H42" s="80" t="s">
        <v>364</v>
      </c>
      <c r="I42" s="80" t="s">
        <v>364</v>
      </c>
      <c r="J42" s="80" t="s">
        <v>364</v>
      </c>
      <c r="K42" s="80" t="s">
        <v>364</v>
      </c>
      <c r="L42" s="80">
        <v>0.527722806887128</v>
      </c>
      <c r="M42" s="80">
        <v>0.527722806887128</v>
      </c>
      <c r="N42" s="80">
        <v>0.527722806887128</v>
      </c>
      <c r="O42" s="80">
        <v>0.527722806887128</v>
      </c>
      <c r="P42" s="80">
        <v>0.527722806887128</v>
      </c>
      <c r="Q42">
        <v>0.527722806887128</v>
      </c>
      <c r="R42">
        <v>0.527722806887128</v>
      </c>
      <c r="S42">
        <v>0.527722806887128</v>
      </c>
      <c r="T42">
        <v>0.527722806887128</v>
      </c>
      <c r="U42">
        <v>0.527722806887128</v>
      </c>
      <c r="V42">
        <v>0.527722806887128</v>
      </c>
      <c r="W42">
        <v>0.527722806887128</v>
      </c>
      <c r="X42">
        <v>0.527722806887128</v>
      </c>
      <c r="Y42">
        <v>0.527722806887128</v>
      </c>
      <c r="Z42">
        <v>0.527722806887128</v>
      </c>
      <c r="AA42">
        <v>0.527722806887128</v>
      </c>
      <c r="AB42">
        <v>0.527722806887128</v>
      </c>
      <c r="AC42">
        <v>0.527722806887128</v>
      </c>
      <c r="AD42">
        <v>0.527722806887128</v>
      </c>
      <c r="AE42">
        <v>0.527722806887128</v>
      </c>
      <c r="AF42">
        <v>0.527722806887128</v>
      </c>
      <c r="AG42">
        <v>0.316633684132277</v>
      </c>
      <c r="AH42">
        <v>0.527722806887128</v>
      </c>
      <c r="AI42">
        <v>0.527722806887128</v>
      </c>
      <c r="AJ42">
        <v>0.527722806887128</v>
      </c>
      <c r="AK42">
        <v>0.527722806887128</v>
      </c>
      <c r="AL42">
        <v>0.527722806887128</v>
      </c>
      <c r="AM42">
        <v>0.527722806887128</v>
      </c>
      <c r="AN42">
        <v>0.527722806887128</v>
      </c>
      <c r="AO42">
        <v>0.527722806887128</v>
      </c>
      <c r="AP42">
        <v>0.527722806887128</v>
      </c>
      <c r="AQ42">
        <v>0.527722806887128</v>
      </c>
      <c r="AR42">
        <v>0.527722806887128</v>
      </c>
      <c r="AS42">
        <v>0.527722806887128</v>
      </c>
      <c r="AT42">
        <v>0.527722806887128</v>
      </c>
      <c r="AU42" t="s">
        <v>364</v>
      </c>
    </row>
    <row r="43" spans="1:47">
      <c r="A43" t="s">
        <v>173</v>
      </c>
      <c r="B43" t="s">
        <v>184</v>
      </c>
      <c r="C43" t="s">
        <v>376</v>
      </c>
      <c r="D43" t="s">
        <v>364</v>
      </c>
      <c r="E43" t="s">
        <v>364</v>
      </c>
      <c r="F43" t="s">
        <v>365</v>
      </c>
      <c r="G43" t="s">
        <v>366</v>
      </c>
      <c r="H43" s="80" t="s">
        <v>364</v>
      </c>
      <c r="I43" s="80" t="s">
        <v>364</v>
      </c>
      <c r="J43" s="80" t="s">
        <v>364</v>
      </c>
      <c r="K43" s="80" t="s">
        <v>364</v>
      </c>
      <c r="L43" s="80">
        <v>0.527722806887128</v>
      </c>
      <c r="M43" s="80">
        <v>0.527722806887128</v>
      </c>
      <c r="N43" s="80">
        <v>0.527722806887128</v>
      </c>
      <c r="O43" s="80">
        <v>0.527722806887128</v>
      </c>
      <c r="P43" s="80">
        <v>0.527722806887128</v>
      </c>
      <c r="Q43">
        <v>0.527722806887128</v>
      </c>
      <c r="R43">
        <v>0.527722806887128</v>
      </c>
      <c r="S43">
        <v>0.527722806887128</v>
      </c>
      <c r="T43">
        <v>0.527722806887128</v>
      </c>
      <c r="U43">
        <v>0.527722806887128</v>
      </c>
      <c r="V43">
        <v>0.527722806887128</v>
      </c>
      <c r="W43">
        <v>0.527722806887128</v>
      </c>
      <c r="X43">
        <v>0.527722806887128</v>
      </c>
      <c r="Y43">
        <v>0.527722806887128</v>
      </c>
      <c r="Z43">
        <v>0.527722806887128</v>
      </c>
      <c r="AA43">
        <v>0.527722806887128</v>
      </c>
      <c r="AB43">
        <v>0.527722806887128</v>
      </c>
      <c r="AC43">
        <v>0.527722806887128</v>
      </c>
      <c r="AD43">
        <v>0.527722806887128</v>
      </c>
      <c r="AE43">
        <v>0.527722806887128</v>
      </c>
      <c r="AF43">
        <v>0.527722806887128</v>
      </c>
      <c r="AG43">
        <v>0.316633684132277</v>
      </c>
      <c r="AH43">
        <v>0.527722806887128</v>
      </c>
      <c r="AI43">
        <v>0.527722806887128</v>
      </c>
      <c r="AJ43">
        <v>0.527722806887128</v>
      </c>
      <c r="AK43">
        <v>0.527722806887128</v>
      </c>
      <c r="AL43">
        <v>0.527722806887128</v>
      </c>
      <c r="AM43">
        <v>0.527722806887128</v>
      </c>
      <c r="AN43">
        <v>0.527722806887128</v>
      </c>
      <c r="AO43">
        <v>0.527722806887128</v>
      </c>
      <c r="AP43">
        <v>0.527722806887128</v>
      </c>
      <c r="AQ43">
        <v>0.527722806887128</v>
      </c>
      <c r="AR43">
        <v>0.527722806887128</v>
      </c>
      <c r="AS43">
        <v>0.527722806887128</v>
      </c>
      <c r="AT43">
        <v>0.527722806887128</v>
      </c>
      <c r="AU43" t="s">
        <v>364</v>
      </c>
    </row>
    <row r="44" spans="1:47">
      <c r="A44" t="s">
        <v>173</v>
      </c>
      <c r="B44" t="s">
        <v>184</v>
      </c>
      <c r="C44" t="s">
        <v>377</v>
      </c>
      <c r="D44" t="s">
        <v>364</v>
      </c>
      <c r="E44" t="s">
        <v>364</v>
      </c>
      <c r="F44" t="s">
        <v>365</v>
      </c>
      <c r="G44" t="s">
        <v>366</v>
      </c>
      <c r="H44" s="80" t="s">
        <v>364</v>
      </c>
      <c r="I44" s="80" t="s">
        <v>364</v>
      </c>
      <c r="J44" s="80" t="s">
        <v>364</v>
      </c>
      <c r="K44" s="80" t="s">
        <v>364</v>
      </c>
      <c r="L44" s="80">
        <v>0.932105736023111</v>
      </c>
      <c r="M44" s="80">
        <v>0.932105736023111</v>
      </c>
      <c r="N44" s="80">
        <v>0.932105736023111</v>
      </c>
      <c r="O44" s="80">
        <v>0.932105736023111</v>
      </c>
      <c r="P44" s="80">
        <v>0.932105736023111</v>
      </c>
      <c r="Q44">
        <v>0.932105736023111</v>
      </c>
      <c r="R44">
        <v>0.932105736023111</v>
      </c>
      <c r="S44">
        <v>0.932105736023111</v>
      </c>
      <c r="T44">
        <v>0.932105736023111</v>
      </c>
      <c r="U44">
        <v>0.932105736023111</v>
      </c>
      <c r="V44">
        <v>0.932105736023111</v>
      </c>
      <c r="W44">
        <v>0.932105736023111</v>
      </c>
      <c r="X44">
        <v>0.932105736023111</v>
      </c>
      <c r="Y44">
        <v>0.932105736023111</v>
      </c>
      <c r="Z44">
        <v>0.932105736023111</v>
      </c>
      <c r="AA44">
        <v>0.932105736023111</v>
      </c>
      <c r="AB44">
        <v>0.932105736023111</v>
      </c>
      <c r="AC44">
        <v>0.932105736023111</v>
      </c>
      <c r="AD44">
        <v>0.932105736023111</v>
      </c>
      <c r="AE44">
        <v>0.932105736023111</v>
      </c>
      <c r="AF44">
        <v>0.932105736023111</v>
      </c>
      <c r="AG44">
        <v>0.559263441613867</v>
      </c>
      <c r="AH44">
        <v>0.932105736023111</v>
      </c>
      <c r="AI44">
        <v>0.932105736023111</v>
      </c>
      <c r="AJ44">
        <v>0.932105736023111</v>
      </c>
      <c r="AK44">
        <v>0.932105736023111</v>
      </c>
      <c r="AL44">
        <v>0.932105736023111</v>
      </c>
      <c r="AM44">
        <v>0.932105736023111</v>
      </c>
      <c r="AN44">
        <v>0.932105736023111</v>
      </c>
      <c r="AO44">
        <v>0.932105736023111</v>
      </c>
      <c r="AP44">
        <v>0.932105736023111</v>
      </c>
      <c r="AQ44">
        <v>0.932105736023111</v>
      </c>
      <c r="AR44">
        <v>0.932105736023111</v>
      </c>
      <c r="AS44">
        <v>0.932105736023111</v>
      </c>
      <c r="AT44">
        <v>0.932105736023111</v>
      </c>
      <c r="AU44" t="s">
        <v>364</v>
      </c>
    </row>
    <row r="45" spans="1:47">
      <c r="A45" t="s">
        <v>173</v>
      </c>
      <c r="B45" t="s">
        <v>184</v>
      </c>
      <c r="C45" t="s">
        <v>378</v>
      </c>
      <c r="D45" t="s">
        <v>364</v>
      </c>
      <c r="E45" t="s">
        <v>364</v>
      </c>
      <c r="F45" t="s">
        <v>365</v>
      </c>
      <c r="G45" t="s">
        <v>366</v>
      </c>
      <c r="H45" s="80" t="s">
        <v>364</v>
      </c>
      <c r="I45" s="80" t="s">
        <v>364</v>
      </c>
      <c r="J45" s="80" t="s">
        <v>364</v>
      </c>
      <c r="K45" s="80" t="s">
        <v>364</v>
      </c>
      <c r="L45" s="80">
        <v>0.466052868011556</v>
      </c>
      <c r="M45" s="80">
        <v>0.466052868011556</v>
      </c>
      <c r="N45" s="80">
        <v>0.466052868011556</v>
      </c>
      <c r="O45" s="80">
        <v>0.466052868011556</v>
      </c>
      <c r="P45" s="80">
        <v>0.466052868011556</v>
      </c>
      <c r="Q45">
        <v>0.466052868011556</v>
      </c>
      <c r="R45">
        <v>0.466052868011556</v>
      </c>
      <c r="S45">
        <v>0.466052868011556</v>
      </c>
      <c r="T45">
        <v>0.466052868011556</v>
      </c>
      <c r="U45">
        <v>0.466052868011556</v>
      </c>
      <c r="V45">
        <v>0.466052868011556</v>
      </c>
      <c r="W45">
        <v>0.466052868011556</v>
      </c>
      <c r="X45">
        <v>0.466052868011556</v>
      </c>
      <c r="Y45">
        <v>0.466052868011556</v>
      </c>
      <c r="Z45">
        <v>0.466052868011556</v>
      </c>
      <c r="AA45">
        <v>0.466052868011556</v>
      </c>
      <c r="AB45">
        <v>0.466052868011556</v>
      </c>
      <c r="AC45">
        <v>0.466052868011556</v>
      </c>
      <c r="AD45">
        <v>0.466052868011556</v>
      </c>
      <c r="AE45">
        <v>0.466052868011556</v>
      </c>
      <c r="AF45">
        <v>0.466052868011556</v>
      </c>
      <c r="AG45">
        <v>0.279631720806933</v>
      </c>
      <c r="AH45">
        <v>0.466052868011556</v>
      </c>
      <c r="AI45">
        <v>0.466052868011556</v>
      </c>
      <c r="AJ45">
        <v>0.466052868011556</v>
      </c>
      <c r="AK45">
        <v>0.466052868011556</v>
      </c>
      <c r="AL45">
        <v>0.466052868011556</v>
      </c>
      <c r="AM45">
        <v>0.466052868011556</v>
      </c>
      <c r="AN45">
        <v>0.466052868011556</v>
      </c>
      <c r="AO45">
        <v>0.466052868011556</v>
      </c>
      <c r="AP45">
        <v>0.466052868011556</v>
      </c>
      <c r="AQ45">
        <v>0.466052868011556</v>
      </c>
      <c r="AR45">
        <v>0.466052868011556</v>
      </c>
      <c r="AS45">
        <v>0.466052868011556</v>
      </c>
      <c r="AT45">
        <v>0.466052868011556</v>
      </c>
      <c r="AU45" t="s">
        <v>364</v>
      </c>
    </row>
    <row r="46" spans="1:47">
      <c r="A46" t="s">
        <v>173</v>
      </c>
      <c r="B46" t="s">
        <v>184</v>
      </c>
      <c r="C46" t="s">
        <v>230</v>
      </c>
      <c r="D46" t="s">
        <v>364</v>
      </c>
      <c r="E46" t="s">
        <v>364</v>
      </c>
      <c r="F46" t="s">
        <v>365</v>
      </c>
      <c r="G46" t="s">
        <v>366</v>
      </c>
      <c r="H46" s="80" t="s">
        <v>364</v>
      </c>
      <c r="I46" s="80" t="s">
        <v>364</v>
      </c>
      <c r="J46" s="80" t="s">
        <v>364</v>
      </c>
      <c r="K46" s="80" t="s">
        <v>364</v>
      </c>
      <c r="L46" s="80">
        <v>0.466052868011556</v>
      </c>
      <c r="M46" s="80">
        <v>0.466052868011556</v>
      </c>
      <c r="N46" s="80">
        <v>0.466052868011556</v>
      </c>
      <c r="O46" s="80">
        <v>0.466052868011556</v>
      </c>
      <c r="P46" s="80">
        <v>0.466052868011556</v>
      </c>
      <c r="Q46">
        <v>0.466052868011556</v>
      </c>
      <c r="R46">
        <v>0.466052868011556</v>
      </c>
      <c r="S46">
        <v>0.466052868011556</v>
      </c>
      <c r="T46">
        <v>0.466052868011556</v>
      </c>
      <c r="U46">
        <v>0.466052868011556</v>
      </c>
      <c r="V46">
        <v>0.466052868011556</v>
      </c>
      <c r="W46">
        <v>0.466052868011556</v>
      </c>
      <c r="X46">
        <v>0.466052868011556</v>
      </c>
      <c r="Y46">
        <v>0.466052868011556</v>
      </c>
      <c r="Z46">
        <v>0.466052868011556</v>
      </c>
      <c r="AA46">
        <v>0.466052868011556</v>
      </c>
      <c r="AB46">
        <v>0.466052868011556</v>
      </c>
      <c r="AC46">
        <v>0.466052868011556</v>
      </c>
      <c r="AD46">
        <v>0.466052868011556</v>
      </c>
      <c r="AE46">
        <v>0.466052868011556</v>
      </c>
      <c r="AF46">
        <v>0.466052868011556</v>
      </c>
      <c r="AG46">
        <v>0.279631720806933</v>
      </c>
      <c r="AH46">
        <v>0.466052868011556</v>
      </c>
      <c r="AI46">
        <v>0.466052868011556</v>
      </c>
      <c r="AJ46">
        <v>0.466052868011556</v>
      </c>
      <c r="AK46">
        <v>0.466052868011556</v>
      </c>
      <c r="AL46">
        <v>0.466052868011556</v>
      </c>
      <c r="AM46">
        <v>0.466052868011556</v>
      </c>
      <c r="AN46">
        <v>0.466052868011556</v>
      </c>
      <c r="AO46">
        <v>0.466052868011556</v>
      </c>
      <c r="AP46">
        <v>0.466052868011556</v>
      </c>
      <c r="AQ46">
        <v>0.466052868011556</v>
      </c>
      <c r="AR46">
        <v>0.466052868011556</v>
      </c>
      <c r="AS46">
        <v>0.466052868011556</v>
      </c>
      <c r="AT46">
        <v>0.466052868011556</v>
      </c>
      <c r="AU46" t="s">
        <v>364</v>
      </c>
    </row>
    <row r="47" spans="1:47">
      <c r="A47" t="s">
        <v>173</v>
      </c>
      <c r="B47" t="s">
        <v>184</v>
      </c>
      <c r="C47" t="s">
        <v>379</v>
      </c>
      <c r="D47" t="s">
        <v>364</v>
      </c>
      <c r="E47" t="s">
        <v>364</v>
      </c>
      <c r="F47" t="s">
        <v>365</v>
      </c>
      <c r="G47" t="s">
        <v>366</v>
      </c>
      <c r="H47" s="80" t="s">
        <v>364</v>
      </c>
      <c r="I47" s="80" t="s">
        <v>364</v>
      </c>
      <c r="J47" s="80" t="s">
        <v>364</v>
      </c>
      <c r="K47" s="80" t="s">
        <v>364</v>
      </c>
      <c r="L47" s="80">
        <v>0.475531491178995</v>
      </c>
      <c r="M47" s="80">
        <v>0.475531491178995</v>
      </c>
      <c r="N47" s="80">
        <v>0.475531491178995</v>
      </c>
      <c r="O47" s="80">
        <v>0.475531491178995</v>
      </c>
      <c r="P47" s="80">
        <v>0.475531491178995</v>
      </c>
      <c r="Q47">
        <v>0.475531491178995</v>
      </c>
      <c r="R47">
        <v>0.475531491178995</v>
      </c>
      <c r="S47">
        <v>0.475531491178995</v>
      </c>
      <c r="T47">
        <v>0.475531491178995</v>
      </c>
      <c r="U47">
        <v>0.475531491178995</v>
      </c>
      <c r="V47">
        <v>0.475531491178995</v>
      </c>
      <c r="W47">
        <v>0.475531491178995</v>
      </c>
      <c r="X47">
        <v>0.475531491178995</v>
      </c>
      <c r="Y47">
        <v>0.475531491178995</v>
      </c>
      <c r="Z47">
        <v>0.475531491178995</v>
      </c>
      <c r="AA47">
        <v>0.475531491178995</v>
      </c>
      <c r="AB47">
        <v>0.475531491178995</v>
      </c>
      <c r="AC47">
        <v>0.475531491178995</v>
      </c>
      <c r="AD47">
        <v>0.475531491178995</v>
      </c>
      <c r="AE47">
        <v>0.475531491178995</v>
      </c>
      <c r="AF47">
        <v>0.475531491178995</v>
      </c>
      <c r="AG47">
        <v>0.285318894707397</v>
      </c>
      <c r="AH47">
        <v>0.475531491178995</v>
      </c>
      <c r="AI47">
        <v>0.475531491178995</v>
      </c>
      <c r="AJ47">
        <v>0.475531491178995</v>
      </c>
      <c r="AK47">
        <v>0.475531491178995</v>
      </c>
      <c r="AL47">
        <v>0.475531491178995</v>
      </c>
      <c r="AM47">
        <v>0.475531491178995</v>
      </c>
      <c r="AN47">
        <v>0.475531491178995</v>
      </c>
      <c r="AO47">
        <v>0.475531491178995</v>
      </c>
      <c r="AP47">
        <v>0.475531491178995</v>
      </c>
      <c r="AQ47">
        <v>0.475531491178995</v>
      </c>
      <c r="AR47">
        <v>0.475531491178995</v>
      </c>
      <c r="AS47">
        <v>0.475531491178995</v>
      </c>
      <c r="AT47">
        <v>0.475531491178995</v>
      </c>
      <c r="AU47" t="s">
        <v>364</v>
      </c>
    </row>
    <row r="48" spans="1:47">
      <c r="A48" t="s">
        <v>173</v>
      </c>
      <c r="B48" t="s">
        <v>184</v>
      </c>
      <c r="C48" t="s">
        <v>380</v>
      </c>
      <c r="D48" t="s">
        <v>364</v>
      </c>
      <c r="E48" t="s">
        <v>364</v>
      </c>
      <c r="F48" t="s">
        <v>365</v>
      </c>
      <c r="G48" t="s">
        <v>366</v>
      </c>
      <c r="H48" s="80" t="s">
        <v>364</v>
      </c>
      <c r="I48" s="80" t="s">
        <v>364</v>
      </c>
      <c r="J48" s="80" t="s">
        <v>364</v>
      </c>
      <c r="K48" s="80" t="s">
        <v>364</v>
      </c>
      <c r="L48" s="80">
        <v>0.429345439465179</v>
      </c>
      <c r="M48" s="80">
        <v>0.429345439465179</v>
      </c>
      <c r="N48" s="80">
        <v>0.429345439465179</v>
      </c>
      <c r="O48" s="80">
        <v>0.429345439465179</v>
      </c>
      <c r="P48" s="80">
        <v>0.429345439465179</v>
      </c>
      <c r="Q48">
        <v>0.429345439465179</v>
      </c>
      <c r="R48">
        <v>0.429345439465179</v>
      </c>
      <c r="S48">
        <v>0.429345439465179</v>
      </c>
      <c r="T48">
        <v>0.429345439465179</v>
      </c>
      <c r="U48">
        <v>0.429345439465179</v>
      </c>
      <c r="V48">
        <v>0.429345439465179</v>
      </c>
      <c r="W48">
        <v>0.429345439465179</v>
      </c>
      <c r="X48">
        <v>0.429345439465179</v>
      </c>
      <c r="Y48">
        <v>0.429345439465179</v>
      </c>
      <c r="Z48">
        <v>0.429345439465179</v>
      </c>
      <c r="AA48">
        <v>0.429345439465179</v>
      </c>
      <c r="AB48">
        <v>0.429345439465179</v>
      </c>
      <c r="AC48">
        <v>0.429345439465179</v>
      </c>
      <c r="AD48">
        <v>0.429345439465179</v>
      </c>
      <c r="AE48">
        <v>0.429345439465179</v>
      </c>
      <c r="AF48">
        <v>0.429345439465179</v>
      </c>
      <c r="AG48">
        <v>0.257607263679107</v>
      </c>
      <c r="AH48">
        <v>0.429345439465179</v>
      </c>
      <c r="AI48">
        <v>0.429345439465179</v>
      </c>
      <c r="AJ48">
        <v>0.429345439465179</v>
      </c>
      <c r="AK48">
        <v>0.429345439465179</v>
      </c>
      <c r="AL48">
        <v>0.429345439465179</v>
      </c>
      <c r="AM48">
        <v>0.429345439465179</v>
      </c>
      <c r="AN48">
        <v>0.429345439465179</v>
      </c>
      <c r="AO48">
        <v>0.429345439465179</v>
      </c>
      <c r="AP48">
        <v>0.429345439465179</v>
      </c>
      <c r="AQ48">
        <v>0.429345439465179</v>
      </c>
      <c r="AR48">
        <v>0.429345439465179</v>
      </c>
      <c r="AS48">
        <v>0.429345439465179</v>
      </c>
      <c r="AT48">
        <v>0.429345439465179</v>
      </c>
      <c r="AU48" t="s">
        <v>364</v>
      </c>
    </row>
    <row r="49" spans="1:47">
      <c r="A49" t="s">
        <v>173</v>
      </c>
      <c r="B49" t="s">
        <v>184</v>
      </c>
      <c r="C49" t="s">
        <v>381</v>
      </c>
      <c r="D49" t="s">
        <v>364</v>
      </c>
      <c r="E49" t="s">
        <v>364</v>
      </c>
      <c r="F49" t="s">
        <v>365</v>
      </c>
      <c r="G49" t="s">
        <v>366</v>
      </c>
      <c r="H49" s="80" t="s">
        <v>364</v>
      </c>
      <c r="I49" s="80" t="s">
        <v>364</v>
      </c>
      <c r="J49" s="80" t="s">
        <v>364</v>
      </c>
      <c r="K49" s="80" t="s">
        <v>364</v>
      </c>
      <c r="L49" s="80">
        <v>0.139365903767697</v>
      </c>
      <c r="M49" s="80">
        <v>0.139365903767697</v>
      </c>
      <c r="N49" s="80">
        <v>0.139365903767697</v>
      </c>
      <c r="O49" s="80">
        <v>0.139365903767697</v>
      </c>
      <c r="P49" s="80">
        <v>0.139365903767697</v>
      </c>
      <c r="Q49">
        <v>0.139365903767697</v>
      </c>
      <c r="R49">
        <v>0.139365903767697</v>
      </c>
      <c r="S49">
        <v>0.139365903767697</v>
      </c>
      <c r="T49">
        <v>0.139365903767697</v>
      </c>
      <c r="U49">
        <v>0.139365903767697</v>
      </c>
      <c r="V49">
        <v>0.139365903767697</v>
      </c>
      <c r="W49">
        <v>0.139365903767697</v>
      </c>
      <c r="X49">
        <v>0.139365903767697</v>
      </c>
      <c r="Y49">
        <v>0.139365903767697</v>
      </c>
      <c r="Z49">
        <v>0.139365903767697</v>
      </c>
      <c r="AA49">
        <v>0.139365903767697</v>
      </c>
      <c r="AB49">
        <v>0.139365903767697</v>
      </c>
      <c r="AC49">
        <v>0.139365903767697</v>
      </c>
      <c r="AD49">
        <v>0.139365903767697</v>
      </c>
      <c r="AE49">
        <v>0.139365903767697</v>
      </c>
      <c r="AF49">
        <v>0.139365903767697</v>
      </c>
      <c r="AG49">
        <v>0.139365903767697</v>
      </c>
      <c r="AH49">
        <v>0.139365903767697</v>
      </c>
      <c r="AI49">
        <v>0.139365903767697</v>
      </c>
      <c r="AJ49">
        <v>0.139365903767697</v>
      </c>
      <c r="AK49">
        <v>0.139365903767697</v>
      </c>
      <c r="AL49">
        <v>0.139365903767697</v>
      </c>
      <c r="AM49">
        <v>0.139365903767697</v>
      </c>
      <c r="AN49">
        <v>0.139365903767697</v>
      </c>
      <c r="AO49">
        <v>0.139365903767697</v>
      </c>
      <c r="AP49">
        <v>0.139365903767697</v>
      </c>
      <c r="AQ49">
        <v>0.139365903767697</v>
      </c>
      <c r="AR49">
        <v>0.139365903767697</v>
      </c>
      <c r="AS49">
        <v>0.139365903767697</v>
      </c>
      <c r="AT49">
        <v>0.139365903767697</v>
      </c>
      <c r="AU49" t="s">
        <v>364</v>
      </c>
    </row>
    <row r="50" spans="1:47">
      <c r="A50" t="s">
        <v>173</v>
      </c>
      <c r="B50" t="s">
        <v>184</v>
      </c>
      <c r="C50" t="s">
        <v>231</v>
      </c>
      <c r="D50" t="s">
        <v>364</v>
      </c>
      <c r="E50" t="s">
        <v>364</v>
      </c>
      <c r="F50" t="s">
        <v>365</v>
      </c>
      <c r="G50" t="s">
        <v>366</v>
      </c>
      <c r="H50" s="80" t="s">
        <v>364</v>
      </c>
      <c r="I50" s="80" t="s">
        <v>364</v>
      </c>
      <c r="J50" s="80" t="s">
        <v>364</v>
      </c>
      <c r="K50" s="80" t="s">
        <v>364</v>
      </c>
      <c r="L50" s="80">
        <v>0.139365903767697</v>
      </c>
      <c r="M50" s="80">
        <v>0.139365903767697</v>
      </c>
      <c r="N50" s="80">
        <v>0.139365903767697</v>
      </c>
      <c r="O50" s="80">
        <v>0.139365903767697</v>
      </c>
      <c r="P50" s="80">
        <v>0.139365903767697</v>
      </c>
      <c r="Q50">
        <v>0.139365903767697</v>
      </c>
      <c r="R50">
        <v>0.139365903767697</v>
      </c>
      <c r="S50">
        <v>0.139365903767697</v>
      </c>
      <c r="T50">
        <v>0.139365903767697</v>
      </c>
      <c r="U50">
        <v>0.139365903767697</v>
      </c>
      <c r="V50">
        <v>0.139365903767697</v>
      </c>
      <c r="W50">
        <v>0.139365903767697</v>
      </c>
      <c r="X50">
        <v>0.139365903767697</v>
      </c>
      <c r="Y50">
        <v>0.139365903767697</v>
      </c>
      <c r="Z50">
        <v>0.139365903767697</v>
      </c>
      <c r="AA50">
        <v>0.139365903767697</v>
      </c>
      <c r="AB50">
        <v>0.139365903767697</v>
      </c>
      <c r="AC50">
        <v>0.139365903767697</v>
      </c>
      <c r="AD50">
        <v>0.139365903767697</v>
      </c>
      <c r="AE50">
        <v>0.139365903767697</v>
      </c>
      <c r="AF50">
        <v>0.139365903767697</v>
      </c>
      <c r="AG50">
        <v>0.139365903767697</v>
      </c>
      <c r="AH50">
        <v>0.139365903767697</v>
      </c>
      <c r="AI50">
        <v>0.139365903767697</v>
      </c>
      <c r="AJ50">
        <v>0.139365903767697</v>
      </c>
      <c r="AK50">
        <v>0.139365903767697</v>
      </c>
      <c r="AL50">
        <v>0.139365903767697</v>
      </c>
      <c r="AM50">
        <v>0.139365903767697</v>
      </c>
      <c r="AN50">
        <v>0.139365903767697</v>
      </c>
      <c r="AO50">
        <v>0.139365903767697</v>
      </c>
      <c r="AP50">
        <v>0.139365903767697</v>
      </c>
      <c r="AQ50">
        <v>0.139365903767697</v>
      </c>
      <c r="AR50">
        <v>0.139365903767697</v>
      </c>
      <c r="AS50">
        <v>0.139365903767697</v>
      </c>
      <c r="AT50">
        <v>0.139365903767697</v>
      </c>
      <c r="AU50" t="s">
        <v>364</v>
      </c>
    </row>
    <row r="51" spans="1:47">
      <c r="A51" t="s">
        <v>173</v>
      </c>
      <c r="B51" t="s">
        <v>184</v>
      </c>
      <c r="C51" t="s">
        <v>382</v>
      </c>
      <c r="D51" t="s">
        <v>364</v>
      </c>
      <c r="E51" t="s">
        <v>364</v>
      </c>
      <c r="F51" t="s">
        <v>365</v>
      </c>
      <c r="G51" t="s">
        <v>366</v>
      </c>
      <c r="H51" s="80" t="s">
        <v>364</v>
      </c>
      <c r="I51" s="80" t="s">
        <v>364</v>
      </c>
      <c r="J51" s="80" t="s">
        <v>364</v>
      </c>
      <c r="K51" s="80" t="s">
        <v>364</v>
      </c>
      <c r="L51" s="80">
        <v>0.139365903767697</v>
      </c>
      <c r="M51" s="80">
        <v>0.139365903767697</v>
      </c>
      <c r="N51" s="80">
        <v>0.139365903767697</v>
      </c>
      <c r="O51" s="80">
        <v>0.139365903767697</v>
      </c>
      <c r="P51" s="80">
        <v>0.139365903767697</v>
      </c>
      <c r="Q51">
        <v>0.139365903767697</v>
      </c>
      <c r="R51">
        <v>0.139365903767697</v>
      </c>
      <c r="S51">
        <v>0.139365903767697</v>
      </c>
      <c r="T51">
        <v>0.139365903767697</v>
      </c>
      <c r="U51">
        <v>0.139365903767697</v>
      </c>
      <c r="V51">
        <v>0.139365903767697</v>
      </c>
      <c r="W51">
        <v>0.139365903767697</v>
      </c>
      <c r="X51">
        <v>0.139365903767697</v>
      </c>
      <c r="Y51">
        <v>0.139365903767697</v>
      </c>
      <c r="Z51">
        <v>0.139365903767697</v>
      </c>
      <c r="AA51">
        <v>0.139365903767697</v>
      </c>
      <c r="AB51">
        <v>0.139365903767697</v>
      </c>
      <c r="AC51">
        <v>0.139365903767697</v>
      </c>
      <c r="AD51">
        <v>0.139365903767697</v>
      </c>
      <c r="AE51">
        <v>0.139365903767697</v>
      </c>
      <c r="AF51">
        <v>0.139365903767697</v>
      </c>
      <c r="AG51">
        <v>0.139365903767697</v>
      </c>
      <c r="AH51">
        <v>0.139365903767697</v>
      </c>
      <c r="AI51">
        <v>0.139365903767697</v>
      </c>
      <c r="AJ51">
        <v>0.139365903767697</v>
      </c>
      <c r="AK51">
        <v>0.139365903767697</v>
      </c>
      <c r="AL51">
        <v>0.139365903767697</v>
      </c>
      <c r="AM51">
        <v>0.139365903767697</v>
      </c>
      <c r="AN51">
        <v>0.139365903767697</v>
      </c>
      <c r="AO51">
        <v>0.139365903767697</v>
      </c>
      <c r="AP51">
        <v>0.139365903767697</v>
      </c>
      <c r="AQ51">
        <v>0.139365903767697</v>
      </c>
      <c r="AR51">
        <v>0.139365903767697</v>
      </c>
      <c r="AS51">
        <v>0.139365903767697</v>
      </c>
      <c r="AT51">
        <v>0.139365903767697</v>
      </c>
      <c r="AU51" t="s">
        <v>364</v>
      </c>
    </row>
    <row r="52" spans="1:47">
      <c r="A52" t="s">
        <v>173</v>
      </c>
      <c r="B52" t="s">
        <v>184</v>
      </c>
      <c r="C52" t="s">
        <v>383</v>
      </c>
      <c r="D52" t="s">
        <v>364</v>
      </c>
      <c r="E52" t="s">
        <v>364</v>
      </c>
      <c r="F52" t="s">
        <v>365</v>
      </c>
      <c r="G52" t="s">
        <v>366</v>
      </c>
      <c r="H52" s="80" t="s">
        <v>364</v>
      </c>
      <c r="I52" s="80" t="s">
        <v>364</v>
      </c>
      <c r="J52" s="80" t="s">
        <v>364</v>
      </c>
      <c r="K52" s="80" t="s">
        <v>364</v>
      </c>
      <c r="L52" s="80">
        <v>0.379626024625345</v>
      </c>
      <c r="M52" s="80">
        <v>0.379626024625345</v>
      </c>
      <c r="N52" s="80">
        <v>0.379626024625345</v>
      </c>
      <c r="O52" s="80">
        <v>0.379626024625345</v>
      </c>
      <c r="P52" s="80">
        <v>0.379626024625345</v>
      </c>
      <c r="Q52">
        <v>0.379626024625345</v>
      </c>
      <c r="R52">
        <v>0.379626024625345</v>
      </c>
      <c r="S52">
        <v>0.379626024625345</v>
      </c>
      <c r="T52">
        <v>0.379626024625345</v>
      </c>
      <c r="U52">
        <v>0.379626024625345</v>
      </c>
      <c r="V52">
        <v>0.379626024625345</v>
      </c>
      <c r="W52">
        <v>0.379626024625345</v>
      </c>
      <c r="X52">
        <v>0.379626024625345</v>
      </c>
      <c r="Y52">
        <v>0.379626024625345</v>
      </c>
      <c r="Z52">
        <v>0.379626024625345</v>
      </c>
      <c r="AA52">
        <v>0.379626024625345</v>
      </c>
      <c r="AB52">
        <v>0.379626024625345</v>
      </c>
      <c r="AC52">
        <v>0.379626024625345</v>
      </c>
      <c r="AD52">
        <v>0.379626024625345</v>
      </c>
      <c r="AE52">
        <v>0.379626024625345</v>
      </c>
      <c r="AF52">
        <v>0.379626024625345</v>
      </c>
      <c r="AG52">
        <v>0.379626024625345</v>
      </c>
      <c r="AH52">
        <v>0.379626024625345</v>
      </c>
      <c r="AI52">
        <v>0.379626024625345</v>
      </c>
      <c r="AJ52">
        <v>0.379626024625345</v>
      </c>
      <c r="AK52">
        <v>0.379626024625345</v>
      </c>
      <c r="AL52">
        <v>0.379626024625345</v>
      </c>
      <c r="AM52">
        <v>0.379626024625345</v>
      </c>
      <c r="AN52">
        <v>0.379626024625345</v>
      </c>
      <c r="AO52">
        <v>0.379626024625345</v>
      </c>
      <c r="AP52">
        <v>0.379626024625345</v>
      </c>
      <c r="AQ52">
        <v>0.379626024625345</v>
      </c>
      <c r="AR52">
        <v>0.379626024625345</v>
      </c>
      <c r="AS52">
        <v>0.379626024625345</v>
      </c>
      <c r="AT52">
        <v>0.379626024625345</v>
      </c>
      <c r="AU52" t="s">
        <v>364</v>
      </c>
    </row>
    <row r="53" spans="1:47">
      <c r="A53" t="s">
        <v>173</v>
      </c>
      <c r="B53" t="s">
        <v>184</v>
      </c>
      <c r="C53" t="s">
        <v>232</v>
      </c>
      <c r="D53" t="s">
        <v>364</v>
      </c>
      <c r="E53" t="s">
        <v>364</v>
      </c>
      <c r="F53" t="s">
        <v>365</v>
      </c>
      <c r="G53" t="s">
        <v>366</v>
      </c>
      <c r="H53" s="80" t="s">
        <v>364</v>
      </c>
      <c r="I53" s="80" t="s">
        <v>364</v>
      </c>
      <c r="J53" s="80" t="s">
        <v>364</v>
      </c>
      <c r="K53" s="80" t="s">
        <v>364</v>
      </c>
      <c r="L53" s="80">
        <v>0.379626024625345</v>
      </c>
      <c r="M53" s="80">
        <v>0.379626024625345</v>
      </c>
      <c r="N53" s="80">
        <v>0.379626024625345</v>
      </c>
      <c r="O53" s="80">
        <v>0.379626024625345</v>
      </c>
      <c r="P53" s="80">
        <v>0.379626024625345</v>
      </c>
      <c r="Q53">
        <v>0.379626024625345</v>
      </c>
      <c r="R53">
        <v>0.379626024625345</v>
      </c>
      <c r="S53">
        <v>0.379626024625345</v>
      </c>
      <c r="T53">
        <v>0.379626024625345</v>
      </c>
      <c r="U53">
        <v>0.379626024625345</v>
      </c>
      <c r="V53">
        <v>0.379626024625345</v>
      </c>
      <c r="W53">
        <v>0.379626024625345</v>
      </c>
      <c r="X53">
        <v>0.379626024625345</v>
      </c>
      <c r="Y53">
        <v>0.379626024625345</v>
      </c>
      <c r="Z53">
        <v>0.379626024625345</v>
      </c>
      <c r="AA53">
        <v>0.379626024625345</v>
      </c>
      <c r="AB53">
        <v>0.379626024625345</v>
      </c>
      <c r="AC53">
        <v>0.379626024625345</v>
      </c>
      <c r="AD53">
        <v>0.379626024625345</v>
      </c>
      <c r="AE53">
        <v>0.379626024625345</v>
      </c>
      <c r="AF53">
        <v>0.379626024625345</v>
      </c>
      <c r="AG53">
        <v>0.379626024625345</v>
      </c>
      <c r="AH53">
        <v>0.379626024625345</v>
      </c>
      <c r="AI53">
        <v>0.379626024625345</v>
      </c>
      <c r="AJ53">
        <v>0.379626024625345</v>
      </c>
      <c r="AK53">
        <v>0.379626024625345</v>
      </c>
      <c r="AL53">
        <v>0.379626024625345</v>
      </c>
      <c r="AM53">
        <v>0.379626024625345</v>
      </c>
      <c r="AN53">
        <v>0.379626024625345</v>
      </c>
      <c r="AO53">
        <v>0.379626024625345</v>
      </c>
      <c r="AP53">
        <v>0.379626024625345</v>
      </c>
      <c r="AQ53">
        <v>0.379626024625345</v>
      </c>
      <c r="AR53">
        <v>0.379626024625345</v>
      </c>
      <c r="AS53">
        <v>0.379626024625345</v>
      </c>
      <c r="AT53">
        <v>0.379626024625345</v>
      </c>
      <c r="AU53" t="s">
        <v>364</v>
      </c>
    </row>
    <row r="54" spans="1:47">
      <c r="A54" t="s">
        <v>173</v>
      </c>
      <c r="B54" t="s">
        <v>184</v>
      </c>
      <c r="C54" t="s">
        <v>384</v>
      </c>
      <c r="D54" t="s">
        <v>364</v>
      </c>
      <c r="E54" t="s">
        <v>364</v>
      </c>
      <c r="F54" t="s">
        <v>365</v>
      </c>
      <c r="G54" t="s">
        <v>366</v>
      </c>
      <c r="H54" s="80" t="s">
        <v>364</v>
      </c>
      <c r="I54" s="80" t="s">
        <v>364</v>
      </c>
      <c r="J54" s="80" t="s">
        <v>364</v>
      </c>
      <c r="K54" s="80" t="s">
        <v>364</v>
      </c>
      <c r="L54" s="80">
        <v>0.745426473864409</v>
      </c>
      <c r="M54" s="80">
        <v>0.745426473864409</v>
      </c>
      <c r="N54" s="80">
        <v>0.745426473864409</v>
      </c>
      <c r="O54" s="80">
        <v>0.745426473864409</v>
      </c>
      <c r="P54" s="80">
        <v>0.745426473864409</v>
      </c>
      <c r="Q54">
        <v>0.745426473864409</v>
      </c>
      <c r="R54">
        <v>0.745426473864409</v>
      </c>
      <c r="S54">
        <v>0.745426473864409</v>
      </c>
      <c r="T54">
        <v>0.745426473864409</v>
      </c>
      <c r="U54">
        <v>0.745426473864409</v>
      </c>
      <c r="V54">
        <v>0.745426473864409</v>
      </c>
      <c r="W54">
        <v>0.745426473864409</v>
      </c>
      <c r="X54">
        <v>0.745426473864409</v>
      </c>
      <c r="Y54">
        <v>0.745426473864409</v>
      </c>
      <c r="Z54">
        <v>0.745426473864409</v>
      </c>
      <c r="AA54">
        <v>0.745426473864409</v>
      </c>
      <c r="AB54">
        <v>0.745426473864409</v>
      </c>
      <c r="AC54">
        <v>0.745426473864409</v>
      </c>
      <c r="AD54">
        <v>0.745426473864409</v>
      </c>
      <c r="AE54">
        <v>0.745426473864409</v>
      </c>
      <c r="AF54">
        <v>0.745426473864409</v>
      </c>
      <c r="AG54">
        <v>0.745426473864409</v>
      </c>
      <c r="AH54">
        <v>0.745426473864409</v>
      </c>
      <c r="AI54">
        <v>0.745426473864409</v>
      </c>
      <c r="AJ54">
        <v>0.745426473864409</v>
      </c>
      <c r="AK54">
        <v>0.745426473864409</v>
      </c>
      <c r="AL54">
        <v>0.745426473864409</v>
      </c>
      <c r="AM54">
        <v>0.745426473864409</v>
      </c>
      <c r="AN54">
        <v>0.745426473864409</v>
      </c>
      <c r="AO54">
        <v>0.745426473864409</v>
      </c>
      <c r="AP54">
        <v>0.745426473864409</v>
      </c>
      <c r="AQ54">
        <v>0.745426473864409</v>
      </c>
      <c r="AR54">
        <v>0.745426473864409</v>
      </c>
      <c r="AS54">
        <v>0.745426473864409</v>
      </c>
      <c r="AT54">
        <v>0.745426473864409</v>
      </c>
      <c r="AU54" t="s">
        <v>364</v>
      </c>
    </row>
    <row r="55" spans="1:47">
      <c r="A55" t="s">
        <v>173</v>
      </c>
      <c r="B55" t="s">
        <v>184</v>
      </c>
      <c r="C55" t="s">
        <v>385</v>
      </c>
      <c r="D55" t="s">
        <v>364</v>
      </c>
      <c r="E55" t="s">
        <v>364</v>
      </c>
      <c r="F55" t="s">
        <v>365</v>
      </c>
      <c r="G55" t="s">
        <v>366</v>
      </c>
      <c r="H55" s="80" t="s">
        <v>364</v>
      </c>
      <c r="I55" s="80" t="s">
        <v>364</v>
      </c>
      <c r="J55" s="80" t="s">
        <v>364</v>
      </c>
      <c r="K55" s="80" t="s">
        <v>364</v>
      </c>
      <c r="L55" s="80">
        <v>0.372713236932204</v>
      </c>
      <c r="M55" s="80">
        <v>0.372713236932204</v>
      </c>
      <c r="N55" s="80">
        <v>0.372713236932204</v>
      </c>
      <c r="O55" s="80">
        <v>0.372713236932204</v>
      </c>
      <c r="P55" s="80">
        <v>0.372713236932204</v>
      </c>
      <c r="Q55">
        <v>0.372713236932204</v>
      </c>
      <c r="R55">
        <v>0.372713236932204</v>
      </c>
      <c r="S55">
        <v>0.372713236932204</v>
      </c>
      <c r="T55">
        <v>0.372713236932204</v>
      </c>
      <c r="U55">
        <v>0.372713236932204</v>
      </c>
      <c r="V55">
        <v>0.372713236932204</v>
      </c>
      <c r="W55">
        <v>0.372713236932204</v>
      </c>
      <c r="X55">
        <v>0.372713236932204</v>
      </c>
      <c r="Y55">
        <v>0.372713236932204</v>
      </c>
      <c r="Z55">
        <v>0.372713236932204</v>
      </c>
      <c r="AA55">
        <v>0.372713236932204</v>
      </c>
      <c r="AB55">
        <v>0.372713236932204</v>
      </c>
      <c r="AC55">
        <v>0.372713236932204</v>
      </c>
      <c r="AD55">
        <v>0.372713236932204</v>
      </c>
      <c r="AE55">
        <v>0.372713236932204</v>
      </c>
      <c r="AF55">
        <v>0.372713236932204</v>
      </c>
      <c r="AG55">
        <v>0.372713236932204</v>
      </c>
      <c r="AH55">
        <v>0.372713236932204</v>
      </c>
      <c r="AI55">
        <v>0.372713236932204</v>
      </c>
      <c r="AJ55">
        <v>0.372713236932204</v>
      </c>
      <c r="AK55">
        <v>0.372713236932204</v>
      </c>
      <c r="AL55">
        <v>0.372713236932204</v>
      </c>
      <c r="AM55">
        <v>0.372713236932204</v>
      </c>
      <c r="AN55">
        <v>0.372713236932204</v>
      </c>
      <c r="AO55">
        <v>0.372713236932204</v>
      </c>
      <c r="AP55">
        <v>0.372713236932204</v>
      </c>
      <c r="AQ55">
        <v>0.372713236932204</v>
      </c>
      <c r="AR55">
        <v>0.372713236932204</v>
      </c>
      <c r="AS55">
        <v>0.372713236932204</v>
      </c>
      <c r="AT55">
        <v>0.372713236932204</v>
      </c>
      <c r="AU55" t="s">
        <v>364</v>
      </c>
    </row>
    <row r="56" spans="1:47">
      <c r="A56" t="s">
        <v>173</v>
      </c>
      <c r="B56" t="s">
        <v>184</v>
      </c>
      <c r="C56" t="s">
        <v>386</v>
      </c>
      <c r="D56" t="s">
        <v>364</v>
      </c>
      <c r="E56" t="s">
        <v>364</v>
      </c>
      <c r="F56" t="s">
        <v>365</v>
      </c>
      <c r="G56" t="s">
        <v>366</v>
      </c>
      <c r="H56" s="80" t="s">
        <v>364</v>
      </c>
      <c r="I56" s="80" t="s">
        <v>364</v>
      </c>
      <c r="J56" s="80" t="s">
        <v>364</v>
      </c>
      <c r="K56" s="80" t="s">
        <v>364</v>
      </c>
      <c r="L56" s="80">
        <v>0.440757335287194</v>
      </c>
      <c r="M56" s="80">
        <v>0.440757335287194</v>
      </c>
      <c r="N56" s="80">
        <v>0.440757335287194</v>
      </c>
      <c r="O56" s="80">
        <v>0.440757335287194</v>
      </c>
      <c r="P56" s="80">
        <v>0.440757335287194</v>
      </c>
      <c r="Q56">
        <v>0.440757335287194</v>
      </c>
      <c r="R56">
        <v>0.440757335287194</v>
      </c>
      <c r="S56">
        <v>0.440757335287194</v>
      </c>
      <c r="T56">
        <v>0.440757335287194</v>
      </c>
      <c r="U56">
        <v>0.440757335287194</v>
      </c>
      <c r="V56">
        <v>0.440757335287194</v>
      </c>
      <c r="W56">
        <v>0.440757335287194</v>
      </c>
      <c r="X56">
        <v>0.440757335287194</v>
      </c>
      <c r="Y56">
        <v>0.440757335287194</v>
      </c>
      <c r="Z56">
        <v>0.440757335287194</v>
      </c>
      <c r="AA56">
        <v>0.440757335287194</v>
      </c>
      <c r="AB56">
        <v>0.440757335287194</v>
      </c>
      <c r="AC56">
        <v>0.440757335287194</v>
      </c>
      <c r="AD56">
        <v>0.440757335287194</v>
      </c>
      <c r="AE56">
        <v>0.440757335287194</v>
      </c>
      <c r="AF56">
        <v>0.440757335287194</v>
      </c>
      <c r="AG56">
        <v>0.440757335287194</v>
      </c>
      <c r="AH56">
        <v>0.440757335287194</v>
      </c>
      <c r="AI56">
        <v>0.440757335287194</v>
      </c>
      <c r="AJ56">
        <v>0.440757335287194</v>
      </c>
      <c r="AK56">
        <v>0.440757335287194</v>
      </c>
      <c r="AL56">
        <v>0.440757335287194</v>
      </c>
      <c r="AM56">
        <v>0.440757335287194</v>
      </c>
      <c r="AN56">
        <v>0.440757335287194</v>
      </c>
      <c r="AO56">
        <v>0.440757335287194</v>
      </c>
      <c r="AP56">
        <v>0.440757335287194</v>
      </c>
      <c r="AQ56">
        <v>0.440757335287194</v>
      </c>
      <c r="AR56">
        <v>0.440757335287194</v>
      </c>
      <c r="AS56">
        <v>0.440757335287194</v>
      </c>
      <c r="AT56">
        <v>0.440757335287194</v>
      </c>
      <c r="AU56" t="s">
        <v>364</v>
      </c>
    </row>
    <row r="57" spans="1:47">
      <c r="A57" t="s">
        <v>173</v>
      </c>
      <c r="B57" t="s">
        <v>184</v>
      </c>
      <c r="C57" t="s">
        <v>387</v>
      </c>
      <c r="D57" t="s">
        <v>364</v>
      </c>
      <c r="E57" t="s">
        <v>364</v>
      </c>
      <c r="F57" t="s">
        <v>365</v>
      </c>
      <c r="G57" t="s">
        <v>366</v>
      </c>
      <c r="H57" s="80" t="s">
        <v>364</v>
      </c>
      <c r="I57" s="80" t="s">
        <v>364</v>
      </c>
      <c r="J57" s="80" t="s">
        <v>364</v>
      </c>
      <c r="K57" s="80" t="s">
        <v>364</v>
      </c>
      <c r="L57" s="80">
        <v>0.329484430322726</v>
      </c>
      <c r="M57" s="80">
        <v>0.329484430322726</v>
      </c>
      <c r="N57" s="80">
        <v>0.329484430322726</v>
      </c>
      <c r="O57" s="80">
        <v>0.329484430322726</v>
      </c>
      <c r="P57" s="80">
        <v>0.329484430322726</v>
      </c>
      <c r="Q57">
        <v>0.329484430322726</v>
      </c>
      <c r="R57">
        <v>0.329484430322726</v>
      </c>
      <c r="S57">
        <v>0.329484430322726</v>
      </c>
      <c r="T57">
        <v>0.329484430322726</v>
      </c>
      <c r="U57">
        <v>0.329484430322726</v>
      </c>
      <c r="V57">
        <v>0.329484430322726</v>
      </c>
      <c r="W57">
        <v>0.329484430322726</v>
      </c>
      <c r="X57">
        <v>0.329484430322726</v>
      </c>
      <c r="Y57">
        <v>0.329484430322726</v>
      </c>
      <c r="Z57">
        <v>0.329484430322726</v>
      </c>
      <c r="AA57">
        <v>0.329484430322726</v>
      </c>
      <c r="AB57">
        <v>0.329484430322726</v>
      </c>
      <c r="AC57">
        <v>0.329484430322726</v>
      </c>
      <c r="AD57">
        <v>0.329484430322726</v>
      </c>
      <c r="AE57">
        <v>0.329484430322726</v>
      </c>
      <c r="AF57">
        <v>0.329484430322726</v>
      </c>
      <c r="AG57">
        <v>0.329484430322726</v>
      </c>
      <c r="AH57">
        <v>0.329484430322726</v>
      </c>
      <c r="AI57">
        <v>0.329484430322726</v>
      </c>
      <c r="AJ57">
        <v>0.329484430322726</v>
      </c>
      <c r="AK57">
        <v>0.329484430322726</v>
      </c>
      <c r="AL57">
        <v>0.329484430322726</v>
      </c>
      <c r="AM57">
        <v>0.329484430322726</v>
      </c>
      <c r="AN57">
        <v>0.329484430322726</v>
      </c>
      <c r="AO57">
        <v>0.329484430322726</v>
      </c>
      <c r="AP57">
        <v>0.329484430322726</v>
      </c>
      <c r="AQ57">
        <v>0.329484430322726</v>
      </c>
      <c r="AR57">
        <v>0.329484430322726</v>
      </c>
      <c r="AS57">
        <v>0.329484430322726</v>
      </c>
      <c r="AT57">
        <v>0.329484430322726</v>
      </c>
      <c r="AU57" t="s">
        <v>364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BC125"/>
  <sheetViews>
    <sheetView zoomScale="54" zoomScaleNormal="54" topLeftCell="R13" workbookViewId="0">
      <selection activeCell="AD25" sqref="AD25"/>
    </sheetView>
  </sheetViews>
  <sheetFormatPr defaultColWidth="8.72727272727273" defaultRowHeight="12.5"/>
  <cols>
    <col min="1" max="9" width="8.71818181818182" style="4"/>
    <col min="10" max="10" width="11.4272727272727" style="4" customWidth="1"/>
    <col min="11" max="11" width="26" style="4" customWidth="1"/>
    <col min="12" max="12" width="11.1454545454545" style="4" customWidth="1"/>
    <col min="13" max="13" width="9.14545454545454" style="4"/>
    <col min="14" max="16" width="8.71818181818182" style="4"/>
    <col min="17" max="17" width="40.4272727272727" style="4" customWidth="1"/>
    <col min="18" max="18" width="44.7181818181818" style="4" customWidth="1"/>
    <col min="19" max="22" width="12.8545454545455" style="4"/>
    <col min="23" max="23" width="26" style="4" customWidth="1"/>
    <col min="24" max="26" width="12.8545454545455" style="4"/>
    <col min="27" max="28" width="8.71818181818182" style="4"/>
    <col min="29" max="29" width="26" style="4" customWidth="1"/>
    <col min="30" max="30" width="27.4272727272727" style="4" customWidth="1"/>
    <col min="31" max="34" width="8.71818181818182" style="4"/>
    <col min="35" max="35" width="21.5727272727273" style="4" customWidth="1"/>
    <col min="36" max="40" width="8.71818181818182" style="4"/>
    <col min="41" max="41" width="21.8545454545455" style="4" customWidth="1"/>
    <col min="42" max="46" width="8.71818181818182" style="4"/>
    <col min="47" max="47" width="20.5727272727273" style="4" customWidth="1"/>
    <col min="48" max="48" width="33.5727272727273" style="4" customWidth="1"/>
    <col min="49" max="52" width="8.71818181818182" style="4"/>
    <col min="53" max="53" width="20.5727272727273" style="4" customWidth="1"/>
    <col min="54" max="16384" width="8.71818181818182" style="4"/>
  </cols>
  <sheetData>
    <row r="4" s="58" customFormat="1" ht="14.5" spans="4:55">
      <c r="D4" s="60"/>
      <c r="E4" s="60"/>
      <c r="F4" s="60"/>
      <c r="G4" s="60"/>
      <c r="H4" s="61"/>
      <c r="I4" s="61"/>
      <c r="J4" s="60"/>
      <c r="K4" s="60"/>
      <c r="L4" s="21" t="s">
        <v>388</v>
      </c>
      <c r="M4" s="60"/>
      <c r="N4" s="61"/>
      <c r="O4" s="61"/>
      <c r="P4" s="61"/>
      <c r="Q4" s="61"/>
      <c r="R4" s="21" t="s">
        <v>388</v>
      </c>
      <c r="S4" s="61"/>
      <c r="T4" s="61"/>
      <c r="U4" s="61"/>
      <c r="V4" s="61"/>
      <c r="W4" s="61"/>
      <c r="X4" s="21" t="s">
        <v>388</v>
      </c>
      <c r="Y4" s="61"/>
      <c r="Z4" s="61"/>
      <c r="AA4" s="61"/>
      <c r="AB4" s="61"/>
      <c r="AC4" s="61"/>
      <c r="AD4" s="21" t="s">
        <v>388</v>
      </c>
      <c r="AE4" s="61"/>
      <c r="AF4" s="61"/>
      <c r="AG4" s="61"/>
      <c r="AH4" s="61"/>
      <c r="AI4" s="61"/>
      <c r="AJ4" s="21" t="s">
        <v>388</v>
      </c>
      <c r="AK4" s="61"/>
      <c r="AL4" s="61"/>
      <c r="AM4" s="61"/>
      <c r="AN4" s="61"/>
      <c r="AO4" s="61"/>
      <c r="AP4" s="21" t="s">
        <v>388</v>
      </c>
      <c r="AQ4" s="61"/>
      <c r="AT4" s="61"/>
      <c r="AU4" s="61"/>
      <c r="AV4" s="21" t="s">
        <v>388</v>
      </c>
      <c r="AW4" s="61"/>
      <c r="AZ4" s="4"/>
      <c r="BA4" s="4"/>
      <c r="BB4" s="4"/>
      <c r="BC4" s="4"/>
    </row>
    <row r="5" s="58" customFormat="1" ht="14.5" spans="4:55">
      <c r="D5" s="60"/>
      <c r="E5" s="60"/>
      <c r="F5" s="62"/>
      <c r="G5" s="60"/>
      <c r="H5" s="61"/>
      <c r="I5" s="61"/>
      <c r="J5" s="21" t="s">
        <v>197</v>
      </c>
      <c r="K5" s="21" t="s">
        <v>66</v>
      </c>
      <c r="L5" s="21" t="s">
        <v>172</v>
      </c>
      <c r="M5" s="21" t="s">
        <v>25</v>
      </c>
      <c r="N5" s="61" t="s">
        <v>41</v>
      </c>
      <c r="O5" s="61"/>
      <c r="P5" s="21" t="s">
        <v>197</v>
      </c>
      <c r="Q5" s="21" t="s">
        <v>66</v>
      </c>
      <c r="R5" s="21" t="s">
        <v>172</v>
      </c>
      <c r="S5" s="21" t="s">
        <v>25</v>
      </c>
      <c r="T5" s="61" t="s">
        <v>41</v>
      </c>
      <c r="U5" s="61"/>
      <c r="V5" s="21" t="s">
        <v>197</v>
      </c>
      <c r="W5" s="21" t="s">
        <v>66</v>
      </c>
      <c r="X5" s="21" t="s">
        <v>172</v>
      </c>
      <c r="Y5" s="21" t="s">
        <v>25</v>
      </c>
      <c r="Z5" s="61" t="s">
        <v>41</v>
      </c>
      <c r="AA5" s="61"/>
      <c r="AB5" s="21" t="s">
        <v>197</v>
      </c>
      <c r="AC5" s="21" t="s">
        <v>66</v>
      </c>
      <c r="AD5" s="21" t="s">
        <v>172</v>
      </c>
      <c r="AE5" s="21" t="s">
        <v>25</v>
      </c>
      <c r="AF5" s="61" t="s">
        <v>41</v>
      </c>
      <c r="AG5" s="61"/>
      <c r="AH5" s="21" t="s">
        <v>197</v>
      </c>
      <c r="AI5" s="21" t="s">
        <v>66</v>
      </c>
      <c r="AJ5" s="21" t="s">
        <v>172</v>
      </c>
      <c r="AK5" s="21" t="s">
        <v>25</v>
      </c>
      <c r="AL5" s="61" t="s">
        <v>41</v>
      </c>
      <c r="AM5" s="61"/>
      <c r="AN5" s="21" t="s">
        <v>197</v>
      </c>
      <c r="AO5" s="21" t="s">
        <v>66</v>
      </c>
      <c r="AP5" s="21" t="s">
        <v>172</v>
      </c>
      <c r="AQ5" s="21" t="s">
        <v>25</v>
      </c>
      <c r="AR5" s="61" t="s">
        <v>41</v>
      </c>
      <c r="AT5" s="21" t="s">
        <v>197</v>
      </c>
      <c r="AU5" s="21" t="s">
        <v>66</v>
      </c>
      <c r="AV5" s="21" t="s">
        <v>172</v>
      </c>
      <c r="AW5" s="21" t="s">
        <v>25</v>
      </c>
      <c r="AX5" s="61" t="s">
        <v>41</v>
      </c>
      <c r="AZ5" s="4"/>
      <c r="BA5" s="4"/>
      <c r="BB5" s="4"/>
      <c r="BC5" s="4"/>
    </row>
    <row r="6" s="58" customFormat="1" ht="16" spans="4:55">
      <c r="D6" s="60"/>
      <c r="E6" s="63"/>
      <c r="F6" s="62"/>
      <c r="G6" s="64"/>
      <c r="H6" s="61"/>
      <c r="I6" s="61"/>
      <c r="J6" s="60" t="s">
        <v>201</v>
      </c>
      <c r="K6" s="63" t="s">
        <v>81</v>
      </c>
      <c r="L6" s="55" t="s">
        <v>389</v>
      </c>
      <c r="M6" s="65">
        <f t="shared" ref="M6:M9" si="0" xml:space="preserve">M16/1000</f>
        <v>0.0768000000000001</v>
      </c>
      <c r="N6" s="61">
        <v>2019</v>
      </c>
      <c r="O6" s="61"/>
      <c r="P6" s="60" t="s">
        <v>201</v>
      </c>
      <c r="Q6" s="63" t="s">
        <v>86</v>
      </c>
      <c r="R6" s="55" t="s">
        <v>389</v>
      </c>
      <c r="S6" s="65">
        <f t="shared" ref="S6:S9" si="1" xml:space="preserve">S16/1000</f>
        <v>0.0713</v>
      </c>
      <c r="T6" s="61">
        <v>2019</v>
      </c>
      <c r="U6" s="61"/>
      <c r="V6" s="60" t="s">
        <v>201</v>
      </c>
      <c r="W6" s="63" t="s">
        <v>90</v>
      </c>
      <c r="X6" s="55" t="s">
        <v>389</v>
      </c>
      <c r="Y6" s="65">
        <f t="shared" ref="Y6:Y9" si="2" xml:space="preserve">Y16/1000</f>
        <v>0.0712</v>
      </c>
      <c r="Z6" s="61">
        <v>2019</v>
      </c>
      <c r="AA6" s="61"/>
      <c r="AB6" s="60" t="s">
        <v>201</v>
      </c>
      <c r="AC6" s="63" t="s">
        <v>94</v>
      </c>
      <c r="AD6" s="55" t="s">
        <v>389</v>
      </c>
      <c r="AE6" s="65">
        <f t="shared" ref="AE6:AE9" si="3" xml:space="preserve">AE16/1000</f>
        <v>0.0725</v>
      </c>
      <c r="AF6" s="61">
        <v>2019</v>
      </c>
      <c r="AG6" s="61"/>
      <c r="AH6" s="60" t="s">
        <v>201</v>
      </c>
      <c r="AI6" s="63" t="s">
        <v>77</v>
      </c>
      <c r="AJ6" s="55" t="s">
        <v>389</v>
      </c>
      <c r="AK6" s="65">
        <f t="shared" ref="AK6:AK9" si="4" xml:space="preserve">AK16/1000</f>
        <v>0.077</v>
      </c>
      <c r="AL6" s="61">
        <v>2019</v>
      </c>
      <c r="AM6" s="61"/>
      <c r="AN6" s="60" t="s">
        <v>201</v>
      </c>
      <c r="AO6" s="63" t="s">
        <v>73</v>
      </c>
      <c r="AP6" s="55" t="s">
        <v>389</v>
      </c>
      <c r="AQ6" s="65">
        <f t="shared" ref="AQ6:AQ9" si="5" xml:space="preserve">AQ16/1000</f>
        <v>0.0424</v>
      </c>
      <c r="AR6" s="61">
        <v>2019</v>
      </c>
      <c r="AT6" s="60" t="s">
        <v>201</v>
      </c>
      <c r="AU6" s="63" t="s">
        <v>68</v>
      </c>
      <c r="AV6" s="55" t="s">
        <v>389</v>
      </c>
      <c r="AW6" s="65">
        <f t="shared" ref="AW6:AW9" si="6" xml:space="preserve">AW16/1000</f>
        <v>0.0472</v>
      </c>
      <c r="AX6" s="61">
        <v>2019</v>
      </c>
      <c r="AZ6" s="4"/>
      <c r="BA6" s="4"/>
      <c r="BB6" s="4"/>
      <c r="BC6" s="4"/>
    </row>
    <row r="7" s="58" customFormat="1" ht="16" spans="4:55">
      <c r="D7" s="60"/>
      <c r="E7" s="63"/>
      <c r="F7" s="62"/>
      <c r="G7" s="64"/>
      <c r="H7" s="61"/>
      <c r="I7" s="61"/>
      <c r="J7" s="60" t="s">
        <v>201</v>
      </c>
      <c r="K7" s="63" t="s">
        <v>81</v>
      </c>
      <c r="L7" s="55" t="s">
        <v>390</v>
      </c>
      <c r="M7" s="65">
        <f t="shared" si="0"/>
        <v>0.2026</v>
      </c>
      <c r="N7" s="61">
        <v>2019</v>
      </c>
      <c r="O7" s="61"/>
      <c r="P7" s="60" t="s">
        <v>201</v>
      </c>
      <c r="Q7" s="63" t="s">
        <v>86</v>
      </c>
      <c r="R7" s="55" t="s">
        <v>390</v>
      </c>
      <c r="S7" s="65">
        <f t="shared" si="1"/>
        <v>0.1913</v>
      </c>
      <c r="T7" s="61">
        <v>2019</v>
      </c>
      <c r="U7" s="61"/>
      <c r="V7" s="60" t="s">
        <v>201</v>
      </c>
      <c r="W7" s="63" t="s">
        <v>90</v>
      </c>
      <c r="X7" s="55" t="s">
        <v>390</v>
      </c>
      <c r="Y7" s="65">
        <f t="shared" si="2"/>
        <v>0.1915</v>
      </c>
      <c r="Z7" s="61">
        <v>2019</v>
      </c>
      <c r="AA7" s="61"/>
      <c r="AB7" s="60" t="s">
        <v>201</v>
      </c>
      <c r="AC7" s="63" t="s">
        <v>94</v>
      </c>
      <c r="AD7" s="55" t="s">
        <v>390</v>
      </c>
      <c r="AE7" s="65">
        <f t="shared" si="3"/>
        <v>0.1859</v>
      </c>
      <c r="AF7" s="61">
        <v>2019</v>
      </c>
      <c r="AG7" s="61"/>
      <c r="AH7" s="60" t="s">
        <v>201</v>
      </c>
      <c r="AI7" s="63" t="s">
        <v>77</v>
      </c>
      <c r="AJ7" s="55" t="s">
        <v>390</v>
      </c>
      <c r="AK7" s="65">
        <f t="shared" si="4"/>
        <v>0.1982</v>
      </c>
      <c r="AL7" s="61">
        <v>2019</v>
      </c>
      <c r="AM7" s="61"/>
      <c r="AN7" s="60" t="s">
        <v>201</v>
      </c>
      <c r="AO7" s="63" t="s">
        <v>73</v>
      </c>
      <c r="AP7" s="55" t="s">
        <v>390</v>
      </c>
      <c r="AQ7" s="65">
        <f t="shared" si="5"/>
        <v>0.0768</v>
      </c>
      <c r="AR7" s="61">
        <v>2019</v>
      </c>
      <c r="AT7" s="60" t="s">
        <v>201</v>
      </c>
      <c r="AU7" s="63" t="s">
        <v>68</v>
      </c>
      <c r="AV7" s="55" t="s">
        <v>390</v>
      </c>
      <c r="AW7" s="65">
        <f t="shared" si="6"/>
        <v>0.1555</v>
      </c>
      <c r="AX7" s="61">
        <v>2019</v>
      </c>
      <c r="AZ7" s="4"/>
      <c r="BA7" s="4"/>
      <c r="BB7" s="4"/>
      <c r="BC7" s="4"/>
    </row>
    <row r="8" s="58" customFormat="1" ht="14.5" customHeight="1" spans="4:55">
      <c r="D8" s="60"/>
      <c r="E8" s="63"/>
      <c r="F8" s="62"/>
      <c r="G8" s="64"/>
      <c r="H8" s="61"/>
      <c r="I8" s="61"/>
      <c r="J8" s="60" t="s">
        <v>201</v>
      </c>
      <c r="K8" s="63" t="s">
        <v>81</v>
      </c>
      <c r="L8" s="55" t="s">
        <v>391</v>
      </c>
      <c r="M8" s="65">
        <f t="shared" si="0"/>
        <v>0.5838</v>
      </c>
      <c r="N8" s="61">
        <v>2019</v>
      </c>
      <c r="O8" s="61"/>
      <c r="P8" s="60" t="s">
        <v>201</v>
      </c>
      <c r="Q8" s="63" t="s">
        <v>86</v>
      </c>
      <c r="R8" s="55" t="s">
        <v>391</v>
      </c>
      <c r="S8" s="65">
        <f t="shared" si="1"/>
        <v>0.5561</v>
      </c>
      <c r="T8" s="61">
        <v>2019</v>
      </c>
      <c r="U8" s="61"/>
      <c r="V8" s="60" t="s">
        <v>201</v>
      </c>
      <c r="W8" s="63" t="s">
        <v>90</v>
      </c>
      <c r="X8" s="55" t="s">
        <v>391</v>
      </c>
      <c r="Y8" s="65">
        <f t="shared" si="2"/>
        <v>0.5579</v>
      </c>
      <c r="Z8" s="61">
        <v>2019</v>
      </c>
      <c r="AA8" s="61"/>
      <c r="AB8" s="60" t="s">
        <v>201</v>
      </c>
      <c r="AC8" s="63" t="s">
        <v>94</v>
      </c>
      <c r="AD8" s="55" t="s">
        <v>391</v>
      </c>
      <c r="AE8" s="65">
        <f t="shared" si="3"/>
        <v>0.5505</v>
      </c>
      <c r="AF8" s="61">
        <v>2019</v>
      </c>
      <c r="AG8" s="61"/>
      <c r="AH8" s="60" t="s">
        <v>201</v>
      </c>
      <c r="AI8" s="63" t="s">
        <v>77</v>
      </c>
      <c r="AJ8" s="55" t="s">
        <v>391</v>
      </c>
      <c r="AK8" s="65">
        <f t="shared" si="4"/>
        <v>0.5942</v>
      </c>
      <c r="AL8" s="61">
        <v>2019</v>
      </c>
      <c r="AM8" s="61"/>
      <c r="AN8" s="60" t="s">
        <v>201</v>
      </c>
      <c r="AO8" s="63" t="s">
        <v>73</v>
      </c>
      <c r="AP8" s="55" t="s">
        <v>391</v>
      </c>
      <c r="AQ8" s="65">
        <f t="shared" si="5"/>
        <v>0.4099</v>
      </c>
      <c r="AR8" s="61">
        <v>2019</v>
      </c>
      <c r="AT8" s="60" t="s">
        <v>201</v>
      </c>
      <c r="AU8" s="63" t="s">
        <v>68</v>
      </c>
      <c r="AV8" s="55" t="s">
        <v>391</v>
      </c>
      <c r="AW8" s="65">
        <f t="shared" si="6"/>
        <v>0.477</v>
      </c>
      <c r="AX8" s="61">
        <v>2019</v>
      </c>
      <c r="AZ8" s="4"/>
      <c r="BA8" s="4"/>
      <c r="BB8" s="4"/>
      <c r="BC8" s="4"/>
    </row>
    <row r="9" s="58" customFormat="1" ht="16" spans="4:55">
      <c r="D9" s="60"/>
      <c r="E9" s="63"/>
      <c r="F9" s="62"/>
      <c r="G9" s="64"/>
      <c r="H9" s="61"/>
      <c r="I9" s="61"/>
      <c r="J9" s="60" t="s">
        <v>201</v>
      </c>
      <c r="K9" s="63" t="s">
        <v>81</v>
      </c>
      <c r="L9" s="55" t="s">
        <v>392</v>
      </c>
      <c r="M9" s="65">
        <f t="shared" si="0"/>
        <v>0.1275</v>
      </c>
      <c r="N9" s="61">
        <v>2019</v>
      </c>
      <c r="O9" s="61"/>
      <c r="P9" s="60" t="s">
        <v>201</v>
      </c>
      <c r="Q9" s="63" t="s">
        <v>86</v>
      </c>
      <c r="R9" s="55" t="s">
        <v>392</v>
      </c>
      <c r="S9" s="65">
        <f t="shared" si="1"/>
        <v>0.1337</v>
      </c>
      <c r="T9" s="61">
        <v>2019</v>
      </c>
      <c r="U9" s="61"/>
      <c r="V9" s="60" t="s">
        <v>201</v>
      </c>
      <c r="W9" s="63" t="s">
        <v>90</v>
      </c>
      <c r="X9" s="55" t="s">
        <v>392</v>
      </c>
      <c r="Y9" s="65">
        <f t="shared" si="2"/>
        <v>0.1403</v>
      </c>
      <c r="Z9" s="61">
        <v>2019</v>
      </c>
      <c r="AA9" s="61"/>
      <c r="AB9" s="60" t="s">
        <v>201</v>
      </c>
      <c r="AC9" s="63" t="s">
        <v>94</v>
      </c>
      <c r="AD9" s="55" t="s">
        <v>392</v>
      </c>
      <c r="AE9" s="65">
        <f t="shared" si="3"/>
        <v>0.1499</v>
      </c>
      <c r="AF9" s="61">
        <v>2019</v>
      </c>
      <c r="AG9" s="61"/>
      <c r="AH9" s="60" t="s">
        <v>201</v>
      </c>
      <c r="AI9" s="63" t="s">
        <v>77</v>
      </c>
      <c r="AJ9" s="55" t="s">
        <v>392</v>
      </c>
      <c r="AK9" s="65">
        <f t="shared" si="4"/>
        <v>0.1608</v>
      </c>
      <c r="AL9" s="61">
        <v>2019</v>
      </c>
      <c r="AM9" s="61"/>
      <c r="AN9" s="60" t="s">
        <v>201</v>
      </c>
      <c r="AO9" s="63" t="s">
        <v>73</v>
      </c>
      <c r="AP9" s="55" t="s">
        <v>392</v>
      </c>
      <c r="AQ9" s="65">
        <f t="shared" si="5"/>
        <v>0.057</v>
      </c>
      <c r="AR9" s="61">
        <v>2019</v>
      </c>
      <c r="AT9" s="60" t="s">
        <v>201</v>
      </c>
      <c r="AU9" s="63" t="s">
        <v>68</v>
      </c>
      <c r="AV9" s="55" t="s">
        <v>392</v>
      </c>
      <c r="AW9" s="65">
        <f t="shared" si="6"/>
        <v>0.0952</v>
      </c>
      <c r="AX9" s="61">
        <v>2019</v>
      </c>
      <c r="AZ9" s="4"/>
      <c r="BA9" s="4"/>
      <c r="BB9" s="4"/>
      <c r="BC9" s="4"/>
    </row>
    <row r="10" s="58" customFormat="1" ht="16" spans="4:55">
      <c r="D10" s="61"/>
      <c r="E10" s="63"/>
      <c r="G10" s="64"/>
      <c r="H10" s="61"/>
      <c r="I10" s="61"/>
    </row>
    <row r="13" s="59" customFormat="1"/>
    <row r="14" s="1" customFormat="1" ht="14.5" spans="4:55">
      <c r="D14" s="66"/>
      <c r="E14" s="66"/>
      <c r="F14" s="66"/>
      <c r="G14" s="66"/>
      <c r="H14" s="67"/>
      <c r="I14" s="67"/>
      <c r="J14" s="66"/>
      <c r="K14" s="66"/>
      <c r="L14" s="4"/>
      <c r="M14" s="66"/>
      <c r="N14" s="67"/>
      <c r="O14" s="67"/>
      <c r="P14" s="67"/>
      <c r="Q14" s="67"/>
      <c r="R14" s="4"/>
      <c r="S14" s="67"/>
      <c r="T14" s="67"/>
      <c r="U14" s="67"/>
      <c r="V14" s="67"/>
      <c r="W14" s="67"/>
      <c r="X14" s="4"/>
      <c r="Y14" s="67"/>
      <c r="Z14" s="67"/>
      <c r="AA14" s="67"/>
      <c r="AB14" s="67"/>
      <c r="AC14" s="67"/>
      <c r="AD14" s="4"/>
      <c r="AE14" s="67"/>
      <c r="AF14" s="67"/>
      <c r="AG14" s="67"/>
      <c r="AH14" s="67"/>
      <c r="AI14" s="67"/>
      <c r="AJ14" s="4"/>
      <c r="AK14" s="67"/>
      <c r="AL14" s="67"/>
      <c r="AM14" s="67"/>
      <c r="AN14" s="67"/>
      <c r="AO14" s="67"/>
      <c r="AP14" s="4"/>
      <c r="AQ14" s="67"/>
      <c r="AT14" s="67"/>
      <c r="AU14" s="67"/>
      <c r="AV14" s="4"/>
      <c r="AW14" s="67"/>
    </row>
    <row r="15" s="1" customFormat="1" ht="14.5" spans="4:55">
      <c r="D15" s="66"/>
      <c r="E15" s="66"/>
      <c r="F15" s="51"/>
      <c r="G15" s="66"/>
      <c r="H15" s="67"/>
      <c r="I15" s="67"/>
      <c r="J15" s="4"/>
      <c r="K15" s="4"/>
      <c r="L15" s="4"/>
      <c r="M15" s="4"/>
      <c r="N15" s="67"/>
      <c r="O15" s="67"/>
      <c r="P15" s="4"/>
      <c r="Q15" s="4"/>
      <c r="R15" s="4"/>
      <c r="S15" s="4"/>
      <c r="T15" s="67"/>
      <c r="U15" s="67"/>
      <c r="V15" s="4"/>
      <c r="W15" s="4"/>
      <c r="X15" s="4"/>
      <c r="Y15" s="4"/>
      <c r="Z15" s="67"/>
      <c r="AA15" s="67"/>
      <c r="AB15" s="4"/>
      <c r="AC15" s="4"/>
      <c r="AD15" s="4"/>
      <c r="AE15" s="4"/>
      <c r="AF15" s="67"/>
      <c r="AG15" s="67"/>
      <c r="AH15" s="4"/>
      <c r="AI15" s="4"/>
      <c r="AJ15" s="4"/>
      <c r="AK15" s="4"/>
      <c r="AL15" s="67"/>
      <c r="AM15" s="67"/>
      <c r="AN15" s="4"/>
      <c r="AO15" s="4"/>
      <c r="AP15" s="4"/>
      <c r="AQ15" s="4"/>
      <c r="AT15" s="4"/>
      <c r="AU15" s="4"/>
      <c r="AV15" s="4"/>
      <c r="AW15" s="4"/>
    </row>
    <row r="16" s="59" customFormat="1" ht="16" spans="4:55">
      <c r="J16" s="66"/>
      <c r="K16" s="68"/>
      <c r="L16" s="51"/>
      <c r="M16" s="64">
        <f t="shared" ref="M16:M19" si="7" xml:space="preserve">T65</f>
        <v>76.8000000000001</v>
      </c>
      <c r="N16" s="67"/>
      <c r="O16" s="67"/>
      <c r="P16" s="66"/>
      <c r="Q16" s="68"/>
      <c r="R16" s="51"/>
      <c r="S16" s="69">
        <f t="shared" ref="S16:S19" si="8" xml:space="preserve">U65</f>
        <v>71.3</v>
      </c>
      <c r="T16" s="67"/>
      <c r="U16" s="67"/>
      <c r="V16" s="66"/>
      <c r="W16" s="68"/>
      <c r="X16" s="51"/>
      <c r="Y16" s="69">
        <f t="shared" ref="Y16:Y19" si="9" xml:space="preserve">V65</f>
        <v>71.2</v>
      </c>
      <c r="Z16" s="67"/>
      <c r="AA16" s="67"/>
      <c r="AB16" s="66"/>
      <c r="AC16" s="68"/>
      <c r="AD16" s="51"/>
      <c r="AE16" s="69">
        <f t="shared" ref="AE16:AE19" si="10" xml:space="preserve">W65</f>
        <v>72.5</v>
      </c>
      <c r="AF16" s="67"/>
      <c r="AG16" s="67"/>
      <c r="AH16" s="66"/>
      <c r="AI16" s="68"/>
      <c r="AJ16" s="51"/>
      <c r="AK16" s="69">
        <f t="shared" ref="AK16:AK19" si="11" xml:space="preserve">X65</f>
        <v>77</v>
      </c>
      <c r="AL16" s="67"/>
      <c r="AM16" s="67"/>
      <c r="AN16" s="66"/>
      <c r="AO16" s="68"/>
      <c r="AP16" s="51"/>
      <c r="AQ16" s="69">
        <f t="shared" ref="AQ16:AQ19" si="12" xml:space="preserve">Y65</f>
        <v>42.4</v>
      </c>
      <c r="AR16" s="1"/>
      <c r="AS16" s="1"/>
      <c r="AT16" s="66"/>
      <c r="AU16" s="68"/>
      <c r="AV16" s="51"/>
      <c r="AW16" s="69">
        <f t="shared" ref="AW16:AW19" si="13" xml:space="preserve">Z65</f>
        <v>47.2</v>
      </c>
    </row>
    <row r="17" s="59" customFormat="1" ht="16" spans="4:55">
      <c r="J17" s="66"/>
      <c r="K17" s="68"/>
      <c r="L17" s="51"/>
      <c r="M17" s="64">
        <f t="shared" si="7"/>
        <v>202.6</v>
      </c>
      <c r="N17" s="67"/>
      <c r="O17" s="67"/>
      <c r="P17" s="66"/>
      <c r="Q17" s="68"/>
      <c r="R17" s="51"/>
      <c r="S17" s="69">
        <f t="shared" si="8"/>
        <v>191.3</v>
      </c>
      <c r="T17" s="67"/>
      <c r="U17" s="67"/>
      <c r="V17" s="66"/>
      <c r="W17" s="68"/>
      <c r="X17" s="51"/>
      <c r="Y17" s="69">
        <f t="shared" si="9"/>
        <v>191.5</v>
      </c>
      <c r="Z17" s="67"/>
      <c r="AA17" s="67"/>
      <c r="AB17" s="66"/>
      <c r="AC17" s="68"/>
      <c r="AD17" s="51"/>
      <c r="AE17" s="69">
        <f t="shared" si="10"/>
        <v>185.9</v>
      </c>
      <c r="AF17" s="67"/>
      <c r="AG17" s="67"/>
      <c r="AH17" s="66"/>
      <c r="AI17" s="68"/>
      <c r="AJ17" s="51"/>
      <c r="AK17" s="69">
        <f t="shared" si="11"/>
        <v>198.2</v>
      </c>
      <c r="AL17" s="67"/>
      <c r="AM17" s="67"/>
      <c r="AN17" s="66"/>
      <c r="AO17" s="68"/>
      <c r="AP17" s="51"/>
      <c r="AQ17" s="69">
        <f t="shared" si="12"/>
        <v>76.8</v>
      </c>
      <c r="AR17" s="1"/>
      <c r="AS17" s="1"/>
      <c r="AT17" s="66"/>
      <c r="AU17" s="68"/>
      <c r="AV17" s="51"/>
      <c r="AW17" s="69">
        <f t="shared" si="13"/>
        <v>155.5</v>
      </c>
    </row>
    <row r="18" s="59" customFormat="1" ht="16" spans="4:55">
      <c r="J18" s="66"/>
      <c r="K18" s="68"/>
      <c r="L18" s="51"/>
      <c r="M18" s="64">
        <f t="shared" si="7"/>
        <v>583.8</v>
      </c>
      <c r="N18" s="67"/>
      <c r="O18" s="67"/>
      <c r="P18" s="66"/>
      <c r="Q18" s="68"/>
      <c r="R18" s="51"/>
      <c r="S18" s="69">
        <f t="shared" si="8"/>
        <v>556.1</v>
      </c>
      <c r="T18" s="67"/>
      <c r="U18" s="67"/>
      <c r="V18" s="66"/>
      <c r="W18" s="68"/>
      <c r="X18" s="51"/>
      <c r="Y18" s="69">
        <f t="shared" si="9"/>
        <v>557.9</v>
      </c>
      <c r="Z18" s="67"/>
      <c r="AA18" s="67"/>
      <c r="AB18" s="66"/>
      <c r="AC18" s="68"/>
      <c r="AD18" s="51"/>
      <c r="AE18" s="69">
        <f t="shared" si="10"/>
        <v>550.5</v>
      </c>
      <c r="AF18" s="67"/>
      <c r="AG18" s="67"/>
      <c r="AH18" s="66"/>
      <c r="AI18" s="68"/>
      <c r="AJ18" s="51"/>
      <c r="AK18" s="69">
        <f t="shared" si="11"/>
        <v>594.2</v>
      </c>
      <c r="AL18" s="67"/>
      <c r="AM18" s="67"/>
      <c r="AN18" s="66"/>
      <c r="AO18" s="68"/>
      <c r="AP18" s="51"/>
      <c r="AQ18" s="69">
        <f t="shared" si="12"/>
        <v>409.9</v>
      </c>
      <c r="AR18" s="1"/>
      <c r="AS18" s="1"/>
      <c r="AT18" s="66"/>
      <c r="AU18" s="68"/>
      <c r="AV18" s="51"/>
      <c r="AW18" s="69">
        <f t="shared" si="13"/>
        <v>477</v>
      </c>
    </row>
    <row r="19" s="59" customFormat="1" ht="16" spans="4:55">
      <c r="J19" s="66"/>
      <c r="K19" s="68"/>
      <c r="L19" s="51"/>
      <c r="M19" s="64">
        <f t="shared" si="7"/>
        <v>127.5</v>
      </c>
      <c r="N19" s="67"/>
      <c r="O19" s="67"/>
      <c r="P19" s="66"/>
      <c r="Q19" s="68"/>
      <c r="R19" s="51"/>
      <c r="S19" s="69">
        <f t="shared" si="8"/>
        <v>133.7</v>
      </c>
      <c r="T19" s="67"/>
      <c r="U19" s="67"/>
      <c r="V19" s="66"/>
      <c r="W19" s="68"/>
      <c r="X19" s="51"/>
      <c r="Y19" s="69">
        <f t="shared" si="9"/>
        <v>140.3</v>
      </c>
      <c r="Z19" s="67"/>
      <c r="AA19" s="67"/>
      <c r="AB19" s="66"/>
      <c r="AC19" s="68"/>
      <c r="AD19" s="51"/>
      <c r="AE19" s="69">
        <f t="shared" si="10"/>
        <v>149.9</v>
      </c>
      <c r="AF19" s="67"/>
      <c r="AG19" s="67"/>
      <c r="AH19" s="66"/>
      <c r="AI19" s="68"/>
      <c r="AJ19" s="51"/>
      <c r="AK19" s="69">
        <f t="shared" si="11"/>
        <v>160.8</v>
      </c>
      <c r="AL19" s="67"/>
      <c r="AM19" s="67"/>
      <c r="AN19" s="66"/>
      <c r="AO19" s="68"/>
      <c r="AP19" s="51"/>
      <c r="AQ19" s="69">
        <f t="shared" si="12"/>
        <v>57</v>
      </c>
      <c r="AR19" s="1"/>
      <c r="AS19" s="1"/>
      <c r="AT19" s="66"/>
      <c r="AU19" s="68"/>
      <c r="AV19" s="51"/>
      <c r="AW19" s="69">
        <f t="shared" si="13"/>
        <v>95.2</v>
      </c>
    </row>
    <row r="20" s="59" customFormat="1"/>
    <row r="21" s="59" customFormat="1"/>
    <row r="24" s="58" customFormat="1" ht="14.5" spans="4:55">
      <c r="D24" s="60"/>
      <c r="E24" s="60"/>
      <c r="F24" s="60"/>
      <c r="G24" s="60"/>
      <c r="H24" s="61"/>
      <c r="I24" s="61"/>
      <c r="J24" s="60"/>
      <c r="K24" s="60"/>
      <c r="L24" s="21" t="s">
        <v>388</v>
      </c>
      <c r="M24" s="60"/>
      <c r="N24" s="61"/>
      <c r="O24" s="61"/>
      <c r="P24" s="61"/>
      <c r="Q24" s="61"/>
      <c r="R24" s="21" t="s">
        <v>388</v>
      </c>
      <c r="S24" s="61"/>
      <c r="T24" s="61"/>
      <c r="U24" s="61"/>
      <c r="V24" s="61"/>
      <c r="W24" s="61"/>
      <c r="X24" s="21" t="s">
        <v>388</v>
      </c>
      <c r="Y24" s="61"/>
      <c r="Z24" s="61"/>
      <c r="AA24" s="61"/>
      <c r="AB24" s="61"/>
      <c r="AC24" s="61"/>
      <c r="AD24" s="21" t="s">
        <v>388</v>
      </c>
      <c r="AE24" s="61"/>
      <c r="AF24" s="61"/>
      <c r="AG24" s="61"/>
      <c r="AH24" s="61"/>
      <c r="AI24" s="61"/>
      <c r="AJ24" s="21" t="s">
        <v>388</v>
      </c>
      <c r="AK24" s="61"/>
      <c r="AL24" s="61"/>
      <c r="AM24" s="61"/>
      <c r="AN24" s="61"/>
      <c r="AO24" s="61"/>
      <c r="AP24" s="21" t="s">
        <v>388</v>
      </c>
      <c r="AQ24" s="61"/>
      <c r="AT24" s="61"/>
      <c r="AU24" s="61"/>
      <c r="AV24" s="21" t="s">
        <v>388</v>
      </c>
      <c r="AW24" s="61"/>
      <c r="AZ24" s="4"/>
      <c r="BA24" s="4"/>
      <c r="BB24" s="4"/>
      <c r="BC24" s="4"/>
    </row>
    <row r="25" s="58" customFormat="1" ht="14.5" spans="4:55">
      <c r="D25" s="60"/>
      <c r="E25" s="60"/>
      <c r="F25" s="62"/>
      <c r="G25" s="60"/>
      <c r="H25" s="61"/>
      <c r="I25" s="61"/>
      <c r="J25" s="21" t="s">
        <v>197</v>
      </c>
      <c r="K25" s="21" t="s">
        <v>66</v>
      </c>
      <c r="L25" s="21" t="s">
        <v>172</v>
      </c>
      <c r="M25" s="21" t="s">
        <v>11</v>
      </c>
      <c r="N25" s="61" t="s">
        <v>41</v>
      </c>
      <c r="O25" s="61"/>
      <c r="P25" s="21" t="s">
        <v>197</v>
      </c>
      <c r="Q25" s="21" t="s">
        <v>66</v>
      </c>
      <c r="R25" s="21" t="s">
        <v>172</v>
      </c>
      <c r="S25" s="21" t="s">
        <v>11</v>
      </c>
      <c r="T25" s="61" t="s">
        <v>41</v>
      </c>
      <c r="U25" s="61"/>
      <c r="V25" s="21" t="s">
        <v>197</v>
      </c>
      <c r="W25" s="21" t="s">
        <v>66</v>
      </c>
      <c r="X25" s="21" t="s">
        <v>172</v>
      </c>
      <c r="Y25" s="21" t="s">
        <v>11</v>
      </c>
      <c r="Z25" s="61" t="s">
        <v>41</v>
      </c>
      <c r="AA25" s="61"/>
      <c r="AB25" s="21" t="s">
        <v>197</v>
      </c>
      <c r="AC25" s="21" t="s">
        <v>66</v>
      </c>
      <c r="AD25" s="21" t="s">
        <v>172</v>
      </c>
      <c r="AE25" s="21" t="s">
        <v>11</v>
      </c>
      <c r="AF25" s="61" t="s">
        <v>41</v>
      </c>
      <c r="AG25" s="61"/>
      <c r="AH25" s="21" t="s">
        <v>197</v>
      </c>
      <c r="AI25" s="21" t="s">
        <v>66</v>
      </c>
      <c r="AJ25" s="21" t="s">
        <v>172</v>
      </c>
      <c r="AK25" s="21" t="s">
        <v>11</v>
      </c>
      <c r="AL25" s="61" t="s">
        <v>41</v>
      </c>
      <c r="AM25" s="61"/>
      <c r="AN25" s="21" t="s">
        <v>197</v>
      </c>
      <c r="AO25" s="21" t="s">
        <v>66</v>
      </c>
      <c r="AP25" s="21" t="s">
        <v>172</v>
      </c>
      <c r="AQ25" s="21" t="s">
        <v>11</v>
      </c>
      <c r="AR25" s="61" t="s">
        <v>41</v>
      </c>
      <c r="AT25" s="21" t="s">
        <v>197</v>
      </c>
      <c r="AU25" s="21" t="s">
        <v>66</v>
      </c>
      <c r="AV25" s="21" t="s">
        <v>172</v>
      </c>
      <c r="AW25" s="21" t="s">
        <v>11</v>
      </c>
      <c r="AX25" s="61" t="s">
        <v>41</v>
      </c>
      <c r="AZ25" s="4"/>
      <c r="BA25" s="4"/>
      <c r="BB25" s="4"/>
      <c r="BC25" s="4"/>
    </row>
    <row r="26" ht="16" spans="4:55">
      <c r="J26" s="60" t="s">
        <v>201</v>
      </c>
      <c r="K26" s="63" t="str">
        <f t="shared" ref="K26:K29" si="14" xml:space="preserve">K6</f>
        <v>Tra_EV_Batt-NMC111_virgin</v>
      </c>
      <c r="L26" s="55" t="s">
        <v>389</v>
      </c>
      <c r="M26" s="64">
        <f t="shared" ref="M26:M29" si="15" xml:space="preserve">T73/1000</f>
        <v>0.0774</v>
      </c>
      <c r="N26" s="61">
        <v>2019</v>
      </c>
      <c r="O26" s="61"/>
      <c r="P26" s="60" t="s">
        <v>201</v>
      </c>
      <c r="Q26" s="63" t="str">
        <f t="shared" ref="Q26:Q29" si="16" xml:space="preserve">Q6</f>
        <v>Tra_EV_Batt-NMC532_virgin</v>
      </c>
      <c r="R26" s="55" t="s">
        <v>389</v>
      </c>
      <c r="S26" s="70">
        <f t="shared" ref="S26:S29" si="17" xml:space="preserve">S32/1000</f>
        <v>0.072</v>
      </c>
      <c r="T26" s="61">
        <v>2019</v>
      </c>
      <c r="U26" s="61"/>
      <c r="V26" s="60" t="s">
        <v>201</v>
      </c>
      <c r="W26" s="63" t="str">
        <f t="shared" ref="W26:W29" si="18" xml:space="preserve">W6</f>
        <v>Tra_EV_Batt-NMC622_virgin</v>
      </c>
      <c r="X26" s="55" t="s">
        <v>389</v>
      </c>
      <c r="Y26" s="70">
        <f t="shared" ref="Y26:Y29" si="19" xml:space="preserve">Y32/1000</f>
        <v>0.0719</v>
      </c>
      <c r="Z26" s="61">
        <v>2019</v>
      </c>
      <c r="AA26" s="61"/>
      <c r="AB26" s="60" t="s">
        <v>201</v>
      </c>
      <c r="AC26" s="63" t="str">
        <f t="shared" ref="AC26:AC29" si="20" xml:space="preserve">AC6</f>
        <v>Tra_EV_Batt-NMC811_virgin</v>
      </c>
      <c r="AD26" s="55" t="s">
        <v>389</v>
      </c>
      <c r="AE26" s="70">
        <f t="shared" ref="AE26:AE29" si="21" xml:space="preserve">AE32/1000</f>
        <v>0.0731</v>
      </c>
      <c r="AF26" s="61">
        <v>2019</v>
      </c>
      <c r="AG26" s="61"/>
      <c r="AH26" s="60" t="s">
        <v>201</v>
      </c>
      <c r="AI26" s="63" t="str">
        <f t="shared" ref="AI26:AI29" si="22" xml:space="preserve">AI6</f>
        <v>Tra_EV_Batt-NCA_virgin</v>
      </c>
      <c r="AJ26" s="55" t="s">
        <v>389</v>
      </c>
      <c r="AK26" s="70">
        <f t="shared" ref="AK26:AK29" si="23" xml:space="preserve">AK32/1000</f>
        <v>0.0776999999999999</v>
      </c>
      <c r="AL26" s="61">
        <v>2019</v>
      </c>
      <c r="AM26" s="61"/>
      <c r="AN26" s="60" t="s">
        <v>201</v>
      </c>
      <c r="AO26" s="63" t="str">
        <f t="shared" ref="AO26:AO29" si="24" xml:space="preserve">AO6</f>
        <v>Tra_EV_Batt-LMO_virgin</v>
      </c>
      <c r="AP26" s="55" t="s">
        <v>389</v>
      </c>
      <c r="AQ26" s="70">
        <f t="shared" ref="AQ26:AQ29" si="25" xml:space="preserve">AQ32/1000</f>
        <v>0.0431</v>
      </c>
      <c r="AR26" s="61">
        <v>2019</v>
      </c>
      <c r="AS26" s="58"/>
      <c r="AT26" s="60" t="s">
        <v>201</v>
      </c>
      <c r="AU26" s="63" t="str">
        <f t="shared" ref="AU26:AU29" si="26" xml:space="preserve">AU6</f>
        <v>Tra_EV_Batt-LFP_virgin</v>
      </c>
      <c r="AV26" s="55" t="s">
        <v>389</v>
      </c>
      <c r="AW26" s="70">
        <f t="shared" ref="AW26:AW29" si="27" xml:space="preserve">AW32/1000</f>
        <v>0.0478</v>
      </c>
      <c r="AX26" s="61">
        <v>2019</v>
      </c>
    </row>
    <row r="27" ht="16" spans="4:55">
      <c r="J27" s="60" t="s">
        <v>201</v>
      </c>
      <c r="K27" s="63" t="str">
        <f t="shared" si="14"/>
        <v>Tra_EV_Batt-NMC111_virgin</v>
      </c>
      <c r="L27" s="55" t="s">
        <v>390</v>
      </c>
      <c r="M27" s="64">
        <f t="shared" si="15"/>
        <v>0.2366</v>
      </c>
      <c r="N27" s="61">
        <v>2019</v>
      </c>
      <c r="O27" s="61"/>
      <c r="P27" s="60" t="s">
        <v>201</v>
      </c>
      <c r="Q27" s="63" t="str">
        <f t="shared" si="16"/>
        <v>Tra_EV_Batt-NMC532_virgin</v>
      </c>
      <c r="R27" s="55" t="s">
        <v>390</v>
      </c>
      <c r="S27" s="70">
        <f t="shared" si="17"/>
        <v>0.2252</v>
      </c>
      <c r="T27" s="61">
        <v>2019</v>
      </c>
      <c r="U27" s="61"/>
      <c r="V27" s="60" t="s">
        <v>201</v>
      </c>
      <c r="W27" s="63" t="str">
        <f t="shared" si="18"/>
        <v>Tra_EV_Batt-NMC622_virgin</v>
      </c>
      <c r="X27" s="55" t="s">
        <v>390</v>
      </c>
      <c r="Y27" s="70">
        <f t="shared" si="19"/>
        <v>0.2255</v>
      </c>
      <c r="Z27" s="61">
        <v>2019</v>
      </c>
      <c r="AA27" s="61"/>
      <c r="AB27" s="60" t="s">
        <v>201</v>
      </c>
      <c r="AC27" s="63" t="str">
        <f t="shared" si="20"/>
        <v>Tra_EV_Batt-NMC811_virgin</v>
      </c>
      <c r="AD27" s="55" t="s">
        <v>390</v>
      </c>
      <c r="AE27" s="70">
        <f t="shared" si="21"/>
        <v>0.2198</v>
      </c>
      <c r="AF27" s="61">
        <v>2019</v>
      </c>
      <c r="AG27" s="61"/>
      <c r="AH27" s="60" t="s">
        <v>201</v>
      </c>
      <c r="AI27" s="63" t="str">
        <f t="shared" si="22"/>
        <v>Tra_EV_Batt-NCA_virgin</v>
      </c>
      <c r="AJ27" s="55" t="s">
        <v>390</v>
      </c>
      <c r="AK27" s="70">
        <f t="shared" si="23"/>
        <v>0.2322</v>
      </c>
      <c r="AL27" s="61">
        <v>2019</v>
      </c>
      <c r="AM27" s="61"/>
      <c r="AN27" s="60" t="s">
        <v>201</v>
      </c>
      <c r="AO27" s="63" t="str">
        <f t="shared" si="24"/>
        <v>Tra_EV_Batt-LMO_virgin</v>
      </c>
      <c r="AP27" s="55" t="s">
        <v>390</v>
      </c>
      <c r="AQ27" s="70">
        <f t="shared" si="25"/>
        <v>0.1108</v>
      </c>
      <c r="AR27" s="61">
        <v>2019</v>
      </c>
      <c r="AS27" s="58"/>
      <c r="AT27" s="60" t="s">
        <v>201</v>
      </c>
      <c r="AU27" s="63" t="str">
        <f t="shared" si="26"/>
        <v>Tra_EV_Batt-LFP_virgin</v>
      </c>
      <c r="AV27" s="55" t="s">
        <v>390</v>
      </c>
      <c r="AW27" s="70">
        <f t="shared" si="27"/>
        <v>0.1895</v>
      </c>
      <c r="AX27" s="61">
        <v>2019</v>
      </c>
    </row>
    <row r="28" ht="16" spans="4:55">
      <c r="J28" s="60" t="s">
        <v>201</v>
      </c>
      <c r="K28" s="63" t="str">
        <f t="shared" si="14"/>
        <v>Tra_EV_Batt-NMC111_virgin</v>
      </c>
      <c r="L28" s="55" t="s">
        <v>391</v>
      </c>
      <c r="M28" s="64">
        <f t="shared" si="15"/>
        <v>0.5598</v>
      </c>
      <c r="N28" s="61">
        <v>2019</v>
      </c>
      <c r="O28" s="61"/>
      <c r="P28" s="60" t="s">
        <v>201</v>
      </c>
      <c r="Q28" s="63" t="str">
        <f t="shared" si="16"/>
        <v>Tra_EV_Batt-NMC532_virgin</v>
      </c>
      <c r="R28" s="55" t="s">
        <v>391</v>
      </c>
      <c r="S28" s="70">
        <f t="shared" si="17"/>
        <v>0.5321</v>
      </c>
      <c r="T28" s="61">
        <v>2019</v>
      </c>
      <c r="U28" s="61"/>
      <c r="V28" s="60" t="s">
        <v>201</v>
      </c>
      <c r="W28" s="63" t="str">
        <f t="shared" si="18"/>
        <v>Tra_EV_Batt-NMC622_virgin</v>
      </c>
      <c r="X28" s="55" t="s">
        <v>391</v>
      </c>
      <c r="Y28" s="70">
        <f t="shared" si="19"/>
        <v>0.5339</v>
      </c>
      <c r="Z28" s="61">
        <v>2019</v>
      </c>
      <c r="AA28" s="61"/>
      <c r="AB28" s="60" t="s">
        <v>201</v>
      </c>
      <c r="AC28" s="63" t="str">
        <f t="shared" si="20"/>
        <v>Tra_EV_Batt-NMC811_virgin</v>
      </c>
      <c r="AD28" s="55" t="s">
        <v>391</v>
      </c>
      <c r="AE28" s="70">
        <f t="shared" si="21"/>
        <v>0.5264</v>
      </c>
      <c r="AF28" s="61">
        <v>2019</v>
      </c>
      <c r="AG28" s="61"/>
      <c r="AH28" s="60" t="s">
        <v>201</v>
      </c>
      <c r="AI28" s="63" t="str">
        <f t="shared" si="22"/>
        <v>Tra_EV_Batt-NCA_virgin</v>
      </c>
      <c r="AJ28" s="55" t="s">
        <v>391</v>
      </c>
      <c r="AK28" s="70">
        <f t="shared" si="23"/>
        <v>0.5702</v>
      </c>
      <c r="AL28" s="61">
        <v>2019</v>
      </c>
      <c r="AM28" s="61"/>
      <c r="AN28" s="60" t="s">
        <v>201</v>
      </c>
      <c r="AO28" s="63" t="str">
        <f t="shared" si="24"/>
        <v>Tra_EV_Batt-LMO_virgin</v>
      </c>
      <c r="AP28" s="55" t="s">
        <v>391</v>
      </c>
      <c r="AQ28" s="70">
        <f t="shared" si="25"/>
        <v>0.3858</v>
      </c>
      <c r="AR28" s="61">
        <v>2019</v>
      </c>
      <c r="AS28" s="58"/>
      <c r="AT28" s="60" t="s">
        <v>201</v>
      </c>
      <c r="AU28" s="63" t="str">
        <f t="shared" si="26"/>
        <v>Tra_EV_Batt-LFP_virgin</v>
      </c>
      <c r="AV28" s="55" t="s">
        <v>391</v>
      </c>
      <c r="AW28" s="70">
        <f t="shared" si="27"/>
        <v>0.453</v>
      </c>
      <c r="AX28" s="61">
        <v>2019</v>
      </c>
    </row>
    <row r="29" ht="16" spans="4:55">
      <c r="J29" s="60" t="s">
        <v>201</v>
      </c>
      <c r="K29" s="63" t="str">
        <f t="shared" si="14"/>
        <v>Tra_EV_Batt-NMC111_virgin</v>
      </c>
      <c r="L29" s="55" t="s">
        <v>392</v>
      </c>
      <c r="M29" s="64">
        <f t="shared" si="15"/>
        <v>0.1277</v>
      </c>
      <c r="N29" s="61">
        <v>2019</v>
      </c>
      <c r="O29" s="61"/>
      <c r="P29" s="60" t="s">
        <v>201</v>
      </c>
      <c r="Q29" s="63" t="str">
        <f t="shared" si="16"/>
        <v>Tra_EV_Batt-NMC532_virgin</v>
      </c>
      <c r="R29" s="55" t="s">
        <v>392</v>
      </c>
      <c r="S29" s="70">
        <f t="shared" si="17"/>
        <v>0.134</v>
      </c>
      <c r="T29" s="61">
        <v>2019</v>
      </c>
      <c r="U29" s="61"/>
      <c r="V29" s="60" t="s">
        <v>201</v>
      </c>
      <c r="W29" s="63" t="str">
        <f t="shared" si="18"/>
        <v>Tra_EV_Batt-NMC622_virgin</v>
      </c>
      <c r="X29" s="55" t="s">
        <v>392</v>
      </c>
      <c r="Y29" s="70">
        <f t="shared" si="19"/>
        <v>0.1406</v>
      </c>
      <c r="Z29" s="61">
        <v>2019</v>
      </c>
      <c r="AA29" s="61"/>
      <c r="AB29" s="60" t="s">
        <v>201</v>
      </c>
      <c r="AC29" s="63" t="str">
        <f t="shared" si="20"/>
        <v>Tra_EV_Batt-NMC811_virgin</v>
      </c>
      <c r="AD29" s="55" t="s">
        <v>392</v>
      </c>
      <c r="AE29" s="70">
        <f t="shared" si="21"/>
        <v>0.1502</v>
      </c>
      <c r="AF29" s="61">
        <v>2019</v>
      </c>
      <c r="AG29" s="61"/>
      <c r="AH29" s="60" t="s">
        <v>201</v>
      </c>
      <c r="AI29" s="63" t="str">
        <f t="shared" si="22"/>
        <v>Tra_EV_Batt-NCA_virgin</v>
      </c>
      <c r="AJ29" s="55" t="s">
        <v>392</v>
      </c>
      <c r="AK29" s="70">
        <f t="shared" si="23"/>
        <v>0.1611</v>
      </c>
      <c r="AL29" s="61">
        <v>2019</v>
      </c>
      <c r="AM29" s="61"/>
      <c r="AN29" s="60" t="s">
        <v>201</v>
      </c>
      <c r="AO29" s="63" t="str">
        <f t="shared" si="24"/>
        <v>Tra_EV_Batt-LMO_virgin</v>
      </c>
      <c r="AP29" s="55" t="s">
        <v>392</v>
      </c>
      <c r="AQ29" s="70">
        <f t="shared" si="25"/>
        <v>0.0572</v>
      </c>
      <c r="AR29" s="61">
        <v>2019</v>
      </c>
      <c r="AS29" s="58"/>
      <c r="AT29" s="60" t="s">
        <v>201</v>
      </c>
      <c r="AU29" s="63" t="str">
        <f t="shared" si="26"/>
        <v>Tra_EV_Batt-LFP_virgin</v>
      </c>
      <c r="AV29" s="55" t="s">
        <v>392</v>
      </c>
      <c r="AW29" s="70">
        <f t="shared" si="27"/>
        <v>0.0955</v>
      </c>
      <c r="AX29" s="61">
        <v>2019</v>
      </c>
    </row>
    <row r="32" ht="14.5" spans="4:55">
      <c r="S32" s="69">
        <f t="shared" ref="S32:S35" si="28" xml:space="preserve">U73</f>
        <v>72</v>
      </c>
      <c r="Y32" s="69">
        <f t="shared" ref="Y32:Y35" si="29" xml:space="preserve">V73</f>
        <v>71.9</v>
      </c>
      <c r="AE32" s="69">
        <f t="shared" ref="AE32:AE35" si="30" xml:space="preserve">W73</f>
        <v>73.1</v>
      </c>
      <c r="AK32" s="69">
        <f t="shared" ref="AK32:AK35" si="31" xml:space="preserve">X73</f>
        <v>77.6999999999999</v>
      </c>
      <c r="AQ32" s="69">
        <f t="shared" ref="AQ32:AQ35" si="32" xml:space="preserve">Y73</f>
        <v>43.1</v>
      </c>
      <c r="AW32" s="69">
        <f t="shared" ref="AW32:AW35" si="33" xml:space="preserve">Z73</f>
        <v>47.8</v>
      </c>
    </row>
    <row r="33" ht="14.5" spans="17:49">
      <c r="S33" s="69">
        <f t="shared" si="28"/>
        <v>225.2</v>
      </c>
      <c r="Y33" s="69">
        <f t="shared" si="29"/>
        <v>225.5</v>
      </c>
      <c r="AE33" s="69">
        <f t="shared" si="30"/>
        <v>219.8</v>
      </c>
      <c r="AK33" s="69">
        <f t="shared" si="31"/>
        <v>232.2</v>
      </c>
      <c r="AQ33" s="69">
        <f t="shared" si="32"/>
        <v>110.8</v>
      </c>
      <c r="AW33" s="69">
        <f t="shared" si="33"/>
        <v>189.5</v>
      </c>
    </row>
    <row r="34" ht="14.5" spans="17:49">
      <c r="S34" s="69">
        <f t="shared" si="28"/>
        <v>532.1</v>
      </c>
      <c r="Y34" s="69">
        <f t="shared" si="29"/>
        <v>533.9</v>
      </c>
      <c r="AE34" s="69">
        <f t="shared" si="30"/>
        <v>526.4</v>
      </c>
      <c r="AK34" s="69">
        <f t="shared" si="31"/>
        <v>570.2</v>
      </c>
      <c r="AQ34" s="69">
        <f t="shared" si="32"/>
        <v>385.8</v>
      </c>
      <c r="AW34" s="69">
        <f t="shared" si="33"/>
        <v>453</v>
      </c>
    </row>
    <row r="35" ht="14.5" spans="17:49">
      <c r="S35" s="69">
        <f t="shared" si="28"/>
        <v>134</v>
      </c>
      <c r="Y35" s="69">
        <f t="shared" si="29"/>
        <v>140.6</v>
      </c>
      <c r="AE35" s="69">
        <f t="shared" si="30"/>
        <v>150.2</v>
      </c>
      <c r="AK35" s="69">
        <f t="shared" si="31"/>
        <v>161.1</v>
      </c>
      <c r="AQ35" s="69">
        <f t="shared" si="32"/>
        <v>57.2</v>
      </c>
      <c r="AW35" s="69">
        <f t="shared" si="33"/>
        <v>95.5</v>
      </c>
    </row>
    <row r="42" ht="14.5" spans="17:49">
      <c r="Q42" s="1" t="s">
        <v>393</v>
      </c>
      <c r="R42" s="1"/>
      <c r="S42" s="1"/>
      <c r="T42" s="1"/>
      <c r="U42" s="1"/>
      <c r="V42" s="1"/>
      <c r="W42" s="1"/>
      <c r="X42" s="1"/>
      <c r="Y42" s="1"/>
      <c r="Z42" s="1"/>
    </row>
    <row r="43" ht="15.5" spans="17:49">
      <c r="Q43" s="71" t="s">
        <v>394</v>
      </c>
      <c r="R43" s="71" t="s">
        <v>395</v>
      </c>
      <c r="S43" s="72" t="s">
        <v>396</v>
      </c>
      <c r="T43" s="72"/>
      <c r="U43" s="72"/>
      <c r="V43" s="72"/>
      <c r="W43" s="72"/>
      <c r="X43" s="72"/>
      <c r="Y43" s="72"/>
      <c r="Z43" s="72"/>
    </row>
    <row r="44" ht="15.5" spans="17:49">
      <c r="Q44" s="71"/>
      <c r="R44" s="71"/>
      <c r="S44" s="72" t="s">
        <v>397</v>
      </c>
      <c r="T44" s="72" t="s">
        <v>398</v>
      </c>
      <c r="U44" s="72" t="s">
        <v>399</v>
      </c>
      <c r="V44" s="72" t="s">
        <v>400</v>
      </c>
      <c r="W44" s="72" t="s">
        <v>401</v>
      </c>
      <c r="X44" s="72" t="s">
        <v>402</v>
      </c>
      <c r="Y44" s="72" t="s">
        <v>403</v>
      </c>
      <c r="Z44" s="72" t="s">
        <v>404</v>
      </c>
    </row>
    <row r="45" ht="15.5" spans="17:49">
      <c r="Q45" s="71" t="s">
        <v>405</v>
      </c>
      <c r="R45" s="73" t="s">
        <v>406</v>
      </c>
      <c r="S45" s="74">
        <v>1211.3</v>
      </c>
      <c r="T45" s="74">
        <v>990.7</v>
      </c>
      <c r="U45" s="74">
        <v>952.4</v>
      </c>
      <c r="V45" s="74">
        <v>961</v>
      </c>
      <c r="W45" s="74">
        <v>958.7</v>
      </c>
      <c r="X45" s="74">
        <v>1030.2</v>
      </c>
      <c r="Y45" s="74">
        <v>586.1</v>
      </c>
      <c r="Z45" s="74">
        <v>775</v>
      </c>
    </row>
    <row r="46" ht="15.5" spans="17:49">
      <c r="Q46" s="71"/>
      <c r="R46" s="73" t="s">
        <v>407</v>
      </c>
      <c r="S46" s="74">
        <v>1103.7</v>
      </c>
      <c r="T46" s="74">
        <v>913.9</v>
      </c>
      <c r="U46" s="74">
        <v>881.1</v>
      </c>
      <c r="V46" s="74">
        <v>889.8</v>
      </c>
      <c r="W46" s="74">
        <v>886.2</v>
      </c>
      <c r="X46" s="74">
        <v>953.2</v>
      </c>
      <c r="Y46" s="74">
        <v>543.7</v>
      </c>
      <c r="Z46" s="74">
        <v>727.8</v>
      </c>
    </row>
    <row r="47" ht="15.5" spans="17:49">
      <c r="Q47" s="71"/>
      <c r="R47" s="73" t="s">
        <v>408</v>
      </c>
      <c r="S47" s="74">
        <v>267.3</v>
      </c>
      <c r="T47" s="74">
        <v>202.6</v>
      </c>
      <c r="U47" s="74">
        <v>191.3</v>
      </c>
      <c r="V47" s="74">
        <v>191.5</v>
      </c>
      <c r="W47" s="74">
        <v>185.9</v>
      </c>
      <c r="X47" s="74">
        <v>198.2</v>
      </c>
      <c r="Y47" s="74">
        <v>76.8</v>
      </c>
      <c r="Z47" s="74">
        <v>155.5</v>
      </c>
    </row>
    <row r="48" ht="15.5" spans="17:49">
      <c r="Q48" s="71"/>
      <c r="R48" s="73" t="s">
        <v>409</v>
      </c>
      <c r="S48" s="74">
        <v>692.5</v>
      </c>
      <c r="T48" s="74">
        <v>583.8</v>
      </c>
      <c r="U48" s="74">
        <v>556.1</v>
      </c>
      <c r="V48" s="74">
        <v>557.9</v>
      </c>
      <c r="W48" s="74">
        <v>550.5</v>
      </c>
      <c r="X48" s="74">
        <v>594.2</v>
      </c>
      <c r="Y48" s="74">
        <v>409.9</v>
      </c>
      <c r="Z48" s="74">
        <v>477</v>
      </c>
    </row>
    <row r="49" ht="15.5" spans="17:26">
      <c r="Q49" s="71"/>
      <c r="R49" s="73" t="s">
        <v>410</v>
      </c>
      <c r="S49" s="74">
        <v>144</v>
      </c>
      <c r="T49" s="74">
        <v>127.5</v>
      </c>
      <c r="U49" s="74">
        <v>133.7</v>
      </c>
      <c r="V49" s="74">
        <v>140.3</v>
      </c>
      <c r="W49" s="74">
        <v>149.9</v>
      </c>
      <c r="X49" s="74">
        <v>160.8</v>
      </c>
      <c r="Y49" s="74">
        <v>57</v>
      </c>
      <c r="Z49" s="74">
        <v>95.2</v>
      </c>
    </row>
    <row r="50" ht="15.5" spans="17:26">
      <c r="Q50" s="71" t="s">
        <v>301</v>
      </c>
      <c r="R50" s="73" t="s">
        <v>406</v>
      </c>
      <c r="S50" s="74">
        <v>1217.1</v>
      </c>
      <c r="T50" s="74">
        <v>996.4</v>
      </c>
      <c r="U50" s="74">
        <v>958.2</v>
      </c>
      <c r="V50" s="74">
        <v>966.8</v>
      </c>
      <c r="W50" s="74">
        <v>964.4</v>
      </c>
      <c r="X50" s="74">
        <v>1036</v>
      </c>
      <c r="Y50" s="74">
        <v>591.9</v>
      </c>
      <c r="Z50" s="74">
        <v>780.8</v>
      </c>
    </row>
    <row r="51" ht="15.5" spans="17:26">
      <c r="Q51" s="71"/>
      <c r="R51" s="73" t="s">
        <v>407</v>
      </c>
      <c r="S51" s="74">
        <v>1109.8</v>
      </c>
      <c r="T51" s="74">
        <v>920</v>
      </c>
      <c r="U51" s="74">
        <v>887.2</v>
      </c>
      <c r="V51" s="74">
        <v>895.9</v>
      </c>
      <c r="W51" s="74">
        <v>892.3</v>
      </c>
      <c r="X51" s="74">
        <v>959.3</v>
      </c>
      <c r="Y51" s="74">
        <v>549.8</v>
      </c>
      <c r="Z51" s="74">
        <v>733.9</v>
      </c>
    </row>
    <row r="52" ht="15.5" spans="17:26">
      <c r="Q52" s="71"/>
      <c r="R52" s="73" t="s">
        <v>408</v>
      </c>
      <c r="S52" s="74">
        <v>280.2</v>
      </c>
      <c r="T52" s="74">
        <v>215.6</v>
      </c>
      <c r="U52" s="74">
        <v>204.2</v>
      </c>
      <c r="V52" s="74">
        <v>204.5</v>
      </c>
      <c r="W52" s="74">
        <v>198.8</v>
      </c>
      <c r="X52" s="74">
        <v>211.1</v>
      </c>
      <c r="Y52" s="74">
        <v>89.8</v>
      </c>
      <c r="Z52" s="74">
        <v>168.5</v>
      </c>
    </row>
    <row r="53" ht="15.5" spans="17:26">
      <c r="Q53" s="71"/>
      <c r="R53" s="73" t="s">
        <v>409</v>
      </c>
      <c r="S53" s="74">
        <v>684.6</v>
      </c>
      <c r="T53" s="74">
        <v>575.9</v>
      </c>
      <c r="U53" s="74">
        <v>548.2</v>
      </c>
      <c r="V53" s="74">
        <v>550</v>
      </c>
      <c r="W53" s="74">
        <v>542.6</v>
      </c>
      <c r="X53" s="74">
        <v>586.3</v>
      </c>
      <c r="Y53" s="74">
        <v>402</v>
      </c>
      <c r="Z53" s="74">
        <v>469.1</v>
      </c>
    </row>
    <row r="54" ht="15.5" spans="17:26">
      <c r="Q54" s="71"/>
      <c r="R54" s="73" t="s">
        <v>410</v>
      </c>
      <c r="S54" s="74">
        <v>145</v>
      </c>
      <c r="T54" s="74">
        <v>128.5</v>
      </c>
      <c r="U54" s="74">
        <v>134.7</v>
      </c>
      <c r="V54" s="74">
        <v>141.3</v>
      </c>
      <c r="W54" s="74">
        <v>150.9</v>
      </c>
      <c r="X54" s="74">
        <v>161.9</v>
      </c>
      <c r="Y54" s="74">
        <v>58</v>
      </c>
      <c r="Z54" s="74">
        <v>96.3</v>
      </c>
    </row>
    <row r="55" ht="15.5" spans="17:26">
      <c r="Q55" s="71" t="s">
        <v>11</v>
      </c>
      <c r="R55" s="73" t="s">
        <v>406</v>
      </c>
      <c r="S55" s="74">
        <v>1222.2</v>
      </c>
      <c r="T55" s="74">
        <v>1001.5</v>
      </c>
      <c r="U55" s="74">
        <v>963.3</v>
      </c>
      <c r="V55" s="74">
        <v>971.9</v>
      </c>
      <c r="W55" s="74">
        <v>969.5</v>
      </c>
      <c r="X55" s="74">
        <v>1041.1</v>
      </c>
      <c r="Y55" s="74">
        <v>597</v>
      </c>
      <c r="Z55" s="74">
        <v>785.8</v>
      </c>
    </row>
    <row r="56" ht="15.5" spans="17:26">
      <c r="Q56" s="71"/>
      <c r="R56" s="73" t="s">
        <v>407</v>
      </c>
      <c r="S56" s="74">
        <v>1113.9</v>
      </c>
      <c r="T56" s="74">
        <v>924.1</v>
      </c>
      <c r="U56" s="74">
        <v>891.3</v>
      </c>
      <c r="V56" s="74">
        <v>900</v>
      </c>
      <c r="W56" s="74">
        <v>896.4</v>
      </c>
      <c r="X56" s="74">
        <v>963.4</v>
      </c>
      <c r="Y56" s="74">
        <v>553.9</v>
      </c>
      <c r="Z56" s="74">
        <v>738</v>
      </c>
    </row>
    <row r="57" ht="15.5" spans="17:26">
      <c r="Q57" s="71"/>
      <c r="R57" s="73" t="s">
        <v>408</v>
      </c>
      <c r="S57" s="74">
        <v>301.2</v>
      </c>
      <c r="T57" s="74">
        <v>236.6</v>
      </c>
      <c r="U57" s="74">
        <v>225.2</v>
      </c>
      <c r="V57" s="74">
        <v>225.5</v>
      </c>
      <c r="W57" s="74">
        <v>219.8</v>
      </c>
      <c r="X57" s="74">
        <v>232.2</v>
      </c>
      <c r="Y57" s="74">
        <v>110.8</v>
      </c>
      <c r="Z57" s="74">
        <v>189.5</v>
      </c>
    </row>
    <row r="58" ht="15.5" spans="17:26">
      <c r="Q58" s="71"/>
      <c r="R58" s="73" t="s">
        <v>409</v>
      </c>
      <c r="S58" s="74">
        <v>668.4</v>
      </c>
      <c r="T58" s="74">
        <v>559.8</v>
      </c>
      <c r="U58" s="74">
        <v>532.1</v>
      </c>
      <c r="V58" s="74">
        <v>533.9</v>
      </c>
      <c r="W58" s="74">
        <v>526.4</v>
      </c>
      <c r="X58" s="74">
        <v>570.2</v>
      </c>
      <c r="Y58" s="74">
        <v>385.8</v>
      </c>
      <c r="Z58" s="74">
        <v>453</v>
      </c>
    </row>
    <row r="59" ht="15.5" spans="17:26">
      <c r="Q59" s="71"/>
      <c r="R59" s="73" t="s">
        <v>410</v>
      </c>
      <c r="S59" s="74">
        <v>144.2</v>
      </c>
      <c r="T59" s="74">
        <v>127.7</v>
      </c>
      <c r="U59" s="74">
        <v>134</v>
      </c>
      <c r="V59" s="74">
        <v>140.6</v>
      </c>
      <c r="W59" s="74">
        <v>150.2</v>
      </c>
      <c r="X59" s="74">
        <v>161.1</v>
      </c>
      <c r="Y59" s="74">
        <v>57.2</v>
      </c>
      <c r="Z59" s="74">
        <v>95.5</v>
      </c>
    </row>
    <row r="60" ht="15.5" spans="17:26">
      <c r="Q60" s="72"/>
      <c r="R60" s="72"/>
      <c r="S60" s="74"/>
      <c r="T60" s="74"/>
      <c r="U60" s="74"/>
      <c r="V60" s="74"/>
      <c r="W60" s="74"/>
      <c r="X60" s="74"/>
      <c r="Y60" s="74"/>
      <c r="Z60" s="74"/>
    </row>
    <row r="61" ht="15.5" spans="17:26">
      <c r="Q61" s="72" t="s">
        <v>411</v>
      </c>
      <c r="R61" s="72"/>
      <c r="S61" s="72"/>
      <c r="T61" s="72"/>
      <c r="U61" s="72"/>
      <c r="V61" s="72"/>
      <c r="W61" s="72"/>
      <c r="X61" s="72"/>
      <c r="Y61" s="72"/>
      <c r="Z61" s="72"/>
    </row>
    <row r="62" ht="14.5" spans="17:26">
      <c r="Q62" s="1"/>
      <c r="R62" s="1"/>
      <c r="S62" s="1"/>
      <c r="T62" s="1"/>
      <c r="U62" s="1"/>
      <c r="V62" s="1"/>
      <c r="W62" s="1"/>
      <c r="X62" s="1"/>
      <c r="Y62" s="1"/>
      <c r="Z62" s="1"/>
    </row>
    <row r="63" ht="14.5" spans="17:26">
      <c r="Q63" s="1"/>
      <c r="R63" s="1"/>
      <c r="S63" s="1"/>
      <c r="T63" s="1"/>
      <c r="U63" s="1"/>
      <c r="V63" s="1"/>
      <c r="W63" s="1"/>
      <c r="X63" s="1"/>
      <c r="Y63" s="1"/>
      <c r="Z63" s="1"/>
    </row>
    <row r="64" ht="15.5" spans="17:26">
      <c r="Q64" s="1"/>
      <c r="R64" s="1"/>
      <c r="S64" s="72" t="s">
        <v>397</v>
      </c>
      <c r="T64" s="72" t="s">
        <v>398</v>
      </c>
      <c r="U64" s="72" t="s">
        <v>399</v>
      </c>
      <c r="V64" s="72" t="s">
        <v>400</v>
      </c>
      <c r="W64" s="72" t="s">
        <v>401</v>
      </c>
      <c r="X64" s="72" t="s">
        <v>402</v>
      </c>
      <c r="Y64" s="72" t="s">
        <v>403</v>
      </c>
      <c r="Z64" s="72" t="s">
        <v>404</v>
      </c>
    </row>
    <row r="65" ht="14.5" spans="17:26">
      <c r="Q65" s="75" t="s">
        <v>405</v>
      </c>
      <c r="R65" s="75" t="s">
        <v>182</v>
      </c>
      <c r="S65" s="76">
        <f t="shared" ref="S65:Z65" si="34" xml:space="preserve">S45-S46</f>
        <v>107.6</v>
      </c>
      <c r="T65" s="77">
        <f t="shared" si="34"/>
        <v>76.8000000000001</v>
      </c>
      <c r="U65" s="77">
        <f t="shared" si="34"/>
        <v>71.3</v>
      </c>
      <c r="V65" s="77">
        <f t="shared" si="34"/>
        <v>71.2</v>
      </c>
      <c r="W65" s="77">
        <f t="shared" si="34"/>
        <v>72.5</v>
      </c>
      <c r="X65" s="77">
        <f t="shared" si="34"/>
        <v>77</v>
      </c>
      <c r="Y65" s="77">
        <f t="shared" si="34"/>
        <v>42.4</v>
      </c>
      <c r="Z65" s="77">
        <f t="shared" si="34"/>
        <v>47.2</v>
      </c>
    </row>
    <row r="66" ht="15.5" spans="17:26">
      <c r="Q66" s="75"/>
      <c r="R66" s="78" t="s">
        <v>408</v>
      </c>
      <c r="S66" s="76">
        <f t="shared" ref="S66:Z66" si="35" xml:space="preserve">S47</f>
        <v>267.3</v>
      </c>
      <c r="T66" s="77">
        <f t="shared" si="35"/>
        <v>202.6</v>
      </c>
      <c r="U66" s="77">
        <f t="shared" si="35"/>
        <v>191.3</v>
      </c>
      <c r="V66" s="77">
        <f t="shared" si="35"/>
        <v>191.5</v>
      </c>
      <c r="W66" s="77">
        <f t="shared" si="35"/>
        <v>185.9</v>
      </c>
      <c r="X66" s="77">
        <f t="shared" si="35"/>
        <v>198.2</v>
      </c>
      <c r="Y66" s="77">
        <f t="shared" si="35"/>
        <v>76.8</v>
      </c>
      <c r="Z66" s="77">
        <f t="shared" si="35"/>
        <v>155.5</v>
      </c>
    </row>
    <row r="67" ht="15.5" spans="17:26">
      <c r="Q67" s="75"/>
      <c r="R67" s="78" t="s">
        <v>409</v>
      </c>
      <c r="S67" s="76">
        <f t="shared" ref="S67:Z67" si="36" xml:space="preserve">S48</f>
        <v>692.5</v>
      </c>
      <c r="T67" s="77">
        <f t="shared" si="36"/>
        <v>583.8</v>
      </c>
      <c r="U67" s="77">
        <f t="shared" si="36"/>
        <v>556.1</v>
      </c>
      <c r="V67" s="77">
        <f t="shared" si="36"/>
        <v>557.9</v>
      </c>
      <c r="W67" s="77">
        <f t="shared" si="36"/>
        <v>550.5</v>
      </c>
      <c r="X67" s="77">
        <f t="shared" si="36"/>
        <v>594.2</v>
      </c>
      <c r="Y67" s="77">
        <f t="shared" si="36"/>
        <v>409.9</v>
      </c>
      <c r="Z67" s="77">
        <f t="shared" si="36"/>
        <v>477</v>
      </c>
    </row>
    <row r="68" ht="15.5" spans="17:26">
      <c r="Q68" s="75"/>
      <c r="R68" s="78" t="s">
        <v>410</v>
      </c>
      <c r="S68" s="76">
        <f t="shared" ref="S68:Z68" si="37" xml:space="preserve">S49</f>
        <v>144</v>
      </c>
      <c r="T68" s="77">
        <f t="shared" si="37"/>
        <v>127.5</v>
      </c>
      <c r="U68" s="77">
        <f t="shared" si="37"/>
        <v>133.7</v>
      </c>
      <c r="V68" s="77">
        <f t="shared" si="37"/>
        <v>140.3</v>
      </c>
      <c r="W68" s="77">
        <f t="shared" si="37"/>
        <v>149.9</v>
      </c>
      <c r="X68" s="77">
        <f t="shared" si="37"/>
        <v>160.8</v>
      </c>
      <c r="Y68" s="77">
        <f t="shared" si="37"/>
        <v>57</v>
      </c>
      <c r="Z68" s="77">
        <f t="shared" si="37"/>
        <v>95.2</v>
      </c>
    </row>
    <row r="69" ht="14.5" spans="17:26">
      <c r="Q69" s="75" t="s">
        <v>301</v>
      </c>
      <c r="R69" s="75" t="s">
        <v>182</v>
      </c>
      <c r="S69" s="76">
        <f t="shared" ref="S69:Z69" si="38" xml:space="preserve">S50-S51</f>
        <v>107.3</v>
      </c>
      <c r="T69" s="77">
        <f t="shared" si="38"/>
        <v>76.4</v>
      </c>
      <c r="U69" s="77">
        <f t="shared" si="38"/>
        <v>71</v>
      </c>
      <c r="V69" s="77">
        <f t="shared" si="38"/>
        <v>70.9</v>
      </c>
      <c r="W69" s="77">
        <f t="shared" si="38"/>
        <v>72.1</v>
      </c>
      <c r="X69" s="77">
        <f t="shared" si="38"/>
        <v>76.7</v>
      </c>
      <c r="Y69" s="77">
        <f t="shared" si="38"/>
        <v>42.1</v>
      </c>
      <c r="Z69" s="77">
        <f t="shared" si="38"/>
        <v>46.9</v>
      </c>
    </row>
    <row r="70" ht="15.5" spans="17:26">
      <c r="Q70" s="75"/>
      <c r="R70" s="78" t="s">
        <v>408</v>
      </c>
      <c r="S70" s="76">
        <f t="shared" ref="S70:Z70" si="39" xml:space="preserve">S52</f>
        <v>280.2</v>
      </c>
      <c r="T70" s="77">
        <f t="shared" si="39"/>
        <v>215.6</v>
      </c>
      <c r="U70" s="77">
        <f t="shared" si="39"/>
        <v>204.2</v>
      </c>
      <c r="V70" s="77">
        <f t="shared" si="39"/>
        <v>204.5</v>
      </c>
      <c r="W70" s="77">
        <f t="shared" si="39"/>
        <v>198.8</v>
      </c>
      <c r="X70" s="77">
        <f t="shared" si="39"/>
        <v>211.1</v>
      </c>
      <c r="Y70" s="77">
        <f t="shared" si="39"/>
        <v>89.8</v>
      </c>
      <c r="Z70" s="77">
        <f t="shared" si="39"/>
        <v>168.5</v>
      </c>
    </row>
    <row r="71" ht="15.5" spans="17:26">
      <c r="Q71" s="75"/>
      <c r="R71" s="78" t="s">
        <v>409</v>
      </c>
      <c r="S71" s="76">
        <f t="shared" ref="S71:Z71" si="40" xml:space="preserve">S53</f>
        <v>684.6</v>
      </c>
      <c r="T71" s="77">
        <f t="shared" si="40"/>
        <v>575.9</v>
      </c>
      <c r="U71" s="77">
        <f t="shared" si="40"/>
        <v>548.2</v>
      </c>
      <c r="V71" s="77">
        <f t="shared" si="40"/>
        <v>550</v>
      </c>
      <c r="W71" s="77">
        <f t="shared" si="40"/>
        <v>542.6</v>
      </c>
      <c r="X71" s="77">
        <f t="shared" si="40"/>
        <v>586.3</v>
      </c>
      <c r="Y71" s="77">
        <f t="shared" si="40"/>
        <v>402</v>
      </c>
      <c r="Z71" s="77">
        <f t="shared" si="40"/>
        <v>469.1</v>
      </c>
    </row>
    <row r="72" ht="15.5" spans="17:26">
      <c r="Q72" s="75"/>
      <c r="R72" s="78" t="s">
        <v>410</v>
      </c>
      <c r="S72" s="76">
        <f t="shared" ref="S72:Z72" si="41" xml:space="preserve">S54</f>
        <v>145</v>
      </c>
      <c r="T72" s="77">
        <f t="shared" si="41"/>
        <v>128.5</v>
      </c>
      <c r="U72" s="77">
        <f t="shared" si="41"/>
        <v>134.7</v>
      </c>
      <c r="V72" s="77">
        <f t="shared" si="41"/>
        <v>141.3</v>
      </c>
      <c r="W72" s="77">
        <f t="shared" si="41"/>
        <v>150.9</v>
      </c>
      <c r="X72" s="77">
        <f t="shared" si="41"/>
        <v>161.9</v>
      </c>
      <c r="Y72" s="77">
        <f t="shared" si="41"/>
        <v>58</v>
      </c>
      <c r="Z72" s="77">
        <f t="shared" si="41"/>
        <v>96.3</v>
      </c>
    </row>
    <row r="73" ht="14.5" spans="17:26">
      <c r="Q73" s="75" t="s">
        <v>11</v>
      </c>
      <c r="R73" s="75" t="s">
        <v>182</v>
      </c>
      <c r="S73" s="76">
        <f t="shared" ref="S73:Z73" si="42" xml:space="preserve">S55-S56</f>
        <v>108.3</v>
      </c>
      <c r="T73" s="77">
        <f t="shared" si="42"/>
        <v>77.4</v>
      </c>
      <c r="U73" s="77">
        <f t="shared" si="42"/>
        <v>72</v>
      </c>
      <c r="V73" s="77">
        <f t="shared" si="42"/>
        <v>71.9</v>
      </c>
      <c r="W73" s="77">
        <f t="shared" si="42"/>
        <v>73.1</v>
      </c>
      <c r="X73" s="77">
        <f t="shared" si="42"/>
        <v>77.6999999999999</v>
      </c>
      <c r="Y73" s="77">
        <f t="shared" si="42"/>
        <v>43.1</v>
      </c>
      <c r="Z73" s="77">
        <f t="shared" si="42"/>
        <v>47.8</v>
      </c>
    </row>
    <row r="74" ht="15.5" spans="17:26">
      <c r="Q74" s="75"/>
      <c r="R74" s="78" t="s">
        <v>408</v>
      </c>
      <c r="S74" s="76">
        <f t="shared" ref="S74:Z74" si="43" xml:space="preserve">S57</f>
        <v>301.2</v>
      </c>
      <c r="T74" s="77">
        <f t="shared" si="43"/>
        <v>236.6</v>
      </c>
      <c r="U74" s="77">
        <f t="shared" si="43"/>
        <v>225.2</v>
      </c>
      <c r="V74" s="77">
        <f t="shared" si="43"/>
        <v>225.5</v>
      </c>
      <c r="W74" s="77">
        <f t="shared" si="43"/>
        <v>219.8</v>
      </c>
      <c r="X74" s="77">
        <f t="shared" si="43"/>
        <v>232.2</v>
      </c>
      <c r="Y74" s="77">
        <f t="shared" si="43"/>
        <v>110.8</v>
      </c>
      <c r="Z74" s="77">
        <f t="shared" si="43"/>
        <v>189.5</v>
      </c>
    </row>
    <row r="75" ht="15.5" spans="17:26">
      <c r="Q75" s="75"/>
      <c r="R75" s="78" t="s">
        <v>409</v>
      </c>
      <c r="S75" s="76">
        <f t="shared" ref="S75:Z75" si="44" xml:space="preserve">S58</f>
        <v>668.4</v>
      </c>
      <c r="T75" s="77">
        <f t="shared" si="44"/>
        <v>559.8</v>
      </c>
      <c r="U75" s="77">
        <f t="shared" si="44"/>
        <v>532.1</v>
      </c>
      <c r="V75" s="77">
        <f t="shared" si="44"/>
        <v>533.9</v>
      </c>
      <c r="W75" s="77">
        <f t="shared" si="44"/>
        <v>526.4</v>
      </c>
      <c r="X75" s="77">
        <f t="shared" si="44"/>
        <v>570.2</v>
      </c>
      <c r="Y75" s="77">
        <f t="shared" si="44"/>
        <v>385.8</v>
      </c>
      <c r="Z75" s="77">
        <f t="shared" si="44"/>
        <v>453</v>
      </c>
    </row>
    <row r="76" ht="15.5" spans="17:26">
      <c r="Q76" s="75"/>
      <c r="R76" s="78" t="s">
        <v>410</v>
      </c>
      <c r="S76" s="76">
        <f t="shared" ref="S76:Z76" si="45" xml:space="preserve">S59</f>
        <v>144.2</v>
      </c>
      <c r="T76" s="77">
        <f t="shared" si="45"/>
        <v>127.7</v>
      </c>
      <c r="U76" s="77">
        <f t="shared" si="45"/>
        <v>134</v>
      </c>
      <c r="V76" s="77">
        <f t="shared" si="45"/>
        <v>140.6</v>
      </c>
      <c r="W76" s="77">
        <f t="shared" si="45"/>
        <v>150.2</v>
      </c>
      <c r="X76" s="77">
        <f t="shared" si="45"/>
        <v>161.1</v>
      </c>
      <c r="Y76" s="77">
        <f t="shared" si="45"/>
        <v>57.2</v>
      </c>
      <c r="Z76" s="77">
        <f t="shared" si="45"/>
        <v>95.5</v>
      </c>
    </row>
    <row r="77" ht="14.5" spans="17:26">
      <c r="Q77" s="1"/>
      <c r="R77" s="1"/>
      <c r="S77" s="1"/>
      <c r="T77" s="1"/>
      <c r="U77" s="1"/>
      <c r="V77" s="1"/>
      <c r="W77" s="1"/>
      <c r="X77" s="1"/>
      <c r="Y77" s="1"/>
      <c r="Z77" s="1"/>
    </row>
    <row r="78" ht="14.5" spans="17:26">
      <c r="Q78" s="1"/>
      <c r="R78" s="1"/>
      <c r="S78" s="1"/>
      <c r="T78" s="1"/>
      <c r="U78" s="1"/>
      <c r="V78" s="1"/>
      <c r="W78" s="1"/>
      <c r="X78" s="1"/>
      <c r="Y78" s="1"/>
      <c r="Z78" s="1"/>
    </row>
    <row r="79" ht="14.5" spans="17:26">
      <c r="Q79" s="75" t="s">
        <v>412</v>
      </c>
      <c r="R79" s="75" t="s">
        <v>182</v>
      </c>
      <c r="S79" s="79">
        <f t="shared" ref="S79:Z79" si="46" xml:space="preserve">AVERAGE(S65,S69,S73)</f>
        <v>107.733333333333</v>
      </c>
      <c r="T79" s="1">
        <f t="shared" si="46"/>
        <v>76.8666666666667</v>
      </c>
      <c r="U79" s="1">
        <f t="shared" si="46"/>
        <v>71.4333333333333</v>
      </c>
      <c r="V79" s="1">
        <f t="shared" si="46"/>
        <v>71.3333333333333</v>
      </c>
      <c r="W79" s="1">
        <f t="shared" si="46"/>
        <v>72.5666666666667</v>
      </c>
      <c r="X79" s="1">
        <f t="shared" si="46"/>
        <v>77.1333333333333</v>
      </c>
      <c r="Y79" s="1">
        <f t="shared" si="46"/>
        <v>42.5333333333333</v>
      </c>
      <c r="Z79" s="1">
        <f t="shared" si="46"/>
        <v>47.3</v>
      </c>
    </row>
    <row r="80" ht="15.5" spans="17:26">
      <c r="Q80" s="75"/>
      <c r="R80" s="78" t="s">
        <v>408</v>
      </c>
      <c r="S80" s="79">
        <f t="shared" ref="S80:Z80" si="47" xml:space="preserve">AVERAGE(S66,S70,S74)</f>
        <v>282.9</v>
      </c>
      <c r="T80" s="1">
        <f t="shared" si="47"/>
        <v>218.266666666667</v>
      </c>
      <c r="U80" s="1">
        <f t="shared" si="47"/>
        <v>206.9</v>
      </c>
      <c r="V80" s="1">
        <f t="shared" si="47"/>
        <v>207.166666666667</v>
      </c>
      <c r="W80" s="1">
        <f t="shared" si="47"/>
        <v>201.5</v>
      </c>
      <c r="X80" s="1">
        <f t="shared" si="47"/>
        <v>213.833333333333</v>
      </c>
      <c r="Y80" s="1">
        <f t="shared" si="47"/>
        <v>92.4666666666667</v>
      </c>
      <c r="Z80" s="1">
        <f t="shared" si="47"/>
        <v>171.166666666667</v>
      </c>
    </row>
    <row r="81" ht="15.5" spans="11:51">
      <c r="Q81" s="75"/>
      <c r="R81" s="78" t="s">
        <v>409</v>
      </c>
      <c r="S81" s="79">
        <f t="shared" ref="S81:Z81" si="48" xml:space="preserve">AVERAGE(S67,S71,S75)</f>
        <v>681.833333333333</v>
      </c>
      <c r="T81" s="1">
        <f t="shared" si="48"/>
        <v>573.166666666667</v>
      </c>
      <c r="U81" s="1">
        <f t="shared" si="48"/>
        <v>545.466666666667</v>
      </c>
      <c r="V81" s="1">
        <f t="shared" si="48"/>
        <v>547.266666666667</v>
      </c>
      <c r="W81" s="1">
        <f t="shared" si="48"/>
        <v>539.833333333333</v>
      </c>
      <c r="X81" s="1">
        <f t="shared" si="48"/>
        <v>583.566666666667</v>
      </c>
      <c r="Y81" s="1">
        <f t="shared" si="48"/>
        <v>399.233333333333</v>
      </c>
      <c r="Z81" s="1">
        <f t="shared" si="48"/>
        <v>466.366666666667</v>
      </c>
    </row>
    <row r="82" ht="15.5" spans="11:51">
      <c r="Q82" s="75"/>
      <c r="R82" s="78" t="s">
        <v>410</v>
      </c>
      <c r="S82" s="79">
        <f t="shared" ref="S82:Z82" si="49" xml:space="preserve">AVERAGE(S68,S72,S76)</f>
        <v>144.4</v>
      </c>
      <c r="T82" s="1">
        <f t="shared" si="49"/>
        <v>127.9</v>
      </c>
      <c r="U82" s="1">
        <f t="shared" si="49"/>
        <v>134.133333333333</v>
      </c>
      <c r="V82" s="1">
        <f t="shared" si="49"/>
        <v>140.733333333333</v>
      </c>
      <c r="W82" s="1">
        <f t="shared" si="49"/>
        <v>150.333333333333</v>
      </c>
      <c r="X82" s="1">
        <f t="shared" si="49"/>
        <v>161.266666666667</v>
      </c>
      <c r="Y82" s="1">
        <f t="shared" si="49"/>
        <v>57.4</v>
      </c>
      <c r="Z82" s="1">
        <f t="shared" si="49"/>
        <v>95.6666666666667</v>
      </c>
    </row>
    <row r="94" spans="11:51">
      <c r="M94" s="4" t="s">
        <v>388</v>
      </c>
      <c r="S94" s="4" t="s">
        <v>388</v>
      </c>
      <c r="Y94" s="4" t="s">
        <v>388</v>
      </c>
      <c r="AE94" s="4" t="s">
        <v>388</v>
      </c>
      <c r="AK94" s="4" t="s">
        <v>388</v>
      </c>
      <c r="AQ94" s="4" t="s">
        <v>388</v>
      </c>
      <c r="AW94" s="4" t="s">
        <v>388</v>
      </c>
    </row>
    <row r="95" spans="11:51">
      <c r="K95" s="4" t="s">
        <v>197</v>
      </c>
      <c r="L95" s="4" t="s">
        <v>66</v>
      </c>
      <c r="M95" s="4" t="s">
        <v>172</v>
      </c>
      <c r="N95" s="4" t="s">
        <v>25</v>
      </c>
      <c r="O95" s="4" t="s">
        <v>41</v>
      </c>
      <c r="Q95" s="4" t="s">
        <v>197</v>
      </c>
      <c r="R95" s="4" t="s">
        <v>66</v>
      </c>
      <c r="S95" s="4" t="s">
        <v>172</v>
      </c>
      <c r="T95" s="4" t="s">
        <v>25</v>
      </c>
      <c r="U95" s="4" t="s">
        <v>41</v>
      </c>
      <c r="W95" s="4" t="s">
        <v>197</v>
      </c>
      <c r="X95" s="4" t="s">
        <v>66</v>
      </c>
      <c r="Y95" s="4" t="s">
        <v>172</v>
      </c>
      <c r="Z95" s="4" t="s">
        <v>25</v>
      </c>
      <c r="AA95" s="4" t="s">
        <v>41</v>
      </c>
      <c r="AC95" s="4" t="s">
        <v>197</v>
      </c>
      <c r="AD95" s="4" t="s">
        <v>66</v>
      </c>
      <c r="AE95" s="4" t="s">
        <v>172</v>
      </c>
      <c r="AF95" s="4" t="s">
        <v>25</v>
      </c>
      <c r="AG95" s="4" t="s">
        <v>41</v>
      </c>
      <c r="AI95" s="4" t="s">
        <v>197</v>
      </c>
      <c r="AJ95" s="4" t="s">
        <v>66</v>
      </c>
      <c r="AK95" s="4" t="s">
        <v>172</v>
      </c>
      <c r="AL95" s="4" t="s">
        <v>25</v>
      </c>
      <c r="AM95" s="4" t="s">
        <v>41</v>
      </c>
      <c r="AO95" s="4" t="s">
        <v>197</v>
      </c>
      <c r="AP95" s="4" t="s">
        <v>66</v>
      </c>
      <c r="AQ95" s="4" t="s">
        <v>172</v>
      </c>
      <c r="AR95" s="4" t="s">
        <v>25</v>
      </c>
      <c r="AS95" s="4" t="s">
        <v>41</v>
      </c>
      <c r="AU95" s="4" t="s">
        <v>197</v>
      </c>
      <c r="AV95" s="4" t="s">
        <v>66</v>
      </c>
      <c r="AW95" s="4" t="s">
        <v>172</v>
      </c>
      <c r="AX95" s="4" t="s">
        <v>25</v>
      </c>
      <c r="AY95" s="4" t="s">
        <v>41</v>
      </c>
    </row>
    <row r="96" spans="11:51">
      <c r="K96" s="4" t="s">
        <v>201</v>
      </c>
      <c r="L96" s="4" t="s">
        <v>81</v>
      </c>
      <c r="M96" s="4" t="s">
        <v>389</v>
      </c>
      <c r="N96" s="4">
        <f xml:space="preserve">SUM(M6:M9)</f>
        <v>0.9907</v>
      </c>
      <c r="O96" s="4" t="s">
        <v>413</v>
      </c>
      <c r="Q96" s="4" t="s">
        <v>201</v>
      </c>
      <c r="R96" s="4" t="s">
        <v>86</v>
      </c>
      <c r="S96" s="4" t="s">
        <v>389</v>
      </c>
      <c r="T96" s="4">
        <f xml:space="preserve">SUM(S6:S9)</f>
        <v>0.9524</v>
      </c>
      <c r="U96" s="4" t="s">
        <v>413</v>
      </c>
      <c r="W96" s="4" t="s">
        <v>201</v>
      </c>
      <c r="X96" s="4" t="s">
        <v>90</v>
      </c>
      <c r="Y96" s="4" t="s">
        <v>389</v>
      </c>
      <c r="Z96" s="4">
        <f xml:space="preserve">SUM(Y6:Y9)</f>
        <v>0.9609</v>
      </c>
      <c r="AA96" s="4" t="s">
        <v>413</v>
      </c>
      <c r="AC96" s="4" t="s">
        <v>201</v>
      </c>
      <c r="AD96" s="4" t="s">
        <v>94</v>
      </c>
      <c r="AE96" s="4" t="s">
        <v>389</v>
      </c>
      <c r="AF96" s="4">
        <f xml:space="preserve">SUM(AE6:AE9)</f>
        <v>0.9588</v>
      </c>
      <c r="AG96" s="4" t="s">
        <v>413</v>
      </c>
      <c r="AI96" s="4" t="s">
        <v>201</v>
      </c>
      <c r="AJ96" s="4" t="s">
        <v>77</v>
      </c>
      <c r="AK96" s="4" t="s">
        <v>389</v>
      </c>
      <c r="AL96" s="4">
        <f xml:space="preserve">SUM(AK6:AK9)</f>
        <v>1.0302</v>
      </c>
      <c r="AM96" s="4" t="s">
        <v>413</v>
      </c>
      <c r="AO96" s="4" t="s">
        <v>201</v>
      </c>
      <c r="AP96" s="4" t="s">
        <v>73</v>
      </c>
      <c r="AQ96" s="4" t="s">
        <v>389</v>
      </c>
      <c r="AR96" s="4">
        <f xml:space="preserve">SUM(AQ6:AQ9)</f>
        <v>0.5861</v>
      </c>
      <c r="AS96" s="4" t="s">
        <v>413</v>
      </c>
      <c r="AU96" s="4" t="s">
        <v>201</v>
      </c>
      <c r="AV96" s="4" t="s">
        <v>68</v>
      </c>
      <c r="AW96" s="4" t="s">
        <v>389</v>
      </c>
      <c r="AX96" s="4">
        <f xml:space="preserve">SUM(AW6:AW9)</f>
        <v>0.7749</v>
      </c>
      <c r="AY96" s="4" t="s">
        <v>413</v>
      </c>
    </row>
    <row r="97" spans="11:51">
      <c r="K97" s="4" t="s">
        <v>201</v>
      </c>
      <c r="L97" s="4" t="s">
        <v>81</v>
      </c>
      <c r="M97" s="4" t="s">
        <v>390</v>
      </c>
      <c r="N97" s="4">
        <v>0</v>
      </c>
      <c r="O97" s="4" t="s">
        <v>413</v>
      </c>
      <c r="Q97" s="4" t="s">
        <v>201</v>
      </c>
      <c r="R97" s="4" t="s">
        <v>86</v>
      </c>
      <c r="S97" s="4" t="s">
        <v>390</v>
      </c>
      <c r="T97" s="4">
        <v>0</v>
      </c>
      <c r="U97" s="4" t="s">
        <v>413</v>
      </c>
      <c r="W97" s="4" t="s">
        <v>201</v>
      </c>
      <c r="X97" s="4" t="s">
        <v>90</v>
      </c>
      <c r="Y97" s="4" t="s">
        <v>390</v>
      </c>
      <c r="Z97" s="4">
        <v>0</v>
      </c>
      <c r="AA97" s="4" t="s">
        <v>413</v>
      </c>
      <c r="AC97" s="4" t="s">
        <v>201</v>
      </c>
      <c r="AD97" s="4" t="s">
        <v>94</v>
      </c>
      <c r="AE97" s="4" t="s">
        <v>390</v>
      </c>
      <c r="AF97" s="4">
        <v>0</v>
      </c>
      <c r="AG97" s="4" t="s">
        <v>413</v>
      </c>
      <c r="AI97" s="4" t="s">
        <v>201</v>
      </c>
      <c r="AJ97" s="4" t="s">
        <v>77</v>
      </c>
      <c r="AK97" s="4" t="s">
        <v>390</v>
      </c>
      <c r="AL97" s="4">
        <v>0</v>
      </c>
      <c r="AM97" s="4" t="s">
        <v>413</v>
      </c>
      <c r="AO97" s="4" t="s">
        <v>201</v>
      </c>
      <c r="AP97" s="4" t="s">
        <v>73</v>
      </c>
      <c r="AQ97" s="4" t="s">
        <v>390</v>
      </c>
      <c r="AR97" s="4">
        <v>0</v>
      </c>
      <c r="AS97" s="4" t="s">
        <v>413</v>
      </c>
      <c r="AU97" s="4" t="s">
        <v>201</v>
      </c>
      <c r="AV97" s="4" t="s">
        <v>68</v>
      </c>
      <c r="AW97" s="4" t="s">
        <v>390</v>
      </c>
      <c r="AX97" s="4">
        <v>0</v>
      </c>
      <c r="AY97" s="4" t="s">
        <v>413</v>
      </c>
    </row>
    <row r="98" spans="11:51">
      <c r="K98" s="4" t="s">
        <v>201</v>
      </c>
      <c r="L98" s="4" t="s">
        <v>81</v>
      </c>
      <c r="M98" s="4" t="s">
        <v>391</v>
      </c>
      <c r="N98" s="4">
        <v>0</v>
      </c>
      <c r="O98" s="4" t="s">
        <v>413</v>
      </c>
      <c r="Q98" s="4" t="s">
        <v>201</v>
      </c>
      <c r="R98" s="4" t="s">
        <v>86</v>
      </c>
      <c r="S98" s="4" t="s">
        <v>391</v>
      </c>
      <c r="T98" s="4">
        <v>0</v>
      </c>
      <c r="U98" s="4" t="s">
        <v>413</v>
      </c>
      <c r="W98" s="4" t="s">
        <v>201</v>
      </c>
      <c r="X98" s="4" t="s">
        <v>90</v>
      </c>
      <c r="Y98" s="4" t="s">
        <v>391</v>
      </c>
      <c r="Z98" s="4">
        <v>0</v>
      </c>
      <c r="AA98" s="4" t="s">
        <v>413</v>
      </c>
      <c r="AC98" s="4" t="s">
        <v>201</v>
      </c>
      <c r="AD98" s="4" t="s">
        <v>94</v>
      </c>
      <c r="AE98" s="4" t="s">
        <v>391</v>
      </c>
      <c r="AF98" s="4">
        <v>0</v>
      </c>
      <c r="AG98" s="4" t="s">
        <v>413</v>
      </c>
      <c r="AI98" s="4" t="s">
        <v>201</v>
      </c>
      <c r="AJ98" s="4" t="s">
        <v>77</v>
      </c>
      <c r="AK98" s="4" t="s">
        <v>391</v>
      </c>
      <c r="AL98" s="4">
        <v>0</v>
      </c>
      <c r="AM98" s="4" t="s">
        <v>413</v>
      </c>
      <c r="AO98" s="4" t="s">
        <v>201</v>
      </c>
      <c r="AP98" s="4" t="s">
        <v>73</v>
      </c>
      <c r="AQ98" s="4" t="s">
        <v>391</v>
      </c>
      <c r="AR98" s="4">
        <v>0</v>
      </c>
      <c r="AS98" s="4" t="s">
        <v>413</v>
      </c>
      <c r="AU98" s="4" t="s">
        <v>201</v>
      </c>
      <c r="AV98" s="4" t="s">
        <v>68</v>
      </c>
      <c r="AW98" s="4" t="s">
        <v>391</v>
      </c>
      <c r="AX98" s="4">
        <v>0</v>
      </c>
      <c r="AY98" s="4" t="s">
        <v>413</v>
      </c>
    </row>
    <row r="99" spans="11:51">
      <c r="K99" s="4" t="s">
        <v>201</v>
      </c>
      <c r="L99" s="4" t="s">
        <v>81</v>
      </c>
      <c r="M99" s="4" t="s">
        <v>392</v>
      </c>
      <c r="N99" s="4">
        <v>0</v>
      </c>
      <c r="O99" s="4" t="s">
        <v>413</v>
      </c>
      <c r="Q99" s="4" t="s">
        <v>201</v>
      </c>
      <c r="R99" s="4" t="s">
        <v>86</v>
      </c>
      <c r="S99" s="4" t="s">
        <v>392</v>
      </c>
      <c r="T99" s="4">
        <v>0</v>
      </c>
      <c r="U99" s="4" t="s">
        <v>413</v>
      </c>
      <c r="W99" s="4" t="s">
        <v>201</v>
      </c>
      <c r="X99" s="4" t="s">
        <v>90</v>
      </c>
      <c r="Y99" s="4" t="s">
        <v>392</v>
      </c>
      <c r="Z99" s="4">
        <v>0</v>
      </c>
      <c r="AA99" s="4" t="s">
        <v>413</v>
      </c>
      <c r="AC99" s="4" t="s">
        <v>201</v>
      </c>
      <c r="AD99" s="4" t="s">
        <v>94</v>
      </c>
      <c r="AE99" s="4" t="s">
        <v>392</v>
      </c>
      <c r="AF99" s="4">
        <v>0</v>
      </c>
      <c r="AG99" s="4" t="s">
        <v>413</v>
      </c>
      <c r="AI99" s="4" t="s">
        <v>201</v>
      </c>
      <c r="AJ99" s="4" t="s">
        <v>77</v>
      </c>
      <c r="AK99" s="4" t="s">
        <v>392</v>
      </c>
      <c r="AL99" s="4">
        <v>0</v>
      </c>
      <c r="AM99" s="4" t="s">
        <v>413</v>
      </c>
      <c r="AO99" s="4" t="s">
        <v>201</v>
      </c>
      <c r="AP99" s="4" t="s">
        <v>73</v>
      </c>
      <c r="AQ99" s="4" t="s">
        <v>392</v>
      </c>
      <c r="AR99" s="4">
        <v>0</v>
      </c>
      <c r="AS99" s="4" t="s">
        <v>413</v>
      </c>
      <c r="AU99" s="4" t="s">
        <v>201</v>
      </c>
      <c r="AV99" s="4" t="s">
        <v>68</v>
      </c>
      <c r="AW99" s="4" t="s">
        <v>392</v>
      </c>
      <c r="AX99" s="4">
        <v>0</v>
      </c>
      <c r="AY99" s="4" t="s">
        <v>413</v>
      </c>
    </row>
    <row r="106" spans="11:51">
      <c r="N106" s="4">
        <v>76.8000000000001</v>
      </c>
      <c r="T106" s="4">
        <v>71.3</v>
      </c>
      <c r="Z106" s="4">
        <v>71.2</v>
      </c>
      <c r="AF106" s="4">
        <v>71.2</v>
      </c>
      <c r="AL106" s="4">
        <v>71.2</v>
      </c>
      <c r="AR106" s="4">
        <v>71.2</v>
      </c>
      <c r="AX106" s="4">
        <v>71.2</v>
      </c>
    </row>
    <row r="107" spans="11:51">
      <c r="N107" s="4">
        <v>202.6</v>
      </c>
      <c r="T107" s="4">
        <v>191.3</v>
      </c>
      <c r="Z107" s="4">
        <v>191.5</v>
      </c>
      <c r="AF107" s="4">
        <v>191.5</v>
      </c>
      <c r="AL107" s="4">
        <v>191.5</v>
      </c>
      <c r="AR107" s="4">
        <v>191.5</v>
      </c>
      <c r="AX107" s="4">
        <v>191.5</v>
      </c>
    </row>
    <row r="108" spans="11:51">
      <c r="N108" s="4">
        <v>583.8</v>
      </c>
      <c r="T108" s="4">
        <v>556.1</v>
      </c>
      <c r="Z108" s="4">
        <v>557.9</v>
      </c>
      <c r="AF108" s="4">
        <v>557.9</v>
      </c>
      <c r="AL108" s="4">
        <v>557.9</v>
      </c>
      <c r="AR108" s="4">
        <v>557.9</v>
      </c>
      <c r="AX108" s="4">
        <v>557.9</v>
      </c>
    </row>
    <row r="109" spans="11:51">
      <c r="N109" s="4">
        <v>127.5</v>
      </c>
      <c r="T109" s="4">
        <v>133.7</v>
      </c>
      <c r="Z109" s="4">
        <v>140.3</v>
      </c>
      <c r="AF109" s="4">
        <v>140.3</v>
      </c>
      <c r="AL109" s="4">
        <v>140.3</v>
      </c>
      <c r="AR109" s="4">
        <v>140.3</v>
      </c>
      <c r="AX109" s="4">
        <v>140.3</v>
      </c>
    </row>
    <row r="114" spans="11:51">
      <c r="M114" s="4" t="s">
        <v>388</v>
      </c>
      <c r="S114" s="4" t="s">
        <v>388</v>
      </c>
      <c r="Y114" s="4" t="s">
        <v>388</v>
      </c>
      <c r="AE114" s="4" t="s">
        <v>388</v>
      </c>
      <c r="AK114" s="4" t="s">
        <v>388</v>
      </c>
      <c r="AQ114" s="4" t="s">
        <v>388</v>
      </c>
      <c r="AW114" s="4" t="s">
        <v>388</v>
      </c>
    </row>
    <row r="115" spans="11:51">
      <c r="K115" s="4" t="s">
        <v>197</v>
      </c>
      <c r="L115" s="4" t="s">
        <v>66</v>
      </c>
      <c r="M115" s="4" t="s">
        <v>172</v>
      </c>
      <c r="N115" s="4" t="s">
        <v>11</v>
      </c>
      <c r="O115" s="4" t="s">
        <v>41</v>
      </c>
      <c r="Q115" s="4" t="s">
        <v>197</v>
      </c>
      <c r="R115" s="4" t="s">
        <v>66</v>
      </c>
      <c r="S115" s="4" t="s">
        <v>172</v>
      </c>
      <c r="T115" s="4" t="s">
        <v>11</v>
      </c>
      <c r="U115" s="4" t="s">
        <v>41</v>
      </c>
      <c r="W115" s="4" t="s">
        <v>197</v>
      </c>
      <c r="X115" s="4" t="s">
        <v>66</v>
      </c>
      <c r="Y115" s="4" t="s">
        <v>172</v>
      </c>
      <c r="Z115" s="4" t="s">
        <v>11</v>
      </c>
      <c r="AA115" s="4" t="s">
        <v>41</v>
      </c>
      <c r="AC115" s="4" t="s">
        <v>197</v>
      </c>
      <c r="AD115" s="4" t="s">
        <v>66</v>
      </c>
      <c r="AE115" s="4" t="s">
        <v>172</v>
      </c>
      <c r="AF115" s="4" t="s">
        <v>11</v>
      </c>
      <c r="AG115" s="4" t="s">
        <v>41</v>
      </c>
      <c r="AI115" s="4" t="s">
        <v>197</v>
      </c>
      <c r="AJ115" s="4" t="s">
        <v>66</v>
      </c>
      <c r="AK115" s="4" t="s">
        <v>172</v>
      </c>
      <c r="AL115" s="4" t="s">
        <v>11</v>
      </c>
      <c r="AM115" s="4" t="s">
        <v>41</v>
      </c>
      <c r="AO115" s="4" t="s">
        <v>197</v>
      </c>
      <c r="AP115" s="4" t="s">
        <v>66</v>
      </c>
      <c r="AQ115" s="4" t="s">
        <v>172</v>
      </c>
      <c r="AR115" s="4" t="s">
        <v>11</v>
      </c>
      <c r="AS115" s="4" t="s">
        <v>41</v>
      </c>
      <c r="AU115" s="4" t="s">
        <v>197</v>
      </c>
      <c r="AV115" s="4" t="s">
        <v>66</v>
      </c>
      <c r="AW115" s="4" t="s">
        <v>172</v>
      </c>
      <c r="AX115" s="4" t="s">
        <v>11</v>
      </c>
      <c r="AY115" s="4" t="s">
        <v>41</v>
      </c>
    </row>
    <row r="116" spans="11:51">
      <c r="K116" s="4" t="s">
        <v>201</v>
      </c>
      <c r="L116" s="4" t="s">
        <v>81</v>
      </c>
      <c r="M116" s="4" t="s">
        <v>389</v>
      </c>
      <c r="N116" s="4">
        <f xml:space="preserve">SUM(M26:M29)</f>
        <v>1.0015</v>
      </c>
      <c r="O116" s="4" t="s">
        <v>413</v>
      </c>
      <c r="Q116" s="4" t="s">
        <v>201</v>
      </c>
      <c r="R116" s="4" t="s">
        <v>86</v>
      </c>
      <c r="S116" s="4" t="s">
        <v>389</v>
      </c>
      <c r="T116" s="4">
        <f xml:space="preserve">SUM(S26:S29)</f>
        <v>0.9633</v>
      </c>
      <c r="U116" s="4" t="s">
        <v>413</v>
      </c>
      <c r="W116" s="4" t="s">
        <v>201</v>
      </c>
      <c r="X116" s="4" t="s">
        <v>90</v>
      </c>
      <c r="Y116" s="4" t="s">
        <v>389</v>
      </c>
      <c r="Z116" s="4">
        <f xml:space="preserve">SUM(Y26:Y29)</f>
        <v>0.9719</v>
      </c>
      <c r="AA116" s="4" t="s">
        <v>413</v>
      </c>
      <c r="AC116" s="4" t="s">
        <v>201</v>
      </c>
      <c r="AD116" s="4" t="s">
        <v>94</v>
      </c>
      <c r="AE116" s="4" t="s">
        <v>389</v>
      </c>
      <c r="AF116" s="4">
        <f xml:space="preserve">SUM(AE26:AE29)</f>
        <v>0.9695</v>
      </c>
      <c r="AG116" s="4" t="s">
        <v>413</v>
      </c>
      <c r="AI116" s="4" t="s">
        <v>201</v>
      </c>
      <c r="AJ116" s="4" t="s">
        <v>77</v>
      </c>
      <c r="AK116" s="4" t="s">
        <v>389</v>
      </c>
      <c r="AL116" s="4">
        <f xml:space="preserve">SUM(AK26:AK29)</f>
        <v>1.0412</v>
      </c>
      <c r="AM116" s="4" t="s">
        <v>413</v>
      </c>
      <c r="AO116" s="4" t="s">
        <v>201</v>
      </c>
      <c r="AP116" s="4" t="s">
        <v>73</v>
      </c>
      <c r="AQ116" s="4" t="s">
        <v>389</v>
      </c>
      <c r="AR116" s="4">
        <f xml:space="preserve">SUM(AQ26:AQ29)</f>
        <v>0.5969</v>
      </c>
      <c r="AS116" s="4" t="s">
        <v>413</v>
      </c>
      <c r="AU116" s="4" t="s">
        <v>201</v>
      </c>
      <c r="AV116" s="4" t="s">
        <v>68</v>
      </c>
      <c r="AW116" s="4" t="s">
        <v>389</v>
      </c>
      <c r="AX116" s="4">
        <f xml:space="preserve">SUM(AW26:AW29)</f>
        <v>0.7858</v>
      </c>
      <c r="AY116" s="4" t="s">
        <v>413</v>
      </c>
    </row>
    <row r="117" spans="11:51">
      <c r="K117" s="4" t="s">
        <v>201</v>
      </c>
      <c r="L117" s="4" t="s">
        <v>81</v>
      </c>
      <c r="M117" s="4" t="s">
        <v>390</v>
      </c>
      <c r="N117" s="4">
        <v>0</v>
      </c>
      <c r="O117" s="4" t="s">
        <v>413</v>
      </c>
      <c r="Q117" s="4" t="s">
        <v>201</v>
      </c>
      <c r="R117" s="4" t="s">
        <v>86</v>
      </c>
      <c r="S117" s="4" t="s">
        <v>390</v>
      </c>
      <c r="T117" s="4">
        <v>0</v>
      </c>
      <c r="U117" s="4" t="s">
        <v>413</v>
      </c>
      <c r="W117" s="4" t="s">
        <v>201</v>
      </c>
      <c r="X117" s="4" t="s">
        <v>90</v>
      </c>
      <c r="Y117" s="4" t="s">
        <v>390</v>
      </c>
      <c r="Z117" s="4">
        <v>0</v>
      </c>
      <c r="AA117" s="4" t="s">
        <v>413</v>
      </c>
      <c r="AC117" s="4" t="s">
        <v>201</v>
      </c>
      <c r="AD117" s="4" t="s">
        <v>94</v>
      </c>
      <c r="AE117" s="4" t="s">
        <v>390</v>
      </c>
      <c r="AF117" s="4">
        <v>0</v>
      </c>
      <c r="AG117" s="4" t="s">
        <v>413</v>
      </c>
      <c r="AI117" s="4" t="s">
        <v>201</v>
      </c>
      <c r="AJ117" s="4" t="s">
        <v>77</v>
      </c>
      <c r="AK117" s="4" t="s">
        <v>390</v>
      </c>
      <c r="AL117" s="4">
        <v>0</v>
      </c>
      <c r="AM117" s="4" t="s">
        <v>413</v>
      </c>
      <c r="AO117" s="4" t="s">
        <v>201</v>
      </c>
      <c r="AP117" s="4" t="s">
        <v>73</v>
      </c>
      <c r="AQ117" s="4" t="s">
        <v>390</v>
      </c>
      <c r="AR117" s="4">
        <v>0</v>
      </c>
      <c r="AS117" s="4" t="s">
        <v>413</v>
      </c>
      <c r="AU117" s="4" t="s">
        <v>201</v>
      </c>
      <c r="AV117" s="4" t="s">
        <v>68</v>
      </c>
      <c r="AW117" s="4" t="s">
        <v>390</v>
      </c>
      <c r="AX117" s="4">
        <v>0</v>
      </c>
      <c r="AY117" s="4" t="s">
        <v>413</v>
      </c>
    </row>
    <row r="118" spans="11:51">
      <c r="K118" s="4" t="s">
        <v>201</v>
      </c>
      <c r="L118" s="4" t="s">
        <v>81</v>
      </c>
      <c r="M118" s="4" t="s">
        <v>391</v>
      </c>
      <c r="N118" s="4">
        <v>0</v>
      </c>
      <c r="O118" s="4" t="s">
        <v>413</v>
      </c>
      <c r="Q118" s="4" t="s">
        <v>201</v>
      </c>
      <c r="R118" s="4" t="s">
        <v>86</v>
      </c>
      <c r="S118" s="4" t="s">
        <v>391</v>
      </c>
      <c r="T118" s="4">
        <v>0</v>
      </c>
      <c r="U118" s="4" t="s">
        <v>413</v>
      </c>
      <c r="W118" s="4" t="s">
        <v>201</v>
      </c>
      <c r="X118" s="4" t="s">
        <v>90</v>
      </c>
      <c r="Y118" s="4" t="s">
        <v>391</v>
      </c>
      <c r="Z118" s="4">
        <v>0</v>
      </c>
      <c r="AA118" s="4" t="s">
        <v>413</v>
      </c>
      <c r="AC118" s="4" t="s">
        <v>201</v>
      </c>
      <c r="AD118" s="4" t="s">
        <v>94</v>
      </c>
      <c r="AE118" s="4" t="s">
        <v>391</v>
      </c>
      <c r="AF118" s="4">
        <v>0</v>
      </c>
      <c r="AG118" s="4" t="s">
        <v>413</v>
      </c>
      <c r="AI118" s="4" t="s">
        <v>201</v>
      </c>
      <c r="AJ118" s="4" t="s">
        <v>77</v>
      </c>
      <c r="AK118" s="4" t="s">
        <v>391</v>
      </c>
      <c r="AL118" s="4">
        <v>0</v>
      </c>
      <c r="AM118" s="4" t="s">
        <v>413</v>
      </c>
      <c r="AO118" s="4" t="s">
        <v>201</v>
      </c>
      <c r="AP118" s="4" t="s">
        <v>73</v>
      </c>
      <c r="AQ118" s="4" t="s">
        <v>391</v>
      </c>
      <c r="AR118" s="4">
        <v>0</v>
      </c>
      <c r="AS118" s="4" t="s">
        <v>413</v>
      </c>
      <c r="AU118" s="4" t="s">
        <v>201</v>
      </c>
      <c r="AV118" s="4" t="s">
        <v>68</v>
      </c>
      <c r="AW118" s="4" t="s">
        <v>391</v>
      </c>
      <c r="AX118" s="4">
        <v>0</v>
      </c>
      <c r="AY118" s="4" t="s">
        <v>413</v>
      </c>
    </row>
    <row r="119" spans="11:51">
      <c r="K119" s="4" t="s">
        <v>201</v>
      </c>
      <c r="L119" s="4" t="s">
        <v>81</v>
      </c>
      <c r="M119" s="4" t="s">
        <v>392</v>
      </c>
      <c r="N119" s="4">
        <v>0</v>
      </c>
      <c r="O119" s="4" t="s">
        <v>413</v>
      </c>
      <c r="Q119" s="4" t="s">
        <v>201</v>
      </c>
      <c r="R119" s="4" t="s">
        <v>86</v>
      </c>
      <c r="S119" s="4" t="s">
        <v>392</v>
      </c>
      <c r="T119" s="4">
        <v>0</v>
      </c>
      <c r="U119" s="4" t="s">
        <v>413</v>
      </c>
      <c r="W119" s="4" t="s">
        <v>201</v>
      </c>
      <c r="X119" s="4" t="s">
        <v>90</v>
      </c>
      <c r="Y119" s="4" t="s">
        <v>392</v>
      </c>
      <c r="Z119" s="4">
        <v>0</v>
      </c>
      <c r="AA119" s="4" t="s">
        <v>413</v>
      </c>
      <c r="AC119" s="4" t="s">
        <v>201</v>
      </c>
      <c r="AD119" s="4" t="s">
        <v>94</v>
      </c>
      <c r="AE119" s="4" t="s">
        <v>392</v>
      </c>
      <c r="AF119" s="4">
        <v>0</v>
      </c>
      <c r="AG119" s="4" t="s">
        <v>413</v>
      </c>
      <c r="AI119" s="4" t="s">
        <v>201</v>
      </c>
      <c r="AJ119" s="4" t="s">
        <v>77</v>
      </c>
      <c r="AK119" s="4" t="s">
        <v>392</v>
      </c>
      <c r="AL119" s="4">
        <v>0</v>
      </c>
      <c r="AM119" s="4" t="s">
        <v>413</v>
      </c>
      <c r="AO119" s="4" t="s">
        <v>201</v>
      </c>
      <c r="AP119" s="4" t="s">
        <v>73</v>
      </c>
      <c r="AQ119" s="4" t="s">
        <v>392</v>
      </c>
      <c r="AR119" s="4">
        <v>0</v>
      </c>
      <c r="AS119" s="4" t="s">
        <v>413</v>
      </c>
      <c r="AU119" s="4" t="s">
        <v>201</v>
      </c>
      <c r="AV119" s="4" t="s">
        <v>68</v>
      </c>
      <c r="AW119" s="4" t="s">
        <v>392</v>
      </c>
      <c r="AX119" s="4">
        <v>0</v>
      </c>
      <c r="AY119" s="4" t="s">
        <v>413</v>
      </c>
    </row>
    <row r="122" spans="11:51">
      <c r="T122" s="4">
        <v>72</v>
      </c>
      <c r="Z122" s="4">
        <v>71.9</v>
      </c>
      <c r="AF122" s="4">
        <v>73.1</v>
      </c>
      <c r="AL122" s="4">
        <v>77.6999999999999</v>
      </c>
      <c r="AR122" s="4">
        <v>43.1</v>
      </c>
      <c r="AX122" s="4">
        <v>47.8</v>
      </c>
    </row>
    <row r="123" spans="11:51">
      <c r="T123" s="4">
        <v>225.2</v>
      </c>
      <c r="Z123" s="4">
        <v>225.5</v>
      </c>
      <c r="AF123" s="4">
        <v>219.8</v>
      </c>
      <c r="AL123" s="4">
        <v>232.2</v>
      </c>
      <c r="AR123" s="4">
        <v>110.8</v>
      </c>
      <c r="AX123" s="4">
        <v>189.5</v>
      </c>
    </row>
    <row r="124" spans="11:51">
      <c r="T124" s="4">
        <v>532.1</v>
      </c>
      <c r="Z124" s="4">
        <v>533.9</v>
      </c>
      <c r="AF124" s="4">
        <v>526.4</v>
      </c>
      <c r="AL124" s="4">
        <v>570.2</v>
      </c>
      <c r="AR124" s="4">
        <v>385.8</v>
      </c>
      <c r="AX124" s="4">
        <v>453</v>
      </c>
    </row>
    <row r="125" spans="11:51">
      <c r="T125" s="4">
        <v>134</v>
      </c>
      <c r="Z125" s="4">
        <v>140.6</v>
      </c>
      <c r="AF125" s="4">
        <v>150.2</v>
      </c>
      <c r="AL125" s="4">
        <v>161.1</v>
      </c>
      <c r="AR125" s="4">
        <v>57.2</v>
      </c>
      <c r="AX125" s="4">
        <v>95.5</v>
      </c>
    </row>
  </sheetData>
  <mergeCells count="9">
    <mergeCell ref="Q43:Q44"/>
    <mergeCell ref="Q45:Q49"/>
    <mergeCell ref="Q50:Q54"/>
    <mergeCell ref="Q55:Q59"/>
    <mergeCell ref="Q65:Q68"/>
    <mergeCell ref="Q69:Q72"/>
    <mergeCell ref="Q73:Q76"/>
    <mergeCell ref="Q79:Q82"/>
    <mergeCell ref="R43:R4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226"/>
  <sheetViews>
    <sheetView zoomScale="70" zoomScaleNormal="70" topLeftCell="V114" workbookViewId="0">
      <selection activeCell="Y114" sqref="Y114"/>
    </sheetView>
  </sheetViews>
  <sheetFormatPr defaultColWidth="8.72727272727273" defaultRowHeight="14.5"/>
  <cols>
    <col min="1" max="1" width="8.71818181818182" style="1"/>
    <col min="2" max="2" width="43.8545454545455" style="1" customWidth="1"/>
    <col min="3" max="20" width="8.71818181818182" style="1"/>
    <col min="21" max="21" width="19.2818181818182" style="1" customWidth="1"/>
    <col min="22" max="22" width="25.5727272727273" style="1" customWidth="1"/>
    <col min="23" max="23" width="19.8545454545455" style="1" customWidth="1"/>
    <col min="24" max="29" width="15.2818181818182" style="1"/>
    <col min="30" max="30" width="8.71818181818182" style="1"/>
    <col min="31" max="31" width="14" style="1"/>
    <col min="32" max="38" width="15.2818181818182" style="1"/>
    <col min="39" max="40" width="14" style="1"/>
    <col min="41" max="47" width="15.2818181818182" style="1"/>
    <col min="48" max="53" width="14" style="1"/>
    <col min="54" max="67" width="8.71818181818182" style="1"/>
    <col min="68" max="16384" width="8.71818181818182" style="4"/>
  </cols>
  <sheetData>
    <row r="1" ht="15.5" spans="1:67">
      <c r="A1" s="35" t="s">
        <v>414</v>
      </c>
      <c r="B1" s="35"/>
      <c r="C1" s="35"/>
      <c r="D1" s="35"/>
      <c r="E1" s="35"/>
      <c r="F1" s="35"/>
      <c r="G1" s="35"/>
      <c r="H1" s="35"/>
      <c r="I1" s="35"/>
      <c r="J1" s="35"/>
      <c r="K1" s="36"/>
      <c r="L1" s="36" t="s">
        <v>415</v>
      </c>
      <c r="M1" s="36"/>
      <c r="N1" s="36"/>
      <c r="O1" s="36"/>
      <c r="P1" s="36"/>
      <c r="Q1" s="36"/>
      <c r="R1" s="36"/>
      <c r="S1" s="36"/>
      <c r="T1" s="36"/>
      <c r="U1" s="36"/>
      <c r="V1" s="36"/>
      <c r="W1" s="36" t="s">
        <v>416</v>
      </c>
      <c r="X1" s="36"/>
      <c r="Y1" s="36"/>
      <c r="Z1" s="36"/>
      <c r="AA1" s="36"/>
      <c r="AB1" s="37" t="s">
        <v>417</v>
      </c>
      <c r="AC1" s="37"/>
      <c r="AD1" s="36"/>
      <c r="AE1" s="36"/>
      <c r="AF1" s="36" t="s">
        <v>418</v>
      </c>
      <c r="AG1" s="36"/>
      <c r="AH1" s="36"/>
      <c r="AI1" s="36"/>
      <c r="AJ1" s="36"/>
      <c r="AK1" s="36"/>
      <c r="AL1" s="36"/>
      <c r="AM1" s="36"/>
      <c r="AN1" s="36"/>
      <c r="AO1" s="36" t="s">
        <v>419</v>
      </c>
      <c r="AP1" s="36"/>
      <c r="AQ1" s="36"/>
      <c r="AR1" s="36"/>
      <c r="AS1" s="36"/>
      <c r="AT1" s="36"/>
      <c r="AU1" s="36"/>
      <c r="AZ1" s="35" t="s">
        <v>414</v>
      </c>
      <c r="BA1" s="35"/>
      <c r="BB1" s="35"/>
      <c r="BC1" s="35"/>
      <c r="BD1" s="35"/>
      <c r="BE1" s="35"/>
      <c r="BF1" s="35"/>
      <c r="BG1" s="35"/>
      <c r="BH1" s="35"/>
      <c r="BI1" s="35"/>
      <c r="BJ1" s="36"/>
      <c r="BK1" s="36"/>
      <c r="BL1" s="36"/>
      <c r="BM1" s="36"/>
      <c r="BN1" s="36"/>
      <c r="BO1" s="36"/>
    </row>
    <row r="2" ht="30" spans="1:67">
      <c r="A2" s="35" t="s">
        <v>394</v>
      </c>
      <c r="B2" s="35" t="s">
        <v>420</v>
      </c>
      <c r="C2" s="35" t="s">
        <v>396</v>
      </c>
      <c r="D2" s="35"/>
      <c r="E2" s="35"/>
      <c r="F2" s="35"/>
      <c r="G2" s="35"/>
      <c r="H2" s="35"/>
      <c r="I2" s="35"/>
      <c r="J2" s="35"/>
      <c r="K2" s="36"/>
      <c r="L2" s="36"/>
      <c r="M2" s="36"/>
      <c r="N2" s="36"/>
      <c r="O2" s="36"/>
      <c r="P2" s="36"/>
      <c r="Q2" s="36"/>
      <c r="R2" s="36"/>
      <c r="S2" s="36"/>
      <c r="T2" s="36"/>
      <c r="U2" s="36"/>
      <c r="V2" s="38" t="s">
        <v>421</v>
      </c>
      <c r="W2" s="36"/>
      <c r="X2" s="36"/>
      <c r="Y2" s="36"/>
      <c r="Z2" s="36"/>
      <c r="AA2" s="36"/>
      <c r="AB2" s="36"/>
      <c r="AC2" s="36"/>
      <c r="AD2" s="36"/>
      <c r="AE2" s="36"/>
      <c r="AF2" s="36"/>
      <c r="AG2" s="36"/>
      <c r="AH2" s="36"/>
      <c r="AI2" s="36"/>
      <c r="AJ2" s="36"/>
      <c r="AK2" s="36"/>
      <c r="AL2" s="36"/>
      <c r="AM2" s="36"/>
      <c r="AN2" s="36"/>
      <c r="AO2" s="36"/>
      <c r="AP2" s="36"/>
      <c r="AQ2" s="36"/>
      <c r="AR2" s="36"/>
      <c r="AS2" s="36"/>
      <c r="AT2" s="36"/>
      <c r="AU2" s="36"/>
      <c r="AZ2" s="35" t="s">
        <v>394</v>
      </c>
      <c r="BA2" s="35" t="s">
        <v>420</v>
      </c>
      <c r="BB2" s="35" t="s">
        <v>396</v>
      </c>
      <c r="BC2" s="35"/>
      <c r="BD2" s="35"/>
      <c r="BE2" s="35"/>
      <c r="BF2" s="35"/>
      <c r="BG2" s="35"/>
      <c r="BH2" s="35"/>
      <c r="BI2" s="35"/>
      <c r="BJ2" s="36"/>
      <c r="BK2" s="36"/>
      <c r="BL2" s="36"/>
      <c r="BM2" s="36"/>
      <c r="BN2" s="36"/>
      <c r="BO2" s="36"/>
    </row>
    <row r="3" ht="30" spans="1:67">
      <c r="A3" s="35"/>
      <c r="B3" s="35"/>
      <c r="C3" s="39" t="s">
        <v>397</v>
      </c>
      <c r="D3" s="36" t="s">
        <v>398</v>
      </c>
      <c r="E3" s="36" t="s">
        <v>399</v>
      </c>
      <c r="F3" s="40" t="s">
        <v>400</v>
      </c>
      <c r="G3" s="36" t="s">
        <v>401</v>
      </c>
      <c r="H3" s="36" t="s">
        <v>402</v>
      </c>
      <c r="I3" s="36" t="s">
        <v>403</v>
      </c>
      <c r="J3" s="36" t="s">
        <v>404</v>
      </c>
      <c r="K3" s="36"/>
      <c r="L3" s="41" t="s">
        <v>397</v>
      </c>
      <c r="M3" s="36" t="s">
        <v>398</v>
      </c>
      <c r="N3" s="36" t="s">
        <v>399</v>
      </c>
      <c r="O3" s="36" t="s">
        <v>400</v>
      </c>
      <c r="P3" s="36" t="s">
        <v>401</v>
      </c>
      <c r="Q3" s="36" t="s">
        <v>402</v>
      </c>
      <c r="R3" s="36" t="s">
        <v>403</v>
      </c>
      <c r="S3" s="36" t="s">
        <v>404</v>
      </c>
      <c r="T3" s="36"/>
      <c r="U3" s="36"/>
      <c r="V3" s="38" t="s">
        <v>422</v>
      </c>
      <c r="W3" s="36" t="s">
        <v>398</v>
      </c>
      <c r="X3" s="36" t="s">
        <v>399</v>
      </c>
      <c r="Y3" s="40" t="s">
        <v>400</v>
      </c>
      <c r="Z3" s="36" t="s">
        <v>401</v>
      </c>
      <c r="AA3" s="36" t="s">
        <v>402</v>
      </c>
      <c r="AB3" s="42" t="s">
        <v>403</v>
      </c>
      <c r="AC3" s="42" t="s">
        <v>404</v>
      </c>
      <c r="AD3" s="36"/>
      <c r="AE3" s="36"/>
      <c r="AF3" s="36" t="s">
        <v>398</v>
      </c>
      <c r="AG3" s="36" t="s">
        <v>399</v>
      </c>
      <c r="AH3" s="40" t="s">
        <v>400</v>
      </c>
      <c r="AI3" s="36" t="s">
        <v>401</v>
      </c>
      <c r="AJ3" s="36" t="s">
        <v>402</v>
      </c>
      <c r="AK3" s="42" t="s">
        <v>403</v>
      </c>
      <c r="AL3" s="42" t="s">
        <v>404</v>
      </c>
      <c r="AM3" s="36"/>
      <c r="AN3" s="36"/>
      <c r="AO3" s="36" t="s">
        <v>398</v>
      </c>
      <c r="AP3" s="36" t="s">
        <v>399</v>
      </c>
      <c r="AQ3" s="40" t="s">
        <v>400</v>
      </c>
      <c r="AR3" s="36" t="s">
        <v>401</v>
      </c>
      <c r="AS3" s="36" t="s">
        <v>402</v>
      </c>
      <c r="AT3" s="42" t="s">
        <v>403</v>
      </c>
      <c r="AU3" s="42" t="s">
        <v>404</v>
      </c>
      <c r="AZ3" s="35"/>
      <c r="BA3" s="35"/>
      <c r="BB3" s="39" t="s">
        <v>397</v>
      </c>
      <c r="BC3" s="36" t="s">
        <v>398</v>
      </c>
      <c r="BD3" s="36" t="s">
        <v>399</v>
      </c>
      <c r="BE3" s="40" t="s">
        <v>400</v>
      </c>
      <c r="BF3" s="36" t="s">
        <v>401</v>
      </c>
      <c r="BG3" s="36" t="s">
        <v>402</v>
      </c>
      <c r="BH3" s="36" t="s">
        <v>403</v>
      </c>
      <c r="BI3" s="36" t="s">
        <v>404</v>
      </c>
      <c r="BJ3" s="36"/>
      <c r="BK3" s="41"/>
      <c r="BL3" s="36"/>
      <c r="BM3" s="36"/>
      <c r="BN3" s="36"/>
      <c r="BO3" s="36"/>
    </row>
    <row r="4" ht="15.5" spans="1:67">
      <c r="A4" s="35" t="s">
        <v>405</v>
      </c>
      <c r="B4" s="43" t="s">
        <v>406</v>
      </c>
      <c r="C4" s="44">
        <f t="shared" ref="C4:J4" si="0" xml:space="preserve">BB4/1000</f>
        <v>0.8374</v>
      </c>
      <c r="D4" s="44">
        <f t="shared" si="0"/>
        <v>0.8081</v>
      </c>
      <c r="E4" s="44">
        <f t="shared" si="0"/>
        <v>0.7705</v>
      </c>
      <c r="F4" s="44">
        <f t="shared" si="0"/>
        <v>0.76</v>
      </c>
      <c r="G4" s="44">
        <f t="shared" si="0"/>
        <v>0.7551</v>
      </c>
      <c r="H4" s="44">
        <f t="shared" si="0"/>
        <v>0.796</v>
      </c>
      <c r="I4" s="44">
        <f t="shared" si="0"/>
        <v>0.76</v>
      </c>
      <c r="J4" s="44">
        <f t="shared" si="0"/>
        <v>0.76</v>
      </c>
      <c r="K4" s="36"/>
      <c r="L4" s="41"/>
      <c r="M4" s="45">
        <v>5.937</v>
      </c>
      <c r="N4" s="45">
        <v>5.845</v>
      </c>
      <c r="O4" s="45">
        <v>5.575</v>
      </c>
      <c r="P4" s="45">
        <v>5.276</v>
      </c>
      <c r="Q4" s="45">
        <v>5.363</v>
      </c>
      <c r="R4" s="45">
        <v>6.645</v>
      </c>
      <c r="S4" s="45">
        <v>5.654</v>
      </c>
      <c r="T4" s="45"/>
      <c r="U4" s="35" t="s">
        <v>405</v>
      </c>
      <c r="V4" s="43" t="s">
        <v>406</v>
      </c>
      <c r="W4" s="46">
        <f t="shared" ref="W4:AC4" si="1" xml:space="preserve">D4/M4</f>
        <v>0.136112514738083</v>
      </c>
      <c r="X4" s="46">
        <f t="shared" si="1"/>
        <v>0.131822070145423</v>
      </c>
      <c r="Y4" s="46">
        <f t="shared" si="1"/>
        <v>0.136322869955157</v>
      </c>
      <c r="Z4" s="46">
        <f t="shared" si="1"/>
        <v>0.143119787717968</v>
      </c>
      <c r="AA4" s="46">
        <f t="shared" si="1"/>
        <v>0.148424389334328</v>
      </c>
      <c r="AB4" s="47">
        <f t="shared" si="1"/>
        <v>0.114371708051166</v>
      </c>
      <c r="AC4" s="47">
        <f t="shared" si="1"/>
        <v>0.134418111071808</v>
      </c>
      <c r="AD4" s="36"/>
      <c r="AE4" s="36"/>
      <c r="AF4" s="46">
        <f t="shared" ref="AF4:AJ4" si="2" xml:space="preserve">W4</f>
        <v>0.136112514738083</v>
      </c>
      <c r="AG4" s="46">
        <f t="shared" si="2"/>
        <v>0.131822070145423</v>
      </c>
      <c r="AH4" s="46">
        <f t="shared" si="2"/>
        <v>0.136322869955157</v>
      </c>
      <c r="AI4" s="46">
        <f t="shared" si="2"/>
        <v>0.143119787717968</v>
      </c>
      <c r="AJ4" s="46">
        <f t="shared" si="2"/>
        <v>0.148424389334328</v>
      </c>
      <c r="AK4" s="48">
        <f t="shared" ref="AK4:AK18" si="3" xml:space="preserve">AB4*1.15</f>
        <v>0.131527464258841</v>
      </c>
      <c r="AL4" s="48">
        <f t="shared" ref="AL4:AL18" si="4" xml:space="preserve">AC4*1.15</f>
        <v>0.154580827732579</v>
      </c>
      <c r="AM4" s="36"/>
      <c r="AN4" s="36"/>
      <c r="AO4" s="46">
        <f t="shared" ref="AO4:AS4" si="5" xml:space="preserve">W4</f>
        <v>0.136112514738083</v>
      </c>
      <c r="AP4" s="46">
        <f t="shared" si="5"/>
        <v>0.131822070145423</v>
      </c>
      <c r="AQ4" s="46">
        <f t="shared" si="5"/>
        <v>0.136322869955157</v>
      </c>
      <c r="AR4" s="46">
        <f t="shared" si="5"/>
        <v>0.143119787717968</v>
      </c>
      <c r="AS4" s="46">
        <f t="shared" si="5"/>
        <v>0.148424389334328</v>
      </c>
      <c r="AT4" s="48">
        <f t="shared" ref="AT4:AT18" si="6" xml:space="preserve">AB4*0.85</f>
        <v>0.0972159518434914</v>
      </c>
      <c r="AU4" s="48">
        <f t="shared" ref="AU4:AU18" si="7" xml:space="preserve">AC4*0.85</f>
        <v>0.114255394411036</v>
      </c>
      <c r="AZ4" s="35" t="s">
        <v>405</v>
      </c>
      <c r="BA4" s="43" t="s">
        <v>406</v>
      </c>
      <c r="BB4" s="44">
        <v>837.4</v>
      </c>
      <c r="BC4" s="46">
        <v>808.1</v>
      </c>
      <c r="BD4" s="46">
        <v>770.5</v>
      </c>
      <c r="BE4" s="46">
        <v>760</v>
      </c>
      <c r="BF4" s="46">
        <v>755.1</v>
      </c>
      <c r="BG4" s="46">
        <v>796</v>
      </c>
      <c r="BH4" s="46">
        <v>760</v>
      </c>
      <c r="BI4" s="46">
        <v>760</v>
      </c>
      <c r="BJ4" s="36"/>
      <c r="BK4" s="41"/>
      <c r="BL4" s="45"/>
      <c r="BM4" s="45"/>
      <c r="BN4" s="45"/>
      <c r="BO4" s="45"/>
    </row>
    <row r="5" ht="15.5" spans="1:67">
      <c r="A5" s="35"/>
      <c r="B5" s="43" t="s">
        <v>407</v>
      </c>
      <c r="C5" s="44">
        <f t="shared" ref="C5:J5" si="8" xml:space="preserve">BB5/1000</f>
        <v>0.7701</v>
      </c>
      <c r="D5" s="44">
        <f t="shared" si="8"/>
        <v>0.7457</v>
      </c>
      <c r="E5" s="44">
        <f t="shared" si="8"/>
        <v>0.7115</v>
      </c>
      <c r="F5" s="44">
        <f t="shared" si="8"/>
        <v>0.7021</v>
      </c>
      <c r="G5" s="44">
        <f t="shared" si="8"/>
        <v>0.6948</v>
      </c>
      <c r="H5" s="44">
        <f t="shared" si="8"/>
        <v>0.7338</v>
      </c>
      <c r="I5" s="44">
        <f t="shared" si="8"/>
        <v>0.7021</v>
      </c>
      <c r="J5" s="44">
        <f t="shared" si="8"/>
        <v>0.7021</v>
      </c>
      <c r="K5" s="36"/>
      <c r="L5" s="36"/>
      <c r="M5" s="49">
        <v>5.937</v>
      </c>
      <c r="N5" s="49">
        <v>5.845</v>
      </c>
      <c r="O5" s="49">
        <v>5.575</v>
      </c>
      <c r="P5" s="49">
        <v>5.276</v>
      </c>
      <c r="Q5" s="49">
        <v>5.363</v>
      </c>
      <c r="R5" s="49">
        <v>6.645</v>
      </c>
      <c r="S5" s="49">
        <v>5.654</v>
      </c>
      <c r="T5" s="49"/>
      <c r="U5" s="35"/>
      <c r="V5" s="43" t="s">
        <v>407</v>
      </c>
      <c r="W5" s="46">
        <f t="shared" ref="W5:AC5" si="9" xml:space="preserve">D5/M5</f>
        <v>0.125602155971029</v>
      </c>
      <c r="X5" s="46">
        <f t="shared" si="9"/>
        <v>0.121727972626176</v>
      </c>
      <c r="Y5" s="46">
        <f t="shared" si="9"/>
        <v>0.125937219730942</v>
      </c>
      <c r="Z5" s="46">
        <f t="shared" si="9"/>
        <v>0.131690674753601</v>
      </c>
      <c r="AA5" s="46">
        <f t="shared" si="9"/>
        <v>0.136826403132575</v>
      </c>
      <c r="AB5" s="47">
        <f t="shared" si="9"/>
        <v>0.105658389766742</v>
      </c>
      <c r="AC5" s="47">
        <f t="shared" si="9"/>
        <v>0.124177573399363</v>
      </c>
      <c r="AD5" s="36"/>
      <c r="AE5" s="36"/>
      <c r="AF5" s="46">
        <f t="shared" ref="AF5:AJ5" si="10" xml:space="preserve">W5</f>
        <v>0.125602155971029</v>
      </c>
      <c r="AG5" s="46">
        <f t="shared" si="10"/>
        <v>0.121727972626176</v>
      </c>
      <c r="AH5" s="46">
        <f t="shared" si="10"/>
        <v>0.125937219730942</v>
      </c>
      <c r="AI5" s="46">
        <f t="shared" si="10"/>
        <v>0.131690674753601</v>
      </c>
      <c r="AJ5" s="46">
        <f t="shared" si="10"/>
        <v>0.136826403132575</v>
      </c>
      <c r="AK5" s="48">
        <f t="shared" si="3"/>
        <v>0.121507148231753</v>
      </c>
      <c r="AL5" s="48">
        <f t="shared" si="4"/>
        <v>0.142804209409268</v>
      </c>
      <c r="AM5" s="36"/>
      <c r="AN5" s="36"/>
      <c r="AO5" s="46">
        <f t="shared" ref="AO5:AS5" si="11" xml:space="preserve">W5</f>
        <v>0.125602155971029</v>
      </c>
      <c r="AP5" s="46">
        <f t="shared" si="11"/>
        <v>0.121727972626176</v>
      </c>
      <c r="AQ5" s="46">
        <f t="shared" si="11"/>
        <v>0.125937219730942</v>
      </c>
      <c r="AR5" s="46">
        <f t="shared" si="11"/>
        <v>0.131690674753601</v>
      </c>
      <c r="AS5" s="46">
        <f t="shared" si="11"/>
        <v>0.136826403132575</v>
      </c>
      <c r="AT5" s="48">
        <f t="shared" si="6"/>
        <v>0.0898096313017306</v>
      </c>
      <c r="AU5" s="48">
        <f t="shared" si="7"/>
        <v>0.105550937389459</v>
      </c>
      <c r="AZ5" s="35"/>
      <c r="BA5" s="43" t="s">
        <v>407</v>
      </c>
      <c r="BB5" s="44">
        <v>770.1</v>
      </c>
      <c r="BC5" s="46">
        <v>745.7</v>
      </c>
      <c r="BD5" s="46">
        <v>711.5</v>
      </c>
      <c r="BE5" s="46">
        <v>702.1</v>
      </c>
      <c r="BF5" s="46">
        <v>694.8</v>
      </c>
      <c r="BG5" s="46">
        <v>733.8</v>
      </c>
      <c r="BH5" s="46">
        <v>702.1</v>
      </c>
      <c r="BI5" s="46">
        <v>702.1</v>
      </c>
      <c r="BJ5" s="36"/>
      <c r="BK5" s="36"/>
      <c r="BL5" s="49"/>
      <c r="BM5" s="49"/>
      <c r="BN5" s="49"/>
      <c r="BO5" s="49"/>
    </row>
    <row r="6" ht="15.5" spans="1:67">
      <c r="A6" s="35"/>
      <c r="B6" s="43" t="s">
        <v>408</v>
      </c>
      <c r="C6" s="44">
        <f t="shared" ref="C6:J6" si="12" xml:space="preserve">BB6/1000</f>
        <v>0.1986</v>
      </c>
      <c r="D6" s="44">
        <f t="shared" si="12"/>
        <v>0.1717</v>
      </c>
      <c r="E6" s="44">
        <f t="shared" si="12"/>
        <v>0.1611</v>
      </c>
      <c r="F6" s="44">
        <f t="shared" si="12"/>
        <v>0.1579</v>
      </c>
      <c r="G6" s="44">
        <f t="shared" si="12"/>
        <v>0.1521</v>
      </c>
      <c r="H6" s="44">
        <f t="shared" si="12"/>
        <v>0.1588</v>
      </c>
      <c r="I6" s="44">
        <f t="shared" si="12"/>
        <v>0.1579</v>
      </c>
      <c r="J6" s="44">
        <f t="shared" si="12"/>
        <v>0.1579</v>
      </c>
      <c r="K6" s="36"/>
      <c r="L6" s="36"/>
      <c r="M6" s="49">
        <v>5.937</v>
      </c>
      <c r="N6" s="49">
        <v>5.845</v>
      </c>
      <c r="O6" s="49">
        <v>5.575</v>
      </c>
      <c r="P6" s="49">
        <v>5.276</v>
      </c>
      <c r="Q6" s="49">
        <v>5.363</v>
      </c>
      <c r="R6" s="49">
        <v>6.645</v>
      </c>
      <c r="S6" s="49">
        <v>5.654</v>
      </c>
      <c r="T6" s="49"/>
      <c r="U6" s="35"/>
      <c r="V6" s="43" t="s">
        <v>408</v>
      </c>
      <c r="W6" s="46">
        <f t="shared" ref="W6:AC6" si="13" xml:space="preserve">D6/M6</f>
        <v>0.0289203301330638</v>
      </c>
      <c r="X6" s="46">
        <f t="shared" si="13"/>
        <v>0.0275620188195039</v>
      </c>
      <c r="Y6" s="46">
        <f t="shared" si="13"/>
        <v>0.028322869955157</v>
      </c>
      <c r="Z6" s="46">
        <f t="shared" si="13"/>
        <v>0.0288286580742987</v>
      </c>
      <c r="AA6" s="46">
        <f t="shared" si="13"/>
        <v>0.0296102927465971</v>
      </c>
      <c r="AB6" s="47">
        <f t="shared" si="13"/>
        <v>0.0237622272385252</v>
      </c>
      <c r="AC6" s="47">
        <f t="shared" si="13"/>
        <v>0.0279271312345242</v>
      </c>
      <c r="AD6" s="36"/>
      <c r="AE6" s="36"/>
      <c r="AF6" s="46">
        <f t="shared" ref="AF6:AJ6" si="14" xml:space="preserve">W6</f>
        <v>0.0289203301330638</v>
      </c>
      <c r="AG6" s="46">
        <f t="shared" si="14"/>
        <v>0.0275620188195039</v>
      </c>
      <c r="AH6" s="46">
        <f t="shared" si="14"/>
        <v>0.028322869955157</v>
      </c>
      <c r="AI6" s="46">
        <f t="shared" si="14"/>
        <v>0.0288286580742987</v>
      </c>
      <c r="AJ6" s="46">
        <f t="shared" si="14"/>
        <v>0.0296102927465971</v>
      </c>
      <c r="AK6" s="48">
        <f t="shared" si="3"/>
        <v>0.027326561324304</v>
      </c>
      <c r="AL6" s="48">
        <f t="shared" si="4"/>
        <v>0.0321162009197029</v>
      </c>
      <c r="AM6" s="36"/>
      <c r="AN6" s="36"/>
      <c r="AO6" s="46">
        <f t="shared" ref="AO6:AS6" si="15" xml:space="preserve">W6</f>
        <v>0.0289203301330638</v>
      </c>
      <c r="AP6" s="46">
        <f t="shared" si="15"/>
        <v>0.0275620188195039</v>
      </c>
      <c r="AQ6" s="46">
        <f t="shared" si="15"/>
        <v>0.028322869955157</v>
      </c>
      <c r="AR6" s="46">
        <f t="shared" si="15"/>
        <v>0.0288286580742987</v>
      </c>
      <c r="AS6" s="46">
        <f t="shared" si="15"/>
        <v>0.0296102927465971</v>
      </c>
      <c r="AT6" s="48">
        <f t="shared" si="6"/>
        <v>0.0201978931527464</v>
      </c>
      <c r="AU6" s="48">
        <f t="shared" si="7"/>
        <v>0.0237380615493456</v>
      </c>
      <c r="AZ6" s="35"/>
      <c r="BA6" s="43" t="s">
        <v>408</v>
      </c>
      <c r="BB6" s="44">
        <v>198.6</v>
      </c>
      <c r="BC6" s="46">
        <v>171.7</v>
      </c>
      <c r="BD6" s="46">
        <v>161.1</v>
      </c>
      <c r="BE6" s="46">
        <v>157.9</v>
      </c>
      <c r="BF6" s="46">
        <v>152.1</v>
      </c>
      <c r="BG6" s="46">
        <v>158.8</v>
      </c>
      <c r="BH6" s="46">
        <v>157.9</v>
      </c>
      <c r="BI6" s="46">
        <v>157.9</v>
      </c>
      <c r="BJ6" s="36"/>
      <c r="BK6" s="36"/>
      <c r="BL6" s="49"/>
      <c r="BM6" s="49"/>
      <c r="BN6" s="49"/>
      <c r="BO6" s="49"/>
    </row>
    <row r="7" ht="15.5" spans="1:67">
      <c r="A7" s="35"/>
      <c r="B7" s="43" t="s">
        <v>409</v>
      </c>
      <c r="C7" s="44">
        <f t="shared" ref="C7:J7" si="16" xml:space="preserve">BB7/1000</f>
        <v>0.487</v>
      </c>
      <c r="D7" s="44">
        <f t="shared" si="16"/>
        <v>0.4967</v>
      </c>
      <c r="E7" s="44">
        <f t="shared" si="16"/>
        <v>0.4758</v>
      </c>
      <c r="F7" s="44">
        <f t="shared" si="16"/>
        <v>0.4705</v>
      </c>
      <c r="G7" s="44">
        <f t="shared" si="16"/>
        <v>0.4665</v>
      </c>
      <c r="H7" s="44">
        <f t="shared" si="16"/>
        <v>0.496</v>
      </c>
      <c r="I7" s="44">
        <f t="shared" si="16"/>
        <v>0.4705</v>
      </c>
      <c r="J7" s="44">
        <f t="shared" si="16"/>
        <v>0.4705</v>
      </c>
      <c r="K7" s="36"/>
      <c r="L7" s="36"/>
      <c r="M7" s="49">
        <v>5.937</v>
      </c>
      <c r="N7" s="49">
        <v>5.845</v>
      </c>
      <c r="O7" s="49">
        <v>5.575</v>
      </c>
      <c r="P7" s="49">
        <v>5.276</v>
      </c>
      <c r="Q7" s="49">
        <v>5.363</v>
      </c>
      <c r="R7" s="49">
        <v>6.645</v>
      </c>
      <c r="S7" s="49">
        <v>5.654</v>
      </c>
      <c r="T7" s="49"/>
      <c r="U7" s="35"/>
      <c r="V7" s="43" t="s">
        <v>409</v>
      </c>
      <c r="W7" s="46">
        <f t="shared" ref="W7:AC7" si="17" xml:space="preserve">D7/M7</f>
        <v>0.0836617820448038</v>
      </c>
      <c r="X7" s="46">
        <f t="shared" si="17"/>
        <v>0.0814029084687767</v>
      </c>
      <c r="Y7" s="46">
        <f t="shared" si="17"/>
        <v>0.0843946188340807</v>
      </c>
      <c r="Z7" s="46">
        <f t="shared" si="17"/>
        <v>0.0884192570128886</v>
      </c>
      <c r="AA7" s="46">
        <f t="shared" si="17"/>
        <v>0.092485549132948</v>
      </c>
      <c r="AB7" s="47">
        <f t="shared" si="17"/>
        <v>0.0708051166290444</v>
      </c>
      <c r="AC7" s="47">
        <f t="shared" si="17"/>
        <v>0.0832154227095861</v>
      </c>
      <c r="AD7" s="36"/>
      <c r="AE7" s="36"/>
      <c r="AF7" s="46">
        <f t="shared" ref="AF7:AJ7" si="18" xml:space="preserve">W7</f>
        <v>0.0836617820448038</v>
      </c>
      <c r="AG7" s="46">
        <f t="shared" si="18"/>
        <v>0.0814029084687767</v>
      </c>
      <c r="AH7" s="46">
        <f t="shared" si="18"/>
        <v>0.0843946188340807</v>
      </c>
      <c r="AI7" s="46">
        <f t="shared" si="18"/>
        <v>0.0884192570128886</v>
      </c>
      <c r="AJ7" s="46">
        <f t="shared" si="18"/>
        <v>0.092485549132948</v>
      </c>
      <c r="AK7" s="48">
        <f t="shared" si="3"/>
        <v>0.0814258841234011</v>
      </c>
      <c r="AL7" s="48">
        <f t="shared" si="4"/>
        <v>0.0956977361160241</v>
      </c>
      <c r="AM7" s="36"/>
      <c r="AN7" s="36"/>
      <c r="AO7" s="46">
        <f t="shared" ref="AO7:AS7" si="19" xml:space="preserve">W7</f>
        <v>0.0836617820448038</v>
      </c>
      <c r="AP7" s="46">
        <f t="shared" si="19"/>
        <v>0.0814029084687767</v>
      </c>
      <c r="AQ7" s="46">
        <f t="shared" si="19"/>
        <v>0.0843946188340807</v>
      </c>
      <c r="AR7" s="46">
        <f t="shared" si="19"/>
        <v>0.0884192570128886</v>
      </c>
      <c r="AS7" s="46">
        <f t="shared" si="19"/>
        <v>0.092485549132948</v>
      </c>
      <c r="AT7" s="48">
        <f t="shared" si="6"/>
        <v>0.0601843491346877</v>
      </c>
      <c r="AU7" s="48">
        <f t="shared" si="7"/>
        <v>0.0707331093031482</v>
      </c>
      <c r="AZ7" s="35"/>
      <c r="BA7" s="43" t="s">
        <v>409</v>
      </c>
      <c r="BB7" s="44">
        <v>487</v>
      </c>
      <c r="BC7" s="46">
        <v>496.7</v>
      </c>
      <c r="BD7" s="46">
        <v>475.8</v>
      </c>
      <c r="BE7" s="46">
        <v>470.5</v>
      </c>
      <c r="BF7" s="46">
        <v>466.5</v>
      </c>
      <c r="BG7" s="46">
        <v>496</v>
      </c>
      <c r="BH7" s="46">
        <v>470.5</v>
      </c>
      <c r="BI7" s="46">
        <v>470.5</v>
      </c>
      <c r="BJ7" s="36"/>
      <c r="BK7" s="36"/>
      <c r="BL7" s="49"/>
      <c r="BM7" s="49"/>
      <c r="BN7" s="49"/>
      <c r="BO7" s="49"/>
    </row>
    <row r="8" ht="15.5" spans="1:67">
      <c r="A8" s="35"/>
      <c r="B8" s="43" t="s">
        <v>410</v>
      </c>
      <c r="C8" s="44">
        <f t="shared" ref="C8:J8" si="20" xml:space="preserve">BB8/1000</f>
        <v>0.0845</v>
      </c>
      <c r="D8" s="44">
        <f t="shared" si="20"/>
        <v>0.0773</v>
      </c>
      <c r="E8" s="44">
        <f t="shared" si="20"/>
        <v>0.0745</v>
      </c>
      <c r="F8" s="44">
        <f t="shared" si="20"/>
        <v>0.0736</v>
      </c>
      <c r="G8" s="44">
        <f t="shared" si="20"/>
        <v>0.0761</v>
      </c>
      <c r="H8" s="44">
        <f t="shared" si="20"/>
        <v>0.0789</v>
      </c>
      <c r="I8" s="44">
        <f t="shared" si="20"/>
        <v>0.0736</v>
      </c>
      <c r="J8" s="44">
        <f t="shared" si="20"/>
        <v>0.0736</v>
      </c>
      <c r="K8" s="36"/>
      <c r="L8" s="36"/>
      <c r="M8" s="49">
        <v>5.937</v>
      </c>
      <c r="N8" s="49">
        <v>5.845</v>
      </c>
      <c r="O8" s="49">
        <v>5.575</v>
      </c>
      <c r="P8" s="49">
        <v>5.276</v>
      </c>
      <c r="Q8" s="49">
        <v>5.363</v>
      </c>
      <c r="R8" s="49">
        <v>6.645</v>
      </c>
      <c r="S8" s="49">
        <v>5.654</v>
      </c>
      <c r="T8" s="49"/>
      <c r="U8" s="35"/>
      <c r="V8" s="43" t="s">
        <v>410</v>
      </c>
      <c r="W8" s="46">
        <f t="shared" ref="W8:AC8" si="21" xml:space="preserve">D8/M8</f>
        <v>0.0130200437931615</v>
      </c>
      <c r="X8" s="46">
        <f t="shared" si="21"/>
        <v>0.0127459366980325</v>
      </c>
      <c r="Y8" s="46">
        <f t="shared" si="21"/>
        <v>0.0132017937219731</v>
      </c>
      <c r="Z8" s="46">
        <f t="shared" si="21"/>
        <v>0.0144238059135709</v>
      </c>
      <c r="AA8" s="46">
        <f t="shared" si="21"/>
        <v>0.0147119149729629</v>
      </c>
      <c r="AB8" s="47">
        <f t="shared" si="21"/>
        <v>0.0110759969902182</v>
      </c>
      <c r="AC8" s="47">
        <f t="shared" si="21"/>
        <v>0.0130173328616908</v>
      </c>
      <c r="AD8" s="36"/>
      <c r="AE8" s="36"/>
      <c r="AF8" s="46">
        <f t="shared" ref="AF8:AJ8" si="22" xml:space="preserve">W8</f>
        <v>0.0130200437931615</v>
      </c>
      <c r="AG8" s="46">
        <f t="shared" si="22"/>
        <v>0.0127459366980325</v>
      </c>
      <c r="AH8" s="46">
        <f t="shared" si="22"/>
        <v>0.0132017937219731</v>
      </c>
      <c r="AI8" s="46">
        <f t="shared" si="22"/>
        <v>0.0144238059135709</v>
      </c>
      <c r="AJ8" s="46">
        <f t="shared" si="22"/>
        <v>0.0147119149729629</v>
      </c>
      <c r="AK8" s="48">
        <f t="shared" si="3"/>
        <v>0.0127373965387509</v>
      </c>
      <c r="AL8" s="48">
        <f t="shared" si="4"/>
        <v>0.0149699327909445</v>
      </c>
      <c r="AM8" s="36"/>
      <c r="AN8" s="36"/>
      <c r="AO8" s="46">
        <f t="shared" ref="AO8:AS8" si="23" xml:space="preserve">W8</f>
        <v>0.0130200437931615</v>
      </c>
      <c r="AP8" s="46">
        <f t="shared" si="23"/>
        <v>0.0127459366980325</v>
      </c>
      <c r="AQ8" s="46">
        <f t="shared" si="23"/>
        <v>0.0132017937219731</v>
      </c>
      <c r="AR8" s="46">
        <f t="shared" si="23"/>
        <v>0.0144238059135709</v>
      </c>
      <c r="AS8" s="46">
        <f t="shared" si="23"/>
        <v>0.0147119149729629</v>
      </c>
      <c r="AT8" s="48">
        <f t="shared" si="6"/>
        <v>0.00941459744168548</v>
      </c>
      <c r="AU8" s="48">
        <f t="shared" si="7"/>
        <v>0.0110647329324372</v>
      </c>
      <c r="AZ8" s="35"/>
      <c r="BA8" s="43" t="s">
        <v>410</v>
      </c>
      <c r="BB8" s="44">
        <v>84.5</v>
      </c>
      <c r="BC8" s="46">
        <v>77.3</v>
      </c>
      <c r="BD8" s="46">
        <v>74.5</v>
      </c>
      <c r="BE8" s="46">
        <v>73.6</v>
      </c>
      <c r="BF8" s="46">
        <v>76.1</v>
      </c>
      <c r="BG8" s="46">
        <v>78.9</v>
      </c>
      <c r="BH8" s="46">
        <v>73.6</v>
      </c>
      <c r="BI8" s="46">
        <v>73.6</v>
      </c>
      <c r="BJ8" s="36"/>
      <c r="BK8" s="36"/>
      <c r="BL8" s="49"/>
      <c r="BM8" s="49"/>
      <c r="BN8" s="49"/>
      <c r="BO8" s="49"/>
    </row>
    <row r="9" ht="15.5" spans="1:67">
      <c r="A9" s="35" t="s">
        <v>301</v>
      </c>
      <c r="B9" s="43" t="s">
        <v>406</v>
      </c>
      <c r="C9" s="44">
        <f t="shared" ref="C9:J9" si="24" xml:space="preserve">BB9/1000</f>
        <v>0.855</v>
      </c>
      <c r="D9" s="44">
        <f t="shared" si="24"/>
        <v>0.8241</v>
      </c>
      <c r="E9" s="44">
        <f t="shared" si="24"/>
        <v>0.7857</v>
      </c>
      <c r="F9" s="44">
        <f t="shared" si="24"/>
        <v>0.775</v>
      </c>
      <c r="G9" s="44">
        <f t="shared" si="24"/>
        <v>0.7702</v>
      </c>
      <c r="H9" s="44">
        <f t="shared" si="24"/>
        <v>0.8116</v>
      </c>
      <c r="I9" s="44">
        <f t="shared" si="24"/>
        <v>0.775</v>
      </c>
      <c r="J9" s="44">
        <f t="shared" si="24"/>
        <v>0.775</v>
      </c>
      <c r="K9" s="36"/>
      <c r="L9" s="36"/>
      <c r="M9" s="49">
        <v>5.937</v>
      </c>
      <c r="N9" s="49">
        <v>5.845</v>
      </c>
      <c r="O9" s="49">
        <v>5.575</v>
      </c>
      <c r="P9" s="49">
        <v>5.276</v>
      </c>
      <c r="Q9" s="49">
        <v>5.363</v>
      </c>
      <c r="R9" s="49">
        <v>6.645</v>
      </c>
      <c r="S9" s="49">
        <v>5.654</v>
      </c>
      <c r="T9" s="49"/>
      <c r="U9" s="35" t="s">
        <v>301</v>
      </c>
      <c r="V9" s="43" t="s">
        <v>406</v>
      </c>
      <c r="W9" s="46">
        <f t="shared" ref="W9:AC9" si="25" xml:space="preserve">D9/M9</f>
        <v>0.138807478524507</v>
      </c>
      <c r="X9" s="46">
        <f t="shared" si="25"/>
        <v>0.134422583404619</v>
      </c>
      <c r="Y9" s="46">
        <f t="shared" si="25"/>
        <v>0.139013452914798</v>
      </c>
      <c r="Z9" s="46">
        <f t="shared" si="25"/>
        <v>0.145981804397271</v>
      </c>
      <c r="AA9" s="46">
        <f t="shared" si="25"/>
        <v>0.1513332090248</v>
      </c>
      <c r="AB9" s="47">
        <f t="shared" si="25"/>
        <v>0.116629044394281</v>
      </c>
      <c r="AC9" s="47">
        <f t="shared" si="25"/>
        <v>0.13707110010612</v>
      </c>
      <c r="AD9" s="36"/>
      <c r="AE9" s="36"/>
      <c r="AF9" s="46">
        <f t="shared" ref="AF9:AJ9" si="26" xml:space="preserve">W9</f>
        <v>0.138807478524507</v>
      </c>
      <c r="AG9" s="46">
        <f t="shared" si="26"/>
        <v>0.134422583404619</v>
      </c>
      <c r="AH9" s="46">
        <f t="shared" si="26"/>
        <v>0.139013452914798</v>
      </c>
      <c r="AI9" s="46">
        <f t="shared" si="26"/>
        <v>0.145981804397271</v>
      </c>
      <c r="AJ9" s="46">
        <f t="shared" si="26"/>
        <v>0.1513332090248</v>
      </c>
      <c r="AK9" s="48">
        <f t="shared" si="3"/>
        <v>0.134123401053424</v>
      </c>
      <c r="AL9" s="48">
        <f t="shared" si="4"/>
        <v>0.157631765122037</v>
      </c>
      <c r="AM9" s="36"/>
      <c r="AN9" s="36"/>
      <c r="AO9" s="46">
        <f t="shared" ref="AO9:AS9" si="27" xml:space="preserve">W9</f>
        <v>0.138807478524507</v>
      </c>
      <c r="AP9" s="46">
        <f t="shared" si="27"/>
        <v>0.134422583404619</v>
      </c>
      <c r="AQ9" s="46">
        <f t="shared" si="27"/>
        <v>0.139013452914798</v>
      </c>
      <c r="AR9" s="46">
        <f t="shared" si="27"/>
        <v>0.145981804397271</v>
      </c>
      <c r="AS9" s="46">
        <f t="shared" si="27"/>
        <v>0.1513332090248</v>
      </c>
      <c r="AT9" s="48">
        <f t="shared" si="6"/>
        <v>0.0991346877351392</v>
      </c>
      <c r="AU9" s="48">
        <f t="shared" si="7"/>
        <v>0.116510435090202</v>
      </c>
      <c r="AZ9" s="35" t="s">
        <v>301</v>
      </c>
      <c r="BA9" s="43" t="s">
        <v>406</v>
      </c>
      <c r="BB9" s="44">
        <v>855</v>
      </c>
      <c r="BC9" s="46">
        <v>824.1</v>
      </c>
      <c r="BD9" s="46">
        <v>785.7</v>
      </c>
      <c r="BE9" s="46">
        <v>775</v>
      </c>
      <c r="BF9" s="46">
        <v>770.2</v>
      </c>
      <c r="BG9" s="46">
        <v>811.6</v>
      </c>
      <c r="BH9" s="46">
        <v>775</v>
      </c>
      <c r="BI9" s="46">
        <v>775</v>
      </c>
      <c r="BJ9" s="36"/>
      <c r="BK9" s="36"/>
      <c r="BL9" s="49"/>
      <c r="BM9" s="49"/>
      <c r="BN9" s="49"/>
      <c r="BO9" s="49"/>
    </row>
    <row r="10" ht="15.5" spans="1:67">
      <c r="A10" s="35"/>
      <c r="B10" s="43" t="s">
        <v>407</v>
      </c>
      <c r="C10" s="44">
        <f t="shared" ref="C10:J10" si="28" xml:space="preserve">BB10/1000</f>
        <v>0.7888</v>
      </c>
      <c r="D10" s="44">
        <f t="shared" si="28"/>
        <v>0.7626</v>
      </c>
      <c r="E10" s="44">
        <f t="shared" si="28"/>
        <v>0.7275</v>
      </c>
      <c r="F10" s="44">
        <f t="shared" si="28"/>
        <v>0.7179</v>
      </c>
      <c r="G10" s="44">
        <f t="shared" si="28"/>
        <v>0.7107</v>
      </c>
      <c r="H10" s="44">
        <f t="shared" si="28"/>
        <v>0.7503</v>
      </c>
      <c r="I10" s="44">
        <f t="shared" si="28"/>
        <v>0.7179</v>
      </c>
      <c r="J10" s="44">
        <f t="shared" si="28"/>
        <v>0.7179</v>
      </c>
      <c r="K10" s="36"/>
      <c r="L10" s="36"/>
      <c r="M10" s="49">
        <v>5.937</v>
      </c>
      <c r="N10" s="49">
        <v>5.845</v>
      </c>
      <c r="O10" s="49">
        <v>5.575</v>
      </c>
      <c r="P10" s="49">
        <v>5.276</v>
      </c>
      <c r="Q10" s="49">
        <v>5.363</v>
      </c>
      <c r="R10" s="49">
        <v>6.645</v>
      </c>
      <c r="S10" s="49">
        <v>5.654</v>
      </c>
      <c r="T10" s="49"/>
      <c r="U10" s="35"/>
      <c r="V10" s="43" t="s">
        <v>407</v>
      </c>
      <c r="W10" s="46">
        <f t="shared" ref="W10:AC10" si="29" xml:space="preserve">D10/M10</f>
        <v>0.12844871147044</v>
      </c>
      <c r="X10" s="46">
        <f t="shared" si="29"/>
        <v>0.124465355004277</v>
      </c>
      <c r="Y10" s="46">
        <f t="shared" si="29"/>
        <v>0.12877130044843</v>
      </c>
      <c r="Z10" s="46">
        <f t="shared" si="29"/>
        <v>0.134704321455648</v>
      </c>
      <c r="AA10" s="46">
        <f t="shared" si="29"/>
        <v>0.139903039343651</v>
      </c>
      <c r="AB10" s="47">
        <f t="shared" si="29"/>
        <v>0.10803611738149</v>
      </c>
      <c r="AC10" s="47">
        <f t="shared" si="29"/>
        <v>0.126972055182172</v>
      </c>
      <c r="AD10" s="36"/>
      <c r="AE10" s="36"/>
      <c r="AF10" s="46">
        <f t="shared" ref="AF10:AJ10" si="30" xml:space="preserve">W10</f>
        <v>0.12844871147044</v>
      </c>
      <c r="AG10" s="46">
        <f t="shared" si="30"/>
        <v>0.124465355004277</v>
      </c>
      <c r="AH10" s="46">
        <f t="shared" si="30"/>
        <v>0.12877130044843</v>
      </c>
      <c r="AI10" s="46">
        <f t="shared" si="30"/>
        <v>0.134704321455648</v>
      </c>
      <c r="AJ10" s="46">
        <f t="shared" si="30"/>
        <v>0.139903039343651</v>
      </c>
      <c r="AK10" s="48">
        <f t="shared" si="3"/>
        <v>0.124241534988713</v>
      </c>
      <c r="AL10" s="48">
        <f t="shared" si="4"/>
        <v>0.146017863459498</v>
      </c>
      <c r="AM10" s="36"/>
      <c r="AN10" s="36"/>
      <c r="AO10" s="46">
        <f t="shared" ref="AO10:AS10" si="31" xml:space="preserve">W10</f>
        <v>0.12844871147044</v>
      </c>
      <c r="AP10" s="46">
        <f t="shared" si="31"/>
        <v>0.124465355004277</v>
      </c>
      <c r="AQ10" s="46">
        <f t="shared" si="31"/>
        <v>0.12877130044843</v>
      </c>
      <c r="AR10" s="46">
        <f t="shared" si="31"/>
        <v>0.134704321455648</v>
      </c>
      <c r="AS10" s="46">
        <f t="shared" si="31"/>
        <v>0.139903039343651</v>
      </c>
      <c r="AT10" s="48">
        <f t="shared" si="6"/>
        <v>0.0918306997742664</v>
      </c>
      <c r="AU10" s="48">
        <f t="shared" si="7"/>
        <v>0.107926246904846</v>
      </c>
      <c r="AZ10" s="35"/>
      <c r="BA10" s="43" t="s">
        <v>407</v>
      </c>
      <c r="BB10" s="44">
        <v>788.8</v>
      </c>
      <c r="BC10" s="46">
        <v>762.6</v>
      </c>
      <c r="BD10" s="46">
        <v>727.5</v>
      </c>
      <c r="BE10" s="46">
        <v>717.9</v>
      </c>
      <c r="BF10" s="46">
        <v>710.7</v>
      </c>
      <c r="BG10" s="46">
        <v>750.3</v>
      </c>
      <c r="BH10" s="46">
        <v>717.9</v>
      </c>
      <c r="BI10" s="46">
        <v>717.9</v>
      </c>
      <c r="BJ10" s="36"/>
      <c r="BK10" s="36"/>
      <c r="BL10" s="49"/>
      <c r="BM10" s="49"/>
      <c r="BN10" s="49"/>
      <c r="BO10" s="49"/>
    </row>
    <row r="11" ht="15.5" spans="1:67">
      <c r="A11" s="35"/>
      <c r="B11" s="43" t="s">
        <v>408</v>
      </c>
      <c r="C11" s="44">
        <f t="shared" ref="C11:J11" si="32" xml:space="preserve">BB11/1000</f>
        <v>0.2381</v>
      </c>
      <c r="D11" s="44">
        <f t="shared" si="32"/>
        <v>0.2075</v>
      </c>
      <c r="E11" s="44">
        <f t="shared" si="32"/>
        <v>0.1951</v>
      </c>
      <c r="F11" s="44">
        <f t="shared" si="32"/>
        <v>0.1916</v>
      </c>
      <c r="G11" s="44">
        <f t="shared" si="32"/>
        <v>0.186</v>
      </c>
      <c r="H11" s="44">
        <f t="shared" si="32"/>
        <v>0.1938</v>
      </c>
      <c r="I11" s="44">
        <f t="shared" si="32"/>
        <v>0.1916</v>
      </c>
      <c r="J11" s="44">
        <f t="shared" si="32"/>
        <v>0.1916</v>
      </c>
      <c r="K11" s="36"/>
      <c r="L11" s="36"/>
      <c r="M11" s="49">
        <v>5.937</v>
      </c>
      <c r="N11" s="49">
        <v>5.845</v>
      </c>
      <c r="O11" s="49">
        <v>5.575</v>
      </c>
      <c r="P11" s="49">
        <v>5.276</v>
      </c>
      <c r="Q11" s="49">
        <v>5.363</v>
      </c>
      <c r="R11" s="49">
        <v>6.645</v>
      </c>
      <c r="S11" s="49">
        <v>5.654</v>
      </c>
      <c r="T11" s="49"/>
      <c r="U11" s="35"/>
      <c r="V11" s="43" t="s">
        <v>408</v>
      </c>
      <c r="W11" s="46">
        <f t="shared" ref="W11:AC11" si="33" xml:space="preserve">D11/M11</f>
        <v>0.0349503116051878</v>
      </c>
      <c r="X11" s="46">
        <f t="shared" si="33"/>
        <v>0.0333789563729684</v>
      </c>
      <c r="Y11" s="46">
        <f t="shared" si="33"/>
        <v>0.0343677130044843</v>
      </c>
      <c r="Z11" s="46">
        <f t="shared" si="33"/>
        <v>0.035253980288097</v>
      </c>
      <c r="AA11" s="46">
        <f t="shared" si="33"/>
        <v>0.0361364907700914</v>
      </c>
      <c r="AB11" s="47">
        <f t="shared" si="33"/>
        <v>0.0288337095560572</v>
      </c>
      <c r="AC11" s="47">
        <f t="shared" si="33"/>
        <v>0.0338875132649452</v>
      </c>
      <c r="AD11" s="36"/>
      <c r="AE11" s="36"/>
      <c r="AF11" s="46">
        <f t="shared" ref="AF11:AJ11" si="34" xml:space="preserve">W11</f>
        <v>0.0349503116051878</v>
      </c>
      <c r="AG11" s="46">
        <f t="shared" si="34"/>
        <v>0.0333789563729684</v>
      </c>
      <c r="AH11" s="46">
        <f t="shared" si="34"/>
        <v>0.0343677130044843</v>
      </c>
      <c r="AI11" s="46">
        <f t="shared" si="34"/>
        <v>0.035253980288097</v>
      </c>
      <c r="AJ11" s="46">
        <f t="shared" si="34"/>
        <v>0.0361364907700914</v>
      </c>
      <c r="AK11" s="48">
        <f t="shared" si="3"/>
        <v>0.0331587659894658</v>
      </c>
      <c r="AL11" s="48">
        <f t="shared" si="4"/>
        <v>0.0389706402546869</v>
      </c>
      <c r="AM11" s="36"/>
      <c r="AN11" s="36"/>
      <c r="AO11" s="46">
        <f t="shared" ref="AO11:AS11" si="35" xml:space="preserve">W11</f>
        <v>0.0349503116051878</v>
      </c>
      <c r="AP11" s="46">
        <f t="shared" si="35"/>
        <v>0.0333789563729684</v>
      </c>
      <c r="AQ11" s="46">
        <f t="shared" si="35"/>
        <v>0.0343677130044843</v>
      </c>
      <c r="AR11" s="46">
        <f t="shared" si="35"/>
        <v>0.035253980288097</v>
      </c>
      <c r="AS11" s="46">
        <f t="shared" si="35"/>
        <v>0.0361364907700914</v>
      </c>
      <c r="AT11" s="48">
        <f t="shared" si="6"/>
        <v>0.0245086531226486</v>
      </c>
      <c r="AU11" s="48">
        <f t="shared" si="7"/>
        <v>0.0288043862752034</v>
      </c>
      <c r="AZ11" s="35"/>
      <c r="BA11" s="43" t="s">
        <v>408</v>
      </c>
      <c r="BB11" s="44">
        <v>238.1</v>
      </c>
      <c r="BC11" s="46">
        <v>207.5</v>
      </c>
      <c r="BD11" s="46">
        <v>195.1</v>
      </c>
      <c r="BE11" s="46">
        <v>191.6</v>
      </c>
      <c r="BF11" s="46">
        <v>186</v>
      </c>
      <c r="BG11" s="46">
        <v>193.8</v>
      </c>
      <c r="BH11" s="46">
        <v>191.6</v>
      </c>
      <c r="BI11" s="46">
        <v>191.6</v>
      </c>
      <c r="BJ11" s="36"/>
      <c r="BK11" s="36"/>
      <c r="BL11" s="49"/>
      <c r="BM11" s="49"/>
      <c r="BN11" s="49"/>
      <c r="BO11" s="49"/>
    </row>
    <row r="12" ht="15.5" spans="1:67">
      <c r="A12" s="35"/>
      <c r="B12" s="43" t="s">
        <v>409</v>
      </c>
      <c r="C12" s="44">
        <f t="shared" ref="C12:J12" si="36" xml:space="preserve">BB12/1000</f>
        <v>0.4629</v>
      </c>
      <c r="D12" s="44">
        <f t="shared" si="36"/>
        <v>0.4749</v>
      </c>
      <c r="E12" s="44">
        <f t="shared" si="36"/>
        <v>0.4551</v>
      </c>
      <c r="F12" s="44">
        <f t="shared" si="36"/>
        <v>0.45</v>
      </c>
      <c r="G12" s="44">
        <f t="shared" si="36"/>
        <v>0.4459</v>
      </c>
      <c r="H12" s="44">
        <f t="shared" si="36"/>
        <v>0.4747</v>
      </c>
      <c r="I12" s="44">
        <f t="shared" si="36"/>
        <v>0.45</v>
      </c>
      <c r="J12" s="44">
        <f t="shared" si="36"/>
        <v>0.45</v>
      </c>
      <c r="K12" s="36"/>
      <c r="L12" s="36"/>
      <c r="M12" s="49">
        <v>5.937</v>
      </c>
      <c r="N12" s="49">
        <v>5.845</v>
      </c>
      <c r="O12" s="49">
        <v>5.575</v>
      </c>
      <c r="P12" s="49">
        <v>5.276</v>
      </c>
      <c r="Q12" s="49">
        <v>5.363</v>
      </c>
      <c r="R12" s="49">
        <v>6.645</v>
      </c>
      <c r="S12" s="49">
        <v>5.654</v>
      </c>
      <c r="T12" s="49"/>
      <c r="U12" s="35"/>
      <c r="V12" s="43" t="s">
        <v>409</v>
      </c>
      <c r="W12" s="46">
        <f t="shared" ref="W12:AC12" si="37" xml:space="preserve">D12/M12</f>
        <v>0.0799898938858009</v>
      </c>
      <c r="X12" s="46">
        <f t="shared" si="37"/>
        <v>0.0778614200171086</v>
      </c>
      <c r="Y12" s="46">
        <f t="shared" si="37"/>
        <v>0.0807174887892377</v>
      </c>
      <c r="Z12" s="46">
        <f t="shared" si="37"/>
        <v>0.0845147839272176</v>
      </c>
      <c r="AA12" s="46">
        <f t="shared" si="37"/>
        <v>0.08851389147865</v>
      </c>
      <c r="AB12" s="47">
        <f t="shared" si="37"/>
        <v>0.0677200902934537</v>
      </c>
      <c r="AC12" s="47">
        <f t="shared" si="37"/>
        <v>0.0795896710293598</v>
      </c>
      <c r="AD12" s="36"/>
      <c r="AE12" s="36"/>
      <c r="AF12" s="46">
        <f t="shared" ref="AF12:AJ12" si="38" xml:space="preserve">W12</f>
        <v>0.0799898938858009</v>
      </c>
      <c r="AG12" s="46">
        <f t="shared" si="38"/>
        <v>0.0778614200171086</v>
      </c>
      <c r="AH12" s="46">
        <f t="shared" si="38"/>
        <v>0.0807174887892377</v>
      </c>
      <c r="AI12" s="46">
        <f t="shared" si="38"/>
        <v>0.0845147839272176</v>
      </c>
      <c r="AJ12" s="46">
        <f t="shared" si="38"/>
        <v>0.08851389147865</v>
      </c>
      <c r="AK12" s="48">
        <f t="shared" si="3"/>
        <v>0.0778781038374718</v>
      </c>
      <c r="AL12" s="48">
        <f t="shared" si="4"/>
        <v>0.0915281216837637</v>
      </c>
      <c r="AM12" s="36"/>
      <c r="AN12" s="36"/>
      <c r="AO12" s="46">
        <f t="shared" ref="AO12:AS12" si="39" xml:space="preserve">W12</f>
        <v>0.0799898938858009</v>
      </c>
      <c r="AP12" s="46">
        <f t="shared" si="39"/>
        <v>0.0778614200171086</v>
      </c>
      <c r="AQ12" s="46">
        <f t="shared" si="39"/>
        <v>0.0807174887892377</v>
      </c>
      <c r="AR12" s="46">
        <f t="shared" si="39"/>
        <v>0.0845147839272176</v>
      </c>
      <c r="AS12" s="46">
        <f t="shared" si="39"/>
        <v>0.08851389147865</v>
      </c>
      <c r="AT12" s="48">
        <f t="shared" si="6"/>
        <v>0.0575620767494357</v>
      </c>
      <c r="AU12" s="48">
        <f t="shared" si="7"/>
        <v>0.0676512203749558</v>
      </c>
      <c r="AZ12" s="35"/>
      <c r="BA12" s="43" t="s">
        <v>409</v>
      </c>
      <c r="BB12" s="44">
        <v>462.9</v>
      </c>
      <c r="BC12" s="46">
        <v>474.9</v>
      </c>
      <c r="BD12" s="46">
        <v>455.1</v>
      </c>
      <c r="BE12" s="46">
        <v>450</v>
      </c>
      <c r="BF12" s="46">
        <v>445.9</v>
      </c>
      <c r="BG12" s="46">
        <v>474.7</v>
      </c>
      <c r="BH12" s="46">
        <v>450</v>
      </c>
      <c r="BI12" s="46">
        <v>450</v>
      </c>
      <c r="BJ12" s="36"/>
      <c r="BK12" s="36"/>
      <c r="BL12" s="49"/>
      <c r="BM12" s="49"/>
      <c r="BN12" s="49"/>
      <c r="BO12" s="49"/>
    </row>
    <row r="13" ht="15.5" spans="1:67">
      <c r="A13" s="35"/>
      <c r="B13" s="43" t="s">
        <v>410</v>
      </c>
      <c r="C13" s="44">
        <f t="shared" ref="C13:J13" si="40" xml:space="preserve">BB13/1000</f>
        <v>0.0877</v>
      </c>
      <c r="D13" s="44">
        <f t="shared" si="40"/>
        <v>0.0802</v>
      </c>
      <c r="E13" s="44">
        <f t="shared" si="40"/>
        <v>0.0772</v>
      </c>
      <c r="F13" s="44">
        <f t="shared" si="40"/>
        <v>0.0763</v>
      </c>
      <c r="G13" s="44">
        <f t="shared" si="40"/>
        <v>0.0789</v>
      </c>
      <c r="H13" s="44">
        <f t="shared" si="40"/>
        <v>0.0817</v>
      </c>
      <c r="I13" s="44">
        <f t="shared" si="40"/>
        <v>0.0763</v>
      </c>
      <c r="J13" s="44">
        <f t="shared" si="40"/>
        <v>0.0763</v>
      </c>
      <c r="K13" s="36"/>
      <c r="L13" s="36"/>
      <c r="M13" s="49">
        <v>5.937</v>
      </c>
      <c r="N13" s="49">
        <v>5.845</v>
      </c>
      <c r="O13" s="49">
        <v>5.575</v>
      </c>
      <c r="P13" s="49">
        <v>5.276</v>
      </c>
      <c r="Q13" s="49">
        <v>5.363</v>
      </c>
      <c r="R13" s="49">
        <v>6.645</v>
      </c>
      <c r="S13" s="49">
        <v>5.654</v>
      </c>
      <c r="T13" s="49"/>
      <c r="U13" s="35"/>
      <c r="V13" s="43" t="s">
        <v>410</v>
      </c>
      <c r="W13" s="46">
        <f t="shared" ref="W13:AC13" si="41" xml:space="preserve">D13/M13</f>
        <v>0.0135085059794509</v>
      </c>
      <c r="X13" s="46">
        <f t="shared" si="41"/>
        <v>0.013207869974337</v>
      </c>
      <c r="Y13" s="46">
        <f t="shared" si="41"/>
        <v>0.0136860986547085</v>
      </c>
      <c r="Z13" s="46">
        <f t="shared" si="41"/>
        <v>0.0149545109931767</v>
      </c>
      <c r="AA13" s="46">
        <f t="shared" si="41"/>
        <v>0.0152340108148424</v>
      </c>
      <c r="AB13" s="47">
        <f t="shared" si="41"/>
        <v>0.0114823175319789</v>
      </c>
      <c r="AC13" s="47">
        <f t="shared" si="41"/>
        <v>0.013494870887867</v>
      </c>
      <c r="AD13" s="36"/>
      <c r="AE13" s="36"/>
      <c r="AF13" s="46">
        <f t="shared" ref="AF13:AJ13" si="42" xml:space="preserve">W13</f>
        <v>0.0135085059794509</v>
      </c>
      <c r="AG13" s="46">
        <f t="shared" si="42"/>
        <v>0.013207869974337</v>
      </c>
      <c r="AH13" s="46">
        <f t="shared" si="42"/>
        <v>0.0136860986547085</v>
      </c>
      <c r="AI13" s="46">
        <f t="shared" si="42"/>
        <v>0.0149545109931767</v>
      </c>
      <c r="AJ13" s="46">
        <f t="shared" si="42"/>
        <v>0.0152340108148424</v>
      </c>
      <c r="AK13" s="48">
        <f t="shared" si="3"/>
        <v>0.0132046651617758</v>
      </c>
      <c r="AL13" s="48">
        <f t="shared" si="4"/>
        <v>0.015519101521047</v>
      </c>
      <c r="AM13" s="36"/>
      <c r="AN13" s="36"/>
      <c r="AO13" s="46">
        <f t="shared" ref="AO13:AS13" si="43" xml:space="preserve">W13</f>
        <v>0.0135085059794509</v>
      </c>
      <c r="AP13" s="46">
        <f t="shared" si="43"/>
        <v>0.013207869974337</v>
      </c>
      <c r="AQ13" s="46">
        <f t="shared" si="43"/>
        <v>0.0136860986547085</v>
      </c>
      <c r="AR13" s="46">
        <f t="shared" si="43"/>
        <v>0.0149545109931767</v>
      </c>
      <c r="AS13" s="46">
        <f t="shared" si="43"/>
        <v>0.0152340108148424</v>
      </c>
      <c r="AT13" s="48">
        <f t="shared" si="6"/>
        <v>0.00975996990218209</v>
      </c>
      <c r="AU13" s="48">
        <f t="shared" si="7"/>
        <v>0.0114706402546869</v>
      </c>
      <c r="AZ13" s="35"/>
      <c r="BA13" s="43" t="s">
        <v>410</v>
      </c>
      <c r="BB13" s="44">
        <v>87.7</v>
      </c>
      <c r="BC13" s="46">
        <v>80.2</v>
      </c>
      <c r="BD13" s="46">
        <v>77.2</v>
      </c>
      <c r="BE13" s="46">
        <v>76.3</v>
      </c>
      <c r="BF13" s="46">
        <v>78.9</v>
      </c>
      <c r="BG13" s="46">
        <v>81.7</v>
      </c>
      <c r="BH13" s="46">
        <v>76.3</v>
      </c>
      <c r="BI13" s="46">
        <v>76.3</v>
      </c>
      <c r="BJ13" s="36"/>
      <c r="BK13" s="36"/>
      <c r="BL13" s="49"/>
      <c r="BM13" s="49"/>
      <c r="BN13" s="49"/>
      <c r="BO13" s="49"/>
    </row>
    <row r="14" ht="15.5" spans="1:67">
      <c r="A14" s="35" t="s">
        <v>11</v>
      </c>
      <c r="B14" s="43" t="s">
        <v>406</v>
      </c>
      <c r="C14" s="44">
        <f t="shared" ref="C14:J14" si="44" xml:space="preserve">BB14/1000</f>
        <v>0.8705</v>
      </c>
      <c r="D14" s="44">
        <f t="shared" si="44"/>
        <v>0.8381</v>
      </c>
      <c r="E14" s="44">
        <f t="shared" si="44"/>
        <v>0.799</v>
      </c>
      <c r="F14" s="44">
        <f t="shared" si="44"/>
        <v>0.7882</v>
      </c>
      <c r="G14" s="44">
        <f t="shared" si="44"/>
        <v>0.7835</v>
      </c>
      <c r="H14" s="44">
        <f t="shared" si="44"/>
        <v>0.8253</v>
      </c>
      <c r="I14" s="44">
        <f t="shared" si="44"/>
        <v>0.7882</v>
      </c>
      <c r="J14" s="44">
        <f t="shared" si="44"/>
        <v>0.7882</v>
      </c>
      <c r="K14" s="36"/>
      <c r="L14" s="36"/>
      <c r="M14" s="49">
        <v>5.937</v>
      </c>
      <c r="N14" s="49">
        <v>5.845</v>
      </c>
      <c r="O14" s="49">
        <v>5.575</v>
      </c>
      <c r="P14" s="49">
        <v>5.276</v>
      </c>
      <c r="Q14" s="49">
        <v>5.363</v>
      </c>
      <c r="R14" s="49">
        <v>6.645</v>
      </c>
      <c r="S14" s="49">
        <v>5.654</v>
      </c>
      <c r="T14" s="49"/>
      <c r="U14" s="35" t="s">
        <v>11</v>
      </c>
      <c r="V14" s="43" t="s">
        <v>406</v>
      </c>
      <c r="W14" s="46">
        <f t="shared" ref="W14:AC14" si="45" xml:space="preserve">D14/M14</f>
        <v>0.141165571837628</v>
      </c>
      <c r="X14" s="46">
        <f t="shared" si="45"/>
        <v>0.136698032506416</v>
      </c>
      <c r="Y14" s="46">
        <f t="shared" si="45"/>
        <v>0.141381165919283</v>
      </c>
      <c r="Z14" s="46">
        <f t="shared" si="45"/>
        <v>0.148502653525398</v>
      </c>
      <c r="AA14" s="46">
        <f t="shared" si="45"/>
        <v>0.153887749393996</v>
      </c>
      <c r="AB14" s="47">
        <f t="shared" si="45"/>
        <v>0.118615500376223</v>
      </c>
      <c r="AC14" s="47">
        <f t="shared" si="45"/>
        <v>0.139405730456314</v>
      </c>
      <c r="AD14" s="36"/>
      <c r="AE14" s="36"/>
      <c r="AF14" s="46">
        <f t="shared" ref="AF14:AJ14" si="46" xml:space="preserve">W14</f>
        <v>0.141165571837628</v>
      </c>
      <c r="AG14" s="46">
        <f t="shared" si="46"/>
        <v>0.136698032506416</v>
      </c>
      <c r="AH14" s="46">
        <f t="shared" si="46"/>
        <v>0.141381165919283</v>
      </c>
      <c r="AI14" s="46">
        <f t="shared" si="46"/>
        <v>0.148502653525398</v>
      </c>
      <c r="AJ14" s="46">
        <f t="shared" si="46"/>
        <v>0.153887749393996</v>
      </c>
      <c r="AK14" s="48">
        <f t="shared" si="3"/>
        <v>0.136407825432656</v>
      </c>
      <c r="AL14" s="48">
        <f t="shared" si="4"/>
        <v>0.160316590024761</v>
      </c>
      <c r="AM14" s="36"/>
      <c r="AN14" s="36"/>
      <c r="AO14" s="46">
        <f t="shared" ref="AO14:AS14" si="47" xml:space="preserve">W14</f>
        <v>0.141165571837628</v>
      </c>
      <c r="AP14" s="46">
        <f t="shared" si="47"/>
        <v>0.136698032506416</v>
      </c>
      <c r="AQ14" s="46">
        <f t="shared" si="47"/>
        <v>0.141381165919283</v>
      </c>
      <c r="AR14" s="46">
        <f t="shared" si="47"/>
        <v>0.148502653525398</v>
      </c>
      <c r="AS14" s="46">
        <f t="shared" si="47"/>
        <v>0.153887749393996</v>
      </c>
      <c r="AT14" s="48">
        <f t="shared" si="6"/>
        <v>0.100823175319789</v>
      </c>
      <c r="AU14" s="48">
        <f t="shared" si="7"/>
        <v>0.118494870887867</v>
      </c>
      <c r="AZ14" s="35" t="s">
        <v>11</v>
      </c>
      <c r="BA14" s="43" t="s">
        <v>406</v>
      </c>
      <c r="BB14" s="44">
        <v>870.5</v>
      </c>
      <c r="BC14" s="46">
        <v>838.1</v>
      </c>
      <c r="BD14" s="46">
        <v>799</v>
      </c>
      <c r="BE14" s="46">
        <v>788.2</v>
      </c>
      <c r="BF14" s="46">
        <v>783.5</v>
      </c>
      <c r="BG14" s="46">
        <v>825.3</v>
      </c>
      <c r="BH14" s="46">
        <v>788.2</v>
      </c>
      <c r="BI14" s="46">
        <v>788.2</v>
      </c>
      <c r="BJ14" s="36"/>
      <c r="BK14" s="36"/>
      <c r="BL14" s="49"/>
      <c r="BM14" s="49"/>
      <c r="BN14" s="49"/>
      <c r="BO14" s="49"/>
    </row>
    <row r="15" ht="15.5" spans="1:67">
      <c r="A15" s="35"/>
      <c r="B15" s="43" t="s">
        <v>407</v>
      </c>
      <c r="C15" s="44">
        <f t="shared" ref="C15:J15" si="48" xml:space="preserve">BB15/1000</f>
        <v>0.8012</v>
      </c>
      <c r="D15" s="44">
        <f t="shared" si="48"/>
        <v>0.7738</v>
      </c>
      <c r="E15" s="44">
        <f t="shared" si="48"/>
        <v>0.7382</v>
      </c>
      <c r="F15" s="44">
        <f t="shared" si="48"/>
        <v>0.7285</v>
      </c>
      <c r="G15" s="44">
        <f t="shared" si="48"/>
        <v>0.7214</v>
      </c>
      <c r="H15" s="44">
        <f t="shared" si="48"/>
        <v>0.7613</v>
      </c>
      <c r="I15" s="44">
        <f t="shared" si="48"/>
        <v>0.7285</v>
      </c>
      <c r="J15" s="44">
        <f t="shared" si="48"/>
        <v>0.7285</v>
      </c>
      <c r="K15" s="36"/>
      <c r="L15" s="36"/>
      <c r="M15" s="49">
        <v>5.937</v>
      </c>
      <c r="N15" s="49">
        <v>5.845</v>
      </c>
      <c r="O15" s="49">
        <v>5.575</v>
      </c>
      <c r="P15" s="49">
        <v>5.276</v>
      </c>
      <c r="Q15" s="49">
        <v>5.363</v>
      </c>
      <c r="R15" s="49">
        <v>6.645</v>
      </c>
      <c r="S15" s="49">
        <v>5.654</v>
      </c>
      <c r="T15" s="49"/>
      <c r="U15" s="35"/>
      <c r="V15" s="43" t="s">
        <v>407</v>
      </c>
      <c r="W15" s="46">
        <f t="shared" ref="W15:AC15" si="49" xml:space="preserve">D15/M15</f>
        <v>0.130335186120936</v>
      </c>
      <c r="X15" s="46">
        <f t="shared" si="49"/>
        <v>0.126295979469632</v>
      </c>
      <c r="Y15" s="46">
        <f t="shared" si="49"/>
        <v>0.13067264573991</v>
      </c>
      <c r="Z15" s="46">
        <f t="shared" si="49"/>
        <v>0.136732373009856</v>
      </c>
      <c r="AA15" s="46">
        <f t="shared" si="49"/>
        <v>0.141954130151035</v>
      </c>
      <c r="AB15" s="47">
        <f t="shared" si="49"/>
        <v>0.109631301730625</v>
      </c>
      <c r="AC15" s="47">
        <f t="shared" si="49"/>
        <v>0.128846834099752</v>
      </c>
      <c r="AD15" s="36"/>
      <c r="AE15" s="36"/>
      <c r="AF15" s="46">
        <f t="shared" ref="AF15:AJ15" si="50" xml:space="preserve">W15</f>
        <v>0.130335186120936</v>
      </c>
      <c r="AG15" s="46">
        <f t="shared" si="50"/>
        <v>0.126295979469632</v>
      </c>
      <c r="AH15" s="46">
        <f t="shared" si="50"/>
        <v>0.13067264573991</v>
      </c>
      <c r="AI15" s="46">
        <f t="shared" si="50"/>
        <v>0.136732373009856</v>
      </c>
      <c r="AJ15" s="46">
        <f t="shared" si="50"/>
        <v>0.141954130151035</v>
      </c>
      <c r="AK15" s="48">
        <f t="shared" si="3"/>
        <v>0.126075996990218</v>
      </c>
      <c r="AL15" s="48">
        <f t="shared" si="4"/>
        <v>0.148173859214715</v>
      </c>
      <c r="AM15" s="36"/>
      <c r="AN15" s="36"/>
      <c r="AO15" s="46">
        <f t="shared" ref="AO15:AS15" si="51" xml:space="preserve">W15</f>
        <v>0.130335186120936</v>
      </c>
      <c r="AP15" s="46">
        <f t="shared" si="51"/>
        <v>0.126295979469632</v>
      </c>
      <c r="AQ15" s="46">
        <f t="shared" si="51"/>
        <v>0.13067264573991</v>
      </c>
      <c r="AR15" s="46">
        <f t="shared" si="51"/>
        <v>0.136732373009856</v>
      </c>
      <c r="AS15" s="46">
        <f t="shared" si="51"/>
        <v>0.141954130151035</v>
      </c>
      <c r="AT15" s="48">
        <f t="shared" si="6"/>
        <v>0.0931866064710309</v>
      </c>
      <c r="AU15" s="48">
        <f t="shared" si="7"/>
        <v>0.10951980898479</v>
      </c>
      <c r="AZ15" s="35"/>
      <c r="BA15" s="43" t="s">
        <v>407</v>
      </c>
      <c r="BB15" s="44">
        <v>801.2</v>
      </c>
      <c r="BC15" s="46">
        <v>773.8</v>
      </c>
      <c r="BD15" s="46">
        <v>738.2</v>
      </c>
      <c r="BE15" s="46">
        <v>728.5</v>
      </c>
      <c r="BF15" s="46">
        <v>721.4</v>
      </c>
      <c r="BG15" s="46">
        <v>761.3</v>
      </c>
      <c r="BH15" s="46">
        <v>728.5</v>
      </c>
      <c r="BI15" s="46">
        <v>728.5</v>
      </c>
      <c r="BJ15" s="36"/>
      <c r="BK15" s="36"/>
      <c r="BL15" s="49"/>
      <c r="BM15" s="49"/>
      <c r="BN15" s="49"/>
      <c r="BO15" s="49"/>
    </row>
    <row r="16" ht="15.5" spans="1:67">
      <c r="A16" s="35"/>
      <c r="B16" s="43" t="s">
        <v>408</v>
      </c>
      <c r="C16" s="44">
        <f t="shared" ref="C16:J16" si="52" xml:space="preserve">BB16/1000</f>
        <v>0.3021</v>
      </c>
      <c r="D16" s="44">
        <f t="shared" si="52"/>
        <v>0.2654</v>
      </c>
      <c r="E16" s="44">
        <f t="shared" si="52"/>
        <v>0.2502</v>
      </c>
      <c r="F16" s="44">
        <f t="shared" si="52"/>
        <v>0.246</v>
      </c>
      <c r="G16" s="44">
        <f t="shared" si="52"/>
        <v>0.2408</v>
      </c>
      <c r="H16" s="44">
        <f t="shared" si="52"/>
        <v>0.2506</v>
      </c>
      <c r="I16" s="44">
        <f t="shared" si="52"/>
        <v>0.246</v>
      </c>
      <c r="J16" s="44">
        <f t="shared" si="52"/>
        <v>0.246</v>
      </c>
      <c r="K16" s="36"/>
      <c r="L16" s="36"/>
      <c r="M16" s="49">
        <v>5.937</v>
      </c>
      <c r="N16" s="49">
        <v>5.845</v>
      </c>
      <c r="O16" s="49">
        <v>5.575</v>
      </c>
      <c r="P16" s="49">
        <v>5.276</v>
      </c>
      <c r="Q16" s="49">
        <v>5.363</v>
      </c>
      <c r="R16" s="49">
        <v>6.645</v>
      </c>
      <c r="S16" s="49">
        <v>5.654</v>
      </c>
      <c r="T16" s="49"/>
      <c r="U16" s="35"/>
      <c r="V16" s="43" t="s">
        <v>408</v>
      </c>
      <c r="W16" s="46">
        <f t="shared" ref="W16:AC16" si="53" xml:space="preserve">D16/M16</f>
        <v>0.0447027118073101</v>
      </c>
      <c r="X16" s="46">
        <f t="shared" si="53"/>
        <v>0.0428058169375535</v>
      </c>
      <c r="Y16" s="46">
        <f t="shared" si="53"/>
        <v>0.0441255605381166</v>
      </c>
      <c r="Z16" s="46">
        <f t="shared" si="53"/>
        <v>0.0456406368460955</v>
      </c>
      <c r="AA16" s="46">
        <f t="shared" si="53"/>
        <v>0.0467275778482193</v>
      </c>
      <c r="AB16" s="47">
        <f t="shared" si="53"/>
        <v>0.037020316027088</v>
      </c>
      <c r="AC16" s="47">
        <f t="shared" si="53"/>
        <v>0.0435090201627167</v>
      </c>
      <c r="AD16" s="36"/>
      <c r="AE16" s="36"/>
      <c r="AF16" s="46">
        <f t="shared" ref="AF16:AJ16" si="54" xml:space="preserve">W16</f>
        <v>0.0447027118073101</v>
      </c>
      <c r="AG16" s="46">
        <f t="shared" si="54"/>
        <v>0.0428058169375535</v>
      </c>
      <c r="AH16" s="46">
        <f t="shared" si="54"/>
        <v>0.0441255605381166</v>
      </c>
      <c r="AI16" s="46">
        <f t="shared" si="54"/>
        <v>0.0456406368460955</v>
      </c>
      <c r="AJ16" s="46">
        <f t="shared" si="54"/>
        <v>0.0467275778482193</v>
      </c>
      <c r="AK16" s="48">
        <f t="shared" si="3"/>
        <v>0.0425733634311512</v>
      </c>
      <c r="AL16" s="48">
        <f t="shared" si="4"/>
        <v>0.0500353731871242</v>
      </c>
      <c r="AM16" s="36"/>
      <c r="AN16" s="36"/>
      <c r="AO16" s="46">
        <f t="shared" ref="AO16:AS16" si="55" xml:space="preserve">W16</f>
        <v>0.0447027118073101</v>
      </c>
      <c r="AP16" s="46">
        <f t="shared" si="55"/>
        <v>0.0428058169375535</v>
      </c>
      <c r="AQ16" s="46">
        <f t="shared" si="55"/>
        <v>0.0441255605381166</v>
      </c>
      <c r="AR16" s="46">
        <f t="shared" si="55"/>
        <v>0.0456406368460955</v>
      </c>
      <c r="AS16" s="46">
        <f t="shared" si="55"/>
        <v>0.0467275778482193</v>
      </c>
      <c r="AT16" s="48">
        <f t="shared" si="6"/>
        <v>0.0314672686230248</v>
      </c>
      <c r="AU16" s="48">
        <f t="shared" si="7"/>
        <v>0.0369826671383092</v>
      </c>
      <c r="AZ16" s="35"/>
      <c r="BA16" s="43" t="s">
        <v>408</v>
      </c>
      <c r="BB16" s="44">
        <v>302.1</v>
      </c>
      <c r="BC16" s="46">
        <v>265.4</v>
      </c>
      <c r="BD16" s="46">
        <v>250.2</v>
      </c>
      <c r="BE16" s="46">
        <v>246</v>
      </c>
      <c r="BF16" s="46">
        <v>240.8</v>
      </c>
      <c r="BG16" s="46">
        <v>250.6</v>
      </c>
      <c r="BH16" s="46">
        <v>246</v>
      </c>
      <c r="BI16" s="46">
        <v>246</v>
      </c>
      <c r="BJ16" s="36"/>
      <c r="BK16" s="36"/>
      <c r="BL16" s="49"/>
      <c r="BM16" s="49"/>
      <c r="BN16" s="49"/>
      <c r="BO16" s="49"/>
    </row>
    <row r="17" ht="15.5" spans="1:67">
      <c r="A17" s="35"/>
      <c r="B17" s="43" t="s">
        <v>409</v>
      </c>
      <c r="C17" s="44">
        <f t="shared" ref="C17:J17" si="56" xml:space="preserve">BB17/1000</f>
        <v>0.4137</v>
      </c>
      <c r="D17" s="44">
        <f t="shared" si="56"/>
        <v>0.4304</v>
      </c>
      <c r="E17" s="44">
        <f t="shared" si="56"/>
        <v>0.4127</v>
      </c>
      <c r="F17" s="44">
        <f t="shared" si="56"/>
        <v>0.4081</v>
      </c>
      <c r="G17" s="44">
        <f t="shared" si="56"/>
        <v>0.4037</v>
      </c>
      <c r="H17" s="44">
        <f t="shared" si="56"/>
        <v>0.4311</v>
      </c>
      <c r="I17" s="44">
        <f t="shared" si="56"/>
        <v>0.4081</v>
      </c>
      <c r="J17" s="44">
        <f t="shared" si="56"/>
        <v>0.4081</v>
      </c>
      <c r="K17" s="36"/>
      <c r="L17" s="36"/>
      <c r="M17" s="49">
        <v>5.937</v>
      </c>
      <c r="N17" s="49">
        <v>5.845</v>
      </c>
      <c r="O17" s="49">
        <v>5.575</v>
      </c>
      <c r="P17" s="49">
        <v>5.276</v>
      </c>
      <c r="Q17" s="49">
        <v>5.363</v>
      </c>
      <c r="R17" s="49">
        <v>6.645</v>
      </c>
      <c r="S17" s="49">
        <v>5.654</v>
      </c>
      <c r="T17" s="49"/>
      <c r="U17" s="35"/>
      <c r="V17" s="43" t="s">
        <v>409</v>
      </c>
      <c r="W17" s="46">
        <f t="shared" ref="W17:AC17" si="57" xml:space="preserve">D17/M17</f>
        <v>0.0724945258548088</v>
      </c>
      <c r="X17" s="46">
        <f t="shared" si="57"/>
        <v>0.0706073567151412</v>
      </c>
      <c r="Y17" s="46">
        <f t="shared" si="57"/>
        <v>0.0732017937219731</v>
      </c>
      <c r="Z17" s="46">
        <f t="shared" si="57"/>
        <v>0.076516300227445</v>
      </c>
      <c r="AA17" s="46">
        <f t="shared" si="57"/>
        <v>0.0803841133693828</v>
      </c>
      <c r="AB17" s="47">
        <f t="shared" si="57"/>
        <v>0.0614145974416855</v>
      </c>
      <c r="AC17" s="47">
        <f t="shared" si="57"/>
        <v>0.0721789883268483</v>
      </c>
      <c r="AD17" s="36"/>
      <c r="AE17" s="36"/>
      <c r="AF17" s="46">
        <f t="shared" ref="AF17:AJ17" si="58" xml:space="preserve">W17</f>
        <v>0.0724945258548088</v>
      </c>
      <c r="AG17" s="46">
        <f t="shared" si="58"/>
        <v>0.0706073567151412</v>
      </c>
      <c r="AH17" s="46">
        <f t="shared" si="58"/>
        <v>0.0732017937219731</v>
      </c>
      <c r="AI17" s="46">
        <f t="shared" si="58"/>
        <v>0.076516300227445</v>
      </c>
      <c r="AJ17" s="46">
        <f t="shared" si="58"/>
        <v>0.0803841133693828</v>
      </c>
      <c r="AK17" s="48">
        <f t="shared" si="3"/>
        <v>0.0706267870579383</v>
      </c>
      <c r="AL17" s="48">
        <f t="shared" si="4"/>
        <v>0.0830058365758755</v>
      </c>
      <c r="AM17" s="36"/>
      <c r="AN17" s="36"/>
      <c r="AO17" s="46">
        <f t="shared" ref="AO17:AS17" si="59" xml:space="preserve">W17</f>
        <v>0.0724945258548088</v>
      </c>
      <c r="AP17" s="46">
        <f t="shared" si="59"/>
        <v>0.0706073567151412</v>
      </c>
      <c r="AQ17" s="46">
        <f t="shared" si="59"/>
        <v>0.0732017937219731</v>
      </c>
      <c r="AR17" s="46">
        <f t="shared" si="59"/>
        <v>0.076516300227445</v>
      </c>
      <c r="AS17" s="46">
        <f t="shared" si="59"/>
        <v>0.0803841133693828</v>
      </c>
      <c r="AT17" s="48">
        <f t="shared" si="6"/>
        <v>0.0522024078254327</v>
      </c>
      <c r="AU17" s="48">
        <f t="shared" si="7"/>
        <v>0.061352140077821</v>
      </c>
      <c r="AZ17" s="35"/>
      <c r="BA17" s="43" t="s">
        <v>409</v>
      </c>
      <c r="BB17" s="44">
        <v>413.7</v>
      </c>
      <c r="BC17" s="46">
        <v>430.4</v>
      </c>
      <c r="BD17" s="46">
        <v>412.7</v>
      </c>
      <c r="BE17" s="46">
        <v>408.1</v>
      </c>
      <c r="BF17" s="46">
        <v>403.7</v>
      </c>
      <c r="BG17" s="46">
        <v>431.1</v>
      </c>
      <c r="BH17" s="46">
        <v>408.1</v>
      </c>
      <c r="BI17" s="46">
        <v>408.1</v>
      </c>
      <c r="BJ17" s="36"/>
      <c r="BK17" s="36"/>
      <c r="BL17" s="49"/>
      <c r="BM17" s="49"/>
      <c r="BN17" s="49"/>
      <c r="BO17" s="49"/>
    </row>
    <row r="18" ht="15.5" spans="1:67">
      <c r="A18" s="35"/>
      <c r="B18" s="43" t="s">
        <v>410</v>
      </c>
      <c r="C18" s="44">
        <f t="shared" ref="C18:J18" si="60" xml:space="preserve">BB18/1000</f>
        <v>0.0853</v>
      </c>
      <c r="D18" s="44">
        <f t="shared" si="60"/>
        <v>0.0781</v>
      </c>
      <c r="E18" s="44">
        <f t="shared" si="60"/>
        <v>0.0752</v>
      </c>
      <c r="F18" s="44">
        <f t="shared" si="60"/>
        <v>0.0743</v>
      </c>
      <c r="G18" s="44">
        <f t="shared" si="60"/>
        <v>0.0768</v>
      </c>
      <c r="H18" s="44">
        <f t="shared" si="60"/>
        <v>0.0797</v>
      </c>
      <c r="I18" s="44">
        <f t="shared" si="60"/>
        <v>0.0743</v>
      </c>
      <c r="J18" s="44">
        <f t="shared" si="60"/>
        <v>0.0743</v>
      </c>
      <c r="K18" s="36"/>
      <c r="L18" s="36"/>
      <c r="M18" s="49">
        <v>5.937</v>
      </c>
      <c r="N18" s="49">
        <v>5.845</v>
      </c>
      <c r="O18" s="49">
        <v>5.575</v>
      </c>
      <c r="P18" s="49">
        <v>5.276</v>
      </c>
      <c r="Q18" s="49">
        <v>5.363</v>
      </c>
      <c r="R18" s="49">
        <v>6.645</v>
      </c>
      <c r="S18" s="49">
        <v>5.654</v>
      </c>
      <c r="T18" s="49"/>
      <c r="U18" s="35"/>
      <c r="V18" s="43" t="s">
        <v>410</v>
      </c>
      <c r="W18" s="46">
        <f t="shared" ref="W18:AC18" si="61" xml:space="preserve">D18/M18</f>
        <v>0.0131547919824827</v>
      </c>
      <c r="X18" s="46">
        <f t="shared" si="61"/>
        <v>0.0128656971770744</v>
      </c>
      <c r="Y18" s="46">
        <f t="shared" si="61"/>
        <v>0.0133273542600897</v>
      </c>
      <c r="Z18" s="46">
        <f t="shared" si="61"/>
        <v>0.0145564821834723</v>
      </c>
      <c r="AA18" s="46">
        <f t="shared" si="61"/>
        <v>0.0148610852134999</v>
      </c>
      <c r="AB18" s="47">
        <f t="shared" si="61"/>
        <v>0.0111813393528969</v>
      </c>
      <c r="AC18" s="47">
        <f t="shared" si="61"/>
        <v>0.0131411390166254</v>
      </c>
      <c r="AD18" s="36"/>
      <c r="AE18" s="36"/>
      <c r="AF18" s="46">
        <f t="shared" ref="AF18:AJ18" si="62" xml:space="preserve">W18</f>
        <v>0.0131547919824827</v>
      </c>
      <c r="AG18" s="46">
        <f t="shared" si="62"/>
        <v>0.0128656971770744</v>
      </c>
      <c r="AH18" s="46">
        <f t="shared" si="62"/>
        <v>0.0133273542600897</v>
      </c>
      <c r="AI18" s="46">
        <f t="shared" si="62"/>
        <v>0.0145564821834723</v>
      </c>
      <c r="AJ18" s="46">
        <f t="shared" si="62"/>
        <v>0.0148610852134999</v>
      </c>
      <c r="AK18" s="48">
        <f t="shared" si="3"/>
        <v>0.0128585402558315</v>
      </c>
      <c r="AL18" s="48">
        <f t="shared" si="4"/>
        <v>0.0151123098691192</v>
      </c>
      <c r="AM18" s="36"/>
      <c r="AN18" s="36"/>
      <c r="AO18" s="46">
        <f t="shared" ref="AO18:AS18" si="63" xml:space="preserve">W18</f>
        <v>0.0131547919824827</v>
      </c>
      <c r="AP18" s="46">
        <f t="shared" si="63"/>
        <v>0.0128656971770744</v>
      </c>
      <c r="AQ18" s="46">
        <f t="shared" si="63"/>
        <v>0.0133273542600897</v>
      </c>
      <c r="AR18" s="46">
        <f t="shared" si="63"/>
        <v>0.0145564821834723</v>
      </c>
      <c r="AS18" s="46">
        <f t="shared" si="63"/>
        <v>0.0148610852134999</v>
      </c>
      <c r="AT18" s="48">
        <f t="shared" si="6"/>
        <v>0.00950413844996238</v>
      </c>
      <c r="AU18" s="48">
        <f t="shared" si="7"/>
        <v>0.0111699681641316</v>
      </c>
      <c r="AZ18" s="35"/>
      <c r="BA18" s="43" t="s">
        <v>410</v>
      </c>
      <c r="BB18" s="44">
        <v>85.3</v>
      </c>
      <c r="BC18" s="46">
        <v>78.1</v>
      </c>
      <c r="BD18" s="46">
        <v>75.2</v>
      </c>
      <c r="BE18" s="46">
        <v>74.3</v>
      </c>
      <c r="BF18" s="46">
        <v>76.8</v>
      </c>
      <c r="BG18" s="46">
        <v>79.7</v>
      </c>
      <c r="BH18" s="46">
        <v>74.3</v>
      </c>
      <c r="BI18" s="46">
        <v>74.3</v>
      </c>
      <c r="BJ18" s="36"/>
      <c r="BK18" s="36"/>
      <c r="BL18" s="49"/>
      <c r="BM18" s="49"/>
      <c r="BN18" s="49"/>
      <c r="BO18" s="49"/>
    </row>
    <row r="19" ht="15.5" spans="1:67">
      <c r="A19" s="36"/>
      <c r="B19" s="36"/>
      <c r="C19" s="39"/>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Z19" s="36"/>
      <c r="BA19" s="36"/>
      <c r="BB19" s="39"/>
      <c r="BC19" s="36"/>
      <c r="BD19" s="36"/>
      <c r="BE19" s="36"/>
      <c r="BF19" s="36"/>
      <c r="BG19" s="36"/>
      <c r="BH19" s="36"/>
      <c r="BI19" s="36"/>
      <c r="BJ19" s="36"/>
      <c r="BK19" s="36"/>
      <c r="BL19" s="36"/>
      <c r="BM19" s="36"/>
      <c r="BN19" s="36"/>
      <c r="BO19" s="36"/>
    </row>
    <row r="20" ht="15.5" spans="1:67">
      <c r="A20" s="36"/>
      <c r="B20" s="36"/>
      <c r="C20" s="39"/>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Z20" s="36"/>
      <c r="BA20" s="36"/>
      <c r="BB20" s="39"/>
      <c r="BC20" s="36"/>
      <c r="BD20" s="36"/>
      <c r="BE20" s="36"/>
      <c r="BF20" s="36"/>
      <c r="BG20" s="36"/>
      <c r="BH20" s="36"/>
      <c r="BI20" s="36"/>
      <c r="BJ20" s="36"/>
      <c r="BK20" s="36"/>
      <c r="BL20" s="36"/>
      <c r="BM20" s="36"/>
      <c r="BN20" s="36"/>
      <c r="BO20" s="36"/>
    </row>
    <row r="21" ht="15.5" spans="1:67">
      <c r="A21" s="35" t="s">
        <v>423</v>
      </c>
      <c r="B21" s="35"/>
      <c r="C21" s="35"/>
      <c r="D21" s="35"/>
      <c r="E21" s="35"/>
      <c r="F21" s="35"/>
      <c r="G21" s="35"/>
      <c r="H21" s="35"/>
      <c r="I21" s="35"/>
      <c r="J21" s="35"/>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Z21" s="35" t="s">
        <v>423</v>
      </c>
      <c r="BA21" s="35"/>
      <c r="BB21" s="35"/>
      <c r="BC21" s="35"/>
      <c r="BD21" s="35"/>
      <c r="BE21" s="35"/>
      <c r="BF21" s="35"/>
      <c r="BG21" s="35"/>
      <c r="BH21" s="35"/>
      <c r="BI21" s="35"/>
      <c r="BJ21" s="36"/>
      <c r="BK21" s="36"/>
      <c r="BL21" s="36"/>
      <c r="BM21" s="36"/>
      <c r="BN21" s="36"/>
      <c r="BO21" s="36"/>
    </row>
    <row r="22" ht="15.5" spans="1:67">
      <c r="A22" s="35" t="s">
        <v>394</v>
      </c>
      <c r="B22" s="35" t="s">
        <v>424</v>
      </c>
      <c r="C22" s="35" t="s">
        <v>396</v>
      </c>
      <c r="D22" s="35"/>
      <c r="E22" s="35"/>
      <c r="F22" s="35"/>
      <c r="G22" s="35"/>
      <c r="H22" s="35"/>
      <c r="I22" s="35"/>
      <c r="J22" s="35"/>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Z22" s="35" t="s">
        <v>394</v>
      </c>
      <c r="BA22" s="35" t="s">
        <v>424</v>
      </c>
      <c r="BB22" s="35" t="s">
        <v>396</v>
      </c>
      <c r="BC22" s="35"/>
      <c r="BD22" s="35"/>
      <c r="BE22" s="35"/>
      <c r="BF22" s="35"/>
      <c r="BG22" s="35"/>
      <c r="BH22" s="35"/>
      <c r="BI22" s="35"/>
      <c r="BJ22" s="36"/>
      <c r="BK22" s="36"/>
      <c r="BL22" s="36"/>
      <c r="BM22" s="36"/>
      <c r="BN22" s="36"/>
      <c r="BO22" s="36"/>
    </row>
    <row r="23" ht="30" spans="1:67">
      <c r="A23" s="35"/>
      <c r="B23" s="35"/>
      <c r="C23" s="39" t="s">
        <v>397</v>
      </c>
      <c r="D23" s="36" t="s">
        <v>398</v>
      </c>
      <c r="E23" s="36" t="s">
        <v>399</v>
      </c>
      <c r="F23" s="40" t="s">
        <v>400</v>
      </c>
      <c r="G23" s="36" t="s">
        <v>401</v>
      </c>
      <c r="H23" s="36" t="s">
        <v>402</v>
      </c>
      <c r="I23" s="36" t="s">
        <v>403</v>
      </c>
      <c r="J23" s="36" t="s">
        <v>404</v>
      </c>
      <c r="K23" s="36"/>
      <c r="L23" s="36"/>
      <c r="M23" s="36" t="s">
        <v>398</v>
      </c>
      <c r="N23" s="36" t="s">
        <v>399</v>
      </c>
      <c r="O23" s="36" t="s">
        <v>400</v>
      </c>
      <c r="P23" s="36" t="s">
        <v>401</v>
      </c>
      <c r="Q23" s="36" t="s">
        <v>402</v>
      </c>
      <c r="R23" s="36" t="s">
        <v>403</v>
      </c>
      <c r="S23" s="36" t="s">
        <v>404</v>
      </c>
      <c r="T23" s="36"/>
      <c r="U23" s="36"/>
      <c r="V23" s="38" t="s">
        <v>422</v>
      </c>
      <c r="W23" s="36" t="s">
        <v>398</v>
      </c>
      <c r="X23" s="36" t="s">
        <v>399</v>
      </c>
      <c r="Y23" s="40" t="s">
        <v>400</v>
      </c>
      <c r="Z23" s="36" t="s">
        <v>401</v>
      </c>
      <c r="AA23" s="36" t="s">
        <v>402</v>
      </c>
      <c r="AB23" s="42" t="s">
        <v>403</v>
      </c>
      <c r="AC23" s="42" t="s">
        <v>404</v>
      </c>
      <c r="AD23" s="36"/>
      <c r="AE23" s="36"/>
      <c r="AF23" s="36" t="s">
        <v>398</v>
      </c>
      <c r="AG23" s="36" t="s">
        <v>399</v>
      </c>
      <c r="AH23" s="40" t="s">
        <v>400</v>
      </c>
      <c r="AI23" s="36" t="s">
        <v>401</v>
      </c>
      <c r="AJ23" s="36" t="s">
        <v>402</v>
      </c>
      <c r="AK23" s="42" t="s">
        <v>403</v>
      </c>
      <c r="AL23" s="42" t="s">
        <v>404</v>
      </c>
      <c r="AM23" s="36"/>
      <c r="AN23" s="36"/>
      <c r="AO23" s="36" t="s">
        <v>398</v>
      </c>
      <c r="AP23" s="36" t="s">
        <v>399</v>
      </c>
      <c r="AQ23" s="40" t="s">
        <v>400</v>
      </c>
      <c r="AR23" s="36" t="s">
        <v>401</v>
      </c>
      <c r="AS23" s="36" t="s">
        <v>402</v>
      </c>
      <c r="AT23" s="42" t="s">
        <v>403</v>
      </c>
      <c r="AU23" s="42" t="s">
        <v>404</v>
      </c>
      <c r="AZ23" s="35"/>
      <c r="BA23" s="35"/>
      <c r="BB23" s="39" t="s">
        <v>397</v>
      </c>
      <c r="BC23" s="36" t="s">
        <v>398</v>
      </c>
      <c r="BD23" s="36" t="s">
        <v>399</v>
      </c>
      <c r="BE23" s="40" t="s">
        <v>400</v>
      </c>
      <c r="BF23" s="36" t="s">
        <v>401</v>
      </c>
      <c r="BG23" s="36" t="s">
        <v>402</v>
      </c>
      <c r="BH23" s="36" t="s">
        <v>403</v>
      </c>
      <c r="BI23" s="36" t="s">
        <v>404</v>
      </c>
      <c r="BJ23" s="36"/>
      <c r="BK23" s="36"/>
      <c r="BL23" s="36"/>
      <c r="BM23" s="36"/>
      <c r="BN23" s="36"/>
      <c r="BO23" s="36"/>
    </row>
    <row r="24" ht="15.5" spans="1:67">
      <c r="A24" s="35" t="s">
        <v>405</v>
      </c>
      <c r="B24" s="43" t="s">
        <v>406</v>
      </c>
      <c r="C24" s="44">
        <f t="shared" ref="C24:J24" si="64" xml:space="preserve">BB24/1000</f>
        <v>0.8898</v>
      </c>
      <c r="D24" s="44">
        <f t="shared" si="64"/>
        <v>0.8432</v>
      </c>
      <c r="E24" s="44">
        <f t="shared" si="64"/>
        <v>0.8038</v>
      </c>
      <c r="F24" s="44">
        <f t="shared" si="64"/>
        <v>0.7946</v>
      </c>
      <c r="G24" s="44">
        <f t="shared" si="64"/>
        <v>0.7665</v>
      </c>
      <c r="H24" s="44">
        <f t="shared" si="64"/>
        <v>0.8066</v>
      </c>
      <c r="I24" s="44">
        <f t="shared" si="64"/>
        <v>0.7946</v>
      </c>
      <c r="J24" s="44">
        <f t="shared" si="64"/>
        <v>0.7946</v>
      </c>
      <c r="K24" s="36"/>
      <c r="L24" s="36"/>
      <c r="M24" s="45">
        <v>5.937</v>
      </c>
      <c r="N24" s="45">
        <v>5.845</v>
      </c>
      <c r="O24" s="45">
        <v>5.575</v>
      </c>
      <c r="P24" s="45">
        <v>5.276</v>
      </c>
      <c r="Q24" s="45">
        <v>5.363</v>
      </c>
      <c r="R24" s="45">
        <v>6.645</v>
      </c>
      <c r="S24" s="45">
        <v>5.654</v>
      </c>
      <c r="T24" s="45"/>
      <c r="U24" s="35" t="s">
        <v>405</v>
      </c>
      <c r="V24" s="43" t="s">
        <v>406</v>
      </c>
      <c r="W24" s="46">
        <f t="shared" ref="W24:AC24" si="65" xml:space="preserve">D24/M24</f>
        <v>0.142024591544551</v>
      </c>
      <c r="X24" s="46">
        <f t="shared" si="65"/>
        <v>0.137519247219846</v>
      </c>
      <c r="Y24" s="46">
        <f t="shared" si="65"/>
        <v>0.142529147982063</v>
      </c>
      <c r="Z24" s="46">
        <f t="shared" si="65"/>
        <v>0.145280515542077</v>
      </c>
      <c r="AA24" s="46">
        <f t="shared" si="65"/>
        <v>0.150400895021443</v>
      </c>
      <c r="AB24" s="47">
        <f t="shared" si="65"/>
        <v>0.119578630549285</v>
      </c>
      <c r="AC24" s="47">
        <f t="shared" si="65"/>
        <v>0.140537672444287</v>
      </c>
      <c r="AD24" s="36"/>
      <c r="AE24" s="36"/>
      <c r="AF24" s="46">
        <f t="shared" ref="AF24:AJ24" si="66" xml:space="preserve">W24</f>
        <v>0.142024591544551</v>
      </c>
      <c r="AG24" s="46">
        <f t="shared" si="66"/>
        <v>0.137519247219846</v>
      </c>
      <c r="AH24" s="46">
        <f t="shared" si="66"/>
        <v>0.142529147982063</v>
      </c>
      <c r="AI24" s="46">
        <f t="shared" si="66"/>
        <v>0.145280515542077</v>
      </c>
      <c r="AJ24" s="46">
        <f t="shared" si="66"/>
        <v>0.150400895021443</v>
      </c>
      <c r="AK24" s="48">
        <f t="shared" ref="AK24:AK38" si="67" xml:space="preserve">AB24*1.15</f>
        <v>0.137515425131678</v>
      </c>
      <c r="AL24" s="48">
        <f t="shared" ref="AL24:AL38" si="68" xml:space="preserve">AC24*1.15</f>
        <v>0.16161832331093</v>
      </c>
      <c r="AM24" s="36"/>
      <c r="AN24" s="36"/>
      <c r="AO24" s="46">
        <f t="shared" ref="AO24:AS24" si="69" xml:space="preserve">W24</f>
        <v>0.142024591544551</v>
      </c>
      <c r="AP24" s="46">
        <f t="shared" si="69"/>
        <v>0.137519247219846</v>
      </c>
      <c r="AQ24" s="46">
        <f t="shared" si="69"/>
        <v>0.142529147982063</v>
      </c>
      <c r="AR24" s="46">
        <f t="shared" si="69"/>
        <v>0.145280515542077</v>
      </c>
      <c r="AS24" s="46">
        <f t="shared" si="69"/>
        <v>0.150400895021443</v>
      </c>
      <c r="AT24" s="48">
        <f t="shared" ref="AT24:AT38" si="70" xml:space="preserve">AB24*0.85</f>
        <v>0.101641835966892</v>
      </c>
      <c r="AU24" s="48">
        <f t="shared" ref="AU24:AU38" si="71" xml:space="preserve">AC24*0.85</f>
        <v>0.119457021577644</v>
      </c>
      <c r="AZ24" s="35" t="s">
        <v>405</v>
      </c>
      <c r="BA24" s="43" t="s">
        <v>406</v>
      </c>
      <c r="BB24" s="44">
        <v>889.8</v>
      </c>
      <c r="BC24" s="46">
        <v>843.2</v>
      </c>
      <c r="BD24" s="46">
        <v>803.8</v>
      </c>
      <c r="BE24" s="46">
        <v>794.6</v>
      </c>
      <c r="BF24" s="46">
        <v>766.5</v>
      </c>
      <c r="BG24" s="46">
        <v>806.6</v>
      </c>
      <c r="BH24" s="46">
        <v>794.6</v>
      </c>
      <c r="BI24" s="46">
        <v>794.6</v>
      </c>
      <c r="BJ24" s="36"/>
      <c r="BK24" s="36"/>
      <c r="BL24" s="45"/>
      <c r="BM24" s="45"/>
      <c r="BN24" s="45"/>
      <c r="BO24" s="45"/>
    </row>
    <row r="25" ht="15.5" spans="1:67">
      <c r="A25" s="35"/>
      <c r="B25" s="43" t="s">
        <v>407</v>
      </c>
      <c r="C25" s="44">
        <f t="shared" ref="C25:J25" si="72" xml:space="preserve">BB25/1000</f>
        <v>0.8124</v>
      </c>
      <c r="D25" s="44">
        <f t="shared" si="72"/>
        <v>0.7746</v>
      </c>
      <c r="E25" s="44">
        <f t="shared" si="72"/>
        <v>0.739</v>
      </c>
      <c r="F25" s="44">
        <f t="shared" si="72"/>
        <v>0.7307</v>
      </c>
      <c r="G25" s="44">
        <f t="shared" si="72"/>
        <v>0.7045</v>
      </c>
      <c r="H25" s="44">
        <f t="shared" si="72"/>
        <v>0.7424</v>
      </c>
      <c r="I25" s="44">
        <f t="shared" si="72"/>
        <v>0.7307</v>
      </c>
      <c r="J25" s="44">
        <f t="shared" si="72"/>
        <v>0.7307</v>
      </c>
      <c r="K25" s="36"/>
      <c r="L25" s="36"/>
      <c r="M25" s="49">
        <v>5.937</v>
      </c>
      <c r="N25" s="49">
        <v>5.845</v>
      </c>
      <c r="O25" s="49">
        <v>5.575</v>
      </c>
      <c r="P25" s="49">
        <v>5.276</v>
      </c>
      <c r="Q25" s="49">
        <v>5.363</v>
      </c>
      <c r="R25" s="49">
        <v>6.645</v>
      </c>
      <c r="S25" s="49">
        <v>5.654</v>
      </c>
      <c r="T25" s="49"/>
      <c r="U25" s="35"/>
      <c r="V25" s="43" t="s">
        <v>407</v>
      </c>
      <c r="W25" s="46">
        <f t="shared" ref="W25:AC25" si="73" xml:space="preserve">D25/M25</f>
        <v>0.130469934310258</v>
      </c>
      <c r="X25" s="46">
        <f t="shared" si="73"/>
        <v>0.126432848588537</v>
      </c>
      <c r="Y25" s="46">
        <f t="shared" si="73"/>
        <v>0.131067264573991</v>
      </c>
      <c r="Z25" s="46">
        <f t="shared" si="73"/>
        <v>0.133529188779378</v>
      </c>
      <c r="AA25" s="46">
        <f t="shared" si="73"/>
        <v>0.138429983218348</v>
      </c>
      <c r="AB25" s="47">
        <f t="shared" si="73"/>
        <v>0.109962377727615</v>
      </c>
      <c r="AC25" s="47">
        <f t="shared" si="73"/>
        <v>0.129235939158118</v>
      </c>
      <c r="AD25" s="36"/>
      <c r="AE25" s="36"/>
      <c r="AF25" s="46">
        <f t="shared" ref="AF25:AJ25" si="74" xml:space="preserve">W25</f>
        <v>0.130469934310258</v>
      </c>
      <c r="AG25" s="46">
        <f t="shared" si="74"/>
        <v>0.126432848588537</v>
      </c>
      <c r="AH25" s="46">
        <f t="shared" si="74"/>
        <v>0.131067264573991</v>
      </c>
      <c r="AI25" s="46">
        <f t="shared" si="74"/>
        <v>0.133529188779378</v>
      </c>
      <c r="AJ25" s="46">
        <f t="shared" si="74"/>
        <v>0.138429983218348</v>
      </c>
      <c r="AK25" s="48">
        <f t="shared" si="67"/>
        <v>0.126456734386757</v>
      </c>
      <c r="AL25" s="48">
        <f t="shared" si="68"/>
        <v>0.148621330031836</v>
      </c>
      <c r="AM25" s="36"/>
      <c r="AN25" s="36"/>
      <c r="AO25" s="46">
        <f t="shared" ref="AO25:AS25" si="75" xml:space="preserve">W25</f>
        <v>0.130469934310258</v>
      </c>
      <c r="AP25" s="46">
        <f t="shared" si="75"/>
        <v>0.126432848588537</v>
      </c>
      <c r="AQ25" s="46">
        <f t="shared" si="75"/>
        <v>0.131067264573991</v>
      </c>
      <c r="AR25" s="46">
        <f t="shared" si="75"/>
        <v>0.133529188779378</v>
      </c>
      <c r="AS25" s="46">
        <f t="shared" si="75"/>
        <v>0.138429983218348</v>
      </c>
      <c r="AT25" s="48">
        <f t="shared" si="70"/>
        <v>0.0934680210684725</v>
      </c>
      <c r="AU25" s="48">
        <f t="shared" si="71"/>
        <v>0.1098505482844</v>
      </c>
      <c r="AZ25" s="35"/>
      <c r="BA25" s="43" t="s">
        <v>407</v>
      </c>
      <c r="BB25" s="44">
        <v>812.4</v>
      </c>
      <c r="BC25" s="46">
        <v>774.6</v>
      </c>
      <c r="BD25" s="46">
        <v>739</v>
      </c>
      <c r="BE25" s="46">
        <v>730.7</v>
      </c>
      <c r="BF25" s="46">
        <v>704.5</v>
      </c>
      <c r="BG25" s="46">
        <v>742.4</v>
      </c>
      <c r="BH25" s="46">
        <v>730.7</v>
      </c>
      <c r="BI25" s="46">
        <v>730.7</v>
      </c>
      <c r="BJ25" s="36"/>
      <c r="BK25" s="36"/>
      <c r="BL25" s="49"/>
      <c r="BM25" s="49"/>
      <c r="BN25" s="49"/>
      <c r="BO25" s="49"/>
    </row>
    <row r="26" ht="15.5" spans="1:67">
      <c r="A26" s="35"/>
      <c r="B26" s="43" t="s">
        <v>408</v>
      </c>
      <c r="C26" s="44">
        <f t="shared" ref="C26:J26" si="76" xml:space="preserve">BB26/1000</f>
        <v>0.1699</v>
      </c>
      <c r="D26" s="44">
        <f t="shared" si="76"/>
        <v>0.1497</v>
      </c>
      <c r="E26" s="44">
        <f t="shared" si="76"/>
        <v>0.1418</v>
      </c>
      <c r="F26" s="44">
        <f t="shared" si="76"/>
        <v>0.1399</v>
      </c>
      <c r="G26" s="44">
        <f t="shared" si="76"/>
        <v>0.1359</v>
      </c>
      <c r="H26" s="44">
        <f t="shared" si="76"/>
        <v>0.1408</v>
      </c>
      <c r="I26" s="44">
        <f t="shared" si="76"/>
        <v>0.1399</v>
      </c>
      <c r="J26" s="44">
        <f t="shared" si="76"/>
        <v>0.1399</v>
      </c>
      <c r="K26" s="36"/>
      <c r="L26" s="36"/>
      <c r="M26" s="49">
        <v>5.937</v>
      </c>
      <c r="N26" s="49">
        <v>5.845</v>
      </c>
      <c r="O26" s="49">
        <v>5.575</v>
      </c>
      <c r="P26" s="49">
        <v>5.276</v>
      </c>
      <c r="Q26" s="49">
        <v>5.363</v>
      </c>
      <c r="R26" s="49">
        <v>6.645</v>
      </c>
      <c r="S26" s="49">
        <v>5.654</v>
      </c>
      <c r="T26" s="49"/>
      <c r="U26" s="35"/>
      <c r="V26" s="43" t="s">
        <v>408</v>
      </c>
      <c r="W26" s="46">
        <f t="shared" ref="W26:AC26" si="77" xml:space="preserve">D26/M26</f>
        <v>0.0252147549267307</v>
      </c>
      <c r="X26" s="46">
        <f t="shared" si="77"/>
        <v>0.0242600513259196</v>
      </c>
      <c r="Y26" s="46">
        <f t="shared" si="77"/>
        <v>0.0250941704035874</v>
      </c>
      <c r="Z26" s="46">
        <f t="shared" si="77"/>
        <v>0.0257581501137225</v>
      </c>
      <c r="AA26" s="46">
        <f t="shared" si="77"/>
        <v>0.0262539623345143</v>
      </c>
      <c r="AB26" s="47">
        <f t="shared" si="77"/>
        <v>0.0210534236267871</v>
      </c>
      <c r="AC26" s="47">
        <f t="shared" si="77"/>
        <v>0.0247435443933498</v>
      </c>
      <c r="AD26" s="36"/>
      <c r="AE26" s="36"/>
      <c r="AF26" s="46">
        <f t="shared" ref="AF26:AJ26" si="78" xml:space="preserve">W26</f>
        <v>0.0252147549267307</v>
      </c>
      <c r="AG26" s="46">
        <f t="shared" si="78"/>
        <v>0.0242600513259196</v>
      </c>
      <c r="AH26" s="46">
        <f t="shared" si="78"/>
        <v>0.0250941704035874</v>
      </c>
      <c r="AI26" s="46">
        <f t="shared" si="78"/>
        <v>0.0257581501137225</v>
      </c>
      <c r="AJ26" s="46">
        <f t="shared" si="78"/>
        <v>0.0262539623345143</v>
      </c>
      <c r="AK26" s="48">
        <f t="shared" si="67"/>
        <v>0.0242114371708051</v>
      </c>
      <c r="AL26" s="48">
        <f t="shared" si="68"/>
        <v>0.0284550760523523</v>
      </c>
      <c r="AM26" s="36"/>
      <c r="AN26" s="36"/>
      <c r="AO26" s="46">
        <f t="shared" ref="AO26:AS26" si="79" xml:space="preserve">W26</f>
        <v>0.0252147549267307</v>
      </c>
      <c r="AP26" s="46">
        <f t="shared" si="79"/>
        <v>0.0242600513259196</v>
      </c>
      <c r="AQ26" s="46">
        <f t="shared" si="79"/>
        <v>0.0250941704035874</v>
      </c>
      <c r="AR26" s="46">
        <f t="shared" si="79"/>
        <v>0.0257581501137225</v>
      </c>
      <c r="AS26" s="46">
        <f t="shared" si="79"/>
        <v>0.0262539623345143</v>
      </c>
      <c r="AT26" s="48">
        <f t="shared" si="70"/>
        <v>0.017895410082769</v>
      </c>
      <c r="AU26" s="48">
        <f t="shared" si="71"/>
        <v>0.0210320127343474</v>
      </c>
      <c r="AZ26" s="35"/>
      <c r="BA26" s="43" t="s">
        <v>408</v>
      </c>
      <c r="BB26" s="44">
        <v>169.9</v>
      </c>
      <c r="BC26" s="46">
        <v>149.7</v>
      </c>
      <c r="BD26" s="46">
        <v>141.8</v>
      </c>
      <c r="BE26" s="46">
        <v>139.9</v>
      </c>
      <c r="BF26" s="46">
        <v>135.9</v>
      </c>
      <c r="BG26" s="46">
        <v>140.8</v>
      </c>
      <c r="BH26" s="46">
        <v>139.9</v>
      </c>
      <c r="BI26" s="46">
        <v>139.9</v>
      </c>
      <c r="BJ26" s="36"/>
      <c r="BK26" s="36"/>
      <c r="BL26" s="49"/>
      <c r="BM26" s="49"/>
      <c r="BN26" s="49"/>
      <c r="BO26" s="49"/>
    </row>
    <row r="27" ht="15.5" spans="1:67">
      <c r="A27" s="35"/>
      <c r="B27" s="43" t="s">
        <v>409</v>
      </c>
      <c r="C27" s="44">
        <f t="shared" ref="C27:J27" si="80" xml:space="preserve">BB27/1000</f>
        <v>0.5978</v>
      </c>
      <c r="D27" s="44">
        <f t="shared" si="80"/>
        <v>0.5807</v>
      </c>
      <c r="E27" s="44">
        <f t="shared" si="80"/>
        <v>0.554</v>
      </c>
      <c r="F27" s="44">
        <f t="shared" si="80"/>
        <v>0.5478</v>
      </c>
      <c r="G27" s="44">
        <f t="shared" si="80"/>
        <v>0.526</v>
      </c>
      <c r="H27" s="44">
        <f t="shared" si="80"/>
        <v>0.5575</v>
      </c>
      <c r="I27" s="44">
        <f t="shared" si="80"/>
        <v>0.5478</v>
      </c>
      <c r="J27" s="44">
        <f t="shared" si="80"/>
        <v>0.5478</v>
      </c>
      <c r="K27" s="36"/>
      <c r="L27" s="36"/>
      <c r="M27" s="49">
        <v>5.937</v>
      </c>
      <c r="N27" s="49">
        <v>5.845</v>
      </c>
      <c r="O27" s="49">
        <v>5.575</v>
      </c>
      <c r="P27" s="49">
        <v>5.276</v>
      </c>
      <c r="Q27" s="49">
        <v>5.363</v>
      </c>
      <c r="R27" s="49">
        <v>6.645</v>
      </c>
      <c r="S27" s="49">
        <v>5.654</v>
      </c>
      <c r="T27" s="49"/>
      <c r="U27" s="35"/>
      <c r="V27" s="43" t="s">
        <v>409</v>
      </c>
      <c r="W27" s="46">
        <f t="shared" ref="W27:AC27" si="81" xml:space="preserve">D27/M27</f>
        <v>0.0978103419235304</v>
      </c>
      <c r="X27" s="46">
        <f t="shared" si="81"/>
        <v>0.0947818648417451</v>
      </c>
      <c r="Y27" s="46">
        <f t="shared" si="81"/>
        <v>0.0982600896860986</v>
      </c>
      <c r="Z27" s="46">
        <f t="shared" si="81"/>
        <v>0.099696739954511</v>
      </c>
      <c r="AA27" s="46">
        <f t="shared" si="81"/>
        <v>0.103953011374231</v>
      </c>
      <c r="AB27" s="47">
        <f t="shared" si="81"/>
        <v>0.0824379232505643</v>
      </c>
      <c r="AC27" s="47">
        <f t="shared" si="81"/>
        <v>0.0968871595330739</v>
      </c>
      <c r="AD27" s="36"/>
      <c r="AE27" s="36"/>
      <c r="AF27" s="46">
        <f t="shared" ref="AF27:AJ27" si="82" xml:space="preserve">W27</f>
        <v>0.0978103419235304</v>
      </c>
      <c r="AG27" s="46">
        <f t="shared" si="82"/>
        <v>0.0947818648417451</v>
      </c>
      <c r="AH27" s="46">
        <f t="shared" si="82"/>
        <v>0.0982600896860986</v>
      </c>
      <c r="AI27" s="46">
        <f t="shared" si="82"/>
        <v>0.099696739954511</v>
      </c>
      <c r="AJ27" s="46">
        <f t="shared" si="82"/>
        <v>0.103953011374231</v>
      </c>
      <c r="AK27" s="48">
        <f t="shared" si="67"/>
        <v>0.094803611738149</v>
      </c>
      <c r="AL27" s="48">
        <f t="shared" si="68"/>
        <v>0.111420233463035</v>
      </c>
      <c r="AM27" s="36"/>
      <c r="AN27" s="36"/>
      <c r="AO27" s="46">
        <f t="shared" ref="AO27:AS27" si="83" xml:space="preserve">W27</f>
        <v>0.0978103419235304</v>
      </c>
      <c r="AP27" s="46">
        <f t="shared" si="83"/>
        <v>0.0947818648417451</v>
      </c>
      <c r="AQ27" s="46">
        <f t="shared" si="83"/>
        <v>0.0982600896860986</v>
      </c>
      <c r="AR27" s="46">
        <f t="shared" si="83"/>
        <v>0.099696739954511</v>
      </c>
      <c r="AS27" s="46">
        <f t="shared" si="83"/>
        <v>0.103953011374231</v>
      </c>
      <c r="AT27" s="48">
        <f t="shared" si="70"/>
        <v>0.0700722347629797</v>
      </c>
      <c r="AU27" s="48">
        <f t="shared" si="71"/>
        <v>0.0823540856031128</v>
      </c>
      <c r="AZ27" s="35"/>
      <c r="BA27" s="43" t="s">
        <v>409</v>
      </c>
      <c r="BB27" s="44">
        <v>597.8</v>
      </c>
      <c r="BC27" s="46">
        <v>580.7</v>
      </c>
      <c r="BD27" s="46">
        <v>554</v>
      </c>
      <c r="BE27" s="46">
        <v>547.8</v>
      </c>
      <c r="BF27" s="46">
        <v>526</v>
      </c>
      <c r="BG27" s="46">
        <v>557.5</v>
      </c>
      <c r="BH27" s="46">
        <v>547.8</v>
      </c>
      <c r="BI27" s="46">
        <v>547.8</v>
      </c>
      <c r="BJ27" s="36"/>
      <c r="BK27" s="36"/>
      <c r="BL27" s="49"/>
      <c r="BM27" s="49"/>
      <c r="BN27" s="49"/>
      <c r="BO27" s="49"/>
    </row>
    <row r="28" ht="15.5" spans="1:67">
      <c r="A28" s="35"/>
      <c r="B28" s="43" t="s">
        <v>410</v>
      </c>
      <c r="C28" s="44">
        <f t="shared" ref="C28:J28" si="84" xml:space="preserve">BB28/1000</f>
        <v>0.085</v>
      </c>
      <c r="D28" s="44">
        <f t="shared" si="84"/>
        <v>0.0786</v>
      </c>
      <c r="E28" s="44">
        <f t="shared" si="84"/>
        <v>0.0763</v>
      </c>
      <c r="F28" s="44">
        <f t="shared" si="84"/>
        <v>0.0759</v>
      </c>
      <c r="G28" s="44">
        <f t="shared" si="84"/>
        <v>0.0737</v>
      </c>
      <c r="H28" s="44">
        <f t="shared" si="84"/>
        <v>0.076</v>
      </c>
      <c r="I28" s="44">
        <f t="shared" si="84"/>
        <v>0.0759</v>
      </c>
      <c r="J28" s="44">
        <f t="shared" si="84"/>
        <v>0.0759</v>
      </c>
      <c r="K28" s="36"/>
      <c r="L28" s="36"/>
      <c r="M28" s="49">
        <v>5.937</v>
      </c>
      <c r="N28" s="49">
        <v>5.845</v>
      </c>
      <c r="O28" s="49">
        <v>5.575</v>
      </c>
      <c r="P28" s="49">
        <v>5.276</v>
      </c>
      <c r="Q28" s="49">
        <v>5.363</v>
      </c>
      <c r="R28" s="49">
        <v>6.645</v>
      </c>
      <c r="S28" s="49">
        <v>5.654</v>
      </c>
      <c r="T28" s="49"/>
      <c r="U28" s="35"/>
      <c r="V28" s="43" t="s">
        <v>410</v>
      </c>
      <c r="W28" s="46">
        <f t="shared" ref="W28:AC28" si="85" xml:space="preserve">D28/M28</f>
        <v>0.0132390096008085</v>
      </c>
      <c r="X28" s="46">
        <f t="shared" si="85"/>
        <v>0.0130538922155689</v>
      </c>
      <c r="Y28" s="46">
        <f t="shared" si="85"/>
        <v>0.0136143497757848</v>
      </c>
      <c r="Z28" s="46">
        <f t="shared" si="85"/>
        <v>0.0139689158453374</v>
      </c>
      <c r="AA28" s="46">
        <f t="shared" si="85"/>
        <v>0.0141711728510162</v>
      </c>
      <c r="AB28" s="47">
        <f t="shared" si="85"/>
        <v>0.0114221218961625</v>
      </c>
      <c r="AC28" s="47">
        <f t="shared" si="85"/>
        <v>0.0134241245136187</v>
      </c>
      <c r="AD28" s="36"/>
      <c r="AE28" s="36"/>
      <c r="AF28" s="46">
        <f t="shared" ref="AF28:AJ28" si="86" xml:space="preserve">W28</f>
        <v>0.0132390096008085</v>
      </c>
      <c r="AG28" s="46">
        <f t="shared" si="86"/>
        <v>0.0130538922155689</v>
      </c>
      <c r="AH28" s="46">
        <f t="shared" si="86"/>
        <v>0.0136143497757848</v>
      </c>
      <c r="AI28" s="46">
        <f t="shared" si="86"/>
        <v>0.0139689158453374</v>
      </c>
      <c r="AJ28" s="46">
        <f t="shared" si="86"/>
        <v>0.0141711728510162</v>
      </c>
      <c r="AK28" s="48">
        <f t="shared" si="67"/>
        <v>0.0131354401805869</v>
      </c>
      <c r="AL28" s="48">
        <f t="shared" si="68"/>
        <v>0.0154377431906615</v>
      </c>
      <c r="AM28" s="36"/>
      <c r="AN28" s="36"/>
      <c r="AO28" s="46">
        <f t="shared" ref="AO28:AS28" si="87" xml:space="preserve">W28</f>
        <v>0.0132390096008085</v>
      </c>
      <c r="AP28" s="46">
        <f t="shared" si="87"/>
        <v>0.0130538922155689</v>
      </c>
      <c r="AQ28" s="46">
        <f t="shared" si="87"/>
        <v>0.0136143497757848</v>
      </c>
      <c r="AR28" s="46">
        <f t="shared" si="87"/>
        <v>0.0139689158453374</v>
      </c>
      <c r="AS28" s="46">
        <f t="shared" si="87"/>
        <v>0.0141711728510162</v>
      </c>
      <c r="AT28" s="48">
        <f t="shared" si="70"/>
        <v>0.00970880361173815</v>
      </c>
      <c r="AU28" s="48">
        <f t="shared" si="71"/>
        <v>0.0114105058365759</v>
      </c>
      <c r="AZ28" s="35"/>
      <c r="BA28" s="43" t="s">
        <v>410</v>
      </c>
      <c r="BB28" s="44">
        <v>85</v>
      </c>
      <c r="BC28" s="46">
        <v>78.6</v>
      </c>
      <c r="BD28" s="46">
        <v>76.3</v>
      </c>
      <c r="BE28" s="46">
        <v>75.9</v>
      </c>
      <c r="BF28" s="46">
        <v>73.7</v>
      </c>
      <c r="BG28" s="46">
        <v>76</v>
      </c>
      <c r="BH28" s="46">
        <v>75.9</v>
      </c>
      <c r="BI28" s="46">
        <v>75.9</v>
      </c>
      <c r="BJ28" s="36"/>
      <c r="BK28" s="36"/>
      <c r="BL28" s="49"/>
      <c r="BM28" s="49"/>
      <c r="BN28" s="49"/>
      <c r="BO28" s="49"/>
    </row>
    <row r="29" ht="15.5" spans="1:67">
      <c r="A29" s="35" t="s">
        <v>301</v>
      </c>
      <c r="B29" s="43" t="s">
        <v>406</v>
      </c>
      <c r="C29" s="44">
        <f t="shared" ref="C29:J29" si="88" xml:space="preserve">BB29/1000</f>
        <v>0.9068</v>
      </c>
      <c r="D29" s="44">
        <f t="shared" si="88"/>
        <v>0.8586</v>
      </c>
      <c r="E29" s="44">
        <f t="shared" si="88"/>
        <v>0.8184</v>
      </c>
      <c r="F29" s="44">
        <f t="shared" si="88"/>
        <v>0.8091</v>
      </c>
      <c r="G29" s="44">
        <f t="shared" si="88"/>
        <v>0.7811</v>
      </c>
      <c r="H29" s="44">
        <f t="shared" si="88"/>
        <v>0.8217</v>
      </c>
      <c r="I29" s="44">
        <f t="shared" si="88"/>
        <v>0.8091</v>
      </c>
      <c r="J29" s="44">
        <f t="shared" si="88"/>
        <v>0.8091</v>
      </c>
      <c r="K29" s="36"/>
      <c r="L29" s="36"/>
      <c r="M29" s="49">
        <v>5.937</v>
      </c>
      <c r="N29" s="49">
        <v>5.845</v>
      </c>
      <c r="O29" s="49">
        <v>5.575</v>
      </c>
      <c r="P29" s="49">
        <v>5.276</v>
      </c>
      <c r="Q29" s="49">
        <v>5.363</v>
      </c>
      <c r="R29" s="49">
        <v>6.645</v>
      </c>
      <c r="S29" s="49">
        <v>5.654</v>
      </c>
      <c r="T29" s="49"/>
      <c r="U29" s="35" t="s">
        <v>301</v>
      </c>
      <c r="V29" s="43" t="s">
        <v>406</v>
      </c>
      <c r="W29" s="46">
        <f t="shared" ref="W29:AC29" si="89" xml:space="preserve">D29/M29</f>
        <v>0.144618494188984</v>
      </c>
      <c r="X29" s="46">
        <f t="shared" si="89"/>
        <v>0.140017108639863</v>
      </c>
      <c r="Y29" s="46">
        <f t="shared" si="89"/>
        <v>0.145130044843049</v>
      </c>
      <c r="Z29" s="46">
        <f t="shared" si="89"/>
        <v>0.148047763457165</v>
      </c>
      <c r="AA29" s="46">
        <f t="shared" si="89"/>
        <v>0.153216483311579</v>
      </c>
      <c r="AB29" s="47">
        <f t="shared" si="89"/>
        <v>0.12176072234763</v>
      </c>
      <c r="AC29" s="47">
        <f t="shared" si="89"/>
        <v>0.143102228510789</v>
      </c>
      <c r="AD29" s="36"/>
      <c r="AE29" s="36"/>
      <c r="AF29" s="46">
        <f t="shared" ref="AF29:AJ29" si="90" xml:space="preserve">W29</f>
        <v>0.144618494188984</v>
      </c>
      <c r="AG29" s="46">
        <f t="shared" si="90"/>
        <v>0.140017108639863</v>
      </c>
      <c r="AH29" s="46">
        <f t="shared" si="90"/>
        <v>0.145130044843049</v>
      </c>
      <c r="AI29" s="46">
        <f t="shared" si="90"/>
        <v>0.148047763457165</v>
      </c>
      <c r="AJ29" s="46">
        <f t="shared" si="90"/>
        <v>0.153216483311579</v>
      </c>
      <c r="AK29" s="48">
        <f t="shared" si="67"/>
        <v>0.140024830699774</v>
      </c>
      <c r="AL29" s="48">
        <f t="shared" si="68"/>
        <v>0.164567562787407</v>
      </c>
      <c r="AM29" s="36"/>
      <c r="AN29" s="36"/>
      <c r="AO29" s="46">
        <f t="shared" ref="AO29:AS29" si="91" xml:space="preserve">W29</f>
        <v>0.144618494188984</v>
      </c>
      <c r="AP29" s="46">
        <f t="shared" si="91"/>
        <v>0.140017108639863</v>
      </c>
      <c r="AQ29" s="46">
        <f t="shared" si="91"/>
        <v>0.145130044843049</v>
      </c>
      <c r="AR29" s="46">
        <f t="shared" si="91"/>
        <v>0.148047763457165</v>
      </c>
      <c r="AS29" s="46">
        <f t="shared" si="91"/>
        <v>0.153216483311579</v>
      </c>
      <c r="AT29" s="48">
        <f t="shared" si="70"/>
        <v>0.103496613995485</v>
      </c>
      <c r="AU29" s="48">
        <f t="shared" si="71"/>
        <v>0.12163689423417</v>
      </c>
      <c r="AZ29" s="35" t="s">
        <v>301</v>
      </c>
      <c r="BA29" s="43" t="s">
        <v>406</v>
      </c>
      <c r="BB29" s="44">
        <v>906.8</v>
      </c>
      <c r="BC29" s="46">
        <v>858.6</v>
      </c>
      <c r="BD29" s="46">
        <v>818.4</v>
      </c>
      <c r="BE29" s="46">
        <v>809.1</v>
      </c>
      <c r="BF29" s="46">
        <v>781.1</v>
      </c>
      <c r="BG29" s="46">
        <v>821.7</v>
      </c>
      <c r="BH29" s="46">
        <v>809.1</v>
      </c>
      <c r="BI29" s="46">
        <v>809.1</v>
      </c>
      <c r="BJ29" s="36"/>
      <c r="BK29" s="36"/>
      <c r="BL29" s="49"/>
      <c r="BM29" s="49"/>
      <c r="BN29" s="49"/>
      <c r="BO29" s="49"/>
    </row>
    <row r="30" ht="15.5" spans="1:67">
      <c r="A30" s="35"/>
      <c r="B30" s="43" t="s">
        <v>407</v>
      </c>
      <c r="C30" s="44">
        <f t="shared" ref="C30:J30" si="92" xml:space="preserve">BB30/1000</f>
        <v>0.8303</v>
      </c>
      <c r="D30" s="44">
        <f t="shared" si="92"/>
        <v>0.7909</v>
      </c>
      <c r="E30" s="44">
        <f t="shared" si="92"/>
        <v>0.7545</v>
      </c>
      <c r="F30" s="44">
        <f t="shared" si="92"/>
        <v>0.746</v>
      </c>
      <c r="G30" s="44">
        <f t="shared" si="92"/>
        <v>0.7199</v>
      </c>
      <c r="H30" s="44">
        <f t="shared" si="92"/>
        <v>0.7584</v>
      </c>
      <c r="I30" s="44">
        <f t="shared" si="92"/>
        <v>0.746</v>
      </c>
      <c r="J30" s="44">
        <f t="shared" si="92"/>
        <v>0.746</v>
      </c>
      <c r="K30" s="36"/>
      <c r="L30" s="36"/>
      <c r="M30" s="49">
        <v>5.937</v>
      </c>
      <c r="N30" s="49">
        <v>5.845</v>
      </c>
      <c r="O30" s="49">
        <v>5.575</v>
      </c>
      <c r="P30" s="49">
        <v>5.276</v>
      </c>
      <c r="Q30" s="49">
        <v>5.363</v>
      </c>
      <c r="R30" s="49">
        <v>6.645</v>
      </c>
      <c r="S30" s="49">
        <v>5.654</v>
      </c>
      <c r="T30" s="49"/>
      <c r="U30" s="35"/>
      <c r="V30" s="43" t="s">
        <v>407</v>
      </c>
      <c r="W30" s="46">
        <f t="shared" ref="W30:AC30" si="93" xml:space="preserve">D30/M30</f>
        <v>0.133215428667677</v>
      </c>
      <c r="X30" s="46">
        <f t="shared" si="93"/>
        <v>0.129084687767322</v>
      </c>
      <c r="Y30" s="46">
        <f t="shared" si="93"/>
        <v>0.133811659192825</v>
      </c>
      <c r="Z30" s="46">
        <f t="shared" si="93"/>
        <v>0.13644806671721</v>
      </c>
      <c r="AA30" s="46">
        <f t="shared" si="93"/>
        <v>0.141413388029088</v>
      </c>
      <c r="AB30" s="47">
        <f t="shared" si="93"/>
        <v>0.112264860797592</v>
      </c>
      <c r="AC30" s="47">
        <f t="shared" si="93"/>
        <v>0.131941987973116</v>
      </c>
      <c r="AD30" s="36"/>
      <c r="AE30" s="36"/>
      <c r="AF30" s="46">
        <f t="shared" ref="AF30:AJ30" si="94" xml:space="preserve">W30</f>
        <v>0.133215428667677</v>
      </c>
      <c r="AG30" s="46">
        <f t="shared" si="94"/>
        <v>0.129084687767322</v>
      </c>
      <c r="AH30" s="46">
        <f t="shared" si="94"/>
        <v>0.133811659192825</v>
      </c>
      <c r="AI30" s="46">
        <f t="shared" si="94"/>
        <v>0.13644806671721</v>
      </c>
      <c r="AJ30" s="46">
        <f t="shared" si="94"/>
        <v>0.141413388029088</v>
      </c>
      <c r="AK30" s="48">
        <f t="shared" si="67"/>
        <v>0.129104589917231</v>
      </c>
      <c r="AL30" s="48">
        <f t="shared" si="68"/>
        <v>0.151733286169084</v>
      </c>
      <c r="AM30" s="36"/>
      <c r="AN30" s="36"/>
      <c r="AO30" s="46">
        <f t="shared" ref="AO30:AS30" si="95" xml:space="preserve">W30</f>
        <v>0.133215428667677</v>
      </c>
      <c r="AP30" s="46">
        <f t="shared" si="95"/>
        <v>0.129084687767322</v>
      </c>
      <c r="AQ30" s="46">
        <f t="shared" si="95"/>
        <v>0.133811659192825</v>
      </c>
      <c r="AR30" s="46">
        <f t="shared" si="95"/>
        <v>0.13644806671721</v>
      </c>
      <c r="AS30" s="46">
        <f t="shared" si="95"/>
        <v>0.141413388029088</v>
      </c>
      <c r="AT30" s="48">
        <f t="shared" si="70"/>
        <v>0.0954251316779534</v>
      </c>
      <c r="AU30" s="48">
        <f t="shared" si="71"/>
        <v>0.112150689777149</v>
      </c>
      <c r="AZ30" s="35"/>
      <c r="BA30" s="43" t="s">
        <v>407</v>
      </c>
      <c r="BB30" s="44">
        <v>830.3</v>
      </c>
      <c r="BC30" s="46">
        <v>790.9</v>
      </c>
      <c r="BD30" s="46">
        <v>754.5</v>
      </c>
      <c r="BE30" s="46">
        <v>746</v>
      </c>
      <c r="BF30" s="46">
        <v>719.9</v>
      </c>
      <c r="BG30" s="46">
        <v>758.4</v>
      </c>
      <c r="BH30" s="46">
        <v>746</v>
      </c>
      <c r="BI30" s="46">
        <v>746</v>
      </c>
      <c r="BJ30" s="36"/>
      <c r="BK30" s="36"/>
      <c r="BL30" s="49"/>
      <c r="BM30" s="49"/>
      <c r="BN30" s="49"/>
      <c r="BO30" s="49"/>
    </row>
    <row r="31" ht="15.5" spans="1:67">
      <c r="A31" s="35"/>
      <c r="B31" s="43" t="s">
        <v>408</v>
      </c>
      <c r="C31" s="44">
        <f t="shared" ref="C31:J31" si="96" xml:space="preserve">BB31/1000</f>
        <v>0.2079</v>
      </c>
      <c r="D31" s="44">
        <f t="shared" si="96"/>
        <v>0.1842</v>
      </c>
      <c r="E31" s="44">
        <f t="shared" si="96"/>
        <v>0.1746</v>
      </c>
      <c r="F31" s="44">
        <f t="shared" si="96"/>
        <v>0.1724</v>
      </c>
      <c r="G31" s="44">
        <f t="shared" si="96"/>
        <v>0.1687</v>
      </c>
      <c r="H31" s="44">
        <f t="shared" si="96"/>
        <v>0.1747</v>
      </c>
      <c r="I31" s="44">
        <f t="shared" si="96"/>
        <v>0.1724</v>
      </c>
      <c r="J31" s="44">
        <f t="shared" si="96"/>
        <v>0.1724</v>
      </c>
      <c r="K31" s="36"/>
      <c r="L31" s="36"/>
      <c r="M31" s="49">
        <v>5.937</v>
      </c>
      <c r="N31" s="49">
        <v>5.845</v>
      </c>
      <c r="O31" s="49">
        <v>5.575</v>
      </c>
      <c r="P31" s="49">
        <v>5.276</v>
      </c>
      <c r="Q31" s="49">
        <v>5.363</v>
      </c>
      <c r="R31" s="49">
        <v>6.645</v>
      </c>
      <c r="S31" s="49">
        <v>5.654</v>
      </c>
      <c r="T31" s="49"/>
      <c r="U31" s="35"/>
      <c r="V31" s="43" t="s">
        <v>408</v>
      </c>
      <c r="W31" s="46">
        <f t="shared" ref="W31:AC31" si="97" xml:space="preserve">D31/M31</f>
        <v>0.0310257705912077</v>
      </c>
      <c r="X31" s="46">
        <f t="shared" si="97"/>
        <v>0.0298716852010265</v>
      </c>
      <c r="Y31" s="46">
        <f t="shared" si="97"/>
        <v>0.0309237668161435</v>
      </c>
      <c r="Z31" s="46">
        <f t="shared" si="97"/>
        <v>0.0319749810462472</v>
      </c>
      <c r="AA31" s="46">
        <f t="shared" si="97"/>
        <v>0.0325750512772702</v>
      </c>
      <c r="AB31" s="47">
        <f t="shared" si="97"/>
        <v>0.0259443190368698</v>
      </c>
      <c r="AC31" s="47">
        <f t="shared" si="97"/>
        <v>0.0304916873010258</v>
      </c>
      <c r="AD31" s="36"/>
      <c r="AE31" s="36"/>
      <c r="AF31" s="46">
        <f t="shared" ref="AF31:AJ31" si="98" xml:space="preserve">W31</f>
        <v>0.0310257705912077</v>
      </c>
      <c r="AG31" s="46">
        <f t="shared" si="98"/>
        <v>0.0298716852010265</v>
      </c>
      <c r="AH31" s="46">
        <f t="shared" si="98"/>
        <v>0.0309237668161435</v>
      </c>
      <c r="AI31" s="46">
        <f t="shared" si="98"/>
        <v>0.0319749810462472</v>
      </c>
      <c r="AJ31" s="46">
        <f t="shared" si="98"/>
        <v>0.0325750512772702</v>
      </c>
      <c r="AK31" s="48">
        <f t="shared" si="67"/>
        <v>0.0298359668924003</v>
      </c>
      <c r="AL31" s="48">
        <f t="shared" si="68"/>
        <v>0.0350654403961797</v>
      </c>
      <c r="AM31" s="36"/>
      <c r="AN31" s="36"/>
      <c r="AO31" s="46">
        <f t="shared" ref="AO31:AS31" si="99" xml:space="preserve">W31</f>
        <v>0.0310257705912077</v>
      </c>
      <c r="AP31" s="46">
        <f t="shared" si="99"/>
        <v>0.0298716852010265</v>
      </c>
      <c r="AQ31" s="46">
        <f t="shared" si="99"/>
        <v>0.0309237668161435</v>
      </c>
      <c r="AR31" s="46">
        <f t="shared" si="99"/>
        <v>0.0319749810462472</v>
      </c>
      <c r="AS31" s="46">
        <f t="shared" si="99"/>
        <v>0.0325750512772702</v>
      </c>
      <c r="AT31" s="48">
        <f t="shared" si="70"/>
        <v>0.0220526711813394</v>
      </c>
      <c r="AU31" s="48">
        <f t="shared" si="71"/>
        <v>0.0259179342058719</v>
      </c>
      <c r="AZ31" s="35"/>
      <c r="BA31" s="43" t="s">
        <v>408</v>
      </c>
      <c r="BB31" s="44">
        <v>207.9</v>
      </c>
      <c r="BC31" s="46">
        <v>184.2</v>
      </c>
      <c r="BD31" s="46">
        <v>174.6</v>
      </c>
      <c r="BE31" s="46">
        <v>172.4</v>
      </c>
      <c r="BF31" s="46">
        <v>168.7</v>
      </c>
      <c r="BG31" s="46">
        <v>174.7</v>
      </c>
      <c r="BH31" s="46">
        <v>172.4</v>
      </c>
      <c r="BI31" s="46">
        <v>172.4</v>
      </c>
      <c r="BJ31" s="36"/>
      <c r="BK31" s="36"/>
      <c r="BL31" s="49"/>
      <c r="BM31" s="49"/>
      <c r="BN31" s="49"/>
      <c r="BO31" s="49"/>
    </row>
    <row r="32" ht="15.5" spans="1:67">
      <c r="A32" s="35"/>
      <c r="B32" s="43" t="s">
        <v>409</v>
      </c>
      <c r="C32" s="44">
        <f t="shared" ref="C32:J32" si="100" xml:space="preserve">BB32/1000</f>
        <v>0.5747</v>
      </c>
      <c r="D32" s="44">
        <f t="shared" si="100"/>
        <v>0.5597</v>
      </c>
      <c r="E32" s="44">
        <f t="shared" si="100"/>
        <v>0.534</v>
      </c>
      <c r="F32" s="44">
        <f t="shared" si="100"/>
        <v>0.528</v>
      </c>
      <c r="G32" s="44">
        <f t="shared" si="100"/>
        <v>0.5061</v>
      </c>
      <c r="H32" s="44">
        <f t="shared" si="100"/>
        <v>0.5369</v>
      </c>
      <c r="I32" s="44">
        <f t="shared" si="100"/>
        <v>0.528</v>
      </c>
      <c r="J32" s="44">
        <f t="shared" si="100"/>
        <v>0.528</v>
      </c>
      <c r="K32" s="36"/>
      <c r="L32" s="36"/>
      <c r="M32" s="49">
        <v>5.937</v>
      </c>
      <c r="N32" s="49">
        <v>5.845</v>
      </c>
      <c r="O32" s="49">
        <v>5.575</v>
      </c>
      <c r="P32" s="49">
        <v>5.276</v>
      </c>
      <c r="Q32" s="49">
        <v>5.363</v>
      </c>
      <c r="R32" s="49">
        <v>6.645</v>
      </c>
      <c r="S32" s="49">
        <v>5.654</v>
      </c>
      <c r="T32" s="49"/>
      <c r="U32" s="35"/>
      <c r="V32" s="43" t="s">
        <v>409</v>
      </c>
      <c r="W32" s="46">
        <f t="shared" ref="W32:AC32" si="101" xml:space="preserve">D32/M32</f>
        <v>0.0942732019538488</v>
      </c>
      <c r="X32" s="46">
        <f t="shared" si="101"/>
        <v>0.0913601368691189</v>
      </c>
      <c r="Y32" s="46">
        <f t="shared" si="101"/>
        <v>0.0947085201793722</v>
      </c>
      <c r="Z32" s="46">
        <f t="shared" si="101"/>
        <v>0.0959249431387415</v>
      </c>
      <c r="AA32" s="46">
        <f t="shared" si="101"/>
        <v>0.100111877680403</v>
      </c>
      <c r="AB32" s="47">
        <f t="shared" si="101"/>
        <v>0.0794582392776524</v>
      </c>
      <c r="AC32" s="47">
        <f t="shared" si="101"/>
        <v>0.0933852140077821</v>
      </c>
      <c r="AD32" s="36"/>
      <c r="AE32" s="36"/>
      <c r="AF32" s="46">
        <f t="shared" ref="AF32:AJ32" si="102" xml:space="preserve">W32</f>
        <v>0.0942732019538488</v>
      </c>
      <c r="AG32" s="46">
        <f t="shared" si="102"/>
        <v>0.0913601368691189</v>
      </c>
      <c r="AH32" s="46">
        <f t="shared" si="102"/>
        <v>0.0947085201793722</v>
      </c>
      <c r="AI32" s="46">
        <f t="shared" si="102"/>
        <v>0.0959249431387415</v>
      </c>
      <c r="AJ32" s="46">
        <f t="shared" si="102"/>
        <v>0.100111877680403</v>
      </c>
      <c r="AK32" s="48">
        <f t="shared" si="67"/>
        <v>0.0913769751693002</v>
      </c>
      <c r="AL32" s="48">
        <f t="shared" si="68"/>
        <v>0.107392996108949</v>
      </c>
      <c r="AM32" s="36"/>
      <c r="AN32" s="36"/>
      <c r="AO32" s="46">
        <f t="shared" ref="AO32:AS32" si="103" xml:space="preserve">W32</f>
        <v>0.0942732019538488</v>
      </c>
      <c r="AP32" s="46">
        <f t="shared" si="103"/>
        <v>0.0913601368691189</v>
      </c>
      <c r="AQ32" s="46">
        <f t="shared" si="103"/>
        <v>0.0947085201793722</v>
      </c>
      <c r="AR32" s="46">
        <f t="shared" si="103"/>
        <v>0.0959249431387415</v>
      </c>
      <c r="AS32" s="46">
        <f t="shared" si="103"/>
        <v>0.100111877680403</v>
      </c>
      <c r="AT32" s="48">
        <f t="shared" si="70"/>
        <v>0.0675395033860045</v>
      </c>
      <c r="AU32" s="48">
        <f t="shared" si="71"/>
        <v>0.0793774319066148</v>
      </c>
      <c r="AZ32" s="35"/>
      <c r="BA32" s="43" t="s">
        <v>409</v>
      </c>
      <c r="BB32" s="44">
        <v>574.7</v>
      </c>
      <c r="BC32" s="46">
        <v>559.7</v>
      </c>
      <c r="BD32" s="46">
        <v>534</v>
      </c>
      <c r="BE32" s="46">
        <v>528</v>
      </c>
      <c r="BF32" s="46">
        <v>506.1</v>
      </c>
      <c r="BG32" s="46">
        <v>536.9</v>
      </c>
      <c r="BH32" s="46">
        <v>528</v>
      </c>
      <c r="BI32" s="46">
        <v>528</v>
      </c>
      <c r="BJ32" s="36"/>
      <c r="BK32" s="36"/>
      <c r="BL32" s="49"/>
      <c r="BM32" s="49"/>
      <c r="BN32" s="49"/>
      <c r="BO32" s="49"/>
    </row>
    <row r="33" ht="15.5" spans="1:67">
      <c r="A33" s="35"/>
      <c r="B33" s="43" t="s">
        <v>410</v>
      </c>
      <c r="C33" s="44">
        <f t="shared" ref="C33:J33" si="104" xml:space="preserve">BB33/1000</f>
        <v>0.088</v>
      </c>
      <c r="D33" s="44">
        <f t="shared" si="104"/>
        <v>0.0814</v>
      </c>
      <c r="E33" s="44">
        <f t="shared" si="104"/>
        <v>0.079</v>
      </c>
      <c r="F33" s="44">
        <f t="shared" si="104"/>
        <v>0.0785</v>
      </c>
      <c r="G33" s="44">
        <f t="shared" si="104"/>
        <v>0.0764</v>
      </c>
      <c r="H33" s="44">
        <f t="shared" si="104"/>
        <v>0.0787</v>
      </c>
      <c r="I33" s="44">
        <f t="shared" si="104"/>
        <v>0.0785</v>
      </c>
      <c r="J33" s="44">
        <f t="shared" si="104"/>
        <v>0.0785</v>
      </c>
      <c r="K33" s="36"/>
      <c r="L33" s="36"/>
      <c r="M33" s="49">
        <v>5.937</v>
      </c>
      <c r="N33" s="49">
        <v>5.845</v>
      </c>
      <c r="O33" s="49">
        <v>5.575</v>
      </c>
      <c r="P33" s="49">
        <v>5.276</v>
      </c>
      <c r="Q33" s="49">
        <v>5.363</v>
      </c>
      <c r="R33" s="49">
        <v>6.645</v>
      </c>
      <c r="S33" s="49">
        <v>5.654</v>
      </c>
      <c r="T33" s="49"/>
      <c r="U33" s="35"/>
      <c r="V33" s="43" t="s">
        <v>410</v>
      </c>
      <c r="W33" s="46">
        <f t="shared" ref="W33:AC33" si="105" xml:space="preserve">D33/M33</f>
        <v>0.0137106282634327</v>
      </c>
      <c r="X33" s="46">
        <f t="shared" si="105"/>
        <v>0.0135158254918734</v>
      </c>
      <c r="Y33" s="46">
        <f t="shared" si="105"/>
        <v>0.0140807174887892</v>
      </c>
      <c r="Z33" s="46">
        <f t="shared" si="105"/>
        <v>0.0144806671721001</v>
      </c>
      <c r="AA33" s="46">
        <f t="shared" si="105"/>
        <v>0.0146746224128286</v>
      </c>
      <c r="AB33" s="47">
        <f t="shared" si="105"/>
        <v>0.0118133935289691</v>
      </c>
      <c r="AC33" s="47">
        <f t="shared" si="105"/>
        <v>0.0138839759462328</v>
      </c>
      <c r="AD33" s="36"/>
      <c r="AE33" s="36"/>
      <c r="AF33" s="46">
        <f t="shared" ref="AF33:AJ33" si="106" xml:space="preserve">W33</f>
        <v>0.0137106282634327</v>
      </c>
      <c r="AG33" s="46">
        <f t="shared" si="106"/>
        <v>0.0135158254918734</v>
      </c>
      <c r="AH33" s="46">
        <f t="shared" si="106"/>
        <v>0.0140807174887892</v>
      </c>
      <c r="AI33" s="46">
        <f t="shared" si="106"/>
        <v>0.0144806671721001</v>
      </c>
      <c r="AJ33" s="46">
        <f t="shared" si="106"/>
        <v>0.0146746224128286</v>
      </c>
      <c r="AK33" s="48">
        <f t="shared" si="67"/>
        <v>0.0135854025583145</v>
      </c>
      <c r="AL33" s="48">
        <f t="shared" si="68"/>
        <v>0.0159665723381677</v>
      </c>
      <c r="AM33" s="36"/>
      <c r="AN33" s="36"/>
      <c r="AO33" s="46">
        <f t="shared" ref="AO33:AS33" si="107" xml:space="preserve">W33</f>
        <v>0.0137106282634327</v>
      </c>
      <c r="AP33" s="46">
        <f t="shared" si="107"/>
        <v>0.0135158254918734</v>
      </c>
      <c r="AQ33" s="46">
        <f t="shared" si="107"/>
        <v>0.0140807174887892</v>
      </c>
      <c r="AR33" s="46">
        <f t="shared" si="107"/>
        <v>0.0144806671721001</v>
      </c>
      <c r="AS33" s="46">
        <f t="shared" si="107"/>
        <v>0.0146746224128286</v>
      </c>
      <c r="AT33" s="48">
        <f t="shared" si="70"/>
        <v>0.0100413844996238</v>
      </c>
      <c r="AU33" s="48">
        <f t="shared" si="71"/>
        <v>0.0118013795542978</v>
      </c>
      <c r="AZ33" s="35"/>
      <c r="BA33" s="43" t="s">
        <v>410</v>
      </c>
      <c r="BB33" s="44">
        <v>88</v>
      </c>
      <c r="BC33" s="46">
        <v>81.4</v>
      </c>
      <c r="BD33" s="46">
        <v>79</v>
      </c>
      <c r="BE33" s="46">
        <v>78.5</v>
      </c>
      <c r="BF33" s="46">
        <v>76.4</v>
      </c>
      <c r="BG33" s="46">
        <v>78.7</v>
      </c>
      <c r="BH33" s="46">
        <v>78.5</v>
      </c>
      <c r="BI33" s="46">
        <v>78.5</v>
      </c>
      <c r="BJ33" s="36"/>
      <c r="BK33" s="36"/>
      <c r="BL33" s="49"/>
      <c r="BM33" s="49"/>
      <c r="BN33" s="49"/>
      <c r="BO33" s="49"/>
    </row>
    <row r="34" ht="15.5" spans="1:67">
      <c r="A34" s="35" t="s">
        <v>11</v>
      </c>
      <c r="B34" s="43" t="s">
        <v>406</v>
      </c>
      <c r="C34" s="44">
        <f t="shared" ref="C34:J34" si="108" xml:space="preserve">BB34/1000</f>
        <v>0.9217</v>
      </c>
      <c r="D34" s="44">
        <f t="shared" si="108"/>
        <v>0.8721</v>
      </c>
      <c r="E34" s="44">
        <f t="shared" si="108"/>
        <v>0.8313</v>
      </c>
      <c r="F34" s="44">
        <f t="shared" si="108"/>
        <v>0.8218</v>
      </c>
      <c r="G34" s="44">
        <f t="shared" si="108"/>
        <v>0.794</v>
      </c>
      <c r="H34" s="44">
        <f t="shared" si="108"/>
        <v>0.835</v>
      </c>
      <c r="I34" s="44">
        <f t="shared" si="108"/>
        <v>0.8218</v>
      </c>
      <c r="J34" s="44">
        <f t="shared" si="108"/>
        <v>0.8218</v>
      </c>
      <c r="K34" s="36"/>
      <c r="L34" s="36"/>
      <c r="M34" s="49">
        <v>5.937</v>
      </c>
      <c r="N34" s="49">
        <v>5.845</v>
      </c>
      <c r="O34" s="49">
        <v>5.575</v>
      </c>
      <c r="P34" s="49">
        <v>5.276</v>
      </c>
      <c r="Q34" s="49">
        <v>5.363</v>
      </c>
      <c r="R34" s="49">
        <v>6.645</v>
      </c>
      <c r="S34" s="49">
        <v>5.654</v>
      </c>
      <c r="T34" s="49"/>
      <c r="U34" s="35" t="s">
        <v>11</v>
      </c>
      <c r="V34" s="43" t="s">
        <v>406</v>
      </c>
      <c r="W34" s="46">
        <f t="shared" ref="W34:AC34" si="109" xml:space="preserve">D34/M34</f>
        <v>0.14689236988378</v>
      </c>
      <c r="X34" s="46">
        <f t="shared" si="109"/>
        <v>0.142224123182207</v>
      </c>
      <c r="Y34" s="46">
        <f t="shared" si="109"/>
        <v>0.147408071748879</v>
      </c>
      <c r="Z34" s="46">
        <f t="shared" si="109"/>
        <v>0.15049279757392</v>
      </c>
      <c r="AA34" s="46">
        <f t="shared" si="109"/>
        <v>0.155696438560507</v>
      </c>
      <c r="AB34" s="47">
        <f t="shared" si="109"/>
        <v>0.123671933784801</v>
      </c>
      <c r="AC34" s="47">
        <f t="shared" si="109"/>
        <v>0.145348425893173</v>
      </c>
      <c r="AD34" s="36"/>
      <c r="AE34" s="36"/>
      <c r="AF34" s="46">
        <f t="shared" ref="AF34:AJ34" si="110" xml:space="preserve">W34</f>
        <v>0.14689236988378</v>
      </c>
      <c r="AG34" s="46">
        <f t="shared" si="110"/>
        <v>0.142224123182207</v>
      </c>
      <c r="AH34" s="46">
        <f t="shared" si="110"/>
        <v>0.147408071748879</v>
      </c>
      <c r="AI34" s="46">
        <f t="shared" si="110"/>
        <v>0.15049279757392</v>
      </c>
      <c r="AJ34" s="46">
        <f t="shared" si="110"/>
        <v>0.155696438560507</v>
      </c>
      <c r="AK34" s="48">
        <f t="shared" si="67"/>
        <v>0.142222723852521</v>
      </c>
      <c r="AL34" s="48">
        <f t="shared" si="68"/>
        <v>0.167150689777149</v>
      </c>
      <c r="AM34" s="36"/>
      <c r="AN34" s="36"/>
      <c r="AO34" s="46">
        <f t="shared" ref="AO34:AS34" si="111" xml:space="preserve">W34</f>
        <v>0.14689236988378</v>
      </c>
      <c r="AP34" s="46">
        <f t="shared" si="111"/>
        <v>0.142224123182207</v>
      </c>
      <c r="AQ34" s="46">
        <f t="shared" si="111"/>
        <v>0.147408071748879</v>
      </c>
      <c r="AR34" s="46">
        <f t="shared" si="111"/>
        <v>0.15049279757392</v>
      </c>
      <c r="AS34" s="46">
        <f t="shared" si="111"/>
        <v>0.155696438560507</v>
      </c>
      <c r="AT34" s="48">
        <f t="shared" si="70"/>
        <v>0.105121143717081</v>
      </c>
      <c r="AU34" s="48">
        <f t="shared" si="71"/>
        <v>0.123546162009197</v>
      </c>
      <c r="AZ34" s="35" t="s">
        <v>11</v>
      </c>
      <c r="BA34" s="43" t="s">
        <v>406</v>
      </c>
      <c r="BB34" s="44">
        <v>921.7</v>
      </c>
      <c r="BC34" s="46">
        <v>872.1</v>
      </c>
      <c r="BD34" s="46">
        <v>831.3</v>
      </c>
      <c r="BE34" s="46">
        <v>821.8</v>
      </c>
      <c r="BF34" s="46">
        <v>794</v>
      </c>
      <c r="BG34" s="46">
        <v>835</v>
      </c>
      <c r="BH34" s="46">
        <v>821.8</v>
      </c>
      <c r="BI34" s="46">
        <v>821.8</v>
      </c>
      <c r="BJ34" s="36"/>
      <c r="BK34" s="36"/>
      <c r="BL34" s="49"/>
      <c r="BM34" s="49"/>
      <c r="BN34" s="49"/>
      <c r="BO34" s="49"/>
    </row>
    <row r="35" ht="15.5" spans="1:67">
      <c r="A35" s="35"/>
      <c r="B35" s="43" t="s">
        <v>407</v>
      </c>
      <c r="C35" s="44">
        <f t="shared" ref="C35:J35" si="112" xml:space="preserve">BB35/1000</f>
        <v>0.8422</v>
      </c>
      <c r="D35" s="44">
        <f t="shared" si="112"/>
        <v>0.8018</v>
      </c>
      <c r="E35" s="44">
        <f t="shared" si="112"/>
        <v>0.7648</v>
      </c>
      <c r="F35" s="44">
        <f t="shared" si="112"/>
        <v>0.7562</v>
      </c>
      <c r="G35" s="44">
        <f t="shared" si="112"/>
        <v>0.7302</v>
      </c>
      <c r="H35" s="44">
        <f t="shared" si="112"/>
        <v>0.7691</v>
      </c>
      <c r="I35" s="44">
        <f t="shared" si="112"/>
        <v>0.7562</v>
      </c>
      <c r="J35" s="44">
        <f t="shared" si="112"/>
        <v>0.7562</v>
      </c>
      <c r="K35" s="36"/>
      <c r="L35" s="36"/>
      <c r="M35" s="49">
        <v>5.937</v>
      </c>
      <c r="N35" s="49">
        <v>5.845</v>
      </c>
      <c r="O35" s="49">
        <v>5.575</v>
      </c>
      <c r="P35" s="49">
        <v>5.276</v>
      </c>
      <c r="Q35" s="49">
        <v>5.363</v>
      </c>
      <c r="R35" s="49">
        <v>6.645</v>
      </c>
      <c r="S35" s="49">
        <v>5.654</v>
      </c>
      <c r="T35" s="49"/>
      <c r="U35" s="35"/>
      <c r="V35" s="43" t="s">
        <v>407</v>
      </c>
      <c r="W35" s="46">
        <f t="shared" ref="W35:AC35" si="113" xml:space="preserve">D35/M35</f>
        <v>0.135051372747179</v>
      </c>
      <c r="X35" s="46">
        <f t="shared" si="113"/>
        <v>0.130846877673225</v>
      </c>
      <c r="Y35" s="46">
        <f t="shared" si="113"/>
        <v>0.135641255605381</v>
      </c>
      <c r="Z35" s="46">
        <f t="shared" si="113"/>
        <v>0.138400303260046</v>
      </c>
      <c r="AA35" s="46">
        <f t="shared" si="113"/>
        <v>0.143408539996271</v>
      </c>
      <c r="AB35" s="47">
        <f t="shared" si="113"/>
        <v>0.11379984951091</v>
      </c>
      <c r="AC35" s="47">
        <f t="shared" si="113"/>
        <v>0.133746020516449</v>
      </c>
      <c r="AD35" s="36"/>
      <c r="AE35" s="36"/>
      <c r="AF35" s="46">
        <f t="shared" ref="AF35:AJ35" si="114" xml:space="preserve">W35</f>
        <v>0.135051372747179</v>
      </c>
      <c r="AG35" s="46">
        <f t="shared" si="114"/>
        <v>0.130846877673225</v>
      </c>
      <c r="AH35" s="46">
        <f t="shared" si="114"/>
        <v>0.135641255605381</v>
      </c>
      <c r="AI35" s="46">
        <f t="shared" si="114"/>
        <v>0.138400303260046</v>
      </c>
      <c r="AJ35" s="46">
        <f t="shared" si="114"/>
        <v>0.143408539996271</v>
      </c>
      <c r="AK35" s="48">
        <f t="shared" si="67"/>
        <v>0.130869826937547</v>
      </c>
      <c r="AL35" s="48">
        <f t="shared" si="68"/>
        <v>0.153807923593916</v>
      </c>
      <c r="AM35" s="36"/>
      <c r="AN35" s="36"/>
      <c r="AO35" s="46">
        <f t="shared" ref="AO35:AS35" si="115" xml:space="preserve">W35</f>
        <v>0.135051372747179</v>
      </c>
      <c r="AP35" s="46">
        <f t="shared" si="115"/>
        <v>0.130846877673225</v>
      </c>
      <c r="AQ35" s="46">
        <f t="shared" si="115"/>
        <v>0.135641255605381</v>
      </c>
      <c r="AR35" s="46">
        <f t="shared" si="115"/>
        <v>0.138400303260046</v>
      </c>
      <c r="AS35" s="46">
        <f t="shared" si="115"/>
        <v>0.143408539996271</v>
      </c>
      <c r="AT35" s="48">
        <f t="shared" si="70"/>
        <v>0.0967298720842739</v>
      </c>
      <c r="AU35" s="48">
        <f t="shared" si="71"/>
        <v>0.113684117438981</v>
      </c>
      <c r="AZ35" s="35"/>
      <c r="BA35" s="43" t="s">
        <v>407</v>
      </c>
      <c r="BB35" s="44">
        <v>842.2</v>
      </c>
      <c r="BC35" s="46">
        <v>801.8</v>
      </c>
      <c r="BD35" s="46">
        <v>764.8</v>
      </c>
      <c r="BE35" s="46">
        <v>756.2</v>
      </c>
      <c r="BF35" s="46">
        <v>730.2</v>
      </c>
      <c r="BG35" s="46">
        <v>769.1</v>
      </c>
      <c r="BH35" s="46">
        <v>756.2</v>
      </c>
      <c r="BI35" s="46">
        <v>756.2</v>
      </c>
      <c r="BJ35" s="36"/>
      <c r="BK35" s="36"/>
      <c r="BL35" s="49"/>
      <c r="BM35" s="49"/>
      <c r="BN35" s="49"/>
      <c r="BO35" s="49"/>
    </row>
    <row r="36" ht="15.5" spans="1:67">
      <c r="A36" s="35"/>
      <c r="B36" s="43" t="s">
        <v>408</v>
      </c>
      <c r="C36" s="44">
        <f t="shared" ref="C36:J36" si="116" xml:space="preserve">BB36/1000</f>
        <v>0.2694</v>
      </c>
      <c r="D36" s="44">
        <f t="shared" si="116"/>
        <v>0.2401</v>
      </c>
      <c r="E36" s="44">
        <f t="shared" si="116"/>
        <v>0.2278</v>
      </c>
      <c r="F36" s="44">
        <f t="shared" si="116"/>
        <v>0.2249</v>
      </c>
      <c r="G36" s="44">
        <f t="shared" si="116"/>
        <v>0.2217</v>
      </c>
      <c r="H36" s="44">
        <f t="shared" si="116"/>
        <v>0.2296</v>
      </c>
      <c r="I36" s="44">
        <f t="shared" si="116"/>
        <v>0.2249</v>
      </c>
      <c r="J36" s="44">
        <f t="shared" si="116"/>
        <v>0.2249</v>
      </c>
      <c r="K36" s="36"/>
      <c r="L36" s="36"/>
      <c r="M36" s="49">
        <v>5.937</v>
      </c>
      <c r="N36" s="49">
        <v>5.845</v>
      </c>
      <c r="O36" s="49">
        <v>5.575</v>
      </c>
      <c r="P36" s="49">
        <v>5.276</v>
      </c>
      <c r="Q36" s="49">
        <v>5.363</v>
      </c>
      <c r="R36" s="49">
        <v>6.645</v>
      </c>
      <c r="S36" s="49">
        <v>5.654</v>
      </c>
      <c r="T36" s="49"/>
      <c r="U36" s="35"/>
      <c r="V36" s="43" t="s">
        <v>408</v>
      </c>
      <c r="W36" s="46">
        <f t="shared" ref="W36:AC36" si="117" xml:space="preserve">D36/M36</f>
        <v>0.0404413003200269</v>
      </c>
      <c r="X36" s="46">
        <f t="shared" si="117"/>
        <v>0.0389734816082122</v>
      </c>
      <c r="Y36" s="46">
        <f t="shared" si="117"/>
        <v>0.0403408071748879</v>
      </c>
      <c r="Z36" s="46">
        <f t="shared" si="117"/>
        <v>0.0420204700530705</v>
      </c>
      <c r="AA36" s="46">
        <f t="shared" si="117"/>
        <v>0.0428118590341227</v>
      </c>
      <c r="AB36" s="47">
        <f t="shared" si="117"/>
        <v>0.0338449962377728</v>
      </c>
      <c r="AC36" s="47">
        <f t="shared" si="117"/>
        <v>0.0397771489211178</v>
      </c>
      <c r="AD36" s="36"/>
      <c r="AE36" s="36"/>
      <c r="AF36" s="46">
        <f t="shared" ref="AF36:AJ36" si="118" xml:space="preserve">W36</f>
        <v>0.0404413003200269</v>
      </c>
      <c r="AG36" s="46">
        <f t="shared" si="118"/>
        <v>0.0389734816082122</v>
      </c>
      <c r="AH36" s="46">
        <f t="shared" si="118"/>
        <v>0.0403408071748879</v>
      </c>
      <c r="AI36" s="46">
        <f t="shared" si="118"/>
        <v>0.0420204700530705</v>
      </c>
      <c r="AJ36" s="46">
        <f t="shared" si="118"/>
        <v>0.0428118590341227</v>
      </c>
      <c r="AK36" s="48">
        <f t="shared" si="67"/>
        <v>0.0389217456734387</v>
      </c>
      <c r="AL36" s="48">
        <f t="shared" si="68"/>
        <v>0.0457437212592855</v>
      </c>
      <c r="AM36" s="36"/>
      <c r="AN36" s="36"/>
      <c r="AO36" s="46">
        <f t="shared" ref="AO36:AS36" si="119" xml:space="preserve">W36</f>
        <v>0.0404413003200269</v>
      </c>
      <c r="AP36" s="46">
        <f t="shared" si="119"/>
        <v>0.0389734816082122</v>
      </c>
      <c r="AQ36" s="46">
        <f t="shared" si="119"/>
        <v>0.0403408071748879</v>
      </c>
      <c r="AR36" s="46">
        <f t="shared" si="119"/>
        <v>0.0420204700530705</v>
      </c>
      <c r="AS36" s="46">
        <f t="shared" si="119"/>
        <v>0.0428118590341227</v>
      </c>
      <c r="AT36" s="48">
        <f t="shared" si="70"/>
        <v>0.0287682468021069</v>
      </c>
      <c r="AU36" s="48">
        <f t="shared" si="71"/>
        <v>0.0338105765829501</v>
      </c>
      <c r="AZ36" s="35"/>
      <c r="BA36" s="43" t="s">
        <v>408</v>
      </c>
      <c r="BB36" s="44">
        <v>269.4</v>
      </c>
      <c r="BC36" s="46">
        <v>240.1</v>
      </c>
      <c r="BD36" s="46">
        <v>227.8</v>
      </c>
      <c r="BE36" s="46">
        <v>224.9</v>
      </c>
      <c r="BF36" s="46">
        <v>221.7</v>
      </c>
      <c r="BG36" s="46">
        <v>229.6</v>
      </c>
      <c r="BH36" s="46">
        <v>224.9</v>
      </c>
      <c r="BI36" s="46">
        <v>224.9</v>
      </c>
      <c r="BJ36" s="36"/>
      <c r="BK36" s="36"/>
      <c r="BL36" s="49"/>
      <c r="BM36" s="49"/>
      <c r="BN36" s="49"/>
      <c r="BO36" s="49"/>
    </row>
    <row r="37" ht="15.5" spans="1:67">
      <c r="A37" s="35"/>
      <c r="B37" s="43" t="s">
        <v>409</v>
      </c>
      <c r="C37" s="44">
        <f t="shared" ref="C37:J37" si="120" xml:space="preserve">BB37/1000</f>
        <v>0.5273</v>
      </c>
      <c r="D37" s="44">
        <f t="shared" si="120"/>
        <v>0.5167</v>
      </c>
      <c r="E37" s="44">
        <f t="shared" si="120"/>
        <v>0.4931</v>
      </c>
      <c r="F37" s="44">
        <f t="shared" si="120"/>
        <v>0.4875</v>
      </c>
      <c r="G37" s="44">
        <f t="shared" si="120"/>
        <v>0.4653</v>
      </c>
      <c r="H37" s="44">
        <f t="shared" si="120"/>
        <v>0.4946</v>
      </c>
      <c r="I37" s="44">
        <f t="shared" si="120"/>
        <v>0.4875</v>
      </c>
      <c r="J37" s="44">
        <f t="shared" si="120"/>
        <v>0.4875</v>
      </c>
      <c r="K37" s="36"/>
      <c r="L37" s="36"/>
      <c r="M37" s="49">
        <v>5.937</v>
      </c>
      <c r="N37" s="49">
        <v>5.845</v>
      </c>
      <c r="O37" s="49">
        <v>5.575</v>
      </c>
      <c r="P37" s="49">
        <v>5.276</v>
      </c>
      <c r="Q37" s="49">
        <v>5.363</v>
      </c>
      <c r="R37" s="49">
        <v>6.645</v>
      </c>
      <c r="S37" s="49">
        <v>5.654</v>
      </c>
      <c r="T37" s="49"/>
      <c r="U37" s="35"/>
      <c r="V37" s="43" t="s">
        <v>409</v>
      </c>
      <c r="W37" s="46">
        <f t="shared" ref="W37:AC37" si="121" xml:space="preserve">D37/M37</f>
        <v>0.0870304867778339</v>
      </c>
      <c r="X37" s="46">
        <f t="shared" si="121"/>
        <v>0.0843627031650984</v>
      </c>
      <c r="Y37" s="46">
        <f t="shared" si="121"/>
        <v>0.0874439461883408</v>
      </c>
      <c r="Z37" s="46">
        <f t="shared" si="121"/>
        <v>0.0881918119787718</v>
      </c>
      <c r="AA37" s="46">
        <f t="shared" si="121"/>
        <v>0.0922245012120082</v>
      </c>
      <c r="AB37" s="47">
        <f t="shared" si="121"/>
        <v>0.0733634311512415</v>
      </c>
      <c r="AC37" s="47">
        <f t="shared" si="121"/>
        <v>0.0862221436151397</v>
      </c>
      <c r="AD37" s="36"/>
      <c r="AE37" s="36"/>
      <c r="AF37" s="46">
        <f t="shared" ref="AF37:AJ37" si="122" xml:space="preserve">W37</f>
        <v>0.0870304867778339</v>
      </c>
      <c r="AG37" s="46">
        <f t="shared" si="122"/>
        <v>0.0843627031650984</v>
      </c>
      <c r="AH37" s="46">
        <f t="shared" si="122"/>
        <v>0.0874439461883408</v>
      </c>
      <c r="AI37" s="46">
        <f t="shared" si="122"/>
        <v>0.0881918119787718</v>
      </c>
      <c r="AJ37" s="46">
        <f t="shared" si="122"/>
        <v>0.0922245012120082</v>
      </c>
      <c r="AK37" s="48">
        <f t="shared" si="67"/>
        <v>0.0843679458239278</v>
      </c>
      <c r="AL37" s="48">
        <f t="shared" si="68"/>
        <v>0.0991554651574107</v>
      </c>
      <c r="AM37" s="36"/>
      <c r="AN37" s="36"/>
      <c r="AO37" s="46">
        <f t="shared" ref="AO37:AS37" si="123" xml:space="preserve">W37</f>
        <v>0.0870304867778339</v>
      </c>
      <c r="AP37" s="46">
        <f t="shared" si="123"/>
        <v>0.0843627031650984</v>
      </c>
      <c r="AQ37" s="46">
        <f t="shared" si="123"/>
        <v>0.0874439461883408</v>
      </c>
      <c r="AR37" s="46">
        <f t="shared" si="123"/>
        <v>0.0881918119787718</v>
      </c>
      <c r="AS37" s="46">
        <f t="shared" si="123"/>
        <v>0.0922245012120082</v>
      </c>
      <c r="AT37" s="48">
        <f t="shared" si="70"/>
        <v>0.0623589164785553</v>
      </c>
      <c r="AU37" s="48">
        <f t="shared" si="71"/>
        <v>0.0732888220728688</v>
      </c>
      <c r="AZ37" s="35"/>
      <c r="BA37" s="43" t="s">
        <v>409</v>
      </c>
      <c r="BB37" s="44">
        <v>527.3</v>
      </c>
      <c r="BC37" s="46">
        <v>516.7</v>
      </c>
      <c r="BD37" s="46">
        <v>493.1</v>
      </c>
      <c r="BE37" s="46">
        <v>487.5</v>
      </c>
      <c r="BF37" s="46">
        <v>465.3</v>
      </c>
      <c r="BG37" s="46">
        <v>494.6</v>
      </c>
      <c r="BH37" s="46">
        <v>487.5</v>
      </c>
      <c r="BI37" s="46">
        <v>487.5</v>
      </c>
      <c r="BJ37" s="36"/>
      <c r="BK37" s="36"/>
      <c r="BL37" s="49"/>
      <c r="BM37" s="49"/>
      <c r="BN37" s="49"/>
      <c r="BO37" s="49"/>
    </row>
    <row r="38" ht="15.5" spans="1:67">
      <c r="A38" s="35"/>
      <c r="B38" s="43" t="s">
        <v>410</v>
      </c>
      <c r="C38" s="44">
        <f t="shared" ref="C38:J38" si="124" xml:space="preserve">BB38/1000</f>
        <v>0.0858</v>
      </c>
      <c r="D38" s="44">
        <f t="shared" si="124"/>
        <v>0.0793</v>
      </c>
      <c r="E38" s="44">
        <f t="shared" si="124"/>
        <v>0.0771</v>
      </c>
      <c r="F38" s="44">
        <f t="shared" si="124"/>
        <v>0.0766</v>
      </c>
      <c r="G38" s="44">
        <f t="shared" si="124"/>
        <v>0.0744</v>
      </c>
      <c r="H38" s="44">
        <f t="shared" si="124"/>
        <v>0.0767</v>
      </c>
      <c r="I38" s="44">
        <f t="shared" si="124"/>
        <v>0.0766</v>
      </c>
      <c r="J38" s="44">
        <f t="shared" si="124"/>
        <v>0.0766</v>
      </c>
      <c r="K38" s="36"/>
      <c r="L38" s="36"/>
      <c r="M38" s="49">
        <v>5.937</v>
      </c>
      <c r="N38" s="49">
        <v>5.845</v>
      </c>
      <c r="O38" s="49">
        <v>5.575</v>
      </c>
      <c r="P38" s="49">
        <v>5.276</v>
      </c>
      <c r="Q38" s="49">
        <v>5.363</v>
      </c>
      <c r="R38" s="49">
        <v>6.645</v>
      </c>
      <c r="S38" s="49">
        <v>5.654</v>
      </c>
      <c r="T38" s="49"/>
      <c r="U38" s="35"/>
      <c r="V38" s="43" t="s">
        <v>410</v>
      </c>
      <c r="W38" s="46">
        <f t="shared" ref="W38:AC38" si="125" xml:space="preserve">D38/M38</f>
        <v>0.0133569142664645</v>
      </c>
      <c r="X38" s="46">
        <f t="shared" si="125"/>
        <v>0.0131907613344739</v>
      </c>
      <c r="Y38" s="46">
        <f t="shared" si="125"/>
        <v>0.0137399103139013</v>
      </c>
      <c r="Z38" s="46">
        <f t="shared" si="125"/>
        <v>0.0141015921152388</v>
      </c>
      <c r="AA38" s="46">
        <f t="shared" si="125"/>
        <v>0.0143016968114861</v>
      </c>
      <c r="AB38" s="47">
        <f t="shared" si="125"/>
        <v>0.0115274642588412</v>
      </c>
      <c r="AC38" s="47">
        <f t="shared" si="125"/>
        <v>0.0135479306685532</v>
      </c>
      <c r="AD38" s="36"/>
      <c r="AE38" s="36"/>
      <c r="AF38" s="46">
        <f t="shared" ref="AF38:AJ38" si="126" xml:space="preserve">W38</f>
        <v>0.0133569142664645</v>
      </c>
      <c r="AG38" s="46">
        <f t="shared" si="126"/>
        <v>0.0131907613344739</v>
      </c>
      <c r="AH38" s="46">
        <f t="shared" si="126"/>
        <v>0.0137399103139013</v>
      </c>
      <c r="AI38" s="46">
        <f t="shared" si="126"/>
        <v>0.0141015921152388</v>
      </c>
      <c r="AJ38" s="46">
        <f t="shared" si="126"/>
        <v>0.0143016968114861</v>
      </c>
      <c r="AK38" s="48">
        <f t="shared" si="67"/>
        <v>0.0132565838976674</v>
      </c>
      <c r="AL38" s="48">
        <f t="shared" si="68"/>
        <v>0.0155801202688362</v>
      </c>
      <c r="AM38" s="36"/>
      <c r="AN38" s="36"/>
      <c r="AO38" s="46">
        <f t="shared" ref="AO38:AS38" si="127" xml:space="preserve">W38</f>
        <v>0.0133569142664645</v>
      </c>
      <c r="AP38" s="46">
        <f t="shared" si="127"/>
        <v>0.0131907613344739</v>
      </c>
      <c r="AQ38" s="46">
        <f t="shared" si="127"/>
        <v>0.0137399103139013</v>
      </c>
      <c r="AR38" s="46">
        <f t="shared" si="127"/>
        <v>0.0141015921152388</v>
      </c>
      <c r="AS38" s="46">
        <f t="shared" si="127"/>
        <v>0.0143016968114861</v>
      </c>
      <c r="AT38" s="48">
        <f t="shared" si="70"/>
        <v>0.00979834462001505</v>
      </c>
      <c r="AU38" s="48">
        <f t="shared" si="71"/>
        <v>0.0115157410682703</v>
      </c>
      <c r="AZ38" s="35"/>
      <c r="BA38" s="43" t="s">
        <v>410</v>
      </c>
      <c r="BB38" s="44">
        <v>85.8</v>
      </c>
      <c r="BC38" s="46">
        <v>79.3</v>
      </c>
      <c r="BD38" s="46">
        <v>77.1</v>
      </c>
      <c r="BE38" s="46">
        <v>76.6</v>
      </c>
      <c r="BF38" s="46">
        <v>74.4</v>
      </c>
      <c r="BG38" s="46">
        <v>76.7</v>
      </c>
      <c r="BH38" s="46">
        <v>76.6</v>
      </c>
      <c r="BI38" s="46">
        <v>76.6</v>
      </c>
      <c r="BJ38" s="36"/>
      <c r="BK38" s="36"/>
      <c r="BL38" s="49"/>
      <c r="BM38" s="49"/>
      <c r="BN38" s="49"/>
      <c r="BO38" s="49"/>
    </row>
    <row r="39" ht="15.5" spans="1:67">
      <c r="A39" s="36"/>
      <c r="B39" s="36"/>
      <c r="C39" s="39"/>
      <c r="D39" s="36"/>
      <c r="E39" s="36"/>
      <c r="F39" s="36"/>
      <c r="G39" s="36"/>
      <c r="H39" s="36"/>
      <c r="I39" s="36"/>
      <c r="J39" s="36"/>
      <c r="K39" s="36"/>
      <c r="L39" s="36"/>
      <c r="M39" s="36"/>
      <c r="N39" s="36"/>
      <c r="O39" s="36"/>
      <c r="P39" s="36"/>
      <c r="Q39" s="36"/>
      <c r="R39" s="36"/>
      <c r="S39" s="36"/>
      <c r="T39" s="36"/>
      <c r="AZ39" s="36"/>
      <c r="BA39" s="36"/>
      <c r="BB39" s="39"/>
      <c r="BC39" s="36"/>
      <c r="BD39" s="36"/>
      <c r="BE39" s="36"/>
      <c r="BF39" s="36"/>
      <c r="BG39" s="36"/>
      <c r="BH39" s="36"/>
      <c r="BI39" s="36"/>
      <c r="BJ39" s="36"/>
      <c r="BK39" s="36"/>
      <c r="BL39" s="36"/>
      <c r="BM39" s="36"/>
      <c r="BN39" s="36"/>
      <c r="BO39" s="36"/>
    </row>
    <row r="40" ht="15.5" spans="1:67">
      <c r="A40" s="36"/>
      <c r="B40" s="36"/>
      <c r="C40" s="39"/>
      <c r="D40" s="36"/>
      <c r="E40" s="36"/>
      <c r="F40" s="36"/>
      <c r="G40" s="36"/>
      <c r="H40" s="36"/>
      <c r="I40" s="36"/>
      <c r="J40" s="36"/>
      <c r="K40" s="36"/>
      <c r="L40" s="36"/>
      <c r="M40" s="36"/>
      <c r="N40" s="36"/>
      <c r="O40" s="36"/>
      <c r="P40" s="36"/>
      <c r="Q40" s="36"/>
      <c r="R40" s="36"/>
      <c r="S40" s="36"/>
      <c r="T40" s="36"/>
      <c r="AZ40" s="36"/>
      <c r="BA40" s="36"/>
      <c r="BB40" s="39"/>
      <c r="BC40" s="36"/>
      <c r="BD40" s="36"/>
      <c r="BE40" s="36"/>
      <c r="BF40" s="36"/>
      <c r="BG40" s="36"/>
      <c r="BH40" s="36"/>
      <c r="BI40" s="36"/>
      <c r="BJ40" s="36"/>
      <c r="BK40" s="36"/>
      <c r="BL40" s="36"/>
      <c r="BM40" s="36"/>
      <c r="BN40" s="36"/>
      <c r="BO40" s="36"/>
    </row>
    <row r="41" ht="15.5" spans="1:67">
      <c r="A41" s="35" t="s">
        <v>425</v>
      </c>
      <c r="B41" s="35"/>
      <c r="C41" s="35"/>
      <c r="D41" s="35"/>
      <c r="E41" s="35"/>
      <c r="F41" s="35"/>
      <c r="G41" s="35"/>
      <c r="H41" s="35"/>
      <c r="I41" s="35"/>
      <c r="J41" s="35"/>
      <c r="K41" s="36"/>
      <c r="L41" s="36"/>
      <c r="M41" s="36"/>
      <c r="N41" s="36"/>
      <c r="O41" s="36"/>
      <c r="P41" s="36"/>
      <c r="Q41" s="36"/>
      <c r="R41" s="36"/>
      <c r="S41" s="36"/>
      <c r="T41" s="36"/>
      <c r="AZ41" s="35" t="s">
        <v>425</v>
      </c>
      <c r="BA41" s="35"/>
      <c r="BB41" s="35"/>
      <c r="BC41" s="35"/>
      <c r="BD41" s="35"/>
      <c r="BE41" s="35"/>
      <c r="BF41" s="35"/>
      <c r="BG41" s="35"/>
      <c r="BH41" s="35"/>
      <c r="BI41" s="35"/>
      <c r="BJ41" s="36"/>
      <c r="BK41" s="36"/>
      <c r="BL41" s="36"/>
      <c r="BM41" s="36"/>
      <c r="BN41" s="36"/>
      <c r="BO41" s="36"/>
    </row>
    <row r="42" ht="15.5" spans="1:67">
      <c r="A42" s="35" t="s">
        <v>394</v>
      </c>
      <c r="B42" s="35" t="s">
        <v>424</v>
      </c>
      <c r="C42" s="35" t="s">
        <v>396</v>
      </c>
      <c r="D42" s="35"/>
      <c r="E42" s="35"/>
      <c r="F42" s="35"/>
      <c r="G42" s="35"/>
      <c r="H42" s="35"/>
      <c r="I42" s="35"/>
      <c r="J42" s="35"/>
      <c r="K42" s="36"/>
      <c r="L42" s="36"/>
      <c r="M42" s="36"/>
      <c r="N42" s="36"/>
      <c r="O42" s="36"/>
      <c r="P42" s="36"/>
      <c r="Q42" s="36"/>
      <c r="R42" s="36"/>
      <c r="S42" s="36"/>
      <c r="T42" s="36"/>
      <c r="AZ42" s="35" t="s">
        <v>394</v>
      </c>
      <c r="BA42" s="35" t="s">
        <v>424</v>
      </c>
      <c r="BB42" s="35" t="s">
        <v>396</v>
      </c>
      <c r="BC42" s="35"/>
      <c r="BD42" s="35"/>
      <c r="BE42" s="35"/>
      <c r="BF42" s="35"/>
      <c r="BG42" s="35"/>
      <c r="BH42" s="35"/>
      <c r="BI42" s="35"/>
      <c r="BJ42" s="36"/>
      <c r="BK42" s="36"/>
      <c r="BL42" s="36"/>
      <c r="BM42" s="36"/>
      <c r="BN42" s="36"/>
      <c r="BO42" s="36"/>
    </row>
    <row r="43" ht="30" spans="1:67">
      <c r="A43" s="35"/>
      <c r="B43" s="35"/>
      <c r="C43" s="39" t="s">
        <v>397</v>
      </c>
      <c r="D43" s="36" t="s">
        <v>398</v>
      </c>
      <c r="E43" s="36" t="s">
        <v>399</v>
      </c>
      <c r="F43" s="40" t="s">
        <v>400</v>
      </c>
      <c r="G43" s="36" t="s">
        <v>401</v>
      </c>
      <c r="H43" s="36" t="s">
        <v>402</v>
      </c>
      <c r="I43" s="36" t="s">
        <v>403</v>
      </c>
      <c r="J43" s="36" t="s">
        <v>404</v>
      </c>
      <c r="K43" s="36"/>
      <c r="L43" s="36"/>
      <c r="M43" s="36" t="s">
        <v>398</v>
      </c>
      <c r="N43" s="36" t="s">
        <v>399</v>
      </c>
      <c r="O43" s="36" t="s">
        <v>400</v>
      </c>
      <c r="P43" s="36" t="s">
        <v>401</v>
      </c>
      <c r="Q43" s="36" t="s">
        <v>402</v>
      </c>
      <c r="R43" s="36" t="s">
        <v>403</v>
      </c>
      <c r="S43" s="36" t="s">
        <v>404</v>
      </c>
      <c r="T43" s="36"/>
      <c r="U43" s="36"/>
      <c r="V43" s="38" t="s">
        <v>422</v>
      </c>
      <c r="W43" s="36" t="s">
        <v>398</v>
      </c>
      <c r="X43" s="36" t="s">
        <v>399</v>
      </c>
      <c r="Y43" s="40" t="s">
        <v>400</v>
      </c>
      <c r="Z43" s="36" t="s">
        <v>401</v>
      </c>
      <c r="AA43" s="36" t="s">
        <v>402</v>
      </c>
      <c r="AB43" s="42" t="s">
        <v>403</v>
      </c>
      <c r="AC43" s="42" t="s">
        <v>404</v>
      </c>
      <c r="AD43" s="36"/>
      <c r="AE43" s="36"/>
      <c r="AF43" s="36" t="s">
        <v>398</v>
      </c>
      <c r="AG43" s="36" t="s">
        <v>399</v>
      </c>
      <c r="AH43" s="40" t="s">
        <v>400</v>
      </c>
      <c r="AI43" s="36" t="s">
        <v>401</v>
      </c>
      <c r="AJ43" s="36" t="s">
        <v>402</v>
      </c>
      <c r="AK43" s="42" t="s">
        <v>403</v>
      </c>
      <c r="AL43" s="42" t="s">
        <v>404</v>
      </c>
      <c r="AO43" s="36" t="s">
        <v>398</v>
      </c>
      <c r="AP43" s="36" t="s">
        <v>399</v>
      </c>
      <c r="AQ43" s="40" t="s">
        <v>400</v>
      </c>
      <c r="AR43" s="36" t="s">
        <v>401</v>
      </c>
      <c r="AS43" s="36" t="s">
        <v>402</v>
      </c>
      <c r="AT43" s="42" t="s">
        <v>403</v>
      </c>
      <c r="AU43" s="42" t="s">
        <v>404</v>
      </c>
      <c r="AZ43" s="35"/>
      <c r="BA43" s="35"/>
      <c r="BB43" s="39" t="s">
        <v>397</v>
      </c>
      <c r="BC43" s="36" t="s">
        <v>398</v>
      </c>
      <c r="BD43" s="36" t="s">
        <v>399</v>
      </c>
      <c r="BE43" s="40" t="s">
        <v>400</v>
      </c>
      <c r="BF43" s="36" t="s">
        <v>401</v>
      </c>
      <c r="BG43" s="36" t="s">
        <v>402</v>
      </c>
      <c r="BH43" s="36" t="s">
        <v>403</v>
      </c>
      <c r="BI43" s="36" t="s">
        <v>404</v>
      </c>
      <c r="BJ43" s="36"/>
      <c r="BK43" s="36"/>
      <c r="BL43" s="36"/>
      <c r="BM43" s="36"/>
      <c r="BN43" s="36"/>
      <c r="BO43" s="36"/>
    </row>
    <row r="44" ht="15.5" spans="1:67">
      <c r="A44" s="35" t="s">
        <v>405</v>
      </c>
      <c r="B44" s="43" t="s">
        <v>406</v>
      </c>
      <c r="C44" s="44">
        <f t="shared" ref="C44:J44" si="128" xml:space="preserve">BB44/1000</f>
        <v>0.6652</v>
      </c>
      <c r="D44" s="44">
        <f t="shared" si="128"/>
        <v>0.5864</v>
      </c>
      <c r="E44" s="44">
        <f t="shared" si="128"/>
        <v>0.5679</v>
      </c>
      <c r="F44" s="44">
        <f t="shared" si="128"/>
        <v>0.5636</v>
      </c>
      <c r="G44" s="44">
        <f t="shared" si="128"/>
        <v>0.5409</v>
      </c>
      <c r="H44" s="44">
        <f t="shared" si="128"/>
        <v>0.5521</v>
      </c>
      <c r="I44" s="44">
        <f t="shared" si="128"/>
        <v>0.5636</v>
      </c>
      <c r="J44" s="44">
        <f t="shared" si="128"/>
        <v>0.5636</v>
      </c>
      <c r="K44" s="36"/>
      <c r="L44" s="36"/>
      <c r="M44" s="45">
        <v>5.937</v>
      </c>
      <c r="N44" s="45">
        <v>5.845</v>
      </c>
      <c r="O44" s="45">
        <v>5.575</v>
      </c>
      <c r="P44" s="45">
        <v>5.276</v>
      </c>
      <c r="Q44" s="45">
        <v>5.363</v>
      </c>
      <c r="R44" s="45">
        <v>6.645</v>
      </c>
      <c r="S44" s="45">
        <v>5.654</v>
      </c>
      <c r="T44" s="45"/>
      <c r="U44" s="35" t="s">
        <v>405</v>
      </c>
      <c r="V44" s="43" t="s">
        <v>406</v>
      </c>
      <c r="W44" s="46">
        <f t="shared" ref="W44:AC44" si="129" xml:space="preserve">D44/M44</f>
        <v>0.098770422772444</v>
      </c>
      <c r="X44" s="46">
        <f t="shared" si="129"/>
        <v>0.0971599657827203</v>
      </c>
      <c r="Y44" s="46">
        <f t="shared" si="129"/>
        <v>0.101094170403587</v>
      </c>
      <c r="Z44" s="46">
        <f t="shared" si="129"/>
        <v>0.102520849128127</v>
      </c>
      <c r="AA44" s="46">
        <f t="shared" si="129"/>
        <v>0.102946112250606</v>
      </c>
      <c r="AB44" s="47">
        <f t="shared" si="129"/>
        <v>0.0848156508653123</v>
      </c>
      <c r="AC44" s="47">
        <f t="shared" si="129"/>
        <v>0.0996816413158826</v>
      </c>
      <c r="AD44" s="36"/>
      <c r="AE44" s="36"/>
      <c r="AF44" s="46">
        <f t="shared" ref="AF44:AJ44" si="130" xml:space="preserve">W44</f>
        <v>0.098770422772444</v>
      </c>
      <c r="AG44" s="46">
        <f t="shared" si="130"/>
        <v>0.0971599657827203</v>
      </c>
      <c r="AH44" s="46">
        <f t="shared" si="130"/>
        <v>0.101094170403587</v>
      </c>
      <c r="AI44" s="46">
        <f t="shared" si="130"/>
        <v>0.102520849128127</v>
      </c>
      <c r="AJ44" s="46">
        <f t="shared" si="130"/>
        <v>0.102946112250606</v>
      </c>
      <c r="AK44" s="48">
        <f t="shared" ref="AK44:AK58" si="131" xml:space="preserve">AB44*1.15</f>
        <v>0.0975379984951091</v>
      </c>
      <c r="AL44" s="48">
        <f t="shared" ref="AL44:AL58" si="132" xml:space="preserve">AC44*1.15</f>
        <v>0.114633887513265</v>
      </c>
      <c r="AO44" s="46">
        <f t="shared" ref="AO44:AS44" si="133" xml:space="preserve">W44</f>
        <v>0.098770422772444</v>
      </c>
      <c r="AP44" s="46">
        <f t="shared" si="133"/>
        <v>0.0971599657827203</v>
      </c>
      <c r="AQ44" s="46">
        <f t="shared" si="133"/>
        <v>0.101094170403587</v>
      </c>
      <c r="AR44" s="46">
        <f t="shared" si="133"/>
        <v>0.102520849128127</v>
      </c>
      <c r="AS44" s="46">
        <f t="shared" si="133"/>
        <v>0.102946112250606</v>
      </c>
      <c r="AT44" s="48">
        <f t="shared" ref="AT44:AT58" si="134" xml:space="preserve">AB44*0.85</f>
        <v>0.0720933032355154</v>
      </c>
      <c r="AU44" s="48">
        <f t="shared" ref="AU44:AU58" si="135" xml:space="preserve">AC44*0.85</f>
        <v>0.0847293951185002</v>
      </c>
      <c r="AZ44" s="35" t="s">
        <v>405</v>
      </c>
      <c r="BA44" s="43" t="s">
        <v>406</v>
      </c>
      <c r="BB44" s="44">
        <v>665.2</v>
      </c>
      <c r="BC44" s="46">
        <v>586.4</v>
      </c>
      <c r="BD44" s="46">
        <v>567.9</v>
      </c>
      <c r="BE44" s="46">
        <v>563.6</v>
      </c>
      <c r="BF44" s="46">
        <v>540.9</v>
      </c>
      <c r="BG44" s="46">
        <v>552.1</v>
      </c>
      <c r="BH44" s="46">
        <v>563.6</v>
      </c>
      <c r="BI44" s="46">
        <v>563.6</v>
      </c>
      <c r="BJ44" s="36"/>
      <c r="BK44" s="36"/>
      <c r="BL44" s="45"/>
      <c r="BM44" s="45"/>
      <c r="BN44" s="45"/>
      <c r="BO44" s="45"/>
    </row>
    <row r="45" ht="15.5" spans="1:67">
      <c r="A45" s="35"/>
      <c r="B45" s="43" t="s">
        <v>407</v>
      </c>
      <c r="C45" s="44">
        <f t="shared" ref="C45:J45" si="136" xml:space="preserve">BB45/1000</f>
        <v>0.6092</v>
      </c>
      <c r="D45" s="44">
        <f t="shared" si="136"/>
        <v>0.5396</v>
      </c>
      <c r="E45" s="44">
        <f t="shared" si="136"/>
        <v>0.5232</v>
      </c>
      <c r="F45" s="44">
        <f t="shared" si="136"/>
        <v>0.5193</v>
      </c>
      <c r="G45" s="44">
        <f t="shared" si="136"/>
        <v>0.499</v>
      </c>
      <c r="H45" s="44">
        <f t="shared" si="136"/>
        <v>0.5091</v>
      </c>
      <c r="I45" s="44">
        <f t="shared" si="136"/>
        <v>0.5193</v>
      </c>
      <c r="J45" s="44">
        <f t="shared" si="136"/>
        <v>0.5193</v>
      </c>
      <c r="K45" s="36"/>
      <c r="L45" s="36"/>
      <c r="M45" s="49">
        <v>5.937</v>
      </c>
      <c r="N45" s="49">
        <v>5.845</v>
      </c>
      <c r="O45" s="49">
        <v>5.575</v>
      </c>
      <c r="P45" s="49">
        <v>5.276</v>
      </c>
      <c r="Q45" s="49">
        <v>5.363</v>
      </c>
      <c r="R45" s="49">
        <v>6.645</v>
      </c>
      <c r="S45" s="49">
        <v>5.654</v>
      </c>
      <c r="T45" s="49"/>
      <c r="U45" s="35"/>
      <c r="V45" s="43" t="s">
        <v>407</v>
      </c>
      <c r="W45" s="46">
        <f t="shared" ref="W45:AC45" si="137" xml:space="preserve">D45/M45</f>
        <v>0.0908876536971534</v>
      </c>
      <c r="X45" s="46">
        <f t="shared" si="137"/>
        <v>0.0895124037639008</v>
      </c>
      <c r="Y45" s="46">
        <f t="shared" si="137"/>
        <v>0.0931479820627803</v>
      </c>
      <c r="Z45" s="46">
        <f t="shared" si="137"/>
        <v>0.094579226686884</v>
      </c>
      <c r="AA45" s="46">
        <f t="shared" si="137"/>
        <v>0.0949282118217415</v>
      </c>
      <c r="AB45" s="47">
        <f t="shared" si="137"/>
        <v>0.0781489841986456</v>
      </c>
      <c r="AC45" s="47">
        <f t="shared" si="137"/>
        <v>0.0918464803678811</v>
      </c>
      <c r="AD45" s="36"/>
      <c r="AE45" s="36"/>
      <c r="AF45" s="46">
        <f t="shared" ref="AF45:AJ45" si="138" xml:space="preserve">W45</f>
        <v>0.0908876536971534</v>
      </c>
      <c r="AG45" s="46">
        <f t="shared" si="138"/>
        <v>0.0895124037639008</v>
      </c>
      <c r="AH45" s="46">
        <f t="shared" si="138"/>
        <v>0.0931479820627803</v>
      </c>
      <c r="AI45" s="46">
        <f t="shared" si="138"/>
        <v>0.094579226686884</v>
      </c>
      <c r="AJ45" s="46">
        <f t="shared" si="138"/>
        <v>0.0949282118217415</v>
      </c>
      <c r="AK45" s="48">
        <f t="shared" si="131"/>
        <v>0.0898713318284424</v>
      </c>
      <c r="AL45" s="48">
        <f t="shared" si="132"/>
        <v>0.105623452423063</v>
      </c>
      <c r="AO45" s="46">
        <f t="shared" ref="AO45:AS45" si="139" xml:space="preserve">W45</f>
        <v>0.0908876536971534</v>
      </c>
      <c r="AP45" s="46">
        <f t="shared" si="139"/>
        <v>0.0895124037639008</v>
      </c>
      <c r="AQ45" s="46">
        <f t="shared" si="139"/>
        <v>0.0931479820627803</v>
      </c>
      <c r="AR45" s="46">
        <f t="shared" si="139"/>
        <v>0.094579226686884</v>
      </c>
      <c r="AS45" s="46">
        <f t="shared" si="139"/>
        <v>0.0949282118217415</v>
      </c>
      <c r="AT45" s="48">
        <f t="shared" si="134"/>
        <v>0.0664266365688488</v>
      </c>
      <c r="AU45" s="48">
        <f t="shared" si="135"/>
        <v>0.078069508312699</v>
      </c>
      <c r="AZ45" s="35"/>
      <c r="BA45" s="43" t="s">
        <v>407</v>
      </c>
      <c r="BB45" s="44">
        <v>609.2</v>
      </c>
      <c r="BC45" s="46">
        <v>539.6</v>
      </c>
      <c r="BD45" s="46">
        <v>523.2</v>
      </c>
      <c r="BE45" s="46">
        <v>519.3</v>
      </c>
      <c r="BF45" s="46">
        <v>499</v>
      </c>
      <c r="BG45" s="46">
        <v>509.1</v>
      </c>
      <c r="BH45" s="46">
        <v>519.3</v>
      </c>
      <c r="BI45" s="46">
        <v>519.3</v>
      </c>
      <c r="BJ45" s="36"/>
      <c r="BK45" s="36"/>
      <c r="BL45" s="49"/>
      <c r="BM45" s="49"/>
      <c r="BN45" s="49"/>
      <c r="BO45" s="49"/>
    </row>
    <row r="46" ht="15.5" spans="1:67">
      <c r="A46" s="35"/>
      <c r="B46" s="43" t="s">
        <v>408</v>
      </c>
      <c r="C46" s="44">
        <f t="shared" ref="C46:J46" si="140" xml:space="preserve">BB46/1000</f>
        <v>0.1429</v>
      </c>
      <c r="D46" s="44">
        <f t="shared" si="140"/>
        <v>0.1194</v>
      </c>
      <c r="E46" s="44">
        <f t="shared" si="140"/>
        <v>0.114</v>
      </c>
      <c r="F46" s="44">
        <f t="shared" si="140"/>
        <v>0.1127</v>
      </c>
      <c r="G46" s="44">
        <f t="shared" si="140"/>
        <v>0.1061</v>
      </c>
      <c r="H46" s="44">
        <f t="shared" si="140"/>
        <v>0.1094</v>
      </c>
      <c r="I46" s="44">
        <f t="shared" si="140"/>
        <v>0.1127</v>
      </c>
      <c r="J46" s="44">
        <f t="shared" si="140"/>
        <v>0.1127</v>
      </c>
      <c r="K46" s="36"/>
      <c r="L46" s="36"/>
      <c r="M46" s="49">
        <v>5.937</v>
      </c>
      <c r="N46" s="49">
        <v>5.845</v>
      </c>
      <c r="O46" s="49">
        <v>5.575</v>
      </c>
      <c r="P46" s="49">
        <v>5.276</v>
      </c>
      <c r="Q46" s="49">
        <v>5.363</v>
      </c>
      <c r="R46" s="49">
        <v>6.645</v>
      </c>
      <c r="S46" s="49">
        <v>5.654</v>
      </c>
      <c r="T46" s="49"/>
      <c r="U46" s="35"/>
      <c r="V46" s="43" t="s">
        <v>408</v>
      </c>
      <c r="W46" s="46">
        <f t="shared" ref="W46:AC46" si="141" xml:space="preserve">D46/M46</f>
        <v>0.02011116725619</v>
      </c>
      <c r="X46" s="46">
        <f t="shared" si="141"/>
        <v>0.0195038494439692</v>
      </c>
      <c r="Y46" s="46">
        <f t="shared" si="141"/>
        <v>0.0202152466367713</v>
      </c>
      <c r="Z46" s="46">
        <f t="shared" si="141"/>
        <v>0.0201099317664898</v>
      </c>
      <c r="AA46" s="46">
        <f t="shared" si="141"/>
        <v>0.0203990303934365</v>
      </c>
      <c r="AB46" s="47">
        <f t="shared" si="141"/>
        <v>0.0169601203912716</v>
      </c>
      <c r="AC46" s="47">
        <f t="shared" si="141"/>
        <v>0.0199327909444641</v>
      </c>
      <c r="AD46" s="36"/>
      <c r="AE46" s="36"/>
      <c r="AF46" s="46">
        <f t="shared" ref="AF46:AJ46" si="142" xml:space="preserve">W46</f>
        <v>0.02011116725619</v>
      </c>
      <c r="AG46" s="46">
        <f t="shared" si="142"/>
        <v>0.0195038494439692</v>
      </c>
      <c r="AH46" s="46">
        <f t="shared" si="142"/>
        <v>0.0202152466367713</v>
      </c>
      <c r="AI46" s="46">
        <f t="shared" si="142"/>
        <v>0.0201099317664898</v>
      </c>
      <c r="AJ46" s="46">
        <f t="shared" si="142"/>
        <v>0.0203990303934365</v>
      </c>
      <c r="AK46" s="48">
        <f t="shared" si="131"/>
        <v>0.0195041384499624</v>
      </c>
      <c r="AL46" s="48">
        <f t="shared" si="132"/>
        <v>0.0229227095861337</v>
      </c>
      <c r="AO46" s="46">
        <f t="shared" ref="AO46:AS46" si="143" xml:space="preserve">W46</f>
        <v>0.02011116725619</v>
      </c>
      <c r="AP46" s="46">
        <f t="shared" si="143"/>
        <v>0.0195038494439692</v>
      </c>
      <c r="AQ46" s="46">
        <f t="shared" si="143"/>
        <v>0.0202152466367713</v>
      </c>
      <c r="AR46" s="46">
        <f t="shared" si="143"/>
        <v>0.0201099317664898</v>
      </c>
      <c r="AS46" s="46">
        <f t="shared" si="143"/>
        <v>0.0203990303934365</v>
      </c>
      <c r="AT46" s="48">
        <f t="shared" si="134"/>
        <v>0.0144161023325809</v>
      </c>
      <c r="AU46" s="48">
        <f t="shared" si="135"/>
        <v>0.0169428723027945</v>
      </c>
      <c r="AZ46" s="35"/>
      <c r="BA46" s="43" t="s">
        <v>408</v>
      </c>
      <c r="BB46" s="44">
        <v>142.9</v>
      </c>
      <c r="BC46" s="46">
        <v>119.4</v>
      </c>
      <c r="BD46" s="46">
        <v>114</v>
      </c>
      <c r="BE46" s="46">
        <v>112.7</v>
      </c>
      <c r="BF46" s="46">
        <v>106.1</v>
      </c>
      <c r="BG46" s="46">
        <v>109.4</v>
      </c>
      <c r="BH46" s="46">
        <v>112.7</v>
      </c>
      <c r="BI46" s="46">
        <v>112.7</v>
      </c>
      <c r="BJ46" s="36"/>
      <c r="BK46" s="36"/>
      <c r="BL46" s="49"/>
      <c r="BM46" s="49"/>
      <c r="BN46" s="49"/>
      <c r="BO46" s="49"/>
    </row>
    <row r="47" ht="15.5" spans="1:67">
      <c r="A47" s="35"/>
      <c r="B47" s="43" t="s">
        <v>409</v>
      </c>
      <c r="C47" s="44">
        <f t="shared" ref="C47:J47" si="144" xml:space="preserve">BB47/1000</f>
        <v>0.4256</v>
      </c>
      <c r="D47" s="44">
        <f t="shared" si="144"/>
        <v>0.3807</v>
      </c>
      <c r="E47" s="44">
        <f t="shared" si="144"/>
        <v>0.3703</v>
      </c>
      <c r="F47" s="44">
        <f t="shared" si="144"/>
        <v>0.3679</v>
      </c>
      <c r="G47" s="44">
        <f t="shared" si="144"/>
        <v>0.3552</v>
      </c>
      <c r="H47" s="44">
        <f t="shared" si="144"/>
        <v>0.3613</v>
      </c>
      <c r="I47" s="44">
        <f t="shared" si="144"/>
        <v>0.3679</v>
      </c>
      <c r="J47" s="44">
        <f t="shared" si="144"/>
        <v>0.3679</v>
      </c>
      <c r="K47" s="36"/>
      <c r="L47" s="36"/>
      <c r="M47" s="49">
        <v>5.937</v>
      </c>
      <c r="N47" s="49">
        <v>5.845</v>
      </c>
      <c r="O47" s="49">
        <v>5.575</v>
      </c>
      <c r="P47" s="49">
        <v>5.276</v>
      </c>
      <c r="Q47" s="49">
        <v>5.363</v>
      </c>
      <c r="R47" s="49">
        <v>6.645</v>
      </c>
      <c r="S47" s="49">
        <v>5.654</v>
      </c>
      <c r="T47" s="49"/>
      <c r="U47" s="35"/>
      <c r="V47" s="43" t="s">
        <v>409</v>
      </c>
      <c r="W47" s="46">
        <f t="shared" ref="W47:AC47" si="145" xml:space="preserve">D47/M47</f>
        <v>0.0641232945932289</v>
      </c>
      <c r="X47" s="46">
        <f t="shared" si="145"/>
        <v>0.0633532934131737</v>
      </c>
      <c r="Y47" s="46">
        <f t="shared" si="145"/>
        <v>0.0659910313901345</v>
      </c>
      <c r="Z47" s="46">
        <f t="shared" si="145"/>
        <v>0.0673237300985595</v>
      </c>
      <c r="AA47" s="46">
        <f t="shared" si="145"/>
        <v>0.0673690098825284</v>
      </c>
      <c r="AB47" s="47">
        <f t="shared" si="145"/>
        <v>0.055364936042137</v>
      </c>
      <c r="AC47" s="47">
        <f t="shared" si="145"/>
        <v>0.0650689777148921</v>
      </c>
      <c r="AD47" s="36"/>
      <c r="AE47" s="36"/>
      <c r="AF47" s="46">
        <f t="shared" ref="AF47:AJ47" si="146" xml:space="preserve">W47</f>
        <v>0.0641232945932289</v>
      </c>
      <c r="AG47" s="46">
        <f t="shared" si="146"/>
        <v>0.0633532934131737</v>
      </c>
      <c r="AH47" s="46">
        <f t="shared" si="146"/>
        <v>0.0659910313901345</v>
      </c>
      <c r="AI47" s="46">
        <f t="shared" si="146"/>
        <v>0.0673237300985595</v>
      </c>
      <c r="AJ47" s="46">
        <f t="shared" si="146"/>
        <v>0.0673690098825284</v>
      </c>
      <c r="AK47" s="48">
        <f t="shared" si="131"/>
        <v>0.0636696764484575</v>
      </c>
      <c r="AL47" s="48">
        <f t="shared" si="132"/>
        <v>0.0748293243721259</v>
      </c>
      <c r="AO47" s="46">
        <f t="shared" ref="AO47:AS47" si="147" xml:space="preserve">W47</f>
        <v>0.0641232945932289</v>
      </c>
      <c r="AP47" s="46">
        <f t="shared" si="147"/>
        <v>0.0633532934131737</v>
      </c>
      <c r="AQ47" s="46">
        <f t="shared" si="147"/>
        <v>0.0659910313901345</v>
      </c>
      <c r="AR47" s="46">
        <f t="shared" si="147"/>
        <v>0.0673237300985595</v>
      </c>
      <c r="AS47" s="46">
        <f t="shared" si="147"/>
        <v>0.0673690098825284</v>
      </c>
      <c r="AT47" s="48">
        <f t="shared" si="134"/>
        <v>0.0470601956358164</v>
      </c>
      <c r="AU47" s="48">
        <f t="shared" si="135"/>
        <v>0.0553086310576583</v>
      </c>
      <c r="AZ47" s="35"/>
      <c r="BA47" s="43" t="s">
        <v>409</v>
      </c>
      <c r="BB47" s="44">
        <v>425.6</v>
      </c>
      <c r="BC47" s="46">
        <v>380.7</v>
      </c>
      <c r="BD47" s="46">
        <v>370.3</v>
      </c>
      <c r="BE47" s="46">
        <v>367.9</v>
      </c>
      <c r="BF47" s="46">
        <v>355.2</v>
      </c>
      <c r="BG47" s="46">
        <v>361.3</v>
      </c>
      <c r="BH47" s="46">
        <v>367.9</v>
      </c>
      <c r="BI47" s="46">
        <v>367.9</v>
      </c>
      <c r="BJ47" s="36"/>
      <c r="BK47" s="36"/>
      <c r="BL47" s="49"/>
      <c r="BM47" s="49"/>
      <c r="BN47" s="49"/>
      <c r="BO47" s="49"/>
    </row>
    <row r="48" ht="15.5" spans="1:67">
      <c r="A48" s="35"/>
      <c r="B48" s="43" t="s">
        <v>410</v>
      </c>
      <c r="C48" s="44">
        <f t="shared" ref="C48:J48" si="148" xml:space="preserve">BB48/1000</f>
        <v>0.0846</v>
      </c>
      <c r="D48" s="44">
        <f t="shared" si="148"/>
        <v>0.077</v>
      </c>
      <c r="E48" s="44">
        <f t="shared" si="148"/>
        <v>0.0749</v>
      </c>
      <c r="F48" s="44">
        <f t="shared" si="148"/>
        <v>0.0744</v>
      </c>
      <c r="G48" s="44">
        <f t="shared" si="148"/>
        <v>0.0717</v>
      </c>
      <c r="H48" s="44">
        <f t="shared" si="148"/>
        <v>0.0731</v>
      </c>
      <c r="I48" s="44">
        <f t="shared" si="148"/>
        <v>0.0744</v>
      </c>
      <c r="J48" s="44">
        <f t="shared" si="148"/>
        <v>0.0744</v>
      </c>
      <c r="K48" s="36"/>
      <c r="L48" s="36"/>
      <c r="M48" s="49">
        <v>5.937</v>
      </c>
      <c r="N48" s="49">
        <v>5.845</v>
      </c>
      <c r="O48" s="49">
        <v>5.575</v>
      </c>
      <c r="P48" s="49">
        <v>5.276</v>
      </c>
      <c r="Q48" s="49">
        <v>5.363</v>
      </c>
      <c r="R48" s="49">
        <v>6.645</v>
      </c>
      <c r="S48" s="49">
        <v>5.654</v>
      </c>
      <c r="T48" s="49"/>
      <c r="U48" s="35"/>
      <c r="V48" s="43" t="s">
        <v>410</v>
      </c>
      <c r="W48" s="46">
        <f t="shared" ref="W48:AC48" si="149" xml:space="preserve">D48/M48</f>
        <v>0.0129695132221661</v>
      </c>
      <c r="X48" s="46">
        <f t="shared" si="149"/>
        <v>0.012814371257485</v>
      </c>
      <c r="Y48" s="46">
        <f t="shared" si="149"/>
        <v>0.0133452914798206</v>
      </c>
      <c r="Z48" s="46">
        <f t="shared" si="149"/>
        <v>0.0135898407884761</v>
      </c>
      <c r="AA48" s="46">
        <f t="shared" si="149"/>
        <v>0.0136304307290695</v>
      </c>
      <c r="AB48" s="47">
        <f t="shared" si="149"/>
        <v>0.011196388261851</v>
      </c>
      <c r="AC48" s="47">
        <f t="shared" si="149"/>
        <v>0.0131588256101875</v>
      </c>
      <c r="AD48" s="36"/>
      <c r="AE48" s="36"/>
      <c r="AF48" s="46">
        <f t="shared" ref="AF48:AJ48" si="150" xml:space="preserve">W48</f>
        <v>0.0129695132221661</v>
      </c>
      <c r="AG48" s="46">
        <f t="shared" si="150"/>
        <v>0.012814371257485</v>
      </c>
      <c r="AH48" s="46">
        <f t="shared" si="150"/>
        <v>0.0133452914798206</v>
      </c>
      <c r="AI48" s="46">
        <f t="shared" si="150"/>
        <v>0.0135898407884761</v>
      </c>
      <c r="AJ48" s="46">
        <f t="shared" si="150"/>
        <v>0.0136304307290695</v>
      </c>
      <c r="AK48" s="48">
        <f t="shared" si="131"/>
        <v>0.0128758465011287</v>
      </c>
      <c r="AL48" s="48">
        <f t="shared" si="132"/>
        <v>0.0151326494517156</v>
      </c>
      <c r="AO48" s="46">
        <f t="shared" ref="AO48:AS48" si="151" xml:space="preserve">W48</f>
        <v>0.0129695132221661</v>
      </c>
      <c r="AP48" s="46">
        <f t="shared" si="151"/>
        <v>0.012814371257485</v>
      </c>
      <c r="AQ48" s="46">
        <f t="shared" si="151"/>
        <v>0.0133452914798206</v>
      </c>
      <c r="AR48" s="46">
        <f t="shared" si="151"/>
        <v>0.0135898407884761</v>
      </c>
      <c r="AS48" s="46">
        <f t="shared" si="151"/>
        <v>0.0136304307290695</v>
      </c>
      <c r="AT48" s="48">
        <f t="shared" si="134"/>
        <v>0.00951693002257336</v>
      </c>
      <c r="AU48" s="48">
        <f t="shared" si="135"/>
        <v>0.0111850017686594</v>
      </c>
      <c r="AZ48" s="35"/>
      <c r="BA48" s="43" t="s">
        <v>410</v>
      </c>
      <c r="BB48" s="44">
        <v>84.6</v>
      </c>
      <c r="BC48" s="46">
        <v>77</v>
      </c>
      <c r="BD48" s="46">
        <v>74.9</v>
      </c>
      <c r="BE48" s="46">
        <v>74.4</v>
      </c>
      <c r="BF48" s="46">
        <v>71.7</v>
      </c>
      <c r="BG48" s="46">
        <v>73.1</v>
      </c>
      <c r="BH48" s="46">
        <v>74.4</v>
      </c>
      <c r="BI48" s="46">
        <v>74.4</v>
      </c>
      <c r="BJ48" s="36"/>
      <c r="BK48" s="36"/>
      <c r="BL48" s="49"/>
      <c r="BM48" s="49"/>
      <c r="BN48" s="49"/>
      <c r="BO48" s="49"/>
    </row>
    <row r="49" ht="15.5" spans="1:67">
      <c r="A49" s="35" t="s">
        <v>301</v>
      </c>
      <c r="B49" s="43" t="s">
        <v>406</v>
      </c>
      <c r="C49" s="44">
        <f t="shared" ref="C49:J49" si="152" xml:space="preserve">BB49/1000</f>
        <v>0.6792</v>
      </c>
      <c r="D49" s="44">
        <f t="shared" si="152"/>
        <v>0.5984</v>
      </c>
      <c r="E49" s="44">
        <f t="shared" si="152"/>
        <v>0.5794</v>
      </c>
      <c r="F49" s="44">
        <f t="shared" si="152"/>
        <v>0.575</v>
      </c>
      <c r="G49" s="44">
        <f t="shared" si="152"/>
        <v>0.5517</v>
      </c>
      <c r="H49" s="44">
        <f t="shared" si="152"/>
        <v>0.5632</v>
      </c>
      <c r="I49" s="44">
        <f t="shared" si="152"/>
        <v>0.575</v>
      </c>
      <c r="J49" s="44">
        <f t="shared" si="152"/>
        <v>0.575</v>
      </c>
      <c r="K49" s="36"/>
      <c r="L49" s="36"/>
      <c r="M49" s="49">
        <v>5.937</v>
      </c>
      <c r="N49" s="49">
        <v>5.845</v>
      </c>
      <c r="O49" s="49">
        <v>5.575</v>
      </c>
      <c r="P49" s="49">
        <v>5.276</v>
      </c>
      <c r="Q49" s="49">
        <v>5.363</v>
      </c>
      <c r="R49" s="49">
        <v>6.645</v>
      </c>
      <c r="S49" s="49">
        <v>5.654</v>
      </c>
      <c r="T49" s="49"/>
      <c r="U49" s="35" t="s">
        <v>301</v>
      </c>
      <c r="V49" s="43" t="s">
        <v>406</v>
      </c>
      <c r="W49" s="46">
        <f t="shared" ref="W49:AC49" si="153" xml:space="preserve">D49/M49</f>
        <v>0.100791645612262</v>
      </c>
      <c r="X49" s="46">
        <f t="shared" si="153"/>
        <v>0.0991274593669803</v>
      </c>
      <c r="Y49" s="46">
        <f t="shared" si="153"/>
        <v>0.103139013452915</v>
      </c>
      <c r="Z49" s="46">
        <f t="shared" si="153"/>
        <v>0.104567854435178</v>
      </c>
      <c r="AA49" s="46">
        <f t="shared" si="153"/>
        <v>0.105015849338057</v>
      </c>
      <c r="AB49" s="47">
        <f t="shared" si="153"/>
        <v>0.0865312264860798</v>
      </c>
      <c r="AC49" s="47">
        <f t="shared" si="153"/>
        <v>0.10169791298196</v>
      </c>
      <c r="AD49" s="36"/>
      <c r="AE49" s="36"/>
      <c r="AF49" s="46">
        <f t="shared" ref="AF49:AJ49" si="154" xml:space="preserve">W49</f>
        <v>0.100791645612262</v>
      </c>
      <c r="AG49" s="46">
        <f t="shared" si="154"/>
        <v>0.0991274593669803</v>
      </c>
      <c r="AH49" s="46">
        <f t="shared" si="154"/>
        <v>0.103139013452915</v>
      </c>
      <c r="AI49" s="46">
        <f t="shared" si="154"/>
        <v>0.104567854435178</v>
      </c>
      <c r="AJ49" s="46">
        <f t="shared" si="154"/>
        <v>0.105015849338057</v>
      </c>
      <c r="AK49" s="48">
        <f t="shared" si="131"/>
        <v>0.0995109104589917</v>
      </c>
      <c r="AL49" s="48">
        <f t="shared" si="132"/>
        <v>0.116952599929254</v>
      </c>
      <c r="AO49" s="46">
        <f t="shared" ref="AO49:AS49" si="155" xml:space="preserve">W49</f>
        <v>0.100791645612262</v>
      </c>
      <c r="AP49" s="46">
        <f t="shared" si="155"/>
        <v>0.0991274593669803</v>
      </c>
      <c r="AQ49" s="46">
        <f t="shared" si="155"/>
        <v>0.103139013452915</v>
      </c>
      <c r="AR49" s="46">
        <f t="shared" si="155"/>
        <v>0.104567854435178</v>
      </c>
      <c r="AS49" s="46">
        <f t="shared" si="155"/>
        <v>0.105015849338057</v>
      </c>
      <c r="AT49" s="48">
        <f t="shared" si="134"/>
        <v>0.0735515425131678</v>
      </c>
      <c r="AU49" s="48">
        <f t="shared" si="135"/>
        <v>0.0864432260346657</v>
      </c>
      <c r="AZ49" s="35" t="s">
        <v>301</v>
      </c>
      <c r="BA49" s="43" t="s">
        <v>406</v>
      </c>
      <c r="BB49" s="44">
        <v>679.2</v>
      </c>
      <c r="BC49" s="46">
        <v>598.4</v>
      </c>
      <c r="BD49" s="46">
        <v>579.4</v>
      </c>
      <c r="BE49" s="46">
        <v>575</v>
      </c>
      <c r="BF49" s="46">
        <v>551.7</v>
      </c>
      <c r="BG49" s="46">
        <v>563.2</v>
      </c>
      <c r="BH49" s="46">
        <v>575</v>
      </c>
      <c r="BI49" s="46">
        <v>575</v>
      </c>
      <c r="BJ49" s="36"/>
      <c r="BK49" s="36"/>
      <c r="BL49" s="49"/>
      <c r="BM49" s="49"/>
      <c r="BN49" s="49"/>
      <c r="BO49" s="49"/>
    </row>
    <row r="50" ht="15.5" spans="1:67">
      <c r="A50" s="35"/>
      <c r="B50" s="43" t="s">
        <v>407</v>
      </c>
      <c r="C50" s="44">
        <f t="shared" ref="C50:J50" si="156" xml:space="preserve">BB50/1000</f>
        <v>0.6241</v>
      </c>
      <c r="D50" s="44">
        <f t="shared" si="156"/>
        <v>0.5523</v>
      </c>
      <c r="E50" s="44">
        <f t="shared" si="156"/>
        <v>0.5353</v>
      </c>
      <c r="F50" s="44">
        <f t="shared" si="156"/>
        <v>0.5314</v>
      </c>
      <c r="G50" s="44">
        <f t="shared" si="156"/>
        <v>0.5105</v>
      </c>
      <c r="H50" s="44">
        <f t="shared" si="156"/>
        <v>0.5209</v>
      </c>
      <c r="I50" s="44">
        <f t="shared" si="156"/>
        <v>0.5314</v>
      </c>
      <c r="J50" s="44">
        <f t="shared" si="156"/>
        <v>0.5314</v>
      </c>
      <c r="K50" s="36"/>
      <c r="L50" s="36"/>
      <c r="M50" s="49">
        <v>5.937</v>
      </c>
      <c r="N50" s="49">
        <v>5.845</v>
      </c>
      <c r="O50" s="49">
        <v>5.575</v>
      </c>
      <c r="P50" s="49">
        <v>5.276</v>
      </c>
      <c r="Q50" s="49">
        <v>5.363</v>
      </c>
      <c r="R50" s="49">
        <v>6.645</v>
      </c>
      <c r="S50" s="49">
        <v>5.654</v>
      </c>
      <c r="T50" s="49"/>
      <c r="U50" s="35"/>
      <c r="V50" s="43" t="s">
        <v>407</v>
      </c>
      <c r="W50" s="46">
        <f t="shared" ref="W50:AC50" si="157" xml:space="preserve">D50/M50</f>
        <v>0.0930267812026276</v>
      </c>
      <c r="X50" s="46">
        <f t="shared" si="157"/>
        <v>0.0915825491873396</v>
      </c>
      <c r="Y50" s="46">
        <f t="shared" si="157"/>
        <v>0.0953183856502242</v>
      </c>
      <c r="Z50" s="46">
        <f t="shared" si="157"/>
        <v>0.0967589082638362</v>
      </c>
      <c r="AA50" s="46">
        <f t="shared" si="157"/>
        <v>0.0971284728696625</v>
      </c>
      <c r="AB50" s="47">
        <f t="shared" si="157"/>
        <v>0.0799699021820918</v>
      </c>
      <c r="AC50" s="47">
        <f t="shared" si="157"/>
        <v>0.0939865581888928</v>
      </c>
      <c r="AD50" s="36"/>
      <c r="AE50" s="36"/>
      <c r="AF50" s="46">
        <f t="shared" ref="AF50:AJ50" si="158" xml:space="preserve">W50</f>
        <v>0.0930267812026276</v>
      </c>
      <c r="AG50" s="46">
        <f t="shared" si="158"/>
        <v>0.0915825491873396</v>
      </c>
      <c r="AH50" s="46">
        <f t="shared" si="158"/>
        <v>0.0953183856502242</v>
      </c>
      <c r="AI50" s="46">
        <f t="shared" si="158"/>
        <v>0.0967589082638362</v>
      </c>
      <c r="AJ50" s="46">
        <f t="shared" si="158"/>
        <v>0.0971284728696625</v>
      </c>
      <c r="AK50" s="48">
        <f t="shared" si="131"/>
        <v>0.0919653875094056</v>
      </c>
      <c r="AL50" s="48">
        <f t="shared" si="132"/>
        <v>0.108084541917227</v>
      </c>
      <c r="AO50" s="46">
        <f t="shared" ref="AO50:AS50" si="159" xml:space="preserve">W50</f>
        <v>0.0930267812026276</v>
      </c>
      <c r="AP50" s="46">
        <f t="shared" si="159"/>
        <v>0.0915825491873396</v>
      </c>
      <c r="AQ50" s="46">
        <f t="shared" si="159"/>
        <v>0.0953183856502242</v>
      </c>
      <c r="AR50" s="46">
        <f t="shared" si="159"/>
        <v>0.0967589082638362</v>
      </c>
      <c r="AS50" s="46">
        <f t="shared" si="159"/>
        <v>0.0971284728696625</v>
      </c>
      <c r="AT50" s="48">
        <f t="shared" si="134"/>
        <v>0.067974416854778</v>
      </c>
      <c r="AU50" s="48">
        <f t="shared" si="135"/>
        <v>0.0798885744605589</v>
      </c>
      <c r="AZ50" s="35"/>
      <c r="BA50" s="43" t="s">
        <v>407</v>
      </c>
      <c r="BB50" s="44">
        <v>624.1</v>
      </c>
      <c r="BC50" s="46">
        <v>552.3</v>
      </c>
      <c r="BD50" s="46">
        <v>535.3</v>
      </c>
      <c r="BE50" s="46">
        <v>531.4</v>
      </c>
      <c r="BF50" s="46">
        <v>510.5</v>
      </c>
      <c r="BG50" s="46">
        <v>520.9</v>
      </c>
      <c r="BH50" s="46">
        <v>531.4</v>
      </c>
      <c r="BI50" s="46">
        <v>531.4</v>
      </c>
      <c r="BJ50" s="36"/>
      <c r="BK50" s="36"/>
      <c r="BL50" s="49"/>
      <c r="BM50" s="49"/>
      <c r="BN50" s="49"/>
      <c r="BO50" s="49"/>
    </row>
    <row r="51" ht="15.5" spans="1:67">
      <c r="A51" s="35"/>
      <c r="B51" s="43" t="s">
        <v>408</v>
      </c>
      <c r="C51" s="44">
        <f t="shared" ref="C51:J51" si="160" xml:space="preserve">BB51/1000</f>
        <v>0.1745</v>
      </c>
      <c r="D51" s="44">
        <f t="shared" si="160"/>
        <v>0.1463</v>
      </c>
      <c r="E51" s="44">
        <f t="shared" si="160"/>
        <v>0.1398</v>
      </c>
      <c r="F51" s="44">
        <f t="shared" si="160"/>
        <v>0.1383</v>
      </c>
      <c r="G51" s="44">
        <f t="shared" si="160"/>
        <v>0.1304</v>
      </c>
      <c r="H51" s="44">
        <f t="shared" si="160"/>
        <v>0.1343</v>
      </c>
      <c r="I51" s="44">
        <f t="shared" si="160"/>
        <v>0.1383</v>
      </c>
      <c r="J51" s="44">
        <f t="shared" si="160"/>
        <v>0.1383</v>
      </c>
      <c r="K51" s="36"/>
      <c r="L51" s="36"/>
      <c r="M51" s="49">
        <v>5.937</v>
      </c>
      <c r="N51" s="49">
        <v>5.845</v>
      </c>
      <c r="O51" s="49">
        <v>5.575</v>
      </c>
      <c r="P51" s="49">
        <v>5.276</v>
      </c>
      <c r="Q51" s="49">
        <v>5.363</v>
      </c>
      <c r="R51" s="49">
        <v>6.645</v>
      </c>
      <c r="S51" s="49">
        <v>5.654</v>
      </c>
      <c r="T51" s="49"/>
      <c r="U51" s="35"/>
      <c r="V51" s="43" t="s">
        <v>408</v>
      </c>
      <c r="W51" s="46">
        <f t="shared" ref="W51:AC51" si="161" xml:space="preserve">D51/M51</f>
        <v>0.0246420751221155</v>
      </c>
      <c r="X51" s="46">
        <f t="shared" si="161"/>
        <v>0.023917878528657</v>
      </c>
      <c r="Y51" s="46">
        <f t="shared" si="161"/>
        <v>0.0248071748878924</v>
      </c>
      <c r="Z51" s="46">
        <f t="shared" si="161"/>
        <v>0.0247156937073541</v>
      </c>
      <c r="AA51" s="46">
        <f t="shared" si="161"/>
        <v>0.025041954130151</v>
      </c>
      <c r="AB51" s="47">
        <f t="shared" si="161"/>
        <v>0.0208126410835214</v>
      </c>
      <c r="AC51" s="47">
        <f t="shared" si="161"/>
        <v>0.0244605588963566</v>
      </c>
      <c r="AD51" s="36"/>
      <c r="AE51" s="36"/>
      <c r="AF51" s="46">
        <f t="shared" ref="AF51:AJ51" si="162" xml:space="preserve">W51</f>
        <v>0.0246420751221155</v>
      </c>
      <c r="AG51" s="46">
        <f t="shared" si="162"/>
        <v>0.023917878528657</v>
      </c>
      <c r="AH51" s="46">
        <f t="shared" si="162"/>
        <v>0.0248071748878924</v>
      </c>
      <c r="AI51" s="46">
        <f t="shared" si="162"/>
        <v>0.0247156937073541</v>
      </c>
      <c r="AJ51" s="46">
        <f t="shared" si="162"/>
        <v>0.025041954130151</v>
      </c>
      <c r="AK51" s="48">
        <f t="shared" si="131"/>
        <v>0.0239345372460497</v>
      </c>
      <c r="AL51" s="48">
        <f t="shared" si="132"/>
        <v>0.02812964273081</v>
      </c>
      <c r="AO51" s="46">
        <f t="shared" ref="AO51:AS51" si="163" xml:space="preserve">W51</f>
        <v>0.0246420751221155</v>
      </c>
      <c r="AP51" s="46">
        <f t="shared" si="163"/>
        <v>0.023917878528657</v>
      </c>
      <c r="AQ51" s="46">
        <f t="shared" si="163"/>
        <v>0.0248071748878924</v>
      </c>
      <c r="AR51" s="46">
        <f t="shared" si="163"/>
        <v>0.0247156937073541</v>
      </c>
      <c r="AS51" s="46">
        <f t="shared" si="163"/>
        <v>0.025041954130151</v>
      </c>
      <c r="AT51" s="48">
        <f t="shared" si="134"/>
        <v>0.0176907449209932</v>
      </c>
      <c r="AU51" s="48">
        <f t="shared" si="135"/>
        <v>0.0207914750619031</v>
      </c>
      <c r="AZ51" s="35"/>
      <c r="BA51" s="43" t="s">
        <v>408</v>
      </c>
      <c r="BB51" s="44">
        <v>174.5</v>
      </c>
      <c r="BC51" s="46">
        <v>146.3</v>
      </c>
      <c r="BD51" s="46">
        <v>139.8</v>
      </c>
      <c r="BE51" s="46">
        <v>138.3</v>
      </c>
      <c r="BF51" s="46">
        <v>130.4</v>
      </c>
      <c r="BG51" s="46">
        <v>134.3</v>
      </c>
      <c r="BH51" s="46">
        <v>138.3</v>
      </c>
      <c r="BI51" s="46">
        <v>138.3</v>
      </c>
      <c r="BJ51" s="36"/>
      <c r="BK51" s="36"/>
      <c r="BL51" s="49"/>
      <c r="BM51" s="49"/>
      <c r="BN51" s="49"/>
      <c r="BO51" s="49"/>
    </row>
    <row r="52" ht="15.5" spans="1:67">
      <c r="A52" s="35"/>
      <c r="B52" s="43" t="s">
        <v>409</v>
      </c>
      <c r="C52" s="44">
        <f t="shared" ref="C52:J52" si="164" xml:space="preserve">BB52/1000</f>
        <v>0.4064</v>
      </c>
      <c r="D52" s="44">
        <f t="shared" si="164"/>
        <v>0.3643</v>
      </c>
      <c r="E52" s="44">
        <f t="shared" si="164"/>
        <v>0.3546</v>
      </c>
      <c r="F52" s="44">
        <f t="shared" si="164"/>
        <v>0.3523</v>
      </c>
      <c r="G52" s="44">
        <f t="shared" si="164"/>
        <v>0.3404</v>
      </c>
      <c r="H52" s="44">
        <f t="shared" si="164"/>
        <v>0.3462</v>
      </c>
      <c r="I52" s="44">
        <f t="shared" si="164"/>
        <v>0.3523</v>
      </c>
      <c r="J52" s="44">
        <f t="shared" si="164"/>
        <v>0.3523</v>
      </c>
      <c r="K52" s="36"/>
      <c r="L52" s="36"/>
      <c r="M52" s="49">
        <v>5.937</v>
      </c>
      <c r="N52" s="49">
        <v>5.845</v>
      </c>
      <c r="O52" s="49">
        <v>5.575</v>
      </c>
      <c r="P52" s="49">
        <v>5.276</v>
      </c>
      <c r="Q52" s="49">
        <v>5.363</v>
      </c>
      <c r="R52" s="49">
        <v>6.645</v>
      </c>
      <c r="S52" s="49">
        <v>5.654</v>
      </c>
      <c r="T52" s="49"/>
      <c r="U52" s="35"/>
      <c r="V52" s="43" t="s">
        <v>409</v>
      </c>
      <c r="W52" s="46">
        <f t="shared" ref="W52:AC52" si="165" xml:space="preserve">D52/M52</f>
        <v>0.0613609567121442</v>
      </c>
      <c r="X52" s="46">
        <f t="shared" si="165"/>
        <v>0.0606672369546621</v>
      </c>
      <c r="Y52" s="46">
        <f t="shared" si="165"/>
        <v>0.0631928251121076</v>
      </c>
      <c r="Z52" s="46">
        <f t="shared" si="165"/>
        <v>0.0645185746777862</v>
      </c>
      <c r="AA52" s="46">
        <f t="shared" si="165"/>
        <v>0.0645534215923923</v>
      </c>
      <c r="AB52" s="47">
        <f t="shared" si="165"/>
        <v>0.0530173062452972</v>
      </c>
      <c r="AC52" s="47">
        <f t="shared" si="165"/>
        <v>0.0623098691192076</v>
      </c>
      <c r="AD52" s="36"/>
      <c r="AE52" s="36"/>
      <c r="AF52" s="46">
        <f t="shared" ref="AF52:AJ52" si="166" xml:space="preserve">W52</f>
        <v>0.0613609567121442</v>
      </c>
      <c r="AG52" s="46">
        <f t="shared" si="166"/>
        <v>0.0606672369546621</v>
      </c>
      <c r="AH52" s="46">
        <f t="shared" si="166"/>
        <v>0.0631928251121076</v>
      </c>
      <c r="AI52" s="46">
        <f t="shared" si="166"/>
        <v>0.0645185746777862</v>
      </c>
      <c r="AJ52" s="46">
        <f t="shared" si="166"/>
        <v>0.0645534215923923</v>
      </c>
      <c r="AK52" s="48">
        <f t="shared" si="131"/>
        <v>0.0609699021820918</v>
      </c>
      <c r="AL52" s="48">
        <f t="shared" si="132"/>
        <v>0.0716563494870888</v>
      </c>
      <c r="AO52" s="46">
        <f t="shared" ref="AO52:AS52" si="167" xml:space="preserve">W52</f>
        <v>0.0613609567121442</v>
      </c>
      <c r="AP52" s="46">
        <f t="shared" si="167"/>
        <v>0.0606672369546621</v>
      </c>
      <c r="AQ52" s="46">
        <f t="shared" si="167"/>
        <v>0.0631928251121076</v>
      </c>
      <c r="AR52" s="46">
        <f t="shared" si="167"/>
        <v>0.0645185746777862</v>
      </c>
      <c r="AS52" s="46">
        <f t="shared" si="167"/>
        <v>0.0645534215923923</v>
      </c>
      <c r="AT52" s="48">
        <f t="shared" si="134"/>
        <v>0.0450647103085026</v>
      </c>
      <c r="AU52" s="48">
        <f t="shared" si="135"/>
        <v>0.0529633887513265</v>
      </c>
      <c r="AZ52" s="35"/>
      <c r="BA52" s="43" t="s">
        <v>409</v>
      </c>
      <c r="BB52" s="44">
        <v>406.4</v>
      </c>
      <c r="BC52" s="46">
        <v>364.3</v>
      </c>
      <c r="BD52" s="46">
        <v>354.6</v>
      </c>
      <c r="BE52" s="46">
        <v>352.3</v>
      </c>
      <c r="BF52" s="46">
        <v>340.4</v>
      </c>
      <c r="BG52" s="46">
        <v>346.2</v>
      </c>
      <c r="BH52" s="46">
        <v>352.3</v>
      </c>
      <c r="BI52" s="46">
        <v>352.3</v>
      </c>
      <c r="BJ52" s="36"/>
      <c r="BK52" s="36"/>
      <c r="BL52" s="49"/>
      <c r="BM52" s="49"/>
      <c r="BN52" s="49"/>
      <c r="BO52" s="49"/>
    </row>
    <row r="53" ht="15.5" spans="1:67">
      <c r="A53" s="35"/>
      <c r="B53" s="43" t="s">
        <v>410</v>
      </c>
      <c r="C53" s="44">
        <f t="shared" ref="C53:J53" si="168" xml:space="preserve">BB53/1000</f>
        <v>0.0872</v>
      </c>
      <c r="D53" s="44">
        <f t="shared" si="168"/>
        <v>0.0791</v>
      </c>
      <c r="E53" s="44">
        <f t="shared" si="168"/>
        <v>0.077</v>
      </c>
      <c r="F53" s="44">
        <f t="shared" si="168"/>
        <v>0.0765</v>
      </c>
      <c r="G53" s="44">
        <f t="shared" si="168"/>
        <v>0.0737</v>
      </c>
      <c r="H53" s="44">
        <f t="shared" si="168"/>
        <v>0.0751</v>
      </c>
      <c r="I53" s="44">
        <f t="shared" si="168"/>
        <v>0.0765</v>
      </c>
      <c r="J53" s="44">
        <f t="shared" si="168"/>
        <v>0.0765</v>
      </c>
      <c r="K53" s="36"/>
      <c r="L53" s="36"/>
      <c r="M53" s="49">
        <v>5.937</v>
      </c>
      <c r="N53" s="49">
        <v>5.845</v>
      </c>
      <c r="O53" s="49">
        <v>5.575</v>
      </c>
      <c r="P53" s="49">
        <v>5.276</v>
      </c>
      <c r="Q53" s="49">
        <v>5.363</v>
      </c>
      <c r="R53" s="49">
        <v>6.645</v>
      </c>
      <c r="S53" s="49">
        <v>5.654</v>
      </c>
      <c r="T53" s="49"/>
      <c r="U53" s="35"/>
      <c r="V53" s="43" t="s">
        <v>410</v>
      </c>
      <c r="W53" s="46">
        <f t="shared" ref="W53:AC53" si="169" xml:space="preserve">D53/M53</f>
        <v>0.0133232272191342</v>
      </c>
      <c r="X53" s="46">
        <f t="shared" si="169"/>
        <v>0.0131736526946108</v>
      </c>
      <c r="Y53" s="46">
        <f t="shared" si="169"/>
        <v>0.0137219730941704</v>
      </c>
      <c r="Z53" s="46">
        <f t="shared" si="169"/>
        <v>0.0139689158453374</v>
      </c>
      <c r="AA53" s="46">
        <f t="shared" si="169"/>
        <v>0.0140033563304121</v>
      </c>
      <c r="AB53" s="47">
        <f t="shared" si="169"/>
        <v>0.0115124153498871</v>
      </c>
      <c r="AC53" s="47">
        <f t="shared" si="169"/>
        <v>0.0135302440749912</v>
      </c>
      <c r="AD53" s="36"/>
      <c r="AE53" s="36"/>
      <c r="AF53" s="46">
        <f t="shared" ref="AF53:AJ53" si="170" xml:space="preserve">W53</f>
        <v>0.0133232272191342</v>
      </c>
      <c r="AG53" s="46">
        <f t="shared" si="170"/>
        <v>0.0131736526946108</v>
      </c>
      <c r="AH53" s="46">
        <f t="shared" si="170"/>
        <v>0.0137219730941704</v>
      </c>
      <c r="AI53" s="46">
        <f t="shared" si="170"/>
        <v>0.0139689158453374</v>
      </c>
      <c r="AJ53" s="46">
        <f t="shared" si="170"/>
        <v>0.0140033563304121</v>
      </c>
      <c r="AK53" s="48">
        <f t="shared" si="131"/>
        <v>0.0132392776523702</v>
      </c>
      <c r="AL53" s="48">
        <f t="shared" si="132"/>
        <v>0.0155597806862398</v>
      </c>
      <c r="AO53" s="46">
        <f t="shared" ref="AO53:AS53" si="171" xml:space="preserve">W53</f>
        <v>0.0133232272191342</v>
      </c>
      <c r="AP53" s="46">
        <f t="shared" si="171"/>
        <v>0.0131736526946108</v>
      </c>
      <c r="AQ53" s="46">
        <f t="shared" si="171"/>
        <v>0.0137219730941704</v>
      </c>
      <c r="AR53" s="46">
        <f t="shared" si="171"/>
        <v>0.0139689158453374</v>
      </c>
      <c r="AS53" s="46">
        <f t="shared" si="171"/>
        <v>0.0140033563304121</v>
      </c>
      <c r="AT53" s="48">
        <f t="shared" si="134"/>
        <v>0.00978555304740406</v>
      </c>
      <c r="AU53" s="48">
        <f t="shared" si="135"/>
        <v>0.0115007074637425</v>
      </c>
      <c r="AZ53" s="35"/>
      <c r="BA53" s="43" t="s">
        <v>410</v>
      </c>
      <c r="BB53" s="44">
        <v>87.2</v>
      </c>
      <c r="BC53" s="46">
        <v>79.1</v>
      </c>
      <c r="BD53" s="46">
        <v>77</v>
      </c>
      <c r="BE53" s="46">
        <v>76.5</v>
      </c>
      <c r="BF53" s="46">
        <v>73.7</v>
      </c>
      <c r="BG53" s="46">
        <v>75.1</v>
      </c>
      <c r="BH53" s="46">
        <v>76.5</v>
      </c>
      <c r="BI53" s="46">
        <v>76.5</v>
      </c>
      <c r="BJ53" s="36"/>
      <c r="BK53" s="36"/>
      <c r="BL53" s="49"/>
      <c r="BM53" s="49"/>
      <c r="BN53" s="49"/>
      <c r="BO53" s="49"/>
    </row>
    <row r="54" ht="15.5" spans="1:67">
      <c r="A54" s="35" t="s">
        <v>11</v>
      </c>
      <c r="B54" s="43" t="s">
        <v>406</v>
      </c>
      <c r="C54" s="44">
        <f t="shared" ref="C54:J54" si="172" xml:space="preserve">BB54/1000</f>
        <v>0.6916</v>
      </c>
      <c r="D54" s="44">
        <f t="shared" si="172"/>
        <v>0.6089</v>
      </c>
      <c r="E54" s="44">
        <f t="shared" si="172"/>
        <v>0.5895</v>
      </c>
      <c r="F54" s="44">
        <f t="shared" si="172"/>
        <v>0.585</v>
      </c>
      <c r="G54" s="44">
        <f t="shared" si="172"/>
        <v>0.5612</v>
      </c>
      <c r="H54" s="44">
        <f t="shared" si="172"/>
        <v>0.573</v>
      </c>
      <c r="I54" s="44">
        <f t="shared" si="172"/>
        <v>0.585</v>
      </c>
      <c r="J54" s="44">
        <f t="shared" si="172"/>
        <v>0.585</v>
      </c>
      <c r="K54" s="36"/>
      <c r="L54" s="36"/>
      <c r="M54" s="49">
        <v>5.937</v>
      </c>
      <c r="N54" s="49">
        <v>5.845</v>
      </c>
      <c r="O54" s="49">
        <v>5.575</v>
      </c>
      <c r="P54" s="49">
        <v>5.276</v>
      </c>
      <c r="Q54" s="49">
        <v>5.363</v>
      </c>
      <c r="R54" s="49">
        <v>6.645</v>
      </c>
      <c r="S54" s="49">
        <v>5.654</v>
      </c>
      <c r="T54" s="49"/>
      <c r="U54" s="35" t="s">
        <v>11</v>
      </c>
      <c r="V54" s="43" t="s">
        <v>406</v>
      </c>
      <c r="W54" s="46">
        <f t="shared" ref="W54:AC54" si="173" xml:space="preserve">D54/M54</f>
        <v>0.102560215597103</v>
      </c>
      <c r="X54" s="46">
        <f t="shared" si="173"/>
        <v>0.100855431993157</v>
      </c>
      <c r="Y54" s="46">
        <f t="shared" si="173"/>
        <v>0.104932735426009</v>
      </c>
      <c r="Z54" s="46">
        <f t="shared" si="173"/>
        <v>0.106368460955269</v>
      </c>
      <c r="AA54" s="46">
        <f t="shared" si="173"/>
        <v>0.106843184784635</v>
      </c>
      <c r="AB54" s="47">
        <f t="shared" si="173"/>
        <v>0.0880361173814898</v>
      </c>
      <c r="AC54" s="47">
        <f t="shared" si="173"/>
        <v>0.103466572338168</v>
      </c>
      <c r="AD54" s="36"/>
      <c r="AE54" s="36"/>
      <c r="AF54" s="46">
        <f t="shared" ref="AF54:AJ54" si="174" xml:space="preserve">W54</f>
        <v>0.102560215597103</v>
      </c>
      <c r="AG54" s="46">
        <f t="shared" si="174"/>
        <v>0.100855431993157</v>
      </c>
      <c r="AH54" s="46">
        <f t="shared" si="174"/>
        <v>0.104932735426009</v>
      </c>
      <c r="AI54" s="46">
        <f t="shared" si="174"/>
        <v>0.106368460955269</v>
      </c>
      <c r="AJ54" s="46">
        <f t="shared" si="174"/>
        <v>0.106843184784635</v>
      </c>
      <c r="AK54" s="48">
        <f t="shared" si="131"/>
        <v>0.101241534988713</v>
      </c>
      <c r="AL54" s="48">
        <f t="shared" si="132"/>
        <v>0.118986558188893</v>
      </c>
      <c r="AO54" s="46">
        <f t="shared" ref="AO54:AS54" si="175" xml:space="preserve">W54</f>
        <v>0.102560215597103</v>
      </c>
      <c r="AP54" s="46">
        <f t="shared" si="175"/>
        <v>0.100855431993157</v>
      </c>
      <c r="AQ54" s="46">
        <f t="shared" si="175"/>
        <v>0.104932735426009</v>
      </c>
      <c r="AR54" s="46">
        <f t="shared" si="175"/>
        <v>0.106368460955269</v>
      </c>
      <c r="AS54" s="46">
        <f t="shared" si="175"/>
        <v>0.106843184784635</v>
      </c>
      <c r="AT54" s="48">
        <f t="shared" si="134"/>
        <v>0.0748306997742664</v>
      </c>
      <c r="AU54" s="48">
        <f t="shared" si="135"/>
        <v>0.0879465864874425</v>
      </c>
      <c r="AZ54" s="35" t="s">
        <v>11</v>
      </c>
      <c r="BA54" s="43" t="s">
        <v>406</v>
      </c>
      <c r="BB54" s="44">
        <v>691.6</v>
      </c>
      <c r="BC54" s="46">
        <v>608.9</v>
      </c>
      <c r="BD54" s="46">
        <v>589.5</v>
      </c>
      <c r="BE54" s="46">
        <v>585</v>
      </c>
      <c r="BF54" s="46">
        <v>561.2</v>
      </c>
      <c r="BG54" s="46">
        <v>573</v>
      </c>
      <c r="BH54" s="46">
        <v>585</v>
      </c>
      <c r="BI54" s="46">
        <v>585</v>
      </c>
      <c r="BJ54" s="36"/>
      <c r="BK54" s="36"/>
      <c r="BL54" s="49"/>
      <c r="BM54" s="49"/>
      <c r="BN54" s="49"/>
      <c r="BO54" s="49"/>
    </row>
    <row r="55" ht="15.5" spans="1:67">
      <c r="A55" s="35"/>
      <c r="B55" s="43" t="s">
        <v>407</v>
      </c>
      <c r="C55" s="44">
        <f t="shared" ref="C55:J55" si="176" xml:space="preserve">BB55/1000</f>
        <v>0.634</v>
      </c>
      <c r="D55" s="44">
        <f t="shared" si="176"/>
        <v>0.5608</v>
      </c>
      <c r="E55" s="44">
        <f t="shared" si="176"/>
        <v>0.5435</v>
      </c>
      <c r="F55" s="44">
        <f t="shared" si="176"/>
        <v>0.5394</v>
      </c>
      <c r="G55" s="44">
        <f t="shared" si="176"/>
        <v>0.5181</v>
      </c>
      <c r="H55" s="44">
        <f t="shared" si="176"/>
        <v>0.5287</v>
      </c>
      <c r="I55" s="44">
        <f t="shared" si="176"/>
        <v>0.5394</v>
      </c>
      <c r="J55" s="44">
        <f t="shared" si="176"/>
        <v>0.5394</v>
      </c>
      <c r="K55" s="36"/>
      <c r="L55" s="36"/>
      <c r="M55" s="49">
        <v>5.937</v>
      </c>
      <c r="N55" s="49">
        <v>5.845</v>
      </c>
      <c r="O55" s="49">
        <v>5.575</v>
      </c>
      <c r="P55" s="49">
        <v>5.276</v>
      </c>
      <c r="Q55" s="49">
        <v>5.363</v>
      </c>
      <c r="R55" s="49">
        <v>6.645</v>
      </c>
      <c r="S55" s="49">
        <v>5.654</v>
      </c>
      <c r="T55" s="49"/>
      <c r="U55" s="35"/>
      <c r="V55" s="43" t="s">
        <v>407</v>
      </c>
      <c r="W55" s="46">
        <f t="shared" ref="W55:AC55" si="177" xml:space="preserve">D55/M55</f>
        <v>0.0944584807141654</v>
      </c>
      <c r="X55" s="46">
        <f t="shared" si="177"/>
        <v>0.0929854576561163</v>
      </c>
      <c r="Y55" s="46">
        <f t="shared" si="177"/>
        <v>0.0967533632286995</v>
      </c>
      <c r="Z55" s="46">
        <f t="shared" si="177"/>
        <v>0.098199393479909</v>
      </c>
      <c r="AA55" s="46">
        <f t="shared" si="177"/>
        <v>0.0985828827148984</v>
      </c>
      <c r="AB55" s="47">
        <f t="shared" si="177"/>
        <v>0.0811738148984199</v>
      </c>
      <c r="AC55" s="47">
        <f t="shared" si="177"/>
        <v>0.0954014856738592</v>
      </c>
      <c r="AD55" s="36"/>
      <c r="AE55" s="36"/>
      <c r="AF55" s="46">
        <f t="shared" ref="AF55:AJ55" si="178" xml:space="preserve">W55</f>
        <v>0.0944584807141654</v>
      </c>
      <c r="AG55" s="46">
        <f t="shared" si="178"/>
        <v>0.0929854576561163</v>
      </c>
      <c r="AH55" s="46">
        <f t="shared" si="178"/>
        <v>0.0967533632286995</v>
      </c>
      <c r="AI55" s="46">
        <f t="shared" si="178"/>
        <v>0.098199393479909</v>
      </c>
      <c r="AJ55" s="46">
        <f t="shared" si="178"/>
        <v>0.0985828827148984</v>
      </c>
      <c r="AK55" s="48">
        <f t="shared" si="131"/>
        <v>0.0933498871331828</v>
      </c>
      <c r="AL55" s="48">
        <f t="shared" si="132"/>
        <v>0.109711708524938</v>
      </c>
      <c r="AO55" s="46">
        <f t="shared" ref="AO55:AS55" si="179" xml:space="preserve">W55</f>
        <v>0.0944584807141654</v>
      </c>
      <c r="AP55" s="46">
        <f t="shared" si="179"/>
        <v>0.0929854576561163</v>
      </c>
      <c r="AQ55" s="46">
        <f t="shared" si="179"/>
        <v>0.0967533632286995</v>
      </c>
      <c r="AR55" s="46">
        <f t="shared" si="179"/>
        <v>0.098199393479909</v>
      </c>
      <c r="AS55" s="46">
        <f t="shared" si="179"/>
        <v>0.0985828827148984</v>
      </c>
      <c r="AT55" s="48">
        <f t="shared" si="134"/>
        <v>0.0689977426636569</v>
      </c>
      <c r="AU55" s="48">
        <f t="shared" si="135"/>
        <v>0.0810912628227803</v>
      </c>
      <c r="AZ55" s="35"/>
      <c r="BA55" s="43" t="s">
        <v>407</v>
      </c>
      <c r="BB55" s="44">
        <v>634</v>
      </c>
      <c r="BC55" s="46">
        <v>560.8</v>
      </c>
      <c r="BD55" s="46">
        <v>543.5</v>
      </c>
      <c r="BE55" s="46">
        <v>539.4</v>
      </c>
      <c r="BF55" s="46">
        <v>518.1</v>
      </c>
      <c r="BG55" s="46">
        <v>528.7</v>
      </c>
      <c r="BH55" s="46">
        <v>539.4</v>
      </c>
      <c r="BI55" s="46">
        <v>539.4</v>
      </c>
      <c r="BJ55" s="36"/>
      <c r="BK55" s="36"/>
      <c r="BL55" s="49"/>
      <c r="BM55" s="49"/>
      <c r="BN55" s="49"/>
      <c r="BO55" s="49"/>
    </row>
    <row r="56" ht="15.5" spans="1:67">
      <c r="A56" s="35"/>
      <c r="B56" s="43" t="s">
        <v>408</v>
      </c>
      <c r="C56" s="44">
        <f t="shared" ref="C56:J56" si="180" xml:space="preserve">BB56/1000</f>
        <v>0.2256</v>
      </c>
      <c r="D56" s="44">
        <f t="shared" si="180"/>
        <v>0.1898</v>
      </c>
      <c r="E56" s="44">
        <f t="shared" si="180"/>
        <v>0.1816</v>
      </c>
      <c r="F56" s="44">
        <f t="shared" si="180"/>
        <v>0.1797</v>
      </c>
      <c r="G56" s="44">
        <f t="shared" si="180"/>
        <v>0.1697</v>
      </c>
      <c r="H56" s="44">
        <f t="shared" si="180"/>
        <v>0.1747</v>
      </c>
      <c r="I56" s="44">
        <f t="shared" si="180"/>
        <v>0.1797</v>
      </c>
      <c r="J56" s="44">
        <f t="shared" si="180"/>
        <v>0.1797</v>
      </c>
      <c r="K56" s="36"/>
      <c r="L56" s="36"/>
      <c r="M56" s="49">
        <v>5.937</v>
      </c>
      <c r="N56" s="49">
        <v>5.845</v>
      </c>
      <c r="O56" s="49">
        <v>5.575</v>
      </c>
      <c r="P56" s="49">
        <v>5.276</v>
      </c>
      <c r="Q56" s="49">
        <v>5.363</v>
      </c>
      <c r="R56" s="49">
        <v>6.645</v>
      </c>
      <c r="S56" s="49">
        <v>5.654</v>
      </c>
      <c r="T56" s="49"/>
      <c r="U56" s="35"/>
      <c r="V56" s="43" t="s">
        <v>408</v>
      </c>
      <c r="W56" s="46">
        <f t="shared" ref="W56:AC56" si="181" xml:space="preserve">D56/M56</f>
        <v>0.0319690079164561</v>
      </c>
      <c r="X56" s="46">
        <f t="shared" si="181"/>
        <v>0.0310692899914457</v>
      </c>
      <c r="Y56" s="46">
        <f t="shared" si="181"/>
        <v>0.0322331838565022</v>
      </c>
      <c r="Z56" s="46">
        <f t="shared" si="181"/>
        <v>0.0321645185746778</v>
      </c>
      <c r="AA56" s="46">
        <f t="shared" si="181"/>
        <v>0.0325750512772702</v>
      </c>
      <c r="AB56" s="47">
        <f t="shared" si="181"/>
        <v>0.0270428893905192</v>
      </c>
      <c r="AC56" s="47">
        <f t="shared" si="181"/>
        <v>0.0317828086310577</v>
      </c>
      <c r="AD56" s="36"/>
      <c r="AE56" s="36"/>
      <c r="AF56" s="46">
        <f t="shared" ref="AF56:AJ56" si="182" xml:space="preserve">W56</f>
        <v>0.0319690079164561</v>
      </c>
      <c r="AG56" s="46">
        <f t="shared" si="182"/>
        <v>0.0310692899914457</v>
      </c>
      <c r="AH56" s="46">
        <f t="shared" si="182"/>
        <v>0.0322331838565022</v>
      </c>
      <c r="AI56" s="46">
        <f t="shared" si="182"/>
        <v>0.0321645185746778</v>
      </c>
      <c r="AJ56" s="46">
        <f t="shared" si="182"/>
        <v>0.0325750512772702</v>
      </c>
      <c r="AK56" s="48">
        <f t="shared" si="131"/>
        <v>0.0310993227990971</v>
      </c>
      <c r="AL56" s="48">
        <f t="shared" si="132"/>
        <v>0.0365502299257163</v>
      </c>
      <c r="AO56" s="46">
        <f t="shared" ref="AO56:AS56" si="183" xml:space="preserve">W56</f>
        <v>0.0319690079164561</v>
      </c>
      <c r="AP56" s="46">
        <f t="shared" si="183"/>
        <v>0.0310692899914457</v>
      </c>
      <c r="AQ56" s="46">
        <f t="shared" si="183"/>
        <v>0.0322331838565022</v>
      </c>
      <c r="AR56" s="46">
        <f t="shared" si="183"/>
        <v>0.0321645185746778</v>
      </c>
      <c r="AS56" s="46">
        <f t="shared" si="183"/>
        <v>0.0325750512772702</v>
      </c>
      <c r="AT56" s="48">
        <f t="shared" si="134"/>
        <v>0.0229864559819413</v>
      </c>
      <c r="AU56" s="48">
        <f t="shared" si="135"/>
        <v>0.027015387336399</v>
      </c>
      <c r="AZ56" s="35"/>
      <c r="BA56" s="43" t="s">
        <v>408</v>
      </c>
      <c r="BB56" s="44">
        <v>225.6</v>
      </c>
      <c r="BC56" s="46">
        <v>189.8</v>
      </c>
      <c r="BD56" s="46">
        <v>181.6</v>
      </c>
      <c r="BE56" s="46">
        <v>179.7</v>
      </c>
      <c r="BF56" s="46">
        <v>169.7</v>
      </c>
      <c r="BG56" s="46">
        <v>174.7</v>
      </c>
      <c r="BH56" s="46">
        <v>179.7</v>
      </c>
      <c r="BI56" s="46">
        <v>179.7</v>
      </c>
      <c r="BJ56" s="36"/>
      <c r="BK56" s="36"/>
      <c r="BL56" s="49"/>
      <c r="BM56" s="49"/>
      <c r="BN56" s="49"/>
      <c r="BO56" s="49"/>
    </row>
    <row r="57" ht="15.5" spans="1:67">
      <c r="A57" s="35"/>
      <c r="B57" s="43" t="s">
        <v>409</v>
      </c>
      <c r="C57" s="44">
        <f t="shared" ref="C57:J57" si="184" xml:space="preserve">BB57/1000</f>
        <v>0.3671</v>
      </c>
      <c r="D57" s="44">
        <f t="shared" si="184"/>
        <v>0.3308</v>
      </c>
      <c r="E57" s="44">
        <f t="shared" si="184"/>
        <v>0.3224</v>
      </c>
      <c r="F57" s="44">
        <f t="shared" si="184"/>
        <v>0.3205</v>
      </c>
      <c r="G57" s="44">
        <f t="shared" si="184"/>
        <v>0.3101</v>
      </c>
      <c r="H57" s="44">
        <f t="shared" si="184"/>
        <v>0.3151</v>
      </c>
      <c r="I57" s="44">
        <f t="shared" si="184"/>
        <v>0.3205</v>
      </c>
      <c r="J57" s="44">
        <f t="shared" si="184"/>
        <v>0.3205</v>
      </c>
      <c r="K57" s="36"/>
      <c r="L57" s="36"/>
      <c r="M57" s="49">
        <v>5.937</v>
      </c>
      <c r="N57" s="49">
        <v>5.845</v>
      </c>
      <c r="O57" s="49">
        <v>5.575</v>
      </c>
      <c r="P57" s="49">
        <v>5.276</v>
      </c>
      <c r="Q57" s="49">
        <v>5.363</v>
      </c>
      <c r="R57" s="49">
        <v>6.645</v>
      </c>
      <c r="S57" s="49">
        <v>5.654</v>
      </c>
      <c r="T57" s="49"/>
      <c r="U57" s="35"/>
      <c r="V57" s="43" t="s">
        <v>409</v>
      </c>
      <c r="W57" s="46">
        <f t="shared" ref="W57:AC57" si="185" xml:space="preserve">D57/M57</f>
        <v>0.0557183762843187</v>
      </c>
      <c r="X57" s="46">
        <f t="shared" si="185"/>
        <v>0.055158254918734</v>
      </c>
      <c r="Y57" s="46">
        <f t="shared" si="185"/>
        <v>0.0574887892376682</v>
      </c>
      <c r="Z57" s="46">
        <f t="shared" si="185"/>
        <v>0.0587755875663381</v>
      </c>
      <c r="AA57" s="46">
        <f t="shared" si="185"/>
        <v>0.0587544284915159</v>
      </c>
      <c r="AB57" s="47">
        <f t="shared" si="185"/>
        <v>0.0482317531978932</v>
      </c>
      <c r="AC57" s="47">
        <f t="shared" si="185"/>
        <v>0.0566855323664662</v>
      </c>
      <c r="AD57" s="36"/>
      <c r="AE57" s="36"/>
      <c r="AF57" s="46">
        <f t="shared" ref="AF57:AJ57" si="186" xml:space="preserve">W57</f>
        <v>0.0557183762843187</v>
      </c>
      <c r="AG57" s="46">
        <f t="shared" si="186"/>
        <v>0.055158254918734</v>
      </c>
      <c r="AH57" s="46">
        <f t="shared" si="186"/>
        <v>0.0574887892376682</v>
      </c>
      <c r="AI57" s="46">
        <f t="shared" si="186"/>
        <v>0.0587755875663381</v>
      </c>
      <c r="AJ57" s="46">
        <f t="shared" si="186"/>
        <v>0.0587544284915159</v>
      </c>
      <c r="AK57" s="48">
        <f t="shared" si="131"/>
        <v>0.0554665161775771</v>
      </c>
      <c r="AL57" s="48">
        <f t="shared" si="132"/>
        <v>0.0651883622214361</v>
      </c>
      <c r="AO57" s="46">
        <f t="shared" ref="AO57:AS57" si="187" xml:space="preserve">W57</f>
        <v>0.0557183762843187</v>
      </c>
      <c r="AP57" s="46">
        <f t="shared" si="187"/>
        <v>0.055158254918734</v>
      </c>
      <c r="AQ57" s="46">
        <f t="shared" si="187"/>
        <v>0.0574887892376682</v>
      </c>
      <c r="AR57" s="46">
        <f t="shared" si="187"/>
        <v>0.0587755875663381</v>
      </c>
      <c r="AS57" s="46">
        <f t="shared" si="187"/>
        <v>0.0587544284915159</v>
      </c>
      <c r="AT57" s="48">
        <f t="shared" si="134"/>
        <v>0.0409969902182092</v>
      </c>
      <c r="AU57" s="48">
        <f t="shared" si="135"/>
        <v>0.0481827025114963</v>
      </c>
      <c r="AZ57" s="35"/>
      <c r="BA57" s="43" t="s">
        <v>409</v>
      </c>
      <c r="BB57" s="44">
        <v>367.1</v>
      </c>
      <c r="BC57" s="46">
        <v>330.8</v>
      </c>
      <c r="BD57" s="46">
        <v>322.4</v>
      </c>
      <c r="BE57" s="46">
        <v>320.5</v>
      </c>
      <c r="BF57" s="46">
        <v>310.1</v>
      </c>
      <c r="BG57" s="46">
        <v>315.1</v>
      </c>
      <c r="BH57" s="46">
        <v>320.5</v>
      </c>
      <c r="BI57" s="46">
        <v>320.5</v>
      </c>
      <c r="BJ57" s="36"/>
      <c r="BK57" s="36"/>
      <c r="BL57" s="49"/>
      <c r="BM57" s="49"/>
      <c r="BN57" s="49"/>
      <c r="BO57" s="49"/>
    </row>
    <row r="58" ht="15.5" spans="1:67">
      <c r="A58" s="35"/>
      <c r="B58" s="43" t="s">
        <v>410</v>
      </c>
      <c r="C58" s="44">
        <f t="shared" ref="C58:J58" si="188" xml:space="preserve">BB58/1000</f>
        <v>0.0853</v>
      </c>
      <c r="D58" s="44">
        <f t="shared" si="188"/>
        <v>0.0775</v>
      </c>
      <c r="E58" s="44">
        <f t="shared" si="188"/>
        <v>0.0755</v>
      </c>
      <c r="F58" s="44">
        <f t="shared" si="188"/>
        <v>0.075</v>
      </c>
      <c r="G58" s="44">
        <f t="shared" si="188"/>
        <v>0.0722</v>
      </c>
      <c r="H58" s="44">
        <f t="shared" si="188"/>
        <v>0.0736</v>
      </c>
      <c r="I58" s="44">
        <f t="shared" si="188"/>
        <v>0.075</v>
      </c>
      <c r="J58" s="44">
        <f t="shared" si="188"/>
        <v>0.075</v>
      </c>
      <c r="K58" s="36"/>
      <c r="L58" s="36"/>
      <c r="M58" s="49">
        <v>5.937</v>
      </c>
      <c r="N58" s="49">
        <v>5.845</v>
      </c>
      <c r="O58" s="49">
        <v>5.575</v>
      </c>
      <c r="P58" s="49">
        <v>5.276</v>
      </c>
      <c r="Q58" s="49">
        <v>5.363</v>
      </c>
      <c r="R58" s="49">
        <v>6.645</v>
      </c>
      <c r="S58" s="49">
        <v>5.654</v>
      </c>
      <c r="T58" s="49"/>
      <c r="U58" s="35"/>
      <c r="V58" s="43" t="s">
        <v>410</v>
      </c>
      <c r="W58" s="46">
        <f t="shared" ref="W58:AC58" si="189" xml:space="preserve">D58/M58</f>
        <v>0.0130537308404918</v>
      </c>
      <c r="X58" s="46">
        <f t="shared" si="189"/>
        <v>0.0129170230966638</v>
      </c>
      <c r="Y58" s="46">
        <f t="shared" si="189"/>
        <v>0.0134529147982063</v>
      </c>
      <c r="Z58" s="46">
        <f t="shared" si="189"/>
        <v>0.0136846095526914</v>
      </c>
      <c r="AA58" s="46">
        <f t="shared" si="189"/>
        <v>0.0137236621294052</v>
      </c>
      <c r="AB58" s="47">
        <f t="shared" si="189"/>
        <v>0.0112866817155756</v>
      </c>
      <c r="AC58" s="47">
        <f t="shared" si="189"/>
        <v>0.01326494517156</v>
      </c>
      <c r="AD58" s="36"/>
      <c r="AE58" s="36"/>
      <c r="AF58" s="46">
        <f t="shared" ref="AF58:AJ58" si="190" xml:space="preserve">W58</f>
        <v>0.0130537308404918</v>
      </c>
      <c r="AG58" s="46">
        <f t="shared" si="190"/>
        <v>0.0129170230966638</v>
      </c>
      <c r="AH58" s="46">
        <f t="shared" si="190"/>
        <v>0.0134529147982063</v>
      </c>
      <c r="AI58" s="46">
        <f t="shared" si="190"/>
        <v>0.0136846095526914</v>
      </c>
      <c r="AJ58" s="46">
        <f t="shared" si="190"/>
        <v>0.0137236621294052</v>
      </c>
      <c r="AK58" s="48">
        <f t="shared" si="131"/>
        <v>0.012979683972912</v>
      </c>
      <c r="AL58" s="48">
        <f t="shared" si="132"/>
        <v>0.0152546869472939</v>
      </c>
      <c r="AO58" s="46">
        <f t="shared" ref="AO58:AS58" si="191" xml:space="preserve">W58</f>
        <v>0.0130537308404918</v>
      </c>
      <c r="AP58" s="46">
        <f t="shared" si="191"/>
        <v>0.0129170230966638</v>
      </c>
      <c r="AQ58" s="46">
        <f t="shared" si="191"/>
        <v>0.0134529147982063</v>
      </c>
      <c r="AR58" s="46">
        <f t="shared" si="191"/>
        <v>0.0136846095526914</v>
      </c>
      <c r="AS58" s="46">
        <f t="shared" si="191"/>
        <v>0.0137236621294052</v>
      </c>
      <c r="AT58" s="48">
        <f t="shared" si="134"/>
        <v>0.00959367945823928</v>
      </c>
      <c r="AU58" s="48">
        <f t="shared" si="135"/>
        <v>0.011275203395826</v>
      </c>
      <c r="AZ58" s="35"/>
      <c r="BA58" s="43" t="s">
        <v>410</v>
      </c>
      <c r="BB58" s="44">
        <v>85.3</v>
      </c>
      <c r="BC58" s="46">
        <v>77.5</v>
      </c>
      <c r="BD58" s="46">
        <v>75.5</v>
      </c>
      <c r="BE58" s="46">
        <v>75</v>
      </c>
      <c r="BF58" s="46">
        <v>72.2</v>
      </c>
      <c r="BG58" s="46">
        <v>73.6</v>
      </c>
      <c r="BH58" s="46">
        <v>75</v>
      </c>
      <c r="BI58" s="46">
        <v>75</v>
      </c>
      <c r="BJ58" s="36"/>
      <c r="BK58" s="36"/>
      <c r="BL58" s="49"/>
      <c r="BM58" s="49"/>
      <c r="BN58" s="49"/>
      <c r="BO58" s="49"/>
    </row>
    <row r="59" ht="15.5" spans="1:67">
      <c r="A59" s="36"/>
      <c r="B59" s="36"/>
      <c r="C59" s="39"/>
      <c r="D59" s="36"/>
      <c r="E59" s="36"/>
      <c r="F59" s="36"/>
      <c r="G59" s="36"/>
      <c r="H59" s="36"/>
      <c r="I59" s="36"/>
      <c r="J59" s="36"/>
      <c r="K59" s="36"/>
      <c r="L59" s="36"/>
      <c r="M59" s="36"/>
      <c r="N59" s="36"/>
      <c r="O59" s="36"/>
      <c r="P59" s="36"/>
      <c r="Q59" s="36"/>
      <c r="R59" s="36"/>
      <c r="S59" s="36"/>
      <c r="T59" s="36"/>
      <c r="AZ59" s="36"/>
      <c r="BA59" s="36"/>
      <c r="BB59" s="39"/>
      <c r="BC59" s="36"/>
      <c r="BD59" s="36"/>
      <c r="BE59" s="36"/>
      <c r="BF59" s="36"/>
      <c r="BG59" s="36"/>
      <c r="BH59" s="36"/>
      <c r="BI59" s="36"/>
      <c r="BJ59" s="36"/>
      <c r="BK59" s="36"/>
      <c r="BL59" s="36"/>
      <c r="BM59" s="36"/>
      <c r="BN59" s="36"/>
      <c r="BO59" s="36"/>
    </row>
    <row r="60" ht="15.5" spans="1:67">
      <c r="A60" s="36" t="s">
        <v>411</v>
      </c>
      <c r="B60" s="36"/>
      <c r="C60" s="39"/>
      <c r="D60" s="36"/>
      <c r="E60" s="36"/>
      <c r="F60" s="36"/>
      <c r="G60" s="36"/>
      <c r="H60" s="36"/>
      <c r="I60" s="36"/>
      <c r="J60" s="36"/>
      <c r="K60" s="36"/>
      <c r="L60" s="36"/>
      <c r="M60" s="36"/>
      <c r="N60" s="36"/>
      <c r="O60" s="36"/>
      <c r="P60" s="36"/>
      <c r="Q60" s="36"/>
      <c r="R60" s="36"/>
      <c r="S60" s="36"/>
      <c r="T60" s="36"/>
      <c r="AZ60" s="36" t="s">
        <v>411</v>
      </c>
      <c r="BA60" s="36"/>
      <c r="BB60" s="39"/>
      <c r="BC60" s="36"/>
      <c r="BD60" s="36"/>
      <c r="BE60" s="36"/>
      <c r="BF60" s="36"/>
      <c r="BG60" s="36"/>
      <c r="BH60" s="36"/>
      <c r="BI60" s="36"/>
      <c r="BJ60" s="36"/>
      <c r="BK60" s="36"/>
      <c r="BL60" s="36"/>
      <c r="BM60" s="36"/>
      <c r="BN60" s="36"/>
      <c r="BO60" s="36"/>
    </row>
    <row r="61" ht="15.5" spans="1:67">
      <c r="A61" s="36" t="s">
        <v>426</v>
      </c>
      <c r="B61" s="36"/>
      <c r="C61" s="39"/>
      <c r="D61" s="36"/>
      <c r="E61" s="36"/>
      <c r="F61" s="36"/>
      <c r="G61" s="36"/>
      <c r="H61" s="36"/>
      <c r="I61" s="36"/>
      <c r="J61" s="36"/>
      <c r="K61" s="36"/>
      <c r="L61" s="36"/>
      <c r="M61" s="36"/>
      <c r="N61" s="36"/>
      <c r="O61" s="36"/>
      <c r="P61" s="36"/>
      <c r="Q61" s="36"/>
      <c r="R61" s="36"/>
      <c r="S61" s="36"/>
      <c r="T61" s="36"/>
      <c r="AZ61" s="36" t="s">
        <v>426</v>
      </c>
      <c r="BA61" s="36"/>
      <c r="BB61" s="39"/>
      <c r="BC61" s="36"/>
      <c r="BD61" s="36"/>
      <c r="BE61" s="36"/>
      <c r="BF61" s="36"/>
      <c r="BG61" s="36"/>
      <c r="BH61" s="36"/>
      <c r="BI61" s="36"/>
      <c r="BJ61" s="36"/>
      <c r="BK61" s="36"/>
      <c r="BL61" s="36"/>
      <c r="BM61" s="36"/>
      <c r="BN61" s="36"/>
      <c r="BO61" s="36"/>
    </row>
    <row r="62" ht="15.5" spans="1:67">
      <c r="A62" s="36" t="s">
        <v>427</v>
      </c>
      <c r="B62" s="36"/>
      <c r="C62" s="39"/>
      <c r="D62" s="36"/>
      <c r="E62" s="36"/>
      <c r="F62" s="36"/>
      <c r="G62" s="36"/>
      <c r="H62" s="36"/>
      <c r="I62" s="36"/>
      <c r="J62" s="36"/>
      <c r="K62" s="36"/>
      <c r="L62" s="36"/>
      <c r="M62" s="36"/>
      <c r="N62" s="36"/>
      <c r="O62" s="36"/>
      <c r="P62" s="36"/>
      <c r="Q62" s="36"/>
      <c r="R62" s="36"/>
      <c r="S62" s="36"/>
      <c r="T62" s="36"/>
      <c r="AZ62" s="36" t="s">
        <v>427</v>
      </c>
      <c r="BA62" s="36"/>
      <c r="BB62" s="39"/>
      <c r="BC62" s="36"/>
      <c r="BD62" s="36"/>
      <c r="BE62" s="36"/>
      <c r="BF62" s="36"/>
      <c r="BG62" s="36"/>
      <c r="BH62" s="36"/>
      <c r="BI62" s="36"/>
      <c r="BJ62" s="36"/>
      <c r="BK62" s="36"/>
      <c r="BL62" s="36"/>
      <c r="BM62" s="36"/>
      <c r="BN62" s="36"/>
      <c r="BO62" s="36"/>
    </row>
    <row r="71" ht="15.5" spans="21:47">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row>
    <row r="72" ht="15.5" spans="21:47">
      <c r="U72" s="36"/>
      <c r="V72" s="36"/>
      <c r="W72" s="36" t="s">
        <v>398</v>
      </c>
      <c r="X72" s="36" t="s">
        <v>399</v>
      </c>
      <c r="Y72" s="40" t="s">
        <v>400</v>
      </c>
      <c r="Z72" s="36" t="s">
        <v>401</v>
      </c>
      <c r="AA72" s="36" t="s">
        <v>402</v>
      </c>
      <c r="AB72" s="42" t="s">
        <v>403</v>
      </c>
      <c r="AC72" s="42" t="s">
        <v>404</v>
      </c>
      <c r="AD72" s="36"/>
      <c r="AE72" s="36"/>
      <c r="AF72" s="36" t="s">
        <v>398</v>
      </c>
      <c r="AG72" s="36" t="s">
        <v>399</v>
      </c>
      <c r="AH72" s="40" t="s">
        <v>400</v>
      </c>
      <c r="AI72" s="36" t="s">
        <v>401</v>
      </c>
      <c r="AJ72" s="36" t="s">
        <v>402</v>
      </c>
      <c r="AK72" s="42" t="s">
        <v>403</v>
      </c>
      <c r="AL72" s="42" t="s">
        <v>404</v>
      </c>
      <c r="AM72" s="36"/>
      <c r="AN72" s="36"/>
      <c r="AO72" s="36" t="s">
        <v>398</v>
      </c>
      <c r="AP72" s="36" t="s">
        <v>399</v>
      </c>
      <c r="AQ72" s="40" t="s">
        <v>400</v>
      </c>
      <c r="AR72" s="36" t="s">
        <v>401</v>
      </c>
      <c r="AS72" s="36" t="s">
        <v>402</v>
      </c>
      <c r="AT72" s="42" t="s">
        <v>403</v>
      </c>
      <c r="AU72" s="42" t="s">
        <v>404</v>
      </c>
    </row>
    <row r="73" spans="21:47">
      <c r="U73" s="35" t="s">
        <v>405</v>
      </c>
      <c r="V73" s="50" t="s">
        <v>182</v>
      </c>
      <c r="W73" s="1">
        <f t="shared" ref="W73:AC73" si="192" xml:space="preserve">W4-W5</f>
        <v>0.0105103587670541</v>
      </c>
      <c r="X73" s="1">
        <f t="shared" si="192"/>
        <v>0.0100940975192472</v>
      </c>
      <c r="Y73" s="1">
        <f t="shared" si="192"/>
        <v>0.0103856502242152</v>
      </c>
      <c r="Z73" s="1">
        <f t="shared" si="192"/>
        <v>0.0114291129643669</v>
      </c>
      <c r="AA73" s="1">
        <f t="shared" si="192"/>
        <v>0.0115979862017528</v>
      </c>
      <c r="AB73" s="1">
        <f t="shared" si="192"/>
        <v>0.00871331828442437</v>
      </c>
      <c r="AC73" s="1">
        <f t="shared" si="192"/>
        <v>0.0102405376724443</v>
      </c>
      <c r="AF73" s="1">
        <f t="shared" ref="AF73:AL73" si="193" xml:space="preserve">AF4-AF5</f>
        <v>0.0105103587670541</v>
      </c>
      <c r="AG73" s="1">
        <f t="shared" si="193"/>
        <v>0.0100940975192472</v>
      </c>
      <c r="AH73" s="1">
        <f t="shared" si="193"/>
        <v>0.0103856502242152</v>
      </c>
      <c r="AI73" s="1">
        <f t="shared" si="193"/>
        <v>0.0114291129643669</v>
      </c>
      <c r="AJ73" s="1">
        <f t="shared" si="193"/>
        <v>0.0115979862017528</v>
      </c>
      <c r="AK73" s="1">
        <f t="shared" si="193"/>
        <v>0.010020316027088</v>
      </c>
      <c r="AL73" s="1">
        <f t="shared" si="193"/>
        <v>0.0117766183233109</v>
      </c>
      <c r="AO73" s="1">
        <f t="shared" ref="AO73:AU73" si="194" xml:space="preserve">AO4-AO5</f>
        <v>0.0105103587670541</v>
      </c>
      <c r="AP73" s="1">
        <f t="shared" si="194"/>
        <v>0.0100940975192472</v>
      </c>
      <c r="AQ73" s="1">
        <f t="shared" si="194"/>
        <v>0.0103856502242152</v>
      </c>
      <c r="AR73" s="1">
        <f t="shared" si="194"/>
        <v>0.0114291129643669</v>
      </c>
      <c r="AS73" s="1">
        <f t="shared" si="194"/>
        <v>0.0115979862017528</v>
      </c>
      <c r="AT73" s="1">
        <f t="shared" si="194"/>
        <v>0.00740632054176073</v>
      </c>
      <c r="AU73" s="1">
        <f t="shared" si="194"/>
        <v>0.00870445702157763</v>
      </c>
    </row>
    <row r="74" spans="21:47">
      <c r="U74" s="35"/>
      <c r="V74" s="51" t="s">
        <v>428</v>
      </c>
      <c r="W74" s="1">
        <f t="shared" ref="W74:AC74" si="195" xml:space="preserve">W6</f>
        <v>0.0289203301330638</v>
      </c>
      <c r="X74" s="1">
        <f t="shared" si="195"/>
        <v>0.0275620188195039</v>
      </c>
      <c r="Y74" s="1">
        <f t="shared" si="195"/>
        <v>0.028322869955157</v>
      </c>
      <c r="Z74" s="1">
        <f t="shared" si="195"/>
        <v>0.0288286580742987</v>
      </c>
      <c r="AA74" s="1">
        <f t="shared" si="195"/>
        <v>0.0296102927465971</v>
      </c>
      <c r="AB74" s="1">
        <f t="shared" si="195"/>
        <v>0.0237622272385252</v>
      </c>
      <c r="AC74" s="1">
        <f t="shared" si="195"/>
        <v>0.0279271312345242</v>
      </c>
      <c r="AF74" s="1">
        <f t="shared" ref="AF74:AL74" si="196" xml:space="preserve">AF6</f>
        <v>0.0289203301330638</v>
      </c>
      <c r="AG74" s="1">
        <f t="shared" si="196"/>
        <v>0.0275620188195039</v>
      </c>
      <c r="AH74" s="1">
        <f t="shared" si="196"/>
        <v>0.028322869955157</v>
      </c>
      <c r="AI74" s="1">
        <f t="shared" si="196"/>
        <v>0.0288286580742987</v>
      </c>
      <c r="AJ74" s="1">
        <f t="shared" si="196"/>
        <v>0.0296102927465971</v>
      </c>
      <c r="AK74" s="1">
        <f t="shared" si="196"/>
        <v>0.027326561324304</v>
      </c>
      <c r="AL74" s="1">
        <f t="shared" si="196"/>
        <v>0.0321162009197029</v>
      </c>
      <c r="AO74" s="1">
        <f t="shared" ref="AO74:AU74" si="197" xml:space="preserve">AO6</f>
        <v>0.0289203301330638</v>
      </c>
      <c r="AP74" s="1">
        <f t="shared" si="197"/>
        <v>0.0275620188195039</v>
      </c>
      <c r="AQ74" s="1">
        <f t="shared" si="197"/>
        <v>0.028322869955157</v>
      </c>
      <c r="AR74" s="1">
        <f t="shared" si="197"/>
        <v>0.0288286580742987</v>
      </c>
      <c r="AS74" s="1">
        <f t="shared" si="197"/>
        <v>0.0296102927465971</v>
      </c>
      <c r="AT74" s="1">
        <f t="shared" si="197"/>
        <v>0.0201978931527464</v>
      </c>
      <c r="AU74" s="1">
        <f t="shared" si="197"/>
        <v>0.0237380615493456</v>
      </c>
    </row>
    <row r="75" spans="21:47">
      <c r="U75" s="35"/>
      <c r="V75" s="50" t="s">
        <v>429</v>
      </c>
      <c r="W75" s="1">
        <f t="shared" ref="W75:AC75" si="198" xml:space="preserve">W7</f>
        <v>0.0836617820448038</v>
      </c>
      <c r="X75" s="1">
        <f t="shared" si="198"/>
        <v>0.0814029084687767</v>
      </c>
      <c r="Y75" s="1">
        <f t="shared" si="198"/>
        <v>0.0843946188340807</v>
      </c>
      <c r="Z75" s="1">
        <f t="shared" si="198"/>
        <v>0.0884192570128886</v>
      </c>
      <c r="AA75" s="1">
        <f t="shared" si="198"/>
        <v>0.092485549132948</v>
      </c>
      <c r="AB75" s="1">
        <f t="shared" si="198"/>
        <v>0.0708051166290444</v>
      </c>
      <c r="AC75" s="1">
        <f t="shared" si="198"/>
        <v>0.0832154227095861</v>
      </c>
      <c r="AF75" s="1">
        <f t="shared" ref="AF75:AL75" si="199" xml:space="preserve">AF7</f>
        <v>0.0836617820448038</v>
      </c>
      <c r="AG75" s="1">
        <f t="shared" si="199"/>
        <v>0.0814029084687767</v>
      </c>
      <c r="AH75" s="1">
        <f t="shared" si="199"/>
        <v>0.0843946188340807</v>
      </c>
      <c r="AI75" s="1">
        <f t="shared" si="199"/>
        <v>0.0884192570128886</v>
      </c>
      <c r="AJ75" s="1">
        <f t="shared" si="199"/>
        <v>0.092485549132948</v>
      </c>
      <c r="AK75" s="1">
        <f t="shared" si="199"/>
        <v>0.0814258841234011</v>
      </c>
      <c r="AL75" s="1">
        <f t="shared" si="199"/>
        <v>0.0956977361160241</v>
      </c>
      <c r="AO75" s="1">
        <f t="shared" ref="AO75:AU75" si="200" xml:space="preserve">AO7</f>
        <v>0.0836617820448038</v>
      </c>
      <c r="AP75" s="1">
        <f t="shared" si="200"/>
        <v>0.0814029084687767</v>
      </c>
      <c r="AQ75" s="1">
        <f t="shared" si="200"/>
        <v>0.0843946188340807</v>
      </c>
      <c r="AR75" s="1">
        <f t="shared" si="200"/>
        <v>0.0884192570128886</v>
      </c>
      <c r="AS75" s="1">
        <f t="shared" si="200"/>
        <v>0.092485549132948</v>
      </c>
      <c r="AT75" s="1">
        <f t="shared" si="200"/>
        <v>0.0601843491346877</v>
      </c>
      <c r="AU75" s="1">
        <f t="shared" si="200"/>
        <v>0.0707331093031482</v>
      </c>
    </row>
    <row r="76" spans="21:47">
      <c r="U76" s="35"/>
      <c r="V76" s="50" t="s">
        <v>430</v>
      </c>
      <c r="W76" s="1">
        <f t="shared" ref="W76:AC76" si="201" xml:space="preserve">W8</f>
        <v>0.0130200437931615</v>
      </c>
      <c r="X76" s="1">
        <f t="shared" si="201"/>
        <v>0.0127459366980325</v>
      </c>
      <c r="Y76" s="1">
        <f t="shared" si="201"/>
        <v>0.0132017937219731</v>
      </c>
      <c r="Z76" s="1">
        <f t="shared" si="201"/>
        <v>0.0144238059135709</v>
      </c>
      <c r="AA76" s="1">
        <f t="shared" si="201"/>
        <v>0.0147119149729629</v>
      </c>
      <c r="AB76" s="1">
        <f t="shared" si="201"/>
        <v>0.0110759969902182</v>
      </c>
      <c r="AC76" s="1">
        <f t="shared" si="201"/>
        <v>0.0130173328616908</v>
      </c>
      <c r="AF76" s="1">
        <f t="shared" ref="AF76:AL76" si="202" xml:space="preserve">AF8</f>
        <v>0.0130200437931615</v>
      </c>
      <c r="AG76" s="1">
        <f t="shared" si="202"/>
        <v>0.0127459366980325</v>
      </c>
      <c r="AH76" s="1">
        <f t="shared" si="202"/>
        <v>0.0132017937219731</v>
      </c>
      <c r="AI76" s="1">
        <f t="shared" si="202"/>
        <v>0.0144238059135709</v>
      </c>
      <c r="AJ76" s="1">
        <f t="shared" si="202"/>
        <v>0.0147119149729629</v>
      </c>
      <c r="AK76" s="1">
        <f t="shared" si="202"/>
        <v>0.0127373965387509</v>
      </c>
      <c r="AL76" s="1">
        <f t="shared" si="202"/>
        <v>0.0149699327909445</v>
      </c>
      <c r="AO76" s="1">
        <f t="shared" ref="AO76:AU76" si="203" xml:space="preserve">AO8</f>
        <v>0.0130200437931615</v>
      </c>
      <c r="AP76" s="1">
        <f t="shared" si="203"/>
        <v>0.0127459366980325</v>
      </c>
      <c r="AQ76" s="1">
        <f t="shared" si="203"/>
        <v>0.0132017937219731</v>
      </c>
      <c r="AR76" s="1">
        <f t="shared" si="203"/>
        <v>0.0144238059135709</v>
      </c>
      <c r="AS76" s="1">
        <f t="shared" si="203"/>
        <v>0.0147119149729629</v>
      </c>
      <c r="AT76" s="1">
        <f t="shared" si="203"/>
        <v>0.00941459744168548</v>
      </c>
      <c r="AU76" s="1">
        <f t="shared" si="203"/>
        <v>0.0110647329324372</v>
      </c>
    </row>
    <row r="77" spans="21:47">
      <c r="U77" s="35" t="s">
        <v>301</v>
      </c>
      <c r="V77" s="50" t="s">
        <v>182</v>
      </c>
      <c r="W77" s="1">
        <f t="shared" ref="W77:AC77" si="204" xml:space="preserve">W9-W10</f>
        <v>0.0103587670540677</v>
      </c>
      <c r="X77" s="1">
        <f t="shared" si="204"/>
        <v>0.00995722840034217</v>
      </c>
      <c r="Y77" s="1">
        <f t="shared" si="204"/>
        <v>0.0102421524663677</v>
      </c>
      <c r="Z77" s="1">
        <f t="shared" si="204"/>
        <v>0.0112774829416224</v>
      </c>
      <c r="AA77" s="1">
        <f t="shared" si="204"/>
        <v>0.0114301696811486</v>
      </c>
      <c r="AB77" s="1">
        <f t="shared" si="204"/>
        <v>0.00859292701279159</v>
      </c>
      <c r="AC77" s="1">
        <f t="shared" si="204"/>
        <v>0.0100990449239476</v>
      </c>
      <c r="AF77" s="1">
        <f t="shared" ref="AF77:AL77" si="205" xml:space="preserve">AF9-AF10</f>
        <v>0.0103587670540677</v>
      </c>
      <c r="AG77" s="1">
        <f t="shared" si="205"/>
        <v>0.00995722840034217</v>
      </c>
      <c r="AH77" s="1">
        <f t="shared" si="205"/>
        <v>0.0102421524663677</v>
      </c>
      <c r="AI77" s="1">
        <f t="shared" si="205"/>
        <v>0.0112774829416224</v>
      </c>
      <c r="AJ77" s="1">
        <f t="shared" si="205"/>
        <v>0.0114301696811486</v>
      </c>
      <c r="AK77" s="1">
        <f t="shared" si="205"/>
        <v>0.00988186606471032</v>
      </c>
      <c r="AL77" s="1">
        <f t="shared" si="205"/>
        <v>0.0116139016625398</v>
      </c>
      <c r="AO77" s="1">
        <f t="shared" ref="AO77:AU77" si="206" xml:space="preserve">AO9-AO10</f>
        <v>0.0103587670540677</v>
      </c>
      <c r="AP77" s="1">
        <f t="shared" si="206"/>
        <v>0.00995722840034217</v>
      </c>
      <c r="AQ77" s="1">
        <f t="shared" si="206"/>
        <v>0.0102421524663677</v>
      </c>
      <c r="AR77" s="1">
        <f t="shared" si="206"/>
        <v>0.0112774829416224</v>
      </c>
      <c r="AS77" s="1">
        <f t="shared" si="206"/>
        <v>0.0114301696811486</v>
      </c>
      <c r="AT77" s="1">
        <f t="shared" si="206"/>
        <v>0.00730398796087285</v>
      </c>
      <c r="AU77" s="1">
        <f t="shared" si="206"/>
        <v>0.00858418818535549</v>
      </c>
    </row>
    <row r="78" spans="21:47">
      <c r="U78" s="35"/>
      <c r="V78" s="51" t="s">
        <v>428</v>
      </c>
      <c r="W78" s="1">
        <f t="shared" ref="W78:AC78" si="207" xml:space="preserve">W11</f>
        <v>0.0349503116051878</v>
      </c>
      <c r="X78" s="1">
        <f t="shared" si="207"/>
        <v>0.0333789563729684</v>
      </c>
      <c r="Y78" s="1">
        <f t="shared" si="207"/>
        <v>0.0343677130044843</v>
      </c>
      <c r="Z78" s="1">
        <f t="shared" si="207"/>
        <v>0.035253980288097</v>
      </c>
      <c r="AA78" s="1">
        <f t="shared" si="207"/>
        <v>0.0361364907700914</v>
      </c>
      <c r="AB78" s="1">
        <f t="shared" si="207"/>
        <v>0.0288337095560572</v>
      </c>
      <c r="AC78" s="1">
        <f t="shared" si="207"/>
        <v>0.0338875132649452</v>
      </c>
      <c r="AF78" s="1">
        <f t="shared" ref="AF78:AL78" si="208" xml:space="preserve">AF11</f>
        <v>0.0349503116051878</v>
      </c>
      <c r="AG78" s="1">
        <f t="shared" si="208"/>
        <v>0.0333789563729684</v>
      </c>
      <c r="AH78" s="1">
        <f t="shared" si="208"/>
        <v>0.0343677130044843</v>
      </c>
      <c r="AI78" s="1">
        <f t="shared" si="208"/>
        <v>0.035253980288097</v>
      </c>
      <c r="AJ78" s="1">
        <f t="shared" si="208"/>
        <v>0.0361364907700914</v>
      </c>
      <c r="AK78" s="1">
        <f t="shared" si="208"/>
        <v>0.0331587659894658</v>
      </c>
      <c r="AL78" s="1">
        <f t="shared" si="208"/>
        <v>0.0389706402546869</v>
      </c>
      <c r="AO78" s="1">
        <f t="shared" ref="AO78:AU78" si="209" xml:space="preserve">AO11</f>
        <v>0.0349503116051878</v>
      </c>
      <c r="AP78" s="1">
        <f t="shared" si="209"/>
        <v>0.0333789563729684</v>
      </c>
      <c r="AQ78" s="1">
        <f t="shared" si="209"/>
        <v>0.0343677130044843</v>
      </c>
      <c r="AR78" s="1">
        <f t="shared" si="209"/>
        <v>0.035253980288097</v>
      </c>
      <c r="AS78" s="1">
        <f t="shared" si="209"/>
        <v>0.0361364907700914</v>
      </c>
      <c r="AT78" s="1">
        <f t="shared" si="209"/>
        <v>0.0245086531226486</v>
      </c>
      <c r="AU78" s="1">
        <f t="shared" si="209"/>
        <v>0.0288043862752034</v>
      </c>
    </row>
    <row r="79" ht="15.5" spans="21:47">
      <c r="U79" s="35"/>
      <c r="V79" s="50" t="s">
        <v>429</v>
      </c>
      <c r="W79" s="1">
        <f t="shared" ref="W79:AC79" si="210" xml:space="preserve">W12</f>
        <v>0.0799898938858009</v>
      </c>
      <c r="X79" s="1">
        <f t="shared" si="210"/>
        <v>0.0778614200171086</v>
      </c>
      <c r="Y79" s="1">
        <f t="shared" si="210"/>
        <v>0.0807174887892377</v>
      </c>
      <c r="Z79" s="1">
        <f t="shared" si="210"/>
        <v>0.0845147839272176</v>
      </c>
      <c r="AA79" s="1">
        <f t="shared" si="210"/>
        <v>0.08851389147865</v>
      </c>
      <c r="AB79" s="1">
        <f t="shared" si="210"/>
        <v>0.0677200902934537</v>
      </c>
      <c r="AC79" s="1">
        <f t="shared" si="210"/>
        <v>0.0795896710293598</v>
      </c>
      <c r="AD79" s="36"/>
      <c r="AE79" s="36"/>
      <c r="AF79" s="1">
        <f t="shared" ref="AF79:AL79" si="211" xml:space="preserve">AF12</f>
        <v>0.0799898938858009</v>
      </c>
      <c r="AG79" s="1">
        <f t="shared" si="211"/>
        <v>0.0778614200171086</v>
      </c>
      <c r="AH79" s="1">
        <f t="shared" si="211"/>
        <v>0.0807174887892377</v>
      </c>
      <c r="AI79" s="1">
        <f t="shared" si="211"/>
        <v>0.0845147839272176</v>
      </c>
      <c r="AJ79" s="1">
        <f t="shared" si="211"/>
        <v>0.08851389147865</v>
      </c>
      <c r="AK79" s="1">
        <f t="shared" si="211"/>
        <v>0.0778781038374718</v>
      </c>
      <c r="AL79" s="1">
        <f t="shared" si="211"/>
        <v>0.0915281216837637</v>
      </c>
      <c r="AM79" s="36"/>
      <c r="AN79" s="36"/>
      <c r="AO79" s="1">
        <f t="shared" ref="AO79:AU79" si="212" xml:space="preserve">AO12</f>
        <v>0.0799898938858009</v>
      </c>
      <c r="AP79" s="1">
        <f t="shared" si="212"/>
        <v>0.0778614200171086</v>
      </c>
      <c r="AQ79" s="1">
        <f t="shared" si="212"/>
        <v>0.0807174887892377</v>
      </c>
      <c r="AR79" s="1">
        <f t="shared" si="212"/>
        <v>0.0845147839272176</v>
      </c>
      <c r="AS79" s="1">
        <f t="shared" si="212"/>
        <v>0.08851389147865</v>
      </c>
      <c r="AT79" s="1">
        <f t="shared" si="212"/>
        <v>0.0575620767494357</v>
      </c>
      <c r="AU79" s="1">
        <f t="shared" si="212"/>
        <v>0.0676512203749558</v>
      </c>
    </row>
    <row r="80" ht="15.5" spans="21:47">
      <c r="U80" s="35"/>
      <c r="V80" s="50" t="s">
        <v>430</v>
      </c>
      <c r="W80" s="1">
        <f t="shared" ref="W80:AC80" si="213" xml:space="preserve">W13</f>
        <v>0.0135085059794509</v>
      </c>
      <c r="X80" s="1">
        <f t="shared" si="213"/>
        <v>0.013207869974337</v>
      </c>
      <c r="Y80" s="1">
        <f t="shared" si="213"/>
        <v>0.0136860986547085</v>
      </c>
      <c r="Z80" s="1">
        <f t="shared" si="213"/>
        <v>0.0149545109931767</v>
      </c>
      <c r="AA80" s="1">
        <f t="shared" si="213"/>
        <v>0.0152340108148424</v>
      </c>
      <c r="AB80" s="1">
        <f t="shared" si="213"/>
        <v>0.0114823175319789</v>
      </c>
      <c r="AC80" s="1">
        <f t="shared" si="213"/>
        <v>0.013494870887867</v>
      </c>
      <c r="AD80" s="36"/>
      <c r="AE80" s="36"/>
      <c r="AF80" s="1">
        <f t="shared" ref="AF80:AL80" si="214" xml:space="preserve">AF13</f>
        <v>0.0135085059794509</v>
      </c>
      <c r="AG80" s="1">
        <f t="shared" si="214"/>
        <v>0.013207869974337</v>
      </c>
      <c r="AH80" s="1">
        <f t="shared" si="214"/>
        <v>0.0136860986547085</v>
      </c>
      <c r="AI80" s="1">
        <f t="shared" si="214"/>
        <v>0.0149545109931767</v>
      </c>
      <c r="AJ80" s="1">
        <f t="shared" si="214"/>
        <v>0.0152340108148424</v>
      </c>
      <c r="AK80" s="1">
        <f t="shared" si="214"/>
        <v>0.0132046651617758</v>
      </c>
      <c r="AL80" s="1">
        <f t="shared" si="214"/>
        <v>0.015519101521047</v>
      </c>
      <c r="AM80" s="36"/>
      <c r="AN80" s="36"/>
      <c r="AO80" s="1">
        <f t="shared" ref="AO80:AU80" si="215" xml:space="preserve">AO13</f>
        <v>0.0135085059794509</v>
      </c>
      <c r="AP80" s="1">
        <f t="shared" si="215"/>
        <v>0.013207869974337</v>
      </c>
      <c r="AQ80" s="1">
        <f t="shared" si="215"/>
        <v>0.0136860986547085</v>
      </c>
      <c r="AR80" s="1">
        <f t="shared" si="215"/>
        <v>0.0149545109931767</v>
      </c>
      <c r="AS80" s="1">
        <f t="shared" si="215"/>
        <v>0.0152340108148424</v>
      </c>
      <c r="AT80" s="1">
        <f t="shared" si="215"/>
        <v>0.00975996990218209</v>
      </c>
      <c r="AU80" s="1">
        <f t="shared" si="215"/>
        <v>0.0114706402546869</v>
      </c>
    </row>
    <row r="81" ht="15.5" spans="21:47">
      <c r="U81" s="35" t="s">
        <v>431</v>
      </c>
      <c r="V81" s="50" t="s">
        <v>182</v>
      </c>
      <c r="W81" s="36">
        <f t="shared" ref="W81:AC81" si="216" xml:space="preserve">W14-W15</f>
        <v>0.010830385716692</v>
      </c>
      <c r="X81" s="36">
        <f t="shared" si="216"/>
        <v>0.0104020530367836</v>
      </c>
      <c r="Y81" s="36">
        <f t="shared" si="216"/>
        <v>0.0107085201793722</v>
      </c>
      <c r="Z81" s="36">
        <f t="shared" si="216"/>
        <v>0.0117702805155421</v>
      </c>
      <c r="AA81" s="36">
        <f t="shared" si="216"/>
        <v>0.011933619242961</v>
      </c>
      <c r="AB81" s="36">
        <f t="shared" si="216"/>
        <v>0.00898419864559818</v>
      </c>
      <c r="AC81" s="36">
        <f t="shared" si="216"/>
        <v>0.0105588963565617</v>
      </c>
      <c r="AD81" s="36"/>
      <c r="AE81" s="36"/>
      <c r="AF81" s="36">
        <f t="shared" ref="AF81:AL81" si="217" xml:space="preserve">AF14-AF15</f>
        <v>0.010830385716692</v>
      </c>
      <c r="AG81" s="36">
        <f t="shared" si="217"/>
        <v>0.0104020530367836</v>
      </c>
      <c r="AH81" s="36">
        <f t="shared" si="217"/>
        <v>0.0107085201793722</v>
      </c>
      <c r="AI81" s="36">
        <f t="shared" si="217"/>
        <v>0.0117702805155421</v>
      </c>
      <c r="AJ81" s="36">
        <f t="shared" si="217"/>
        <v>0.011933619242961</v>
      </c>
      <c r="AK81" s="36">
        <f t="shared" si="217"/>
        <v>0.0103318284424379</v>
      </c>
      <c r="AL81" s="36">
        <f t="shared" si="217"/>
        <v>0.012142730810046</v>
      </c>
      <c r="AM81" s="36"/>
      <c r="AN81" s="36"/>
      <c r="AO81" s="36">
        <f t="shared" ref="AO81:AU81" si="218" xml:space="preserve">AO14-AO15</f>
        <v>0.010830385716692</v>
      </c>
      <c r="AP81" s="36">
        <f t="shared" si="218"/>
        <v>0.0104020530367836</v>
      </c>
      <c r="AQ81" s="36">
        <f t="shared" si="218"/>
        <v>0.0107085201793722</v>
      </c>
      <c r="AR81" s="36">
        <f t="shared" si="218"/>
        <v>0.0117702805155421</v>
      </c>
      <c r="AS81" s="36">
        <f t="shared" si="218"/>
        <v>0.011933619242961</v>
      </c>
      <c r="AT81" s="36">
        <f t="shared" si="218"/>
        <v>0.00763656884875846</v>
      </c>
      <c r="AU81" s="36">
        <f t="shared" si="218"/>
        <v>0.00897506190307747</v>
      </c>
    </row>
    <row r="82" ht="15.5" spans="21:47">
      <c r="U82" s="35"/>
      <c r="V82" s="51" t="s">
        <v>428</v>
      </c>
      <c r="W82" s="36">
        <f t="shared" ref="W82:AC82" si="219" xml:space="preserve">W16</f>
        <v>0.0447027118073101</v>
      </c>
      <c r="X82" s="36">
        <f t="shared" si="219"/>
        <v>0.0428058169375535</v>
      </c>
      <c r="Y82" s="36">
        <f t="shared" si="219"/>
        <v>0.0441255605381166</v>
      </c>
      <c r="Z82" s="36">
        <f t="shared" si="219"/>
        <v>0.0456406368460955</v>
      </c>
      <c r="AA82" s="36">
        <f t="shared" si="219"/>
        <v>0.0467275778482193</v>
      </c>
      <c r="AB82" s="36">
        <f t="shared" si="219"/>
        <v>0.037020316027088</v>
      </c>
      <c r="AC82" s="36">
        <f t="shared" si="219"/>
        <v>0.0435090201627167</v>
      </c>
      <c r="AD82" s="36"/>
      <c r="AE82" s="36"/>
      <c r="AF82" s="36">
        <f t="shared" ref="AF82:AL82" si="220" xml:space="preserve">AF16</f>
        <v>0.0447027118073101</v>
      </c>
      <c r="AG82" s="36">
        <f t="shared" si="220"/>
        <v>0.0428058169375535</v>
      </c>
      <c r="AH82" s="36">
        <f t="shared" si="220"/>
        <v>0.0441255605381166</v>
      </c>
      <c r="AI82" s="36">
        <f t="shared" si="220"/>
        <v>0.0456406368460955</v>
      </c>
      <c r="AJ82" s="36">
        <f t="shared" si="220"/>
        <v>0.0467275778482193</v>
      </c>
      <c r="AK82" s="36">
        <f t="shared" si="220"/>
        <v>0.0425733634311512</v>
      </c>
      <c r="AL82" s="36">
        <f t="shared" si="220"/>
        <v>0.0500353731871242</v>
      </c>
      <c r="AM82" s="36"/>
      <c r="AN82" s="36"/>
      <c r="AO82" s="36">
        <f t="shared" ref="AO82:AU82" si="221" xml:space="preserve">AO16</f>
        <v>0.0447027118073101</v>
      </c>
      <c r="AP82" s="36">
        <f t="shared" si="221"/>
        <v>0.0428058169375535</v>
      </c>
      <c r="AQ82" s="36">
        <f t="shared" si="221"/>
        <v>0.0441255605381166</v>
      </c>
      <c r="AR82" s="36">
        <f t="shared" si="221"/>
        <v>0.0456406368460955</v>
      </c>
      <c r="AS82" s="36">
        <f t="shared" si="221"/>
        <v>0.0467275778482193</v>
      </c>
      <c r="AT82" s="36">
        <f t="shared" si="221"/>
        <v>0.0314672686230248</v>
      </c>
      <c r="AU82" s="36">
        <f t="shared" si="221"/>
        <v>0.0369826671383092</v>
      </c>
    </row>
    <row r="83" ht="15.5" spans="21:47">
      <c r="U83" s="35"/>
      <c r="V83" s="50" t="s">
        <v>429</v>
      </c>
      <c r="W83" s="36">
        <f t="shared" ref="W83:AC83" si="222" xml:space="preserve">W17</f>
        <v>0.0724945258548088</v>
      </c>
      <c r="X83" s="36">
        <f t="shared" si="222"/>
        <v>0.0706073567151412</v>
      </c>
      <c r="Y83" s="36">
        <f t="shared" si="222"/>
        <v>0.0732017937219731</v>
      </c>
      <c r="Z83" s="36">
        <f t="shared" si="222"/>
        <v>0.076516300227445</v>
      </c>
      <c r="AA83" s="36">
        <f t="shared" si="222"/>
        <v>0.0803841133693828</v>
      </c>
      <c r="AB83" s="36">
        <f t="shared" si="222"/>
        <v>0.0614145974416855</v>
      </c>
      <c r="AC83" s="36">
        <f t="shared" si="222"/>
        <v>0.0721789883268483</v>
      </c>
      <c r="AD83" s="36"/>
      <c r="AE83" s="36"/>
      <c r="AF83" s="36">
        <f t="shared" ref="AF83:AL83" si="223" xml:space="preserve">AF17</f>
        <v>0.0724945258548088</v>
      </c>
      <c r="AG83" s="36">
        <f t="shared" si="223"/>
        <v>0.0706073567151412</v>
      </c>
      <c r="AH83" s="36">
        <f t="shared" si="223"/>
        <v>0.0732017937219731</v>
      </c>
      <c r="AI83" s="36">
        <f t="shared" si="223"/>
        <v>0.076516300227445</v>
      </c>
      <c r="AJ83" s="36">
        <f t="shared" si="223"/>
        <v>0.0803841133693828</v>
      </c>
      <c r="AK83" s="36">
        <f t="shared" si="223"/>
        <v>0.0706267870579383</v>
      </c>
      <c r="AL83" s="36">
        <f t="shared" si="223"/>
        <v>0.0830058365758755</v>
      </c>
      <c r="AM83" s="36"/>
      <c r="AN83" s="36"/>
      <c r="AO83" s="36">
        <f t="shared" ref="AO83:AU83" si="224" xml:space="preserve">AO17</f>
        <v>0.0724945258548088</v>
      </c>
      <c r="AP83" s="36">
        <f t="shared" si="224"/>
        <v>0.0706073567151412</v>
      </c>
      <c r="AQ83" s="36">
        <f t="shared" si="224"/>
        <v>0.0732017937219731</v>
      </c>
      <c r="AR83" s="36">
        <f t="shared" si="224"/>
        <v>0.076516300227445</v>
      </c>
      <c r="AS83" s="36">
        <f t="shared" si="224"/>
        <v>0.0803841133693828</v>
      </c>
      <c r="AT83" s="36">
        <f t="shared" si="224"/>
        <v>0.0522024078254327</v>
      </c>
      <c r="AU83" s="36">
        <f t="shared" si="224"/>
        <v>0.061352140077821</v>
      </c>
    </row>
    <row r="84" ht="15.5" spans="21:47">
      <c r="U84" s="35"/>
      <c r="V84" s="50" t="s">
        <v>430</v>
      </c>
      <c r="W84" s="36">
        <f t="shared" ref="W84:AC84" si="225" xml:space="preserve">W18</f>
        <v>0.0131547919824827</v>
      </c>
      <c r="X84" s="36">
        <f t="shared" si="225"/>
        <v>0.0128656971770744</v>
      </c>
      <c r="Y84" s="36">
        <f t="shared" si="225"/>
        <v>0.0133273542600897</v>
      </c>
      <c r="Z84" s="36">
        <f t="shared" si="225"/>
        <v>0.0145564821834723</v>
      </c>
      <c r="AA84" s="36">
        <f t="shared" si="225"/>
        <v>0.0148610852134999</v>
      </c>
      <c r="AB84" s="36">
        <f t="shared" si="225"/>
        <v>0.0111813393528969</v>
      </c>
      <c r="AC84" s="36">
        <f t="shared" si="225"/>
        <v>0.0131411390166254</v>
      </c>
      <c r="AD84" s="36"/>
      <c r="AE84" s="36"/>
      <c r="AF84" s="36">
        <f t="shared" ref="AF84:AL84" si="226" xml:space="preserve">AF18</f>
        <v>0.0131547919824827</v>
      </c>
      <c r="AG84" s="36">
        <f t="shared" si="226"/>
        <v>0.0128656971770744</v>
      </c>
      <c r="AH84" s="36">
        <f t="shared" si="226"/>
        <v>0.0133273542600897</v>
      </c>
      <c r="AI84" s="36">
        <f t="shared" si="226"/>
        <v>0.0145564821834723</v>
      </c>
      <c r="AJ84" s="36">
        <f t="shared" si="226"/>
        <v>0.0148610852134999</v>
      </c>
      <c r="AK84" s="36">
        <f t="shared" si="226"/>
        <v>0.0128585402558315</v>
      </c>
      <c r="AL84" s="36">
        <f t="shared" si="226"/>
        <v>0.0151123098691192</v>
      </c>
      <c r="AM84" s="36"/>
      <c r="AN84" s="36"/>
      <c r="AO84" s="36">
        <f t="shared" ref="AO84:AU84" si="227" xml:space="preserve">AO18</f>
        <v>0.0131547919824827</v>
      </c>
      <c r="AP84" s="36">
        <f t="shared" si="227"/>
        <v>0.0128656971770744</v>
      </c>
      <c r="AQ84" s="36">
        <f t="shared" si="227"/>
        <v>0.0133273542600897</v>
      </c>
      <c r="AR84" s="36">
        <f t="shared" si="227"/>
        <v>0.0145564821834723</v>
      </c>
      <c r="AS84" s="36">
        <f t="shared" si="227"/>
        <v>0.0148610852134999</v>
      </c>
      <c r="AT84" s="36">
        <f t="shared" si="227"/>
        <v>0.00950413844996238</v>
      </c>
      <c r="AU84" s="36">
        <f t="shared" si="227"/>
        <v>0.0111699681641316</v>
      </c>
    </row>
    <row r="85" ht="15.5" spans="21:47">
      <c r="U85" s="57" t="s">
        <v>405</v>
      </c>
      <c r="V85" s="50" t="s">
        <v>182</v>
      </c>
      <c r="W85" s="52">
        <f t="shared" ref="W85:AC85" si="228" xml:space="preserve">W73</f>
        <v>0.0105103587670541</v>
      </c>
      <c r="X85" s="52">
        <f t="shared" si="228"/>
        <v>0.0100940975192472</v>
      </c>
      <c r="Y85" s="52">
        <f t="shared" si="228"/>
        <v>0.0103856502242152</v>
      </c>
      <c r="Z85" s="52">
        <f t="shared" si="228"/>
        <v>0.0114291129643669</v>
      </c>
      <c r="AA85" s="52">
        <f t="shared" si="228"/>
        <v>0.0115979862017528</v>
      </c>
      <c r="AB85" s="52">
        <f t="shared" si="228"/>
        <v>0.00871331828442437</v>
      </c>
      <c r="AC85" s="52">
        <f t="shared" si="228"/>
        <v>0.0102405376724443</v>
      </c>
      <c r="AD85" s="36"/>
      <c r="AE85" s="36"/>
      <c r="AF85" s="52">
        <f t="shared" ref="AF85:AL85" si="229" xml:space="preserve">AF73</f>
        <v>0.0105103587670541</v>
      </c>
      <c r="AG85" s="52">
        <f t="shared" si="229"/>
        <v>0.0100940975192472</v>
      </c>
      <c r="AH85" s="52">
        <f t="shared" si="229"/>
        <v>0.0103856502242152</v>
      </c>
      <c r="AI85" s="52">
        <f t="shared" si="229"/>
        <v>0.0114291129643669</v>
      </c>
      <c r="AJ85" s="52">
        <f t="shared" si="229"/>
        <v>0.0115979862017528</v>
      </c>
      <c r="AK85" s="52">
        <f t="shared" si="229"/>
        <v>0.010020316027088</v>
      </c>
      <c r="AL85" s="52">
        <f t="shared" si="229"/>
        <v>0.0117766183233109</v>
      </c>
      <c r="AM85" s="36"/>
      <c r="AN85" s="36"/>
      <c r="AO85" s="52">
        <f t="shared" ref="AO85:AU85" si="230" xml:space="preserve">AO73</f>
        <v>0.0105103587670541</v>
      </c>
      <c r="AP85" s="52">
        <f t="shared" si="230"/>
        <v>0.0100940975192472</v>
      </c>
      <c r="AQ85" s="52">
        <f t="shared" si="230"/>
        <v>0.0103856502242152</v>
      </c>
      <c r="AR85" s="52">
        <f t="shared" si="230"/>
        <v>0.0114291129643669</v>
      </c>
      <c r="AS85" s="52">
        <f t="shared" si="230"/>
        <v>0.0115979862017528</v>
      </c>
      <c r="AT85" s="52">
        <f t="shared" si="230"/>
        <v>0.00740632054176073</v>
      </c>
      <c r="AU85" s="52">
        <f t="shared" si="230"/>
        <v>0.00870445702157763</v>
      </c>
    </row>
    <row r="86" ht="15.5" spans="21:47">
      <c r="U86" s="57"/>
      <c r="V86" s="51" t="s">
        <v>428</v>
      </c>
      <c r="W86" s="52">
        <f t="shared" ref="W86:AC86" si="231" xml:space="preserve">W74</f>
        <v>0.0289203301330638</v>
      </c>
      <c r="X86" s="52">
        <f t="shared" si="231"/>
        <v>0.0275620188195039</v>
      </c>
      <c r="Y86" s="52">
        <f t="shared" si="231"/>
        <v>0.028322869955157</v>
      </c>
      <c r="Z86" s="52">
        <f t="shared" si="231"/>
        <v>0.0288286580742987</v>
      </c>
      <c r="AA86" s="52">
        <f t="shared" si="231"/>
        <v>0.0296102927465971</v>
      </c>
      <c r="AB86" s="52">
        <f t="shared" si="231"/>
        <v>0.0237622272385252</v>
      </c>
      <c r="AC86" s="52">
        <f t="shared" si="231"/>
        <v>0.0279271312345242</v>
      </c>
      <c r="AD86" s="36"/>
      <c r="AE86" s="36"/>
      <c r="AF86" s="52">
        <f t="shared" ref="AF86:AL86" si="232" xml:space="preserve">AF74</f>
        <v>0.0289203301330638</v>
      </c>
      <c r="AG86" s="52">
        <f t="shared" si="232"/>
        <v>0.0275620188195039</v>
      </c>
      <c r="AH86" s="52">
        <f t="shared" si="232"/>
        <v>0.028322869955157</v>
      </c>
      <c r="AI86" s="52">
        <f t="shared" si="232"/>
        <v>0.0288286580742987</v>
      </c>
      <c r="AJ86" s="52">
        <f t="shared" si="232"/>
        <v>0.0296102927465971</v>
      </c>
      <c r="AK86" s="52">
        <f t="shared" si="232"/>
        <v>0.027326561324304</v>
      </c>
      <c r="AL86" s="52">
        <f t="shared" si="232"/>
        <v>0.0321162009197029</v>
      </c>
      <c r="AM86" s="36"/>
      <c r="AN86" s="36"/>
      <c r="AO86" s="52">
        <f t="shared" ref="AO86:AU86" si="233" xml:space="preserve">AO74</f>
        <v>0.0289203301330638</v>
      </c>
      <c r="AP86" s="52">
        <f t="shared" si="233"/>
        <v>0.0275620188195039</v>
      </c>
      <c r="AQ86" s="52">
        <f t="shared" si="233"/>
        <v>0.028322869955157</v>
      </c>
      <c r="AR86" s="52">
        <f t="shared" si="233"/>
        <v>0.0288286580742987</v>
      </c>
      <c r="AS86" s="52">
        <f t="shared" si="233"/>
        <v>0.0296102927465971</v>
      </c>
      <c r="AT86" s="52">
        <f t="shared" si="233"/>
        <v>0.0201978931527464</v>
      </c>
      <c r="AU86" s="52">
        <f t="shared" si="233"/>
        <v>0.0237380615493456</v>
      </c>
    </row>
    <row r="87" ht="15.5" spans="21:47">
      <c r="U87" s="57"/>
      <c r="V87" s="50" t="s">
        <v>429</v>
      </c>
      <c r="W87" s="52">
        <f t="shared" ref="W87:AC87" si="234" xml:space="preserve">W75</f>
        <v>0.0836617820448038</v>
      </c>
      <c r="X87" s="52">
        <f t="shared" si="234"/>
        <v>0.0814029084687767</v>
      </c>
      <c r="Y87" s="52">
        <f t="shared" si="234"/>
        <v>0.0843946188340807</v>
      </c>
      <c r="Z87" s="52">
        <f t="shared" si="234"/>
        <v>0.0884192570128886</v>
      </c>
      <c r="AA87" s="52">
        <f t="shared" si="234"/>
        <v>0.092485549132948</v>
      </c>
      <c r="AB87" s="52">
        <f t="shared" si="234"/>
        <v>0.0708051166290444</v>
      </c>
      <c r="AC87" s="52">
        <f t="shared" si="234"/>
        <v>0.0832154227095861</v>
      </c>
      <c r="AD87" s="36"/>
      <c r="AE87" s="36"/>
      <c r="AF87" s="52">
        <f t="shared" ref="AF87:AL87" si="235" xml:space="preserve">AF75</f>
        <v>0.0836617820448038</v>
      </c>
      <c r="AG87" s="52">
        <f t="shared" si="235"/>
        <v>0.0814029084687767</v>
      </c>
      <c r="AH87" s="52">
        <f t="shared" si="235"/>
        <v>0.0843946188340807</v>
      </c>
      <c r="AI87" s="52">
        <f t="shared" si="235"/>
        <v>0.0884192570128886</v>
      </c>
      <c r="AJ87" s="52">
        <f t="shared" si="235"/>
        <v>0.092485549132948</v>
      </c>
      <c r="AK87" s="52">
        <f t="shared" si="235"/>
        <v>0.0814258841234011</v>
      </c>
      <c r="AL87" s="52">
        <f t="shared" si="235"/>
        <v>0.0956977361160241</v>
      </c>
      <c r="AM87" s="36"/>
      <c r="AN87" s="36"/>
      <c r="AO87" s="52">
        <f t="shared" ref="AO87:AU87" si="236" xml:space="preserve">AO75</f>
        <v>0.0836617820448038</v>
      </c>
      <c r="AP87" s="52">
        <f t="shared" si="236"/>
        <v>0.0814029084687767</v>
      </c>
      <c r="AQ87" s="52">
        <f t="shared" si="236"/>
        <v>0.0843946188340807</v>
      </c>
      <c r="AR87" s="52">
        <f t="shared" si="236"/>
        <v>0.0884192570128886</v>
      </c>
      <c r="AS87" s="52">
        <f t="shared" si="236"/>
        <v>0.092485549132948</v>
      </c>
      <c r="AT87" s="52">
        <f t="shared" si="236"/>
        <v>0.0601843491346877</v>
      </c>
      <c r="AU87" s="52">
        <f t="shared" si="236"/>
        <v>0.0707331093031482</v>
      </c>
    </row>
    <row r="88" ht="15.5" spans="21:47">
      <c r="U88" s="57"/>
      <c r="V88" s="50" t="s">
        <v>430</v>
      </c>
      <c r="W88" s="52">
        <f t="shared" ref="W88:AC88" si="237" xml:space="preserve">W76</f>
        <v>0.0130200437931615</v>
      </c>
      <c r="X88" s="52">
        <f t="shared" si="237"/>
        <v>0.0127459366980325</v>
      </c>
      <c r="Y88" s="52">
        <f t="shared" si="237"/>
        <v>0.0132017937219731</v>
      </c>
      <c r="Z88" s="52">
        <f t="shared" si="237"/>
        <v>0.0144238059135709</v>
      </c>
      <c r="AA88" s="52">
        <f t="shared" si="237"/>
        <v>0.0147119149729629</v>
      </c>
      <c r="AB88" s="52">
        <f t="shared" si="237"/>
        <v>0.0110759969902182</v>
      </c>
      <c r="AC88" s="52">
        <f t="shared" si="237"/>
        <v>0.0130173328616908</v>
      </c>
      <c r="AD88" s="36"/>
      <c r="AE88" s="36"/>
      <c r="AF88" s="52">
        <f t="shared" ref="AF88:AL88" si="238" xml:space="preserve">AF76</f>
        <v>0.0130200437931615</v>
      </c>
      <c r="AG88" s="52">
        <f t="shared" si="238"/>
        <v>0.0127459366980325</v>
      </c>
      <c r="AH88" s="52">
        <f t="shared" si="238"/>
        <v>0.0132017937219731</v>
      </c>
      <c r="AI88" s="52">
        <f t="shared" si="238"/>
        <v>0.0144238059135709</v>
      </c>
      <c r="AJ88" s="52">
        <f t="shared" si="238"/>
        <v>0.0147119149729629</v>
      </c>
      <c r="AK88" s="52">
        <f t="shared" si="238"/>
        <v>0.0127373965387509</v>
      </c>
      <c r="AL88" s="52">
        <f t="shared" si="238"/>
        <v>0.0149699327909445</v>
      </c>
      <c r="AM88" s="36"/>
      <c r="AN88" s="36"/>
      <c r="AO88" s="52">
        <f t="shared" ref="AO88:AU88" si="239" xml:space="preserve">AO76</f>
        <v>0.0130200437931615</v>
      </c>
      <c r="AP88" s="52">
        <f t="shared" si="239"/>
        <v>0.0127459366980325</v>
      </c>
      <c r="AQ88" s="52">
        <f t="shared" si="239"/>
        <v>0.0132017937219731</v>
      </c>
      <c r="AR88" s="52">
        <f t="shared" si="239"/>
        <v>0.0144238059135709</v>
      </c>
      <c r="AS88" s="52">
        <f t="shared" si="239"/>
        <v>0.0147119149729629</v>
      </c>
      <c r="AT88" s="52">
        <f t="shared" si="239"/>
        <v>0.00941459744168548</v>
      </c>
      <c r="AU88" s="52">
        <f t="shared" si="239"/>
        <v>0.0110647329324372</v>
      </c>
    </row>
    <row r="89" ht="15.5" spans="21:47">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row>
    <row r="90" ht="15.5" spans="21:47">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row>
    <row r="91" ht="15.5" spans="21:47">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row>
    <row r="92" ht="15.5" spans="21:47">
      <c r="U92" s="36"/>
      <c r="V92" s="36"/>
      <c r="W92" s="36" t="s">
        <v>398</v>
      </c>
      <c r="X92" s="36" t="s">
        <v>399</v>
      </c>
      <c r="Y92" s="40" t="s">
        <v>400</v>
      </c>
      <c r="Z92" s="36" t="s">
        <v>401</v>
      </c>
      <c r="AA92" s="36" t="s">
        <v>402</v>
      </c>
      <c r="AB92" s="42" t="s">
        <v>403</v>
      </c>
      <c r="AC92" s="42" t="s">
        <v>404</v>
      </c>
      <c r="AD92" s="36"/>
      <c r="AE92" s="36"/>
      <c r="AF92" s="36" t="s">
        <v>398</v>
      </c>
      <c r="AG92" s="36" t="s">
        <v>399</v>
      </c>
      <c r="AH92" s="40" t="s">
        <v>400</v>
      </c>
      <c r="AI92" s="36" t="s">
        <v>401</v>
      </c>
      <c r="AJ92" s="36" t="s">
        <v>402</v>
      </c>
      <c r="AK92" s="42" t="s">
        <v>403</v>
      </c>
      <c r="AL92" s="42" t="s">
        <v>404</v>
      </c>
      <c r="AM92" s="36"/>
      <c r="AN92" s="36"/>
      <c r="AO92" s="36" t="s">
        <v>398</v>
      </c>
      <c r="AP92" s="36" t="s">
        <v>399</v>
      </c>
      <c r="AQ92" s="40" t="s">
        <v>400</v>
      </c>
      <c r="AR92" s="36" t="s">
        <v>401</v>
      </c>
      <c r="AS92" s="36" t="s">
        <v>402</v>
      </c>
      <c r="AT92" s="42" t="s">
        <v>403</v>
      </c>
      <c r="AU92" s="42" t="s">
        <v>404</v>
      </c>
    </row>
    <row r="93" spans="21:47">
      <c r="U93" s="35" t="s">
        <v>405</v>
      </c>
      <c r="V93" s="50" t="s">
        <v>182</v>
      </c>
      <c r="W93" s="1">
        <f t="shared" ref="W93:AC93" si="240" xml:space="preserve">W24-W25</f>
        <v>0.0115546572342934</v>
      </c>
      <c r="X93" s="1">
        <f t="shared" si="240"/>
        <v>0.0110863986313088</v>
      </c>
      <c r="Y93" s="1">
        <f t="shared" si="240"/>
        <v>0.0114618834080717</v>
      </c>
      <c r="Z93" s="1">
        <f t="shared" si="240"/>
        <v>0.011751326762699</v>
      </c>
      <c r="AA93" s="1">
        <f t="shared" si="240"/>
        <v>0.0119709118030953</v>
      </c>
      <c r="AB93" s="1">
        <f t="shared" si="240"/>
        <v>0.00961625282167042</v>
      </c>
      <c r="AC93" s="1">
        <f t="shared" si="240"/>
        <v>0.0113017332861691</v>
      </c>
      <c r="AF93" s="1">
        <f t="shared" ref="AF93:AL93" si="241" xml:space="preserve">AF24-AF25</f>
        <v>0.0115546572342934</v>
      </c>
      <c r="AG93" s="1">
        <f t="shared" si="241"/>
        <v>0.0110863986313088</v>
      </c>
      <c r="AH93" s="1">
        <f t="shared" si="241"/>
        <v>0.0114618834080717</v>
      </c>
      <c r="AI93" s="1">
        <f t="shared" si="241"/>
        <v>0.011751326762699</v>
      </c>
      <c r="AJ93" s="1">
        <f t="shared" si="241"/>
        <v>0.0119709118030953</v>
      </c>
      <c r="AK93" s="1">
        <f t="shared" si="241"/>
        <v>0.011058690744921</v>
      </c>
      <c r="AL93" s="1">
        <f t="shared" si="241"/>
        <v>0.0129969932790944</v>
      </c>
      <c r="AO93" s="1">
        <f t="shared" ref="AO93:AU93" si="242" xml:space="preserve">AO24-AO25</f>
        <v>0.0115546572342934</v>
      </c>
      <c r="AP93" s="1">
        <f t="shared" si="242"/>
        <v>0.0110863986313088</v>
      </c>
      <c r="AQ93" s="1">
        <f t="shared" si="242"/>
        <v>0.0114618834080717</v>
      </c>
      <c r="AR93" s="1">
        <f t="shared" si="242"/>
        <v>0.011751326762699</v>
      </c>
      <c r="AS93" s="1">
        <f t="shared" si="242"/>
        <v>0.0119709118030953</v>
      </c>
      <c r="AT93" s="1">
        <f t="shared" si="242"/>
        <v>0.00817381489841985</v>
      </c>
      <c r="AU93" s="1">
        <f t="shared" si="242"/>
        <v>0.00960647329324371</v>
      </c>
    </row>
    <row r="94" spans="21:47">
      <c r="U94" s="35"/>
      <c r="V94" s="51" t="s">
        <v>428</v>
      </c>
      <c r="W94" s="1">
        <f t="shared" ref="W94:AC94" si="243" xml:space="preserve">W26</f>
        <v>0.0252147549267307</v>
      </c>
      <c r="X94" s="1">
        <f t="shared" si="243"/>
        <v>0.0242600513259196</v>
      </c>
      <c r="Y94" s="1">
        <f t="shared" si="243"/>
        <v>0.0250941704035874</v>
      </c>
      <c r="Z94" s="1">
        <f t="shared" si="243"/>
        <v>0.0257581501137225</v>
      </c>
      <c r="AA94" s="1">
        <f t="shared" si="243"/>
        <v>0.0262539623345143</v>
      </c>
      <c r="AB94" s="1">
        <f t="shared" si="243"/>
        <v>0.0210534236267871</v>
      </c>
      <c r="AC94" s="1">
        <f t="shared" si="243"/>
        <v>0.0247435443933498</v>
      </c>
      <c r="AF94" s="1">
        <f t="shared" ref="AF94:AL94" si="244" xml:space="preserve">AF26</f>
        <v>0.0252147549267307</v>
      </c>
      <c r="AG94" s="1">
        <f t="shared" si="244"/>
        <v>0.0242600513259196</v>
      </c>
      <c r="AH94" s="1">
        <f t="shared" si="244"/>
        <v>0.0250941704035874</v>
      </c>
      <c r="AI94" s="1">
        <f t="shared" si="244"/>
        <v>0.0257581501137225</v>
      </c>
      <c r="AJ94" s="1">
        <f t="shared" si="244"/>
        <v>0.0262539623345143</v>
      </c>
      <c r="AK94" s="1">
        <f t="shared" si="244"/>
        <v>0.0242114371708051</v>
      </c>
      <c r="AL94" s="1">
        <f t="shared" si="244"/>
        <v>0.0284550760523523</v>
      </c>
      <c r="AO94" s="1">
        <f t="shared" ref="AO94:AU94" si="245" xml:space="preserve">AO26</f>
        <v>0.0252147549267307</v>
      </c>
      <c r="AP94" s="1">
        <f t="shared" si="245"/>
        <v>0.0242600513259196</v>
      </c>
      <c r="AQ94" s="1">
        <f t="shared" si="245"/>
        <v>0.0250941704035874</v>
      </c>
      <c r="AR94" s="1">
        <f t="shared" si="245"/>
        <v>0.0257581501137225</v>
      </c>
      <c r="AS94" s="1">
        <f t="shared" si="245"/>
        <v>0.0262539623345143</v>
      </c>
      <c r="AT94" s="1">
        <f t="shared" si="245"/>
        <v>0.017895410082769</v>
      </c>
      <c r="AU94" s="1">
        <f t="shared" si="245"/>
        <v>0.0210320127343474</v>
      </c>
    </row>
    <row r="95" spans="21:47">
      <c r="U95" s="35"/>
      <c r="V95" s="50" t="s">
        <v>429</v>
      </c>
      <c r="W95" s="1">
        <f t="shared" ref="W95:AC95" si="246" xml:space="preserve">W27</f>
        <v>0.0978103419235304</v>
      </c>
      <c r="X95" s="1">
        <f t="shared" si="246"/>
        <v>0.0947818648417451</v>
      </c>
      <c r="Y95" s="1">
        <f t="shared" si="246"/>
        <v>0.0982600896860986</v>
      </c>
      <c r="Z95" s="1">
        <f t="shared" si="246"/>
        <v>0.099696739954511</v>
      </c>
      <c r="AA95" s="1">
        <f t="shared" si="246"/>
        <v>0.103953011374231</v>
      </c>
      <c r="AB95" s="1">
        <f t="shared" si="246"/>
        <v>0.0824379232505643</v>
      </c>
      <c r="AC95" s="1">
        <f t="shared" si="246"/>
        <v>0.0968871595330739</v>
      </c>
      <c r="AF95" s="1">
        <f t="shared" ref="AF95:AL95" si="247" xml:space="preserve">AF27</f>
        <v>0.0978103419235304</v>
      </c>
      <c r="AG95" s="1">
        <f t="shared" si="247"/>
        <v>0.0947818648417451</v>
      </c>
      <c r="AH95" s="1">
        <f t="shared" si="247"/>
        <v>0.0982600896860986</v>
      </c>
      <c r="AI95" s="1">
        <f t="shared" si="247"/>
        <v>0.099696739954511</v>
      </c>
      <c r="AJ95" s="1">
        <f t="shared" si="247"/>
        <v>0.103953011374231</v>
      </c>
      <c r="AK95" s="1">
        <f t="shared" si="247"/>
        <v>0.094803611738149</v>
      </c>
      <c r="AL95" s="1">
        <f t="shared" si="247"/>
        <v>0.111420233463035</v>
      </c>
      <c r="AO95" s="1">
        <f t="shared" ref="AO95:AU95" si="248" xml:space="preserve">AO27</f>
        <v>0.0978103419235304</v>
      </c>
      <c r="AP95" s="1">
        <f t="shared" si="248"/>
        <v>0.0947818648417451</v>
      </c>
      <c r="AQ95" s="1">
        <f t="shared" si="248"/>
        <v>0.0982600896860986</v>
      </c>
      <c r="AR95" s="1">
        <f t="shared" si="248"/>
        <v>0.099696739954511</v>
      </c>
      <c r="AS95" s="1">
        <f t="shared" si="248"/>
        <v>0.103953011374231</v>
      </c>
      <c r="AT95" s="1">
        <f t="shared" si="248"/>
        <v>0.0700722347629797</v>
      </c>
      <c r="AU95" s="1">
        <f t="shared" si="248"/>
        <v>0.0823540856031128</v>
      </c>
    </row>
    <row r="96" spans="21:47">
      <c r="U96" s="35"/>
      <c r="V96" s="50" t="s">
        <v>430</v>
      </c>
      <c r="W96" s="1">
        <f t="shared" ref="W96:AC96" si="249" xml:space="preserve">W28</f>
        <v>0.0132390096008085</v>
      </c>
      <c r="X96" s="1">
        <f t="shared" si="249"/>
        <v>0.0130538922155689</v>
      </c>
      <c r="Y96" s="1">
        <f t="shared" si="249"/>
        <v>0.0136143497757848</v>
      </c>
      <c r="Z96" s="1">
        <f t="shared" si="249"/>
        <v>0.0139689158453374</v>
      </c>
      <c r="AA96" s="1">
        <f t="shared" si="249"/>
        <v>0.0141711728510162</v>
      </c>
      <c r="AB96" s="1">
        <f t="shared" si="249"/>
        <v>0.0114221218961625</v>
      </c>
      <c r="AC96" s="1">
        <f t="shared" si="249"/>
        <v>0.0134241245136187</v>
      </c>
      <c r="AF96" s="1">
        <f t="shared" ref="AF96:AL96" si="250" xml:space="preserve">AF28</f>
        <v>0.0132390096008085</v>
      </c>
      <c r="AG96" s="1">
        <f t="shared" si="250"/>
        <v>0.0130538922155689</v>
      </c>
      <c r="AH96" s="1">
        <f t="shared" si="250"/>
        <v>0.0136143497757848</v>
      </c>
      <c r="AI96" s="1">
        <f t="shared" si="250"/>
        <v>0.0139689158453374</v>
      </c>
      <c r="AJ96" s="1">
        <f t="shared" si="250"/>
        <v>0.0141711728510162</v>
      </c>
      <c r="AK96" s="1">
        <f t="shared" si="250"/>
        <v>0.0131354401805869</v>
      </c>
      <c r="AL96" s="1">
        <f t="shared" si="250"/>
        <v>0.0154377431906615</v>
      </c>
      <c r="AO96" s="1">
        <f t="shared" ref="AO96:AU96" si="251" xml:space="preserve">AO28</f>
        <v>0.0132390096008085</v>
      </c>
      <c r="AP96" s="1">
        <f t="shared" si="251"/>
        <v>0.0130538922155689</v>
      </c>
      <c r="AQ96" s="1">
        <f t="shared" si="251"/>
        <v>0.0136143497757848</v>
      </c>
      <c r="AR96" s="1">
        <f t="shared" si="251"/>
        <v>0.0139689158453374</v>
      </c>
      <c r="AS96" s="1">
        <f t="shared" si="251"/>
        <v>0.0141711728510162</v>
      </c>
      <c r="AT96" s="1">
        <f t="shared" si="251"/>
        <v>0.00970880361173815</v>
      </c>
      <c r="AU96" s="1">
        <f t="shared" si="251"/>
        <v>0.0114105058365759</v>
      </c>
    </row>
    <row r="97" spans="21:47">
      <c r="U97" s="35" t="s">
        <v>301</v>
      </c>
      <c r="V97" s="50" t="s">
        <v>182</v>
      </c>
      <c r="W97" s="1">
        <f t="shared" ref="W97:AC97" si="252" xml:space="preserve">W29-W30</f>
        <v>0.0114030655213071</v>
      </c>
      <c r="X97" s="1">
        <f t="shared" si="252"/>
        <v>0.0109324208725406</v>
      </c>
      <c r="Y97" s="1">
        <f t="shared" si="252"/>
        <v>0.0113183856502242</v>
      </c>
      <c r="Z97" s="1">
        <f t="shared" si="252"/>
        <v>0.0115996967399545</v>
      </c>
      <c r="AA97" s="1">
        <f t="shared" si="252"/>
        <v>0.0118030952824912</v>
      </c>
      <c r="AB97" s="1">
        <f t="shared" si="252"/>
        <v>0.00949586155003763</v>
      </c>
      <c r="AC97" s="1">
        <f t="shared" si="252"/>
        <v>0.0111602405376725</v>
      </c>
      <c r="AF97" s="1">
        <f t="shared" ref="AF97:AL97" si="253" xml:space="preserve">AF29-AF30</f>
        <v>0.0114030655213071</v>
      </c>
      <c r="AG97" s="1">
        <f t="shared" si="253"/>
        <v>0.0109324208725406</v>
      </c>
      <c r="AH97" s="1">
        <f t="shared" si="253"/>
        <v>0.0113183856502242</v>
      </c>
      <c r="AI97" s="1">
        <f t="shared" si="253"/>
        <v>0.0115996967399545</v>
      </c>
      <c r="AJ97" s="1">
        <f t="shared" si="253"/>
        <v>0.0118030952824912</v>
      </c>
      <c r="AK97" s="1">
        <f t="shared" si="253"/>
        <v>0.0109202407825433</v>
      </c>
      <c r="AL97" s="1">
        <f t="shared" si="253"/>
        <v>0.0128342766183233</v>
      </c>
      <c r="AO97" s="1">
        <f t="shared" ref="AO97:AU97" si="254" xml:space="preserve">AO29-AO30</f>
        <v>0.0114030655213071</v>
      </c>
      <c r="AP97" s="1">
        <f t="shared" si="254"/>
        <v>0.0109324208725406</v>
      </c>
      <c r="AQ97" s="1">
        <f t="shared" si="254"/>
        <v>0.0113183856502242</v>
      </c>
      <c r="AR97" s="1">
        <f t="shared" si="254"/>
        <v>0.0115996967399545</v>
      </c>
      <c r="AS97" s="1">
        <f t="shared" si="254"/>
        <v>0.0118030952824912</v>
      </c>
      <c r="AT97" s="1">
        <f t="shared" si="254"/>
        <v>0.00807148231753198</v>
      </c>
      <c r="AU97" s="1">
        <f t="shared" si="254"/>
        <v>0.00948620445702159</v>
      </c>
    </row>
    <row r="98" spans="21:47">
      <c r="U98" s="35"/>
      <c r="V98" s="51" t="s">
        <v>428</v>
      </c>
      <c r="W98" s="1">
        <f t="shared" ref="W98:AC98" si="255" xml:space="preserve">W31</f>
        <v>0.0310257705912077</v>
      </c>
      <c r="X98" s="1">
        <f t="shared" si="255"/>
        <v>0.0298716852010265</v>
      </c>
      <c r="Y98" s="1">
        <f t="shared" si="255"/>
        <v>0.0309237668161435</v>
      </c>
      <c r="Z98" s="1">
        <f t="shared" si="255"/>
        <v>0.0319749810462472</v>
      </c>
      <c r="AA98" s="1">
        <f t="shared" si="255"/>
        <v>0.0325750512772702</v>
      </c>
      <c r="AB98" s="1">
        <f t="shared" si="255"/>
        <v>0.0259443190368698</v>
      </c>
      <c r="AC98" s="1">
        <f t="shared" si="255"/>
        <v>0.0304916873010258</v>
      </c>
      <c r="AF98" s="1">
        <f t="shared" ref="AF98:AL98" si="256" xml:space="preserve">AF31</f>
        <v>0.0310257705912077</v>
      </c>
      <c r="AG98" s="1">
        <f t="shared" si="256"/>
        <v>0.0298716852010265</v>
      </c>
      <c r="AH98" s="1">
        <f t="shared" si="256"/>
        <v>0.0309237668161435</v>
      </c>
      <c r="AI98" s="1">
        <f t="shared" si="256"/>
        <v>0.0319749810462472</v>
      </c>
      <c r="AJ98" s="1">
        <f t="shared" si="256"/>
        <v>0.0325750512772702</v>
      </c>
      <c r="AK98" s="1">
        <f t="shared" si="256"/>
        <v>0.0298359668924003</v>
      </c>
      <c r="AL98" s="1">
        <f t="shared" si="256"/>
        <v>0.0350654403961797</v>
      </c>
      <c r="AO98" s="1">
        <f t="shared" ref="AO98:AU98" si="257" xml:space="preserve">AO31</f>
        <v>0.0310257705912077</v>
      </c>
      <c r="AP98" s="1">
        <f t="shared" si="257"/>
        <v>0.0298716852010265</v>
      </c>
      <c r="AQ98" s="1">
        <f t="shared" si="257"/>
        <v>0.0309237668161435</v>
      </c>
      <c r="AR98" s="1">
        <f t="shared" si="257"/>
        <v>0.0319749810462472</v>
      </c>
      <c r="AS98" s="1">
        <f t="shared" si="257"/>
        <v>0.0325750512772702</v>
      </c>
      <c r="AT98" s="1">
        <f t="shared" si="257"/>
        <v>0.0220526711813394</v>
      </c>
      <c r="AU98" s="1">
        <f t="shared" si="257"/>
        <v>0.0259179342058719</v>
      </c>
    </row>
    <row r="99" ht="15.5" spans="21:47">
      <c r="U99" s="35"/>
      <c r="V99" s="50" t="s">
        <v>429</v>
      </c>
      <c r="W99" s="1">
        <f t="shared" ref="W99:AC99" si="258" xml:space="preserve">W32</f>
        <v>0.0942732019538488</v>
      </c>
      <c r="X99" s="1">
        <f t="shared" si="258"/>
        <v>0.0913601368691189</v>
      </c>
      <c r="Y99" s="1">
        <f t="shared" si="258"/>
        <v>0.0947085201793722</v>
      </c>
      <c r="Z99" s="1">
        <f t="shared" si="258"/>
        <v>0.0959249431387415</v>
      </c>
      <c r="AA99" s="1">
        <f t="shared" si="258"/>
        <v>0.100111877680403</v>
      </c>
      <c r="AB99" s="1">
        <f t="shared" si="258"/>
        <v>0.0794582392776524</v>
      </c>
      <c r="AC99" s="1">
        <f t="shared" si="258"/>
        <v>0.0933852140077821</v>
      </c>
      <c r="AD99" s="36"/>
      <c r="AE99" s="36"/>
      <c r="AF99" s="1">
        <f t="shared" ref="AF99:AL99" si="259" xml:space="preserve">AF32</f>
        <v>0.0942732019538488</v>
      </c>
      <c r="AG99" s="1">
        <f t="shared" si="259"/>
        <v>0.0913601368691189</v>
      </c>
      <c r="AH99" s="1">
        <f t="shared" si="259"/>
        <v>0.0947085201793722</v>
      </c>
      <c r="AI99" s="1">
        <f t="shared" si="259"/>
        <v>0.0959249431387415</v>
      </c>
      <c r="AJ99" s="1">
        <f t="shared" si="259"/>
        <v>0.100111877680403</v>
      </c>
      <c r="AK99" s="1">
        <f t="shared" si="259"/>
        <v>0.0913769751693002</v>
      </c>
      <c r="AL99" s="1">
        <f t="shared" si="259"/>
        <v>0.107392996108949</v>
      </c>
      <c r="AM99" s="36"/>
      <c r="AN99" s="36"/>
      <c r="AO99" s="1">
        <f t="shared" ref="AO99:AU99" si="260" xml:space="preserve">AO32</f>
        <v>0.0942732019538488</v>
      </c>
      <c r="AP99" s="1">
        <f t="shared" si="260"/>
        <v>0.0913601368691189</v>
      </c>
      <c r="AQ99" s="1">
        <f t="shared" si="260"/>
        <v>0.0947085201793722</v>
      </c>
      <c r="AR99" s="1">
        <f t="shared" si="260"/>
        <v>0.0959249431387415</v>
      </c>
      <c r="AS99" s="1">
        <f t="shared" si="260"/>
        <v>0.100111877680403</v>
      </c>
      <c r="AT99" s="1">
        <f t="shared" si="260"/>
        <v>0.0675395033860045</v>
      </c>
      <c r="AU99" s="1">
        <f t="shared" si="260"/>
        <v>0.0793774319066148</v>
      </c>
    </row>
    <row r="100" ht="15.5" spans="21:47">
      <c r="U100" s="35"/>
      <c r="V100" s="50" t="s">
        <v>430</v>
      </c>
      <c r="W100" s="1">
        <f t="shared" ref="W100:AC100" si="261" xml:space="preserve">W33</f>
        <v>0.0137106282634327</v>
      </c>
      <c r="X100" s="1">
        <f t="shared" si="261"/>
        <v>0.0135158254918734</v>
      </c>
      <c r="Y100" s="1">
        <f t="shared" si="261"/>
        <v>0.0140807174887892</v>
      </c>
      <c r="Z100" s="1">
        <f t="shared" si="261"/>
        <v>0.0144806671721001</v>
      </c>
      <c r="AA100" s="1">
        <f t="shared" si="261"/>
        <v>0.0146746224128286</v>
      </c>
      <c r="AB100" s="1">
        <f t="shared" si="261"/>
        <v>0.0118133935289691</v>
      </c>
      <c r="AC100" s="1">
        <f t="shared" si="261"/>
        <v>0.0138839759462328</v>
      </c>
      <c r="AD100" s="36"/>
      <c r="AE100" s="36"/>
      <c r="AF100" s="1">
        <f t="shared" ref="AF100:AL100" si="262" xml:space="preserve">AF33</f>
        <v>0.0137106282634327</v>
      </c>
      <c r="AG100" s="1">
        <f t="shared" si="262"/>
        <v>0.0135158254918734</v>
      </c>
      <c r="AH100" s="1">
        <f t="shared" si="262"/>
        <v>0.0140807174887892</v>
      </c>
      <c r="AI100" s="1">
        <f t="shared" si="262"/>
        <v>0.0144806671721001</v>
      </c>
      <c r="AJ100" s="1">
        <f t="shared" si="262"/>
        <v>0.0146746224128286</v>
      </c>
      <c r="AK100" s="1">
        <f t="shared" si="262"/>
        <v>0.0135854025583145</v>
      </c>
      <c r="AL100" s="1">
        <f t="shared" si="262"/>
        <v>0.0159665723381677</v>
      </c>
      <c r="AM100" s="36"/>
      <c r="AN100" s="36"/>
      <c r="AO100" s="1">
        <f t="shared" ref="AO100:AU100" si="263" xml:space="preserve">AO33</f>
        <v>0.0137106282634327</v>
      </c>
      <c r="AP100" s="1">
        <f t="shared" si="263"/>
        <v>0.0135158254918734</v>
      </c>
      <c r="AQ100" s="1">
        <f t="shared" si="263"/>
        <v>0.0140807174887892</v>
      </c>
      <c r="AR100" s="1">
        <f t="shared" si="263"/>
        <v>0.0144806671721001</v>
      </c>
      <c r="AS100" s="1">
        <f t="shared" si="263"/>
        <v>0.0146746224128286</v>
      </c>
      <c r="AT100" s="1">
        <f t="shared" si="263"/>
        <v>0.0100413844996238</v>
      </c>
      <c r="AU100" s="1">
        <f t="shared" si="263"/>
        <v>0.0118013795542978</v>
      </c>
    </row>
    <row r="101" ht="15.5" spans="21:47">
      <c r="U101" s="35" t="s">
        <v>431</v>
      </c>
      <c r="V101" s="50" t="s">
        <v>182</v>
      </c>
      <c r="W101" s="36">
        <f t="shared" ref="W101:AC101" si="264" xml:space="preserve">W34-W35</f>
        <v>0.011840997136601</v>
      </c>
      <c r="X101" s="36">
        <f t="shared" si="264"/>
        <v>0.011377245508982</v>
      </c>
      <c r="Y101" s="36">
        <f t="shared" si="264"/>
        <v>0.0117668161434977</v>
      </c>
      <c r="Z101" s="36">
        <f t="shared" si="264"/>
        <v>0.0120924943138741</v>
      </c>
      <c r="AA101" s="36">
        <f t="shared" si="264"/>
        <v>0.0122878985642364</v>
      </c>
      <c r="AB101" s="36">
        <f t="shared" si="264"/>
        <v>0.00987208427389014</v>
      </c>
      <c r="AC101" s="36">
        <f t="shared" si="264"/>
        <v>0.0116024053767244</v>
      </c>
      <c r="AD101" s="36"/>
      <c r="AE101" s="36"/>
      <c r="AF101" s="36">
        <f t="shared" ref="AF101:AL101" si="265" xml:space="preserve">AF34-AF35</f>
        <v>0.011840997136601</v>
      </c>
      <c r="AG101" s="36">
        <f t="shared" si="265"/>
        <v>0.011377245508982</v>
      </c>
      <c r="AH101" s="36">
        <f t="shared" si="265"/>
        <v>0.0117668161434977</v>
      </c>
      <c r="AI101" s="36">
        <f t="shared" si="265"/>
        <v>0.0120924943138741</v>
      </c>
      <c r="AJ101" s="36">
        <f t="shared" si="265"/>
        <v>0.0122878985642364</v>
      </c>
      <c r="AK101" s="36">
        <f t="shared" si="265"/>
        <v>0.0113528969149737</v>
      </c>
      <c r="AL101" s="36">
        <f t="shared" si="265"/>
        <v>0.0133427661832331</v>
      </c>
      <c r="AM101" s="36"/>
      <c r="AN101" s="36"/>
      <c r="AO101" s="36">
        <f t="shared" ref="AO101:AU101" si="266" xml:space="preserve">AO34-AO35</f>
        <v>0.011840997136601</v>
      </c>
      <c r="AP101" s="36">
        <f t="shared" si="266"/>
        <v>0.011377245508982</v>
      </c>
      <c r="AQ101" s="36">
        <f t="shared" si="266"/>
        <v>0.0117668161434977</v>
      </c>
      <c r="AR101" s="36">
        <f t="shared" si="266"/>
        <v>0.0120924943138741</v>
      </c>
      <c r="AS101" s="36">
        <f t="shared" si="266"/>
        <v>0.0122878985642364</v>
      </c>
      <c r="AT101" s="36">
        <f t="shared" si="266"/>
        <v>0.00839127163280662</v>
      </c>
      <c r="AU101" s="36">
        <f t="shared" si="266"/>
        <v>0.00986204457021578</v>
      </c>
    </row>
    <row r="102" ht="15.5" spans="21:47">
      <c r="U102" s="35"/>
      <c r="V102" s="51" t="s">
        <v>428</v>
      </c>
      <c r="W102" s="36">
        <f t="shared" ref="W102:AC102" si="267" xml:space="preserve">W36</f>
        <v>0.0404413003200269</v>
      </c>
      <c r="X102" s="36">
        <f t="shared" si="267"/>
        <v>0.0389734816082122</v>
      </c>
      <c r="Y102" s="36">
        <f t="shared" si="267"/>
        <v>0.0403408071748879</v>
      </c>
      <c r="Z102" s="36">
        <f t="shared" si="267"/>
        <v>0.0420204700530705</v>
      </c>
      <c r="AA102" s="36">
        <f t="shared" si="267"/>
        <v>0.0428118590341227</v>
      </c>
      <c r="AB102" s="36">
        <f t="shared" si="267"/>
        <v>0.0338449962377728</v>
      </c>
      <c r="AC102" s="36">
        <f t="shared" si="267"/>
        <v>0.0397771489211178</v>
      </c>
      <c r="AD102" s="36"/>
      <c r="AE102" s="36"/>
      <c r="AF102" s="36">
        <f t="shared" ref="AF102:AL102" si="268" xml:space="preserve">AF36</f>
        <v>0.0404413003200269</v>
      </c>
      <c r="AG102" s="36">
        <f t="shared" si="268"/>
        <v>0.0389734816082122</v>
      </c>
      <c r="AH102" s="36">
        <f t="shared" si="268"/>
        <v>0.0403408071748879</v>
      </c>
      <c r="AI102" s="36">
        <f t="shared" si="268"/>
        <v>0.0420204700530705</v>
      </c>
      <c r="AJ102" s="36">
        <f t="shared" si="268"/>
        <v>0.0428118590341227</v>
      </c>
      <c r="AK102" s="36">
        <f t="shared" si="268"/>
        <v>0.0389217456734387</v>
      </c>
      <c r="AL102" s="36">
        <f t="shared" si="268"/>
        <v>0.0457437212592855</v>
      </c>
      <c r="AM102" s="36"/>
      <c r="AN102" s="36"/>
      <c r="AO102" s="36">
        <f t="shared" ref="AO102:AU102" si="269" xml:space="preserve">AO36</f>
        <v>0.0404413003200269</v>
      </c>
      <c r="AP102" s="36">
        <f t="shared" si="269"/>
        <v>0.0389734816082122</v>
      </c>
      <c r="AQ102" s="36">
        <f t="shared" si="269"/>
        <v>0.0403408071748879</v>
      </c>
      <c r="AR102" s="36">
        <f t="shared" si="269"/>
        <v>0.0420204700530705</v>
      </c>
      <c r="AS102" s="36">
        <f t="shared" si="269"/>
        <v>0.0428118590341227</v>
      </c>
      <c r="AT102" s="36">
        <f t="shared" si="269"/>
        <v>0.0287682468021069</v>
      </c>
      <c r="AU102" s="36">
        <f t="shared" si="269"/>
        <v>0.0338105765829501</v>
      </c>
    </row>
    <row r="103" ht="15.5" spans="21:47">
      <c r="U103" s="35"/>
      <c r="V103" s="50" t="s">
        <v>429</v>
      </c>
      <c r="W103" s="36">
        <f t="shared" ref="W103:AC103" si="270" xml:space="preserve">W37</f>
        <v>0.0870304867778339</v>
      </c>
      <c r="X103" s="36">
        <f t="shared" si="270"/>
        <v>0.0843627031650984</v>
      </c>
      <c r="Y103" s="36">
        <f t="shared" si="270"/>
        <v>0.0874439461883408</v>
      </c>
      <c r="Z103" s="36">
        <f t="shared" si="270"/>
        <v>0.0881918119787718</v>
      </c>
      <c r="AA103" s="36">
        <f t="shared" si="270"/>
        <v>0.0922245012120082</v>
      </c>
      <c r="AB103" s="36">
        <f t="shared" si="270"/>
        <v>0.0733634311512415</v>
      </c>
      <c r="AC103" s="36">
        <f t="shared" si="270"/>
        <v>0.0862221436151397</v>
      </c>
      <c r="AD103" s="36"/>
      <c r="AE103" s="36"/>
      <c r="AF103" s="36">
        <f t="shared" ref="AF103:AL103" si="271" xml:space="preserve">AF37</f>
        <v>0.0870304867778339</v>
      </c>
      <c r="AG103" s="36">
        <f t="shared" si="271"/>
        <v>0.0843627031650984</v>
      </c>
      <c r="AH103" s="36">
        <f t="shared" si="271"/>
        <v>0.0874439461883408</v>
      </c>
      <c r="AI103" s="36">
        <f t="shared" si="271"/>
        <v>0.0881918119787718</v>
      </c>
      <c r="AJ103" s="36">
        <f t="shared" si="271"/>
        <v>0.0922245012120082</v>
      </c>
      <c r="AK103" s="36">
        <f t="shared" si="271"/>
        <v>0.0843679458239278</v>
      </c>
      <c r="AL103" s="36">
        <f t="shared" si="271"/>
        <v>0.0991554651574107</v>
      </c>
      <c r="AM103" s="36"/>
      <c r="AN103" s="36"/>
      <c r="AO103" s="36">
        <f t="shared" ref="AO103:AU103" si="272" xml:space="preserve">AO37</f>
        <v>0.0870304867778339</v>
      </c>
      <c r="AP103" s="36">
        <f t="shared" si="272"/>
        <v>0.0843627031650984</v>
      </c>
      <c r="AQ103" s="36">
        <f t="shared" si="272"/>
        <v>0.0874439461883408</v>
      </c>
      <c r="AR103" s="36">
        <f t="shared" si="272"/>
        <v>0.0881918119787718</v>
      </c>
      <c r="AS103" s="36">
        <f t="shared" si="272"/>
        <v>0.0922245012120082</v>
      </c>
      <c r="AT103" s="36">
        <f t="shared" si="272"/>
        <v>0.0623589164785553</v>
      </c>
      <c r="AU103" s="36">
        <f t="shared" si="272"/>
        <v>0.0732888220728688</v>
      </c>
    </row>
    <row r="104" ht="15.5" spans="21:47">
      <c r="U104" s="35"/>
      <c r="V104" s="50" t="s">
        <v>430</v>
      </c>
      <c r="W104" s="36">
        <f t="shared" ref="W104:AC104" si="273" xml:space="preserve">W38</f>
        <v>0.0133569142664645</v>
      </c>
      <c r="X104" s="36">
        <f t="shared" si="273"/>
        <v>0.0131907613344739</v>
      </c>
      <c r="Y104" s="36">
        <f t="shared" si="273"/>
        <v>0.0137399103139013</v>
      </c>
      <c r="Z104" s="36">
        <f t="shared" si="273"/>
        <v>0.0141015921152388</v>
      </c>
      <c r="AA104" s="36">
        <f t="shared" si="273"/>
        <v>0.0143016968114861</v>
      </c>
      <c r="AB104" s="36">
        <f t="shared" si="273"/>
        <v>0.0115274642588412</v>
      </c>
      <c r="AC104" s="36">
        <f t="shared" si="273"/>
        <v>0.0135479306685532</v>
      </c>
      <c r="AD104" s="36"/>
      <c r="AE104" s="36"/>
      <c r="AF104" s="36">
        <f t="shared" ref="AF104:AL104" si="274" xml:space="preserve">AF38</f>
        <v>0.0133569142664645</v>
      </c>
      <c r="AG104" s="36">
        <f t="shared" si="274"/>
        <v>0.0131907613344739</v>
      </c>
      <c r="AH104" s="36">
        <f t="shared" si="274"/>
        <v>0.0137399103139013</v>
      </c>
      <c r="AI104" s="36">
        <f t="shared" si="274"/>
        <v>0.0141015921152388</v>
      </c>
      <c r="AJ104" s="36">
        <f t="shared" si="274"/>
        <v>0.0143016968114861</v>
      </c>
      <c r="AK104" s="36">
        <f t="shared" si="274"/>
        <v>0.0132565838976674</v>
      </c>
      <c r="AL104" s="36">
        <f t="shared" si="274"/>
        <v>0.0155801202688362</v>
      </c>
      <c r="AM104" s="36"/>
      <c r="AN104" s="36"/>
      <c r="AO104" s="36">
        <f t="shared" ref="AO104:AU104" si="275" xml:space="preserve">AO38</f>
        <v>0.0133569142664645</v>
      </c>
      <c r="AP104" s="36">
        <f t="shared" si="275"/>
        <v>0.0131907613344739</v>
      </c>
      <c r="AQ104" s="36">
        <f t="shared" si="275"/>
        <v>0.0137399103139013</v>
      </c>
      <c r="AR104" s="36">
        <f t="shared" si="275"/>
        <v>0.0141015921152388</v>
      </c>
      <c r="AS104" s="36">
        <f t="shared" si="275"/>
        <v>0.0143016968114861</v>
      </c>
      <c r="AT104" s="36">
        <f t="shared" si="275"/>
        <v>0.00979834462001505</v>
      </c>
      <c r="AU104" s="36">
        <f t="shared" si="275"/>
        <v>0.0115157410682703</v>
      </c>
    </row>
    <row r="105" ht="15.5" spans="21:47">
      <c r="U105" s="57" t="s">
        <v>405</v>
      </c>
      <c r="V105" s="50" t="s">
        <v>182</v>
      </c>
      <c r="W105" s="52">
        <f t="shared" ref="W105:AC105" si="276" xml:space="preserve">W93</f>
        <v>0.0115546572342934</v>
      </c>
      <c r="X105" s="52">
        <f t="shared" si="276"/>
        <v>0.0110863986313088</v>
      </c>
      <c r="Y105" s="52">
        <f t="shared" si="276"/>
        <v>0.0114618834080717</v>
      </c>
      <c r="Z105" s="52">
        <f t="shared" si="276"/>
        <v>0.011751326762699</v>
      </c>
      <c r="AA105" s="52">
        <f t="shared" si="276"/>
        <v>0.0119709118030953</v>
      </c>
      <c r="AB105" s="52">
        <f t="shared" si="276"/>
        <v>0.00961625282167042</v>
      </c>
      <c r="AC105" s="52">
        <f t="shared" si="276"/>
        <v>0.0113017332861691</v>
      </c>
      <c r="AD105" s="36"/>
      <c r="AE105" s="36"/>
      <c r="AF105" s="52">
        <f t="shared" ref="AF105:AL105" si="277" xml:space="preserve">AF93</f>
        <v>0.0115546572342934</v>
      </c>
      <c r="AG105" s="52">
        <f t="shared" si="277"/>
        <v>0.0110863986313088</v>
      </c>
      <c r="AH105" s="52">
        <f t="shared" si="277"/>
        <v>0.0114618834080717</v>
      </c>
      <c r="AI105" s="52">
        <f t="shared" si="277"/>
        <v>0.011751326762699</v>
      </c>
      <c r="AJ105" s="52">
        <f t="shared" si="277"/>
        <v>0.0119709118030953</v>
      </c>
      <c r="AK105" s="52">
        <f t="shared" si="277"/>
        <v>0.011058690744921</v>
      </c>
      <c r="AL105" s="52">
        <f t="shared" si="277"/>
        <v>0.0129969932790944</v>
      </c>
      <c r="AM105" s="36"/>
      <c r="AN105" s="36"/>
      <c r="AO105" s="52">
        <f t="shared" ref="AO105:AU105" si="278" xml:space="preserve">AO93</f>
        <v>0.0115546572342934</v>
      </c>
      <c r="AP105" s="52">
        <f t="shared" si="278"/>
        <v>0.0110863986313088</v>
      </c>
      <c r="AQ105" s="52">
        <f t="shared" si="278"/>
        <v>0.0114618834080717</v>
      </c>
      <c r="AR105" s="52">
        <f t="shared" si="278"/>
        <v>0.011751326762699</v>
      </c>
      <c r="AS105" s="52">
        <f t="shared" si="278"/>
        <v>0.0119709118030953</v>
      </c>
      <c r="AT105" s="52">
        <f t="shared" si="278"/>
        <v>0.00817381489841985</v>
      </c>
      <c r="AU105" s="52">
        <f t="shared" si="278"/>
        <v>0.00960647329324371</v>
      </c>
    </row>
    <row r="106" ht="15.5" spans="21:47">
      <c r="U106" s="57"/>
      <c r="V106" s="51" t="s">
        <v>428</v>
      </c>
      <c r="W106" s="52">
        <f t="shared" ref="W106:AC106" si="279" xml:space="preserve">W94</f>
        <v>0.0252147549267307</v>
      </c>
      <c r="X106" s="52">
        <f t="shared" si="279"/>
        <v>0.0242600513259196</v>
      </c>
      <c r="Y106" s="52">
        <f t="shared" si="279"/>
        <v>0.0250941704035874</v>
      </c>
      <c r="Z106" s="52">
        <f t="shared" si="279"/>
        <v>0.0257581501137225</v>
      </c>
      <c r="AA106" s="52">
        <f t="shared" si="279"/>
        <v>0.0262539623345143</v>
      </c>
      <c r="AB106" s="52">
        <f t="shared" si="279"/>
        <v>0.0210534236267871</v>
      </c>
      <c r="AC106" s="52">
        <f t="shared" si="279"/>
        <v>0.0247435443933498</v>
      </c>
      <c r="AD106" s="36"/>
      <c r="AE106" s="36"/>
      <c r="AF106" s="52">
        <f t="shared" ref="AF106:AL106" si="280" xml:space="preserve">AF94</f>
        <v>0.0252147549267307</v>
      </c>
      <c r="AG106" s="52">
        <f t="shared" si="280"/>
        <v>0.0242600513259196</v>
      </c>
      <c r="AH106" s="52">
        <f t="shared" si="280"/>
        <v>0.0250941704035874</v>
      </c>
      <c r="AI106" s="52">
        <f t="shared" si="280"/>
        <v>0.0257581501137225</v>
      </c>
      <c r="AJ106" s="52">
        <f t="shared" si="280"/>
        <v>0.0262539623345143</v>
      </c>
      <c r="AK106" s="52">
        <f t="shared" si="280"/>
        <v>0.0242114371708051</v>
      </c>
      <c r="AL106" s="52">
        <f t="shared" si="280"/>
        <v>0.0284550760523523</v>
      </c>
      <c r="AM106" s="36"/>
      <c r="AN106" s="36"/>
      <c r="AO106" s="52">
        <f t="shared" ref="AO106:AU106" si="281" xml:space="preserve">AO94</f>
        <v>0.0252147549267307</v>
      </c>
      <c r="AP106" s="52">
        <f t="shared" si="281"/>
        <v>0.0242600513259196</v>
      </c>
      <c r="AQ106" s="52">
        <f t="shared" si="281"/>
        <v>0.0250941704035874</v>
      </c>
      <c r="AR106" s="52">
        <f t="shared" si="281"/>
        <v>0.0257581501137225</v>
      </c>
      <c r="AS106" s="52">
        <f t="shared" si="281"/>
        <v>0.0262539623345143</v>
      </c>
      <c r="AT106" s="52">
        <f t="shared" si="281"/>
        <v>0.017895410082769</v>
      </c>
      <c r="AU106" s="52">
        <f t="shared" si="281"/>
        <v>0.0210320127343474</v>
      </c>
    </row>
    <row r="107" ht="15.5" spans="21:47">
      <c r="U107" s="57"/>
      <c r="V107" s="50" t="s">
        <v>429</v>
      </c>
      <c r="W107" s="52">
        <f t="shared" ref="W107:AC107" si="282" xml:space="preserve">W95</f>
        <v>0.0978103419235304</v>
      </c>
      <c r="X107" s="52">
        <f t="shared" si="282"/>
        <v>0.0947818648417451</v>
      </c>
      <c r="Y107" s="52">
        <f t="shared" si="282"/>
        <v>0.0982600896860986</v>
      </c>
      <c r="Z107" s="52">
        <f t="shared" si="282"/>
        <v>0.099696739954511</v>
      </c>
      <c r="AA107" s="52">
        <f t="shared" si="282"/>
        <v>0.103953011374231</v>
      </c>
      <c r="AB107" s="52">
        <f t="shared" si="282"/>
        <v>0.0824379232505643</v>
      </c>
      <c r="AC107" s="52">
        <f t="shared" si="282"/>
        <v>0.0968871595330739</v>
      </c>
      <c r="AD107" s="36"/>
      <c r="AE107" s="36"/>
      <c r="AF107" s="52">
        <f t="shared" ref="AF107:AL107" si="283" xml:space="preserve">AF95</f>
        <v>0.0978103419235304</v>
      </c>
      <c r="AG107" s="52">
        <f t="shared" si="283"/>
        <v>0.0947818648417451</v>
      </c>
      <c r="AH107" s="52">
        <f t="shared" si="283"/>
        <v>0.0982600896860986</v>
      </c>
      <c r="AI107" s="52">
        <f t="shared" si="283"/>
        <v>0.099696739954511</v>
      </c>
      <c r="AJ107" s="52">
        <f t="shared" si="283"/>
        <v>0.103953011374231</v>
      </c>
      <c r="AK107" s="52">
        <f t="shared" si="283"/>
        <v>0.094803611738149</v>
      </c>
      <c r="AL107" s="52">
        <f t="shared" si="283"/>
        <v>0.111420233463035</v>
      </c>
      <c r="AM107" s="36"/>
      <c r="AN107" s="36"/>
      <c r="AO107" s="52">
        <f t="shared" ref="AO107:AU107" si="284" xml:space="preserve">AO95</f>
        <v>0.0978103419235304</v>
      </c>
      <c r="AP107" s="52">
        <f t="shared" si="284"/>
        <v>0.0947818648417451</v>
      </c>
      <c r="AQ107" s="52">
        <f t="shared" si="284"/>
        <v>0.0982600896860986</v>
      </c>
      <c r="AR107" s="52">
        <f t="shared" si="284"/>
        <v>0.099696739954511</v>
      </c>
      <c r="AS107" s="52">
        <f t="shared" si="284"/>
        <v>0.103953011374231</v>
      </c>
      <c r="AT107" s="52">
        <f t="shared" si="284"/>
        <v>0.0700722347629797</v>
      </c>
      <c r="AU107" s="52">
        <f t="shared" si="284"/>
        <v>0.0823540856031128</v>
      </c>
    </row>
    <row r="108" ht="15.5" spans="21:47">
      <c r="U108" s="57"/>
      <c r="V108" s="50" t="s">
        <v>430</v>
      </c>
      <c r="W108" s="52">
        <f t="shared" ref="W108:AC108" si="285" xml:space="preserve">W96</f>
        <v>0.0132390096008085</v>
      </c>
      <c r="X108" s="52">
        <f t="shared" si="285"/>
        <v>0.0130538922155689</v>
      </c>
      <c r="Y108" s="52">
        <f t="shared" si="285"/>
        <v>0.0136143497757848</v>
      </c>
      <c r="Z108" s="52">
        <f t="shared" si="285"/>
        <v>0.0139689158453374</v>
      </c>
      <c r="AA108" s="52">
        <f t="shared" si="285"/>
        <v>0.0141711728510162</v>
      </c>
      <c r="AB108" s="52">
        <f t="shared" si="285"/>
        <v>0.0114221218961625</v>
      </c>
      <c r="AC108" s="52">
        <f t="shared" si="285"/>
        <v>0.0134241245136187</v>
      </c>
      <c r="AD108" s="36"/>
      <c r="AE108" s="36"/>
      <c r="AF108" s="52">
        <f t="shared" ref="AF108:AL108" si="286" xml:space="preserve">AF96</f>
        <v>0.0132390096008085</v>
      </c>
      <c r="AG108" s="52">
        <f t="shared" si="286"/>
        <v>0.0130538922155689</v>
      </c>
      <c r="AH108" s="52">
        <f t="shared" si="286"/>
        <v>0.0136143497757848</v>
      </c>
      <c r="AI108" s="52">
        <f t="shared" si="286"/>
        <v>0.0139689158453374</v>
      </c>
      <c r="AJ108" s="52">
        <f t="shared" si="286"/>
        <v>0.0141711728510162</v>
      </c>
      <c r="AK108" s="52">
        <f t="shared" si="286"/>
        <v>0.0131354401805869</v>
      </c>
      <c r="AL108" s="52">
        <f t="shared" si="286"/>
        <v>0.0154377431906615</v>
      </c>
      <c r="AM108" s="36"/>
      <c r="AN108" s="36"/>
      <c r="AO108" s="52">
        <f t="shared" ref="AO108:AU108" si="287" xml:space="preserve">AO96</f>
        <v>0.0132390096008085</v>
      </c>
      <c r="AP108" s="52">
        <f t="shared" si="287"/>
        <v>0.0130538922155689</v>
      </c>
      <c r="AQ108" s="52">
        <f t="shared" si="287"/>
        <v>0.0136143497757848</v>
      </c>
      <c r="AR108" s="52">
        <f t="shared" si="287"/>
        <v>0.0139689158453374</v>
      </c>
      <c r="AS108" s="52">
        <f t="shared" si="287"/>
        <v>0.0141711728510162</v>
      </c>
      <c r="AT108" s="52">
        <f t="shared" si="287"/>
        <v>0.00970880361173815</v>
      </c>
      <c r="AU108" s="52">
        <f t="shared" si="287"/>
        <v>0.0114105058365759</v>
      </c>
    </row>
    <row r="112" ht="15.5" spans="21:47">
      <c r="U112" s="36"/>
      <c r="V112" s="36"/>
      <c r="W112" s="36" t="s">
        <v>398</v>
      </c>
      <c r="X112" s="36" t="s">
        <v>399</v>
      </c>
      <c r="Y112" s="40" t="s">
        <v>400</v>
      </c>
      <c r="Z112" s="36" t="s">
        <v>401</v>
      </c>
      <c r="AA112" s="36" t="s">
        <v>402</v>
      </c>
      <c r="AB112" s="42" t="s">
        <v>403</v>
      </c>
      <c r="AC112" s="42" t="s">
        <v>404</v>
      </c>
      <c r="AD112" s="36"/>
      <c r="AE112" s="36"/>
      <c r="AF112" s="36" t="s">
        <v>398</v>
      </c>
      <c r="AG112" s="36" t="s">
        <v>399</v>
      </c>
      <c r="AH112" s="40" t="s">
        <v>400</v>
      </c>
      <c r="AI112" s="36" t="s">
        <v>401</v>
      </c>
      <c r="AJ112" s="36" t="s">
        <v>402</v>
      </c>
      <c r="AK112" s="42" t="s">
        <v>403</v>
      </c>
      <c r="AL112" s="42" t="s">
        <v>404</v>
      </c>
      <c r="AM112" s="36"/>
      <c r="AN112" s="36"/>
      <c r="AO112" s="36" t="s">
        <v>398</v>
      </c>
      <c r="AP112" s="36" t="s">
        <v>399</v>
      </c>
      <c r="AQ112" s="40" t="s">
        <v>400</v>
      </c>
      <c r="AR112" s="36" t="s">
        <v>401</v>
      </c>
      <c r="AS112" s="36" t="s">
        <v>402</v>
      </c>
      <c r="AT112" s="42" t="s">
        <v>403</v>
      </c>
      <c r="AU112" s="42" t="s">
        <v>404</v>
      </c>
    </row>
    <row r="113" spans="21:47">
      <c r="U113" s="35" t="s">
        <v>405</v>
      </c>
      <c r="V113" s="50" t="s">
        <v>182</v>
      </c>
      <c r="W113" s="1">
        <f t="shared" ref="W113:AC113" si="288" xml:space="preserve">W44-W45</f>
        <v>0.00788276907529056</v>
      </c>
      <c r="X113" s="1">
        <f t="shared" si="288"/>
        <v>0.00764756201881948</v>
      </c>
      <c r="Y113" s="1">
        <f t="shared" si="288"/>
        <v>0.00794618834080718</v>
      </c>
      <c r="Z113" s="1">
        <f t="shared" si="288"/>
        <v>0.00794162244124336</v>
      </c>
      <c r="AA113" s="1">
        <f t="shared" si="288"/>
        <v>0.00801790042886445</v>
      </c>
      <c r="AB113" s="1">
        <f t="shared" si="288"/>
        <v>0.00666666666666667</v>
      </c>
      <c r="AC113" s="1">
        <f t="shared" si="288"/>
        <v>0.00783516094800141</v>
      </c>
      <c r="AF113" s="1">
        <f t="shared" ref="AF113:AL113" si="289" xml:space="preserve">AF44-AF45</f>
        <v>0.00788276907529056</v>
      </c>
      <c r="AG113" s="1">
        <f t="shared" si="289"/>
        <v>0.00764756201881948</v>
      </c>
      <c r="AH113" s="1">
        <f t="shared" si="289"/>
        <v>0.00794618834080718</v>
      </c>
      <c r="AI113" s="1">
        <f t="shared" si="289"/>
        <v>0.00794162244124336</v>
      </c>
      <c r="AJ113" s="1">
        <f t="shared" si="289"/>
        <v>0.00801790042886445</v>
      </c>
      <c r="AK113" s="1">
        <f t="shared" si="289"/>
        <v>0.00766666666666667</v>
      </c>
      <c r="AL113" s="1">
        <f t="shared" si="289"/>
        <v>0.00901043509020162</v>
      </c>
      <c r="AO113" s="1">
        <f t="shared" ref="AO113:AU113" si="290" xml:space="preserve">AO44-AO45</f>
        <v>0.00788276907529056</v>
      </c>
      <c r="AP113" s="1">
        <f t="shared" si="290"/>
        <v>0.00764756201881948</v>
      </c>
      <c r="AQ113" s="1">
        <f t="shared" si="290"/>
        <v>0.00794618834080718</v>
      </c>
      <c r="AR113" s="1">
        <f t="shared" si="290"/>
        <v>0.00794162244124336</v>
      </c>
      <c r="AS113" s="1">
        <f t="shared" si="290"/>
        <v>0.00801790042886445</v>
      </c>
      <c r="AT113" s="1">
        <f t="shared" si="290"/>
        <v>0.00566666666666667</v>
      </c>
      <c r="AU113" s="1">
        <f t="shared" si="290"/>
        <v>0.00665988680580119</v>
      </c>
    </row>
    <row r="114" spans="21:47">
      <c r="U114" s="35"/>
      <c r="V114" s="51" t="s">
        <v>428</v>
      </c>
      <c r="W114" s="1">
        <f t="shared" ref="W114:AC114" si="291" xml:space="preserve">W46</f>
        <v>0.02011116725619</v>
      </c>
      <c r="X114" s="1">
        <f t="shared" si="291"/>
        <v>0.0195038494439692</v>
      </c>
      <c r="Y114" s="1">
        <f t="shared" si="291"/>
        <v>0.0202152466367713</v>
      </c>
      <c r="Z114" s="1">
        <f t="shared" si="291"/>
        <v>0.0201099317664898</v>
      </c>
      <c r="AA114" s="1">
        <f t="shared" si="291"/>
        <v>0.0203990303934365</v>
      </c>
      <c r="AB114" s="1">
        <f t="shared" si="291"/>
        <v>0.0169601203912716</v>
      </c>
      <c r="AC114" s="1">
        <f t="shared" si="291"/>
        <v>0.0199327909444641</v>
      </c>
      <c r="AF114" s="1">
        <f t="shared" ref="AF114:AL114" si="292" xml:space="preserve">AF46</f>
        <v>0.02011116725619</v>
      </c>
      <c r="AG114" s="1">
        <f t="shared" si="292"/>
        <v>0.0195038494439692</v>
      </c>
      <c r="AH114" s="1">
        <f t="shared" si="292"/>
        <v>0.0202152466367713</v>
      </c>
      <c r="AI114" s="1">
        <f t="shared" si="292"/>
        <v>0.0201099317664898</v>
      </c>
      <c r="AJ114" s="1">
        <f t="shared" si="292"/>
        <v>0.0203990303934365</v>
      </c>
      <c r="AK114" s="1">
        <f t="shared" si="292"/>
        <v>0.0195041384499624</v>
      </c>
      <c r="AL114" s="1">
        <f t="shared" si="292"/>
        <v>0.0229227095861337</v>
      </c>
      <c r="AO114" s="1">
        <f t="shared" ref="AO114:AU114" si="293" xml:space="preserve">AO46</f>
        <v>0.02011116725619</v>
      </c>
      <c r="AP114" s="1">
        <f t="shared" si="293"/>
        <v>0.0195038494439692</v>
      </c>
      <c r="AQ114" s="1">
        <f t="shared" si="293"/>
        <v>0.0202152466367713</v>
      </c>
      <c r="AR114" s="1">
        <f t="shared" si="293"/>
        <v>0.0201099317664898</v>
      </c>
      <c r="AS114" s="1">
        <f t="shared" si="293"/>
        <v>0.0203990303934365</v>
      </c>
      <c r="AT114" s="1">
        <f t="shared" si="293"/>
        <v>0.0144161023325809</v>
      </c>
      <c r="AU114" s="1">
        <f t="shared" si="293"/>
        <v>0.0169428723027945</v>
      </c>
    </row>
    <row r="115" spans="21:47">
      <c r="U115" s="35"/>
      <c r="V115" s="50" t="s">
        <v>429</v>
      </c>
      <c r="W115" s="1">
        <f t="shared" ref="W115:AC115" si="294" xml:space="preserve">W47</f>
        <v>0.0641232945932289</v>
      </c>
      <c r="X115" s="1">
        <f t="shared" si="294"/>
        <v>0.0633532934131737</v>
      </c>
      <c r="Y115" s="1">
        <f t="shared" si="294"/>
        <v>0.0659910313901345</v>
      </c>
      <c r="Z115" s="1">
        <f t="shared" si="294"/>
        <v>0.0673237300985595</v>
      </c>
      <c r="AA115" s="1">
        <f t="shared" si="294"/>
        <v>0.0673690098825284</v>
      </c>
      <c r="AB115" s="1">
        <f t="shared" si="294"/>
        <v>0.055364936042137</v>
      </c>
      <c r="AC115" s="1">
        <f t="shared" si="294"/>
        <v>0.0650689777148921</v>
      </c>
      <c r="AF115" s="1">
        <f t="shared" ref="AF115:AL115" si="295" xml:space="preserve">AF47</f>
        <v>0.0641232945932289</v>
      </c>
      <c r="AG115" s="1">
        <f t="shared" si="295"/>
        <v>0.0633532934131737</v>
      </c>
      <c r="AH115" s="1">
        <f t="shared" si="295"/>
        <v>0.0659910313901345</v>
      </c>
      <c r="AI115" s="1">
        <f t="shared" si="295"/>
        <v>0.0673237300985595</v>
      </c>
      <c r="AJ115" s="1">
        <f t="shared" si="295"/>
        <v>0.0673690098825284</v>
      </c>
      <c r="AK115" s="1">
        <f t="shared" si="295"/>
        <v>0.0636696764484575</v>
      </c>
      <c r="AL115" s="1">
        <f t="shared" si="295"/>
        <v>0.0748293243721259</v>
      </c>
      <c r="AO115" s="1">
        <f t="shared" ref="AO115:AU115" si="296" xml:space="preserve">AO47</f>
        <v>0.0641232945932289</v>
      </c>
      <c r="AP115" s="1">
        <f t="shared" si="296"/>
        <v>0.0633532934131737</v>
      </c>
      <c r="AQ115" s="1">
        <f t="shared" si="296"/>
        <v>0.0659910313901345</v>
      </c>
      <c r="AR115" s="1">
        <f t="shared" si="296"/>
        <v>0.0673237300985595</v>
      </c>
      <c r="AS115" s="1">
        <f t="shared" si="296"/>
        <v>0.0673690098825284</v>
      </c>
      <c r="AT115" s="1">
        <f t="shared" si="296"/>
        <v>0.0470601956358164</v>
      </c>
      <c r="AU115" s="1">
        <f t="shared" si="296"/>
        <v>0.0553086310576583</v>
      </c>
    </row>
    <row r="116" spans="21:47">
      <c r="U116" s="35"/>
      <c r="V116" s="50" t="s">
        <v>430</v>
      </c>
      <c r="W116" s="1">
        <f t="shared" ref="W116:AC116" si="297" xml:space="preserve">W48</f>
        <v>0.0129695132221661</v>
      </c>
      <c r="X116" s="1">
        <f t="shared" si="297"/>
        <v>0.012814371257485</v>
      </c>
      <c r="Y116" s="1">
        <f t="shared" si="297"/>
        <v>0.0133452914798206</v>
      </c>
      <c r="Z116" s="1">
        <f t="shared" si="297"/>
        <v>0.0135898407884761</v>
      </c>
      <c r="AA116" s="1">
        <f t="shared" si="297"/>
        <v>0.0136304307290695</v>
      </c>
      <c r="AB116" s="1">
        <f t="shared" si="297"/>
        <v>0.011196388261851</v>
      </c>
      <c r="AC116" s="1">
        <f t="shared" si="297"/>
        <v>0.0131588256101875</v>
      </c>
      <c r="AF116" s="1">
        <f t="shared" ref="AF116:AL116" si="298" xml:space="preserve">AF48</f>
        <v>0.0129695132221661</v>
      </c>
      <c r="AG116" s="1">
        <f t="shared" si="298"/>
        <v>0.012814371257485</v>
      </c>
      <c r="AH116" s="1">
        <f t="shared" si="298"/>
        <v>0.0133452914798206</v>
      </c>
      <c r="AI116" s="1">
        <f t="shared" si="298"/>
        <v>0.0135898407884761</v>
      </c>
      <c r="AJ116" s="1">
        <f t="shared" si="298"/>
        <v>0.0136304307290695</v>
      </c>
      <c r="AK116" s="1">
        <f t="shared" si="298"/>
        <v>0.0128758465011287</v>
      </c>
      <c r="AL116" s="1">
        <f t="shared" si="298"/>
        <v>0.0151326494517156</v>
      </c>
      <c r="AO116" s="1">
        <f t="shared" ref="AO116:AU116" si="299" xml:space="preserve">AO48</f>
        <v>0.0129695132221661</v>
      </c>
      <c r="AP116" s="1">
        <f t="shared" si="299"/>
        <v>0.012814371257485</v>
      </c>
      <c r="AQ116" s="1">
        <f t="shared" si="299"/>
        <v>0.0133452914798206</v>
      </c>
      <c r="AR116" s="1">
        <f t="shared" si="299"/>
        <v>0.0135898407884761</v>
      </c>
      <c r="AS116" s="1">
        <f t="shared" si="299"/>
        <v>0.0136304307290695</v>
      </c>
      <c r="AT116" s="1">
        <f t="shared" si="299"/>
        <v>0.00951693002257336</v>
      </c>
      <c r="AU116" s="1">
        <f t="shared" si="299"/>
        <v>0.0111850017686594</v>
      </c>
    </row>
    <row r="117" spans="21:47">
      <c r="U117" s="35" t="s">
        <v>301</v>
      </c>
      <c r="V117" s="50" t="s">
        <v>182</v>
      </c>
      <c r="W117" s="1">
        <f t="shared" ref="W117:AC117" si="300" xml:space="preserve">W49-W50</f>
        <v>0.0077648644096345</v>
      </c>
      <c r="X117" s="1">
        <f t="shared" si="300"/>
        <v>0.00754491017964072</v>
      </c>
      <c r="Y117" s="1">
        <f t="shared" si="300"/>
        <v>0.00782062780269058</v>
      </c>
      <c r="Z117" s="1">
        <f t="shared" si="300"/>
        <v>0.00780894617134195</v>
      </c>
      <c r="AA117" s="1">
        <f t="shared" si="300"/>
        <v>0.00788737646839455</v>
      </c>
      <c r="AB117" s="1">
        <f t="shared" si="300"/>
        <v>0.00656132430398797</v>
      </c>
      <c r="AC117" s="1">
        <f t="shared" si="300"/>
        <v>0.00771135479306685</v>
      </c>
      <c r="AF117" s="1">
        <f t="shared" ref="AF117:AL117" si="301" xml:space="preserve">AF49-AF50</f>
        <v>0.0077648644096345</v>
      </c>
      <c r="AG117" s="1">
        <f t="shared" si="301"/>
        <v>0.00754491017964072</v>
      </c>
      <c r="AH117" s="1">
        <f t="shared" si="301"/>
        <v>0.00782062780269058</v>
      </c>
      <c r="AI117" s="1">
        <f t="shared" si="301"/>
        <v>0.00780894617134195</v>
      </c>
      <c r="AJ117" s="1">
        <f t="shared" si="301"/>
        <v>0.00788737646839455</v>
      </c>
      <c r="AK117" s="1">
        <f t="shared" si="301"/>
        <v>0.00754552294958616</v>
      </c>
      <c r="AL117" s="1">
        <f t="shared" si="301"/>
        <v>0.00886805801202688</v>
      </c>
      <c r="AO117" s="1">
        <f t="shared" ref="AO117:AU117" si="302" xml:space="preserve">AO49-AO50</f>
        <v>0.0077648644096345</v>
      </c>
      <c r="AP117" s="1">
        <f t="shared" si="302"/>
        <v>0.00754491017964072</v>
      </c>
      <c r="AQ117" s="1">
        <f t="shared" si="302"/>
        <v>0.00782062780269058</v>
      </c>
      <c r="AR117" s="1">
        <f t="shared" si="302"/>
        <v>0.00780894617134195</v>
      </c>
      <c r="AS117" s="1">
        <f t="shared" si="302"/>
        <v>0.00788737646839455</v>
      </c>
      <c r="AT117" s="1">
        <f t="shared" si="302"/>
        <v>0.00557712565838978</v>
      </c>
      <c r="AU117" s="1">
        <f t="shared" si="302"/>
        <v>0.00655465157410683</v>
      </c>
    </row>
    <row r="118" spans="21:47">
      <c r="U118" s="35"/>
      <c r="V118" s="51" t="s">
        <v>428</v>
      </c>
      <c r="W118" s="1">
        <f t="shared" ref="W118:AC118" si="303" xml:space="preserve">W51</f>
        <v>0.0246420751221155</v>
      </c>
      <c r="X118" s="1">
        <f t="shared" si="303"/>
        <v>0.023917878528657</v>
      </c>
      <c r="Y118" s="1">
        <f t="shared" si="303"/>
        <v>0.0248071748878924</v>
      </c>
      <c r="Z118" s="1">
        <f t="shared" si="303"/>
        <v>0.0247156937073541</v>
      </c>
      <c r="AA118" s="1">
        <f t="shared" si="303"/>
        <v>0.025041954130151</v>
      </c>
      <c r="AB118" s="1">
        <f t="shared" si="303"/>
        <v>0.0208126410835214</v>
      </c>
      <c r="AC118" s="1">
        <f t="shared" si="303"/>
        <v>0.0244605588963566</v>
      </c>
      <c r="AF118" s="1">
        <f t="shared" ref="AF118:AL118" si="304" xml:space="preserve">AF51</f>
        <v>0.0246420751221155</v>
      </c>
      <c r="AG118" s="1">
        <f t="shared" si="304"/>
        <v>0.023917878528657</v>
      </c>
      <c r="AH118" s="1">
        <f t="shared" si="304"/>
        <v>0.0248071748878924</v>
      </c>
      <c r="AI118" s="1">
        <f t="shared" si="304"/>
        <v>0.0247156937073541</v>
      </c>
      <c r="AJ118" s="1">
        <f t="shared" si="304"/>
        <v>0.025041954130151</v>
      </c>
      <c r="AK118" s="1">
        <f t="shared" si="304"/>
        <v>0.0239345372460497</v>
      </c>
      <c r="AL118" s="1">
        <f t="shared" si="304"/>
        <v>0.02812964273081</v>
      </c>
      <c r="AO118" s="1">
        <f t="shared" ref="AO118:AU118" si="305" xml:space="preserve">AO51</f>
        <v>0.0246420751221155</v>
      </c>
      <c r="AP118" s="1">
        <f t="shared" si="305"/>
        <v>0.023917878528657</v>
      </c>
      <c r="AQ118" s="1">
        <f t="shared" si="305"/>
        <v>0.0248071748878924</v>
      </c>
      <c r="AR118" s="1">
        <f t="shared" si="305"/>
        <v>0.0247156937073541</v>
      </c>
      <c r="AS118" s="1">
        <f t="shared" si="305"/>
        <v>0.025041954130151</v>
      </c>
      <c r="AT118" s="1">
        <f t="shared" si="305"/>
        <v>0.0176907449209932</v>
      </c>
      <c r="AU118" s="1">
        <f t="shared" si="305"/>
        <v>0.0207914750619031</v>
      </c>
    </row>
    <row r="119" ht="15.5" spans="21:47">
      <c r="U119" s="35"/>
      <c r="V119" s="50" t="s">
        <v>429</v>
      </c>
      <c r="W119" s="1">
        <f t="shared" ref="W119:AC119" si="306" xml:space="preserve">W52</f>
        <v>0.0613609567121442</v>
      </c>
      <c r="X119" s="1">
        <f t="shared" si="306"/>
        <v>0.0606672369546621</v>
      </c>
      <c r="Y119" s="1">
        <f t="shared" si="306"/>
        <v>0.0631928251121076</v>
      </c>
      <c r="Z119" s="1">
        <f t="shared" si="306"/>
        <v>0.0645185746777862</v>
      </c>
      <c r="AA119" s="1">
        <f t="shared" si="306"/>
        <v>0.0645534215923923</v>
      </c>
      <c r="AB119" s="1">
        <f t="shared" si="306"/>
        <v>0.0530173062452972</v>
      </c>
      <c r="AC119" s="1">
        <f t="shared" si="306"/>
        <v>0.0623098691192076</v>
      </c>
      <c r="AD119" s="36"/>
      <c r="AE119" s="36"/>
      <c r="AF119" s="1">
        <f t="shared" ref="AF119:AL119" si="307" xml:space="preserve">AF52</f>
        <v>0.0613609567121442</v>
      </c>
      <c r="AG119" s="1">
        <f t="shared" si="307"/>
        <v>0.0606672369546621</v>
      </c>
      <c r="AH119" s="1">
        <f t="shared" si="307"/>
        <v>0.0631928251121076</v>
      </c>
      <c r="AI119" s="1">
        <f t="shared" si="307"/>
        <v>0.0645185746777862</v>
      </c>
      <c r="AJ119" s="1">
        <f t="shared" si="307"/>
        <v>0.0645534215923923</v>
      </c>
      <c r="AK119" s="1">
        <f t="shared" si="307"/>
        <v>0.0609699021820918</v>
      </c>
      <c r="AL119" s="1">
        <f t="shared" si="307"/>
        <v>0.0716563494870888</v>
      </c>
      <c r="AM119" s="36"/>
      <c r="AN119" s="36"/>
      <c r="AO119" s="1">
        <f t="shared" ref="AO119:AU119" si="308" xml:space="preserve">AO52</f>
        <v>0.0613609567121442</v>
      </c>
      <c r="AP119" s="1">
        <f t="shared" si="308"/>
        <v>0.0606672369546621</v>
      </c>
      <c r="AQ119" s="1">
        <f t="shared" si="308"/>
        <v>0.0631928251121076</v>
      </c>
      <c r="AR119" s="1">
        <f t="shared" si="308"/>
        <v>0.0645185746777862</v>
      </c>
      <c r="AS119" s="1">
        <f t="shared" si="308"/>
        <v>0.0645534215923923</v>
      </c>
      <c r="AT119" s="1">
        <f t="shared" si="308"/>
        <v>0.0450647103085026</v>
      </c>
      <c r="AU119" s="1">
        <f t="shared" si="308"/>
        <v>0.0529633887513265</v>
      </c>
    </row>
    <row r="120" ht="15.5" spans="21:47">
      <c r="U120" s="35"/>
      <c r="V120" s="50" t="s">
        <v>430</v>
      </c>
      <c r="W120" s="1">
        <f t="shared" ref="W120:AC120" si="309" xml:space="preserve">W53</f>
        <v>0.0133232272191342</v>
      </c>
      <c r="X120" s="1">
        <f t="shared" si="309"/>
        <v>0.0131736526946108</v>
      </c>
      <c r="Y120" s="1">
        <f t="shared" si="309"/>
        <v>0.0137219730941704</v>
      </c>
      <c r="Z120" s="1">
        <f t="shared" si="309"/>
        <v>0.0139689158453374</v>
      </c>
      <c r="AA120" s="1">
        <f t="shared" si="309"/>
        <v>0.0140033563304121</v>
      </c>
      <c r="AB120" s="1">
        <f t="shared" si="309"/>
        <v>0.0115124153498871</v>
      </c>
      <c r="AC120" s="1">
        <f t="shared" si="309"/>
        <v>0.0135302440749912</v>
      </c>
      <c r="AD120" s="36"/>
      <c r="AE120" s="36"/>
      <c r="AF120" s="1">
        <f t="shared" ref="AF120:AL120" si="310" xml:space="preserve">AF53</f>
        <v>0.0133232272191342</v>
      </c>
      <c r="AG120" s="1">
        <f t="shared" si="310"/>
        <v>0.0131736526946108</v>
      </c>
      <c r="AH120" s="1">
        <f t="shared" si="310"/>
        <v>0.0137219730941704</v>
      </c>
      <c r="AI120" s="1">
        <f t="shared" si="310"/>
        <v>0.0139689158453374</v>
      </c>
      <c r="AJ120" s="1">
        <f t="shared" si="310"/>
        <v>0.0140033563304121</v>
      </c>
      <c r="AK120" s="1">
        <f t="shared" si="310"/>
        <v>0.0132392776523702</v>
      </c>
      <c r="AL120" s="1">
        <f t="shared" si="310"/>
        <v>0.0155597806862398</v>
      </c>
      <c r="AM120" s="36"/>
      <c r="AN120" s="36"/>
      <c r="AO120" s="1">
        <f t="shared" ref="AO120:AU120" si="311" xml:space="preserve">AO53</f>
        <v>0.0133232272191342</v>
      </c>
      <c r="AP120" s="1">
        <f t="shared" si="311"/>
        <v>0.0131736526946108</v>
      </c>
      <c r="AQ120" s="1">
        <f t="shared" si="311"/>
        <v>0.0137219730941704</v>
      </c>
      <c r="AR120" s="1">
        <f t="shared" si="311"/>
        <v>0.0139689158453374</v>
      </c>
      <c r="AS120" s="1">
        <f t="shared" si="311"/>
        <v>0.0140033563304121</v>
      </c>
      <c r="AT120" s="1">
        <f t="shared" si="311"/>
        <v>0.00978555304740406</v>
      </c>
      <c r="AU120" s="1">
        <f t="shared" si="311"/>
        <v>0.0115007074637425</v>
      </c>
    </row>
    <row r="121" ht="15.5" spans="21:47">
      <c r="U121" s="35" t="s">
        <v>431</v>
      </c>
      <c r="V121" s="50" t="s">
        <v>182</v>
      </c>
      <c r="W121" s="36">
        <f t="shared" ref="W121:AC121" si="312" xml:space="preserve">W54-W55</f>
        <v>0.00810173488293751</v>
      </c>
      <c r="X121" s="36">
        <f t="shared" si="312"/>
        <v>0.00786997433704022</v>
      </c>
      <c r="Y121" s="36">
        <f t="shared" si="312"/>
        <v>0.00817937219730942</v>
      </c>
      <c r="Z121" s="36">
        <f t="shared" si="312"/>
        <v>0.00816906747536013</v>
      </c>
      <c r="AA121" s="36">
        <f t="shared" si="312"/>
        <v>0.00826030206973706</v>
      </c>
      <c r="AB121" s="36">
        <f t="shared" si="312"/>
        <v>0.00686230248306997</v>
      </c>
      <c r="AC121" s="36">
        <f t="shared" si="312"/>
        <v>0.00806508666430845</v>
      </c>
      <c r="AD121" s="36"/>
      <c r="AE121" s="36"/>
      <c r="AF121" s="36">
        <f t="shared" ref="AF121:AL121" si="313" xml:space="preserve">AF54-AF55</f>
        <v>0.00810173488293751</v>
      </c>
      <c r="AG121" s="36">
        <f t="shared" si="313"/>
        <v>0.00786997433704022</v>
      </c>
      <c r="AH121" s="36">
        <f t="shared" si="313"/>
        <v>0.00817937219730942</v>
      </c>
      <c r="AI121" s="36">
        <f t="shared" si="313"/>
        <v>0.00816906747536013</v>
      </c>
      <c r="AJ121" s="36">
        <f t="shared" si="313"/>
        <v>0.00826030206973706</v>
      </c>
      <c r="AK121" s="36">
        <f t="shared" si="313"/>
        <v>0.00789164785553047</v>
      </c>
      <c r="AL121" s="36">
        <f t="shared" si="313"/>
        <v>0.00927484966395473</v>
      </c>
      <c r="AM121" s="36"/>
      <c r="AN121" s="36"/>
      <c r="AO121" s="36">
        <f t="shared" ref="AO121:AU121" si="314" xml:space="preserve">AO54-AO55</f>
        <v>0.00810173488293751</v>
      </c>
      <c r="AP121" s="36">
        <f t="shared" si="314"/>
        <v>0.00786997433704022</v>
      </c>
      <c r="AQ121" s="36">
        <f t="shared" si="314"/>
        <v>0.00817937219730942</v>
      </c>
      <c r="AR121" s="36">
        <f t="shared" si="314"/>
        <v>0.00816906747536013</v>
      </c>
      <c r="AS121" s="36">
        <f t="shared" si="314"/>
        <v>0.00826030206973706</v>
      </c>
      <c r="AT121" s="36">
        <f t="shared" si="314"/>
        <v>0.00583295711060948</v>
      </c>
      <c r="AU121" s="36">
        <f t="shared" si="314"/>
        <v>0.00685532366466218</v>
      </c>
    </row>
    <row r="122" ht="15.5" spans="21:47">
      <c r="U122" s="35"/>
      <c r="V122" s="51" t="s">
        <v>428</v>
      </c>
      <c r="W122" s="36">
        <f t="shared" ref="W122:AC122" si="315" xml:space="preserve">W56</f>
        <v>0.0319690079164561</v>
      </c>
      <c r="X122" s="36">
        <f t="shared" si="315"/>
        <v>0.0310692899914457</v>
      </c>
      <c r="Y122" s="36">
        <f t="shared" si="315"/>
        <v>0.0322331838565022</v>
      </c>
      <c r="Z122" s="36">
        <f t="shared" si="315"/>
        <v>0.0321645185746778</v>
      </c>
      <c r="AA122" s="36">
        <f t="shared" si="315"/>
        <v>0.0325750512772702</v>
      </c>
      <c r="AB122" s="36">
        <f t="shared" si="315"/>
        <v>0.0270428893905192</v>
      </c>
      <c r="AC122" s="36">
        <f t="shared" si="315"/>
        <v>0.0317828086310577</v>
      </c>
      <c r="AD122" s="36"/>
      <c r="AE122" s="36"/>
      <c r="AF122" s="36">
        <f t="shared" ref="AF122:AL122" si="316" xml:space="preserve">AF56</f>
        <v>0.0319690079164561</v>
      </c>
      <c r="AG122" s="36">
        <f t="shared" si="316"/>
        <v>0.0310692899914457</v>
      </c>
      <c r="AH122" s="36">
        <f t="shared" si="316"/>
        <v>0.0322331838565022</v>
      </c>
      <c r="AI122" s="36">
        <f t="shared" si="316"/>
        <v>0.0321645185746778</v>
      </c>
      <c r="AJ122" s="36">
        <f t="shared" si="316"/>
        <v>0.0325750512772702</v>
      </c>
      <c r="AK122" s="36">
        <f t="shared" si="316"/>
        <v>0.0310993227990971</v>
      </c>
      <c r="AL122" s="36">
        <f t="shared" si="316"/>
        <v>0.0365502299257163</v>
      </c>
      <c r="AM122" s="36"/>
      <c r="AN122" s="36"/>
      <c r="AO122" s="36">
        <f t="shared" ref="AO122:AU122" si="317" xml:space="preserve">AO56</f>
        <v>0.0319690079164561</v>
      </c>
      <c r="AP122" s="36">
        <f t="shared" si="317"/>
        <v>0.0310692899914457</v>
      </c>
      <c r="AQ122" s="36">
        <f t="shared" si="317"/>
        <v>0.0322331838565022</v>
      </c>
      <c r="AR122" s="36">
        <f t="shared" si="317"/>
        <v>0.0321645185746778</v>
      </c>
      <c r="AS122" s="36">
        <f t="shared" si="317"/>
        <v>0.0325750512772702</v>
      </c>
      <c r="AT122" s="36">
        <f t="shared" si="317"/>
        <v>0.0229864559819413</v>
      </c>
      <c r="AU122" s="36">
        <f t="shared" si="317"/>
        <v>0.027015387336399</v>
      </c>
    </row>
    <row r="123" ht="15.5" spans="21:47">
      <c r="U123" s="35"/>
      <c r="V123" s="50" t="s">
        <v>429</v>
      </c>
      <c r="W123" s="36">
        <f t="shared" ref="W123:AC123" si="318" xml:space="preserve">W57</f>
        <v>0.0557183762843187</v>
      </c>
      <c r="X123" s="36">
        <f t="shared" si="318"/>
        <v>0.055158254918734</v>
      </c>
      <c r="Y123" s="36">
        <f t="shared" si="318"/>
        <v>0.0574887892376682</v>
      </c>
      <c r="Z123" s="36">
        <f t="shared" si="318"/>
        <v>0.0587755875663381</v>
      </c>
      <c r="AA123" s="36">
        <f t="shared" si="318"/>
        <v>0.0587544284915159</v>
      </c>
      <c r="AB123" s="36">
        <f t="shared" si="318"/>
        <v>0.0482317531978932</v>
      </c>
      <c r="AC123" s="36">
        <f t="shared" si="318"/>
        <v>0.0566855323664662</v>
      </c>
      <c r="AD123" s="36"/>
      <c r="AE123" s="36"/>
      <c r="AF123" s="36">
        <f t="shared" ref="AF123:AL123" si="319" xml:space="preserve">AF57</f>
        <v>0.0557183762843187</v>
      </c>
      <c r="AG123" s="36">
        <f t="shared" si="319"/>
        <v>0.055158254918734</v>
      </c>
      <c r="AH123" s="36">
        <f t="shared" si="319"/>
        <v>0.0574887892376682</v>
      </c>
      <c r="AI123" s="36">
        <f t="shared" si="319"/>
        <v>0.0587755875663381</v>
      </c>
      <c r="AJ123" s="36">
        <f t="shared" si="319"/>
        <v>0.0587544284915159</v>
      </c>
      <c r="AK123" s="36">
        <f t="shared" si="319"/>
        <v>0.0554665161775771</v>
      </c>
      <c r="AL123" s="36">
        <f t="shared" si="319"/>
        <v>0.0651883622214361</v>
      </c>
      <c r="AM123" s="36"/>
      <c r="AN123" s="36"/>
      <c r="AO123" s="36">
        <f t="shared" ref="AO123:AU123" si="320" xml:space="preserve">AO57</f>
        <v>0.0557183762843187</v>
      </c>
      <c r="AP123" s="36">
        <f t="shared" si="320"/>
        <v>0.055158254918734</v>
      </c>
      <c r="AQ123" s="36">
        <f t="shared" si="320"/>
        <v>0.0574887892376682</v>
      </c>
      <c r="AR123" s="36">
        <f t="shared" si="320"/>
        <v>0.0587755875663381</v>
      </c>
      <c r="AS123" s="36">
        <f t="shared" si="320"/>
        <v>0.0587544284915159</v>
      </c>
      <c r="AT123" s="36">
        <f t="shared" si="320"/>
        <v>0.0409969902182092</v>
      </c>
      <c r="AU123" s="36">
        <f t="shared" si="320"/>
        <v>0.0481827025114963</v>
      </c>
    </row>
    <row r="124" ht="15.5" spans="21:47">
      <c r="U124" s="35"/>
      <c r="V124" s="50" t="s">
        <v>430</v>
      </c>
      <c r="W124" s="36">
        <f t="shared" ref="W124:AC124" si="321" xml:space="preserve">W58</f>
        <v>0.0130537308404918</v>
      </c>
      <c r="X124" s="36">
        <f t="shared" si="321"/>
        <v>0.0129170230966638</v>
      </c>
      <c r="Y124" s="36">
        <f t="shared" si="321"/>
        <v>0.0134529147982063</v>
      </c>
      <c r="Z124" s="36">
        <f t="shared" si="321"/>
        <v>0.0136846095526914</v>
      </c>
      <c r="AA124" s="36">
        <f t="shared" si="321"/>
        <v>0.0137236621294052</v>
      </c>
      <c r="AB124" s="36">
        <f t="shared" si="321"/>
        <v>0.0112866817155756</v>
      </c>
      <c r="AC124" s="36">
        <f t="shared" si="321"/>
        <v>0.01326494517156</v>
      </c>
      <c r="AD124" s="36"/>
      <c r="AE124" s="36"/>
      <c r="AF124" s="36">
        <f t="shared" ref="AF124:AL124" si="322" xml:space="preserve">AF58</f>
        <v>0.0130537308404918</v>
      </c>
      <c r="AG124" s="36">
        <f t="shared" si="322"/>
        <v>0.0129170230966638</v>
      </c>
      <c r="AH124" s="36">
        <f t="shared" si="322"/>
        <v>0.0134529147982063</v>
      </c>
      <c r="AI124" s="36">
        <f t="shared" si="322"/>
        <v>0.0136846095526914</v>
      </c>
      <c r="AJ124" s="36">
        <f t="shared" si="322"/>
        <v>0.0137236621294052</v>
      </c>
      <c r="AK124" s="36">
        <f t="shared" si="322"/>
        <v>0.012979683972912</v>
      </c>
      <c r="AL124" s="36">
        <f t="shared" si="322"/>
        <v>0.0152546869472939</v>
      </c>
      <c r="AM124" s="36"/>
      <c r="AN124" s="36"/>
      <c r="AO124" s="36">
        <f t="shared" ref="AO124:AU124" si="323" xml:space="preserve">AO58</f>
        <v>0.0130537308404918</v>
      </c>
      <c r="AP124" s="36">
        <f t="shared" si="323"/>
        <v>0.0129170230966638</v>
      </c>
      <c r="AQ124" s="36">
        <f t="shared" si="323"/>
        <v>0.0134529147982063</v>
      </c>
      <c r="AR124" s="36">
        <f t="shared" si="323"/>
        <v>0.0136846095526914</v>
      </c>
      <c r="AS124" s="36">
        <f t="shared" si="323"/>
        <v>0.0137236621294052</v>
      </c>
      <c r="AT124" s="36">
        <f t="shared" si="323"/>
        <v>0.00959367945823928</v>
      </c>
      <c r="AU124" s="36">
        <f t="shared" si="323"/>
        <v>0.011275203395826</v>
      </c>
    </row>
    <row r="125" ht="15.5" spans="21:47">
      <c r="U125" s="57" t="s">
        <v>405</v>
      </c>
      <c r="V125" s="50" t="s">
        <v>182</v>
      </c>
      <c r="W125" s="52">
        <f t="shared" ref="W125:AC125" si="324" xml:space="preserve">W113</f>
        <v>0.00788276907529056</v>
      </c>
      <c r="X125" s="52">
        <f t="shared" si="324"/>
        <v>0.00764756201881948</v>
      </c>
      <c r="Y125" s="52">
        <f t="shared" si="324"/>
        <v>0.00794618834080718</v>
      </c>
      <c r="Z125" s="52">
        <f t="shared" si="324"/>
        <v>0.00794162244124336</v>
      </c>
      <c r="AA125" s="52">
        <f t="shared" si="324"/>
        <v>0.00801790042886445</v>
      </c>
      <c r="AB125" s="52">
        <f t="shared" si="324"/>
        <v>0.00666666666666667</v>
      </c>
      <c r="AC125" s="52">
        <f t="shared" si="324"/>
        <v>0.00783516094800141</v>
      </c>
      <c r="AD125" s="36"/>
      <c r="AE125" s="36"/>
      <c r="AF125" s="52">
        <f t="shared" ref="AF125:AL125" si="325" xml:space="preserve">AF113</f>
        <v>0.00788276907529056</v>
      </c>
      <c r="AG125" s="52">
        <f t="shared" si="325"/>
        <v>0.00764756201881948</v>
      </c>
      <c r="AH125" s="52">
        <f t="shared" si="325"/>
        <v>0.00794618834080718</v>
      </c>
      <c r="AI125" s="52">
        <f t="shared" si="325"/>
        <v>0.00794162244124336</v>
      </c>
      <c r="AJ125" s="52">
        <f t="shared" si="325"/>
        <v>0.00801790042886445</v>
      </c>
      <c r="AK125" s="52">
        <f t="shared" si="325"/>
        <v>0.00766666666666667</v>
      </c>
      <c r="AL125" s="52">
        <f t="shared" si="325"/>
        <v>0.00901043509020162</v>
      </c>
      <c r="AM125" s="36"/>
      <c r="AN125" s="36"/>
      <c r="AO125" s="52">
        <f t="shared" ref="AO125:AU125" si="326" xml:space="preserve">AO113</f>
        <v>0.00788276907529056</v>
      </c>
      <c r="AP125" s="52">
        <f t="shared" si="326"/>
        <v>0.00764756201881948</v>
      </c>
      <c r="AQ125" s="52">
        <f t="shared" si="326"/>
        <v>0.00794618834080718</v>
      </c>
      <c r="AR125" s="52">
        <f t="shared" si="326"/>
        <v>0.00794162244124336</v>
      </c>
      <c r="AS125" s="52">
        <f t="shared" si="326"/>
        <v>0.00801790042886445</v>
      </c>
      <c r="AT125" s="52">
        <f t="shared" si="326"/>
        <v>0.00566666666666667</v>
      </c>
      <c r="AU125" s="52">
        <f t="shared" si="326"/>
        <v>0.00665988680580119</v>
      </c>
    </row>
    <row r="126" ht="15.5" spans="21:47">
      <c r="U126" s="57"/>
      <c r="V126" s="51" t="s">
        <v>428</v>
      </c>
      <c r="W126" s="52">
        <f t="shared" ref="W126:AC126" si="327" xml:space="preserve">W114</f>
        <v>0.02011116725619</v>
      </c>
      <c r="X126" s="52">
        <f t="shared" si="327"/>
        <v>0.0195038494439692</v>
      </c>
      <c r="Y126" s="52">
        <f t="shared" si="327"/>
        <v>0.0202152466367713</v>
      </c>
      <c r="Z126" s="52">
        <f t="shared" si="327"/>
        <v>0.0201099317664898</v>
      </c>
      <c r="AA126" s="52">
        <f t="shared" si="327"/>
        <v>0.0203990303934365</v>
      </c>
      <c r="AB126" s="52">
        <f t="shared" si="327"/>
        <v>0.0169601203912716</v>
      </c>
      <c r="AC126" s="52">
        <f t="shared" si="327"/>
        <v>0.0199327909444641</v>
      </c>
      <c r="AD126" s="36"/>
      <c r="AE126" s="36"/>
      <c r="AF126" s="52">
        <f t="shared" ref="AF126:AL126" si="328" xml:space="preserve">AF114</f>
        <v>0.02011116725619</v>
      </c>
      <c r="AG126" s="52">
        <f t="shared" si="328"/>
        <v>0.0195038494439692</v>
      </c>
      <c r="AH126" s="52">
        <f t="shared" si="328"/>
        <v>0.0202152466367713</v>
      </c>
      <c r="AI126" s="52">
        <f t="shared" si="328"/>
        <v>0.0201099317664898</v>
      </c>
      <c r="AJ126" s="52">
        <f t="shared" si="328"/>
        <v>0.0203990303934365</v>
      </c>
      <c r="AK126" s="52">
        <f t="shared" si="328"/>
        <v>0.0195041384499624</v>
      </c>
      <c r="AL126" s="52">
        <f t="shared" si="328"/>
        <v>0.0229227095861337</v>
      </c>
      <c r="AM126" s="36"/>
      <c r="AN126" s="36"/>
      <c r="AO126" s="52">
        <f t="shared" ref="AO126:AU126" si="329" xml:space="preserve">AO114</f>
        <v>0.02011116725619</v>
      </c>
      <c r="AP126" s="52">
        <f t="shared" si="329"/>
        <v>0.0195038494439692</v>
      </c>
      <c r="AQ126" s="52">
        <f t="shared" si="329"/>
        <v>0.0202152466367713</v>
      </c>
      <c r="AR126" s="52">
        <f t="shared" si="329"/>
        <v>0.0201099317664898</v>
      </c>
      <c r="AS126" s="52">
        <f t="shared" si="329"/>
        <v>0.0203990303934365</v>
      </c>
      <c r="AT126" s="52">
        <f t="shared" si="329"/>
        <v>0.0144161023325809</v>
      </c>
      <c r="AU126" s="52">
        <f t="shared" si="329"/>
        <v>0.0169428723027945</v>
      </c>
    </row>
    <row r="127" ht="15.5" spans="21:47">
      <c r="U127" s="57"/>
      <c r="V127" s="50" t="s">
        <v>429</v>
      </c>
      <c r="W127" s="52">
        <f t="shared" ref="W127:AC127" si="330" xml:space="preserve">W115</f>
        <v>0.0641232945932289</v>
      </c>
      <c r="X127" s="52">
        <f t="shared" si="330"/>
        <v>0.0633532934131737</v>
      </c>
      <c r="Y127" s="52">
        <f t="shared" si="330"/>
        <v>0.0659910313901345</v>
      </c>
      <c r="Z127" s="52">
        <f t="shared" si="330"/>
        <v>0.0673237300985595</v>
      </c>
      <c r="AA127" s="52">
        <f t="shared" si="330"/>
        <v>0.0673690098825284</v>
      </c>
      <c r="AB127" s="52">
        <f t="shared" si="330"/>
        <v>0.055364936042137</v>
      </c>
      <c r="AC127" s="52">
        <f t="shared" si="330"/>
        <v>0.0650689777148921</v>
      </c>
      <c r="AD127" s="36"/>
      <c r="AE127" s="36"/>
      <c r="AF127" s="52">
        <f t="shared" ref="AF127:AL127" si="331" xml:space="preserve">AF115</f>
        <v>0.0641232945932289</v>
      </c>
      <c r="AG127" s="52">
        <f t="shared" si="331"/>
        <v>0.0633532934131737</v>
      </c>
      <c r="AH127" s="52">
        <f t="shared" si="331"/>
        <v>0.0659910313901345</v>
      </c>
      <c r="AI127" s="52">
        <f t="shared" si="331"/>
        <v>0.0673237300985595</v>
      </c>
      <c r="AJ127" s="52">
        <f t="shared" si="331"/>
        <v>0.0673690098825284</v>
      </c>
      <c r="AK127" s="52">
        <f t="shared" si="331"/>
        <v>0.0636696764484575</v>
      </c>
      <c r="AL127" s="52">
        <f t="shared" si="331"/>
        <v>0.0748293243721259</v>
      </c>
      <c r="AM127" s="36"/>
      <c r="AN127" s="36"/>
      <c r="AO127" s="52">
        <f t="shared" ref="AO127:AU127" si="332" xml:space="preserve">AO115</f>
        <v>0.0641232945932289</v>
      </c>
      <c r="AP127" s="52">
        <f t="shared" si="332"/>
        <v>0.0633532934131737</v>
      </c>
      <c r="AQ127" s="52">
        <f t="shared" si="332"/>
        <v>0.0659910313901345</v>
      </c>
      <c r="AR127" s="52">
        <f t="shared" si="332"/>
        <v>0.0673237300985595</v>
      </c>
      <c r="AS127" s="52">
        <f t="shared" si="332"/>
        <v>0.0673690098825284</v>
      </c>
      <c r="AT127" s="52">
        <f t="shared" si="332"/>
        <v>0.0470601956358164</v>
      </c>
      <c r="AU127" s="52">
        <f t="shared" si="332"/>
        <v>0.0553086310576583</v>
      </c>
    </row>
    <row r="128" ht="15.5" spans="21:47">
      <c r="U128" s="57"/>
      <c r="V128" s="50" t="s">
        <v>430</v>
      </c>
      <c r="W128" s="52">
        <f t="shared" ref="W128:AC128" si="333" xml:space="preserve">W116</f>
        <v>0.0129695132221661</v>
      </c>
      <c r="X128" s="52">
        <f t="shared" si="333"/>
        <v>0.012814371257485</v>
      </c>
      <c r="Y128" s="52">
        <f t="shared" si="333"/>
        <v>0.0133452914798206</v>
      </c>
      <c r="Z128" s="52">
        <f t="shared" si="333"/>
        <v>0.0135898407884761</v>
      </c>
      <c r="AA128" s="52">
        <f t="shared" si="333"/>
        <v>0.0136304307290695</v>
      </c>
      <c r="AB128" s="52">
        <f t="shared" si="333"/>
        <v>0.011196388261851</v>
      </c>
      <c r="AC128" s="52">
        <f t="shared" si="333"/>
        <v>0.0131588256101875</v>
      </c>
      <c r="AD128" s="36"/>
      <c r="AE128" s="36"/>
      <c r="AF128" s="52">
        <f t="shared" ref="AF128:AL128" si="334" xml:space="preserve">AF116</f>
        <v>0.0129695132221661</v>
      </c>
      <c r="AG128" s="52">
        <f t="shared" si="334"/>
        <v>0.012814371257485</v>
      </c>
      <c r="AH128" s="52">
        <f t="shared" si="334"/>
        <v>0.0133452914798206</v>
      </c>
      <c r="AI128" s="52">
        <f t="shared" si="334"/>
        <v>0.0135898407884761</v>
      </c>
      <c r="AJ128" s="52">
        <f t="shared" si="334"/>
        <v>0.0136304307290695</v>
      </c>
      <c r="AK128" s="52">
        <f t="shared" si="334"/>
        <v>0.0128758465011287</v>
      </c>
      <c r="AL128" s="52">
        <f t="shared" si="334"/>
        <v>0.0151326494517156</v>
      </c>
      <c r="AM128" s="36"/>
      <c r="AN128" s="36"/>
      <c r="AO128" s="52">
        <f t="shared" ref="AO128:AU128" si="335" xml:space="preserve">AO116</f>
        <v>0.0129695132221661</v>
      </c>
      <c r="AP128" s="52">
        <f t="shared" si="335"/>
        <v>0.012814371257485</v>
      </c>
      <c r="AQ128" s="52">
        <f t="shared" si="335"/>
        <v>0.0133452914798206</v>
      </c>
      <c r="AR128" s="52">
        <f t="shared" si="335"/>
        <v>0.0135898407884761</v>
      </c>
      <c r="AS128" s="52">
        <f t="shared" si="335"/>
        <v>0.0136304307290695</v>
      </c>
      <c r="AT128" s="52">
        <f t="shared" si="335"/>
        <v>0.00951693002257336</v>
      </c>
      <c r="AU128" s="52">
        <f t="shared" si="335"/>
        <v>0.0111850017686594</v>
      </c>
    </row>
    <row r="160" ht="15.5" spans="21:53">
      <c r="U160" s="53"/>
      <c r="V160" s="21" t="s">
        <v>388</v>
      </c>
      <c r="W160" s="53"/>
      <c r="Y160" s="54"/>
      <c r="Z160" s="53"/>
      <c r="AA160" s="21" t="s">
        <v>388</v>
      </c>
      <c r="AB160" s="53"/>
      <c r="AD160" s="54"/>
      <c r="AE160" s="53"/>
      <c r="AF160" s="21" t="s">
        <v>388</v>
      </c>
      <c r="AG160" s="53"/>
      <c r="AI160" s="54"/>
      <c r="AJ160" s="53"/>
      <c r="AK160" s="21" t="s">
        <v>388</v>
      </c>
      <c r="AL160" s="53"/>
      <c r="AN160" s="54"/>
      <c r="AO160" s="53"/>
      <c r="AP160" s="21" t="s">
        <v>388</v>
      </c>
      <c r="AQ160" s="53"/>
      <c r="AS160" s="54"/>
      <c r="AT160" s="53"/>
      <c r="AU160" s="21" t="s">
        <v>388</v>
      </c>
      <c r="AV160" s="53"/>
      <c r="AW160" s="54"/>
      <c r="AY160" s="53"/>
      <c r="AZ160" s="21" t="s">
        <v>388</v>
      </c>
      <c r="BA160" s="53"/>
    </row>
    <row r="161" ht="15.5" spans="21:53">
      <c r="U161" s="21" t="s">
        <v>66</v>
      </c>
      <c r="V161" s="21" t="s">
        <v>172</v>
      </c>
      <c r="W161" s="21" t="s">
        <v>25</v>
      </c>
      <c r="Y161" s="54"/>
      <c r="Z161" s="21" t="s">
        <v>66</v>
      </c>
      <c r="AA161" s="21" t="s">
        <v>172</v>
      </c>
      <c r="AB161" s="21" t="s">
        <v>25</v>
      </c>
      <c r="AD161" s="54"/>
      <c r="AE161" s="21" t="s">
        <v>66</v>
      </c>
      <c r="AF161" s="21" t="s">
        <v>172</v>
      </c>
      <c r="AG161" s="21" t="s">
        <v>25</v>
      </c>
      <c r="AI161" s="54"/>
      <c r="AJ161" s="21" t="s">
        <v>66</v>
      </c>
      <c r="AK161" s="21" t="s">
        <v>172</v>
      </c>
      <c r="AL161" s="21" t="s">
        <v>25</v>
      </c>
      <c r="AN161" s="54"/>
      <c r="AO161" s="21" t="s">
        <v>66</v>
      </c>
      <c r="AP161" s="21" t="s">
        <v>172</v>
      </c>
      <c r="AQ161" s="21" t="s">
        <v>25</v>
      </c>
      <c r="AS161" s="54"/>
      <c r="AT161" s="21" t="s">
        <v>66</v>
      </c>
      <c r="AU161" s="21" t="s">
        <v>172</v>
      </c>
      <c r="AV161" s="21" t="s">
        <v>25</v>
      </c>
      <c r="AW161" s="54"/>
      <c r="AY161" s="21" t="s">
        <v>66</v>
      </c>
      <c r="AZ161" s="21" t="s">
        <v>172</v>
      </c>
      <c r="BA161" s="21" t="s">
        <v>25</v>
      </c>
    </row>
    <row r="162" ht="15.5" spans="21:53">
      <c r="U162" s="54" t="s">
        <v>310</v>
      </c>
      <c r="V162" s="55" t="s">
        <v>389</v>
      </c>
      <c r="W162" s="54">
        <f t="shared" ref="W162:W165" si="336" xml:space="preserve">W85</f>
        <v>0.0105103587670541</v>
      </c>
      <c r="Y162" s="54"/>
      <c r="Z162" s="54" t="s">
        <v>312</v>
      </c>
      <c r="AA162" s="55" t="s">
        <v>389</v>
      </c>
      <c r="AB162" s="54">
        <f t="shared" ref="AB162:AB165" si="337" xml:space="preserve">X85</f>
        <v>0.0100940975192472</v>
      </c>
      <c r="AD162" s="54"/>
      <c r="AE162" s="54" t="s">
        <v>314</v>
      </c>
      <c r="AF162" s="55" t="s">
        <v>389</v>
      </c>
      <c r="AG162" s="54">
        <f t="shared" ref="AG162:AG165" si="338" xml:space="preserve">Y85</f>
        <v>0.0103856502242152</v>
      </c>
      <c r="AI162" s="54"/>
      <c r="AJ162" s="54" t="s">
        <v>316</v>
      </c>
      <c r="AK162" s="55" t="s">
        <v>389</v>
      </c>
      <c r="AL162" s="54">
        <f t="shared" ref="AL162:AL165" si="339" xml:space="preserve">Z85</f>
        <v>0.0114291129643669</v>
      </c>
      <c r="AN162" s="54"/>
      <c r="AO162" s="54" t="s">
        <v>308</v>
      </c>
      <c r="AP162" s="55" t="s">
        <v>389</v>
      </c>
      <c r="AQ162" s="54">
        <f t="shared" ref="AQ162:AQ165" si="340" xml:space="preserve">AA85</f>
        <v>0.0115979862017528</v>
      </c>
      <c r="AS162" s="54"/>
      <c r="AT162" s="54" t="s">
        <v>306</v>
      </c>
      <c r="AU162" s="55" t="s">
        <v>389</v>
      </c>
      <c r="AV162" s="54">
        <f t="shared" ref="AV162:AV165" si="341" xml:space="preserve">AB85</f>
        <v>0.00871331828442437</v>
      </c>
      <c r="AW162" s="54"/>
      <c r="AY162" s="54" t="s">
        <v>304</v>
      </c>
      <c r="AZ162" s="55" t="s">
        <v>389</v>
      </c>
      <c r="BA162" s="54">
        <f t="shared" ref="BA162:BA165" si="342" xml:space="preserve">AC85</f>
        <v>0.0102405376724443</v>
      </c>
    </row>
    <row r="163" ht="15.5" spans="21:53">
      <c r="U163" s="54" t="str">
        <f xml:space="preserve">U162</f>
        <v>PyroRecy-NMC111</v>
      </c>
      <c r="V163" s="55" t="s">
        <v>390</v>
      </c>
      <c r="W163" s="54">
        <f t="shared" si="336"/>
        <v>0.0289203301330638</v>
      </c>
      <c r="Y163" s="54"/>
      <c r="Z163" s="54" t="str">
        <f t="shared" ref="Z163:Z165" si="343" xml:space="preserve">Z162</f>
        <v>PyroRecy-NMC532</v>
      </c>
      <c r="AA163" s="55" t="s">
        <v>390</v>
      </c>
      <c r="AB163" s="54">
        <f t="shared" si="337"/>
        <v>0.0275620188195039</v>
      </c>
      <c r="AD163" s="54"/>
      <c r="AE163" s="54" t="str">
        <f t="shared" ref="AE163:AE165" si="344" xml:space="preserve">AE162</f>
        <v>PyroRecy-NMC622</v>
      </c>
      <c r="AF163" s="55" t="s">
        <v>390</v>
      </c>
      <c r="AG163" s="54">
        <f t="shared" si="338"/>
        <v>0.028322869955157</v>
      </c>
      <c r="AI163" s="54"/>
      <c r="AJ163" s="54" t="str">
        <f t="shared" ref="AJ163:AJ165" si="345" xml:space="preserve">AJ162</f>
        <v>PyroRecy-NMC811</v>
      </c>
      <c r="AK163" s="55" t="s">
        <v>390</v>
      </c>
      <c r="AL163" s="54">
        <f t="shared" si="339"/>
        <v>0.0288286580742987</v>
      </c>
      <c r="AN163" s="54"/>
      <c r="AO163" s="54" t="str">
        <f t="shared" ref="AO163:AO165" si="346" xml:space="preserve">AO162</f>
        <v>PyroRecy-NCA</v>
      </c>
      <c r="AP163" s="55" t="s">
        <v>390</v>
      </c>
      <c r="AQ163" s="54">
        <f t="shared" si="340"/>
        <v>0.0296102927465971</v>
      </c>
      <c r="AS163" s="54"/>
      <c r="AT163" s="54" t="str">
        <f t="shared" ref="AT163:AT165" si="347" xml:space="preserve">AT162</f>
        <v>PyroRecy-LMO</v>
      </c>
      <c r="AU163" s="55" t="s">
        <v>390</v>
      </c>
      <c r="AV163" s="54">
        <f t="shared" si="341"/>
        <v>0.0237622272385252</v>
      </c>
      <c r="AW163" s="54"/>
      <c r="AY163" s="54" t="str">
        <f t="shared" ref="AY163:AY165" si="348" xml:space="preserve">AY162</f>
        <v>PyroRecy-LFP</v>
      </c>
      <c r="AZ163" s="55" t="s">
        <v>390</v>
      </c>
      <c r="BA163" s="54">
        <f t="shared" si="342"/>
        <v>0.0279271312345242</v>
      </c>
    </row>
    <row r="164" ht="15.5" spans="21:53">
      <c r="U164" s="54" t="str">
        <f xml:space="preserve">U163</f>
        <v>PyroRecy-NMC111</v>
      </c>
      <c r="V164" s="55" t="s">
        <v>391</v>
      </c>
      <c r="W164" s="54">
        <f t="shared" si="336"/>
        <v>0.0836617820448038</v>
      </c>
      <c r="Y164" s="54"/>
      <c r="Z164" s="54" t="str">
        <f t="shared" si="343"/>
        <v>PyroRecy-NMC532</v>
      </c>
      <c r="AA164" s="55" t="s">
        <v>391</v>
      </c>
      <c r="AB164" s="54">
        <f t="shared" si="337"/>
        <v>0.0814029084687767</v>
      </c>
      <c r="AD164" s="54"/>
      <c r="AE164" s="54" t="str">
        <f t="shared" si="344"/>
        <v>PyroRecy-NMC622</v>
      </c>
      <c r="AF164" s="55" t="s">
        <v>391</v>
      </c>
      <c r="AG164" s="54">
        <f t="shared" si="338"/>
        <v>0.0843946188340807</v>
      </c>
      <c r="AI164" s="54"/>
      <c r="AJ164" s="54" t="str">
        <f t="shared" si="345"/>
        <v>PyroRecy-NMC811</v>
      </c>
      <c r="AK164" s="55" t="s">
        <v>391</v>
      </c>
      <c r="AL164" s="54">
        <f t="shared" si="339"/>
        <v>0.0884192570128886</v>
      </c>
      <c r="AN164" s="54"/>
      <c r="AO164" s="54" t="str">
        <f t="shared" si="346"/>
        <v>PyroRecy-NCA</v>
      </c>
      <c r="AP164" s="55" t="s">
        <v>391</v>
      </c>
      <c r="AQ164" s="54">
        <f t="shared" si="340"/>
        <v>0.092485549132948</v>
      </c>
      <c r="AS164" s="54"/>
      <c r="AT164" s="54" t="str">
        <f t="shared" si="347"/>
        <v>PyroRecy-LMO</v>
      </c>
      <c r="AU164" s="55" t="s">
        <v>391</v>
      </c>
      <c r="AV164" s="54">
        <f t="shared" si="341"/>
        <v>0.0708051166290444</v>
      </c>
      <c r="AW164" s="54"/>
      <c r="AY164" s="54" t="str">
        <f t="shared" si="348"/>
        <v>PyroRecy-LFP</v>
      </c>
      <c r="AZ164" s="55" t="s">
        <v>391</v>
      </c>
      <c r="BA164" s="54">
        <f t="shared" si="342"/>
        <v>0.0832154227095861</v>
      </c>
    </row>
    <row r="165" ht="15.5" spans="21:53">
      <c r="U165" s="54" t="str">
        <f xml:space="preserve">U164</f>
        <v>PyroRecy-NMC111</v>
      </c>
      <c r="V165" s="55" t="s">
        <v>392</v>
      </c>
      <c r="W165" s="54">
        <f t="shared" si="336"/>
        <v>0.0130200437931615</v>
      </c>
      <c r="Y165" s="56"/>
      <c r="Z165" s="54" t="str">
        <f t="shared" si="343"/>
        <v>PyroRecy-NMC532</v>
      </c>
      <c r="AA165" s="55" t="s">
        <v>392</v>
      </c>
      <c r="AB165" s="54">
        <f t="shared" si="337"/>
        <v>0.0127459366980325</v>
      </c>
      <c r="AD165" s="56"/>
      <c r="AE165" s="54" t="str">
        <f t="shared" si="344"/>
        <v>PyroRecy-NMC622</v>
      </c>
      <c r="AF165" s="55" t="s">
        <v>392</v>
      </c>
      <c r="AG165" s="54">
        <f t="shared" si="338"/>
        <v>0.0132017937219731</v>
      </c>
      <c r="AI165" s="56"/>
      <c r="AJ165" s="54" t="str">
        <f t="shared" si="345"/>
        <v>PyroRecy-NMC811</v>
      </c>
      <c r="AK165" s="55" t="s">
        <v>392</v>
      </c>
      <c r="AL165" s="54">
        <f t="shared" si="339"/>
        <v>0.0144238059135709</v>
      </c>
      <c r="AN165" s="56"/>
      <c r="AO165" s="54" t="str">
        <f t="shared" si="346"/>
        <v>PyroRecy-NCA</v>
      </c>
      <c r="AP165" s="55" t="s">
        <v>392</v>
      </c>
      <c r="AQ165" s="54">
        <f t="shared" si="340"/>
        <v>0.0147119149729629</v>
      </c>
      <c r="AS165" s="56"/>
      <c r="AT165" s="54" t="str">
        <f t="shared" si="347"/>
        <v>PyroRecy-LMO</v>
      </c>
      <c r="AU165" s="55" t="s">
        <v>392</v>
      </c>
      <c r="AV165" s="54">
        <f t="shared" si="341"/>
        <v>0.0110759969902182</v>
      </c>
      <c r="AW165" s="56"/>
      <c r="AY165" s="54" t="str">
        <f t="shared" si="348"/>
        <v>PyroRecy-LFP</v>
      </c>
      <c r="AZ165" s="55" t="s">
        <v>392</v>
      </c>
      <c r="BA165" s="54">
        <f t="shared" si="342"/>
        <v>0.0130173328616908</v>
      </c>
    </row>
    <row r="166" ht="15.5" spans="21:53">
      <c r="U166" s="56"/>
      <c r="V166" s="56"/>
      <c r="W166" s="56"/>
      <c r="Y166" s="56"/>
      <c r="Z166" s="56"/>
      <c r="AA166" s="56"/>
      <c r="AB166" s="56"/>
      <c r="AD166" s="56"/>
      <c r="AE166" s="56"/>
      <c r="AF166" s="56"/>
      <c r="AG166" s="56"/>
      <c r="AI166" s="56"/>
      <c r="AJ166" s="56"/>
      <c r="AK166" s="56"/>
      <c r="AL166" s="56"/>
      <c r="AN166" s="56"/>
      <c r="AO166" s="56"/>
      <c r="AP166" s="56"/>
      <c r="AQ166" s="56"/>
      <c r="AS166" s="56"/>
      <c r="AT166" s="56"/>
      <c r="AU166" s="56"/>
      <c r="AV166" s="56"/>
      <c r="AW166" s="56"/>
      <c r="AY166" s="56"/>
      <c r="AZ166" s="56"/>
      <c r="BA166" s="56"/>
    </row>
    <row r="167" ht="15.5" spans="21:53">
      <c r="U167" s="36"/>
      <c r="V167" s="36"/>
      <c r="W167" s="36"/>
      <c r="Y167" s="36"/>
      <c r="Z167" s="36"/>
      <c r="AA167" s="36"/>
      <c r="AB167" s="36"/>
      <c r="AD167" s="36"/>
      <c r="AE167" s="36"/>
      <c r="AF167" s="36"/>
      <c r="AG167" s="36"/>
      <c r="AI167" s="36"/>
      <c r="AJ167" s="36"/>
      <c r="AK167" s="36"/>
      <c r="AL167" s="36"/>
      <c r="AN167" s="36"/>
      <c r="AO167" s="36"/>
      <c r="AP167" s="36"/>
      <c r="AQ167" s="36"/>
      <c r="AS167" s="36"/>
      <c r="AT167" s="36"/>
      <c r="AU167" s="36"/>
      <c r="AV167" s="36"/>
      <c r="AW167" s="36"/>
      <c r="AY167" s="36"/>
      <c r="AZ167" s="36"/>
      <c r="BA167" s="36"/>
    </row>
    <row r="168" ht="15.5" spans="21:53">
      <c r="U168" s="36"/>
      <c r="V168" s="36"/>
      <c r="W168" s="36"/>
      <c r="Y168" s="36"/>
      <c r="Z168" s="36"/>
      <c r="AA168" s="36"/>
      <c r="AB168" s="36"/>
      <c r="AD168" s="36"/>
      <c r="AE168" s="36"/>
      <c r="AF168" s="36"/>
      <c r="AG168" s="36"/>
      <c r="AI168" s="36"/>
      <c r="AJ168" s="36"/>
      <c r="AK168" s="36"/>
      <c r="AL168" s="36"/>
      <c r="AN168" s="36"/>
      <c r="AO168" s="36"/>
      <c r="AP168" s="36"/>
      <c r="AQ168" s="36"/>
      <c r="AS168" s="36"/>
      <c r="AT168" s="36"/>
      <c r="AU168" s="36"/>
      <c r="AV168" s="36"/>
      <c r="AW168" s="36"/>
      <c r="AY168" s="36"/>
      <c r="AZ168" s="36"/>
      <c r="BA168" s="36"/>
    </row>
    <row r="169" ht="15.5" spans="21:53">
      <c r="U169" s="36"/>
      <c r="V169" s="36"/>
      <c r="W169" s="36"/>
      <c r="Y169" s="36"/>
      <c r="Z169" s="36"/>
      <c r="AA169" s="36"/>
      <c r="AB169" s="36"/>
      <c r="AD169" s="36"/>
      <c r="AE169" s="36"/>
      <c r="AF169" s="36"/>
      <c r="AG169" s="36"/>
      <c r="AI169" s="36"/>
      <c r="AJ169" s="36"/>
      <c r="AK169" s="36"/>
      <c r="AL169" s="36"/>
      <c r="AN169" s="36"/>
      <c r="AO169" s="36"/>
      <c r="AP169" s="36"/>
      <c r="AQ169" s="36"/>
      <c r="AS169" s="36"/>
      <c r="AT169" s="36"/>
      <c r="AU169" s="36"/>
      <c r="AV169" s="36"/>
      <c r="AW169" s="36"/>
      <c r="AY169" s="36"/>
      <c r="AZ169" s="36"/>
      <c r="BA169" s="36"/>
    </row>
    <row r="170" ht="15.5" spans="21:53">
      <c r="U170" s="36"/>
      <c r="V170" s="36"/>
      <c r="W170" s="36"/>
      <c r="Y170" s="36"/>
      <c r="Z170" s="36"/>
      <c r="AA170" s="36"/>
      <c r="AB170" s="36"/>
      <c r="AD170" s="36"/>
      <c r="AE170" s="36"/>
      <c r="AF170" s="36"/>
      <c r="AG170" s="36"/>
      <c r="AI170" s="36"/>
      <c r="AJ170" s="36"/>
      <c r="AK170" s="36"/>
      <c r="AL170" s="36"/>
      <c r="AN170" s="36"/>
      <c r="AO170" s="36"/>
      <c r="AP170" s="36"/>
      <c r="AQ170" s="36"/>
      <c r="AS170" s="36"/>
      <c r="AT170" s="36"/>
      <c r="AU170" s="36"/>
      <c r="AV170" s="36"/>
      <c r="AW170" s="36"/>
      <c r="AY170" s="36"/>
      <c r="AZ170" s="36"/>
      <c r="BA170" s="36"/>
    </row>
    <row r="171" ht="15.5" spans="21:53">
      <c r="U171" s="36"/>
      <c r="V171" s="36"/>
      <c r="W171" s="36"/>
      <c r="Y171" s="36"/>
      <c r="Z171" s="36"/>
      <c r="AA171" s="36"/>
      <c r="AB171" s="36"/>
      <c r="AD171" s="36"/>
      <c r="AE171" s="36"/>
      <c r="AF171" s="36"/>
      <c r="AG171" s="36"/>
      <c r="AI171" s="36"/>
      <c r="AJ171" s="36"/>
      <c r="AK171" s="36"/>
      <c r="AL171" s="36"/>
      <c r="AN171" s="36"/>
      <c r="AO171" s="36"/>
      <c r="AP171" s="36"/>
      <c r="AQ171" s="36"/>
      <c r="AS171" s="36"/>
      <c r="AT171" s="36"/>
      <c r="AU171" s="36"/>
      <c r="AV171" s="36"/>
      <c r="AW171" s="36"/>
      <c r="AY171" s="36"/>
      <c r="AZ171" s="36"/>
      <c r="BA171" s="36"/>
    </row>
    <row r="172" ht="15.5" spans="21:53">
      <c r="U172" s="53"/>
      <c r="V172" s="21" t="s">
        <v>388</v>
      </c>
      <c r="W172" s="53"/>
      <c r="Y172" s="54"/>
      <c r="Z172" s="53"/>
      <c r="AA172" s="21" t="s">
        <v>388</v>
      </c>
      <c r="AB172" s="53"/>
      <c r="AD172" s="54"/>
      <c r="AE172" s="53"/>
      <c r="AF172" s="21" t="s">
        <v>388</v>
      </c>
      <c r="AG172" s="53"/>
      <c r="AI172" s="54"/>
      <c r="AJ172" s="53"/>
      <c r="AK172" s="21" t="s">
        <v>388</v>
      </c>
      <c r="AL172" s="53"/>
      <c r="AN172" s="54"/>
      <c r="AO172" s="53"/>
      <c r="AP172" s="21" t="s">
        <v>388</v>
      </c>
      <c r="AQ172" s="53"/>
      <c r="AS172" s="54"/>
      <c r="AT172" s="53"/>
      <c r="AU172" s="21" t="s">
        <v>388</v>
      </c>
      <c r="AV172" s="53"/>
      <c r="AW172" s="54"/>
      <c r="AY172" s="53"/>
      <c r="AZ172" s="21" t="s">
        <v>388</v>
      </c>
      <c r="BA172" s="53"/>
    </row>
    <row r="173" ht="15.5" spans="21:53">
      <c r="U173" s="21" t="s">
        <v>66</v>
      </c>
      <c r="V173" s="21" t="s">
        <v>172</v>
      </c>
      <c r="W173" s="21" t="s">
        <v>25</v>
      </c>
      <c r="Y173" s="54"/>
      <c r="Z173" s="21" t="s">
        <v>66</v>
      </c>
      <c r="AA173" s="21" t="s">
        <v>172</v>
      </c>
      <c r="AB173" s="21" t="s">
        <v>25</v>
      </c>
      <c r="AD173" s="54"/>
      <c r="AE173" s="21" t="s">
        <v>66</v>
      </c>
      <c r="AF173" s="21" t="s">
        <v>172</v>
      </c>
      <c r="AG173" s="21" t="s">
        <v>25</v>
      </c>
      <c r="AI173" s="54"/>
      <c r="AJ173" s="21" t="s">
        <v>66</v>
      </c>
      <c r="AK173" s="21" t="s">
        <v>172</v>
      </c>
      <c r="AL173" s="21" t="s">
        <v>25</v>
      </c>
      <c r="AN173" s="54"/>
      <c r="AO173" s="21" t="s">
        <v>66</v>
      </c>
      <c r="AP173" s="21" t="s">
        <v>172</v>
      </c>
      <c r="AQ173" s="21" t="s">
        <v>25</v>
      </c>
      <c r="AS173" s="54"/>
      <c r="AT173" s="21" t="s">
        <v>66</v>
      </c>
      <c r="AU173" s="21" t="s">
        <v>172</v>
      </c>
      <c r="AV173" s="21" t="s">
        <v>25</v>
      </c>
      <c r="AW173" s="54"/>
      <c r="AY173" s="21" t="s">
        <v>66</v>
      </c>
      <c r="AZ173" s="21" t="s">
        <v>172</v>
      </c>
      <c r="BA173" s="21" t="s">
        <v>25</v>
      </c>
    </row>
    <row r="174" ht="15.5" spans="21:53">
      <c r="U174" s="54" t="s">
        <v>323</v>
      </c>
      <c r="V174" s="55" t="s">
        <v>389</v>
      </c>
      <c r="W174" s="54">
        <f t="shared" ref="W174:W177" si="349" xml:space="preserve">W105</f>
        <v>0.0115546572342934</v>
      </c>
      <c r="Y174" s="54"/>
      <c r="Z174" s="54" t="s">
        <v>325</v>
      </c>
      <c r="AA174" s="55" t="s">
        <v>389</v>
      </c>
      <c r="AB174" s="54">
        <f t="shared" ref="AB174:AB177" si="350" xml:space="preserve">X105</f>
        <v>0.0110863986313088</v>
      </c>
      <c r="AD174" s="54"/>
      <c r="AE174" s="54" t="s">
        <v>327</v>
      </c>
      <c r="AF174" s="55" t="s">
        <v>389</v>
      </c>
      <c r="AG174" s="54">
        <f t="shared" ref="AG174:AG177" si="351" xml:space="preserve">Y105</f>
        <v>0.0114618834080717</v>
      </c>
      <c r="AI174" s="54"/>
      <c r="AJ174" s="54" t="s">
        <v>329</v>
      </c>
      <c r="AK174" s="55" t="s">
        <v>389</v>
      </c>
      <c r="AL174" s="54">
        <f t="shared" ref="AL174:AL177" si="352" xml:space="preserve">Z105</f>
        <v>0.011751326762699</v>
      </c>
      <c r="AN174" s="54"/>
      <c r="AO174" s="54" t="s">
        <v>321</v>
      </c>
      <c r="AP174" s="55" t="s">
        <v>389</v>
      </c>
      <c r="AQ174" s="54">
        <f t="shared" ref="AQ174:AQ177" si="353" xml:space="preserve">AA105</f>
        <v>0.0119709118030953</v>
      </c>
      <c r="AS174" s="54"/>
      <c r="AT174" s="54" t="s">
        <v>320</v>
      </c>
      <c r="AU174" s="55" t="s">
        <v>389</v>
      </c>
      <c r="AV174" s="54">
        <f t="shared" ref="AV174:AV177" si="354" xml:space="preserve">AB105</f>
        <v>0.00961625282167042</v>
      </c>
      <c r="AW174" s="54"/>
      <c r="AY174" s="54" t="s">
        <v>318</v>
      </c>
      <c r="AZ174" s="55" t="s">
        <v>389</v>
      </c>
      <c r="BA174" s="54">
        <f t="shared" ref="BA174:BA177" si="355" xml:space="preserve">AC105</f>
        <v>0.0113017332861691</v>
      </c>
    </row>
    <row r="175" ht="15.5" spans="21:53">
      <c r="U175" s="54" t="str">
        <f t="shared" ref="U175:U177" si="356" xml:space="preserve">U174</f>
        <v>HydRecy-NMC111</v>
      </c>
      <c r="V175" s="55" t="s">
        <v>390</v>
      </c>
      <c r="W175" s="54">
        <f t="shared" si="349"/>
        <v>0.0252147549267307</v>
      </c>
      <c r="Y175" s="54"/>
      <c r="Z175" s="54" t="str">
        <f t="shared" ref="Z175:Z177" si="357" xml:space="preserve">Z174</f>
        <v>HydRecy-NMC532</v>
      </c>
      <c r="AA175" s="55" t="s">
        <v>390</v>
      </c>
      <c r="AB175" s="54">
        <f t="shared" si="350"/>
        <v>0.0242600513259196</v>
      </c>
      <c r="AD175" s="54"/>
      <c r="AE175" s="54" t="str">
        <f t="shared" ref="AE175:AE177" si="358" xml:space="preserve">AE174</f>
        <v>HydRecy-NMC622</v>
      </c>
      <c r="AF175" s="55" t="s">
        <v>390</v>
      </c>
      <c r="AG175" s="54">
        <f t="shared" si="351"/>
        <v>0.0250941704035874</v>
      </c>
      <c r="AI175" s="54"/>
      <c r="AJ175" s="54" t="str">
        <f t="shared" ref="AJ175:AJ177" si="359" xml:space="preserve">AJ174</f>
        <v>HydRecy-NMC811</v>
      </c>
      <c r="AK175" s="55" t="s">
        <v>390</v>
      </c>
      <c r="AL175" s="54">
        <f t="shared" si="352"/>
        <v>0.0257581501137225</v>
      </c>
      <c r="AN175" s="54"/>
      <c r="AO175" s="54" t="str">
        <f t="shared" ref="AO175:AO177" si="360" xml:space="preserve">AO174</f>
        <v>HydRecy-NCA</v>
      </c>
      <c r="AP175" s="55" t="s">
        <v>390</v>
      </c>
      <c r="AQ175" s="54">
        <f t="shared" si="353"/>
        <v>0.0262539623345143</v>
      </c>
      <c r="AS175" s="54"/>
      <c r="AT175" s="54" t="str">
        <f t="shared" ref="AT175:AT177" si="361" xml:space="preserve">AT174</f>
        <v>HydRecy-LMO</v>
      </c>
      <c r="AU175" s="55" t="s">
        <v>390</v>
      </c>
      <c r="AV175" s="54">
        <f t="shared" si="354"/>
        <v>0.0210534236267871</v>
      </c>
      <c r="AW175" s="54"/>
      <c r="AY175" s="54" t="str">
        <f t="shared" ref="AY175:AY177" si="362" xml:space="preserve">AY174</f>
        <v>HydRecy-LFP</v>
      </c>
      <c r="AZ175" s="55" t="s">
        <v>390</v>
      </c>
      <c r="BA175" s="54">
        <f t="shared" si="355"/>
        <v>0.0247435443933498</v>
      </c>
    </row>
    <row r="176" ht="15.5" spans="21:53">
      <c r="U176" s="54" t="str">
        <f t="shared" si="356"/>
        <v>HydRecy-NMC111</v>
      </c>
      <c r="V176" s="55" t="s">
        <v>391</v>
      </c>
      <c r="W176" s="54">
        <f t="shared" si="349"/>
        <v>0.0978103419235304</v>
      </c>
      <c r="Y176" s="54"/>
      <c r="Z176" s="54" t="str">
        <f t="shared" si="357"/>
        <v>HydRecy-NMC532</v>
      </c>
      <c r="AA176" s="55" t="s">
        <v>391</v>
      </c>
      <c r="AB176" s="54">
        <f t="shared" si="350"/>
        <v>0.0947818648417451</v>
      </c>
      <c r="AD176" s="54"/>
      <c r="AE176" s="54" t="str">
        <f t="shared" si="358"/>
        <v>HydRecy-NMC622</v>
      </c>
      <c r="AF176" s="55" t="s">
        <v>391</v>
      </c>
      <c r="AG176" s="54">
        <f t="shared" si="351"/>
        <v>0.0982600896860986</v>
      </c>
      <c r="AI176" s="54"/>
      <c r="AJ176" s="54" t="str">
        <f t="shared" si="359"/>
        <v>HydRecy-NMC811</v>
      </c>
      <c r="AK176" s="55" t="s">
        <v>391</v>
      </c>
      <c r="AL176" s="54">
        <f t="shared" si="352"/>
        <v>0.099696739954511</v>
      </c>
      <c r="AN176" s="54"/>
      <c r="AO176" s="54" t="str">
        <f t="shared" si="360"/>
        <v>HydRecy-NCA</v>
      </c>
      <c r="AP176" s="55" t="s">
        <v>391</v>
      </c>
      <c r="AQ176" s="54">
        <f t="shared" si="353"/>
        <v>0.103953011374231</v>
      </c>
      <c r="AS176" s="54"/>
      <c r="AT176" s="54" t="str">
        <f t="shared" si="361"/>
        <v>HydRecy-LMO</v>
      </c>
      <c r="AU176" s="55" t="s">
        <v>391</v>
      </c>
      <c r="AV176" s="54">
        <f t="shared" si="354"/>
        <v>0.0824379232505643</v>
      </c>
      <c r="AW176" s="54"/>
      <c r="AY176" s="54" t="str">
        <f t="shared" si="362"/>
        <v>HydRecy-LFP</v>
      </c>
      <c r="AZ176" s="55" t="s">
        <v>391</v>
      </c>
      <c r="BA176" s="54">
        <f t="shared" si="355"/>
        <v>0.0968871595330739</v>
      </c>
    </row>
    <row r="177" ht="15.5" spans="21:53">
      <c r="U177" s="54" t="str">
        <f t="shared" si="356"/>
        <v>HydRecy-NMC111</v>
      </c>
      <c r="V177" s="55" t="s">
        <v>392</v>
      </c>
      <c r="W177" s="54">
        <f t="shared" si="349"/>
        <v>0.0132390096008085</v>
      </c>
      <c r="Y177" s="56"/>
      <c r="Z177" s="54" t="str">
        <f t="shared" si="357"/>
        <v>HydRecy-NMC532</v>
      </c>
      <c r="AA177" s="55" t="s">
        <v>392</v>
      </c>
      <c r="AB177" s="54">
        <f t="shared" si="350"/>
        <v>0.0130538922155689</v>
      </c>
      <c r="AD177" s="56"/>
      <c r="AE177" s="54" t="str">
        <f t="shared" si="358"/>
        <v>HydRecy-NMC622</v>
      </c>
      <c r="AF177" s="55" t="s">
        <v>392</v>
      </c>
      <c r="AG177" s="54">
        <f t="shared" si="351"/>
        <v>0.0136143497757848</v>
      </c>
      <c r="AI177" s="56"/>
      <c r="AJ177" s="54" t="str">
        <f t="shared" si="359"/>
        <v>HydRecy-NMC811</v>
      </c>
      <c r="AK177" s="55" t="s">
        <v>392</v>
      </c>
      <c r="AL177" s="54">
        <f t="shared" si="352"/>
        <v>0.0139689158453374</v>
      </c>
      <c r="AN177" s="56"/>
      <c r="AO177" s="54" t="str">
        <f t="shared" si="360"/>
        <v>HydRecy-NCA</v>
      </c>
      <c r="AP177" s="55" t="s">
        <v>392</v>
      </c>
      <c r="AQ177" s="54">
        <f t="shared" si="353"/>
        <v>0.0141711728510162</v>
      </c>
      <c r="AS177" s="56"/>
      <c r="AT177" s="54" t="str">
        <f t="shared" si="361"/>
        <v>HydRecy-LMO</v>
      </c>
      <c r="AU177" s="55" t="s">
        <v>392</v>
      </c>
      <c r="AV177" s="54">
        <f t="shared" si="354"/>
        <v>0.0114221218961625</v>
      </c>
      <c r="AW177" s="56"/>
      <c r="AY177" s="54" t="str">
        <f t="shared" si="362"/>
        <v>HydRecy-LFP</v>
      </c>
      <c r="AZ177" s="55" t="s">
        <v>392</v>
      </c>
      <c r="BA177" s="54">
        <f t="shared" si="355"/>
        <v>0.0134241245136187</v>
      </c>
    </row>
    <row r="178" ht="15.5" spans="21:53">
      <c r="U178" s="56"/>
      <c r="V178" s="56"/>
      <c r="W178" s="56"/>
      <c r="Y178" s="56"/>
      <c r="Z178" s="56"/>
      <c r="AA178" s="56"/>
      <c r="AB178" s="56"/>
      <c r="AD178" s="56"/>
      <c r="AE178" s="56"/>
      <c r="AF178" s="56"/>
      <c r="AG178" s="56"/>
      <c r="AI178" s="56"/>
      <c r="AJ178" s="56"/>
      <c r="AK178" s="56"/>
      <c r="AL178" s="56"/>
      <c r="AN178" s="56"/>
      <c r="AO178" s="56"/>
      <c r="AP178" s="56"/>
      <c r="AQ178" s="56"/>
      <c r="AS178" s="56"/>
      <c r="AT178" s="56"/>
      <c r="AU178" s="56"/>
      <c r="AV178" s="56"/>
      <c r="AW178" s="56"/>
      <c r="AY178" s="56"/>
      <c r="AZ178" s="56"/>
      <c r="BA178" s="56"/>
    </row>
    <row r="183" ht="15.5" spans="21:53">
      <c r="U183" s="53"/>
      <c r="V183" s="21" t="s">
        <v>388</v>
      </c>
      <c r="W183" s="53"/>
      <c r="Y183" s="54"/>
      <c r="Z183" s="53"/>
      <c r="AA183" s="21" t="s">
        <v>388</v>
      </c>
      <c r="AB183" s="53"/>
      <c r="AD183" s="54"/>
      <c r="AE183" s="53"/>
      <c r="AF183" s="21" t="s">
        <v>388</v>
      </c>
      <c r="AG183" s="53"/>
      <c r="AI183" s="54"/>
      <c r="AJ183" s="53"/>
      <c r="AK183" s="21" t="s">
        <v>388</v>
      </c>
      <c r="AL183" s="53"/>
      <c r="AN183" s="54"/>
      <c r="AO183" s="53"/>
      <c r="AP183" s="21" t="s">
        <v>388</v>
      </c>
      <c r="AQ183" s="53"/>
      <c r="AS183" s="54"/>
      <c r="AT183" s="53"/>
      <c r="AU183" s="21" t="s">
        <v>388</v>
      </c>
      <c r="AV183" s="53"/>
      <c r="AW183" s="54"/>
      <c r="AY183" s="53"/>
      <c r="AZ183" s="21" t="s">
        <v>388</v>
      </c>
      <c r="BA183" s="53"/>
    </row>
    <row r="184" ht="15.5" spans="21:53">
      <c r="U184" s="21" t="s">
        <v>66</v>
      </c>
      <c r="V184" s="21" t="s">
        <v>172</v>
      </c>
      <c r="W184" s="21" t="s">
        <v>25</v>
      </c>
      <c r="Y184" s="54"/>
      <c r="Z184" s="21" t="s">
        <v>66</v>
      </c>
      <c r="AA184" s="21" t="s">
        <v>172</v>
      </c>
      <c r="AB184" s="21" t="s">
        <v>25</v>
      </c>
      <c r="AD184" s="54"/>
      <c r="AE184" s="21" t="s">
        <v>66</v>
      </c>
      <c r="AF184" s="21" t="s">
        <v>172</v>
      </c>
      <c r="AG184" s="21" t="s">
        <v>25</v>
      </c>
      <c r="AI184" s="54"/>
      <c r="AJ184" s="21" t="s">
        <v>66</v>
      </c>
      <c r="AK184" s="21" t="s">
        <v>172</v>
      </c>
      <c r="AL184" s="21" t="s">
        <v>25</v>
      </c>
      <c r="AN184" s="54"/>
      <c r="AO184" s="21" t="s">
        <v>66</v>
      </c>
      <c r="AP184" s="21" t="s">
        <v>172</v>
      </c>
      <c r="AQ184" s="21" t="s">
        <v>25</v>
      </c>
      <c r="AS184" s="54"/>
      <c r="AT184" s="21" t="s">
        <v>66</v>
      </c>
      <c r="AU184" s="21" t="s">
        <v>172</v>
      </c>
      <c r="AV184" s="21" t="s">
        <v>25</v>
      </c>
      <c r="AW184" s="54"/>
      <c r="AY184" s="21" t="s">
        <v>66</v>
      </c>
      <c r="AZ184" s="21" t="s">
        <v>172</v>
      </c>
      <c r="BA184" s="21" t="s">
        <v>25</v>
      </c>
    </row>
    <row r="185" ht="15.5" spans="21:53">
      <c r="U185" s="54" t="s">
        <v>336</v>
      </c>
      <c r="V185" s="55" t="s">
        <v>389</v>
      </c>
      <c r="W185" s="54">
        <f t="shared" ref="W185:W188" si="363" xml:space="preserve">W125</f>
        <v>0.00788276907529056</v>
      </c>
      <c r="Y185" s="54"/>
      <c r="Z185" s="54" t="s">
        <v>338</v>
      </c>
      <c r="AA185" s="55" t="s">
        <v>389</v>
      </c>
      <c r="AB185" s="54">
        <f t="shared" ref="AB185:AB188" si="364" xml:space="preserve">X125</f>
        <v>0.00764756201881948</v>
      </c>
      <c r="AD185" s="54"/>
      <c r="AE185" s="54" t="s">
        <v>340</v>
      </c>
      <c r="AF185" s="55" t="s">
        <v>389</v>
      </c>
      <c r="AG185" s="54">
        <f t="shared" ref="AG185:AG188" si="365" xml:space="preserve">Y125</f>
        <v>0.00794618834080718</v>
      </c>
      <c r="AI185" s="54"/>
      <c r="AJ185" s="54" t="s">
        <v>341</v>
      </c>
      <c r="AK185" s="55" t="s">
        <v>389</v>
      </c>
      <c r="AL185" s="54">
        <f t="shared" ref="AL185:AL188" si="366" xml:space="preserve">Z125</f>
        <v>0.00794162244124336</v>
      </c>
      <c r="AN185" s="54"/>
      <c r="AO185" s="54" t="s">
        <v>335</v>
      </c>
      <c r="AP185" s="55" t="s">
        <v>389</v>
      </c>
      <c r="AQ185" s="54">
        <f t="shared" ref="AQ185:AQ188" si="367" xml:space="preserve">AA125</f>
        <v>0.00801790042886445</v>
      </c>
      <c r="AS185" s="54"/>
      <c r="AT185" s="54" t="s">
        <v>333</v>
      </c>
      <c r="AU185" s="55" t="s">
        <v>389</v>
      </c>
      <c r="AV185" s="54">
        <f t="shared" ref="AV185:AV188" si="368" xml:space="preserve">AB125</f>
        <v>0.00666666666666667</v>
      </c>
      <c r="AW185" s="54"/>
      <c r="AY185" s="54" t="s">
        <v>331</v>
      </c>
      <c r="AZ185" s="55" t="s">
        <v>389</v>
      </c>
      <c r="BA185" s="54">
        <f t="shared" ref="BA185:BA188" si="369" xml:space="preserve">AC125</f>
        <v>0.00783516094800141</v>
      </c>
    </row>
    <row r="186" ht="15.5" spans="21:53">
      <c r="U186" s="54" t="str">
        <f t="shared" ref="U186:U188" si="370" xml:space="preserve">U185</f>
        <v>DirRecy-NMC111</v>
      </c>
      <c r="V186" s="55" t="s">
        <v>390</v>
      </c>
      <c r="W186" s="54">
        <f t="shared" si="363"/>
        <v>0.02011116725619</v>
      </c>
      <c r="Y186" s="54"/>
      <c r="Z186" s="54" t="str">
        <f t="shared" ref="Z186:Z188" si="371" xml:space="preserve">Z185</f>
        <v>DirRecy-NMC532</v>
      </c>
      <c r="AA186" s="55" t="s">
        <v>390</v>
      </c>
      <c r="AB186" s="54">
        <f t="shared" si="364"/>
        <v>0.0195038494439692</v>
      </c>
      <c r="AD186" s="54"/>
      <c r="AE186" s="54" t="str">
        <f t="shared" ref="AE186:AE188" si="372" xml:space="preserve">AE185</f>
        <v>DirRecy-NMC622</v>
      </c>
      <c r="AF186" s="55" t="s">
        <v>390</v>
      </c>
      <c r="AG186" s="54">
        <f t="shared" si="365"/>
        <v>0.0202152466367713</v>
      </c>
      <c r="AI186" s="54"/>
      <c r="AJ186" s="54" t="str">
        <f t="shared" ref="AJ186:AJ188" si="373" xml:space="preserve">AJ185</f>
        <v>DirRecy-NMC811</v>
      </c>
      <c r="AK186" s="55" t="s">
        <v>390</v>
      </c>
      <c r="AL186" s="54">
        <f t="shared" si="366"/>
        <v>0.0201099317664898</v>
      </c>
      <c r="AN186" s="54"/>
      <c r="AO186" s="54" t="str">
        <f t="shared" ref="AO186:AO188" si="374" xml:space="preserve">AO185</f>
        <v>DirRecy-NCA</v>
      </c>
      <c r="AP186" s="55" t="s">
        <v>390</v>
      </c>
      <c r="AQ186" s="54">
        <f t="shared" si="367"/>
        <v>0.0203990303934365</v>
      </c>
      <c r="AS186" s="54"/>
      <c r="AT186" s="54" t="str">
        <f t="shared" ref="AT186:AT188" si="375" xml:space="preserve">AT185</f>
        <v>DirRecy-LMO</v>
      </c>
      <c r="AU186" s="55" t="s">
        <v>390</v>
      </c>
      <c r="AV186" s="54">
        <f t="shared" si="368"/>
        <v>0.0169601203912716</v>
      </c>
      <c r="AW186" s="54"/>
      <c r="AY186" s="54" t="str">
        <f t="shared" ref="AY186:AY188" si="376" xml:space="preserve">AY185</f>
        <v>DirRecy-LFP</v>
      </c>
      <c r="AZ186" s="55" t="s">
        <v>390</v>
      </c>
      <c r="BA186" s="54">
        <f t="shared" si="369"/>
        <v>0.0199327909444641</v>
      </c>
    </row>
    <row r="187" ht="15.5" spans="21:53">
      <c r="U187" s="54" t="str">
        <f t="shared" si="370"/>
        <v>DirRecy-NMC111</v>
      </c>
      <c r="V187" s="55" t="s">
        <v>391</v>
      </c>
      <c r="W187" s="54">
        <f t="shared" si="363"/>
        <v>0.0641232945932289</v>
      </c>
      <c r="Y187" s="54"/>
      <c r="Z187" s="54" t="str">
        <f t="shared" si="371"/>
        <v>DirRecy-NMC532</v>
      </c>
      <c r="AA187" s="55" t="s">
        <v>391</v>
      </c>
      <c r="AB187" s="54">
        <f t="shared" si="364"/>
        <v>0.0633532934131737</v>
      </c>
      <c r="AD187" s="54"/>
      <c r="AE187" s="54" t="str">
        <f t="shared" si="372"/>
        <v>DirRecy-NMC622</v>
      </c>
      <c r="AF187" s="55" t="s">
        <v>391</v>
      </c>
      <c r="AG187" s="54">
        <f t="shared" si="365"/>
        <v>0.0659910313901345</v>
      </c>
      <c r="AI187" s="54"/>
      <c r="AJ187" s="54" t="str">
        <f t="shared" si="373"/>
        <v>DirRecy-NMC811</v>
      </c>
      <c r="AK187" s="55" t="s">
        <v>391</v>
      </c>
      <c r="AL187" s="54">
        <f t="shared" si="366"/>
        <v>0.0673237300985595</v>
      </c>
      <c r="AN187" s="54"/>
      <c r="AO187" s="54" t="str">
        <f t="shared" si="374"/>
        <v>DirRecy-NCA</v>
      </c>
      <c r="AP187" s="55" t="s">
        <v>391</v>
      </c>
      <c r="AQ187" s="54">
        <f t="shared" si="367"/>
        <v>0.0673690098825284</v>
      </c>
      <c r="AS187" s="54"/>
      <c r="AT187" s="54" t="str">
        <f t="shared" si="375"/>
        <v>DirRecy-LMO</v>
      </c>
      <c r="AU187" s="55" t="s">
        <v>391</v>
      </c>
      <c r="AV187" s="54">
        <f t="shared" si="368"/>
        <v>0.055364936042137</v>
      </c>
      <c r="AW187" s="54"/>
      <c r="AY187" s="54" t="str">
        <f t="shared" si="376"/>
        <v>DirRecy-LFP</v>
      </c>
      <c r="AZ187" s="55" t="s">
        <v>391</v>
      </c>
      <c r="BA187" s="54">
        <f t="shared" si="369"/>
        <v>0.0650689777148921</v>
      </c>
    </row>
    <row r="188" ht="15.5" spans="21:53">
      <c r="U188" s="54" t="str">
        <f t="shared" si="370"/>
        <v>DirRecy-NMC111</v>
      </c>
      <c r="V188" s="55" t="s">
        <v>392</v>
      </c>
      <c r="W188" s="54">
        <f t="shared" si="363"/>
        <v>0.0129695132221661</v>
      </c>
      <c r="Y188" s="56"/>
      <c r="Z188" s="54" t="str">
        <f t="shared" si="371"/>
        <v>DirRecy-NMC532</v>
      </c>
      <c r="AA188" s="55" t="s">
        <v>392</v>
      </c>
      <c r="AB188" s="54">
        <f t="shared" si="364"/>
        <v>0.012814371257485</v>
      </c>
      <c r="AD188" s="56"/>
      <c r="AE188" s="54" t="str">
        <f t="shared" si="372"/>
        <v>DirRecy-NMC622</v>
      </c>
      <c r="AF188" s="55" t="s">
        <v>392</v>
      </c>
      <c r="AG188" s="54">
        <f t="shared" si="365"/>
        <v>0.0133452914798206</v>
      </c>
      <c r="AI188" s="56"/>
      <c r="AJ188" s="54" t="str">
        <f t="shared" si="373"/>
        <v>DirRecy-NMC811</v>
      </c>
      <c r="AK188" s="55" t="s">
        <v>392</v>
      </c>
      <c r="AL188" s="54">
        <f t="shared" si="366"/>
        <v>0.0135898407884761</v>
      </c>
      <c r="AN188" s="56"/>
      <c r="AO188" s="54" t="str">
        <f t="shared" si="374"/>
        <v>DirRecy-NCA</v>
      </c>
      <c r="AP188" s="55" t="s">
        <v>392</v>
      </c>
      <c r="AQ188" s="54">
        <f t="shared" si="367"/>
        <v>0.0136304307290695</v>
      </c>
      <c r="AS188" s="56"/>
      <c r="AT188" s="54" t="str">
        <f t="shared" si="375"/>
        <v>DirRecy-LMO</v>
      </c>
      <c r="AU188" s="55" t="s">
        <v>392</v>
      </c>
      <c r="AV188" s="54">
        <f t="shared" si="368"/>
        <v>0.011196388261851</v>
      </c>
      <c r="AW188" s="56"/>
      <c r="AY188" s="54" t="str">
        <f t="shared" si="376"/>
        <v>DirRecy-LFP</v>
      </c>
      <c r="AZ188" s="55" t="s">
        <v>392</v>
      </c>
      <c r="BA188" s="54">
        <f t="shared" si="369"/>
        <v>0.0131588256101875</v>
      </c>
    </row>
    <row r="198" spans="21:54">
      <c r="V198" s="1" t="s">
        <v>388</v>
      </c>
      <c r="AA198" s="1" t="s">
        <v>388</v>
      </c>
      <c r="AF198" s="1" t="s">
        <v>388</v>
      </c>
      <c r="AK198" s="1" t="s">
        <v>388</v>
      </c>
      <c r="AP198" s="1" t="s">
        <v>388</v>
      </c>
      <c r="AU198" s="1" t="s">
        <v>388</v>
      </c>
      <c r="AZ198" s="1" t="s">
        <v>388</v>
      </c>
    </row>
    <row r="199" ht="15.5" spans="21:54">
      <c r="U199" s="1" t="s">
        <v>66</v>
      </c>
      <c r="V199" s="1" t="s">
        <v>172</v>
      </c>
      <c r="W199" s="1" t="s">
        <v>25</v>
      </c>
      <c r="X199" s="54" t="s">
        <v>41</v>
      </c>
      <c r="Z199" s="1" t="s">
        <v>66</v>
      </c>
      <c r="AA199" s="1" t="s">
        <v>172</v>
      </c>
      <c r="AB199" s="1" t="s">
        <v>25</v>
      </c>
      <c r="AC199" s="54" t="s">
        <v>41</v>
      </c>
      <c r="AE199" s="1" t="s">
        <v>66</v>
      </c>
      <c r="AF199" s="1" t="s">
        <v>172</v>
      </c>
      <c r="AG199" s="1" t="s">
        <v>25</v>
      </c>
      <c r="AH199" s="54" t="s">
        <v>41</v>
      </c>
      <c r="AJ199" s="1" t="s">
        <v>66</v>
      </c>
      <c r="AK199" s="1" t="s">
        <v>172</v>
      </c>
      <c r="AL199" s="1" t="s">
        <v>25</v>
      </c>
      <c r="AM199" s="54" t="s">
        <v>41</v>
      </c>
      <c r="AO199" s="1" t="s">
        <v>66</v>
      </c>
      <c r="AP199" s="1" t="s">
        <v>172</v>
      </c>
      <c r="AQ199" s="1" t="s">
        <v>25</v>
      </c>
      <c r="AR199" s="54" t="s">
        <v>41</v>
      </c>
      <c r="AT199" s="1" t="s">
        <v>66</v>
      </c>
      <c r="AU199" s="1" t="s">
        <v>172</v>
      </c>
      <c r="AV199" s="1" t="s">
        <v>25</v>
      </c>
      <c r="AW199" s="54" t="s">
        <v>41</v>
      </c>
      <c r="AY199" s="1" t="s">
        <v>66</v>
      </c>
      <c r="AZ199" s="1" t="s">
        <v>172</v>
      </c>
      <c r="BA199" s="1" t="s">
        <v>25</v>
      </c>
      <c r="BB199" s="54" t="s">
        <v>41</v>
      </c>
    </row>
    <row r="200" ht="15.5" spans="21:54">
      <c r="U200" s="1" t="s">
        <v>310</v>
      </c>
      <c r="V200" s="1" t="s">
        <v>389</v>
      </c>
      <c r="W200" s="1">
        <f xml:space="preserve">SUM(W162:W165)</f>
        <v>0.136112514738083</v>
      </c>
      <c r="X200" s="54" t="s">
        <v>413</v>
      </c>
      <c r="Z200" s="1" t="s">
        <v>312</v>
      </c>
      <c r="AA200" s="1" t="s">
        <v>389</v>
      </c>
      <c r="AB200" s="1">
        <f xml:space="preserve">SUM(AB162:AB165)</f>
        <v>0.13180496150556</v>
      </c>
      <c r="AC200" s="54" t="s">
        <v>413</v>
      </c>
      <c r="AE200" s="1" t="s">
        <v>314</v>
      </c>
      <c r="AF200" s="1" t="s">
        <v>389</v>
      </c>
      <c r="AG200" s="1">
        <f xml:space="preserve">SUM(AG162:AG165)</f>
        <v>0.136304932735426</v>
      </c>
      <c r="AH200" s="54" t="s">
        <v>413</v>
      </c>
      <c r="AJ200" s="1" t="s">
        <v>316</v>
      </c>
      <c r="AK200" s="1" t="s">
        <v>389</v>
      </c>
      <c r="AL200" s="1">
        <f xml:space="preserve">SUM(AL162:AL165)</f>
        <v>0.143100833965125</v>
      </c>
      <c r="AM200" s="54" t="s">
        <v>413</v>
      </c>
      <c r="AO200" s="1" t="s">
        <v>308</v>
      </c>
      <c r="AP200" s="1" t="s">
        <v>389</v>
      </c>
      <c r="AQ200" s="1">
        <f xml:space="preserve">SUM(AQ162:AQ165)</f>
        <v>0.148405743054261</v>
      </c>
      <c r="AR200" s="54" t="s">
        <v>413</v>
      </c>
      <c r="AT200" s="1" t="s">
        <v>306</v>
      </c>
      <c r="AU200" s="1" t="s">
        <v>389</v>
      </c>
      <c r="AV200" s="1">
        <f xml:space="preserve">SUM(AV162:AV165)</f>
        <v>0.114356659142212</v>
      </c>
      <c r="AW200" s="54" t="s">
        <v>413</v>
      </c>
      <c r="AY200" s="1" t="s">
        <v>304</v>
      </c>
      <c r="AZ200" s="1" t="s">
        <v>389</v>
      </c>
      <c r="BA200" s="1">
        <f xml:space="preserve">SUM(BA162:BA165)</f>
        <v>0.134400424478245</v>
      </c>
      <c r="BB200" s="54" t="s">
        <v>413</v>
      </c>
    </row>
    <row r="201" ht="15.5" spans="21:54">
      <c r="U201" s="1" t="s">
        <v>310</v>
      </c>
      <c r="V201" s="1" t="s">
        <v>390</v>
      </c>
      <c r="W201" s="1">
        <v>0</v>
      </c>
      <c r="X201" s="54" t="s">
        <v>413</v>
      </c>
      <c r="Z201" s="1" t="s">
        <v>312</v>
      </c>
      <c r="AA201" s="1" t="s">
        <v>390</v>
      </c>
      <c r="AB201" s="1">
        <v>0</v>
      </c>
      <c r="AC201" s="54" t="s">
        <v>413</v>
      </c>
      <c r="AE201" s="1" t="s">
        <v>314</v>
      </c>
      <c r="AF201" s="1" t="s">
        <v>390</v>
      </c>
      <c r="AG201" s="1">
        <v>0</v>
      </c>
      <c r="AH201" s="54" t="s">
        <v>413</v>
      </c>
      <c r="AJ201" s="1" t="s">
        <v>316</v>
      </c>
      <c r="AK201" s="1" t="s">
        <v>390</v>
      </c>
      <c r="AL201" s="1">
        <v>0</v>
      </c>
      <c r="AM201" s="54" t="s">
        <v>413</v>
      </c>
      <c r="AO201" s="1" t="s">
        <v>308</v>
      </c>
      <c r="AP201" s="1" t="s">
        <v>390</v>
      </c>
      <c r="AQ201" s="1">
        <v>0</v>
      </c>
      <c r="AR201" s="54" t="s">
        <v>413</v>
      </c>
      <c r="AT201" s="1" t="s">
        <v>306</v>
      </c>
      <c r="AU201" s="1" t="s">
        <v>390</v>
      </c>
      <c r="AV201" s="1">
        <v>0</v>
      </c>
      <c r="AW201" s="54" t="s">
        <v>413</v>
      </c>
      <c r="AY201" s="1" t="s">
        <v>304</v>
      </c>
      <c r="AZ201" s="1" t="s">
        <v>390</v>
      </c>
      <c r="BA201" s="1">
        <v>0</v>
      </c>
      <c r="BB201" s="54" t="s">
        <v>413</v>
      </c>
    </row>
    <row r="202" ht="15.5" spans="21:54">
      <c r="U202" s="1" t="s">
        <v>310</v>
      </c>
      <c r="V202" s="1" t="s">
        <v>391</v>
      </c>
      <c r="W202" s="1">
        <v>0</v>
      </c>
      <c r="X202" s="54" t="s">
        <v>413</v>
      </c>
      <c r="Z202" s="1" t="s">
        <v>312</v>
      </c>
      <c r="AA202" s="1" t="s">
        <v>391</v>
      </c>
      <c r="AB202" s="1">
        <v>0</v>
      </c>
      <c r="AC202" s="54" t="s">
        <v>413</v>
      </c>
      <c r="AE202" s="1" t="s">
        <v>314</v>
      </c>
      <c r="AF202" s="1" t="s">
        <v>391</v>
      </c>
      <c r="AG202" s="1">
        <v>0</v>
      </c>
      <c r="AH202" s="54" t="s">
        <v>413</v>
      </c>
      <c r="AJ202" s="1" t="s">
        <v>316</v>
      </c>
      <c r="AK202" s="1" t="s">
        <v>391</v>
      </c>
      <c r="AL202" s="1">
        <v>0</v>
      </c>
      <c r="AM202" s="54" t="s">
        <v>413</v>
      </c>
      <c r="AO202" s="1" t="s">
        <v>308</v>
      </c>
      <c r="AP202" s="1" t="s">
        <v>391</v>
      </c>
      <c r="AQ202" s="1">
        <v>0</v>
      </c>
      <c r="AR202" s="54" t="s">
        <v>413</v>
      </c>
      <c r="AT202" s="1" t="s">
        <v>306</v>
      </c>
      <c r="AU202" s="1" t="s">
        <v>391</v>
      </c>
      <c r="AV202" s="1">
        <v>0</v>
      </c>
      <c r="AW202" s="54" t="s">
        <v>413</v>
      </c>
      <c r="AY202" s="1" t="s">
        <v>304</v>
      </c>
      <c r="AZ202" s="1" t="s">
        <v>391</v>
      </c>
      <c r="BA202" s="1">
        <v>0</v>
      </c>
      <c r="BB202" s="54" t="s">
        <v>413</v>
      </c>
    </row>
    <row r="203" ht="15.5" spans="21:54">
      <c r="U203" s="1" t="s">
        <v>310</v>
      </c>
      <c r="V203" s="1" t="s">
        <v>392</v>
      </c>
      <c r="W203" s="1">
        <v>0</v>
      </c>
      <c r="X203" s="54" t="s">
        <v>413</v>
      </c>
      <c r="Z203" s="1" t="s">
        <v>312</v>
      </c>
      <c r="AA203" s="1" t="s">
        <v>392</v>
      </c>
      <c r="AB203" s="1">
        <v>0</v>
      </c>
      <c r="AC203" s="54" t="s">
        <v>413</v>
      </c>
      <c r="AE203" s="1" t="s">
        <v>314</v>
      </c>
      <c r="AF203" s="1" t="s">
        <v>392</v>
      </c>
      <c r="AG203" s="1">
        <v>0</v>
      </c>
      <c r="AH203" s="54" t="s">
        <v>413</v>
      </c>
      <c r="AJ203" s="1" t="s">
        <v>316</v>
      </c>
      <c r="AK203" s="1" t="s">
        <v>392</v>
      </c>
      <c r="AL203" s="1">
        <v>0</v>
      </c>
      <c r="AM203" s="54" t="s">
        <v>413</v>
      </c>
      <c r="AO203" s="1" t="s">
        <v>308</v>
      </c>
      <c r="AP203" s="1" t="s">
        <v>392</v>
      </c>
      <c r="AQ203" s="1">
        <v>0</v>
      </c>
      <c r="AR203" s="54" t="s">
        <v>413</v>
      </c>
      <c r="AT203" s="1" t="s">
        <v>306</v>
      </c>
      <c r="AU203" s="1" t="s">
        <v>392</v>
      </c>
      <c r="AV203" s="1">
        <v>0</v>
      </c>
      <c r="AW203" s="54" t="s">
        <v>413</v>
      </c>
      <c r="AY203" s="1" t="s">
        <v>304</v>
      </c>
      <c r="AZ203" s="1" t="s">
        <v>392</v>
      </c>
      <c r="BA203" s="1">
        <v>0</v>
      </c>
      <c r="BB203" s="54" t="s">
        <v>413</v>
      </c>
    </row>
    <row r="210" spans="21:54">
      <c r="V210" s="1" t="s">
        <v>388</v>
      </c>
      <c r="AA210" s="1" t="s">
        <v>388</v>
      </c>
      <c r="AF210" s="1" t="s">
        <v>388</v>
      </c>
      <c r="AK210" s="1" t="s">
        <v>388</v>
      </c>
      <c r="AP210" s="1" t="s">
        <v>388</v>
      </c>
      <c r="AU210" s="1" t="s">
        <v>388</v>
      </c>
      <c r="AZ210" s="1" t="s">
        <v>388</v>
      </c>
    </row>
    <row r="211" ht="15.5" spans="21:54">
      <c r="U211" s="1" t="s">
        <v>66</v>
      </c>
      <c r="V211" s="1" t="s">
        <v>172</v>
      </c>
      <c r="W211" s="1" t="s">
        <v>25</v>
      </c>
      <c r="X211" s="54" t="s">
        <v>41</v>
      </c>
      <c r="Z211" s="1" t="s">
        <v>66</v>
      </c>
      <c r="AA211" s="1" t="s">
        <v>172</v>
      </c>
      <c r="AB211" s="1" t="s">
        <v>25</v>
      </c>
      <c r="AC211" s="54" t="s">
        <v>41</v>
      </c>
      <c r="AE211" s="1" t="s">
        <v>66</v>
      </c>
      <c r="AF211" s="1" t="s">
        <v>172</v>
      </c>
      <c r="AG211" s="1" t="s">
        <v>25</v>
      </c>
      <c r="AH211" s="54" t="s">
        <v>41</v>
      </c>
      <c r="AJ211" s="1" t="s">
        <v>66</v>
      </c>
      <c r="AK211" s="1" t="s">
        <v>172</v>
      </c>
      <c r="AL211" s="1" t="s">
        <v>25</v>
      </c>
      <c r="AM211" s="54" t="s">
        <v>41</v>
      </c>
      <c r="AO211" s="1" t="s">
        <v>66</v>
      </c>
      <c r="AP211" s="1" t="s">
        <v>172</v>
      </c>
      <c r="AQ211" s="1" t="s">
        <v>25</v>
      </c>
      <c r="AR211" s="54" t="s">
        <v>41</v>
      </c>
      <c r="AT211" s="1" t="s">
        <v>66</v>
      </c>
      <c r="AU211" s="1" t="s">
        <v>172</v>
      </c>
      <c r="AV211" s="1" t="s">
        <v>25</v>
      </c>
      <c r="AW211" s="54" t="s">
        <v>41</v>
      </c>
      <c r="AY211" s="1" t="s">
        <v>66</v>
      </c>
      <c r="AZ211" s="1" t="s">
        <v>172</v>
      </c>
      <c r="BA211" s="1" t="s">
        <v>25</v>
      </c>
      <c r="BB211" s="54" t="s">
        <v>41</v>
      </c>
    </row>
    <row r="212" ht="15.5" spans="21:54">
      <c r="U212" s="1" t="s">
        <v>323</v>
      </c>
      <c r="V212" s="1" t="s">
        <v>389</v>
      </c>
      <c r="W212" s="1">
        <f xml:space="preserve">SUM(W174:W177)</f>
        <v>0.147818763685363</v>
      </c>
      <c r="X212" s="54" t="s">
        <v>413</v>
      </c>
      <c r="Z212" s="1" t="s">
        <v>325</v>
      </c>
      <c r="AA212" s="1" t="s">
        <v>389</v>
      </c>
      <c r="AB212" s="1">
        <f xml:space="preserve">SUM(AB174:AB177)</f>
        <v>0.143182207014542</v>
      </c>
      <c r="AC212" s="54" t="s">
        <v>413</v>
      </c>
      <c r="AE212" s="1" t="s">
        <v>327</v>
      </c>
      <c r="AF212" s="1" t="s">
        <v>389</v>
      </c>
      <c r="AG212" s="1">
        <f xml:space="preserve">SUM(AG174:AG177)</f>
        <v>0.148430493273543</v>
      </c>
      <c r="AH212" s="54" t="s">
        <v>413</v>
      </c>
      <c r="AJ212" s="1" t="s">
        <v>329</v>
      </c>
      <c r="AK212" s="1" t="s">
        <v>389</v>
      </c>
      <c r="AL212" s="1">
        <f xml:space="preserve">SUM(AL174:AL177)</f>
        <v>0.15117513267627</v>
      </c>
      <c r="AM212" s="54" t="s">
        <v>413</v>
      </c>
      <c r="AO212" s="1" t="s">
        <v>321</v>
      </c>
      <c r="AP212" s="1" t="s">
        <v>389</v>
      </c>
      <c r="AQ212" s="1">
        <f xml:space="preserve">SUM(AQ174:AQ177)</f>
        <v>0.156349058362857</v>
      </c>
      <c r="AR212" s="54" t="s">
        <v>413</v>
      </c>
      <c r="AT212" s="1" t="s">
        <v>320</v>
      </c>
      <c r="AU212" s="1" t="s">
        <v>389</v>
      </c>
      <c r="AV212" s="1">
        <f xml:space="preserve">SUM(AV174:AV177)</f>
        <v>0.124529721595184</v>
      </c>
      <c r="AW212" s="54" t="s">
        <v>413</v>
      </c>
      <c r="AY212" s="1" t="s">
        <v>318</v>
      </c>
      <c r="AZ212" s="1" t="s">
        <v>389</v>
      </c>
      <c r="BA212" s="1">
        <f xml:space="preserve">SUM(BA174:BA177)</f>
        <v>0.146356561726212</v>
      </c>
      <c r="BB212" s="54" t="s">
        <v>413</v>
      </c>
    </row>
    <row r="213" ht="15.5" spans="21:54">
      <c r="U213" s="1" t="s">
        <v>323</v>
      </c>
      <c r="V213" s="1" t="s">
        <v>390</v>
      </c>
      <c r="W213" s="1">
        <v>0</v>
      </c>
      <c r="X213" s="54" t="s">
        <v>413</v>
      </c>
      <c r="Z213" s="1" t="s">
        <v>325</v>
      </c>
      <c r="AA213" s="1" t="s">
        <v>390</v>
      </c>
      <c r="AB213" s="1">
        <v>0</v>
      </c>
      <c r="AC213" s="54" t="s">
        <v>413</v>
      </c>
      <c r="AE213" s="1" t="s">
        <v>327</v>
      </c>
      <c r="AF213" s="1" t="s">
        <v>390</v>
      </c>
      <c r="AG213" s="1">
        <v>0</v>
      </c>
      <c r="AH213" s="54" t="s">
        <v>413</v>
      </c>
      <c r="AJ213" s="1" t="s">
        <v>329</v>
      </c>
      <c r="AK213" s="1" t="s">
        <v>390</v>
      </c>
      <c r="AL213" s="1">
        <v>0</v>
      </c>
      <c r="AM213" s="54" t="s">
        <v>413</v>
      </c>
      <c r="AO213" s="1" t="s">
        <v>321</v>
      </c>
      <c r="AP213" s="1" t="s">
        <v>390</v>
      </c>
      <c r="AQ213" s="1">
        <v>0</v>
      </c>
      <c r="AR213" s="54" t="s">
        <v>413</v>
      </c>
      <c r="AT213" s="1" t="s">
        <v>320</v>
      </c>
      <c r="AU213" s="1" t="s">
        <v>390</v>
      </c>
      <c r="AV213" s="1">
        <v>0</v>
      </c>
      <c r="AW213" s="54" t="s">
        <v>413</v>
      </c>
      <c r="AY213" s="1" t="s">
        <v>318</v>
      </c>
      <c r="AZ213" s="1" t="s">
        <v>390</v>
      </c>
      <c r="BA213" s="1">
        <v>0</v>
      </c>
      <c r="BB213" s="54" t="s">
        <v>413</v>
      </c>
    </row>
    <row r="214" ht="15.5" spans="21:54">
      <c r="U214" s="1" t="s">
        <v>323</v>
      </c>
      <c r="V214" s="1" t="s">
        <v>391</v>
      </c>
      <c r="W214" s="1">
        <v>0</v>
      </c>
      <c r="X214" s="54" t="s">
        <v>413</v>
      </c>
      <c r="Z214" s="1" t="s">
        <v>325</v>
      </c>
      <c r="AA214" s="1" t="s">
        <v>391</v>
      </c>
      <c r="AB214" s="1">
        <v>0</v>
      </c>
      <c r="AC214" s="54" t="s">
        <v>413</v>
      </c>
      <c r="AE214" s="1" t="s">
        <v>327</v>
      </c>
      <c r="AF214" s="1" t="s">
        <v>391</v>
      </c>
      <c r="AG214" s="1">
        <v>0</v>
      </c>
      <c r="AH214" s="54" t="s">
        <v>413</v>
      </c>
      <c r="AJ214" s="1" t="s">
        <v>329</v>
      </c>
      <c r="AK214" s="1" t="s">
        <v>391</v>
      </c>
      <c r="AL214" s="1">
        <v>0</v>
      </c>
      <c r="AM214" s="54" t="s">
        <v>413</v>
      </c>
      <c r="AO214" s="1" t="s">
        <v>321</v>
      </c>
      <c r="AP214" s="1" t="s">
        <v>391</v>
      </c>
      <c r="AQ214" s="1">
        <v>0</v>
      </c>
      <c r="AR214" s="54" t="s">
        <v>413</v>
      </c>
      <c r="AT214" s="1" t="s">
        <v>320</v>
      </c>
      <c r="AU214" s="1" t="s">
        <v>391</v>
      </c>
      <c r="AV214" s="1">
        <v>0</v>
      </c>
      <c r="AW214" s="54" t="s">
        <v>413</v>
      </c>
      <c r="AY214" s="1" t="s">
        <v>318</v>
      </c>
      <c r="AZ214" s="1" t="s">
        <v>391</v>
      </c>
      <c r="BA214" s="1">
        <v>0</v>
      </c>
      <c r="BB214" s="54" t="s">
        <v>413</v>
      </c>
    </row>
    <row r="215" ht="15.5" spans="21:54">
      <c r="U215" s="1" t="s">
        <v>323</v>
      </c>
      <c r="V215" s="1" t="s">
        <v>392</v>
      </c>
      <c r="W215" s="1">
        <v>0</v>
      </c>
      <c r="X215" s="54" t="s">
        <v>413</v>
      </c>
      <c r="Z215" s="1" t="s">
        <v>325</v>
      </c>
      <c r="AA215" s="1" t="s">
        <v>392</v>
      </c>
      <c r="AB215" s="1">
        <v>0</v>
      </c>
      <c r="AC215" s="54" t="s">
        <v>413</v>
      </c>
      <c r="AE215" s="1" t="s">
        <v>327</v>
      </c>
      <c r="AF215" s="1" t="s">
        <v>392</v>
      </c>
      <c r="AG215" s="1">
        <v>0</v>
      </c>
      <c r="AH215" s="54" t="s">
        <v>413</v>
      </c>
      <c r="AJ215" s="1" t="s">
        <v>329</v>
      </c>
      <c r="AK215" s="1" t="s">
        <v>392</v>
      </c>
      <c r="AL215" s="1">
        <v>0</v>
      </c>
      <c r="AM215" s="54" t="s">
        <v>413</v>
      </c>
      <c r="AO215" s="1" t="s">
        <v>321</v>
      </c>
      <c r="AP215" s="1" t="s">
        <v>392</v>
      </c>
      <c r="AQ215" s="1">
        <v>0</v>
      </c>
      <c r="AR215" s="54" t="s">
        <v>413</v>
      </c>
      <c r="AT215" s="1" t="s">
        <v>320</v>
      </c>
      <c r="AU215" s="1" t="s">
        <v>392</v>
      </c>
      <c r="AV215" s="1">
        <v>0</v>
      </c>
      <c r="AW215" s="54" t="s">
        <v>413</v>
      </c>
      <c r="AY215" s="1" t="s">
        <v>318</v>
      </c>
      <c r="AZ215" s="1" t="s">
        <v>392</v>
      </c>
      <c r="BA215" s="1">
        <v>0</v>
      </c>
      <c r="BB215" s="54" t="s">
        <v>413</v>
      </c>
    </row>
    <row r="221" spans="21:54">
      <c r="V221" s="1" t="s">
        <v>388</v>
      </c>
      <c r="AA221" s="1" t="s">
        <v>388</v>
      </c>
      <c r="AF221" s="1" t="s">
        <v>388</v>
      </c>
      <c r="AK221" s="1" t="s">
        <v>388</v>
      </c>
      <c r="AP221" s="1" t="s">
        <v>388</v>
      </c>
      <c r="AU221" s="1" t="s">
        <v>388</v>
      </c>
      <c r="AZ221" s="1" t="s">
        <v>388</v>
      </c>
    </row>
    <row r="222" ht="15.5" spans="21:54">
      <c r="U222" s="1" t="s">
        <v>66</v>
      </c>
      <c r="V222" s="1" t="s">
        <v>172</v>
      </c>
      <c r="W222" s="1" t="s">
        <v>25</v>
      </c>
      <c r="X222" s="54" t="s">
        <v>41</v>
      </c>
      <c r="Z222" s="1" t="s">
        <v>66</v>
      </c>
      <c r="AA222" s="1" t="s">
        <v>172</v>
      </c>
      <c r="AB222" s="1" t="s">
        <v>25</v>
      </c>
      <c r="AC222" s="54" t="s">
        <v>41</v>
      </c>
      <c r="AE222" s="1" t="s">
        <v>66</v>
      </c>
      <c r="AF222" s="1" t="s">
        <v>172</v>
      </c>
      <c r="AG222" s="1" t="s">
        <v>25</v>
      </c>
      <c r="AH222" s="54" t="s">
        <v>41</v>
      </c>
      <c r="AJ222" s="1" t="s">
        <v>66</v>
      </c>
      <c r="AK222" s="1" t="s">
        <v>172</v>
      </c>
      <c r="AL222" s="1" t="s">
        <v>25</v>
      </c>
      <c r="AM222" s="54" t="s">
        <v>41</v>
      </c>
      <c r="AO222" s="1" t="s">
        <v>66</v>
      </c>
      <c r="AP222" s="1" t="s">
        <v>172</v>
      </c>
      <c r="AQ222" s="1" t="s">
        <v>25</v>
      </c>
      <c r="AR222" s="54" t="s">
        <v>41</v>
      </c>
      <c r="AT222" s="1" t="s">
        <v>66</v>
      </c>
      <c r="AU222" s="1" t="s">
        <v>172</v>
      </c>
      <c r="AV222" s="1" t="s">
        <v>25</v>
      </c>
      <c r="AW222" s="54" t="s">
        <v>41</v>
      </c>
      <c r="AY222" s="1" t="s">
        <v>66</v>
      </c>
      <c r="AZ222" s="1" t="s">
        <v>172</v>
      </c>
      <c r="BA222" s="1" t="s">
        <v>25</v>
      </c>
      <c r="BB222" s="54" t="s">
        <v>41</v>
      </c>
    </row>
    <row r="223" ht="15.5" spans="21:54">
      <c r="U223" s="1" t="s">
        <v>336</v>
      </c>
      <c r="V223" s="1" t="s">
        <v>389</v>
      </c>
      <c r="W223" s="1">
        <f xml:space="preserve">SUM(W185:W188)</f>
        <v>0.105086744146876</v>
      </c>
      <c r="X223" s="54" t="s">
        <v>413</v>
      </c>
      <c r="Z223" s="1" t="s">
        <v>338</v>
      </c>
      <c r="AA223" s="1" t="s">
        <v>389</v>
      </c>
      <c r="AB223" s="1">
        <f xml:space="preserve">SUM(AB185:AB188)</f>
        <v>0.103319076133447</v>
      </c>
      <c r="AC223" s="54" t="s">
        <v>413</v>
      </c>
      <c r="AE223" s="1" t="s">
        <v>340</v>
      </c>
      <c r="AF223" s="1" t="s">
        <v>389</v>
      </c>
      <c r="AG223" s="1">
        <f xml:space="preserve">SUM(AG185:AG188)</f>
        <v>0.107497757847534</v>
      </c>
      <c r="AH223" s="54" t="s">
        <v>413</v>
      </c>
      <c r="AJ223" s="1" t="s">
        <v>341</v>
      </c>
      <c r="AK223" s="1" t="s">
        <v>389</v>
      </c>
      <c r="AL223" s="1">
        <f xml:space="preserve">SUM(AL185:AL188)</f>
        <v>0.108965125094769</v>
      </c>
      <c r="AM223" s="54" t="s">
        <v>413</v>
      </c>
      <c r="AO223" s="1" t="s">
        <v>335</v>
      </c>
      <c r="AP223" s="1" t="s">
        <v>389</v>
      </c>
      <c r="AQ223" s="1">
        <f xml:space="preserve">SUM(AQ185:AQ188)</f>
        <v>0.109416371433899</v>
      </c>
      <c r="AR223" s="54" t="s">
        <v>413</v>
      </c>
      <c r="AT223" s="1" t="s">
        <v>333</v>
      </c>
      <c r="AU223" s="1" t="s">
        <v>389</v>
      </c>
      <c r="AV223" s="1">
        <f xml:space="preserve">SUM(AV185:AV188)</f>
        <v>0.0901881113619263</v>
      </c>
      <c r="AW223" s="54" t="s">
        <v>413</v>
      </c>
      <c r="AY223" s="1" t="s">
        <v>331</v>
      </c>
      <c r="AZ223" s="1" t="s">
        <v>389</v>
      </c>
      <c r="BA223" s="1">
        <f xml:space="preserve">SUM(BA185:BA188)</f>
        <v>0.105995755217545</v>
      </c>
      <c r="BB223" s="54" t="s">
        <v>413</v>
      </c>
    </row>
    <row r="224" ht="15.5" spans="21:54">
      <c r="U224" s="1" t="s">
        <v>336</v>
      </c>
      <c r="V224" s="1" t="s">
        <v>390</v>
      </c>
      <c r="W224" s="1">
        <v>0</v>
      </c>
      <c r="X224" s="54" t="s">
        <v>413</v>
      </c>
      <c r="Z224" s="1" t="s">
        <v>338</v>
      </c>
      <c r="AA224" s="1" t="s">
        <v>390</v>
      </c>
      <c r="AB224" s="1">
        <v>0</v>
      </c>
      <c r="AC224" s="54" t="s">
        <v>413</v>
      </c>
      <c r="AE224" s="1" t="s">
        <v>340</v>
      </c>
      <c r="AF224" s="1" t="s">
        <v>390</v>
      </c>
      <c r="AG224" s="1">
        <v>0</v>
      </c>
      <c r="AH224" s="54" t="s">
        <v>413</v>
      </c>
      <c r="AJ224" s="1" t="s">
        <v>341</v>
      </c>
      <c r="AK224" s="1" t="s">
        <v>390</v>
      </c>
      <c r="AL224" s="1">
        <v>0</v>
      </c>
      <c r="AM224" s="54" t="s">
        <v>413</v>
      </c>
      <c r="AO224" s="1" t="s">
        <v>335</v>
      </c>
      <c r="AP224" s="1" t="s">
        <v>390</v>
      </c>
      <c r="AQ224" s="1">
        <v>0</v>
      </c>
      <c r="AR224" s="54" t="s">
        <v>413</v>
      </c>
      <c r="AT224" s="1" t="s">
        <v>333</v>
      </c>
      <c r="AU224" s="1" t="s">
        <v>390</v>
      </c>
      <c r="AV224" s="1">
        <v>0</v>
      </c>
      <c r="AW224" s="54" t="s">
        <v>413</v>
      </c>
      <c r="AY224" s="1" t="s">
        <v>331</v>
      </c>
      <c r="AZ224" s="1" t="s">
        <v>390</v>
      </c>
      <c r="BA224" s="1">
        <v>0</v>
      </c>
      <c r="BB224" s="54" t="s">
        <v>413</v>
      </c>
    </row>
    <row r="225" ht="15.5" spans="21:54">
      <c r="U225" s="1" t="s">
        <v>336</v>
      </c>
      <c r="V225" s="1" t="s">
        <v>391</v>
      </c>
      <c r="W225" s="1">
        <v>0</v>
      </c>
      <c r="X225" s="54" t="s">
        <v>413</v>
      </c>
      <c r="Z225" s="1" t="s">
        <v>338</v>
      </c>
      <c r="AA225" s="1" t="s">
        <v>391</v>
      </c>
      <c r="AB225" s="1">
        <v>0</v>
      </c>
      <c r="AC225" s="54" t="s">
        <v>413</v>
      </c>
      <c r="AE225" s="1" t="s">
        <v>340</v>
      </c>
      <c r="AF225" s="1" t="s">
        <v>391</v>
      </c>
      <c r="AG225" s="1">
        <v>0</v>
      </c>
      <c r="AH225" s="54" t="s">
        <v>413</v>
      </c>
      <c r="AJ225" s="1" t="s">
        <v>341</v>
      </c>
      <c r="AK225" s="1" t="s">
        <v>391</v>
      </c>
      <c r="AL225" s="1">
        <v>0</v>
      </c>
      <c r="AM225" s="54" t="s">
        <v>413</v>
      </c>
      <c r="AO225" s="1" t="s">
        <v>335</v>
      </c>
      <c r="AP225" s="1" t="s">
        <v>391</v>
      </c>
      <c r="AQ225" s="1">
        <v>0</v>
      </c>
      <c r="AR225" s="54" t="s">
        <v>413</v>
      </c>
      <c r="AT225" s="1" t="s">
        <v>333</v>
      </c>
      <c r="AU225" s="1" t="s">
        <v>391</v>
      </c>
      <c r="AV225" s="1">
        <v>0</v>
      </c>
      <c r="AW225" s="54" t="s">
        <v>413</v>
      </c>
      <c r="AY225" s="1" t="s">
        <v>331</v>
      </c>
      <c r="AZ225" s="1" t="s">
        <v>391</v>
      </c>
      <c r="BA225" s="1">
        <v>0</v>
      </c>
      <c r="BB225" s="54" t="s">
        <v>413</v>
      </c>
    </row>
    <row r="226" ht="15.5" spans="21:54">
      <c r="U226" s="1" t="s">
        <v>336</v>
      </c>
      <c r="V226" s="1" t="s">
        <v>392</v>
      </c>
      <c r="W226" s="1">
        <v>0</v>
      </c>
      <c r="X226" s="54" t="s">
        <v>413</v>
      </c>
      <c r="Z226" s="1" t="s">
        <v>338</v>
      </c>
      <c r="AA226" s="1" t="s">
        <v>392</v>
      </c>
      <c r="AB226" s="1">
        <v>0</v>
      </c>
      <c r="AC226" s="54" t="s">
        <v>413</v>
      </c>
      <c r="AE226" s="1" t="s">
        <v>340</v>
      </c>
      <c r="AF226" s="1" t="s">
        <v>392</v>
      </c>
      <c r="AG226" s="1">
        <v>0</v>
      </c>
      <c r="AH226" s="54" t="s">
        <v>413</v>
      </c>
      <c r="AJ226" s="1" t="s">
        <v>341</v>
      </c>
      <c r="AK226" s="1" t="s">
        <v>392</v>
      </c>
      <c r="AL226" s="1">
        <v>0</v>
      </c>
      <c r="AM226" s="54" t="s">
        <v>413</v>
      </c>
      <c r="AO226" s="1" t="s">
        <v>335</v>
      </c>
      <c r="AP226" s="1" t="s">
        <v>392</v>
      </c>
      <c r="AQ226" s="1">
        <v>0</v>
      </c>
      <c r="AR226" s="54" t="s">
        <v>413</v>
      </c>
      <c r="AT226" s="1" t="s">
        <v>333</v>
      </c>
      <c r="AU226" s="1" t="s">
        <v>392</v>
      </c>
      <c r="AV226" s="1">
        <v>0</v>
      </c>
      <c r="AW226" s="54" t="s">
        <v>413</v>
      </c>
      <c r="AY226" s="1" t="s">
        <v>331</v>
      </c>
      <c r="AZ226" s="1" t="s">
        <v>392</v>
      </c>
      <c r="BA226" s="1">
        <v>0</v>
      </c>
      <c r="BB226" s="54" t="s">
        <v>413</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226"/>
  <sheetViews>
    <sheetView zoomScale="44" zoomScaleNormal="44" topLeftCell="D125" workbookViewId="0">
      <selection activeCell="X163" sqref="X163"/>
    </sheetView>
  </sheetViews>
  <sheetFormatPr defaultColWidth="8.72727272727273" defaultRowHeight="14.5"/>
  <cols>
    <col min="1" max="1" width="8.71818181818182" style="1"/>
    <col min="2" max="2" width="43.8545454545455" style="1" customWidth="1"/>
    <col min="3" max="20" width="8.71818181818182" style="1"/>
    <col min="21" max="21" width="19.2818181818182" style="1" customWidth="1"/>
    <col min="22" max="22" width="25.5727272727273" style="1" customWidth="1"/>
    <col min="23" max="23" width="19.8545454545455" style="1" customWidth="1"/>
    <col min="24" max="29" width="15.2818181818182" style="1"/>
    <col min="30" max="30" width="8.71818181818182" style="1"/>
    <col min="31" max="31" width="14" style="1"/>
    <col min="32" max="38" width="15.2818181818182" style="1"/>
    <col min="39" max="40" width="14" style="1"/>
    <col min="41" max="47" width="15.2818181818182" style="1"/>
    <col min="48" max="53" width="14" style="1"/>
    <col min="54" max="67" width="8.71818181818182" style="1"/>
    <col min="68" max="16384" width="8.71818181818182" style="4"/>
  </cols>
  <sheetData>
    <row r="1" ht="15.5" spans="1:67">
      <c r="A1" s="35" t="s">
        <v>414</v>
      </c>
      <c r="B1" s="35"/>
      <c r="C1" s="35"/>
      <c r="D1" s="35"/>
      <c r="E1" s="35"/>
      <c r="F1" s="35"/>
      <c r="G1" s="35"/>
      <c r="H1" s="35"/>
      <c r="I1" s="35"/>
      <c r="J1" s="35"/>
      <c r="K1" s="36"/>
      <c r="L1" s="36" t="s">
        <v>415</v>
      </c>
      <c r="M1" s="36"/>
      <c r="N1" s="36"/>
      <c r="O1" s="36"/>
      <c r="P1" s="36"/>
      <c r="Q1" s="36"/>
      <c r="R1" s="36"/>
      <c r="S1" s="36"/>
      <c r="T1" s="36"/>
      <c r="U1" s="36"/>
      <c r="V1" s="36"/>
      <c r="W1" s="36" t="s">
        <v>416</v>
      </c>
      <c r="X1" s="36"/>
      <c r="Y1" s="36"/>
      <c r="Z1" s="36"/>
      <c r="AA1" s="36"/>
      <c r="AB1" s="37" t="s">
        <v>417</v>
      </c>
      <c r="AC1" s="37"/>
      <c r="AD1" s="36"/>
      <c r="AE1" s="36"/>
      <c r="AF1" s="36" t="s">
        <v>418</v>
      </c>
      <c r="AG1" s="36"/>
      <c r="AH1" s="36"/>
      <c r="AI1" s="36"/>
      <c r="AJ1" s="36"/>
      <c r="AK1" s="36"/>
      <c r="AL1" s="36"/>
      <c r="AM1" s="36"/>
      <c r="AN1" s="36"/>
      <c r="AO1" s="36" t="s">
        <v>419</v>
      </c>
      <c r="AP1" s="36"/>
      <c r="AQ1" s="36"/>
      <c r="AR1" s="36"/>
      <c r="AS1" s="36"/>
      <c r="AT1" s="36"/>
      <c r="AU1" s="36"/>
      <c r="AZ1" s="35" t="s">
        <v>414</v>
      </c>
      <c r="BA1" s="35"/>
      <c r="BB1" s="35"/>
      <c r="BC1" s="35"/>
      <c r="BD1" s="35"/>
      <c r="BE1" s="35"/>
      <c r="BF1" s="35"/>
      <c r="BG1" s="35"/>
      <c r="BH1" s="35"/>
      <c r="BI1" s="35"/>
      <c r="BJ1" s="36"/>
      <c r="BK1" s="36"/>
      <c r="BL1" s="36"/>
      <c r="BM1" s="36"/>
      <c r="BN1" s="36"/>
      <c r="BO1" s="36"/>
    </row>
    <row r="2" ht="30" spans="1:67">
      <c r="A2" s="35" t="s">
        <v>394</v>
      </c>
      <c r="B2" s="35" t="s">
        <v>420</v>
      </c>
      <c r="C2" s="35" t="s">
        <v>396</v>
      </c>
      <c r="D2" s="35"/>
      <c r="E2" s="35"/>
      <c r="F2" s="35"/>
      <c r="G2" s="35"/>
      <c r="H2" s="35"/>
      <c r="I2" s="35"/>
      <c r="J2" s="35"/>
      <c r="K2" s="36"/>
      <c r="L2" s="36"/>
      <c r="M2" s="36"/>
      <c r="N2" s="36"/>
      <c r="O2" s="36"/>
      <c r="P2" s="36"/>
      <c r="Q2" s="36"/>
      <c r="R2" s="36"/>
      <c r="S2" s="36"/>
      <c r="T2" s="36"/>
      <c r="U2" s="36"/>
      <c r="V2" s="38" t="s">
        <v>421</v>
      </c>
      <c r="W2" s="36"/>
      <c r="X2" s="36"/>
      <c r="Y2" s="36"/>
      <c r="Z2" s="36"/>
      <c r="AA2" s="36"/>
      <c r="AB2" s="36"/>
      <c r="AC2" s="36"/>
      <c r="AD2" s="36"/>
      <c r="AE2" s="36"/>
      <c r="AF2" s="36"/>
      <c r="AG2" s="36"/>
      <c r="AH2" s="36"/>
      <c r="AI2" s="36"/>
      <c r="AJ2" s="36"/>
      <c r="AK2" s="36"/>
      <c r="AL2" s="36"/>
      <c r="AM2" s="36"/>
      <c r="AN2" s="36"/>
      <c r="AO2" s="36"/>
      <c r="AP2" s="36"/>
      <c r="AQ2" s="36"/>
      <c r="AR2" s="36"/>
      <c r="AS2" s="36"/>
      <c r="AT2" s="36"/>
      <c r="AU2" s="36"/>
      <c r="AZ2" s="35" t="s">
        <v>394</v>
      </c>
      <c r="BA2" s="35" t="s">
        <v>420</v>
      </c>
      <c r="BB2" s="35" t="s">
        <v>396</v>
      </c>
      <c r="BC2" s="35"/>
      <c r="BD2" s="35"/>
      <c r="BE2" s="35"/>
      <c r="BF2" s="35"/>
      <c r="BG2" s="35"/>
      <c r="BH2" s="35"/>
      <c r="BI2" s="35"/>
      <c r="BJ2" s="36"/>
      <c r="BK2" s="36"/>
      <c r="BL2" s="36"/>
      <c r="BM2" s="36"/>
      <c r="BN2" s="36"/>
      <c r="BO2" s="36"/>
    </row>
    <row r="3" ht="30" spans="1:67">
      <c r="A3" s="35"/>
      <c r="B3" s="35"/>
      <c r="C3" s="39" t="s">
        <v>397</v>
      </c>
      <c r="D3" s="36" t="s">
        <v>398</v>
      </c>
      <c r="E3" s="36" t="s">
        <v>399</v>
      </c>
      <c r="F3" s="40" t="s">
        <v>400</v>
      </c>
      <c r="G3" s="36" t="s">
        <v>401</v>
      </c>
      <c r="H3" s="36" t="s">
        <v>402</v>
      </c>
      <c r="I3" s="36" t="s">
        <v>403</v>
      </c>
      <c r="J3" s="36" t="s">
        <v>404</v>
      </c>
      <c r="K3" s="36"/>
      <c r="L3" s="41" t="s">
        <v>397</v>
      </c>
      <c r="M3" s="36" t="s">
        <v>398</v>
      </c>
      <c r="N3" s="36" t="s">
        <v>399</v>
      </c>
      <c r="O3" s="36" t="s">
        <v>400</v>
      </c>
      <c r="P3" s="36" t="s">
        <v>401</v>
      </c>
      <c r="Q3" s="36" t="s">
        <v>402</v>
      </c>
      <c r="R3" s="36" t="s">
        <v>403</v>
      </c>
      <c r="S3" s="36" t="s">
        <v>404</v>
      </c>
      <c r="T3" s="36"/>
      <c r="U3" s="36"/>
      <c r="V3" s="38" t="s">
        <v>422</v>
      </c>
      <c r="W3" s="36" t="s">
        <v>398</v>
      </c>
      <c r="X3" s="36" t="s">
        <v>399</v>
      </c>
      <c r="Y3" s="40" t="s">
        <v>400</v>
      </c>
      <c r="Z3" s="36" t="s">
        <v>401</v>
      </c>
      <c r="AA3" s="36" t="s">
        <v>402</v>
      </c>
      <c r="AB3" s="42" t="s">
        <v>403</v>
      </c>
      <c r="AC3" s="42" t="s">
        <v>404</v>
      </c>
      <c r="AD3" s="36"/>
      <c r="AE3" s="36"/>
      <c r="AF3" s="36" t="s">
        <v>398</v>
      </c>
      <c r="AG3" s="36" t="s">
        <v>399</v>
      </c>
      <c r="AH3" s="40" t="s">
        <v>400</v>
      </c>
      <c r="AI3" s="36" t="s">
        <v>401</v>
      </c>
      <c r="AJ3" s="36" t="s">
        <v>402</v>
      </c>
      <c r="AK3" s="42" t="s">
        <v>403</v>
      </c>
      <c r="AL3" s="42" t="s">
        <v>404</v>
      </c>
      <c r="AM3" s="36"/>
      <c r="AN3" s="36"/>
      <c r="AO3" s="36" t="s">
        <v>398</v>
      </c>
      <c r="AP3" s="36" t="s">
        <v>399</v>
      </c>
      <c r="AQ3" s="40" t="s">
        <v>400</v>
      </c>
      <c r="AR3" s="36" t="s">
        <v>401</v>
      </c>
      <c r="AS3" s="36" t="s">
        <v>402</v>
      </c>
      <c r="AT3" s="42" t="s">
        <v>403</v>
      </c>
      <c r="AU3" s="42" t="s">
        <v>404</v>
      </c>
      <c r="AZ3" s="35"/>
      <c r="BA3" s="35"/>
      <c r="BB3" s="39" t="s">
        <v>397</v>
      </c>
      <c r="BC3" s="36" t="s">
        <v>398</v>
      </c>
      <c r="BD3" s="36" t="s">
        <v>399</v>
      </c>
      <c r="BE3" s="40" t="s">
        <v>400</v>
      </c>
      <c r="BF3" s="36" t="s">
        <v>401</v>
      </c>
      <c r="BG3" s="36" t="s">
        <v>402</v>
      </c>
      <c r="BH3" s="36" t="s">
        <v>403</v>
      </c>
      <c r="BI3" s="36" t="s">
        <v>404</v>
      </c>
      <c r="BJ3" s="36"/>
      <c r="BK3" s="41"/>
      <c r="BL3" s="36"/>
      <c r="BM3" s="36"/>
      <c r="BN3" s="36"/>
      <c r="BO3" s="36"/>
    </row>
    <row r="4" ht="15.5" spans="1:67">
      <c r="A4" s="35" t="s">
        <v>405</v>
      </c>
      <c r="B4" s="43" t="s">
        <v>406</v>
      </c>
      <c r="C4" s="44">
        <f t="shared" ref="C4:J4" si="0" xml:space="preserve">BB4/1000</f>
        <v>0.8374</v>
      </c>
      <c r="D4" s="44">
        <f t="shared" si="0"/>
        <v>0.8081</v>
      </c>
      <c r="E4" s="44">
        <f t="shared" si="0"/>
        <v>0.7705</v>
      </c>
      <c r="F4" s="44">
        <f t="shared" si="0"/>
        <v>0.76</v>
      </c>
      <c r="G4" s="44">
        <f t="shared" si="0"/>
        <v>0.7551</v>
      </c>
      <c r="H4" s="44">
        <f t="shared" si="0"/>
        <v>0.796</v>
      </c>
      <c r="I4" s="44">
        <f t="shared" si="0"/>
        <v>0.76</v>
      </c>
      <c r="J4" s="44">
        <f t="shared" si="0"/>
        <v>0.76</v>
      </c>
      <c r="K4" s="36"/>
      <c r="L4" s="41"/>
      <c r="M4" s="45">
        <v>5.937</v>
      </c>
      <c r="N4" s="45">
        <v>5.845</v>
      </c>
      <c r="O4" s="45">
        <v>5.575</v>
      </c>
      <c r="P4" s="45">
        <v>5.276</v>
      </c>
      <c r="Q4" s="45">
        <v>5.363</v>
      </c>
      <c r="R4" s="45">
        <v>6.645</v>
      </c>
      <c r="S4" s="45">
        <v>5.654</v>
      </c>
      <c r="T4" s="45"/>
      <c r="U4" s="35" t="s">
        <v>405</v>
      </c>
      <c r="V4" s="43" t="s">
        <v>406</v>
      </c>
      <c r="W4" s="46">
        <f t="shared" ref="W4:AC4" si="1" xml:space="preserve">D4/M4</f>
        <v>0.136112514738083</v>
      </c>
      <c r="X4" s="46">
        <f t="shared" si="1"/>
        <v>0.131822070145423</v>
      </c>
      <c r="Y4" s="46">
        <f t="shared" si="1"/>
        <v>0.136322869955157</v>
      </c>
      <c r="Z4" s="46">
        <f t="shared" si="1"/>
        <v>0.143119787717968</v>
      </c>
      <c r="AA4" s="46">
        <f t="shared" si="1"/>
        <v>0.148424389334328</v>
      </c>
      <c r="AB4" s="47">
        <f t="shared" si="1"/>
        <v>0.114371708051166</v>
      </c>
      <c r="AC4" s="47">
        <f t="shared" si="1"/>
        <v>0.134418111071808</v>
      </c>
      <c r="AD4" s="36"/>
      <c r="AE4" s="36"/>
      <c r="AF4" s="46">
        <f t="shared" ref="AF4:AF12" si="2" xml:space="preserve">W4</f>
        <v>0.136112514738083</v>
      </c>
      <c r="AG4" s="46">
        <f t="shared" ref="AG4:AG12" si="3" xml:space="preserve">X4</f>
        <v>0.131822070145423</v>
      </c>
      <c r="AH4" s="46">
        <f t="shared" ref="AH4:AH12" si="4" xml:space="preserve">Y4</f>
        <v>0.136322869955157</v>
      </c>
      <c r="AI4" s="46">
        <f t="shared" ref="AI4:AI12" si="5" xml:space="preserve">Z4</f>
        <v>0.143119787717968</v>
      </c>
      <c r="AJ4" s="46">
        <f t="shared" ref="AJ4:AJ12" si="6" xml:space="preserve">AA4</f>
        <v>0.148424389334328</v>
      </c>
      <c r="AK4" s="48">
        <f t="shared" ref="AK4:AK12" si="7" xml:space="preserve">AB4*1.15</f>
        <v>0.131527464258841</v>
      </c>
      <c r="AL4" s="48">
        <f t="shared" ref="AL4:AL12" si="8" xml:space="preserve">AC4*1.15</f>
        <v>0.154580827732579</v>
      </c>
      <c r="AM4" s="36"/>
      <c r="AN4" s="36"/>
      <c r="AO4" s="46">
        <f t="shared" ref="AO4:AO12" si="9" xml:space="preserve">W4</f>
        <v>0.136112514738083</v>
      </c>
      <c r="AP4" s="46">
        <f t="shared" ref="AP4:AP12" si="10" xml:space="preserve">X4</f>
        <v>0.131822070145423</v>
      </c>
      <c r="AQ4" s="46">
        <f t="shared" ref="AQ4:AQ12" si="11" xml:space="preserve">Y4</f>
        <v>0.136322869955157</v>
      </c>
      <c r="AR4" s="46">
        <f t="shared" ref="AR4:AR12" si="12" xml:space="preserve">Z4</f>
        <v>0.143119787717968</v>
      </c>
      <c r="AS4" s="46">
        <f t="shared" ref="AS4:AS12" si="13" xml:space="preserve">AA4</f>
        <v>0.148424389334328</v>
      </c>
      <c r="AT4" s="48">
        <f t="shared" ref="AT4:AT12" si="14" xml:space="preserve">AB4*0.85</f>
        <v>0.0972159518434914</v>
      </c>
      <c r="AU4" s="48">
        <f t="shared" ref="AU4:AU12" si="15" xml:space="preserve">AC4*0.85</f>
        <v>0.114255394411036</v>
      </c>
      <c r="AZ4" s="35" t="s">
        <v>405</v>
      </c>
      <c r="BA4" s="43" t="s">
        <v>406</v>
      </c>
      <c r="BB4" s="44">
        <v>837.4</v>
      </c>
      <c r="BC4" s="46">
        <v>808.1</v>
      </c>
      <c r="BD4" s="46">
        <v>770.5</v>
      </c>
      <c r="BE4" s="46">
        <v>760</v>
      </c>
      <c r="BF4" s="46">
        <v>755.1</v>
      </c>
      <c r="BG4" s="46">
        <v>796</v>
      </c>
      <c r="BH4" s="46">
        <v>760</v>
      </c>
      <c r="BI4" s="46">
        <v>760</v>
      </c>
      <c r="BJ4" s="36"/>
      <c r="BK4" s="41"/>
      <c r="BL4" s="45"/>
      <c r="BM4" s="45"/>
      <c r="BN4" s="45"/>
      <c r="BO4" s="45"/>
    </row>
    <row r="5" ht="15.5" spans="1:67">
      <c r="A5" s="35"/>
      <c r="B5" s="43" t="s">
        <v>407</v>
      </c>
      <c r="C5" s="44">
        <f t="shared" ref="C5:J5" si="16" xml:space="preserve">BB5/1000</f>
        <v>0.7701</v>
      </c>
      <c r="D5" s="44">
        <f t="shared" si="16"/>
        <v>0.7457</v>
      </c>
      <c r="E5" s="44">
        <f t="shared" si="16"/>
        <v>0.7115</v>
      </c>
      <c r="F5" s="44">
        <f t="shared" si="16"/>
        <v>0.7021</v>
      </c>
      <c r="G5" s="44">
        <f t="shared" si="16"/>
        <v>0.6948</v>
      </c>
      <c r="H5" s="44">
        <f t="shared" si="16"/>
        <v>0.7338</v>
      </c>
      <c r="I5" s="44">
        <f t="shared" si="16"/>
        <v>0.7021</v>
      </c>
      <c r="J5" s="44">
        <f t="shared" si="16"/>
        <v>0.7021</v>
      </c>
      <c r="K5" s="36"/>
      <c r="L5" s="36"/>
      <c r="M5" s="49">
        <v>5.937</v>
      </c>
      <c r="N5" s="49">
        <v>5.845</v>
      </c>
      <c r="O5" s="49">
        <v>5.575</v>
      </c>
      <c r="P5" s="49">
        <v>5.276</v>
      </c>
      <c r="Q5" s="49">
        <v>5.363</v>
      </c>
      <c r="R5" s="49">
        <v>6.645</v>
      </c>
      <c r="S5" s="49">
        <v>5.654</v>
      </c>
      <c r="T5" s="49"/>
      <c r="U5" s="35"/>
      <c r="V5" s="43" t="s">
        <v>407</v>
      </c>
      <c r="W5" s="46">
        <f t="shared" ref="W5:AC5" si="17" xml:space="preserve">D5/M5</f>
        <v>0.125602155971029</v>
      </c>
      <c r="X5" s="46">
        <f t="shared" si="17"/>
        <v>0.121727972626176</v>
      </c>
      <c r="Y5" s="46">
        <f t="shared" si="17"/>
        <v>0.125937219730942</v>
      </c>
      <c r="Z5" s="46">
        <f t="shared" si="17"/>
        <v>0.131690674753601</v>
      </c>
      <c r="AA5" s="46">
        <f t="shared" si="17"/>
        <v>0.136826403132575</v>
      </c>
      <c r="AB5" s="47">
        <f t="shared" si="17"/>
        <v>0.105658389766742</v>
      </c>
      <c r="AC5" s="47">
        <f t="shared" si="17"/>
        <v>0.124177573399363</v>
      </c>
      <c r="AD5" s="36"/>
      <c r="AE5" s="36"/>
      <c r="AF5" s="46">
        <f t="shared" si="2"/>
        <v>0.125602155971029</v>
      </c>
      <c r="AG5" s="46">
        <f t="shared" si="3"/>
        <v>0.121727972626176</v>
      </c>
      <c r="AH5" s="46">
        <f t="shared" si="4"/>
        <v>0.125937219730942</v>
      </c>
      <c r="AI5" s="46">
        <f t="shared" si="5"/>
        <v>0.131690674753601</v>
      </c>
      <c r="AJ5" s="46">
        <f t="shared" si="6"/>
        <v>0.136826403132575</v>
      </c>
      <c r="AK5" s="48">
        <f t="shared" si="7"/>
        <v>0.121507148231753</v>
      </c>
      <c r="AL5" s="48">
        <f t="shared" si="8"/>
        <v>0.142804209409268</v>
      </c>
      <c r="AM5" s="36"/>
      <c r="AN5" s="36"/>
      <c r="AO5" s="46">
        <f t="shared" si="9"/>
        <v>0.125602155971029</v>
      </c>
      <c r="AP5" s="46">
        <f t="shared" si="10"/>
        <v>0.121727972626176</v>
      </c>
      <c r="AQ5" s="46">
        <f t="shared" si="11"/>
        <v>0.125937219730942</v>
      </c>
      <c r="AR5" s="46">
        <f t="shared" si="12"/>
        <v>0.131690674753601</v>
      </c>
      <c r="AS5" s="46">
        <f t="shared" si="13"/>
        <v>0.136826403132575</v>
      </c>
      <c r="AT5" s="48">
        <f t="shared" si="14"/>
        <v>0.0898096313017306</v>
      </c>
      <c r="AU5" s="48">
        <f t="shared" si="15"/>
        <v>0.105550937389459</v>
      </c>
      <c r="AZ5" s="35"/>
      <c r="BA5" s="43" t="s">
        <v>407</v>
      </c>
      <c r="BB5" s="44">
        <v>770.1</v>
      </c>
      <c r="BC5" s="46">
        <v>745.7</v>
      </c>
      <c r="BD5" s="46">
        <v>711.5</v>
      </c>
      <c r="BE5" s="46">
        <v>702.1</v>
      </c>
      <c r="BF5" s="46">
        <v>694.8</v>
      </c>
      <c r="BG5" s="46">
        <v>733.8</v>
      </c>
      <c r="BH5" s="46">
        <v>702.1</v>
      </c>
      <c r="BI5" s="46">
        <v>702.1</v>
      </c>
      <c r="BJ5" s="36"/>
      <c r="BK5" s="36"/>
      <c r="BL5" s="49"/>
      <c r="BM5" s="49"/>
      <c r="BN5" s="49"/>
      <c r="BO5" s="49"/>
    </row>
    <row r="6" ht="15.5" spans="1:67">
      <c r="A6" s="35"/>
      <c r="B6" s="43" t="s">
        <v>408</v>
      </c>
      <c r="C6" s="44">
        <f t="shared" ref="C6:J6" si="18" xml:space="preserve">BB6/1000</f>
        <v>0.1986</v>
      </c>
      <c r="D6" s="44">
        <f t="shared" si="18"/>
        <v>0.1717</v>
      </c>
      <c r="E6" s="44">
        <f t="shared" si="18"/>
        <v>0.1611</v>
      </c>
      <c r="F6" s="44">
        <f t="shared" si="18"/>
        <v>0.1579</v>
      </c>
      <c r="G6" s="44">
        <f t="shared" si="18"/>
        <v>0.1521</v>
      </c>
      <c r="H6" s="44">
        <f t="shared" si="18"/>
        <v>0.1588</v>
      </c>
      <c r="I6" s="44">
        <f t="shared" si="18"/>
        <v>0.1579</v>
      </c>
      <c r="J6" s="44">
        <f t="shared" si="18"/>
        <v>0.1579</v>
      </c>
      <c r="K6" s="36"/>
      <c r="L6" s="36"/>
      <c r="M6" s="49">
        <v>5.937</v>
      </c>
      <c r="N6" s="49">
        <v>5.845</v>
      </c>
      <c r="O6" s="49">
        <v>5.575</v>
      </c>
      <c r="P6" s="49">
        <v>5.276</v>
      </c>
      <c r="Q6" s="49">
        <v>5.363</v>
      </c>
      <c r="R6" s="49">
        <v>6.645</v>
      </c>
      <c r="S6" s="49">
        <v>5.654</v>
      </c>
      <c r="T6" s="49"/>
      <c r="U6" s="35"/>
      <c r="V6" s="43" t="s">
        <v>408</v>
      </c>
      <c r="W6" s="46">
        <f t="shared" ref="W6:AC6" si="19" xml:space="preserve">D6/M6</f>
        <v>0.0289203301330638</v>
      </c>
      <c r="X6" s="46">
        <f t="shared" si="19"/>
        <v>0.0275620188195039</v>
      </c>
      <c r="Y6" s="46">
        <f t="shared" si="19"/>
        <v>0.028322869955157</v>
      </c>
      <c r="Z6" s="46">
        <f t="shared" si="19"/>
        <v>0.0288286580742987</v>
      </c>
      <c r="AA6" s="46">
        <f t="shared" si="19"/>
        <v>0.0296102927465971</v>
      </c>
      <c r="AB6" s="47">
        <f t="shared" si="19"/>
        <v>0.0237622272385252</v>
      </c>
      <c r="AC6" s="47">
        <f t="shared" si="19"/>
        <v>0.0279271312345242</v>
      </c>
      <c r="AD6" s="36"/>
      <c r="AE6" s="36"/>
      <c r="AF6" s="46">
        <f t="shared" si="2"/>
        <v>0.0289203301330638</v>
      </c>
      <c r="AG6" s="46">
        <f t="shared" si="3"/>
        <v>0.0275620188195039</v>
      </c>
      <c r="AH6" s="46">
        <f t="shared" si="4"/>
        <v>0.028322869955157</v>
      </c>
      <c r="AI6" s="46">
        <f t="shared" si="5"/>
        <v>0.0288286580742987</v>
      </c>
      <c r="AJ6" s="46">
        <f t="shared" si="6"/>
        <v>0.0296102927465971</v>
      </c>
      <c r="AK6" s="48">
        <f t="shared" si="7"/>
        <v>0.027326561324304</v>
      </c>
      <c r="AL6" s="48">
        <f t="shared" si="8"/>
        <v>0.0321162009197029</v>
      </c>
      <c r="AM6" s="36"/>
      <c r="AN6" s="36"/>
      <c r="AO6" s="46">
        <f t="shared" si="9"/>
        <v>0.0289203301330638</v>
      </c>
      <c r="AP6" s="46">
        <f t="shared" si="10"/>
        <v>0.0275620188195039</v>
      </c>
      <c r="AQ6" s="46">
        <f t="shared" si="11"/>
        <v>0.028322869955157</v>
      </c>
      <c r="AR6" s="46">
        <f t="shared" si="12"/>
        <v>0.0288286580742987</v>
      </c>
      <c r="AS6" s="46">
        <f t="shared" si="13"/>
        <v>0.0296102927465971</v>
      </c>
      <c r="AT6" s="48">
        <f t="shared" si="14"/>
        <v>0.0201978931527464</v>
      </c>
      <c r="AU6" s="48">
        <f t="shared" si="15"/>
        <v>0.0237380615493456</v>
      </c>
      <c r="AZ6" s="35"/>
      <c r="BA6" s="43" t="s">
        <v>408</v>
      </c>
      <c r="BB6" s="44">
        <v>198.6</v>
      </c>
      <c r="BC6" s="46">
        <v>171.7</v>
      </c>
      <c r="BD6" s="46">
        <v>161.1</v>
      </c>
      <c r="BE6" s="46">
        <v>157.9</v>
      </c>
      <c r="BF6" s="46">
        <v>152.1</v>
      </c>
      <c r="BG6" s="46">
        <v>158.8</v>
      </c>
      <c r="BH6" s="46">
        <v>157.9</v>
      </c>
      <c r="BI6" s="46">
        <v>157.9</v>
      </c>
      <c r="BJ6" s="36"/>
      <c r="BK6" s="36"/>
      <c r="BL6" s="49"/>
      <c r="BM6" s="49"/>
      <c r="BN6" s="49"/>
      <c r="BO6" s="49"/>
    </row>
    <row r="7" ht="15.5" spans="1:67">
      <c r="A7" s="35"/>
      <c r="B7" s="43" t="s">
        <v>409</v>
      </c>
      <c r="C7" s="44">
        <f t="shared" ref="C7:J7" si="20" xml:space="preserve">BB7/1000</f>
        <v>0.487</v>
      </c>
      <c r="D7" s="44">
        <f t="shared" si="20"/>
        <v>0.4967</v>
      </c>
      <c r="E7" s="44">
        <f t="shared" si="20"/>
        <v>0.4758</v>
      </c>
      <c r="F7" s="44">
        <f t="shared" si="20"/>
        <v>0.4705</v>
      </c>
      <c r="G7" s="44">
        <f t="shared" si="20"/>
        <v>0.4665</v>
      </c>
      <c r="H7" s="44">
        <f t="shared" si="20"/>
        <v>0.496</v>
      </c>
      <c r="I7" s="44">
        <f t="shared" si="20"/>
        <v>0.4705</v>
      </c>
      <c r="J7" s="44">
        <f t="shared" si="20"/>
        <v>0.4705</v>
      </c>
      <c r="K7" s="36"/>
      <c r="L7" s="36"/>
      <c r="M7" s="49">
        <v>5.937</v>
      </c>
      <c r="N7" s="49">
        <v>5.845</v>
      </c>
      <c r="O7" s="49">
        <v>5.575</v>
      </c>
      <c r="P7" s="49">
        <v>5.276</v>
      </c>
      <c r="Q7" s="49">
        <v>5.363</v>
      </c>
      <c r="R7" s="49">
        <v>6.645</v>
      </c>
      <c r="S7" s="49">
        <v>5.654</v>
      </c>
      <c r="T7" s="49"/>
      <c r="U7" s="35"/>
      <c r="V7" s="43" t="s">
        <v>409</v>
      </c>
      <c r="W7" s="46">
        <f t="shared" ref="W7:AC7" si="21" xml:space="preserve">D7/M7</f>
        <v>0.0836617820448038</v>
      </c>
      <c r="X7" s="46">
        <f t="shared" si="21"/>
        <v>0.0814029084687767</v>
      </c>
      <c r="Y7" s="46">
        <f t="shared" si="21"/>
        <v>0.0843946188340807</v>
      </c>
      <c r="Z7" s="46">
        <f t="shared" si="21"/>
        <v>0.0884192570128886</v>
      </c>
      <c r="AA7" s="46">
        <f t="shared" si="21"/>
        <v>0.092485549132948</v>
      </c>
      <c r="AB7" s="47">
        <f t="shared" si="21"/>
        <v>0.0708051166290444</v>
      </c>
      <c r="AC7" s="47">
        <f t="shared" si="21"/>
        <v>0.0832154227095861</v>
      </c>
      <c r="AD7" s="36"/>
      <c r="AE7" s="36"/>
      <c r="AF7" s="46">
        <f t="shared" si="2"/>
        <v>0.0836617820448038</v>
      </c>
      <c r="AG7" s="46">
        <f t="shared" si="3"/>
        <v>0.0814029084687767</v>
      </c>
      <c r="AH7" s="46">
        <f t="shared" si="4"/>
        <v>0.0843946188340807</v>
      </c>
      <c r="AI7" s="46">
        <f t="shared" si="5"/>
        <v>0.0884192570128886</v>
      </c>
      <c r="AJ7" s="46">
        <f t="shared" si="6"/>
        <v>0.092485549132948</v>
      </c>
      <c r="AK7" s="48">
        <f t="shared" si="7"/>
        <v>0.0814258841234011</v>
      </c>
      <c r="AL7" s="48">
        <f t="shared" si="8"/>
        <v>0.0956977361160241</v>
      </c>
      <c r="AM7" s="36"/>
      <c r="AN7" s="36"/>
      <c r="AO7" s="46">
        <f t="shared" si="9"/>
        <v>0.0836617820448038</v>
      </c>
      <c r="AP7" s="46">
        <f t="shared" si="10"/>
        <v>0.0814029084687767</v>
      </c>
      <c r="AQ7" s="46">
        <f t="shared" si="11"/>
        <v>0.0843946188340807</v>
      </c>
      <c r="AR7" s="46">
        <f t="shared" si="12"/>
        <v>0.0884192570128886</v>
      </c>
      <c r="AS7" s="46">
        <f t="shared" si="13"/>
        <v>0.092485549132948</v>
      </c>
      <c r="AT7" s="48">
        <f t="shared" si="14"/>
        <v>0.0601843491346877</v>
      </c>
      <c r="AU7" s="48">
        <f t="shared" si="15"/>
        <v>0.0707331093031482</v>
      </c>
      <c r="AZ7" s="35"/>
      <c r="BA7" s="43" t="s">
        <v>409</v>
      </c>
      <c r="BB7" s="44">
        <v>487</v>
      </c>
      <c r="BC7" s="46">
        <v>496.7</v>
      </c>
      <c r="BD7" s="46">
        <v>475.8</v>
      </c>
      <c r="BE7" s="46">
        <v>470.5</v>
      </c>
      <c r="BF7" s="46">
        <v>466.5</v>
      </c>
      <c r="BG7" s="46">
        <v>496</v>
      </c>
      <c r="BH7" s="46">
        <v>470.5</v>
      </c>
      <c r="BI7" s="46">
        <v>470.5</v>
      </c>
      <c r="BJ7" s="36"/>
      <c r="BK7" s="36"/>
      <c r="BL7" s="49"/>
      <c r="BM7" s="49"/>
      <c r="BN7" s="49"/>
      <c r="BO7" s="49"/>
    </row>
    <row r="8" ht="15.5" spans="1:67">
      <c r="A8" s="35"/>
      <c r="B8" s="43" t="s">
        <v>410</v>
      </c>
      <c r="C8" s="44">
        <f t="shared" ref="C8:J8" si="22" xml:space="preserve">BB8/1000</f>
        <v>0.0845</v>
      </c>
      <c r="D8" s="44">
        <f t="shared" si="22"/>
        <v>0.0773</v>
      </c>
      <c r="E8" s="44">
        <f t="shared" si="22"/>
        <v>0.0745</v>
      </c>
      <c r="F8" s="44">
        <f t="shared" si="22"/>
        <v>0.0736</v>
      </c>
      <c r="G8" s="44">
        <f t="shared" si="22"/>
        <v>0.0761</v>
      </c>
      <c r="H8" s="44">
        <f t="shared" si="22"/>
        <v>0.0789</v>
      </c>
      <c r="I8" s="44">
        <f t="shared" si="22"/>
        <v>0.0736</v>
      </c>
      <c r="J8" s="44">
        <f t="shared" si="22"/>
        <v>0.0736</v>
      </c>
      <c r="K8" s="36"/>
      <c r="L8" s="36"/>
      <c r="M8" s="49">
        <v>5.937</v>
      </c>
      <c r="N8" s="49">
        <v>5.845</v>
      </c>
      <c r="O8" s="49">
        <v>5.575</v>
      </c>
      <c r="P8" s="49">
        <v>5.276</v>
      </c>
      <c r="Q8" s="49">
        <v>5.363</v>
      </c>
      <c r="R8" s="49">
        <v>6.645</v>
      </c>
      <c r="S8" s="49">
        <v>5.654</v>
      </c>
      <c r="T8" s="49"/>
      <c r="U8" s="35"/>
      <c r="V8" s="43" t="s">
        <v>410</v>
      </c>
      <c r="W8" s="46">
        <f t="shared" ref="W8:AC8" si="23" xml:space="preserve">D8/M8</f>
        <v>0.0130200437931615</v>
      </c>
      <c r="X8" s="46">
        <f t="shared" si="23"/>
        <v>0.0127459366980325</v>
      </c>
      <c r="Y8" s="46">
        <f t="shared" si="23"/>
        <v>0.0132017937219731</v>
      </c>
      <c r="Z8" s="46">
        <f t="shared" si="23"/>
        <v>0.0144238059135709</v>
      </c>
      <c r="AA8" s="46">
        <f t="shared" si="23"/>
        <v>0.0147119149729629</v>
      </c>
      <c r="AB8" s="47">
        <f t="shared" si="23"/>
        <v>0.0110759969902182</v>
      </c>
      <c r="AC8" s="47">
        <f t="shared" si="23"/>
        <v>0.0130173328616908</v>
      </c>
      <c r="AD8" s="36"/>
      <c r="AE8" s="36"/>
      <c r="AF8" s="46">
        <f t="shared" si="2"/>
        <v>0.0130200437931615</v>
      </c>
      <c r="AG8" s="46">
        <f t="shared" si="3"/>
        <v>0.0127459366980325</v>
      </c>
      <c r="AH8" s="46">
        <f t="shared" si="4"/>
        <v>0.0132017937219731</v>
      </c>
      <c r="AI8" s="46">
        <f t="shared" si="5"/>
        <v>0.0144238059135709</v>
      </c>
      <c r="AJ8" s="46">
        <f t="shared" si="6"/>
        <v>0.0147119149729629</v>
      </c>
      <c r="AK8" s="48">
        <f t="shared" si="7"/>
        <v>0.0127373965387509</v>
      </c>
      <c r="AL8" s="48">
        <f t="shared" si="8"/>
        <v>0.0149699327909445</v>
      </c>
      <c r="AM8" s="36"/>
      <c r="AN8" s="36"/>
      <c r="AO8" s="46">
        <f t="shared" si="9"/>
        <v>0.0130200437931615</v>
      </c>
      <c r="AP8" s="46">
        <f t="shared" si="10"/>
        <v>0.0127459366980325</v>
      </c>
      <c r="AQ8" s="46">
        <f t="shared" si="11"/>
        <v>0.0132017937219731</v>
      </c>
      <c r="AR8" s="46">
        <f t="shared" si="12"/>
        <v>0.0144238059135709</v>
      </c>
      <c r="AS8" s="46">
        <f t="shared" si="13"/>
        <v>0.0147119149729629</v>
      </c>
      <c r="AT8" s="48">
        <f t="shared" si="14"/>
        <v>0.00941459744168548</v>
      </c>
      <c r="AU8" s="48">
        <f t="shared" si="15"/>
        <v>0.0110647329324372</v>
      </c>
      <c r="AZ8" s="35"/>
      <c r="BA8" s="43" t="s">
        <v>410</v>
      </c>
      <c r="BB8" s="44">
        <v>84.5</v>
      </c>
      <c r="BC8" s="46">
        <v>77.3</v>
      </c>
      <c r="BD8" s="46">
        <v>74.5</v>
      </c>
      <c r="BE8" s="46">
        <v>73.6</v>
      </c>
      <c r="BF8" s="46">
        <v>76.1</v>
      </c>
      <c r="BG8" s="46">
        <v>78.9</v>
      </c>
      <c r="BH8" s="46">
        <v>73.6</v>
      </c>
      <c r="BI8" s="46">
        <v>73.6</v>
      </c>
      <c r="BJ8" s="36"/>
      <c r="BK8" s="36"/>
      <c r="BL8" s="49"/>
      <c r="BM8" s="49"/>
      <c r="BN8" s="49"/>
      <c r="BO8" s="49"/>
    </row>
    <row r="9" ht="15.5" spans="1:67">
      <c r="A9" s="35" t="s">
        <v>301</v>
      </c>
      <c r="B9" s="43" t="s">
        <v>406</v>
      </c>
      <c r="C9" s="44">
        <f t="shared" ref="C9:J9" si="24" xml:space="preserve">BB9/1000</f>
        <v>0.855</v>
      </c>
      <c r="D9" s="44">
        <f t="shared" si="24"/>
        <v>0.8241</v>
      </c>
      <c r="E9" s="44">
        <f t="shared" si="24"/>
        <v>0.7857</v>
      </c>
      <c r="F9" s="44">
        <f t="shared" si="24"/>
        <v>0.775</v>
      </c>
      <c r="G9" s="44">
        <f t="shared" si="24"/>
        <v>0.7702</v>
      </c>
      <c r="H9" s="44">
        <f t="shared" si="24"/>
        <v>0.8116</v>
      </c>
      <c r="I9" s="44">
        <f t="shared" si="24"/>
        <v>0.775</v>
      </c>
      <c r="J9" s="44">
        <f t="shared" si="24"/>
        <v>0.775</v>
      </c>
      <c r="K9" s="36"/>
      <c r="L9" s="36"/>
      <c r="M9" s="49">
        <v>5.937</v>
      </c>
      <c r="N9" s="49">
        <v>5.845</v>
      </c>
      <c r="O9" s="49">
        <v>5.575</v>
      </c>
      <c r="P9" s="49">
        <v>5.276</v>
      </c>
      <c r="Q9" s="49">
        <v>5.363</v>
      </c>
      <c r="R9" s="49">
        <v>6.645</v>
      </c>
      <c r="S9" s="49">
        <v>5.654</v>
      </c>
      <c r="T9" s="49"/>
      <c r="U9" s="35" t="s">
        <v>301</v>
      </c>
      <c r="V9" s="43" t="s">
        <v>406</v>
      </c>
      <c r="W9" s="46">
        <f t="shared" ref="W9:AC9" si="25" xml:space="preserve">D9/M9</f>
        <v>0.138807478524507</v>
      </c>
      <c r="X9" s="46">
        <f t="shared" si="25"/>
        <v>0.134422583404619</v>
      </c>
      <c r="Y9" s="46">
        <f t="shared" si="25"/>
        <v>0.139013452914798</v>
      </c>
      <c r="Z9" s="46">
        <f t="shared" si="25"/>
        <v>0.145981804397271</v>
      </c>
      <c r="AA9" s="46">
        <f t="shared" si="25"/>
        <v>0.1513332090248</v>
      </c>
      <c r="AB9" s="47">
        <f t="shared" si="25"/>
        <v>0.116629044394281</v>
      </c>
      <c r="AC9" s="47">
        <f t="shared" si="25"/>
        <v>0.13707110010612</v>
      </c>
      <c r="AD9" s="36"/>
      <c r="AE9" s="36"/>
      <c r="AF9" s="46">
        <f t="shared" si="2"/>
        <v>0.138807478524507</v>
      </c>
      <c r="AG9" s="46">
        <f t="shared" si="3"/>
        <v>0.134422583404619</v>
      </c>
      <c r="AH9" s="46">
        <f t="shared" si="4"/>
        <v>0.139013452914798</v>
      </c>
      <c r="AI9" s="46">
        <f t="shared" si="5"/>
        <v>0.145981804397271</v>
      </c>
      <c r="AJ9" s="46">
        <f t="shared" si="6"/>
        <v>0.1513332090248</v>
      </c>
      <c r="AK9" s="48">
        <f t="shared" si="7"/>
        <v>0.134123401053424</v>
      </c>
      <c r="AL9" s="48">
        <f t="shared" si="8"/>
        <v>0.157631765122037</v>
      </c>
      <c r="AM9" s="36"/>
      <c r="AN9" s="36"/>
      <c r="AO9" s="46">
        <f t="shared" si="9"/>
        <v>0.138807478524507</v>
      </c>
      <c r="AP9" s="46">
        <f t="shared" si="10"/>
        <v>0.134422583404619</v>
      </c>
      <c r="AQ9" s="46">
        <f t="shared" si="11"/>
        <v>0.139013452914798</v>
      </c>
      <c r="AR9" s="46">
        <f t="shared" si="12"/>
        <v>0.145981804397271</v>
      </c>
      <c r="AS9" s="46">
        <f t="shared" si="13"/>
        <v>0.1513332090248</v>
      </c>
      <c r="AT9" s="48">
        <f t="shared" si="14"/>
        <v>0.0991346877351392</v>
      </c>
      <c r="AU9" s="48">
        <f t="shared" si="15"/>
        <v>0.116510435090202</v>
      </c>
      <c r="AZ9" s="35" t="s">
        <v>301</v>
      </c>
      <c r="BA9" s="43" t="s">
        <v>406</v>
      </c>
      <c r="BB9" s="44">
        <v>855</v>
      </c>
      <c r="BC9" s="46">
        <v>824.1</v>
      </c>
      <c r="BD9" s="46">
        <v>785.7</v>
      </c>
      <c r="BE9" s="46">
        <v>775</v>
      </c>
      <c r="BF9" s="46">
        <v>770.2</v>
      </c>
      <c r="BG9" s="46">
        <v>811.6</v>
      </c>
      <c r="BH9" s="46">
        <v>775</v>
      </c>
      <c r="BI9" s="46">
        <v>775</v>
      </c>
      <c r="BJ9" s="36"/>
      <c r="BK9" s="36"/>
      <c r="BL9" s="49"/>
      <c r="BM9" s="49"/>
      <c r="BN9" s="49"/>
      <c r="BO9" s="49"/>
    </row>
    <row r="10" ht="15.5" spans="1:67">
      <c r="A10" s="35"/>
      <c r="B10" s="43" t="s">
        <v>407</v>
      </c>
      <c r="C10" s="44">
        <f t="shared" ref="C10:J10" si="26" xml:space="preserve">BB10/1000</f>
        <v>0.7888</v>
      </c>
      <c r="D10" s="44">
        <f t="shared" si="26"/>
        <v>0.7626</v>
      </c>
      <c r="E10" s="44">
        <f t="shared" si="26"/>
        <v>0.7275</v>
      </c>
      <c r="F10" s="44">
        <f t="shared" si="26"/>
        <v>0.7179</v>
      </c>
      <c r="G10" s="44">
        <f t="shared" si="26"/>
        <v>0.7107</v>
      </c>
      <c r="H10" s="44">
        <f t="shared" si="26"/>
        <v>0.7503</v>
      </c>
      <c r="I10" s="44">
        <f t="shared" si="26"/>
        <v>0.7179</v>
      </c>
      <c r="J10" s="44">
        <f t="shared" si="26"/>
        <v>0.7179</v>
      </c>
      <c r="K10" s="36"/>
      <c r="L10" s="36"/>
      <c r="M10" s="49">
        <v>5.937</v>
      </c>
      <c r="N10" s="49">
        <v>5.845</v>
      </c>
      <c r="O10" s="49">
        <v>5.575</v>
      </c>
      <c r="P10" s="49">
        <v>5.276</v>
      </c>
      <c r="Q10" s="49">
        <v>5.363</v>
      </c>
      <c r="R10" s="49">
        <v>6.645</v>
      </c>
      <c r="S10" s="49">
        <v>5.654</v>
      </c>
      <c r="T10" s="49"/>
      <c r="U10" s="35"/>
      <c r="V10" s="43" t="s">
        <v>407</v>
      </c>
      <c r="W10" s="46">
        <f t="shared" ref="W10:AC10" si="27" xml:space="preserve">D10/M10</f>
        <v>0.12844871147044</v>
      </c>
      <c r="X10" s="46">
        <f t="shared" si="27"/>
        <v>0.124465355004277</v>
      </c>
      <c r="Y10" s="46">
        <f t="shared" si="27"/>
        <v>0.12877130044843</v>
      </c>
      <c r="Z10" s="46">
        <f t="shared" si="27"/>
        <v>0.134704321455648</v>
      </c>
      <c r="AA10" s="46">
        <f t="shared" si="27"/>
        <v>0.139903039343651</v>
      </c>
      <c r="AB10" s="47">
        <f t="shared" si="27"/>
        <v>0.10803611738149</v>
      </c>
      <c r="AC10" s="47">
        <f t="shared" si="27"/>
        <v>0.126972055182172</v>
      </c>
      <c r="AD10" s="36"/>
      <c r="AE10" s="36"/>
      <c r="AF10" s="46">
        <f t="shared" si="2"/>
        <v>0.12844871147044</v>
      </c>
      <c r="AG10" s="46">
        <f t="shared" si="3"/>
        <v>0.124465355004277</v>
      </c>
      <c r="AH10" s="46">
        <f t="shared" si="4"/>
        <v>0.12877130044843</v>
      </c>
      <c r="AI10" s="46">
        <f t="shared" si="5"/>
        <v>0.134704321455648</v>
      </c>
      <c r="AJ10" s="46">
        <f t="shared" si="6"/>
        <v>0.139903039343651</v>
      </c>
      <c r="AK10" s="48">
        <f t="shared" si="7"/>
        <v>0.124241534988713</v>
      </c>
      <c r="AL10" s="48">
        <f t="shared" si="8"/>
        <v>0.146017863459498</v>
      </c>
      <c r="AM10" s="36"/>
      <c r="AN10" s="36"/>
      <c r="AO10" s="46">
        <f t="shared" si="9"/>
        <v>0.12844871147044</v>
      </c>
      <c r="AP10" s="46">
        <f t="shared" si="10"/>
        <v>0.124465355004277</v>
      </c>
      <c r="AQ10" s="46">
        <f t="shared" si="11"/>
        <v>0.12877130044843</v>
      </c>
      <c r="AR10" s="46">
        <f t="shared" si="12"/>
        <v>0.134704321455648</v>
      </c>
      <c r="AS10" s="46">
        <f t="shared" si="13"/>
        <v>0.139903039343651</v>
      </c>
      <c r="AT10" s="48">
        <f t="shared" si="14"/>
        <v>0.0918306997742664</v>
      </c>
      <c r="AU10" s="48">
        <f t="shared" si="15"/>
        <v>0.107926246904846</v>
      </c>
      <c r="AZ10" s="35"/>
      <c r="BA10" s="43" t="s">
        <v>407</v>
      </c>
      <c r="BB10" s="44">
        <v>788.8</v>
      </c>
      <c r="BC10" s="46">
        <v>762.6</v>
      </c>
      <c r="BD10" s="46">
        <v>727.5</v>
      </c>
      <c r="BE10" s="46">
        <v>717.9</v>
      </c>
      <c r="BF10" s="46">
        <v>710.7</v>
      </c>
      <c r="BG10" s="46">
        <v>750.3</v>
      </c>
      <c r="BH10" s="46">
        <v>717.9</v>
      </c>
      <c r="BI10" s="46">
        <v>717.9</v>
      </c>
      <c r="BJ10" s="36"/>
      <c r="BK10" s="36"/>
      <c r="BL10" s="49"/>
      <c r="BM10" s="49"/>
      <c r="BN10" s="49"/>
      <c r="BO10" s="49"/>
    </row>
    <row r="11" ht="15.5" spans="1:67">
      <c r="A11" s="35"/>
      <c r="B11" s="43" t="s">
        <v>408</v>
      </c>
      <c r="C11" s="44">
        <f t="shared" ref="C11:J11" si="28" xml:space="preserve">BB11/1000</f>
        <v>0.2381</v>
      </c>
      <c r="D11" s="44">
        <f t="shared" si="28"/>
        <v>0.2075</v>
      </c>
      <c r="E11" s="44">
        <f t="shared" si="28"/>
        <v>0.1951</v>
      </c>
      <c r="F11" s="44">
        <f t="shared" si="28"/>
        <v>0.1916</v>
      </c>
      <c r="G11" s="44">
        <f t="shared" si="28"/>
        <v>0.186</v>
      </c>
      <c r="H11" s="44">
        <f t="shared" si="28"/>
        <v>0.1938</v>
      </c>
      <c r="I11" s="44">
        <f t="shared" si="28"/>
        <v>0.1916</v>
      </c>
      <c r="J11" s="44">
        <f t="shared" si="28"/>
        <v>0.1916</v>
      </c>
      <c r="K11" s="36"/>
      <c r="L11" s="36"/>
      <c r="M11" s="49">
        <v>5.937</v>
      </c>
      <c r="N11" s="49">
        <v>5.845</v>
      </c>
      <c r="O11" s="49">
        <v>5.575</v>
      </c>
      <c r="P11" s="49">
        <v>5.276</v>
      </c>
      <c r="Q11" s="49">
        <v>5.363</v>
      </c>
      <c r="R11" s="49">
        <v>6.645</v>
      </c>
      <c r="S11" s="49">
        <v>5.654</v>
      </c>
      <c r="T11" s="49"/>
      <c r="U11" s="35"/>
      <c r="V11" s="43" t="s">
        <v>408</v>
      </c>
      <c r="W11" s="46">
        <f t="shared" ref="W11:AC11" si="29" xml:space="preserve">D11/M11</f>
        <v>0.0349503116051878</v>
      </c>
      <c r="X11" s="46">
        <f t="shared" si="29"/>
        <v>0.0333789563729684</v>
      </c>
      <c r="Y11" s="46">
        <f t="shared" si="29"/>
        <v>0.0343677130044843</v>
      </c>
      <c r="Z11" s="46">
        <f t="shared" si="29"/>
        <v>0.035253980288097</v>
      </c>
      <c r="AA11" s="46">
        <f t="shared" si="29"/>
        <v>0.0361364907700914</v>
      </c>
      <c r="AB11" s="47">
        <f t="shared" si="29"/>
        <v>0.0288337095560572</v>
      </c>
      <c r="AC11" s="47">
        <f t="shared" si="29"/>
        <v>0.0338875132649452</v>
      </c>
      <c r="AD11" s="36"/>
      <c r="AE11" s="36"/>
      <c r="AF11" s="46">
        <f t="shared" si="2"/>
        <v>0.0349503116051878</v>
      </c>
      <c r="AG11" s="46">
        <f t="shared" si="3"/>
        <v>0.0333789563729684</v>
      </c>
      <c r="AH11" s="46">
        <f t="shared" si="4"/>
        <v>0.0343677130044843</v>
      </c>
      <c r="AI11" s="46">
        <f t="shared" si="5"/>
        <v>0.035253980288097</v>
      </c>
      <c r="AJ11" s="46">
        <f t="shared" si="6"/>
        <v>0.0361364907700914</v>
      </c>
      <c r="AK11" s="48">
        <f t="shared" si="7"/>
        <v>0.0331587659894658</v>
      </c>
      <c r="AL11" s="48">
        <f t="shared" si="8"/>
        <v>0.0389706402546869</v>
      </c>
      <c r="AM11" s="36"/>
      <c r="AN11" s="36"/>
      <c r="AO11" s="46">
        <f t="shared" si="9"/>
        <v>0.0349503116051878</v>
      </c>
      <c r="AP11" s="46">
        <f t="shared" si="10"/>
        <v>0.0333789563729684</v>
      </c>
      <c r="AQ11" s="46">
        <f t="shared" si="11"/>
        <v>0.0343677130044843</v>
      </c>
      <c r="AR11" s="46">
        <f t="shared" si="12"/>
        <v>0.035253980288097</v>
      </c>
      <c r="AS11" s="46">
        <f t="shared" si="13"/>
        <v>0.0361364907700914</v>
      </c>
      <c r="AT11" s="48">
        <f t="shared" si="14"/>
        <v>0.0245086531226486</v>
      </c>
      <c r="AU11" s="48">
        <f t="shared" si="15"/>
        <v>0.0288043862752034</v>
      </c>
      <c r="AZ11" s="35"/>
      <c r="BA11" s="43" t="s">
        <v>408</v>
      </c>
      <c r="BB11" s="44">
        <v>238.1</v>
      </c>
      <c r="BC11" s="46">
        <v>207.5</v>
      </c>
      <c r="BD11" s="46">
        <v>195.1</v>
      </c>
      <c r="BE11" s="46">
        <v>191.6</v>
      </c>
      <c r="BF11" s="46">
        <v>186</v>
      </c>
      <c r="BG11" s="46">
        <v>193.8</v>
      </c>
      <c r="BH11" s="46">
        <v>191.6</v>
      </c>
      <c r="BI11" s="46">
        <v>191.6</v>
      </c>
      <c r="BJ11" s="36"/>
      <c r="BK11" s="36"/>
      <c r="BL11" s="49"/>
      <c r="BM11" s="49"/>
      <c r="BN11" s="49"/>
      <c r="BO11" s="49"/>
    </row>
    <row r="12" ht="15.5" spans="1:67">
      <c r="A12" s="35"/>
      <c r="B12" s="43" t="s">
        <v>409</v>
      </c>
      <c r="C12" s="44">
        <f t="shared" ref="C12:J12" si="30" xml:space="preserve">BB12/1000</f>
        <v>0.4629</v>
      </c>
      <c r="D12" s="44">
        <f t="shared" si="30"/>
        <v>0.4749</v>
      </c>
      <c r="E12" s="44">
        <f t="shared" si="30"/>
        <v>0.4551</v>
      </c>
      <c r="F12" s="44">
        <f t="shared" si="30"/>
        <v>0.45</v>
      </c>
      <c r="G12" s="44">
        <f t="shared" si="30"/>
        <v>0.4459</v>
      </c>
      <c r="H12" s="44">
        <f t="shared" si="30"/>
        <v>0.4747</v>
      </c>
      <c r="I12" s="44">
        <f t="shared" si="30"/>
        <v>0.45</v>
      </c>
      <c r="J12" s="44">
        <f t="shared" si="30"/>
        <v>0.45</v>
      </c>
      <c r="K12" s="36"/>
      <c r="L12" s="36"/>
      <c r="M12" s="49">
        <v>5.937</v>
      </c>
      <c r="N12" s="49">
        <v>5.845</v>
      </c>
      <c r="O12" s="49">
        <v>5.575</v>
      </c>
      <c r="P12" s="49">
        <v>5.276</v>
      </c>
      <c r="Q12" s="49">
        <v>5.363</v>
      </c>
      <c r="R12" s="49">
        <v>6.645</v>
      </c>
      <c r="S12" s="49">
        <v>5.654</v>
      </c>
      <c r="T12" s="49"/>
      <c r="U12" s="35"/>
      <c r="V12" s="43" t="s">
        <v>409</v>
      </c>
      <c r="W12" s="46">
        <f t="shared" ref="W12:AC12" si="31" xml:space="preserve">D12/M12</f>
        <v>0.0799898938858009</v>
      </c>
      <c r="X12" s="46">
        <f t="shared" si="31"/>
        <v>0.0778614200171086</v>
      </c>
      <c r="Y12" s="46">
        <f t="shared" si="31"/>
        <v>0.0807174887892377</v>
      </c>
      <c r="Z12" s="46">
        <f t="shared" si="31"/>
        <v>0.0845147839272176</v>
      </c>
      <c r="AA12" s="46">
        <f t="shared" si="31"/>
        <v>0.08851389147865</v>
      </c>
      <c r="AB12" s="47">
        <f t="shared" si="31"/>
        <v>0.0677200902934537</v>
      </c>
      <c r="AC12" s="47">
        <f t="shared" si="31"/>
        <v>0.0795896710293598</v>
      </c>
      <c r="AD12" s="36"/>
      <c r="AE12" s="36"/>
      <c r="AF12" s="46">
        <f t="shared" si="2"/>
        <v>0.0799898938858009</v>
      </c>
      <c r="AG12" s="46">
        <f t="shared" si="3"/>
        <v>0.0778614200171086</v>
      </c>
      <c r="AH12" s="46">
        <f t="shared" si="4"/>
        <v>0.0807174887892377</v>
      </c>
      <c r="AI12" s="46">
        <f t="shared" si="5"/>
        <v>0.0845147839272176</v>
      </c>
      <c r="AJ12" s="46">
        <f t="shared" si="6"/>
        <v>0.08851389147865</v>
      </c>
      <c r="AK12" s="48">
        <f t="shared" si="7"/>
        <v>0.0778781038374718</v>
      </c>
      <c r="AL12" s="48">
        <f t="shared" si="8"/>
        <v>0.0915281216837637</v>
      </c>
      <c r="AM12" s="36"/>
      <c r="AN12" s="36"/>
      <c r="AO12" s="46">
        <f t="shared" si="9"/>
        <v>0.0799898938858009</v>
      </c>
      <c r="AP12" s="46">
        <f t="shared" si="10"/>
        <v>0.0778614200171086</v>
      </c>
      <c r="AQ12" s="46">
        <f t="shared" si="11"/>
        <v>0.0807174887892377</v>
      </c>
      <c r="AR12" s="46">
        <f t="shared" si="12"/>
        <v>0.0845147839272176</v>
      </c>
      <c r="AS12" s="46">
        <f t="shared" si="13"/>
        <v>0.08851389147865</v>
      </c>
      <c r="AT12" s="48">
        <f t="shared" si="14"/>
        <v>0.0575620767494357</v>
      </c>
      <c r="AU12" s="48">
        <f t="shared" si="15"/>
        <v>0.0676512203749558</v>
      </c>
      <c r="AZ12" s="35"/>
      <c r="BA12" s="43" t="s">
        <v>409</v>
      </c>
      <c r="BB12" s="44">
        <v>462.9</v>
      </c>
      <c r="BC12" s="46">
        <v>474.9</v>
      </c>
      <c r="BD12" s="46">
        <v>455.1</v>
      </c>
      <c r="BE12" s="46">
        <v>450</v>
      </c>
      <c r="BF12" s="46">
        <v>445.9</v>
      </c>
      <c r="BG12" s="46">
        <v>474.7</v>
      </c>
      <c r="BH12" s="46">
        <v>450</v>
      </c>
      <c r="BI12" s="46">
        <v>450</v>
      </c>
      <c r="BJ12" s="36"/>
      <c r="BK12" s="36"/>
      <c r="BL12" s="49"/>
      <c r="BM12" s="49"/>
      <c r="BN12" s="49"/>
      <c r="BO12" s="49"/>
    </row>
    <row r="13" ht="15.5" spans="1:67">
      <c r="A13" s="35"/>
      <c r="B13" s="43" t="s">
        <v>410</v>
      </c>
      <c r="C13" s="44">
        <f t="shared" ref="C13:J13" si="32" xml:space="preserve">BB13/1000</f>
        <v>0.0877</v>
      </c>
      <c r="D13" s="44">
        <f t="shared" si="32"/>
        <v>0.0802</v>
      </c>
      <c r="E13" s="44">
        <f t="shared" si="32"/>
        <v>0.0772</v>
      </c>
      <c r="F13" s="44">
        <f t="shared" si="32"/>
        <v>0.0763</v>
      </c>
      <c r="G13" s="44">
        <f t="shared" si="32"/>
        <v>0.0789</v>
      </c>
      <c r="H13" s="44">
        <f t="shared" si="32"/>
        <v>0.0817</v>
      </c>
      <c r="I13" s="44">
        <f t="shared" si="32"/>
        <v>0.0763</v>
      </c>
      <c r="J13" s="44">
        <f t="shared" si="32"/>
        <v>0.0763</v>
      </c>
      <c r="K13" s="36"/>
      <c r="L13" s="36"/>
      <c r="M13" s="49">
        <v>5.937</v>
      </c>
      <c r="N13" s="49">
        <v>5.845</v>
      </c>
      <c r="O13" s="49">
        <v>5.575</v>
      </c>
      <c r="P13" s="49">
        <v>5.276</v>
      </c>
      <c r="Q13" s="49">
        <v>5.363</v>
      </c>
      <c r="R13" s="49">
        <v>6.645</v>
      </c>
      <c r="S13" s="49">
        <v>5.654</v>
      </c>
      <c r="T13" s="49"/>
      <c r="U13" s="35"/>
      <c r="V13" s="43" t="s">
        <v>410</v>
      </c>
      <c r="W13" s="46">
        <f t="shared" ref="W13:AC13" si="33" xml:space="preserve">D13/M13</f>
        <v>0.0135085059794509</v>
      </c>
      <c r="X13" s="46">
        <f t="shared" si="33"/>
        <v>0.013207869974337</v>
      </c>
      <c r="Y13" s="46">
        <f t="shared" si="33"/>
        <v>0.0136860986547085</v>
      </c>
      <c r="Z13" s="46">
        <f t="shared" si="33"/>
        <v>0.0149545109931767</v>
      </c>
      <c r="AA13" s="46">
        <f t="shared" si="33"/>
        <v>0.0152340108148424</v>
      </c>
      <c r="AB13" s="47">
        <f t="shared" si="33"/>
        <v>0.0114823175319789</v>
      </c>
      <c r="AC13" s="47">
        <f t="shared" si="33"/>
        <v>0.013494870887867</v>
      </c>
      <c r="AD13" s="36"/>
      <c r="AE13" s="36"/>
      <c r="AF13" s="46">
        <f t="shared" ref="AF13:AJ13" si="34" xml:space="preserve">W13</f>
        <v>0.0135085059794509</v>
      </c>
      <c r="AG13" s="46">
        <f t="shared" si="34"/>
        <v>0.013207869974337</v>
      </c>
      <c r="AH13" s="46">
        <f t="shared" si="34"/>
        <v>0.0136860986547085</v>
      </c>
      <c r="AI13" s="46">
        <f t="shared" si="34"/>
        <v>0.0149545109931767</v>
      </c>
      <c r="AJ13" s="46">
        <f t="shared" si="34"/>
        <v>0.0152340108148424</v>
      </c>
      <c r="AK13" s="48">
        <f t="shared" ref="AK13:AK18" si="35" xml:space="preserve">AB13*1.15</f>
        <v>0.0132046651617758</v>
      </c>
      <c r="AL13" s="48">
        <f t="shared" ref="AL13:AL18" si="36" xml:space="preserve">AC13*1.15</f>
        <v>0.015519101521047</v>
      </c>
      <c r="AM13" s="36"/>
      <c r="AN13" s="36"/>
      <c r="AO13" s="46">
        <f t="shared" ref="AO13:AS13" si="37" xml:space="preserve">W13</f>
        <v>0.0135085059794509</v>
      </c>
      <c r="AP13" s="46">
        <f t="shared" si="37"/>
        <v>0.013207869974337</v>
      </c>
      <c r="AQ13" s="46">
        <f t="shared" si="37"/>
        <v>0.0136860986547085</v>
      </c>
      <c r="AR13" s="46">
        <f t="shared" si="37"/>
        <v>0.0149545109931767</v>
      </c>
      <c r="AS13" s="46">
        <f t="shared" si="37"/>
        <v>0.0152340108148424</v>
      </c>
      <c r="AT13" s="48">
        <f t="shared" ref="AT13:AT18" si="38" xml:space="preserve">AB13*0.85</f>
        <v>0.00975996990218209</v>
      </c>
      <c r="AU13" s="48">
        <f t="shared" ref="AU13:AU18" si="39" xml:space="preserve">AC13*0.85</f>
        <v>0.0114706402546869</v>
      </c>
      <c r="AZ13" s="35"/>
      <c r="BA13" s="43" t="s">
        <v>410</v>
      </c>
      <c r="BB13" s="44">
        <v>87.7</v>
      </c>
      <c r="BC13" s="46">
        <v>80.2</v>
      </c>
      <c r="BD13" s="46">
        <v>77.2</v>
      </c>
      <c r="BE13" s="46">
        <v>76.3</v>
      </c>
      <c r="BF13" s="46">
        <v>78.9</v>
      </c>
      <c r="BG13" s="46">
        <v>81.7</v>
      </c>
      <c r="BH13" s="46">
        <v>76.3</v>
      </c>
      <c r="BI13" s="46">
        <v>76.3</v>
      </c>
      <c r="BJ13" s="36"/>
      <c r="BK13" s="36"/>
      <c r="BL13" s="49"/>
      <c r="BM13" s="49"/>
      <c r="BN13" s="49"/>
      <c r="BO13" s="49"/>
    </row>
    <row r="14" ht="15.5" spans="1:67">
      <c r="A14" s="35" t="s">
        <v>11</v>
      </c>
      <c r="B14" s="43" t="s">
        <v>406</v>
      </c>
      <c r="C14" s="44">
        <f t="shared" ref="C14:J14" si="40" xml:space="preserve">BB14/1000</f>
        <v>0.8705</v>
      </c>
      <c r="D14" s="44">
        <f t="shared" si="40"/>
        <v>0.8381</v>
      </c>
      <c r="E14" s="44">
        <f t="shared" si="40"/>
        <v>0.799</v>
      </c>
      <c r="F14" s="44">
        <f t="shared" si="40"/>
        <v>0.7882</v>
      </c>
      <c r="G14" s="44">
        <f t="shared" si="40"/>
        <v>0.7835</v>
      </c>
      <c r="H14" s="44">
        <f t="shared" si="40"/>
        <v>0.8253</v>
      </c>
      <c r="I14" s="44">
        <f t="shared" si="40"/>
        <v>0.7882</v>
      </c>
      <c r="J14" s="44">
        <f t="shared" si="40"/>
        <v>0.7882</v>
      </c>
      <c r="K14" s="36"/>
      <c r="L14" s="36"/>
      <c r="M14" s="49">
        <v>5.937</v>
      </c>
      <c r="N14" s="49">
        <v>5.845</v>
      </c>
      <c r="O14" s="49">
        <v>5.575</v>
      </c>
      <c r="P14" s="49">
        <v>5.276</v>
      </c>
      <c r="Q14" s="49">
        <v>5.363</v>
      </c>
      <c r="R14" s="49">
        <v>6.645</v>
      </c>
      <c r="S14" s="49">
        <v>5.654</v>
      </c>
      <c r="T14" s="49"/>
      <c r="U14" s="35" t="s">
        <v>11</v>
      </c>
      <c r="V14" s="43" t="s">
        <v>406</v>
      </c>
      <c r="W14" s="46">
        <f t="shared" ref="W14:AC14" si="41" xml:space="preserve">D14/M14</f>
        <v>0.141165571837628</v>
      </c>
      <c r="X14" s="46">
        <f t="shared" si="41"/>
        <v>0.136698032506416</v>
      </c>
      <c r="Y14" s="46">
        <f t="shared" si="41"/>
        <v>0.141381165919283</v>
      </c>
      <c r="Z14" s="46">
        <f t="shared" si="41"/>
        <v>0.148502653525398</v>
      </c>
      <c r="AA14" s="46">
        <f t="shared" si="41"/>
        <v>0.153887749393996</v>
      </c>
      <c r="AB14" s="47">
        <f t="shared" si="41"/>
        <v>0.118615500376223</v>
      </c>
      <c r="AC14" s="47">
        <f t="shared" si="41"/>
        <v>0.139405730456314</v>
      </c>
      <c r="AD14" s="36"/>
      <c r="AE14" s="36"/>
      <c r="AF14" s="46">
        <f t="shared" ref="AF14:AJ14" si="42" xml:space="preserve">W14</f>
        <v>0.141165571837628</v>
      </c>
      <c r="AG14" s="46">
        <f t="shared" si="42"/>
        <v>0.136698032506416</v>
      </c>
      <c r="AH14" s="46">
        <f t="shared" si="42"/>
        <v>0.141381165919283</v>
      </c>
      <c r="AI14" s="46">
        <f t="shared" si="42"/>
        <v>0.148502653525398</v>
      </c>
      <c r="AJ14" s="46">
        <f t="shared" si="42"/>
        <v>0.153887749393996</v>
      </c>
      <c r="AK14" s="48">
        <f t="shared" si="35"/>
        <v>0.136407825432656</v>
      </c>
      <c r="AL14" s="48">
        <f t="shared" si="36"/>
        <v>0.160316590024761</v>
      </c>
      <c r="AM14" s="36"/>
      <c r="AN14" s="36"/>
      <c r="AO14" s="46">
        <f t="shared" ref="AO14:AS14" si="43" xml:space="preserve">W14</f>
        <v>0.141165571837628</v>
      </c>
      <c r="AP14" s="46">
        <f t="shared" si="43"/>
        <v>0.136698032506416</v>
      </c>
      <c r="AQ14" s="46">
        <f t="shared" si="43"/>
        <v>0.141381165919283</v>
      </c>
      <c r="AR14" s="46">
        <f t="shared" si="43"/>
        <v>0.148502653525398</v>
      </c>
      <c r="AS14" s="46">
        <f t="shared" si="43"/>
        <v>0.153887749393996</v>
      </c>
      <c r="AT14" s="48">
        <f t="shared" si="38"/>
        <v>0.100823175319789</v>
      </c>
      <c r="AU14" s="48">
        <f t="shared" si="39"/>
        <v>0.118494870887867</v>
      </c>
      <c r="AZ14" s="35" t="s">
        <v>11</v>
      </c>
      <c r="BA14" s="43" t="s">
        <v>406</v>
      </c>
      <c r="BB14" s="44">
        <v>870.5</v>
      </c>
      <c r="BC14" s="46">
        <v>838.1</v>
      </c>
      <c r="BD14" s="46">
        <v>799</v>
      </c>
      <c r="BE14" s="46">
        <v>788.2</v>
      </c>
      <c r="BF14" s="46">
        <v>783.5</v>
      </c>
      <c r="BG14" s="46">
        <v>825.3</v>
      </c>
      <c r="BH14" s="46">
        <v>788.2</v>
      </c>
      <c r="BI14" s="46">
        <v>788.2</v>
      </c>
      <c r="BJ14" s="36"/>
      <c r="BK14" s="36"/>
      <c r="BL14" s="49"/>
      <c r="BM14" s="49"/>
      <c r="BN14" s="49"/>
      <c r="BO14" s="49"/>
    </row>
    <row r="15" ht="15.5" spans="1:67">
      <c r="A15" s="35"/>
      <c r="B15" s="43" t="s">
        <v>407</v>
      </c>
      <c r="C15" s="44">
        <f t="shared" ref="C15:J15" si="44" xml:space="preserve">BB15/1000</f>
        <v>0.8012</v>
      </c>
      <c r="D15" s="44">
        <f t="shared" si="44"/>
        <v>0.7738</v>
      </c>
      <c r="E15" s="44">
        <f t="shared" si="44"/>
        <v>0.7382</v>
      </c>
      <c r="F15" s="44">
        <f t="shared" si="44"/>
        <v>0.7285</v>
      </c>
      <c r="G15" s="44">
        <f t="shared" si="44"/>
        <v>0.7214</v>
      </c>
      <c r="H15" s="44">
        <f t="shared" si="44"/>
        <v>0.7613</v>
      </c>
      <c r="I15" s="44">
        <f t="shared" si="44"/>
        <v>0.7285</v>
      </c>
      <c r="J15" s="44">
        <f t="shared" si="44"/>
        <v>0.7285</v>
      </c>
      <c r="K15" s="36"/>
      <c r="L15" s="36"/>
      <c r="M15" s="49">
        <v>5.937</v>
      </c>
      <c r="N15" s="49">
        <v>5.845</v>
      </c>
      <c r="O15" s="49">
        <v>5.575</v>
      </c>
      <c r="P15" s="49">
        <v>5.276</v>
      </c>
      <c r="Q15" s="49">
        <v>5.363</v>
      </c>
      <c r="R15" s="49">
        <v>6.645</v>
      </c>
      <c r="S15" s="49">
        <v>5.654</v>
      </c>
      <c r="T15" s="49"/>
      <c r="U15" s="35"/>
      <c r="V15" s="43" t="s">
        <v>407</v>
      </c>
      <c r="W15" s="46">
        <f t="shared" ref="W15:AC15" si="45" xml:space="preserve">D15/M15</f>
        <v>0.130335186120936</v>
      </c>
      <c r="X15" s="46">
        <f t="shared" si="45"/>
        <v>0.126295979469632</v>
      </c>
      <c r="Y15" s="46">
        <f t="shared" si="45"/>
        <v>0.13067264573991</v>
      </c>
      <c r="Z15" s="46">
        <f t="shared" si="45"/>
        <v>0.136732373009856</v>
      </c>
      <c r="AA15" s="46">
        <f t="shared" si="45"/>
        <v>0.141954130151035</v>
      </c>
      <c r="AB15" s="47">
        <f t="shared" si="45"/>
        <v>0.109631301730625</v>
      </c>
      <c r="AC15" s="47">
        <f t="shared" si="45"/>
        <v>0.128846834099752</v>
      </c>
      <c r="AD15" s="36"/>
      <c r="AE15" s="36"/>
      <c r="AF15" s="46">
        <f t="shared" ref="AF15:AJ15" si="46" xml:space="preserve">W15</f>
        <v>0.130335186120936</v>
      </c>
      <c r="AG15" s="46">
        <f t="shared" si="46"/>
        <v>0.126295979469632</v>
      </c>
      <c r="AH15" s="46">
        <f t="shared" si="46"/>
        <v>0.13067264573991</v>
      </c>
      <c r="AI15" s="46">
        <f t="shared" si="46"/>
        <v>0.136732373009856</v>
      </c>
      <c r="AJ15" s="46">
        <f t="shared" si="46"/>
        <v>0.141954130151035</v>
      </c>
      <c r="AK15" s="48">
        <f t="shared" si="35"/>
        <v>0.126075996990218</v>
      </c>
      <c r="AL15" s="48">
        <f t="shared" si="36"/>
        <v>0.148173859214715</v>
      </c>
      <c r="AM15" s="36"/>
      <c r="AN15" s="36"/>
      <c r="AO15" s="46">
        <f t="shared" ref="AO15:AS15" si="47" xml:space="preserve">W15</f>
        <v>0.130335186120936</v>
      </c>
      <c r="AP15" s="46">
        <f t="shared" si="47"/>
        <v>0.126295979469632</v>
      </c>
      <c r="AQ15" s="46">
        <f t="shared" si="47"/>
        <v>0.13067264573991</v>
      </c>
      <c r="AR15" s="46">
        <f t="shared" si="47"/>
        <v>0.136732373009856</v>
      </c>
      <c r="AS15" s="46">
        <f t="shared" si="47"/>
        <v>0.141954130151035</v>
      </c>
      <c r="AT15" s="48">
        <f t="shared" si="38"/>
        <v>0.0931866064710309</v>
      </c>
      <c r="AU15" s="48">
        <f t="shared" si="39"/>
        <v>0.10951980898479</v>
      </c>
      <c r="AZ15" s="35"/>
      <c r="BA15" s="43" t="s">
        <v>407</v>
      </c>
      <c r="BB15" s="44">
        <v>801.2</v>
      </c>
      <c r="BC15" s="46">
        <v>773.8</v>
      </c>
      <c r="BD15" s="46">
        <v>738.2</v>
      </c>
      <c r="BE15" s="46">
        <v>728.5</v>
      </c>
      <c r="BF15" s="46">
        <v>721.4</v>
      </c>
      <c r="BG15" s="46">
        <v>761.3</v>
      </c>
      <c r="BH15" s="46">
        <v>728.5</v>
      </c>
      <c r="BI15" s="46">
        <v>728.5</v>
      </c>
      <c r="BJ15" s="36"/>
      <c r="BK15" s="36"/>
      <c r="BL15" s="49"/>
      <c r="BM15" s="49"/>
      <c r="BN15" s="49"/>
      <c r="BO15" s="49"/>
    </row>
    <row r="16" ht="15.5" spans="1:67">
      <c r="A16" s="35"/>
      <c r="B16" s="43" t="s">
        <v>408</v>
      </c>
      <c r="C16" s="44">
        <f t="shared" ref="C16:J16" si="48" xml:space="preserve">BB16/1000</f>
        <v>0.3021</v>
      </c>
      <c r="D16" s="44">
        <f t="shared" si="48"/>
        <v>0.2654</v>
      </c>
      <c r="E16" s="44">
        <f t="shared" si="48"/>
        <v>0.2502</v>
      </c>
      <c r="F16" s="44">
        <f t="shared" si="48"/>
        <v>0.246</v>
      </c>
      <c r="G16" s="44">
        <f t="shared" si="48"/>
        <v>0.2408</v>
      </c>
      <c r="H16" s="44">
        <f t="shared" si="48"/>
        <v>0.2506</v>
      </c>
      <c r="I16" s="44">
        <f t="shared" si="48"/>
        <v>0.246</v>
      </c>
      <c r="J16" s="44">
        <f t="shared" si="48"/>
        <v>0.246</v>
      </c>
      <c r="K16" s="36"/>
      <c r="L16" s="36"/>
      <c r="M16" s="49">
        <v>5.937</v>
      </c>
      <c r="N16" s="49">
        <v>5.845</v>
      </c>
      <c r="O16" s="49">
        <v>5.575</v>
      </c>
      <c r="P16" s="49">
        <v>5.276</v>
      </c>
      <c r="Q16" s="49">
        <v>5.363</v>
      </c>
      <c r="R16" s="49">
        <v>6.645</v>
      </c>
      <c r="S16" s="49">
        <v>5.654</v>
      </c>
      <c r="T16" s="49"/>
      <c r="U16" s="35"/>
      <c r="V16" s="43" t="s">
        <v>408</v>
      </c>
      <c r="W16" s="46">
        <f t="shared" ref="W16:AC16" si="49" xml:space="preserve">D16/M16</f>
        <v>0.0447027118073101</v>
      </c>
      <c r="X16" s="46">
        <f t="shared" si="49"/>
        <v>0.0428058169375535</v>
      </c>
      <c r="Y16" s="46">
        <f t="shared" si="49"/>
        <v>0.0441255605381166</v>
      </c>
      <c r="Z16" s="46">
        <f t="shared" si="49"/>
        <v>0.0456406368460955</v>
      </c>
      <c r="AA16" s="46">
        <f t="shared" si="49"/>
        <v>0.0467275778482193</v>
      </c>
      <c r="AB16" s="47">
        <f t="shared" si="49"/>
        <v>0.037020316027088</v>
      </c>
      <c r="AC16" s="47">
        <f t="shared" si="49"/>
        <v>0.0435090201627167</v>
      </c>
      <c r="AD16" s="36"/>
      <c r="AE16" s="36"/>
      <c r="AF16" s="46">
        <f t="shared" ref="AF16:AJ16" si="50" xml:space="preserve">W16</f>
        <v>0.0447027118073101</v>
      </c>
      <c r="AG16" s="46">
        <f t="shared" si="50"/>
        <v>0.0428058169375535</v>
      </c>
      <c r="AH16" s="46">
        <f t="shared" si="50"/>
        <v>0.0441255605381166</v>
      </c>
      <c r="AI16" s="46">
        <f t="shared" si="50"/>
        <v>0.0456406368460955</v>
      </c>
      <c r="AJ16" s="46">
        <f t="shared" si="50"/>
        <v>0.0467275778482193</v>
      </c>
      <c r="AK16" s="48">
        <f t="shared" si="35"/>
        <v>0.0425733634311512</v>
      </c>
      <c r="AL16" s="48">
        <f t="shared" si="36"/>
        <v>0.0500353731871242</v>
      </c>
      <c r="AM16" s="36"/>
      <c r="AN16" s="36"/>
      <c r="AO16" s="46">
        <f t="shared" ref="AO16:AS16" si="51" xml:space="preserve">W16</f>
        <v>0.0447027118073101</v>
      </c>
      <c r="AP16" s="46">
        <f t="shared" si="51"/>
        <v>0.0428058169375535</v>
      </c>
      <c r="AQ16" s="46">
        <f t="shared" si="51"/>
        <v>0.0441255605381166</v>
      </c>
      <c r="AR16" s="46">
        <f t="shared" si="51"/>
        <v>0.0456406368460955</v>
      </c>
      <c r="AS16" s="46">
        <f t="shared" si="51"/>
        <v>0.0467275778482193</v>
      </c>
      <c r="AT16" s="48">
        <f t="shared" si="38"/>
        <v>0.0314672686230248</v>
      </c>
      <c r="AU16" s="48">
        <f t="shared" si="39"/>
        <v>0.0369826671383092</v>
      </c>
      <c r="AZ16" s="35"/>
      <c r="BA16" s="43" t="s">
        <v>408</v>
      </c>
      <c r="BB16" s="44">
        <v>302.1</v>
      </c>
      <c r="BC16" s="46">
        <v>265.4</v>
      </c>
      <c r="BD16" s="46">
        <v>250.2</v>
      </c>
      <c r="BE16" s="46">
        <v>246</v>
      </c>
      <c r="BF16" s="46">
        <v>240.8</v>
      </c>
      <c r="BG16" s="46">
        <v>250.6</v>
      </c>
      <c r="BH16" s="46">
        <v>246</v>
      </c>
      <c r="BI16" s="46">
        <v>246</v>
      </c>
      <c r="BJ16" s="36"/>
      <c r="BK16" s="36"/>
      <c r="BL16" s="49"/>
      <c r="BM16" s="49"/>
      <c r="BN16" s="49"/>
      <c r="BO16" s="49"/>
    </row>
    <row r="17" ht="15.5" spans="1:67">
      <c r="A17" s="35"/>
      <c r="B17" s="43" t="s">
        <v>409</v>
      </c>
      <c r="C17" s="44">
        <f t="shared" ref="C17:J17" si="52" xml:space="preserve">BB17/1000</f>
        <v>0.4137</v>
      </c>
      <c r="D17" s="44">
        <f t="shared" si="52"/>
        <v>0.4304</v>
      </c>
      <c r="E17" s="44">
        <f t="shared" si="52"/>
        <v>0.4127</v>
      </c>
      <c r="F17" s="44">
        <f t="shared" si="52"/>
        <v>0.4081</v>
      </c>
      <c r="G17" s="44">
        <f t="shared" si="52"/>
        <v>0.4037</v>
      </c>
      <c r="H17" s="44">
        <f t="shared" si="52"/>
        <v>0.4311</v>
      </c>
      <c r="I17" s="44">
        <f t="shared" si="52"/>
        <v>0.4081</v>
      </c>
      <c r="J17" s="44">
        <f t="shared" si="52"/>
        <v>0.4081</v>
      </c>
      <c r="K17" s="36"/>
      <c r="L17" s="36"/>
      <c r="M17" s="49">
        <v>5.937</v>
      </c>
      <c r="N17" s="49">
        <v>5.845</v>
      </c>
      <c r="O17" s="49">
        <v>5.575</v>
      </c>
      <c r="P17" s="49">
        <v>5.276</v>
      </c>
      <c r="Q17" s="49">
        <v>5.363</v>
      </c>
      <c r="R17" s="49">
        <v>6.645</v>
      </c>
      <c r="S17" s="49">
        <v>5.654</v>
      </c>
      <c r="T17" s="49"/>
      <c r="U17" s="35"/>
      <c r="V17" s="43" t="s">
        <v>409</v>
      </c>
      <c r="W17" s="46">
        <f t="shared" ref="W17:AC17" si="53" xml:space="preserve">D17/M17</f>
        <v>0.0724945258548088</v>
      </c>
      <c r="X17" s="46">
        <f t="shared" si="53"/>
        <v>0.0706073567151412</v>
      </c>
      <c r="Y17" s="46">
        <f t="shared" si="53"/>
        <v>0.0732017937219731</v>
      </c>
      <c r="Z17" s="46">
        <f t="shared" si="53"/>
        <v>0.076516300227445</v>
      </c>
      <c r="AA17" s="46">
        <f t="shared" si="53"/>
        <v>0.0803841133693828</v>
      </c>
      <c r="AB17" s="47">
        <f t="shared" si="53"/>
        <v>0.0614145974416855</v>
      </c>
      <c r="AC17" s="47">
        <f t="shared" si="53"/>
        <v>0.0721789883268483</v>
      </c>
      <c r="AD17" s="36"/>
      <c r="AE17" s="36"/>
      <c r="AF17" s="46">
        <f t="shared" ref="AF17:AJ17" si="54" xml:space="preserve">W17</f>
        <v>0.0724945258548088</v>
      </c>
      <c r="AG17" s="46">
        <f t="shared" si="54"/>
        <v>0.0706073567151412</v>
      </c>
      <c r="AH17" s="46">
        <f t="shared" si="54"/>
        <v>0.0732017937219731</v>
      </c>
      <c r="AI17" s="46">
        <f t="shared" si="54"/>
        <v>0.076516300227445</v>
      </c>
      <c r="AJ17" s="46">
        <f t="shared" si="54"/>
        <v>0.0803841133693828</v>
      </c>
      <c r="AK17" s="48">
        <f t="shared" si="35"/>
        <v>0.0706267870579383</v>
      </c>
      <c r="AL17" s="48">
        <f t="shared" si="36"/>
        <v>0.0830058365758755</v>
      </c>
      <c r="AM17" s="36"/>
      <c r="AN17" s="36"/>
      <c r="AO17" s="46">
        <f t="shared" ref="AO17:AS17" si="55" xml:space="preserve">W17</f>
        <v>0.0724945258548088</v>
      </c>
      <c r="AP17" s="46">
        <f t="shared" si="55"/>
        <v>0.0706073567151412</v>
      </c>
      <c r="AQ17" s="46">
        <f t="shared" si="55"/>
        <v>0.0732017937219731</v>
      </c>
      <c r="AR17" s="46">
        <f t="shared" si="55"/>
        <v>0.076516300227445</v>
      </c>
      <c r="AS17" s="46">
        <f t="shared" si="55"/>
        <v>0.0803841133693828</v>
      </c>
      <c r="AT17" s="48">
        <f t="shared" si="38"/>
        <v>0.0522024078254327</v>
      </c>
      <c r="AU17" s="48">
        <f t="shared" si="39"/>
        <v>0.061352140077821</v>
      </c>
      <c r="AZ17" s="35"/>
      <c r="BA17" s="43" t="s">
        <v>409</v>
      </c>
      <c r="BB17" s="44">
        <v>413.7</v>
      </c>
      <c r="BC17" s="46">
        <v>430.4</v>
      </c>
      <c r="BD17" s="46">
        <v>412.7</v>
      </c>
      <c r="BE17" s="46">
        <v>408.1</v>
      </c>
      <c r="BF17" s="46">
        <v>403.7</v>
      </c>
      <c r="BG17" s="46">
        <v>431.1</v>
      </c>
      <c r="BH17" s="46">
        <v>408.1</v>
      </c>
      <c r="BI17" s="46">
        <v>408.1</v>
      </c>
      <c r="BJ17" s="36"/>
      <c r="BK17" s="36"/>
      <c r="BL17" s="49"/>
      <c r="BM17" s="49"/>
      <c r="BN17" s="49"/>
      <c r="BO17" s="49"/>
    </row>
    <row r="18" ht="15.5" spans="1:67">
      <c r="A18" s="35"/>
      <c r="B18" s="43" t="s">
        <v>410</v>
      </c>
      <c r="C18" s="44">
        <f t="shared" ref="C18:J18" si="56" xml:space="preserve">BB18/1000</f>
        <v>0.0853</v>
      </c>
      <c r="D18" s="44">
        <f t="shared" si="56"/>
        <v>0.0781</v>
      </c>
      <c r="E18" s="44">
        <f t="shared" si="56"/>
        <v>0.0752</v>
      </c>
      <c r="F18" s="44">
        <f t="shared" si="56"/>
        <v>0.0743</v>
      </c>
      <c r="G18" s="44">
        <f t="shared" si="56"/>
        <v>0.0768</v>
      </c>
      <c r="H18" s="44">
        <f t="shared" si="56"/>
        <v>0.0797</v>
      </c>
      <c r="I18" s="44">
        <f t="shared" si="56"/>
        <v>0.0743</v>
      </c>
      <c r="J18" s="44">
        <f t="shared" si="56"/>
        <v>0.0743</v>
      </c>
      <c r="K18" s="36"/>
      <c r="L18" s="36"/>
      <c r="M18" s="49">
        <v>5.937</v>
      </c>
      <c r="N18" s="49">
        <v>5.845</v>
      </c>
      <c r="O18" s="49">
        <v>5.575</v>
      </c>
      <c r="P18" s="49">
        <v>5.276</v>
      </c>
      <c r="Q18" s="49">
        <v>5.363</v>
      </c>
      <c r="R18" s="49">
        <v>6.645</v>
      </c>
      <c r="S18" s="49">
        <v>5.654</v>
      </c>
      <c r="T18" s="49"/>
      <c r="U18" s="35"/>
      <c r="V18" s="43" t="s">
        <v>410</v>
      </c>
      <c r="W18" s="46">
        <f t="shared" ref="W18:AC18" si="57" xml:space="preserve">D18/M18</f>
        <v>0.0131547919824827</v>
      </c>
      <c r="X18" s="46">
        <f t="shared" si="57"/>
        <v>0.0128656971770744</v>
      </c>
      <c r="Y18" s="46">
        <f t="shared" si="57"/>
        <v>0.0133273542600897</v>
      </c>
      <c r="Z18" s="46">
        <f t="shared" si="57"/>
        <v>0.0145564821834723</v>
      </c>
      <c r="AA18" s="46">
        <f t="shared" si="57"/>
        <v>0.0148610852134999</v>
      </c>
      <c r="AB18" s="47">
        <f t="shared" si="57"/>
        <v>0.0111813393528969</v>
      </c>
      <c r="AC18" s="47">
        <f t="shared" si="57"/>
        <v>0.0131411390166254</v>
      </c>
      <c r="AD18" s="36"/>
      <c r="AE18" s="36"/>
      <c r="AF18" s="46">
        <f t="shared" ref="AF18:AJ18" si="58" xml:space="preserve">W18</f>
        <v>0.0131547919824827</v>
      </c>
      <c r="AG18" s="46">
        <f t="shared" si="58"/>
        <v>0.0128656971770744</v>
      </c>
      <c r="AH18" s="46">
        <f t="shared" si="58"/>
        <v>0.0133273542600897</v>
      </c>
      <c r="AI18" s="46">
        <f t="shared" si="58"/>
        <v>0.0145564821834723</v>
      </c>
      <c r="AJ18" s="46">
        <f t="shared" si="58"/>
        <v>0.0148610852134999</v>
      </c>
      <c r="AK18" s="48">
        <f t="shared" si="35"/>
        <v>0.0128585402558315</v>
      </c>
      <c r="AL18" s="48">
        <f t="shared" si="36"/>
        <v>0.0151123098691192</v>
      </c>
      <c r="AM18" s="36"/>
      <c r="AN18" s="36"/>
      <c r="AO18" s="46">
        <f t="shared" ref="AO18:AS18" si="59" xml:space="preserve">W18</f>
        <v>0.0131547919824827</v>
      </c>
      <c r="AP18" s="46">
        <f t="shared" si="59"/>
        <v>0.0128656971770744</v>
      </c>
      <c r="AQ18" s="46">
        <f t="shared" si="59"/>
        <v>0.0133273542600897</v>
      </c>
      <c r="AR18" s="46">
        <f t="shared" si="59"/>
        <v>0.0145564821834723</v>
      </c>
      <c r="AS18" s="46">
        <f t="shared" si="59"/>
        <v>0.0148610852134999</v>
      </c>
      <c r="AT18" s="48">
        <f t="shared" si="38"/>
        <v>0.00950413844996238</v>
      </c>
      <c r="AU18" s="48">
        <f t="shared" si="39"/>
        <v>0.0111699681641316</v>
      </c>
      <c r="AZ18" s="35"/>
      <c r="BA18" s="43" t="s">
        <v>410</v>
      </c>
      <c r="BB18" s="44">
        <v>85.3</v>
      </c>
      <c r="BC18" s="46">
        <v>78.1</v>
      </c>
      <c r="BD18" s="46">
        <v>75.2</v>
      </c>
      <c r="BE18" s="46">
        <v>74.3</v>
      </c>
      <c r="BF18" s="46">
        <v>76.8</v>
      </c>
      <c r="BG18" s="46">
        <v>79.7</v>
      </c>
      <c r="BH18" s="46">
        <v>74.3</v>
      </c>
      <c r="BI18" s="46">
        <v>74.3</v>
      </c>
      <c r="BJ18" s="36"/>
      <c r="BK18" s="36"/>
      <c r="BL18" s="49"/>
      <c r="BM18" s="49"/>
      <c r="BN18" s="49"/>
      <c r="BO18" s="49"/>
    </row>
    <row r="19" ht="15.5" spans="1:67">
      <c r="A19" s="36"/>
      <c r="B19" s="36"/>
      <c r="C19" s="39"/>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Z19" s="36"/>
      <c r="BA19" s="36"/>
      <c r="BB19" s="39"/>
      <c r="BC19" s="36"/>
      <c r="BD19" s="36"/>
      <c r="BE19" s="36"/>
      <c r="BF19" s="36"/>
      <c r="BG19" s="36"/>
      <c r="BH19" s="36"/>
      <c r="BI19" s="36"/>
      <c r="BJ19" s="36"/>
      <c r="BK19" s="36"/>
      <c r="BL19" s="36"/>
      <c r="BM19" s="36"/>
      <c r="BN19" s="36"/>
      <c r="BO19" s="36"/>
    </row>
    <row r="20" ht="15.5" spans="1:67">
      <c r="A20" s="36"/>
      <c r="B20" s="36"/>
      <c r="C20" s="39"/>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Z20" s="36"/>
      <c r="BA20" s="36"/>
      <c r="BB20" s="39"/>
      <c r="BC20" s="36"/>
      <c r="BD20" s="36"/>
      <c r="BE20" s="36"/>
      <c r="BF20" s="36"/>
      <c r="BG20" s="36"/>
      <c r="BH20" s="36"/>
      <c r="BI20" s="36"/>
      <c r="BJ20" s="36"/>
      <c r="BK20" s="36"/>
      <c r="BL20" s="36"/>
      <c r="BM20" s="36"/>
      <c r="BN20" s="36"/>
      <c r="BO20" s="36"/>
    </row>
    <row r="21" ht="15.5" spans="1:67">
      <c r="A21" s="35" t="s">
        <v>423</v>
      </c>
      <c r="B21" s="35"/>
      <c r="C21" s="35"/>
      <c r="D21" s="35"/>
      <c r="E21" s="35"/>
      <c r="F21" s="35"/>
      <c r="G21" s="35"/>
      <c r="H21" s="35"/>
      <c r="I21" s="35"/>
      <c r="J21" s="35"/>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Z21" s="35" t="s">
        <v>423</v>
      </c>
      <c r="BA21" s="35"/>
      <c r="BB21" s="35"/>
      <c r="BC21" s="35"/>
      <c r="BD21" s="35"/>
      <c r="BE21" s="35"/>
      <c r="BF21" s="35"/>
      <c r="BG21" s="35"/>
      <c r="BH21" s="35"/>
      <c r="BI21" s="35"/>
      <c r="BJ21" s="36"/>
      <c r="BK21" s="36"/>
      <c r="BL21" s="36"/>
      <c r="BM21" s="36"/>
      <c r="BN21" s="36"/>
      <c r="BO21" s="36"/>
    </row>
    <row r="22" ht="15.5" spans="1:67">
      <c r="A22" s="35" t="s">
        <v>394</v>
      </c>
      <c r="B22" s="35" t="s">
        <v>424</v>
      </c>
      <c r="C22" s="35" t="s">
        <v>396</v>
      </c>
      <c r="D22" s="35"/>
      <c r="E22" s="35"/>
      <c r="F22" s="35"/>
      <c r="G22" s="35"/>
      <c r="H22" s="35"/>
      <c r="I22" s="35"/>
      <c r="J22" s="35"/>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Z22" s="35" t="s">
        <v>394</v>
      </c>
      <c r="BA22" s="35" t="s">
        <v>424</v>
      </c>
      <c r="BB22" s="35" t="s">
        <v>396</v>
      </c>
      <c r="BC22" s="35"/>
      <c r="BD22" s="35"/>
      <c r="BE22" s="35"/>
      <c r="BF22" s="35"/>
      <c r="BG22" s="35"/>
      <c r="BH22" s="35"/>
      <c r="BI22" s="35"/>
      <c r="BJ22" s="36"/>
      <c r="BK22" s="36"/>
      <c r="BL22" s="36"/>
      <c r="BM22" s="36"/>
      <c r="BN22" s="36"/>
      <c r="BO22" s="36"/>
    </row>
    <row r="23" ht="30" spans="1:67">
      <c r="A23" s="35"/>
      <c r="B23" s="35"/>
      <c r="C23" s="39" t="s">
        <v>397</v>
      </c>
      <c r="D23" s="36" t="s">
        <v>398</v>
      </c>
      <c r="E23" s="36" t="s">
        <v>399</v>
      </c>
      <c r="F23" s="40" t="s">
        <v>400</v>
      </c>
      <c r="G23" s="36" t="s">
        <v>401</v>
      </c>
      <c r="H23" s="36" t="s">
        <v>402</v>
      </c>
      <c r="I23" s="36" t="s">
        <v>403</v>
      </c>
      <c r="J23" s="36" t="s">
        <v>404</v>
      </c>
      <c r="K23" s="36"/>
      <c r="L23" s="36"/>
      <c r="M23" s="36" t="s">
        <v>398</v>
      </c>
      <c r="N23" s="36" t="s">
        <v>399</v>
      </c>
      <c r="O23" s="36" t="s">
        <v>400</v>
      </c>
      <c r="P23" s="36" t="s">
        <v>401</v>
      </c>
      <c r="Q23" s="36" t="s">
        <v>402</v>
      </c>
      <c r="R23" s="36" t="s">
        <v>403</v>
      </c>
      <c r="S23" s="36" t="s">
        <v>404</v>
      </c>
      <c r="T23" s="36"/>
      <c r="U23" s="36"/>
      <c r="V23" s="38" t="s">
        <v>422</v>
      </c>
      <c r="W23" s="36" t="s">
        <v>398</v>
      </c>
      <c r="X23" s="36" t="s">
        <v>399</v>
      </c>
      <c r="Y23" s="40" t="s">
        <v>400</v>
      </c>
      <c r="Z23" s="36" t="s">
        <v>401</v>
      </c>
      <c r="AA23" s="36" t="s">
        <v>402</v>
      </c>
      <c r="AB23" s="42" t="s">
        <v>403</v>
      </c>
      <c r="AC23" s="42" t="s">
        <v>404</v>
      </c>
      <c r="AD23" s="36"/>
      <c r="AE23" s="36"/>
      <c r="AF23" s="36" t="s">
        <v>398</v>
      </c>
      <c r="AG23" s="36" t="s">
        <v>399</v>
      </c>
      <c r="AH23" s="40" t="s">
        <v>400</v>
      </c>
      <c r="AI23" s="36" t="s">
        <v>401</v>
      </c>
      <c r="AJ23" s="36" t="s">
        <v>402</v>
      </c>
      <c r="AK23" s="42" t="s">
        <v>403</v>
      </c>
      <c r="AL23" s="42" t="s">
        <v>404</v>
      </c>
      <c r="AM23" s="36"/>
      <c r="AN23" s="36"/>
      <c r="AO23" s="36" t="s">
        <v>398</v>
      </c>
      <c r="AP23" s="36" t="s">
        <v>399</v>
      </c>
      <c r="AQ23" s="40" t="s">
        <v>400</v>
      </c>
      <c r="AR23" s="36" t="s">
        <v>401</v>
      </c>
      <c r="AS23" s="36" t="s">
        <v>402</v>
      </c>
      <c r="AT23" s="42" t="s">
        <v>403</v>
      </c>
      <c r="AU23" s="42" t="s">
        <v>404</v>
      </c>
      <c r="AZ23" s="35"/>
      <c r="BA23" s="35"/>
      <c r="BB23" s="39" t="s">
        <v>397</v>
      </c>
      <c r="BC23" s="36" t="s">
        <v>398</v>
      </c>
      <c r="BD23" s="36" t="s">
        <v>399</v>
      </c>
      <c r="BE23" s="40" t="s">
        <v>400</v>
      </c>
      <c r="BF23" s="36" t="s">
        <v>401</v>
      </c>
      <c r="BG23" s="36" t="s">
        <v>402</v>
      </c>
      <c r="BH23" s="36" t="s">
        <v>403</v>
      </c>
      <c r="BI23" s="36" t="s">
        <v>404</v>
      </c>
      <c r="BJ23" s="36"/>
      <c r="BK23" s="36"/>
      <c r="BL23" s="36"/>
      <c r="BM23" s="36"/>
      <c r="BN23" s="36"/>
      <c r="BO23" s="36"/>
    </row>
    <row r="24" ht="15.5" spans="1:67">
      <c r="A24" s="35" t="s">
        <v>405</v>
      </c>
      <c r="B24" s="43" t="s">
        <v>406</v>
      </c>
      <c r="C24" s="44">
        <f t="shared" ref="C24:J24" si="60" xml:space="preserve">BB24/1000</f>
        <v>0.8898</v>
      </c>
      <c r="D24" s="44">
        <f t="shared" si="60"/>
        <v>0.8432</v>
      </c>
      <c r="E24" s="44">
        <f t="shared" si="60"/>
        <v>0.8038</v>
      </c>
      <c r="F24" s="44">
        <f t="shared" si="60"/>
        <v>0.7946</v>
      </c>
      <c r="G24" s="44">
        <f t="shared" si="60"/>
        <v>0.7665</v>
      </c>
      <c r="H24" s="44">
        <f t="shared" si="60"/>
        <v>0.8066</v>
      </c>
      <c r="I24" s="44">
        <f t="shared" si="60"/>
        <v>0.7946</v>
      </c>
      <c r="J24" s="44">
        <f t="shared" si="60"/>
        <v>0.7946</v>
      </c>
      <c r="K24" s="36"/>
      <c r="L24" s="36"/>
      <c r="M24" s="45">
        <v>5.937</v>
      </c>
      <c r="N24" s="45">
        <v>5.845</v>
      </c>
      <c r="O24" s="45">
        <v>5.575</v>
      </c>
      <c r="P24" s="45">
        <v>5.276</v>
      </c>
      <c r="Q24" s="45">
        <v>5.363</v>
      </c>
      <c r="R24" s="45">
        <v>6.645</v>
      </c>
      <c r="S24" s="45">
        <v>5.654</v>
      </c>
      <c r="T24" s="45"/>
      <c r="U24" s="35" t="s">
        <v>405</v>
      </c>
      <c r="V24" s="43" t="s">
        <v>406</v>
      </c>
      <c r="W24" s="46">
        <f t="shared" ref="W24:AC24" si="61" xml:space="preserve">D24/M24</f>
        <v>0.142024591544551</v>
      </c>
      <c r="X24" s="46">
        <f t="shared" si="61"/>
        <v>0.137519247219846</v>
      </c>
      <c r="Y24" s="46">
        <f t="shared" si="61"/>
        <v>0.142529147982063</v>
      </c>
      <c r="Z24" s="46">
        <f t="shared" si="61"/>
        <v>0.145280515542077</v>
      </c>
      <c r="AA24" s="46">
        <f t="shared" si="61"/>
        <v>0.150400895021443</v>
      </c>
      <c r="AB24" s="47">
        <f t="shared" si="61"/>
        <v>0.119578630549285</v>
      </c>
      <c r="AC24" s="47">
        <f t="shared" si="61"/>
        <v>0.140537672444287</v>
      </c>
      <c r="AD24" s="36"/>
      <c r="AE24" s="36"/>
      <c r="AF24" s="46">
        <f t="shared" ref="AF24:AJ24" si="62" xml:space="preserve">W24</f>
        <v>0.142024591544551</v>
      </c>
      <c r="AG24" s="46">
        <f t="shared" si="62"/>
        <v>0.137519247219846</v>
      </c>
      <c r="AH24" s="46">
        <f t="shared" si="62"/>
        <v>0.142529147982063</v>
      </c>
      <c r="AI24" s="46">
        <f t="shared" si="62"/>
        <v>0.145280515542077</v>
      </c>
      <c r="AJ24" s="46">
        <f t="shared" si="62"/>
        <v>0.150400895021443</v>
      </c>
      <c r="AK24" s="48">
        <f t="shared" ref="AK24:AK38" si="63" xml:space="preserve">AB24*1.15</f>
        <v>0.137515425131678</v>
      </c>
      <c r="AL24" s="48">
        <f t="shared" ref="AL24:AL38" si="64" xml:space="preserve">AC24*1.15</f>
        <v>0.16161832331093</v>
      </c>
      <c r="AM24" s="36"/>
      <c r="AN24" s="36"/>
      <c r="AO24" s="46">
        <f t="shared" ref="AO24:AS24" si="65" xml:space="preserve">W24</f>
        <v>0.142024591544551</v>
      </c>
      <c r="AP24" s="46">
        <f t="shared" si="65"/>
        <v>0.137519247219846</v>
      </c>
      <c r="AQ24" s="46">
        <f t="shared" si="65"/>
        <v>0.142529147982063</v>
      </c>
      <c r="AR24" s="46">
        <f t="shared" si="65"/>
        <v>0.145280515542077</v>
      </c>
      <c r="AS24" s="46">
        <f t="shared" si="65"/>
        <v>0.150400895021443</v>
      </c>
      <c r="AT24" s="48">
        <f t="shared" ref="AT24:AT38" si="66" xml:space="preserve">AB24*0.85</f>
        <v>0.101641835966892</v>
      </c>
      <c r="AU24" s="48">
        <f t="shared" ref="AU24:AU38" si="67" xml:space="preserve">AC24*0.85</f>
        <v>0.119457021577644</v>
      </c>
      <c r="AZ24" s="35" t="s">
        <v>405</v>
      </c>
      <c r="BA24" s="43" t="s">
        <v>406</v>
      </c>
      <c r="BB24" s="44">
        <v>889.8</v>
      </c>
      <c r="BC24" s="46">
        <v>843.2</v>
      </c>
      <c r="BD24" s="46">
        <v>803.8</v>
      </c>
      <c r="BE24" s="46">
        <v>794.6</v>
      </c>
      <c r="BF24" s="46">
        <v>766.5</v>
      </c>
      <c r="BG24" s="46">
        <v>806.6</v>
      </c>
      <c r="BH24" s="46">
        <v>794.6</v>
      </c>
      <c r="BI24" s="46">
        <v>794.6</v>
      </c>
      <c r="BJ24" s="36"/>
      <c r="BK24" s="36"/>
      <c r="BL24" s="45"/>
      <c r="BM24" s="45"/>
      <c r="BN24" s="45"/>
      <c r="BO24" s="45"/>
    </row>
    <row r="25" ht="15.5" spans="1:67">
      <c r="A25" s="35"/>
      <c r="B25" s="43" t="s">
        <v>407</v>
      </c>
      <c r="C25" s="44">
        <f t="shared" ref="C25:J25" si="68" xml:space="preserve">BB25/1000</f>
        <v>0.8124</v>
      </c>
      <c r="D25" s="44">
        <f t="shared" si="68"/>
        <v>0.7746</v>
      </c>
      <c r="E25" s="44">
        <f t="shared" si="68"/>
        <v>0.739</v>
      </c>
      <c r="F25" s="44">
        <f t="shared" si="68"/>
        <v>0.7307</v>
      </c>
      <c r="G25" s="44">
        <f t="shared" si="68"/>
        <v>0.7045</v>
      </c>
      <c r="H25" s="44">
        <f t="shared" si="68"/>
        <v>0.7424</v>
      </c>
      <c r="I25" s="44">
        <f t="shared" si="68"/>
        <v>0.7307</v>
      </c>
      <c r="J25" s="44">
        <f t="shared" si="68"/>
        <v>0.7307</v>
      </c>
      <c r="K25" s="36"/>
      <c r="L25" s="36"/>
      <c r="M25" s="49">
        <v>5.937</v>
      </c>
      <c r="N25" s="49">
        <v>5.845</v>
      </c>
      <c r="O25" s="49">
        <v>5.575</v>
      </c>
      <c r="P25" s="49">
        <v>5.276</v>
      </c>
      <c r="Q25" s="49">
        <v>5.363</v>
      </c>
      <c r="R25" s="49">
        <v>6.645</v>
      </c>
      <c r="S25" s="49">
        <v>5.654</v>
      </c>
      <c r="T25" s="49"/>
      <c r="U25" s="35"/>
      <c r="V25" s="43" t="s">
        <v>407</v>
      </c>
      <c r="W25" s="46">
        <f t="shared" ref="W25:AC25" si="69" xml:space="preserve">D25/M25</f>
        <v>0.130469934310258</v>
      </c>
      <c r="X25" s="46">
        <f t="shared" si="69"/>
        <v>0.126432848588537</v>
      </c>
      <c r="Y25" s="46">
        <f t="shared" si="69"/>
        <v>0.131067264573991</v>
      </c>
      <c r="Z25" s="46">
        <f t="shared" si="69"/>
        <v>0.133529188779378</v>
      </c>
      <c r="AA25" s="46">
        <f t="shared" si="69"/>
        <v>0.138429983218348</v>
      </c>
      <c r="AB25" s="47">
        <f t="shared" si="69"/>
        <v>0.109962377727615</v>
      </c>
      <c r="AC25" s="47">
        <f t="shared" si="69"/>
        <v>0.129235939158118</v>
      </c>
      <c r="AD25" s="36"/>
      <c r="AE25" s="36"/>
      <c r="AF25" s="46">
        <f t="shared" ref="AF25:AJ25" si="70" xml:space="preserve">W25</f>
        <v>0.130469934310258</v>
      </c>
      <c r="AG25" s="46">
        <f t="shared" si="70"/>
        <v>0.126432848588537</v>
      </c>
      <c r="AH25" s="46">
        <f t="shared" si="70"/>
        <v>0.131067264573991</v>
      </c>
      <c r="AI25" s="46">
        <f t="shared" si="70"/>
        <v>0.133529188779378</v>
      </c>
      <c r="AJ25" s="46">
        <f t="shared" si="70"/>
        <v>0.138429983218348</v>
      </c>
      <c r="AK25" s="48">
        <f t="shared" si="63"/>
        <v>0.126456734386757</v>
      </c>
      <c r="AL25" s="48">
        <f t="shared" si="64"/>
        <v>0.148621330031836</v>
      </c>
      <c r="AM25" s="36"/>
      <c r="AN25" s="36"/>
      <c r="AO25" s="46">
        <f t="shared" ref="AO25:AS25" si="71" xml:space="preserve">W25</f>
        <v>0.130469934310258</v>
      </c>
      <c r="AP25" s="46">
        <f t="shared" si="71"/>
        <v>0.126432848588537</v>
      </c>
      <c r="AQ25" s="46">
        <f t="shared" si="71"/>
        <v>0.131067264573991</v>
      </c>
      <c r="AR25" s="46">
        <f t="shared" si="71"/>
        <v>0.133529188779378</v>
      </c>
      <c r="AS25" s="46">
        <f t="shared" si="71"/>
        <v>0.138429983218348</v>
      </c>
      <c r="AT25" s="48">
        <f t="shared" si="66"/>
        <v>0.0934680210684725</v>
      </c>
      <c r="AU25" s="48">
        <f t="shared" si="67"/>
        <v>0.1098505482844</v>
      </c>
      <c r="AZ25" s="35"/>
      <c r="BA25" s="43" t="s">
        <v>407</v>
      </c>
      <c r="BB25" s="44">
        <v>812.4</v>
      </c>
      <c r="BC25" s="46">
        <v>774.6</v>
      </c>
      <c r="BD25" s="46">
        <v>739</v>
      </c>
      <c r="BE25" s="46">
        <v>730.7</v>
      </c>
      <c r="BF25" s="46">
        <v>704.5</v>
      </c>
      <c r="BG25" s="46">
        <v>742.4</v>
      </c>
      <c r="BH25" s="46">
        <v>730.7</v>
      </c>
      <c r="BI25" s="46">
        <v>730.7</v>
      </c>
      <c r="BJ25" s="36"/>
      <c r="BK25" s="36"/>
      <c r="BL25" s="49"/>
      <c r="BM25" s="49"/>
      <c r="BN25" s="49"/>
      <c r="BO25" s="49"/>
    </row>
    <row r="26" ht="15.5" spans="1:67">
      <c r="A26" s="35"/>
      <c r="B26" s="43" t="s">
        <v>408</v>
      </c>
      <c r="C26" s="44">
        <f t="shared" ref="C26:J26" si="72" xml:space="preserve">BB26/1000</f>
        <v>0.1699</v>
      </c>
      <c r="D26" s="44">
        <f t="shared" si="72"/>
        <v>0.1497</v>
      </c>
      <c r="E26" s="44">
        <f t="shared" si="72"/>
        <v>0.1418</v>
      </c>
      <c r="F26" s="44">
        <f t="shared" si="72"/>
        <v>0.1399</v>
      </c>
      <c r="G26" s="44">
        <f t="shared" si="72"/>
        <v>0.1359</v>
      </c>
      <c r="H26" s="44">
        <f t="shared" si="72"/>
        <v>0.1408</v>
      </c>
      <c r="I26" s="44">
        <f t="shared" si="72"/>
        <v>0.1399</v>
      </c>
      <c r="J26" s="44">
        <f t="shared" si="72"/>
        <v>0.1399</v>
      </c>
      <c r="K26" s="36"/>
      <c r="L26" s="36"/>
      <c r="M26" s="49">
        <v>5.937</v>
      </c>
      <c r="N26" s="49">
        <v>5.845</v>
      </c>
      <c r="O26" s="49">
        <v>5.575</v>
      </c>
      <c r="P26" s="49">
        <v>5.276</v>
      </c>
      <c r="Q26" s="49">
        <v>5.363</v>
      </c>
      <c r="R26" s="49">
        <v>6.645</v>
      </c>
      <c r="S26" s="49">
        <v>5.654</v>
      </c>
      <c r="T26" s="49"/>
      <c r="U26" s="35"/>
      <c r="V26" s="43" t="s">
        <v>408</v>
      </c>
      <c r="W26" s="46">
        <f t="shared" ref="W26:AC26" si="73" xml:space="preserve">D26/M26</f>
        <v>0.0252147549267307</v>
      </c>
      <c r="X26" s="46">
        <f t="shared" si="73"/>
        <v>0.0242600513259196</v>
      </c>
      <c r="Y26" s="46">
        <f t="shared" si="73"/>
        <v>0.0250941704035874</v>
      </c>
      <c r="Z26" s="46">
        <f t="shared" si="73"/>
        <v>0.0257581501137225</v>
      </c>
      <c r="AA26" s="46">
        <f t="shared" si="73"/>
        <v>0.0262539623345143</v>
      </c>
      <c r="AB26" s="47">
        <f t="shared" si="73"/>
        <v>0.0210534236267871</v>
      </c>
      <c r="AC26" s="47">
        <f t="shared" si="73"/>
        <v>0.0247435443933498</v>
      </c>
      <c r="AD26" s="36"/>
      <c r="AE26" s="36"/>
      <c r="AF26" s="46">
        <f t="shared" ref="AF26:AJ26" si="74" xml:space="preserve">W26</f>
        <v>0.0252147549267307</v>
      </c>
      <c r="AG26" s="46">
        <f t="shared" si="74"/>
        <v>0.0242600513259196</v>
      </c>
      <c r="AH26" s="46">
        <f t="shared" si="74"/>
        <v>0.0250941704035874</v>
      </c>
      <c r="AI26" s="46">
        <f t="shared" si="74"/>
        <v>0.0257581501137225</v>
      </c>
      <c r="AJ26" s="46">
        <f t="shared" si="74"/>
        <v>0.0262539623345143</v>
      </c>
      <c r="AK26" s="48">
        <f t="shared" si="63"/>
        <v>0.0242114371708051</v>
      </c>
      <c r="AL26" s="48">
        <f t="shared" si="64"/>
        <v>0.0284550760523523</v>
      </c>
      <c r="AM26" s="36"/>
      <c r="AN26" s="36"/>
      <c r="AO26" s="46">
        <f t="shared" ref="AO26:AS26" si="75" xml:space="preserve">W26</f>
        <v>0.0252147549267307</v>
      </c>
      <c r="AP26" s="46">
        <f t="shared" si="75"/>
        <v>0.0242600513259196</v>
      </c>
      <c r="AQ26" s="46">
        <f t="shared" si="75"/>
        <v>0.0250941704035874</v>
      </c>
      <c r="AR26" s="46">
        <f t="shared" si="75"/>
        <v>0.0257581501137225</v>
      </c>
      <c r="AS26" s="46">
        <f t="shared" si="75"/>
        <v>0.0262539623345143</v>
      </c>
      <c r="AT26" s="48">
        <f t="shared" si="66"/>
        <v>0.017895410082769</v>
      </c>
      <c r="AU26" s="48">
        <f t="shared" si="67"/>
        <v>0.0210320127343474</v>
      </c>
      <c r="AZ26" s="35"/>
      <c r="BA26" s="43" t="s">
        <v>408</v>
      </c>
      <c r="BB26" s="44">
        <v>169.9</v>
      </c>
      <c r="BC26" s="46">
        <v>149.7</v>
      </c>
      <c r="BD26" s="46">
        <v>141.8</v>
      </c>
      <c r="BE26" s="46">
        <v>139.9</v>
      </c>
      <c r="BF26" s="46">
        <v>135.9</v>
      </c>
      <c r="BG26" s="46">
        <v>140.8</v>
      </c>
      <c r="BH26" s="46">
        <v>139.9</v>
      </c>
      <c r="BI26" s="46">
        <v>139.9</v>
      </c>
      <c r="BJ26" s="36"/>
      <c r="BK26" s="36"/>
      <c r="BL26" s="49"/>
      <c r="BM26" s="49"/>
      <c r="BN26" s="49"/>
      <c r="BO26" s="49"/>
    </row>
    <row r="27" ht="15.5" spans="1:67">
      <c r="A27" s="35"/>
      <c r="B27" s="43" t="s">
        <v>409</v>
      </c>
      <c r="C27" s="44">
        <f t="shared" ref="C27:J27" si="76" xml:space="preserve">BB27/1000</f>
        <v>0.5978</v>
      </c>
      <c r="D27" s="44">
        <f t="shared" si="76"/>
        <v>0.5807</v>
      </c>
      <c r="E27" s="44">
        <f t="shared" si="76"/>
        <v>0.554</v>
      </c>
      <c r="F27" s="44">
        <f t="shared" si="76"/>
        <v>0.5478</v>
      </c>
      <c r="G27" s="44">
        <f t="shared" si="76"/>
        <v>0.526</v>
      </c>
      <c r="H27" s="44">
        <f t="shared" si="76"/>
        <v>0.5575</v>
      </c>
      <c r="I27" s="44">
        <f t="shared" si="76"/>
        <v>0.5478</v>
      </c>
      <c r="J27" s="44">
        <f t="shared" si="76"/>
        <v>0.5478</v>
      </c>
      <c r="K27" s="36"/>
      <c r="L27" s="36"/>
      <c r="M27" s="49">
        <v>5.937</v>
      </c>
      <c r="N27" s="49">
        <v>5.845</v>
      </c>
      <c r="O27" s="49">
        <v>5.575</v>
      </c>
      <c r="P27" s="49">
        <v>5.276</v>
      </c>
      <c r="Q27" s="49">
        <v>5.363</v>
      </c>
      <c r="R27" s="49">
        <v>6.645</v>
      </c>
      <c r="S27" s="49">
        <v>5.654</v>
      </c>
      <c r="T27" s="49"/>
      <c r="U27" s="35"/>
      <c r="V27" s="43" t="s">
        <v>409</v>
      </c>
      <c r="W27" s="46">
        <f t="shared" ref="W27:AC27" si="77" xml:space="preserve">D27/M27</f>
        <v>0.0978103419235304</v>
      </c>
      <c r="X27" s="46">
        <f t="shared" si="77"/>
        <v>0.0947818648417451</v>
      </c>
      <c r="Y27" s="46">
        <f t="shared" si="77"/>
        <v>0.0982600896860986</v>
      </c>
      <c r="Z27" s="46">
        <f t="shared" si="77"/>
        <v>0.099696739954511</v>
      </c>
      <c r="AA27" s="46">
        <f t="shared" si="77"/>
        <v>0.103953011374231</v>
      </c>
      <c r="AB27" s="47">
        <f t="shared" si="77"/>
        <v>0.0824379232505643</v>
      </c>
      <c r="AC27" s="47">
        <f t="shared" si="77"/>
        <v>0.0968871595330739</v>
      </c>
      <c r="AD27" s="36"/>
      <c r="AE27" s="36"/>
      <c r="AF27" s="46">
        <f t="shared" ref="AF27:AJ27" si="78" xml:space="preserve">W27</f>
        <v>0.0978103419235304</v>
      </c>
      <c r="AG27" s="46">
        <f t="shared" si="78"/>
        <v>0.0947818648417451</v>
      </c>
      <c r="AH27" s="46">
        <f t="shared" si="78"/>
        <v>0.0982600896860986</v>
      </c>
      <c r="AI27" s="46">
        <f t="shared" si="78"/>
        <v>0.099696739954511</v>
      </c>
      <c r="AJ27" s="46">
        <f t="shared" si="78"/>
        <v>0.103953011374231</v>
      </c>
      <c r="AK27" s="48">
        <f t="shared" si="63"/>
        <v>0.094803611738149</v>
      </c>
      <c r="AL27" s="48">
        <f t="shared" si="64"/>
        <v>0.111420233463035</v>
      </c>
      <c r="AM27" s="36"/>
      <c r="AN27" s="36"/>
      <c r="AO27" s="46">
        <f t="shared" ref="AO27:AS27" si="79" xml:space="preserve">W27</f>
        <v>0.0978103419235304</v>
      </c>
      <c r="AP27" s="46">
        <f t="shared" si="79"/>
        <v>0.0947818648417451</v>
      </c>
      <c r="AQ27" s="46">
        <f t="shared" si="79"/>
        <v>0.0982600896860986</v>
      </c>
      <c r="AR27" s="46">
        <f t="shared" si="79"/>
        <v>0.099696739954511</v>
      </c>
      <c r="AS27" s="46">
        <f t="shared" si="79"/>
        <v>0.103953011374231</v>
      </c>
      <c r="AT27" s="48">
        <f t="shared" si="66"/>
        <v>0.0700722347629797</v>
      </c>
      <c r="AU27" s="48">
        <f t="shared" si="67"/>
        <v>0.0823540856031128</v>
      </c>
      <c r="AZ27" s="35"/>
      <c r="BA27" s="43" t="s">
        <v>409</v>
      </c>
      <c r="BB27" s="44">
        <v>597.8</v>
      </c>
      <c r="BC27" s="46">
        <v>580.7</v>
      </c>
      <c r="BD27" s="46">
        <v>554</v>
      </c>
      <c r="BE27" s="46">
        <v>547.8</v>
      </c>
      <c r="BF27" s="46">
        <v>526</v>
      </c>
      <c r="BG27" s="46">
        <v>557.5</v>
      </c>
      <c r="BH27" s="46">
        <v>547.8</v>
      </c>
      <c r="BI27" s="46">
        <v>547.8</v>
      </c>
      <c r="BJ27" s="36"/>
      <c r="BK27" s="36"/>
      <c r="BL27" s="49"/>
      <c r="BM27" s="49"/>
      <c r="BN27" s="49"/>
      <c r="BO27" s="49"/>
    </row>
    <row r="28" ht="15.5" spans="1:67">
      <c r="A28" s="35"/>
      <c r="B28" s="43" t="s">
        <v>410</v>
      </c>
      <c r="C28" s="44">
        <f t="shared" ref="C28:J28" si="80" xml:space="preserve">BB28/1000</f>
        <v>0.085</v>
      </c>
      <c r="D28" s="44">
        <f t="shared" si="80"/>
        <v>0.0786</v>
      </c>
      <c r="E28" s="44">
        <f t="shared" si="80"/>
        <v>0.0763</v>
      </c>
      <c r="F28" s="44">
        <f t="shared" si="80"/>
        <v>0.0759</v>
      </c>
      <c r="G28" s="44">
        <f t="shared" si="80"/>
        <v>0.0737</v>
      </c>
      <c r="H28" s="44">
        <f t="shared" si="80"/>
        <v>0.076</v>
      </c>
      <c r="I28" s="44">
        <f t="shared" si="80"/>
        <v>0.0759</v>
      </c>
      <c r="J28" s="44">
        <f t="shared" si="80"/>
        <v>0.0759</v>
      </c>
      <c r="K28" s="36"/>
      <c r="L28" s="36"/>
      <c r="M28" s="49">
        <v>5.937</v>
      </c>
      <c r="N28" s="49">
        <v>5.845</v>
      </c>
      <c r="O28" s="49">
        <v>5.575</v>
      </c>
      <c r="P28" s="49">
        <v>5.276</v>
      </c>
      <c r="Q28" s="49">
        <v>5.363</v>
      </c>
      <c r="R28" s="49">
        <v>6.645</v>
      </c>
      <c r="S28" s="49">
        <v>5.654</v>
      </c>
      <c r="T28" s="49"/>
      <c r="U28" s="35"/>
      <c r="V28" s="43" t="s">
        <v>410</v>
      </c>
      <c r="W28" s="46">
        <f t="shared" ref="W28:AC28" si="81" xml:space="preserve">D28/M28</f>
        <v>0.0132390096008085</v>
      </c>
      <c r="X28" s="46">
        <f t="shared" si="81"/>
        <v>0.0130538922155689</v>
      </c>
      <c r="Y28" s="46">
        <f t="shared" si="81"/>
        <v>0.0136143497757848</v>
      </c>
      <c r="Z28" s="46">
        <f t="shared" si="81"/>
        <v>0.0139689158453374</v>
      </c>
      <c r="AA28" s="46">
        <f t="shared" si="81"/>
        <v>0.0141711728510162</v>
      </c>
      <c r="AB28" s="47">
        <f t="shared" si="81"/>
        <v>0.0114221218961625</v>
      </c>
      <c r="AC28" s="47">
        <f t="shared" si="81"/>
        <v>0.0134241245136187</v>
      </c>
      <c r="AD28" s="36"/>
      <c r="AE28" s="36"/>
      <c r="AF28" s="46">
        <f t="shared" ref="AF28:AJ28" si="82" xml:space="preserve">W28</f>
        <v>0.0132390096008085</v>
      </c>
      <c r="AG28" s="46">
        <f t="shared" si="82"/>
        <v>0.0130538922155689</v>
      </c>
      <c r="AH28" s="46">
        <f t="shared" si="82"/>
        <v>0.0136143497757848</v>
      </c>
      <c r="AI28" s="46">
        <f t="shared" si="82"/>
        <v>0.0139689158453374</v>
      </c>
      <c r="AJ28" s="46">
        <f t="shared" si="82"/>
        <v>0.0141711728510162</v>
      </c>
      <c r="AK28" s="48">
        <f t="shared" si="63"/>
        <v>0.0131354401805869</v>
      </c>
      <c r="AL28" s="48">
        <f t="shared" si="64"/>
        <v>0.0154377431906615</v>
      </c>
      <c r="AM28" s="36"/>
      <c r="AN28" s="36"/>
      <c r="AO28" s="46">
        <f t="shared" ref="AO28:AS28" si="83" xml:space="preserve">W28</f>
        <v>0.0132390096008085</v>
      </c>
      <c r="AP28" s="46">
        <f t="shared" si="83"/>
        <v>0.0130538922155689</v>
      </c>
      <c r="AQ28" s="46">
        <f t="shared" si="83"/>
        <v>0.0136143497757848</v>
      </c>
      <c r="AR28" s="46">
        <f t="shared" si="83"/>
        <v>0.0139689158453374</v>
      </c>
      <c r="AS28" s="46">
        <f t="shared" si="83"/>
        <v>0.0141711728510162</v>
      </c>
      <c r="AT28" s="48">
        <f t="shared" si="66"/>
        <v>0.00970880361173815</v>
      </c>
      <c r="AU28" s="48">
        <f t="shared" si="67"/>
        <v>0.0114105058365759</v>
      </c>
      <c r="AZ28" s="35"/>
      <c r="BA28" s="43" t="s">
        <v>410</v>
      </c>
      <c r="BB28" s="44">
        <v>85</v>
      </c>
      <c r="BC28" s="46">
        <v>78.6</v>
      </c>
      <c r="BD28" s="46">
        <v>76.3</v>
      </c>
      <c r="BE28" s="46">
        <v>75.9</v>
      </c>
      <c r="BF28" s="46">
        <v>73.7</v>
      </c>
      <c r="BG28" s="46">
        <v>76</v>
      </c>
      <c r="BH28" s="46">
        <v>75.9</v>
      </c>
      <c r="BI28" s="46">
        <v>75.9</v>
      </c>
      <c r="BJ28" s="36"/>
      <c r="BK28" s="36"/>
      <c r="BL28" s="49"/>
      <c r="BM28" s="49"/>
      <c r="BN28" s="49"/>
      <c r="BO28" s="49"/>
    </row>
    <row r="29" ht="15.5" spans="1:67">
      <c r="A29" s="35" t="s">
        <v>301</v>
      </c>
      <c r="B29" s="43" t="s">
        <v>406</v>
      </c>
      <c r="C29" s="44">
        <f t="shared" ref="C29:J29" si="84" xml:space="preserve">BB29/1000</f>
        <v>0.9068</v>
      </c>
      <c r="D29" s="44">
        <f t="shared" si="84"/>
        <v>0.8586</v>
      </c>
      <c r="E29" s="44">
        <f t="shared" si="84"/>
        <v>0.8184</v>
      </c>
      <c r="F29" s="44">
        <f t="shared" si="84"/>
        <v>0.8091</v>
      </c>
      <c r="G29" s="44">
        <f t="shared" si="84"/>
        <v>0.7811</v>
      </c>
      <c r="H29" s="44">
        <f t="shared" si="84"/>
        <v>0.8217</v>
      </c>
      <c r="I29" s="44">
        <f t="shared" si="84"/>
        <v>0.8091</v>
      </c>
      <c r="J29" s="44">
        <f t="shared" si="84"/>
        <v>0.8091</v>
      </c>
      <c r="K29" s="36"/>
      <c r="L29" s="36"/>
      <c r="M29" s="49">
        <v>5.937</v>
      </c>
      <c r="N29" s="49">
        <v>5.845</v>
      </c>
      <c r="O29" s="49">
        <v>5.575</v>
      </c>
      <c r="P29" s="49">
        <v>5.276</v>
      </c>
      <c r="Q29" s="49">
        <v>5.363</v>
      </c>
      <c r="R29" s="49">
        <v>6.645</v>
      </c>
      <c r="S29" s="49">
        <v>5.654</v>
      </c>
      <c r="T29" s="49"/>
      <c r="U29" s="35" t="s">
        <v>301</v>
      </c>
      <c r="V29" s="43" t="s">
        <v>406</v>
      </c>
      <c r="W29" s="46">
        <f t="shared" ref="W29:AC29" si="85" xml:space="preserve">D29/M29</f>
        <v>0.144618494188984</v>
      </c>
      <c r="X29" s="46">
        <f t="shared" si="85"/>
        <v>0.140017108639863</v>
      </c>
      <c r="Y29" s="46">
        <f t="shared" si="85"/>
        <v>0.145130044843049</v>
      </c>
      <c r="Z29" s="46">
        <f t="shared" si="85"/>
        <v>0.148047763457165</v>
      </c>
      <c r="AA29" s="46">
        <f t="shared" si="85"/>
        <v>0.153216483311579</v>
      </c>
      <c r="AB29" s="47">
        <f t="shared" si="85"/>
        <v>0.12176072234763</v>
      </c>
      <c r="AC29" s="47">
        <f t="shared" si="85"/>
        <v>0.143102228510789</v>
      </c>
      <c r="AD29" s="36"/>
      <c r="AE29" s="36"/>
      <c r="AF29" s="46">
        <f t="shared" ref="AF29:AJ29" si="86" xml:space="preserve">W29</f>
        <v>0.144618494188984</v>
      </c>
      <c r="AG29" s="46">
        <f t="shared" si="86"/>
        <v>0.140017108639863</v>
      </c>
      <c r="AH29" s="46">
        <f t="shared" si="86"/>
        <v>0.145130044843049</v>
      </c>
      <c r="AI29" s="46">
        <f t="shared" si="86"/>
        <v>0.148047763457165</v>
      </c>
      <c r="AJ29" s="46">
        <f t="shared" si="86"/>
        <v>0.153216483311579</v>
      </c>
      <c r="AK29" s="48">
        <f t="shared" si="63"/>
        <v>0.140024830699774</v>
      </c>
      <c r="AL29" s="48">
        <f t="shared" si="64"/>
        <v>0.164567562787407</v>
      </c>
      <c r="AM29" s="36"/>
      <c r="AN29" s="36"/>
      <c r="AO29" s="46">
        <f t="shared" ref="AO29:AS29" si="87" xml:space="preserve">W29</f>
        <v>0.144618494188984</v>
      </c>
      <c r="AP29" s="46">
        <f t="shared" si="87"/>
        <v>0.140017108639863</v>
      </c>
      <c r="AQ29" s="46">
        <f t="shared" si="87"/>
        <v>0.145130044843049</v>
      </c>
      <c r="AR29" s="46">
        <f t="shared" si="87"/>
        <v>0.148047763457165</v>
      </c>
      <c r="AS29" s="46">
        <f t="shared" si="87"/>
        <v>0.153216483311579</v>
      </c>
      <c r="AT29" s="48">
        <f t="shared" si="66"/>
        <v>0.103496613995485</v>
      </c>
      <c r="AU29" s="48">
        <f t="shared" si="67"/>
        <v>0.12163689423417</v>
      </c>
      <c r="AZ29" s="35" t="s">
        <v>301</v>
      </c>
      <c r="BA29" s="43" t="s">
        <v>406</v>
      </c>
      <c r="BB29" s="44">
        <v>906.8</v>
      </c>
      <c r="BC29" s="46">
        <v>858.6</v>
      </c>
      <c r="BD29" s="46">
        <v>818.4</v>
      </c>
      <c r="BE29" s="46">
        <v>809.1</v>
      </c>
      <c r="BF29" s="46">
        <v>781.1</v>
      </c>
      <c r="BG29" s="46">
        <v>821.7</v>
      </c>
      <c r="BH29" s="46">
        <v>809.1</v>
      </c>
      <c r="BI29" s="46">
        <v>809.1</v>
      </c>
      <c r="BJ29" s="36"/>
      <c r="BK29" s="36"/>
      <c r="BL29" s="49"/>
      <c r="BM29" s="49"/>
      <c r="BN29" s="49"/>
      <c r="BO29" s="49"/>
    </row>
    <row r="30" ht="15.5" spans="1:67">
      <c r="A30" s="35"/>
      <c r="B30" s="43" t="s">
        <v>407</v>
      </c>
      <c r="C30" s="44">
        <f t="shared" ref="C30:J30" si="88" xml:space="preserve">BB30/1000</f>
        <v>0.8303</v>
      </c>
      <c r="D30" s="44">
        <f t="shared" si="88"/>
        <v>0.7909</v>
      </c>
      <c r="E30" s="44">
        <f t="shared" si="88"/>
        <v>0.7545</v>
      </c>
      <c r="F30" s="44">
        <f t="shared" si="88"/>
        <v>0.746</v>
      </c>
      <c r="G30" s="44">
        <f t="shared" si="88"/>
        <v>0.7199</v>
      </c>
      <c r="H30" s="44">
        <f t="shared" si="88"/>
        <v>0.7584</v>
      </c>
      <c r="I30" s="44">
        <f t="shared" si="88"/>
        <v>0.746</v>
      </c>
      <c r="J30" s="44">
        <f t="shared" si="88"/>
        <v>0.746</v>
      </c>
      <c r="K30" s="36"/>
      <c r="L30" s="36"/>
      <c r="M30" s="49">
        <v>5.937</v>
      </c>
      <c r="N30" s="49">
        <v>5.845</v>
      </c>
      <c r="O30" s="49">
        <v>5.575</v>
      </c>
      <c r="P30" s="49">
        <v>5.276</v>
      </c>
      <c r="Q30" s="49">
        <v>5.363</v>
      </c>
      <c r="R30" s="49">
        <v>6.645</v>
      </c>
      <c r="S30" s="49">
        <v>5.654</v>
      </c>
      <c r="T30" s="49"/>
      <c r="U30" s="35"/>
      <c r="V30" s="43" t="s">
        <v>407</v>
      </c>
      <c r="W30" s="46">
        <f t="shared" ref="W30:AC30" si="89" xml:space="preserve">D30/M30</f>
        <v>0.133215428667677</v>
      </c>
      <c r="X30" s="46">
        <f t="shared" si="89"/>
        <v>0.129084687767322</v>
      </c>
      <c r="Y30" s="46">
        <f t="shared" si="89"/>
        <v>0.133811659192825</v>
      </c>
      <c r="Z30" s="46">
        <f t="shared" si="89"/>
        <v>0.13644806671721</v>
      </c>
      <c r="AA30" s="46">
        <f t="shared" si="89"/>
        <v>0.141413388029088</v>
      </c>
      <c r="AB30" s="47">
        <f t="shared" si="89"/>
        <v>0.112264860797592</v>
      </c>
      <c r="AC30" s="47">
        <f t="shared" si="89"/>
        <v>0.131941987973116</v>
      </c>
      <c r="AD30" s="36"/>
      <c r="AE30" s="36"/>
      <c r="AF30" s="46">
        <f t="shared" ref="AF30:AJ30" si="90" xml:space="preserve">W30</f>
        <v>0.133215428667677</v>
      </c>
      <c r="AG30" s="46">
        <f t="shared" si="90"/>
        <v>0.129084687767322</v>
      </c>
      <c r="AH30" s="46">
        <f t="shared" si="90"/>
        <v>0.133811659192825</v>
      </c>
      <c r="AI30" s="46">
        <f t="shared" si="90"/>
        <v>0.13644806671721</v>
      </c>
      <c r="AJ30" s="46">
        <f t="shared" si="90"/>
        <v>0.141413388029088</v>
      </c>
      <c r="AK30" s="48">
        <f t="shared" si="63"/>
        <v>0.129104589917231</v>
      </c>
      <c r="AL30" s="48">
        <f t="shared" si="64"/>
        <v>0.151733286169084</v>
      </c>
      <c r="AM30" s="36"/>
      <c r="AN30" s="36"/>
      <c r="AO30" s="46">
        <f t="shared" ref="AO30:AS30" si="91" xml:space="preserve">W30</f>
        <v>0.133215428667677</v>
      </c>
      <c r="AP30" s="46">
        <f t="shared" si="91"/>
        <v>0.129084687767322</v>
      </c>
      <c r="AQ30" s="46">
        <f t="shared" si="91"/>
        <v>0.133811659192825</v>
      </c>
      <c r="AR30" s="46">
        <f t="shared" si="91"/>
        <v>0.13644806671721</v>
      </c>
      <c r="AS30" s="46">
        <f t="shared" si="91"/>
        <v>0.141413388029088</v>
      </c>
      <c r="AT30" s="48">
        <f t="shared" si="66"/>
        <v>0.0954251316779534</v>
      </c>
      <c r="AU30" s="48">
        <f t="shared" si="67"/>
        <v>0.112150689777149</v>
      </c>
      <c r="AZ30" s="35"/>
      <c r="BA30" s="43" t="s">
        <v>407</v>
      </c>
      <c r="BB30" s="44">
        <v>830.3</v>
      </c>
      <c r="BC30" s="46">
        <v>790.9</v>
      </c>
      <c r="BD30" s="46">
        <v>754.5</v>
      </c>
      <c r="BE30" s="46">
        <v>746</v>
      </c>
      <c r="BF30" s="46">
        <v>719.9</v>
      </c>
      <c r="BG30" s="46">
        <v>758.4</v>
      </c>
      <c r="BH30" s="46">
        <v>746</v>
      </c>
      <c r="BI30" s="46">
        <v>746</v>
      </c>
      <c r="BJ30" s="36"/>
      <c r="BK30" s="36"/>
      <c r="BL30" s="49"/>
      <c r="BM30" s="49"/>
      <c r="BN30" s="49"/>
      <c r="BO30" s="49"/>
    </row>
    <row r="31" ht="15.5" spans="1:67">
      <c r="A31" s="35"/>
      <c r="B31" s="43" t="s">
        <v>408</v>
      </c>
      <c r="C31" s="44">
        <f t="shared" ref="C31:J31" si="92" xml:space="preserve">BB31/1000</f>
        <v>0.2079</v>
      </c>
      <c r="D31" s="44">
        <f t="shared" si="92"/>
        <v>0.1842</v>
      </c>
      <c r="E31" s="44">
        <f t="shared" si="92"/>
        <v>0.1746</v>
      </c>
      <c r="F31" s="44">
        <f t="shared" si="92"/>
        <v>0.1724</v>
      </c>
      <c r="G31" s="44">
        <f t="shared" si="92"/>
        <v>0.1687</v>
      </c>
      <c r="H31" s="44">
        <f t="shared" si="92"/>
        <v>0.1747</v>
      </c>
      <c r="I31" s="44">
        <f t="shared" si="92"/>
        <v>0.1724</v>
      </c>
      <c r="J31" s="44">
        <f t="shared" si="92"/>
        <v>0.1724</v>
      </c>
      <c r="K31" s="36"/>
      <c r="L31" s="36"/>
      <c r="M31" s="49">
        <v>5.937</v>
      </c>
      <c r="N31" s="49">
        <v>5.845</v>
      </c>
      <c r="O31" s="49">
        <v>5.575</v>
      </c>
      <c r="P31" s="49">
        <v>5.276</v>
      </c>
      <c r="Q31" s="49">
        <v>5.363</v>
      </c>
      <c r="R31" s="49">
        <v>6.645</v>
      </c>
      <c r="S31" s="49">
        <v>5.654</v>
      </c>
      <c r="T31" s="49"/>
      <c r="U31" s="35"/>
      <c r="V31" s="43" t="s">
        <v>408</v>
      </c>
      <c r="W31" s="46">
        <f t="shared" ref="W31:AC31" si="93" xml:space="preserve">D31/M31</f>
        <v>0.0310257705912077</v>
      </c>
      <c r="X31" s="46">
        <f t="shared" si="93"/>
        <v>0.0298716852010265</v>
      </c>
      <c r="Y31" s="46">
        <f t="shared" si="93"/>
        <v>0.0309237668161435</v>
      </c>
      <c r="Z31" s="46">
        <f t="shared" si="93"/>
        <v>0.0319749810462472</v>
      </c>
      <c r="AA31" s="46">
        <f t="shared" si="93"/>
        <v>0.0325750512772702</v>
      </c>
      <c r="AB31" s="47">
        <f t="shared" si="93"/>
        <v>0.0259443190368698</v>
      </c>
      <c r="AC31" s="47">
        <f t="shared" si="93"/>
        <v>0.0304916873010258</v>
      </c>
      <c r="AD31" s="36"/>
      <c r="AE31" s="36"/>
      <c r="AF31" s="46">
        <f t="shared" ref="AF31:AJ31" si="94" xml:space="preserve">W31</f>
        <v>0.0310257705912077</v>
      </c>
      <c r="AG31" s="46">
        <f t="shared" si="94"/>
        <v>0.0298716852010265</v>
      </c>
      <c r="AH31" s="46">
        <f t="shared" si="94"/>
        <v>0.0309237668161435</v>
      </c>
      <c r="AI31" s="46">
        <f t="shared" si="94"/>
        <v>0.0319749810462472</v>
      </c>
      <c r="AJ31" s="46">
        <f t="shared" si="94"/>
        <v>0.0325750512772702</v>
      </c>
      <c r="AK31" s="48">
        <f t="shared" si="63"/>
        <v>0.0298359668924003</v>
      </c>
      <c r="AL31" s="48">
        <f t="shared" si="64"/>
        <v>0.0350654403961797</v>
      </c>
      <c r="AM31" s="36"/>
      <c r="AN31" s="36"/>
      <c r="AO31" s="46">
        <f t="shared" ref="AO31:AS31" si="95" xml:space="preserve">W31</f>
        <v>0.0310257705912077</v>
      </c>
      <c r="AP31" s="46">
        <f t="shared" si="95"/>
        <v>0.0298716852010265</v>
      </c>
      <c r="AQ31" s="46">
        <f t="shared" si="95"/>
        <v>0.0309237668161435</v>
      </c>
      <c r="AR31" s="46">
        <f t="shared" si="95"/>
        <v>0.0319749810462472</v>
      </c>
      <c r="AS31" s="46">
        <f t="shared" si="95"/>
        <v>0.0325750512772702</v>
      </c>
      <c r="AT31" s="48">
        <f t="shared" si="66"/>
        <v>0.0220526711813394</v>
      </c>
      <c r="AU31" s="48">
        <f t="shared" si="67"/>
        <v>0.0259179342058719</v>
      </c>
      <c r="AZ31" s="35"/>
      <c r="BA31" s="43" t="s">
        <v>408</v>
      </c>
      <c r="BB31" s="44">
        <v>207.9</v>
      </c>
      <c r="BC31" s="46">
        <v>184.2</v>
      </c>
      <c r="BD31" s="46">
        <v>174.6</v>
      </c>
      <c r="BE31" s="46">
        <v>172.4</v>
      </c>
      <c r="BF31" s="46">
        <v>168.7</v>
      </c>
      <c r="BG31" s="46">
        <v>174.7</v>
      </c>
      <c r="BH31" s="46">
        <v>172.4</v>
      </c>
      <c r="BI31" s="46">
        <v>172.4</v>
      </c>
      <c r="BJ31" s="36"/>
      <c r="BK31" s="36"/>
      <c r="BL31" s="49"/>
      <c r="BM31" s="49"/>
      <c r="BN31" s="49"/>
      <c r="BO31" s="49"/>
    </row>
    <row r="32" ht="15.5" spans="1:67">
      <c r="A32" s="35"/>
      <c r="B32" s="43" t="s">
        <v>409</v>
      </c>
      <c r="C32" s="44">
        <f t="shared" ref="C32:J32" si="96" xml:space="preserve">BB32/1000</f>
        <v>0.5747</v>
      </c>
      <c r="D32" s="44">
        <f t="shared" si="96"/>
        <v>0.5597</v>
      </c>
      <c r="E32" s="44">
        <f t="shared" si="96"/>
        <v>0.534</v>
      </c>
      <c r="F32" s="44">
        <f t="shared" si="96"/>
        <v>0.528</v>
      </c>
      <c r="G32" s="44">
        <f t="shared" si="96"/>
        <v>0.5061</v>
      </c>
      <c r="H32" s="44">
        <f t="shared" si="96"/>
        <v>0.5369</v>
      </c>
      <c r="I32" s="44">
        <f t="shared" si="96"/>
        <v>0.528</v>
      </c>
      <c r="J32" s="44">
        <f t="shared" si="96"/>
        <v>0.528</v>
      </c>
      <c r="K32" s="36"/>
      <c r="L32" s="36"/>
      <c r="M32" s="49">
        <v>5.937</v>
      </c>
      <c r="N32" s="49">
        <v>5.845</v>
      </c>
      <c r="O32" s="49">
        <v>5.575</v>
      </c>
      <c r="P32" s="49">
        <v>5.276</v>
      </c>
      <c r="Q32" s="49">
        <v>5.363</v>
      </c>
      <c r="R32" s="49">
        <v>6.645</v>
      </c>
      <c r="S32" s="49">
        <v>5.654</v>
      </c>
      <c r="T32" s="49"/>
      <c r="U32" s="35"/>
      <c r="V32" s="43" t="s">
        <v>409</v>
      </c>
      <c r="W32" s="46">
        <f t="shared" ref="W32:AC32" si="97" xml:space="preserve">D32/M32</f>
        <v>0.0942732019538488</v>
      </c>
      <c r="X32" s="46">
        <f t="shared" si="97"/>
        <v>0.0913601368691189</v>
      </c>
      <c r="Y32" s="46">
        <f t="shared" si="97"/>
        <v>0.0947085201793722</v>
      </c>
      <c r="Z32" s="46">
        <f t="shared" si="97"/>
        <v>0.0959249431387415</v>
      </c>
      <c r="AA32" s="46">
        <f t="shared" si="97"/>
        <v>0.100111877680403</v>
      </c>
      <c r="AB32" s="47">
        <f t="shared" si="97"/>
        <v>0.0794582392776524</v>
      </c>
      <c r="AC32" s="47">
        <f t="shared" si="97"/>
        <v>0.0933852140077821</v>
      </c>
      <c r="AD32" s="36"/>
      <c r="AE32" s="36"/>
      <c r="AF32" s="46">
        <f t="shared" ref="AF32:AJ32" si="98" xml:space="preserve">W32</f>
        <v>0.0942732019538488</v>
      </c>
      <c r="AG32" s="46">
        <f t="shared" si="98"/>
        <v>0.0913601368691189</v>
      </c>
      <c r="AH32" s="46">
        <f t="shared" si="98"/>
        <v>0.0947085201793722</v>
      </c>
      <c r="AI32" s="46">
        <f t="shared" si="98"/>
        <v>0.0959249431387415</v>
      </c>
      <c r="AJ32" s="46">
        <f t="shared" si="98"/>
        <v>0.100111877680403</v>
      </c>
      <c r="AK32" s="48">
        <f t="shared" si="63"/>
        <v>0.0913769751693002</v>
      </c>
      <c r="AL32" s="48">
        <f t="shared" si="64"/>
        <v>0.107392996108949</v>
      </c>
      <c r="AM32" s="36"/>
      <c r="AN32" s="36"/>
      <c r="AO32" s="46">
        <f t="shared" ref="AO32:AS32" si="99" xml:space="preserve">W32</f>
        <v>0.0942732019538488</v>
      </c>
      <c r="AP32" s="46">
        <f t="shared" si="99"/>
        <v>0.0913601368691189</v>
      </c>
      <c r="AQ32" s="46">
        <f t="shared" si="99"/>
        <v>0.0947085201793722</v>
      </c>
      <c r="AR32" s="46">
        <f t="shared" si="99"/>
        <v>0.0959249431387415</v>
      </c>
      <c r="AS32" s="46">
        <f t="shared" si="99"/>
        <v>0.100111877680403</v>
      </c>
      <c r="AT32" s="48">
        <f t="shared" si="66"/>
        <v>0.0675395033860045</v>
      </c>
      <c r="AU32" s="48">
        <f t="shared" si="67"/>
        <v>0.0793774319066148</v>
      </c>
      <c r="AZ32" s="35"/>
      <c r="BA32" s="43" t="s">
        <v>409</v>
      </c>
      <c r="BB32" s="44">
        <v>574.7</v>
      </c>
      <c r="BC32" s="46">
        <v>559.7</v>
      </c>
      <c r="BD32" s="46">
        <v>534</v>
      </c>
      <c r="BE32" s="46">
        <v>528</v>
      </c>
      <c r="BF32" s="46">
        <v>506.1</v>
      </c>
      <c r="BG32" s="46">
        <v>536.9</v>
      </c>
      <c r="BH32" s="46">
        <v>528</v>
      </c>
      <c r="BI32" s="46">
        <v>528</v>
      </c>
      <c r="BJ32" s="36"/>
      <c r="BK32" s="36"/>
      <c r="BL32" s="49"/>
      <c r="BM32" s="49"/>
      <c r="BN32" s="49"/>
      <c r="BO32" s="49"/>
    </row>
    <row r="33" ht="15.5" spans="1:67">
      <c r="A33" s="35"/>
      <c r="B33" s="43" t="s">
        <v>410</v>
      </c>
      <c r="C33" s="44">
        <f t="shared" ref="C33:J33" si="100" xml:space="preserve">BB33/1000</f>
        <v>0.088</v>
      </c>
      <c r="D33" s="44">
        <f t="shared" si="100"/>
        <v>0.0814</v>
      </c>
      <c r="E33" s="44">
        <f t="shared" si="100"/>
        <v>0.079</v>
      </c>
      <c r="F33" s="44">
        <f t="shared" si="100"/>
        <v>0.0785</v>
      </c>
      <c r="G33" s="44">
        <f t="shared" si="100"/>
        <v>0.0764</v>
      </c>
      <c r="H33" s="44">
        <f t="shared" si="100"/>
        <v>0.0787</v>
      </c>
      <c r="I33" s="44">
        <f t="shared" si="100"/>
        <v>0.0785</v>
      </c>
      <c r="J33" s="44">
        <f t="shared" si="100"/>
        <v>0.0785</v>
      </c>
      <c r="K33" s="36"/>
      <c r="L33" s="36"/>
      <c r="M33" s="49">
        <v>5.937</v>
      </c>
      <c r="N33" s="49">
        <v>5.845</v>
      </c>
      <c r="O33" s="49">
        <v>5.575</v>
      </c>
      <c r="P33" s="49">
        <v>5.276</v>
      </c>
      <c r="Q33" s="49">
        <v>5.363</v>
      </c>
      <c r="R33" s="49">
        <v>6.645</v>
      </c>
      <c r="S33" s="49">
        <v>5.654</v>
      </c>
      <c r="T33" s="49"/>
      <c r="U33" s="35"/>
      <c r="V33" s="43" t="s">
        <v>410</v>
      </c>
      <c r="W33" s="46">
        <f t="shared" ref="W33:AC33" si="101" xml:space="preserve">D33/M33</f>
        <v>0.0137106282634327</v>
      </c>
      <c r="X33" s="46">
        <f t="shared" si="101"/>
        <v>0.0135158254918734</v>
      </c>
      <c r="Y33" s="46">
        <f t="shared" si="101"/>
        <v>0.0140807174887892</v>
      </c>
      <c r="Z33" s="46">
        <f t="shared" si="101"/>
        <v>0.0144806671721001</v>
      </c>
      <c r="AA33" s="46">
        <f t="shared" si="101"/>
        <v>0.0146746224128286</v>
      </c>
      <c r="AB33" s="47">
        <f t="shared" si="101"/>
        <v>0.0118133935289691</v>
      </c>
      <c r="AC33" s="47">
        <f t="shared" si="101"/>
        <v>0.0138839759462328</v>
      </c>
      <c r="AD33" s="36"/>
      <c r="AE33" s="36"/>
      <c r="AF33" s="46">
        <f t="shared" ref="AF33:AJ33" si="102" xml:space="preserve">W33</f>
        <v>0.0137106282634327</v>
      </c>
      <c r="AG33" s="46">
        <f t="shared" si="102"/>
        <v>0.0135158254918734</v>
      </c>
      <c r="AH33" s="46">
        <f t="shared" si="102"/>
        <v>0.0140807174887892</v>
      </c>
      <c r="AI33" s="46">
        <f t="shared" si="102"/>
        <v>0.0144806671721001</v>
      </c>
      <c r="AJ33" s="46">
        <f t="shared" si="102"/>
        <v>0.0146746224128286</v>
      </c>
      <c r="AK33" s="48">
        <f t="shared" si="63"/>
        <v>0.0135854025583145</v>
      </c>
      <c r="AL33" s="48">
        <f t="shared" si="64"/>
        <v>0.0159665723381677</v>
      </c>
      <c r="AM33" s="36"/>
      <c r="AN33" s="36"/>
      <c r="AO33" s="46">
        <f t="shared" ref="AO33:AS33" si="103" xml:space="preserve">W33</f>
        <v>0.0137106282634327</v>
      </c>
      <c r="AP33" s="46">
        <f t="shared" si="103"/>
        <v>0.0135158254918734</v>
      </c>
      <c r="AQ33" s="46">
        <f t="shared" si="103"/>
        <v>0.0140807174887892</v>
      </c>
      <c r="AR33" s="46">
        <f t="shared" si="103"/>
        <v>0.0144806671721001</v>
      </c>
      <c r="AS33" s="46">
        <f t="shared" si="103"/>
        <v>0.0146746224128286</v>
      </c>
      <c r="AT33" s="48">
        <f t="shared" si="66"/>
        <v>0.0100413844996238</v>
      </c>
      <c r="AU33" s="48">
        <f t="shared" si="67"/>
        <v>0.0118013795542978</v>
      </c>
      <c r="AZ33" s="35"/>
      <c r="BA33" s="43" t="s">
        <v>410</v>
      </c>
      <c r="BB33" s="44">
        <v>88</v>
      </c>
      <c r="BC33" s="46">
        <v>81.4</v>
      </c>
      <c r="BD33" s="46">
        <v>79</v>
      </c>
      <c r="BE33" s="46">
        <v>78.5</v>
      </c>
      <c r="BF33" s="46">
        <v>76.4</v>
      </c>
      <c r="BG33" s="46">
        <v>78.7</v>
      </c>
      <c r="BH33" s="46">
        <v>78.5</v>
      </c>
      <c r="BI33" s="46">
        <v>78.5</v>
      </c>
      <c r="BJ33" s="36"/>
      <c r="BK33" s="36"/>
      <c r="BL33" s="49"/>
      <c r="BM33" s="49"/>
      <c r="BN33" s="49"/>
      <c r="BO33" s="49"/>
    </row>
    <row r="34" ht="15.5" spans="1:67">
      <c r="A34" s="35" t="s">
        <v>11</v>
      </c>
      <c r="B34" s="43" t="s">
        <v>406</v>
      </c>
      <c r="C34" s="44">
        <f t="shared" ref="C34:J34" si="104" xml:space="preserve">BB34/1000</f>
        <v>0.9217</v>
      </c>
      <c r="D34" s="44">
        <f t="shared" si="104"/>
        <v>0.8721</v>
      </c>
      <c r="E34" s="44">
        <f t="shared" si="104"/>
        <v>0.8313</v>
      </c>
      <c r="F34" s="44">
        <f t="shared" si="104"/>
        <v>0.8218</v>
      </c>
      <c r="G34" s="44">
        <f t="shared" si="104"/>
        <v>0.794</v>
      </c>
      <c r="H34" s="44">
        <f t="shared" si="104"/>
        <v>0.835</v>
      </c>
      <c r="I34" s="44">
        <f t="shared" si="104"/>
        <v>0.8218</v>
      </c>
      <c r="J34" s="44">
        <f t="shared" si="104"/>
        <v>0.8218</v>
      </c>
      <c r="K34" s="36"/>
      <c r="L34" s="36"/>
      <c r="M34" s="49">
        <v>5.937</v>
      </c>
      <c r="N34" s="49">
        <v>5.845</v>
      </c>
      <c r="O34" s="49">
        <v>5.575</v>
      </c>
      <c r="P34" s="49">
        <v>5.276</v>
      </c>
      <c r="Q34" s="49">
        <v>5.363</v>
      </c>
      <c r="R34" s="49">
        <v>6.645</v>
      </c>
      <c r="S34" s="49">
        <v>5.654</v>
      </c>
      <c r="T34" s="49"/>
      <c r="U34" s="35" t="s">
        <v>11</v>
      </c>
      <c r="V34" s="43" t="s">
        <v>406</v>
      </c>
      <c r="W34" s="46">
        <f t="shared" ref="W34:AC34" si="105" xml:space="preserve">D34/M34</f>
        <v>0.14689236988378</v>
      </c>
      <c r="X34" s="46">
        <f t="shared" si="105"/>
        <v>0.142224123182207</v>
      </c>
      <c r="Y34" s="46">
        <f t="shared" si="105"/>
        <v>0.147408071748879</v>
      </c>
      <c r="Z34" s="46">
        <f t="shared" si="105"/>
        <v>0.15049279757392</v>
      </c>
      <c r="AA34" s="46">
        <f t="shared" si="105"/>
        <v>0.155696438560507</v>
      </c>
      <c r="AB34" s="47">
        <f t="shared" si="105"/>
        <v>0.123671933784801</v>
      </c>
      <c r="AC34" s="47">
        <f t="shared" si="105"/>
        <v>0.145348425893173</v>
      </c>
      <c r="AD34" s="36"/>
      <c r="AE34" s="36"/>
      <c r="AF34" s="46">
        <f t="shared" ref="AF34:AJ34" si="106" xml:space="preserve">W34</f>
        <v>0.14689236988378</v>
      </c>
      <c r="AG34" s="46">
        <f t="shared" si="106"/>
        <v>0.142224123182207</v>
      </c>
      <c r="AH34" s="46">
        <f t="shared" si="106"/>
        <v>0.147408071748879</v>
      </c>
      <c r="AI34" s="46">
        <f t="shared" si="106"/>
        <v>0.15049279757392</v>
      </c>
      <c r="AJ34" s="46">
        <f t="shared" si="106"/>
        <v>0.155696438560507</v>
      </c>
      <c r="AK34" s="48">
        <f t="shared" si="63"/>
        <v>0.142222723852521</v>
      </c>
      <c r="AL34" s="48">
        <f t="shared" si="64"/>
        <v>0.167150689777149</v>
      </c>
      <c r="AM34" s="36"/>
      <c r="AN34" s="36"/>
      <c r="AO34" s="46">
        <f t="shared" ref="AO34:AS34" si="107" xml:space="preserve">W34</f>
        <v>0.14689236988378</v>
      </c>
      <c r="AP34" s="46">
        <f t="shared" si="107"/>
        <v>0.142224123182207</v>
      </c>
      <c r="AQ34" s="46">
        <f t="shared" si="107"/>
        <v>0.147408071748879</v>
      </c>
      <c r="AR34" s="46">
        <f t="shared" si="107"/>
        <v>0.15049279757392</v>
      </c>
      <c r="AS34" s="46">
        <f t="shared" si="107"/>
        <v>0.155696438560507</v>
      </c>
      <c r="AT34" s="48">
        <f t="shared" si="66"/>
        <v>0.105121143717081</v>
      </c>
      <c r="AU34" s="48">
        <f t="shared" si="67"/>
        <v>0.123546162009197</v>
      </c>
      <c r="AZ34" s="35" t="s">
        <v>11</v>
      </c>
      <c r="BA34" s="43" t="s">
        <v>406</v>
      </c>
      <c r="BB34" s="44">
        <v>921.7</v>
      </c>
      <c r="BC34" s="46">
        <v>872.1</v>
      </c>
      <c r="BD34" s="46">
        <v>831.3</v>
      </c>
      <c r="BE34" s="46">
        <v>821.8</v>
      </c>
      <c r="BF34" s="46">
        <v>794</v>
      </c>
      <c r="BG34" s="46">
        <v>835</v>
      </c>
      <c r="BH34" s="46">
        <v>821.8</v>
      </c>
      <c r="BI34" s="46">
        <v>821.8</v>
      </c>
      <c r="BJ34" s="36"/>
      <c r="BK34" s="36"/>
      <c r="BL34" s="49"/>
      <c r="BM34" s="49"/>
      <c r="BN34" s="49"/>
      <c r="BO34" s="49"/>
    </row>
    <row r="35" ht="15.5" spans="1:67">
      <c r="A35" s="35"/>
      <c r="B35" s="43" t="s">
        <v>407</v>
      </c>
      <c r="C35" s="44">
        <f t="shared" ref="C35:J35" si="108" xml:space="preserve">BB35/1000</f>
        <v>0.8422</v>
      </c>
      <c r="D35" s="44">
        <f t="shared" si="108"/>
        <v>0.8018</v>
      </c>
      <c r="E35" s="44">
        <f t="shared" si="108"/>
        <v>0.7648</v>
      </c>
      <c r="F35" s="44">
        <f t="shared" si="108"/>
        <v>0.7562</v>
      </c>
      <c r="G35" s="44">
        <f t="shared" si="108"/>
        <v>0.7302</v>
      </c>
      <c r="H35" s="44">
        <f t="shared" si="108"/>
        <v>0.7691</v>
      </c>
      <c r="I35" s="44">
        <f t="shared" si="108"/>
        <v>0.7562</v>
      </c>
      <c r="J35" s="44">
        <f t="shared" si="108"/>
        <v>0.7562</v>
      </c>
      <c r="K35" s="36"/>
      <c r="L35" s="36"/>
      <c r="M35" s="49">
        <v>5.937</v>
      </c>
      <c r="N35" s="49">
        <v>5.845</v>
      </c>
      <c r="O35" s="49">
        <v>5.575</v>
      </c>
      <c r="P35" s="49">
        <v>5.276</v>
      </c>
      <c r="Q35" s="49">
        <v>5.363</v>
      </c>
      <c r="R35" s="49">
        <v>6.645</v>
      </c>
      <c r="S35" s="49">
        <v>5.654</v>
      </c>
      <c r="T35" s="49"/>
      <c r="U35" s="35"/>
      <c r="V35" s="43" t="s">
        <v>407</v>
      </c>
      <c r="W35" s="46">
        <f t="shared" ref="W35:AC35" si="109" xml:space="preserve">D35/M35</f>
        <v>0.135051372747179</v>
      </c>
      <c r="X35" s="46">
        <f t="shared" si="109"/>
        <v>0.130846877673225</v>
      </c>
      <c r="Y35" s="46">
        <f t="shared" si="109"/>
        <v>0.135641255605381</v>
      </c>
      <c r="Z35" s="46">
        <f t="shared" si="109"/>
        <v>0.138400303260046</v>
      </c>
      <c r="AA35" s="46">
        <f t="shared" si="109"/>
        <v>0.143408539996271</v>
      </c>
      <c r="AB35" s="47">
        <f t="shared" si="109"/>
        <v>0.11379984951091</v>
      </c>
      <c r="AC35" s="47">
        <f t="shared" si="109"/>
        <v>0.133746020516449</v>
      </c>
      <c r="AD35" s="36"/>
      <c r="AE35" s="36"/>
      <c r="AF35" s="46">
        <f t="shared" ref="AF35:AJ35" si="110" xml:space="preserve">W35</f>
        <v>0.135051372747179</v>
      </c>
      <c r="AG35" s="46">
        <f t="shared" si="110"/>
        <v>0.130846877673225</v>
      </c>
      <c r="AH35" s="46">
        <f t="shared" si="110"/>
        <v>0.135641255605381</v>
      </c>
      <c r="AI35" s="46">
        <f t="shared" si="110"/>
        <v>0.138400303260046</v>
      </c>
      <c r="AJ35" s="46">
        <f t="shared" si="110"/>
        <v>0.143408539996271</v>
      </c>
      <c r="AK35" s="48">
        <f t="shared" si="63"/>
        <v>0.130869826937547</v>
      </c>
      <c r="AL35" s="48">
        <f t="shared" si="64"/>
        <v>0.153807923593916</v>
      </c>
      <c r="AM35" s="36"/>
      <c r="AN35" s="36"/>
      <c r="AO35" s="46">
        <f t="shared" ref="AO35:AS35" si="111" xml:space="preserve">W35</f>
        <v>0.135051372747179</v>
      </c>
      <c r="AP35" s="46">
        <f t="shared" si="111"/>
        <v>0.130846877673225</v>
      </c>
      <c r="AQ35" s="46">
        <f t="shared" si="111"/>
        <v>0.135641255605381</v>
      </c>
      <c r="AR35" s="46">
        <f t="shared" si="111"/>
        <v>0.138400303260046</v>
      </c>
      <c r="AS35" s="46">
        <f t="shared" si="111"/>
        <v>0.143408539996271</v>
      </c>
      <c r="AT35" s="48">
        <f t="shared" si="66"/>
        <v>0.0967298720842739</v>
      </c>
      <c r="AU35" s="48">
        <f t="shared" si="67"/>
        <v>0.113684117438981</v>
      </c>
      <c r="AZ35" s="35"/>
      <c r="BA35" s="43" t="s">
        <v>407</v>
      </c>
      <c r="BB35" s="44">
        <v>842.2</v>
      </c>
      <c r="BC35" s="46">
        <v>801.8</v>
      </c>
      <c r="BD35" s="46">
        <v>764.8</v>
      </c>
      <c r="BE35" s="46">
        <v>756.2</v>
      </c>
      <c r="BF35" s="46">
        <v>730.2</v>
      </c>
      <c r="BG35" s="46">
        <v>769.1</v>
      </c>
      <c r="BH35" s="46">
        <v>756.2</v>
      </c>
      <c r="BI35" s="46">
        <v>756.2</v>
      </c>
      <c r="BJ35" s="36"/>
      <c r="BK35" s="36"/>
      <c r="BL35" s="49"/>
      <c r="BM35" s="49"/>
      <c r="BN35" s="49"/>
      <c r="BO35" s="49"/>
    </row>
    <row r="36" ht="15.5" spans="1:67">
      <c r="A36" s="35"/>
      <c r="B36" s="43" t="s">
        <v>408</v>
      </c>
      <c r="C36" s="44">
        <f t="shared" ref="C36:J36" si="112" xml:space="preserve">BB36/1000</f>
        <v>0.2694</v>
      </c>
      <c r="D36" s="44">
        <f t="shared" si="112"/>
        <v>0.2401</v>
      </c>
      <c r="E36" s="44">
        <f t="shared" si="112"/>
        <v>0.2278</v>
      </c>
      <c r="F36" s="44">
        <f t="shared" si="112"/>
        <v>0.2249</v>
      </c>
      <c r="G36" s="44">
        <f t="shared" si="112"/>
        <v>0.2217</v>
      </c>
      <c r="H36" s="44">
        <f t="shared" si="112"/>
        <v>0.2296</v>
      </c>
      <c r="I36" s="44">
        <f t="shared" si="112"/>
        <v>0.2249</v>
      </c>
      <c r="J36" s="44">
        <f t="shared" si="112"/>
        <v>0.2249</v>
      </c>
      <c r="K36" s="36"/>
      <c r="L36" s="36"/>
      <c r="M36" s="49">
        <v>5.937</v>
      </c>
      <c r="N36" s="49">
        <v>5.845</v>
      </c>
      <c r="O36" s="49">
        <v>5.575</v>
      </c>
      <c r="P36" s="49">
        <v>5.276</v>
      </c>
      <c r="Q36" s="49">
        <v>5.363</v>
      </c>
      <c r="R36" s="49">
        <v>6.645</v>
      </c>
      <c r="S36" s="49">
        <v>5.654</v>
      </c>
      <c r="T36" s="49"/>
      <c r="U36" s="35"/>
      <c r="V36" s="43" t="s">
        <v>408</v>
      </c>
      <c r="W36" s="46">
        <f t="shared" ref="W36:AC36" si="113" xml:space="preserve">D36/M36</f>
        <v>0.0404413003200269</v>
      </c>
      <c r="X36" s="46">
        <f t="shared" si="113"/>
        <v>0.0389734816082122</v>
      </c>
      <c r="Y36" s="46">
        <f t="shared" si="113"/>
        <v>0.0403408071748879</v>
      </c>
      <c r="Z36" s="46">
        <f t="shared" si="113"/>
        <v>0.0420204700530705</v>
      </c>
      <c r="AA36" s="46">
        <f t="shared" si="113"/>
        <v>0.0428118590341227</v>
      </c>
      <c r="AB36" s="47">
        <f t="shared" si="113"/>
        <v>0.0338449962377728</v>
      </c>
      <c r="AC36" s="47">
        <f t="shared" si="113"/>
        <v>0.0397771489211178</v>
      </c>
      <c r="AD36" s="36"/>
      <c r="AE36" s="36"/>
      <c r="AF36" s="46">
        <f t="shared" ref="AF36:AJ36" si="114" xml:space="preserve">W36</f>
        <v>0.0404413003200269</v>
      </c>
      <c r="AG36" s="46">
        <f t="shared" si="114"/>
        <v>0.0389734816082122</v>
      </c>
      <c r="AH36" s="46">
        <f t="shared" si="114"/>
        <v>0.0403408071748879</v>
      </c>
      <c r="AI36" s="46">
        <f t="shared" si="114"/>
        <v>0.0420204700530705</v>
      </c>
      <c r="AJ36" s="46">
        <f t="shared" si="114"/>
        <v>0.0428118590341227</v>
      </c>
      <c r="AK36" s="48">
        <f t="shared" si="63"/>
        <v>0.0389217456734387</v>
      </c>
      <c r="AL36" s="48">
        <f t="shared" si="64"/>
        <v>0.0457437212592855</v>
      </c>
      <c r="AM36" s="36"/>
      <c r="AN36" s="36"/>
      <c r="AO36" s="46">
        <f t="shared" ref="AO36:AS36" si="115" xml:space="preserve">W36</f>
        <v>0.0404413003200269</v>
      </c>
      <c r="AP36" s="46">
        <f t="shared" si="115"/>
        <v>0.0389734816082122</v>
      </c>
      <c r="AQ36" s="46">
        <f t="shared" si="115"/>
        <v>0.0403408071748879</v>
      </c>
      <c r="AR36" s="46">
        <f t="shared" si="115"/>
        <v>0.0420204700530705</v>
      </c>
      <c r="AS36" s="46">
        <f t="shared" si="115"/>
        <v>0.0428118590341227</v>
      </c>
      <c r="AT36" s="48">
        <f t="shared" si="66"/>
        <v>0.0287682468021069</v>
      </c>
      <c r="AU36" s="48">
        <f t="shared" si="67"/>
        <v>0.0338105765829501</v>
      </c>
      <c r="AZ36" s="35"/>
      <c r="BA36" s="43" t="s">
        <v>408</v>
      </c>
      <c r="BB36" s="44">
        <v>269.4</v>
      </c>
      <c r="BC36" s="46">
        <v>240.1</v>
      </c>
      <c r="BD36" s="46">
        <v>227.8</v>
      </c>
      <c r="BE36" s="46">
        <v>224.9</v>
      </c>
      <c r="BF36" s="46">
        <v>221.7</v>
      </c>
      <c r="BG36" s="46">
        <v>229.6</v>
      </c>
      <c r="BH36" s="46">
        <v>224.9</v>
      </c>
      <c r="BI36" s="46">
        <v>224.9</v>
      </c>
      <c r="BJ36" s="36"/>
      <c r="BK36" s="36"/>
      <c r="BL36" s="49"/>
      <c r="BM36" s="49"/>
      <c r="BN36" s="49"/>
      <c r="BO36" s="49"/>
    </row>
    <row r="37" ht="15.5" spans="1:67">
      <c r="A37" s="35"/>
      <c r="B37" s="43" t="s">
        <v>409</v>
      </c>
      <c r="C37" s="44">
        <f t="shared" ref="C37:J37" si="116" xml:space="preserve">BB37/1000</f>
        <v>0.5273</v>
      </c>
      <c r="D37" s="44">
        <f t="shared" si="116"/>
        <v>0.5167</v>
      </c>
      <c r="E37" s="44">
        <f t="shared" si="116"/>
        <v>0.4931</v>
      </c>
      <c r="F37" s="44">
        <f t="shared" si="116"/>
        <v>0.4875</v>
      </c>
      <c r="G37" s="44">
        <f t="shared" si="116"/>
        <v>0.4653</v>
      </c>
      <c r="H37" s="44">
        <f t="shared" si="116"/>
        <v>0.4946</v>
      </c>
      <c r="I37" s="44">
        <f t="shared" si="116"/>
        <v>0.4875</v>
      </c>
      <c r="J37" s="44">
        <f t="shared" si="116"/>
        <v>0.4875</v>
      </c>
      <c r="K37" s="36"/>
      <c r="L37" s="36"/>
      <c r="M37" s="49">
        <v>5.937</v>
      </c>
      <c r="N37" s="49">
        <v>5.845</v>
      </c>
      <c r="O37" s="49">
        <v>5.575</v>
      </c>
      <c r="P37" s="49">
        <v>5.276</v>
      </c>
      <c r="Q37" s="49">
        <v>5.363</v>
      </c>
      <c r="R37" s="49">
        <v>6.645</v>
      </c>
      <c r="S37" s="49">
        <v>5.654</v>
      </c>
      <c r="T37" s="49"/>
      <c r="U37" s="35"/>
      <c r="V37" s="43" t="s">
        <v>409</v>
      </c>
      <c r="W37" s="46">
        <f t="shared" ref="W37:AC37" si="117" xml:space="preserve">D37/M37</f>
        <v>0.0870304867778339</v>
      </c>
      <c r="X37" s="46">
        <f t="shared" si="117"/>
        <v>0.0843627031650984</v>
      </c>
      <c r="Y37" s="46">
        <f t="shared" si="117"/>
        <v>0.0874439461883408</v>
      </c>
      <c r="Z37" s="46">
        <f t="shared" si="117"/>
        <v>0.0881918119787718</v>
      </c>
      <c r="AA37" s="46">
        <f t="shared" si="117"/>
        <v>0.0922245012120082</v>
      </c>
      <c r="AB37" s="47">
        <f t="shared" si="117"/>
        <v>0.0733634311512415</v>
      </c>
      <c r="AC37" s="47">
        <f t="shared" si="117"/>
        <v>0.0862221436151397</v>
      </c>
      <c r="AD37" s="36"/>
      <c r="AE37" s="36"/>
      <c r="AF37" s="46">
        <f t="shared" ref="AF37:AJ37" si="118" xml:space="preserve">W37</f>
        <v>0.0870304867778339</v>
      </c>
      <c r="AG37" s="46">
        <f t="shared" si="118"/>
        <v>0.0843627031650984</v>
      </c>
      <c r="AH37" s="46">
        <f t="shared" si="118"/>
        <v>0.0874439461883408</v>
      </c>
      <c r="AI37" s="46">
        <f t="shared" si="118"/>
        <v>0.0881918119787718</v>
      </c>
      <c r="AJ37" s="46">
        <f t="shared" si="118"/>
        <v>0.0922245012120082</v>
      </c>
      <c r="AK37" s="48">
        <f t="shared" si="63"/>
        <v>0.0843679458239278</v>
      </c>
      <c r="AL37" s="48">
        <f t="shared" si="64"/>
        <v>0.0991554651574107</v>
      </c>
      <c r="AM37" s="36"/>
      <c r="AN37" s="36"/>
      <c r="AO37" s="46">
        <f t="shared" ref="AO37:AS37" si="119" xml:space="preserve">W37</f>
        <v>0.0870304867778339</v>
      </c>
      <c r="AP37" s="46">
        <f t="shared" si="119"/>
        <v>0.0843627031650984</v>
      </c>
      <c r="AQ37" s="46">
        <f t="shared" si="119"/>
        <v>0.0874439461883408</v>
      </c>
      <c r="AR37" s="46">
        <f t="shared" si="119"/>
        <v>0.0881918119787718</v>
      </c>
      <c r="AS37" s="46">
        <f t="shared" si="119"/>
        <v>0.0922245012120082</v>
      </c>
      <c r="AT37" s="48">
        <f t="shared" si="66"/>
        <v>0.0623589164785553</v>
      </c>
      <c r="AU37" s="48">
        <f t="shared" si="67"/>
        <v>0.0732888220728688</v>
      </c>
      <c r="AZ37" s="35"/>
      <c r="BA37" s="43" t="s">
        <v>409</v>
      </c>
      <c r="BB37" s="44">
        <v>527.3</v>
      </c>
      <c r="BC37" s="46">
        <v>516.7</v>
      </c>
      <c r="BD37" s="46">
        <v>493.1</v>
      </c>
      <c r="BE37" s="46">
        <v>487.5</v>
      </c>
      <c r="BF37" s="46">
        <v>465.3</v>
      </c>
      <c r="BG37" s="46">
        <v>494.6</v>
      </c>
      <c r="BH37" s="46">
        <v>487.5</v>
      </c>
      <c r="BI37" s="46">
        <v>487.5</v>
      </c>
      <c r="BJ37" s="36"/>
      <c r="BK37" s="36"/>
      <c r="BL37" s="49"/>
      <c r="BM37" s="49"/>
      <c r="BN37" s="49"/>
      <c r="BO37" s="49"/>
    </row>
    <row r="38" ht="15.5" spans="1:67">
      <c r="A38" s="35"/>
      <c r="B38" s="43" t="s">
        <v>410</v>
      </c>
      <c r="C38" s="44">
        <f t="shared" ref="C38:J38" si="120" xml:space="preserve">BB38/1000</f>
        <v>0.0858</v>
      </c>
      <c r="D38" s="44">
        <f t="shared" si="120"/>
        <v>0.0793</v>
      </c>
      <c r="E38" s="44">
        <f t="shared" si="120"/>
        <v>0.0771</v>
      </c>
      <c r="F38" s="44">
        <f t="shared" si="120"/>
        <v>0.0766</v>
      </c>
      <c r="G38" s="44">
        <f t="shared" si="120"/>
        <v>0.0744</v>
      </c>
      <c r="H38" s="44">
        <f t="shared" si="120"/>
        <v>0.0767</v>
      </c>
      <c r="I38" s="44">
        <f t="shared" si="120"/>
        <v>0.0766</v>
      </c>
      <c r="J38" s="44">
        <f t="shared" si="120"/>
        <v>0.0766</v>
      </c>
      <c r="K38" s="36"/>
      <c r="L38" s="36"/>
      <c r="M38" s="49">
        <v>5.937</v>
      </c>
      <c r="N38" s="49">
        <v>5.845</v>
      </c>
      <c r="O38" s="49">
        <v>5.575</v>
      </c>
      <c r="P38" s="49">
        <v>5.276</v>
      </c>
      <c r="Q38" s="49">
        <v>5.363</v>
      </c>
      <c r="R38" s="49">
        <v>6.645</v>
      </c>
      <c r="S38" s="49">
        <v>5.654</v>
      </c>
      <c r="T38" s="49"/>
      <c r="U38" s="35"/>
      <c r="V38" s="43" t="s">
        <v>410</v>
      </c>
      <c r="W38" s="46">
        <f t="shared" ref="W38:AC38" si="121" xml:space="preserve">D38/M38</f>
        <v>0.0133569142664645</v>
      </c>
      <c r="X38" s="46">
        <f t="shared" si="121"/>
        <v>0.0131907613344739</v>
      </c>
      <c r="Y38" s="46">
        <f t="shared" si="121"/>
        <v>0.0137399103139013</v>
      </c>
      <c r="Z38" s="46">
        <f t="shared" si="121"/>
        <v>0.0141015921152388</v>
      </c>
      <c r="AA38" s="46">
        <f t="shared" si="121"/>
        <v>0.0143016968114861</v>
      </c>
      <c r="AB38" s="47">
        <f t="shared" si="121"/>
        <v>0.0115274642588412</v>
      </c>
      <c r="AC38" s="47">
        <f t="shared" si="121"/>
        <v>0.0135479306685532</v>
      </c>
      <c r="AD38" s="36"/>
      <c r="AE38" s="36"/>
      <c r="AF38" s="46">
        <f t="shared" ref="AF38:AJ38" si="122" xml:space="preserve">W38</f>
        <v>0.0133569142664645</v>
      </c>
      <c r="AG38" s="46">
        <f t="shared" si="122"/>
        <v>0.0131907613344739</v>
      </c>
      <c r="AH38" s="46">
        <f t="shared" si="122"/>
        <v>0.0137399103139013</v>
      </c>
      <c r="AI38" s="46">
        <f t="shared" si="122"/>
        <v>0.0141015921152388</v>
      </c>
      <c r="AJ38" s="46">
        <f t="shared" si="122"/>
        <v>0.0143016968114861</v>
      </c>
      <c r="AK38" s="48">
        <f t="shared" si="63"/>
        <v>0.0132565838976674</v>
      </c>
      <c r="AL38" s="48">
        <f t="shared" si="64"/>
        <v>0.0155801202688362</v>
      </c>
      <c r="AM38" s="36"/>
      <c r="AN38" s="36"/>
      <c r="AO38" s="46">
        <f t="shared" ref="AO38:AS38" si="123" xml:space="preserve">W38</f>
        <v>0.0133569142664645</v>
      </c>
      <c r="AP38" s="46">
        <f t="shared" si="123"/>
        <v>0.0131907613344739</v>
      </c>
      <c r="AQ38" s="46">
        <f t="shared" si="123"/>
        <v>0.0137399103139013</v>
      </c>
      <c r="AR38" s="46">
        <f t="shared" si="123"/>
        <v>0.0141015921152388</v>
      </c>
      <c r="AS38" s="46">
        <f t="shared" si="123"/>
        <v>0.0143016968114861</v>
      </c>
      <c r="AT38" s="48">
        <f t="shared" si="66"/>
        <v>0.00979834462001505</v>
      </c>
      <c r="AU38" s="48">
        <f t="shared" si="67"/>
        <v>0.0115157410682703</v>
      </c>
      <c r="AZ38" s="35"/>
      <c r="BA38" s="43" t="s">
        <v>410</v>
      </c>
      <c r="BB38" s="44">
        <v>85.8</v>
      </c>
      <c r="BC38" s="46">
        <v>79.3</v>
      </c>
      <c r="BD38" s="46">
        <v>77.1</v>
      </c>
      <c r="BE38" s="46">
        <v>76.6</v>
      </c>
      <c r="BF38" s="46">
        <v>74.4</v>
      </c>
      <c r="BG38" s="46">
        <v>76.7</v>
      </c>
      <c r="BH38" s="46">
        <v>76.6</v>
      </c>
      <c r="BI38" s="46">
        <v>76.6</v>
      </c>
      <c r="BJ38" s="36"/>
      <c r="BK38" s="36"/>
      <c r="BL38" s="49"/>
      <c r="BM38" s="49"/>
      <c r="BN38" s="49"/>
      <c r="BO38" s="49"/>
    </row>
    <row r="39" ht="15.5" spans="1:67">
      <c r="A39" s="36"/>
      <c r="B39" s="36"/>
      <c r="C39" s="39"/>
      <c r="D39" s="36"/>
      <c r="E39" s="36"/>
      <c r="F39" s="36"/>
      <c r="G39" s="36"/>
      <c r="H39" s="36"/>
      <c r="I39" s="36"/>
      <c r="J39" s="36"/>
      <c r="K39" s="36"/>
      <c r="L39" s="36"/>
      <c r="M39" s="36"/>
      <c r="N39" s="36"/>
      <c r="O39" s="36"/>
      <c r="P39" s="36"/>
      <c r="Q39" s="36"/>
      <c r="R39" s="36"/>
      <c r="S39" s="36"/>
      <c r="T39" s="36"/>
      <c r="AZ39" s="36"/>
      <c r="BA39" s="36"/>
      <c r="BB39" s="39"/>
      <c r="BC39" s="36"/>
      <c r="BD39" s="36"/>
      <c r="BE39" s="36"/>
      <c r="BF39" s="36"/>
      <c r="BG39" s="36"/>
      <c r="BH39" s="36"/>
      <c r="BI39" s="36"/>
      <c r="BJ39" s="36"/>
      <c r="BK39" s="36"/>
      <c r="BL39" s="36"/>
      <c r="BM39" s="36"/>
      <c r="BN39" s="36"/>
      <c r="BO39" s="36"/>
    </row>
    <row r="40" ht="15.5" spans="1:67">
      <c r="A40" s="36"/>
      <c r="B40" s="36"/>
      <c r="C40" s="39"/>
      <c r="D40" s="36"/>
      <c r="E40" s="36"/>
      <c r="F40" s="36"/>
      <c r="G40" s="36"/>
      <c r="H40" s="36"/>
      <c r="I40" s="36"/>
      <c r="J40" s="36"/>
      <c r="K40" s="36"/>
      <c r="L40" s="36"/>
      <c r="M40" s="36"/>
      <c r="N40" s="36"/>
      <c r="O40" s="36"/>
      <c r="P40" s="36"/>
      <c r="Q40" s="36"/>
      <c r="R40" s="36"/>
      <c r="S40" s="36"/>
      <c r="T40" s="36"/>
      <c r="AZ40" s="36"/>
      <c r="BA40" s="36"/>
      <c r="BB40" s="39"/>
      <c r="BC40" s="36"/>
      <c r="BD40" s="36"/>
      <c r="BE40" s="36"/>
      <c r="BF40" s="36"/>
      <c r="BG40" s="36"/>
      <c r="BH40" s="36"/>
      <c r="BI40" s="36"/>
      <c r="BJ40" s="36"/>
      <c r="BK40" s="36"/>
      <c r="BL40" s="36"/>
      <c r="BM40" s="36"/>
      <c r="BN40" s="36"/>
      <c r="BO40" s="36"/>
    </row>
    <row r="41" ht="15.5" spans="1:67">
      <c r="A41" s="35" t="s">
        <v>425</v>
      </c>
      <c r="B41" s="35"/>
      <c r="C41" s="35"/>
      <c r="D41" s="35"/>
      <c r="E41" s="35"/>
      <c r="F41" s="35"/>
      <c r="G41" s="35"/>
      <c r="H41" s="35"/>
      <c r="I41" s="35"/>
      <c r="J41" s="35"/>
      <c r="K41" s="36"/>
      <c r="L41" s="36"/>
      <c r="M41" s="36"/>
      <c r="N41" s="36"/>
      <c r="O41" s="36"/>
      <c r="P41" s="36"/>
      <c r="Q41" s="36"/>
      <c r="R41" s="36"/>
      <c r="S41" s="36"/>
      <c r="T41" s="36"/>
      <c r="AZ41" s="35" t="s">
        <v>425</v>
      </c>
      <c r="BA41" s="35"/>
      <c r="BB41" s="35"/>
      <c r="BC41" s="35"/>
      <c r="BD41" s="35"/>
      <c r="BE41" s="35"/>
      <c r="BF41" s="35"/>
      <c r="BG41" s="35"/>
      <c r="BH41" s="35"/>
      <c r="BI41" s="35"/>
      <c r="BJ41" s="36"/>
      <c r="BK41" s="36"/>
      <c r="BL41" s="36"/>
      <c r="BM41" s="36"/>
      <c r="BN41" s="36"/>
      <c r="BO41" s="36"/>
    </row>
    <row r="42" ht="15.5" spans="1:67">
      <c r="A42" s="35" t="s">
        <v>394</v>
      </c>
      <c r="B42" s="35" t="s">
        <v>424</v>
      </c>
      <c r="C42" s="35" t="s">
        <v>396</v>
      </c>
      <c r="D42" s="35"/>
      <c r="E42" s="35"/>
      <c r="F42" s="35"/>
      <c r="G42" s="35"/>
      <c r="H42" s="35"/>
      <c r="I42" s="35"/>
      <c r="J42" s="35"/>
      <c r="K42" s="36"/>
      <c r="L42" s="36"/>
      <c r="M42" s="36"/>
      <c r="N42" s="36"/>
      <c r="O42" s="36"/>
      <c r="P42" s="36"/>
      <c r="Q42" s="36"/>
      <c r="R42" s="36"/>
      <c r="S42" s="36"/>
      <c r="T42" s="36"/>
      <c r="AZ42" s="35" t="s">
        <v>394</v>
      </c>
      <c r="BA42" s="35" t="s">
        <v>424</v>
      </c>
      <c r="BB42" s="35" t="s">
        <v>396</v>
      </c>
      <c r="BC42" s="35"/>
      <c r="BD42" s="35"/>
      <c r="BE42" s="35"/>
      <c r="BF42" s="35"/>
      <c r="BG42" s="35"/>
      <c r="BH42" s="35"/>
      <c r="BI42" s="35"/>
      <c r="BJ42" s="36"/>
      <c r="BK42" s="36"/>
      <c r="BL42" s="36"/>
      <c r="BM42" s="36"/>
      <c r="BN42" s="36"/>
      <c r="BO42" s="36"/>
    </row>
    <row r="43" ht="30" spans="1:67">
      <c r="A43" s="35"/>
      <c r="B43" s="35"/>
      <c r="C43" s="39" t="s">
        <v>397</v>
      </c>
      <c r="D43" s="36" t="s">
        <v>398</v>
      </c>
      <c r="E43" s="36" t="s">
        <v>399</v>
      </c>
      <c r="F43" s="40" t="s">
        <v>400</v>
      </c>
      <c r="G43" s="36" t="s">
        <v>401</v>
      </c>
      <c r="H43" s="36" t="s">
        <v>402</v>
      </c>
      <c r="I43" s="36" t="s">
        <v>403</v>
      </c>
      <c r="J43" s="36" t="s">
        <v>404</v>
      </c>
      <c r="K43" s="36"/>
      <c r="L43" s="36"/>
      <c r="M43" s="36" t="s">
        <v>398</v>
      </c>
      <c r="N43" s="36" t="s">
        <v>399</v>
      </c>
      <c r="O43" s="36" t="s">
        <v>400</v>
      </c>
      <c r="P43" s="36" t="s">
        <v>401</v>
      </c>
      <c r="Q43" s="36" t="s">
        <v>402</v>
      </c>
      <c r="R43" s="36" t="s">
        <v>403</v>
      </c>
      <c r="S43" s="36" t="s">
        <v>404</v>
      </c>
      <c r="T43" s="36"/>
      <c r="U43" s="36"/>
      <c r="V43" s="38" t="s">
        <v>422</v>
      </c>
      <c r="W43" s="36" t="s">
        <v>398</v>
      </c>
      <c r="X43" s="36" t="s">
        <v>399</v>
      </c>
      <c r="Y43" s="40" t="s">
        <v>400</v>
      </c>
      <c r="Z43" s="36" t="s">
        <v>401</v>
      </c>
      <c r="AA43" s="36" t="s">
        <v>402</v>
      </c>
      <c r="AB43" s="42" t="s">
        <v>403</v>
      </c>
      <c r="AC43" s="42" t="s">
        <v>404</v>
      </c>
      <c r="AD43" s="36"/>
      <c r="AE43" s="36"/>
      <c r="AF43" s="36" t="s">
        <v>398</v>
      </c>
      <c r="AG43" s="36" t="s">
        <v>399</v>
      </c>
      <c r="AH43" s="40" t="s">
        <v>400</v>
      </c>
      <c r="AI43" s="36" t="s">
        <v>401</v>
      </c>
      <c r="AJ43" s="36" t="s">
        <v>402</v>
      </c>
      <c r="AK43" s="42" t="s">
        <v>403</v>
      </c>
      <c r="AL43" s="42" t="s">
        <v>404</v>
      </c>
      <c r="AO43" s="36" t="s">
        <v>398</v>
      </c>
      <c r="AP43" s="36" t="s">
        <v>399</v>
      </c>
      <c r="AQ43" s="40" t="s">
        <v>400</v>
      </c>
      <c r="AR43" s="36" t="s">
        <v>401</v>
      </c>
      <c r="AS43" s="36" t="s">
        <v>402</v>
      </c>
      <c r="AT43" s="42" t="s">
        <v>403</v>
      </c>
      <c r="AU43" s="42" t="s">
        <v>404</v>
      </c>
      <c r="AZ43" s="35"/>
      <c r="BA43" s="35"/>
      <c r="BB43" s="39" t="s">
        <v>397</v>
      </c>
      <c r="BC43" s="36" t="s">
        <v>398</v>
      </c>
      <c r="BD43" s="36" t="s">
        <v>399</v>
      </c>
      <c r="BE43" s="40" t="s">
        <v>400</v>
      </c>
      <c r="BF43" s="36" t="s">
        <v>401</v>
      </c>
      <c r="BG43" s="36" t="s">
        <v>402</v>
      </c>
      <c r="BH43" s="36" t="s">
        <v>403</v>
      </c>
      <c r="BI43" s="36" t="s">
        <v>404</v>
      </c>
      <c r="BJ43" s="36"/>
      <c r="BK43" s="36"/>
      <c r="BL43" s="36"/>
      <c r="BM43" s="36"/>
      <c r="BN43" s="36"/>
      <c r="BO43" s="36"/>
    </row>
    <row r="44" ht="15.5" spans="1:67">
      <c r="A44" s="35" t="s">
        <v>405</v>
      </c>
      <c r="B44" s="43" t="s">
        <v>406</v>
      </c>
      <c r="C44" s="44">
        <f t="shared" ref="C44:J44" si="124" xml:space="preserve">BB44/1000</f>
        <v>0.6652</v>
      </c>
      <c r="D44" s="44">
        <f t="shared" si="124"/>
        <v>0.5864</v>
      </c>
      <c r="E44" s="44">
        <f t="shared" si="124"/>
        <v>0.5679</v>
      </c>
      <c r="F44" s="44">
        <f t="shared" si="124"/>
        <v>0.5636</v>
      </c>
      <c r="G44" s="44">
        <f t="shared" si="124"/>
        <v>0.5409</v>
      </c>
      <c r="H44" s="44">
        <f t="shared" si="124"/>
        <v>0.5521</v>
      </c>
      <c r="I44" s="44">
        <f t="shared" si="124"/>
        <v>0.5636</v>
      </c>
      <c r="J44" s="44">
        <f t="shared" si="124"/>
        <v>0.5636</v>
      </c>
      <c r="K44" s="36"/>
      <c r="L44" s="36"/>
      <c r="M44" s="45">
        <v>5.937</v>
      </c>
      <c r="N44" s="45">
        <v>5.845</v>
      </c>
      <c r="O44" s="45">
        <v>5.575</v>
      </c>
      <c r="P44" s="45">
        <v>5.276</v>
      </c>
      <c r="Q44" s="45">
        <v>5.363</v>
      </c>
      <c r="R44" s="45">
        <v>6.645</v>
      </c>
      <c r="S44" s="45">
        <v>5.654</v>
      </c>
      <c r="T44" s="45"/>
      <c r="U44" s="35" t="s">
        <v>405</v>
      </c>
      <c r="V44" s="43" t="s">
        <v>406</v>
      </c>
      <c r="W44" s="46">
        <f t="shared" ref="W44:AC44" si="125" xml:space="preserve">D44/M44</f>
        <v>0.098770422772444</v>
      </c>
      <c r="X44" s="46">
        <f t="shared" si="125"/>
        <v>0.0971599657827203</v>
      </c>
      <c r="Y44" s="46">
        <f t="shared" si="125"/>
        <v>0.101094170403587</v>
      </c>
      <c r="Z44" s="46">
        <f t="shared" si="125"/>
        <v>0.102520849128127</v>
      </c>
      <c r="AA44" s="46">
        <f t="shared" si="125"/>
        <v>0.102946112250606</v>
      </c>
      <c r="AB44" s="47">
        <f t="shared" si="125"/>
        <v>0.0848156508653123</v>
      </c>
      <c r="AC44" s="47">
        <f t="shared" si="125"/>
        <v>0.0996816413158826</v>
      </c>
      <c r="AD44" s="36"/>
      <c r="AE44" s="36"/>
      <c r="AF44" s="46">
        <f t="shared" ref="AF44:AJ44" si="126" xml:space="preserve">W44</f>
        <v>0.098770422772444</v>
      </c>
      <c r="AG44" s="46">
        <f t="shared" si="126"/>
        <v>0.0971599657827203</v>
      </c>
      <c r="AH44" s="46">
        <f t="shared" si="126"/>
        <v>0.101094170403587</v>
      </c>
      <c r="AI44" s="46">
        <f t="shared" si="126"/>
        <v>0.102520849128127</v>
      </c>
      <c r="AJ44" s="46">
        <f t="shared" si="126"/>
        <v>0.102946112250606</v>
      </c>
      <c r="AK44" s="48">
        <f t="shared" ref="AK44:AK58" si="127" xml:space="preserve">AB44*1.15</f>
        <v>0.0975379984951091</v>
      </c>
      <c r="AL44" s="48">
        <f t="shared" ref="AL44:AL58" si="128" xml:space="preserve">AC44*1.15</f>
        <v>0.114633887513265</v>
      </c>
      <c r="AO44" s="46">
        <f t="shared" ref="AO44:AS44" si="129" xml:space="preserve">W44</f>
        <v>0.098770422772444</v>
      </c>
      <c r="AP44" s="46">
        <f t="shared" si="129"/>
        <v>0.0971599657827203</v>
      </c>
      <c r="AQ44" s="46">
        <f t="shared" si="129"/>
        <v>0.101094170403587</v>
      </c>
      <c r="AR44" s="46">
        <f t="shared" si="129"/>
        <v>0.102520849128127</v>
      </c>
      <c r="AS44" s="46">
        <f t="shared" si="129"/>
        <v>0.102946112250606</v>
      </c>
      <c r="AT44" s="48">
        <f t="shared" ref="AT44:AT58" si="130" xml:space="preserve">AB44*0.85</f>
        <v>0.0720933032355154</v>
      </c>
      <c r="AU44" s="48">
        <f t="shared" ref="AU44:AU58" si="131" xml:space="preserve">AC44*0.85</f>
        <v>0.0847293951185002</v>
      </c>
      <c r="AZ44" s="35" t="s">
        <v>405</v>
      </c>
      <c r="BA44" s="43" t="s">
        <v>406</v>
      </c>
      <c r="BB44" s="44">
        <v>665.2</v>
      </c>
      <c r="BC44" s="46">
        <v>586.4</v>
      </c>
      <c r="BD44" s="46">
        <v>567.9</v>
      </c>
      <c r="BE44" s="46">
        <v>563.6</v>
      </c>
      <c r="BF44" s="46">
        <v>540.9</v>
      </c>
      <c r="BG44" s="46">
        <v>552.1</v>
      </c>
      <c r="BH44" s="46">
        <v>563.6</v>
      </c>
      <c r="BI44" s="46">
        <v>563.6</v>
      </c>
      <c r="BJ44" s="36"/>
      <c r="BK44" s="36"/>
      <c r="BL44" s="45"/>
      <c r="BM44" s="45"/>
      <c r="BN44" s="45"/>
      <c r="BO44" s="45"/>
    </row>
    <row r="45" ht="15.5" spans="1:67">
      <c r="A45" s="35"/>
      <c r="B45" s="43" t="s">
        <v>407</v>
      </c>
      <c r="C45" s="44">
        <f t="shared" ref="C45:J45" si="132" xml:space="preserve">BB45/1000</f>
        <v>0.6092</v>
      </c>
      <c r="D45" s="44">
        <f t="shared" si="132"/>
        <v>0.5396</v>
      </c>
      <c r="E45" s="44">
        <f t="shared" si="132"/>
        <v>0.5232</v>
      </c>
      <c r="F45" s="44">
        <f t="shared" si="132"/>
        <v>0.5193</v>
      </c>
      <c r="G45" s="44">
        <f t="shared" si="132"/>
        <v>0.499</v>
      </c>
      <c r="H45" s="44">
        <f t="shared" si="132"/>
        <v>0.5091</v>
      </c>
      <c r="I45" s="44">
        <f t="shared" si="132"/>
        <v>0.5193</v>
      </c>
      <c r="J45" s="44">
        <f t="shared" si="132"/>
        <v>0.5193</v>
      </c>
      <c r="K45" s="36"/>
      <c r="L45" s="36"/>
      <c r="M45" s="49">
        <v>5.937</v>
      </c>
      <c r="N45" s="49">
        <v>5.845</v>
      </c>
      <c r="O45" s="49">
        <v>5.575</v>
      </c>
      <c r="P45" s="49">
        <v>5.276</v>
      </c>
      <c r="Q45" s="49">
        <v>5.363</v>
      </c>
      <c r="R45" s="49">
        <v>6.645</v>
      </c>
      <c r="S45" s="49">
        <v>5.654</v>
      </c>
      <c r="T45" s="49"/>
      <c r="U45" s="35"/>
      <c r="V45" s="43" t="s">
        <v>407</v>
      </c>
      <c r="W45" s="46">
        <f t="shared" ref="W45:AC45" si="133" xml:space="preserve">D45/M45</f>
        <v>0.0908876536971534</v>
      </c>
      <c r="X45" s="46">
        <f t="shared" si="133"/>
        <v>0.0895124037639008</v>
      </c>
      <c r="Y45" s="46">
        <f t="shared" si="133"/>
        <v>0.0931479820627803</v>
      </c>
      <c r="Z45" s="46">
        <f t="shared" si="133"/>
        <v>0.094579226686884</v>
      </c>
      <c r="AA45" s="46">
        <f t="shared" si="133"/>
        <v>0.0949282118217415</v>
      </c>
      <c r="AB45" s="47">
        <f t="shared" si="133"/>
        <v>0.0781489841986456</v>
      </c>
      <c r="AC45" s="47">
        <f t="shared" si="133"/>
        <v>0.0918464803678811</v>
      </c>
      <c r="AD45" s="36"/>
      <c r="AE45" s="36"/>
      <c r="AF45" s="46">
        <f t="shared" ref="AF45:AJ45" si="134" xml:space="preserve">W45</f>
        <v>0.0908876536971534</v>
      </c>
      <c r="AG45" s="46">
        <f t="shared" si="134"/>
        <v>0.0895124037639008</v>
      </c>
      <c r="AH45" s="46">
        <f t="shared" si="134"/>
        <v>0.0931479820627803</v>
      </c>
      <c r="AI45" s="46">
        <f t="shared" si="134"/>
        <v>0.094579226686884</v>
      </c>
      <c r="AJ45" s="46">
        <f t="shared" si="134"/>
        <v>0.0949282118217415</v>
      </c>
      <c r="AK45" s="48">
        <f t="shared" si="127"/>
        <v>0.0898713318284424</v>
      </c>
      <c r="AL45" s="48">
        <f t="shared" si="128"/>
        <v>0.105623452423063</v>
      </c>
      <c r="AO45" s="46">
        <f t="shared" ref="AO45:AS45" si="135" xml:space="preserve">W45</f>
        <v>0.0908876536971534</v>
      </c>
      <c r="AP45" s="46">
        <f t="shared" si="135"/>
        <v>0.0895124037639008</v>
      </c>
      <c r="AQ45" s="46">
        <f t="shared" si="135"/>
        <v>0.0931479820627803</v>
      </c>
      <c r="AR45" s="46">
        <f t="shared" si="135"/>
        <v>0.094579226686884</v>
      </c>
      <c r="AS45" s="46">
        <f t="shared" si="135"/>
        <v>0.0949282118217415</v>
      </c>
      <c r="AT45" s="48">
        <f t="shared" si="130"/>
        <v>0.0664266365688488</v>
      </c>
      <c r="AU45" s="48">
        <f t="shared" si="131"/>
        <v>0.078069508312699</v>
      </c>
      <c r="AZ45" s="35"/>
      <c r="BA45" s="43" t="s">
        <v>407</v>
      </c>
      <c r="BB45" s="44">
        <v>609.2</v>
      </c>
      <c r="BC45" s="46">
        <v>539.6</v>
      </c>
      <c r="BD45" s="46">
        <v>523.2</v>
      </c>
      <c r="BE45" s="46">
        <v>519.3</v>
      </c>
      <c r="BF45" s="46">
        <v>499</v>
      </c>
      <c r="BG45" s="46">
        <v>509.1</v>
      </c>
      <c r="BH45" s="46">
        <v>519.3</v>
      </c>
      <c r="BI45" s="46">
        <v>519.3</v>
      </c>
      <c r="BJ45" s="36"/>
      <c r="BK45" s="36"/>
      <c r="BL45" s="49"/>
      <c r="BM45" s="49"/>
      <c r="BN45" s="49"/>
      <c r="BO45" s="49"/>
    </row>
    <row r="46" ht="15.5" spans="1:67">
      <c r="A46" s="35"/>
      <c r="B46" s="43" t="s">
        <v>408</v>
      </c>
      <c r="C46" s="44">
        <f t="shared" ref="C46:J46" si="136" xml:space="preserve">BB46/1000</f>
        <v>0.1429</v>
      </c>
      <c r="D46" s="44">
        <f t="shared" si="136"/>
        <v>0.1194</v>
      </c>
      <c r="E46" s="44">
        <f t="shared" si="136"/>
        <v>0.114</v>
      </c>
      <c r="F46" s="44">
        <f t="shared" si="136"/>
        <v>0.1127</v>
      </c>
      <c r="G46" s="44">
        <f t="shared" si="136"/>
        <v>0.1061</v>
      </c>
      <c r="H46" s="44">
        <f t="shared" si="136"/>
        <v>0.1094</v>
      </c>
      <c r="I46" s="44">
        <f t="shared" si="136"/>
        <v>0.1127</v>
      </c>
      <c r="J46" s="44">
        <f t="shared" si="136"/>
        <v>0.1127</v>
      </c>
      <c r="K46" s="36"/>
      <c r="L46" s="36"/>
      <c r="M46" s="49">
        <v>5.937</v>
      </c>
      <c r="N46" s="49">
        <v>5.845</v>
      </c>
      <c r="O46" s="49">
        <v>5.575</v>
      </c>
      <c r="P46" s="49">
        <v>5.276</v>
      </c>
      <c r="Q46" s="49">
        <v>5.363</v>
      </c>
      <c r="R46" s="49">
        <v>6.645</v>
      </c>
      <c r="S46" s="49">
        <v>5.654</v>
      </c>
      <c r="T46" s="49"/>
      <c r="U46" s="35"/>
      <c r="V46" s="43" t="s">
        <v>408</v>
      </c>
      <c r="W46" s="46">
        <f t="shared" ref="W46:AC46" si="137" xml:space="preserve">D46/M46</f>
        <v>0.02011116725619</v>
      </c>
      <c r="X46" s="46">
        <f t="shared" si="137"/>
        <v>0.0195038494439692</v>
      </c>
      <c r="Y46" s="46">
        <f t="shared" si="137"/>
        <v>0.0202152466367713</v>
      </c>
      <c r="Z46" s="46">
        <f t="shared" si="137"/>
        <v>0.0201099317664898</v>
      </c>
      <c r="AA46" s="46">
        <f t="shared" si="137"/>
        <v>0.0203990303934365</v>
      </c>
      <c r="AB46" s="47">
        <f t="shared" si="137"/>
        <v>0.0169601203912716</v>
      </c>
      <c r="AC46" s="47">
        <f t="shared" si="137"/>
        <v>0.0199327909444641</v>
      </c>
      <c r="AD46" s="36"/>
      <c r="AE46" s="36"/>
      <c r="AF46" s="46">
        <f t="shared" ref="AF46:AJ46" si="138" xml:space="preserve">W46</f>
        <v>0.02011116725619</v>
      </c>
      <c r="AG46" s="46">
        <f t="shared" si="138"/>
        <v>0.0195038494439692</v>
      </c>
      <c r="AH46" s="46">
        <f t="shared" si="138"/>
        <v>0.0202152466367713</v>
      </c>
      <c r="AI46" s="46">
        <f t="shared" si="138"/>
        <v>0.0201099317664898</v>
      </c>
      <c r="AJ46" s="46">
        <f t="shared" si="138"/>
        <v>0.0203990303934365</v>
      </c>
      <c r="AK46" s="48">
        <f t="shared" si="127"/>
        <v>0.0195041384499624</v>
      </c>
      <c r="AL46" s="48">
        <f t="shared" si="128"/>
        <v>0.0229227095861337</v>
      </c>
      <c r="AO46" s="46">
        <f t="shared" ref="AO46:AS46" si="139" xml:space="preserve">W46</f>
        <v>0.02011116725619</v>
      </c>
      <c r="AP46" s="46">
        <f t="shared" si="139"/>
        <v>0.0195038494439692</v>
      </c>
      <c r="AQ46" s="46">
        <f t="shared" si="139"/>
        <v>0.0202152466367713</v>
      </c>
      <c r="AR46" s="46">
        <f t="shared" si="139"/>
        <v>0.0201099317664898</v>
      </c>
      <c r="AS46" s="46">
        <f t="shared" si="139"/>
        <v>0.0203990303934365</v>
      </c>
      <c r="AT46" s="48">
        <f t="shared" si="130"/>
        <v>0.0144161023325809</v>
      </c>
      <c r="AU46" s="48">
        <f t="shared" si="131"/>
        <v>0.0169428723027945</v>
      </c>
      <c r="AZ46" s="35"/>
      <c r="BA46" s="43" t="s">
        <v>408</v>
      </c>
      <c r="BB46" s="44">
        <v>142.9</v>
      </c>
      <c r="BC46" s="46">
        <v>119.4</v>
      </c>
      <c r="BD46" s="46">
        <v>114</v>
      </c>
      <c r="BE46" s="46">
        <v>112.7</v>
      </c>
      <c r="BF46" s="46">
        <v>106.1</v>
      </c>
      <c r="BG46" s="46">
        <v>109.4</v>
      </c>
      <c r="BH46" s="46">
        <v>112.7</v>
      </c>
      <c r="BI46" s="46">
        <v>112.7</v>
      </c>
      <c r="BJ46" s="36"/>
      <c r="BK46" s="36"/>
      <c r="BL46" s="49"/>
      <c r="BM46" s="49"/>
      <c r="BN46" s="49"/>
      <c r="BO46" s="49"/>
    </row>
    <row r="47" ht="15.5" spans="1:67">
      <c r="A47" s="35"/>
      <c r="B47" s="43" t="s">
        <v>409</v>
      </c>
      <c r="C47" s="44">
        <f t="shared" ref="C47:J47" si="140" xml:space="preserve">BB47/1000</f>
        <v>0.4256</v>
      </c>
      <c r="D47" s="44">
        <f t="shared" si="140"/>
        <v>0.3807</v>
      </c>
      <c r="E47" s="44">
        <f t="shared" si="140"/>
        <v>0.3703</v>
      </c>
      <c r="F47" s="44">
        <f t="shared" si="140"/>
        <v>0.3679</v>
      </c>
      <c r="G47" s="44">
        <f t="shared" si="140"/>
        <v>0.3552</v>
      </c>
      <c r="H47" s="44">
        <f t="shared" si="140"/>
        <v>0.3613</v>
      </c>
      <c r="I47" s="44">
        <f t="shared" si="140"/>
        <v>0.3679</v>
      </c>
      <c r="J47" s="44">
        <f t="shared" si="140"/>
        <v>0.3679</v>
      </c>
      <c r="K47" s="36"/>
      <c r="L47" s="36"/>
      <c r="M47" s="49">
        <v>5.937</v>
      </c>
      <c r="N47" s="49">
        <v>5.845</v>
      </c>
      <c r="O47" s="49">
        <v>5.575</v>
      </c>
      <c r="P47" s="49">
        <v>5.276</v>
      </c>
      <c r="Q47" s="49">
        <v>5.363</v>
      </c>
      <c r="R47" s="49">
        <v>6.645</v>
      </c>
      <c r="S47" s="49">
        <v>5.654</v>
      </c>
      <c r="T47" s="49"/>
      <c r="U47" s="35"/>
      <c r="V47" s="43" t="s">
        <v>409</v>
      </c>
      <c r="W47" s="46">
        <f t="shared" ref="W47:AC47" si="141" xml:space="preserve">D47/M47</f>
        <v>0.0641232945932289</v>
      </c>
      <c r="X47" s="46">
        <f t="shared" si="141"/>
        <v>0.0633532934131737</v>
      </c>
      <c r="Y47" s="46">
        <f t="shared" si="141"/>
        <v>0.0659910313901345</v>
      </c>
      <c r="Z47" s="46">
        <f t="shared" si="141"/>
        <v>0.0673237300985595</v>
      </c>
      <c r="AA47" s="46">
        <f t="shared" si="141"/>
        <v>0.0673690098825284</v>
      </c>
      <c r="AB47" s="47">
        <f t="shared" si="141"/>
        <v>0.055364936042137</v>
      </c>
      <c r="AC47" s="47">
        <f t="shared" si="141"/>
        <v>0.0650689777148921</v>
      </c>
      <c r="AD47" s="36"/>
      <c r="AE47" s="36"/>
      <c r="AF47" s="46">
        <f t="shared" ref="AF47:AJ47" si="142" xml:space="preserve">W47</f>
        <v>0.0641232945932289</v>
      </c>
      <c r="AG47" s="46">
        <f t="shared" si="142"/>
        <v>0.0633532934131737</v>
      </c>
      <c r="AH47" s="46">
        <f t="shared" si="142"/>
        <v>0.0659910313901345</v>
      </c>
      <c r="AI47" s="46">
        <f t="shared" si="142"/>
        <v>0.0673237300985595</v>
      </c>
      <c r="AJ47" s="46">
        <f t="shared" si="142"/>
        <v>0.0673690098825284</v>
      </c>
      <c r="AK47" s="48">
        <f t="shared" si="127"/>
        <v>0.0636696764484575</v>
      </c>
      <c r="AL47" s="48">
        <f t="shared" si="128"/>
        <v>0.0748293243721259</v>
      </c>
      <c r="AO47" s="46">
        <f t="shared" ref="AO47:AS47" si="143" xml:space="preserve">W47</f>
        <v>0.0641232945932289</v>
      </c>
      <c r="AP47" s="46">
        <f t="shared" si="143"/>
        <v>0.0633532934131737</v>
      </c>
      <c r="AQ47" s="46">
        <f t="shared" si="143"/>
        <v>0.0659910313901345</v>
      </c>
      <c r="AR47" s="46">
        <f t="shared" si="143"/>
        <v>0.0673237300985595</v>
      </c>
      <c r="AS47" s="46">
        <f t="shared" si="143"/>
        <v>0.0673690098825284</v>
      </c>
      <c r="AT47" s="48">
        <f t="shared" si="130"/>
        <v>0.0470601956358164</v>
      </c>
      <c r="AU47" s="48">
        <f t="shared" si="131"/>
        <v>0.0553086310576583</v>
      </c>
      <c r="AZ47" s="35"/>
      <c r="BA47" s="43" t="s">
        <v>409</v>
      </c>
      <c r="BB47" s="44">
        <v>425.6</v>
      </c>
      <c r="BC47" s="46">
        <v>380.7</v>
      </c>
      <c r="BD47" s="46">
        <v>370.3</v>
      </c>
      <c r="BE47" s="46">
        <v>367.9</v>
      </c>
      <c r="BF47" s="46">
        <v>355.2</v>
      </c>
      <c r="BG47" s="46">
        <v>361.3</v>
      </c>
      <c r="BH47" s="46">
        <v>367.9</v>
      </c>
      <c r="BI47" s="46">
        <v>367.9</v>
      </c>
      <c r="BJ47" s="36"/>
      <c r="BK47" s="36"/>
      <c r="BL47" s="49"/>
      <c r="BM47" s="49"/>
      <c r="BN47" s="49"/>
      <c r="BO47" s="49"/>
    </row>
    <row r="48" ht="15.5" spans="1:67">
      <c r="A48" s="35"/>
      <c r="B48" s="43" t="s">
        <v>410</v>
      </c>
      <c r="C48" s="44">
        <f t="shared" ref="C48:J48" si="144" xml:space="preserve">BB48/1000</f>
        <v>0.0846</v>
      </c>
      <c r="D48" s="44">
        <f t="shared" si="144"/>
        <v>0.077</v>
      </c>
      <c r="E48" s="44">
        <f t="shared" si="144"/>
        <v>0.0749</v>
      </c>
      <c r="F48" s="44">
        <f t="shared" si="144"/>
        <v>0.0744</v>
      </c>
      <c r="G48" s="44">
        <f t="shared" si="144"/>
        <v>0.0717</v>
      </c>
      <c r="H48" s="44">
        <f t="shared" si="144"/>
        <v>0.0731</v>
      </c>
      <c r="I48" s="44">
        <f t="shared" si="144"/>
        <v>0.0744</v>
      </c>
      <c r="J48" s="44">
        <f t="shared" si="144"/>
        <v>0.0744</v>
      </c>
      <c r="K48" s="36"/>
      <c r="L48" s="36"/>
      <c r="M48" s="49">
        <v>5.937</v>
      </c>
      <c r="N48" s="49">
        <v>5.845</v>
      </c>
      <c r="O48" s="49">
        <v>5.575</v>
      </c>
      <c r="P48" s="49">
        <v>5.276</v>
      </c>
      <c r="Q48" s="49">
        <v>5.363</v>
      </c>
      <c r="R48" s="49">
        <v>6.645</v>
      </c>
      <c r="S48" s="49">
        <v>5.654</v>
      </c>
      <c r="T48" s="49"/>
      <c r="U48" s="35"/>
      <c r="V48" s="43" t="s">
        <v>410</v>
      </c>
      <c r="W48" s="46">
        <f t="shared" ref="W48:AC48" si="145" xml:space="preserve">D48/M48</f>
        <v>0.0129695132221661</v>
      </c>
      <c r="X48" s="46">
        <f t="shared" si="145"/>
        <v>0.012814371257485</v>
      </c>
      <c r="Y48" s="46">
        <f t="shared" si="145"/>
        <v>0.0133452914798206</v>
      </c>
      <c r="Z48" s="46">
        <f t="shared" si="145"/>
        <v>0.0135898407884761</v>
      </c>
      <c r="AA48" s="46">
        <f t="shared" si="145"/>
        <v>0.0136304307290695</v>
      </c>
      <c r="AB48" s="47">
        <f t="shared" si="145"/>
        <v>0.011196388261851</v>
      </c>
      <c r="AC48" s="47">
        <f t="shared" si="145"/>
        <v>0.0131588256101875</v>
      </c>
      <c r="AD48" s="36"/>
      <c r="AE48" s="36"/>
      <c r="AF48" s="46">
        <f t="shared" ref="AF48:AJ48" si="146" xml:space="preserve">W48</f>
        <v>0.0129695132221661</v>
      </c>
      <c r="AG48" s="46">
        <f t="shared" si="146"/>
        <v>0.012814371257485</v>
      </c>
      <c r="AH48" s="46">
        <f t="shared" si="146"/>
        <v>0.0133452914798206</v>
      </c>
      <c r="AI48" s="46">
        <f t="shared" si="146"/>
        <v>0.0135898407884761</v>
      </c>
      <c r="AJ48" s="46">
        <f t="shared" si="146"/>
        <v>0.0136304307290695</v>
      </c>
      <c r="AK48" s="48">
        <f t="shared" si="127"/>
        <v>0.0128758465011287</v>
      </c>
      <c r="AL48" s="48">
        <f t="shared" si="128"/>
        <v>0.0151326494517156</v>
      </c>
      <c r="AO48" s="46">
        <f t="shared" ref="AO48:AS48" si="147" xml:space="preserve">W48</f>
        <v>0.0129695132221661</v>
      </c>
      <c r="AP48" s="46">
        <f t="shared" si="147"/>
        <v>0.012814371257485</v>
      </c>
      <c r="AQ48" s="46">
        <f t="shared" si="147"/>
        <v>0.0133452914798206</v>
      </c>
      <c r="AR48" s="46">
        <f t="shared" si="147"/>
        <v>0.0135898407884761</v>
      </c>
      <c r="AS48" s="46">
        <f t="shared" si="147"/>
        <v>0.0136304307290695</v>
      </c>
      <c r="AT48" s="48">
        <f t="shared" si="130"/>
        <v>0.00951693002257336</v>
      </c>
      <c r="AU48" s="48">
        <f t="shared" si="131"/>
        <v>0.0111850017686594</v>
      </c>
      <c r="AZ48" s="35"/>
      <c r="BA48" s="43" t="s">
        <v>410</v>
      </c>
      <c r="BB48" s="44">
        <v>84.6</v>
      </c>
      <c r="BC48" s="46">
        <v>77</v>
      </c>
      <c r="BD48" s="46">
        <v>74.9</v>
      </c>
      <c r="BE48" s="46">
        <v>74.4</v>
      </c>
      <c r="BF48" s="46">
        <v>71.7</v>
      </c>
      <c r="BG48" s="46">
        <v>73.1</v>
      </c>
      <c r="BH48" s="46">
        <v>74.4</v>
      </c>
      <c r="BI48" s="46">
        <v>74.4</v>
      </c>
      <c r="BJ48" s="36"/>
      <c r="BK48" s="36"/>
      <c r="BL48" s="49"/>
      <c r="BM48" s="49"/>
      <c r="BN48" s="49"/>
      <c r="BO48" s="49"/>
    </row>
    <row r="49" ht="15.5" spans="1:67">
      <c r="A49" s="35" t="s">
        <v>301</v>
      </c>
      <c r="B49" s="43" t="s">
        <v>406</v>
      </c>
      <c r="C49" s="44">
        <f t="shared" ref="C49:J49" si="148" xml:space="preserve">BB49/1000</f>
        <v>0.6792</v>
      </c>
      <c r="D49" s="44">
        <f t="shared" si="148"/>
        <v>0.5984</v>
      </c>
      <c r="E49" s="44">
        <f t="shared" si="148"/>
        <v>0.5794</v>
      </c>
      <c r="F49" s="44">
        <f t="shared" si="148"/>
        <v>0.575</v>
      </c>
      <c r="G49" s="44">
        <f t="shared" si="148"/>
        <v>0.5517</v>
      </c>
      <c r="H49" s="44">
        <f t="shared" si="148"/>
        <v>0.5632</v>
      </c>
      <c r="I49" s="44">
        <f t="shared" si="148"/>
        <v>0.575</v>
      </c>
      <c r="J49" s="44">
        <f t="shared" si="148"/>
        <v>0.575</v>
      </c>
      <c r="K49" s="36"/>
      <c r="L49" s="36"/>
      <c r="M49" s="49">
        <v>5.937</v>
      </c>
      <c r="N49" s="49">
        <v>5.845</v>
      </c>
      <c r="O49" s="49">
        <v>5.575</v>
      </c>
      <c r="P49" s="49">
        <v>5.276</v>
      </c>
      <c r="Q49" s="49">
        <v>5.363</v>
      </c>
      <c r="R49" s="49">
        <v>6.645</v>
      </c>
      <c r="S49" s="49">
        <v>5.654</v>
      </c>
      <c r="T49" s="49"/>
      <c r="U49" s="35" t="s">
        <v>301</v>
      </c>
      <c r="V49" s="43" t="s">
        <v>406</v>
      </c>
      <c r="W49" s="46">
        <f t="shared" ref="W49:AC49" si="149" xml:space="preserve">D49/M49</f>
        <v>0.100791645612262</v>
      </c>
      <c r="X49" s="46">
        <f t="shared" si="149"/>
        <v>0.0991274593669803</v>
      </c>
      <c r="Y49" s="46">
        <f t="shared" si="149"/>
        <v>0.103139013452915</v>
      </c>
      <c r="Z49" s="46">
        <f t="shared" si="149"/>
        <v>0.104567854435178</v>
      </c>
      <c r="AA49" s="46">
        <f t="shared" si="149"/>
        <v>0.105015849338057</v>
      </c>
      <c r="AB49" s="47">
        <f t="shared" si="149"/>
        <v>0.0865312264860798</v>
      </c>
      <c r="AC49" s="47">
        <f t="shared" si="149"/>
        <v>0.10169791298196</v>
      </c>
      <c r="AD49" s="36"/>
      <c r="AE49" s="36"/>
      <c r="AF49" s="46">
        <f t="shared" ref="AF49:AJ49" si="150" xml:space="preserve">W49</f>
        <v>0.100791645612262</v>
      </c>
      <c r="AG49" s="46">
        <f t="shared" si="150"/>
        <v>0.0991274593669803</v>
      </c>
      <c r="AH49" s="46">
        <f t="shared" si="150"/>
        <v>0.103139013452915</v>
      </c>
      <c r="AI49" s="46">
        <f t="shared" si="150"/>
        <v>0.104567854435178</v>
      </c>
      <c r="AJ49" s="46">
        <f t="shared" si="150"/>
        <v>0.105015849338057</v>
      </c>
      <c r="AK49" s="48">
        <f t="shared" si="127"/>
        <v>0.0995109104589917</v>
      </c>
      <c r="AL49" s="48">
        <f t="shared" si="128"/>
        <v>0.116952599929254</v>
      </c>
      <c r="AO49" s="46">
        <f t="shared" ref="AO49:AS49" si="151" xml:space="preserve">W49</f>
        <v>0.100791645612262</v>
      </c>
      <c r="AP49" s="46">
        <f t="shared" si="151"/>
        <v>0.0991274593669803</v>
      </c>
      <c r="AQ49" s="46">
        <f t="shared" si="151"/>
        <v>0.103139013452915</v>
      </c>
      <c r="AR49" s="46">
        <f t="shared" si="151"/>
        <v>0.104567854435178</v>
      </c>
      <c r="AS49" s="46">
        <f t="shared" si="151"/>
        <v>0.105015849338057</v>
      </c>
      <c r="AT49" s="48">
        <f t="shared" si="130"/>
        <v>0.0735515425131678</v>
      </c>
      <c r="AU49" s="48">
        <f t="shared" si="131"/>
        <v>0.0864432260346657</v>
      </c>
      <c r="AZ49" s="35" t="s">
        <v>301</v>
      </c>
      <c r="BA49" s="43" t="s">
        <v>406</v>
      </c>
      <c r="BB49" s="44">
        <v>679.2</v>
      </c>
      <c r="BC49" s="46">
        <v>598.4</v>
      </c>
      <c r="BD49" s="46">
        <v>579.4</v>
      </c>
      <c r="BE49" s="46">
        <v>575</v>
      </c>
      <c r="BF49" s="46">
        <v>551.7</v>
      </c>
      <c r="BG49" s="46">
        <v>563.2</v>
      </c>
      <c r="BH49" s="46">
        <v>575</v>
      </c>
      <c r="BI49" s="46">
        <v>575</v>
      </c>
      <c r="BJ49" s="36"/>
      <c r="BK49" s="36"/>
      <c r="BL49" s="49"/>
      <c r="BM49" s="49"/>
      <c r="BN49" s="49"/>
      <c r="BO49" s="49"/>
    </row>
    <row r="50" ht="15.5" spans="1:67">
      <c r="A50" s="35"/>
      <c r="B50" s="43" t="s">
        <v>407</v>
      </c>
      <c r="C50" s="44">
        <f t="shared" ref="C50:J50" si="152" xml:space="preserve">BB50/1000</f>
        <v>0.6241</v>
      </c>
      <c r="D50" s="44">
        <f t="shared" si="152"/>
        <v>0.5523</v>
      </c>
      <c r="E50" s="44">
        <f t="shared" si="152"/>
        <v>0.5353</v>
      </c>
      <c r="F50" s="44">
        <f t="shared" si="152"/>
        <v>0.5314</v>
      </c>
      <c r="G50" s="44">
        <f t="shared" si="152"/>
        <v>0.5105</v>
      </c>
      <c r="H50" s="44">
        <f t="shared" si="152"/>
        <v>0.5209</v>
      </c>
      <c r="I50" s="44">
        <f t="shared" si="152"/>
        <v>0.5314</v>
      </c>
      <c r="J50" s="44">
        <f t="shared" si="152"/>
        <v>0.5314</v>
      </c>
      <c r="K50" s="36"/>
      <c r="L50" s="36"/>
      <c r="M50" s="49">
        <v>5.937</v>
      </c>
      <c r="N50" s="49">
        <v>5.845</v>
      </c>
      <c r="O50" s="49">
        <v>5.575</v>
      </c>
      <c r="P50" s="49">
        <v>5.276</v>
      </c>
      <c r="Q50" s="49">
        <v>5.363</v>
      </c>
      <c r="R50" s="49">
        <v>6.645</v>
      </c>
      <c r="S50" s="49">
        <v>5.654</v>
      </c>
      <c r="T50" s="49"/>
      <c r="U50" s="35"/>
      <c r="V50" s="43" t="s">
        <v>407</v>
      </c>
      <c r="W50" s="46">
        <f t="shared" ref="W50:AC50" si="153" xml:space="preserve">D50/M50</f>
        <v>0.0930267812026276</v>
      </c>
      <c r="X50" s="46">
        <f t="shared" si="153"/>
        <v>0.0915825491873396</v>
      </c>
      <c r="Y50" s="46">
        <f t="shared" si="153"/>
        <v>0.0953183856502242</v>
      </c>
      <c r="Z50" s="46">
        <f t="shared" si="153"/>
        <v>0.0967589082638362</v>
      </c>
      <c r="AA50" s="46">
        <f t="shared" si="153"/>
        <v>0.0971284728696625</v>
      </c>
      <c r="AB50" s="47">
        <f t="shared" si="153"/>
        <v>0.0799699021820918</v>
      </c>
      <c r="AC50" s="47">
        <f t="shared" si="153"/>
        <v>0.0939865581888928</v>
      </c>
      <c r="AD50" s="36"/>
      <c r="AE50" s="36"/>
      <c r="AF50" s="46">
        <f t="shared" ref="AF50:AJ50" si="154" xml:space="preserve">W50</f>
        <v>0.0930267812026276</v>
      </c>
      <c r="AG50" s="46">
        <f t="shared" si="154"/>
        <v>0.0915825491873396</v>
      </c>
      <c r="AH50" s="46">
        <f t="shared" si="154"/>
        <v>0.0953183856502242</v>
      </c>
      <c r="AI50" s="46">
        <f t="shared" si="154"/>
        <v>0.0967589082638362</v>
      </c>
      <c r="AJ50" s="46">
        <f t="shared" si="154"/>
        <v>0.0971284728696625</v>
      </c>
      <c r="AK50" s="48">
        <f t="shared" si="127"/>
        <v>0.0919653875094056</v>
      </c>
      <c r="AL50" s="48">
        <f t="shared" si="128"/>
        <v>0.108084541917227</v>
      </c>
      <c r="AO50" s="46">
        <f t="shared" ref="AO50:AS50" si="155" xml:space="preserve">W50</f>
        <v>0.0930267812026276</v>
      </c>
      <c r="AP50" s="46">
        <f t="shared" si="155"/>
        <v>0.0915825491873396</v>
      </c>
      <c r="AQ50" s="46">
        <f t="shared" si="155"/>
        <v>0.0953183856502242</v>
      </c>
      <c r="AR50" s="46">
        <f t="shared" si="155"/>
        <v>0.0967589082638362</v>
      </c>
      <c r="AS50" s="46">
        <f t="shared" si="155"/>
        <v>0.0971284728696625</v>
      </c>
      <c r="AT50" s="48">
        <f t="shared" si="130"/>
        <v>0.067974416854778</v>
      </c>
      <c r="AU50" s="48">
        <f t="shared" si="131"/>
        <v>0.0798885744605589</v>
      </c>
      <c r="AZ50" s="35"/>
      <c r="BA50" s="43" t="s">
        <v>407</v>
      </c>
      <c r="BB50" s="44">
        <v>624.1</v>
      </c>
      <c r="BC50" s="46">
        <v>552.3</v>
      </c>
      <c r="BD50" s="46">
        <v>535.3</v>
      </c>
      <c r="BE50" s="46">
        <v>531.4</v>
      </c>
      <c r="BF50" s="46">
        <v>510.5</v>
      </c>
      <c r="BG50" s="46">
        <v>520.9</v>
      </c>
      <c r="BH50" s="46">
        <v>531.4</v>
      </c>
      <c r="BI50" s="46">
        <v>531.4</v>
      </c>
      <c r="BJ50" s="36"/>
      <c r="BK50" s="36"/>
      <c r="BL50" s="49"/>
      <c r="BM50" s="49"/>
      <c r="BN50" s="49"/>
      <c r="BO50" s="49"/>
    </row>
    <row r="51" ht="15.5" spans="1:67">
      <c r="A51" s="35"/>
      <c r="B51" s="43" t="s">
        <v>408</v>
      </c>
      <c r="C51" s="44">
        <f t="shared" ref="C51:J51" si="156" xml:space="preserve">BB51/1000</f>
        <v>0.1745</v>
      </c>
      <c r="D51" s="44">
        <f t="shared" si="156"/>
        <v>0.1463</v>
      </c>
      <c r="E51" s="44">
        <f t="shared" si="156"/>
        <v>0.1398</v>
      </c>
      <c r="F51" s="44">
        <f t="shared" si="156"/>
        <v>0.1383</v>
      </c>
      <c r="G51" s="44">
        <f t="shared" si="156"/>
        <v>0.1304</v>
      </c>
      <c r="H51" s="44">
        <f t="shared" si="156"/>
        <v>0.1343</v>
      </c>
      <c r="I51" s="44">
        <f t="shared" si="156"/>
        <v>0.1383</v>
      </c>
      <c r="J51" s="44">
        <f t="shared" si="156"/>
        <v>0.1383</v>
      </c>
      <c r="K51" s="36"/>
      <c r="L51" s="36"/>
      <c r="M51" s="49">
        <v>5.937</v>
      </c>
      <c r="N51" s="49">
        <v>5.845</v>
      </c>
      <c r="O51" s="49">
        <v>5.575</v>
      </c>
      <c r="P51" s="49">
        <v>5.276</v>
      </c>
      <c r="Q51" s="49">
        <v>5.363</v>
      </c>
      <c r="R51" s="49">
        <v>6.645</v>
      </c>
      <c r="S51" s="49">
        <v>5.654</v>
      </c>
      <c r="T51" s="49"/>
      <c r="U51" s="35"/>
      <c r="V51" s="43" t="s">
        <v>408</v>
      </c>
      <c r="W51" s="46">
        <f t="shared" ref="W51:AC51" si="157" xml:space="preserve">D51/M51</f>
        <v>0.0246420751221155</v>
      </c>
      <c r="X51" s="46">
        <f t="shared" si="157"/>
        <v>0.023917878528657</v>
      </c>
      <c r="Y51" s="46">
        <f t="shared" si="157"/>
        <v>0.0248071748878924</v>
      </c>
      <c r="Z51" s="46">
        <f t="shared" si="157"/>
        <v>0.0247156937073541</v>
      </c>
      <c r="AA51" s="46">
        <f t="shared" si="157"/>
        <v>0.025041954130151</v>
      </c>
      <c r="AB51" s="47">
        <f t="shared" si="157"/>
        <v>0.0208126410835214</v>
      </c>
      <c r="AC51" s="47">
        <f t="shared" si="157"/>
        <v>0.0244605588963566</v>
      </c>
      <c r="AD51" s="36"/>
      <c r="AE51" s="36"/>
      <c r="AF51" s="46">
        <f t="shared" ref="AF51:AJ51" si="158" xml:space="preserve">W51</f>
        <v>0.0246420751221155</v>
      </c>
      <c r="AG51" s="46">
        <f t="shared" si="158"/>
        <v>0.023917878528657</v>
      </c>
      <c r="AH51" s="46">
        <f t="shared" si="158"/>
        <v>0.0248071748878924</v>
      </c>
      <c r="AI51" s="46">
        <f t="shared" si="158"/>
        <v>0.0247156937073541</v>
      </c>
      <c r="AJ51" s="46">
        <f t="shared" si="158"/>
        <v>0.025041954130151</v>
      </c>
      <c r="AK51" s="48">
        <f t="shared" si="127"/>
        <v>0.0239345372460497</v>
      </c>
      <c r="AL51" s="48">
        <f t="shared" si="128"/>
        <v>0.02812964273081</v>
      </c>
      <c r="AO51" s="46">
        <f t="shared" ref="AO51:AS51" si="159" xml:space="preserve">W51</f>
        <v>0.0246420751221155</v>
      </c>
      <c r="AP51" s="46">
        <f t="shared" si="159"/>
        <v>0.023917878528657</v>
      </c>
      <c r="AQ51" s="46">
        <f t="shared" si="159"/>
        <v>0.0248071748878924</v>
      </c>
      <c r="AR51" s="46">
        <f t="shared" si="159"/>
        <v>0.0247156937073541</v>
      </c>
      <c r="AS51" s="46">
        <f t="shared" si="159"/>
        <v>0.025041954130151</v>
      </c>
      <c r="AT51" s="48">
        <f t="shared" si="130"/>
        <v>0.0176907449209932</v>
      </c>
      <c r="AU51" s="48">
        <f t="shared" si="131"/>
        <v>0.0207914750619031</v>
      </c>
      <c r="AZ51" s="35"/>
      <c r="BA51" s="43" t="s">
        <v>408</v>
      </c>
      <c r="BB51" s="44">
        <v>174.5</v>
      </c>
      <c r="BC51" s="46">
        <v>146.3</v>
      </c>
      <c r="BD51" s="46">
        <v>139.8</v>
      </c>
      <c r="BE51" s="46">
        <v>138.3</v>
      </c>
      <c r="BF51" s="46">
        <v>130.4</v>
      </c>
      <c r="BG51" s="46">
        <v>134.3</v>
      </c>
      <c r="BH51" s="46">
        <v>138.3</v>
      </c>
      <c r="BI51" s="46">
        <v>138.3</v>
      </c>
      <c r="BJ51" s="36"/>
      <c r="BK51" s="36"/>
      <c r="BL51" s="49"/>
      <c r="BM51" s="49"/>
      <c r="BN51" s="49"/>
      <c r="BO51" s="49"/>
    </row>
    <row r="52" ht="15.5" spans="1:67">
      <c r="A52" s="35"/>
      <c r="B52" s="43" t="s">
        <v>409</v>
      </c>
      <c r="C52" s="44">
        <f t="shared" ref="C52:J52" si="160" xml:space="preserve">BB52/1000</f>
        <v>0.4064</v>
      </c>
      <c r="D52" s="44">
        <f t="shared" si="160"/>
        <v>0.3643</v>
      </c>
      <c r="E52" s="44">
        <f t="shared" si="160"/>
        <v>0.3546</v>
      </c>
      <c r="F52" s="44">
        <f t="shared" si="160"/>
        <v>0.3523</v>
      </c>
      <c r="G52" s="44">
        <f t="shared" si="160"/>
        <v>0.3404</v>
      </c>
      <c r="H52" s="44">
        <f t="shared" si="160"/>
        <v>0.3462</v>
      </c>
      <c r="I52" s="44">
        <f t="shared" si="160"/>
        <v>0.3523</v>
      </c>
      <c r="J52" s="44">
        <f t="shared" si="160"/>
        <v>0.3523</v>
      </c>
      <c r="K52" s="36"/>
      <c r="L52" s="36"/>
      <c r="M52" s="49">
        <v>5.937</v>
      </c>
      <c r="N52" s="49">
        <v>5.845</v>
      </c>
      <c r="O52" s="49">
        <v>5.575</v>
      </c>
      <c r="P52" s="49">
        <v>5.276</v>
      </c>
      <c r="Q52" s="49">
        <v>5.363</v>
      </c>
      <c r="R52" s="49">
        <v>6.645</v>
      </c>
      <c r="S52" s="49">
        <v>5.654</v>
      </c>
      <c r="T52" s="49"/>
      <c r="U52" s="35"/>
      <c r="V52" s="43" t="s">
        <v>409</v>
      </c>
      <c r="W52" s="46">
        <f t="shared" ref="W52:AC52" si="161" xml:space="preserve">D52/M52</f>
        <v>0.0613609567121442</v>
      </c>
      <c r="X52" s="46">
        <f t="shared" si="161"/>
        <v>0.0606672369546621</v>
      </c>
      <c r="Y52" s="46">
        <f t="shared" si="161"/>
        <v>0.0631928251121076</v>
      </c>
      <c r="Z52" s="46">
        <f t="shared" si="161"/>
        <v>0.0645185746777862</v>
      </c>
      <c r="AA52" s="46">
        <f t="shared" si="161"/>
        <v>0.0645534215923923</v>
      </c>
      <c r="AB52" s="47">
        <f t="shared" si="161"/>
        <v>0.0530173062452972</v>
      </c>
      <c r="AC52" s="47">
        <f t="shared" si="161"/>
        <v>0.0623098691192076</v>
      </c>
      <c r="AD52" s="36"/>
      <c r="AE52" s="36"/>
      <c r="AF52" s="46">
        <f t="shared" ref="AF52:AJ52" si="162" xml:space="preserve">W52</f>
        <v>0.0613609567121442</v>
      </c>
      <c r="AG52" s="46">
        <f t="shared" si="162"/>
        <v>0.0606672369546621</v>
      </c>
      <c r="AH52" s="46">
        <f t="shared" si="162"/>
        <v>0.0631928251121076</v>
      </c>
      <c r="AI52" s="46">
        <f t="shared" si="162"/>
        <v>0.0645185746777862</v>
      </c>
      <c r="AJ52" s="46">
        <f t="shared" si="162"/>
        <v>0.0645534215923923</v>
      </c>
      <c r="AK52" s="48">
        <f t="shared" si="127"/>
        <v>0.0609699021820918</v>
      </c>
      <c r="AL52" s="48">
        <f t="shared" si="128"/>
        <v>0.0716563494870888</v>
      </c>
      <c r="AO52" s="46">
        <f t="shared" ref="AO52:AS52" si="163" xml:space="preserve">W52</f>
        <v>0.0613609567121442</v>
      </c>
      <c r="AP52" s="46">
        <f t="shared" si="163"/>
        <v>0.0606672369546621</v>
      </c>
      <c r="AQ52" s="46">
        <f t="shared" si="163"/>
        <v>0.0631928251121076</v>
      </c>
      <c r="AR52" s="46">
        <f t="shared" si="163"/>
        <v>0.0645185746777862</v>
      </c>
      <c r="AS52" s="46">
        <f t="shared" si="163"/>
        <v>0.0645534215923923</v>
      </c>
      <c r="AT52" s="48">
        <f t="shared" si="130"/>
        <v>0.0450647103085026</v>
      </c>
      <c r="AU52" s="48">
        <f t="shared" si="131"/>
        <v>0.0529633887513265</v>
      </c>
      <c r="AZ52" s="35"/>
      <c r="BA52" s="43" t="s">
        <v>409</v>
      </c>
      <c r="BB52" s="44">
        <v>406.4</v>
      </c>
      <c r="BC52" s="46">
        <v>364.3</v>
      </c>
      <c r="BD52" s="46">
        <v>354.6</v>
      </c>
      <c r="BE52" s="46">
        <v>352.3</v>
      </c>
      <c r="BF52" s="46">
        <v>340.4</v>
      </c>
      <c r="BG52" s="46">
        <v>346.2</v>
      </c>
      <c r="BH52" s="46">
        <v>352.3</v>
      </c>
      <c r="BI52" s="46">
        <v>352.3</v>
      </c>
      <c r="BJ52" s="36"/>
      <c r="BK52" s="36"/>
      <c r="BL52" s="49"/>
      <c r="BM52" s="49"/>
      <c r="BN52" s="49"/>
      <c r="BO52" s="49"/>
    </row>
    <row r="53" ht="15.5" spans="1:67">
      <c r="A53" s="35"/>
      <c r="B53" s="43" t="s">
        <v>410</v>
      </c>
      <c r="C53" s="44">
        <f t="shared" ref="C53:J53" si="164" xml:space="preserve">BB53/1000</f>
        <v>0.0872</v>
      </c>
      <c r="D53" s="44">
        <f t="shared" si="164"/>
        <v>0.0791</v>
      </c>
      <c r="E53" s="44">
        <f t="shared" si="164"/>
        <v>0.077</v>
      </c>
      <c r="F53" s="44">
        <f t="shared" si="164"/>
        <v>0.0765</v>
      </c>
      <c r="G53" s="44">
        <f t="shared" si="164"/>
        <v>0.0737</v>
      </c>
      <c r="H53" s="44">
        <f t="shared" si="164"/>
        <v>0.0751</v>
      </c>
      <c r="I53" s="44">
        <f t="shared" si="164"/>
        <v>0.0765</v>
      </c>
      <c r="J53" s="44">
        <f t="shared" si="164"/>
        <v>0.0765</v>
      </c>
      <c r="K53" s="36"/>
      <c r="L53" s="36"/>
      <c r="M53" s="49">
        <v>5.937</v>
      </c>
      <c r="N53" s="49">
        <v>5.845</v>
      </c>
      <c r="O53" s="49">
        <v>5.575</v>
      </c>
      <c r="P53" s="49">
        <v>5.276</v>
      </c>
      <c r="Q53" s="49">
        <v>5.363</v>
      </c>
      <c r="R53" s="49">
        <v>6.645</v>
      </c>
      <c r="S53" s="49">
        <v>5.654</v>
      </c>
      <c r="T53" s="49"/>
      <c r="U53" s="35"/>
      <c r="V53" s="43" t="s">
        <v>410</v>
      </c>
      <c r="W53" s="46">
        <f t="shared" ref="W53:AC53" si="165" xml:space="preserve">D53/M53</f>
        <v>0.0133232272191342</v>
      </c>
      <c r="X53" s="46">
        <f t="shared" si="165"/>
        <v>0.0131736526946108</v>
      </c>
      <c r="Y53" s="46">
        <f t="shared" si="165"/>
        <v>0.0137219730941704</v>
      </c>
      <c r="Z53" s="46">
        <f t="shared" si="165"/>
        <v>0.0139689158453374</v>
      </c>
      <c r="AA53" s="46">
        <f t="shared" si="165"/>
        <v>0.0140033563304121</v>
      </c>
      <c r="AB53" s="47">
        <f t="shared" si="165"/>
        <v>0.0115124153498871</v>
      </c>
      <c r="AC53" s="47">
        <f t="shared" si="165"/>
        <v>0.0135302440749912</v>
      </c>
      <c r="AD53" s="36"/>
      <c r="AE53" s="36"/>
      <c r="AF53" s="46">
        <f t="shared" ref="AF53:AJ53" si="166" xml:space="preserve">W53</f>
        <v>0.0133232272191342</v>
      </c>
      <c r="AG53" s="46">
        <f t="shared" si="166"/>
        <v>0.0131736526946108</v>
      </c>
      <c r="AH53" s="46">
        <f t="shared" si="166"/>
        <v>0.0137219730941704</v>
      </c>
      <c r="AI53" s="46">
        <f t="shared" si="166"/>
        <v>0.0139689158453374</v>
      </c>
      <c r="AJ53" s="46">
        <f t="shared" si="166"/>
        <v>0.0140033563304121</v>
      </c>
      <c r="AK53" s="48">
        <f t="shared" si="127"/>
        <v>0.0132392776523702</v>
      </c>
      <c r="AL53" s="48">
        <f t="shared" si="128"/>
        <v>0.0155597806862398</v>
      </c>
      <c r="AO53" s="46">
        <f t="shared" ref="AO53:AS53" si="167" xml:space="preserve">W53</f>
        <v>0.0133232272191342</v>
      </c>
      <c r="AP53" s="46">
        <f t="shared" si="167"/>
        <v>0.0131736526946108</v>
      </c>
      <c r="AQ53" s="46">
        <f t="shared" si="167"/>
        <v>0.0137219730941704</v>
      </c>
      <c r="AR53" s="46">
        <f t="shared" si="167"/>
        <v>0.0139689158453374</v>
      </c>
      <c r="AS53" s="46">
        <f t="shared" si="167"/>
        <v>0.0140033563304121</v>
      </c>
      <c r="AT53" s="48">
        <f t="shared" si="130"/>
        <v>0.00978555304740406</v>
      </c>
      <c r="AU53" s="48">
        <f t="shared" si="131"/>
        <v>0.0115007074637425</v>
      </c>
      <c r="AZ53" s="35"/>
      <c r="BA53" s="43" t="s">
        <v>410</v>
      </c>
      <c r="BB53" s="44">
        <v>87.2</v>
      </c>
      <c r="BC53" s="46">
        <v>79.1</v>
      </c>
      <c r="BD53" s="46">
        <v>77</v>
      </c>
      <c r="BE53" s="46">
        <v>76.5</v>
      </c>
      <c r="BF53" s="46">
        <v>73.7</v>
      </c>
      <c r="BG53" s="46">
        <v>75.1</v>
      </c>
      <c r="BH53" s="46">
        <v>76.5</v>
      </c>
      <c r="BI53" s="46">
        <v>76.5</v>
      </c>
      <c r="BJ53" s="36"/>
      <c r="BK53" s="36"/>
      <c r="BL53" s="49"/>
      <c r="BM53" s="49"/>
      <c r="BN53" s="49"/>
      <c r="BO53" s="49"/>
    </row>
    <row r="54" ht="15.5" spans="1:67">
      <c r="A54" s="35" t="s">
        <v>11</v>
      </c>
      <c r="B54" s="43" t="s">
        <v>406</v>
      </c>
      <c r="C54" s="44">
        <f t="shared" ref="C54:J54" si="168" xml:space="preserve">BB54/1000</f>
        <v>0.6916</v>
      </c>
      <c r="D54" s="44">
        <f t="shared" si="168"/>
        <v>0.6089</v>
      </c>
      <c r="E54" s="44">
        <f t="shared" si="168"/>
        <v>0.5895</v>
      </c>
      <c r="F54" s="44">
        <f t="shared" si="168"/>
        <v>0.585</v>
      </c>
      <c r="G54" s="44">
        <f t="shared" si="168"/>
        <v>0.5612</v>
      </c>
      <c r="H54" s="44">
        <f t="shared" si="168"/>
        <v>0.573</v>
      </c>
      <c r="I54" s="44">
        <f t="shared" si="168"/>
        <v>0.585</v>
      </c>
      <c r="J54" s="44">
        <f t="shared" si="168"/>
        <v>0.585</v>
      </c>
      <c r="K54" s="36"/>
      <c r="L54" s="36"/>
      <c r="M54" s="49">
        <v>5.937</v>
      </c>
      <c r="N54" s="49">
        <v>5.845</v>
      </c>
      <c r="O54" s="49">
        <v>5.575</v>
      </c>
      <c r="P54" s="49">
        <v>5.276</v>
      </c>
      <c r="Q54" s="49">
        <v>5.363</v>
      </c>
      <c r="R54" s="49">
        <v>6.645</v>
      </c>
      <c r="S54" s="49">
        <v>5.654</v>
      </c>
      <c r="T54" s="49"/>
      <c r="U54" s="35" t="s">
        <v>11</v>
      </c>
      <c r="V54" s="43" t="s">
        <v>406</v>
      </c>
      <c r="W54" s="46">
        <f t="shared" ref="W54:AC54" si="169" xml:space="preserve">D54/M54</f>
        <v>0.102560215597103</v>
      </c>
      <c r="X54" s="46">
        <f t="shared" si="169"/>
        <v>0.100855431993157</v>
      </c>
      <c r="Y54" s="46">
        <f t="shared" si="169"/>
        <v>0.104932735426009</v>
      </c>
      <c r="Z54" s="46">
        <f t="shared" si="169"/>
        <v>0.106368460955269</v>
      </c>
      <c r="AA54" s="46">
        <f t="shared" si="169"/>
        <v>0.106843184784635</v>
      </c>
      <c r="AB54" s="47">
        <f t="shared" si="169"/>
        <v>0.0880361173814898</v>
      </c>
      <c r="AC54" s="47">
        <f t="shared" si="169"/>
        <v>0.103466572338168</v>
      </c>
      <c r="AD54" s="36"/>
      <c r="AE54" s="36"/>
      <c r="AF54" s="46">
        <f t="shared" ref="AF54:AJ54" si="170" xml:space="preserve">W54</f>
        <v>0.102560215597103</v>
      </c>
      <c r="AG54" s="46">
        <f t="shared" si="170"/>
        <v>0.100855431993157</v>
      </c>
      <c r="AH54" s="46">
        <f t="shared" si="170"/>
        <v>0.104932735426009</v>
      </c>
      <c r="AI54" s="46">
        <f t="shared" si="170"/>
        <v>0.106368460955269</v>
      </c>
      <c r="AJ54" s="46">
        <f t="shared" si="170"/>
        <v>0.106843184784635</v>
      </c>
      <c r="AK54" s="48">
        <f t="shared" si="127"/>
        <v>0.101241534988713</v>
      </c>
      <c r="AL54" s="48">
        <f t="shared" si="128"/>
        <v>0.118986558188893</v>
      </c>
      <c r="AO54" s="46">
        <f t="shared" ref="AO54:AS54" si="171" xml:space="preserve">W54</f>
        <v>0.102560215597103</v>
      </c>
      <c r="AP54" s="46">
        <f t="shared" si="171"/>
        <v>0.100855431993157</v>
      </c>
      <c r="AQ54" s="46">
        <f t="shared" si="171"/>
        <v>0.104932735426009</v>
      </c>
      <c r="AR54" s="46">
        <f t="shared" si="171"/>
        <v>0.106368460955269</v>
      </c>
      <c r="AS54" s="46">
        <f t="shared" si="171"/>
        <v>0.106843184784635</v>
      </c>
      <c r="AT54" s="48">
        <f t="shared" si="130"/>
        <v>0.0748306997742664</v>
      </c>
      <c r="AU54" s="48">
        <f t="shared" si="131"/>
        <v>0.0879465864874425</v>
      </c>
      <c r="AZ54" s="35" t="s">
        <v>11</v>
      </c>
      <c r="BA54" s="43" t="s">
        <v>406</v>
      </c>
      <c r="BB54" s="44">
        <v>691.6</v>
      </c>
      <c r="BC54" s="46">
        <v>608.9</v>
      </c>
      <c r="BD54" s="46">
        <v>589.5</v>
      </c>
      <c r="BE54" s="46">
        <v>585</v>
      </c>
      <c r="BF54" s="46">
        <v>561.2</v>
      </c>
      <c r="BG54" s="46">
        <v>573</v>
      </c>
      <c r="BH54" s="46">
        <v>585</v>
      </c>
      <c r="BI54" s="46">
        <v>585</v>
      </c>
      <c r="BJ54" s="36"/>
      <c r="BK54" s="36"/>
      <c r="BL54" s="49"/>
      <c r="BM54" s="49"/>
      <c r="BN54" s="49"/>
      <c r="BO54" s="49"/>
    </row>
    <row r="55" ht="15.5" spans="1:67">
      <c r="A55" s="35"/>
      <c r="B55" s="43" t="s">
        <v>407</v>
      </c>
      <c r="C55" s="44">
        <f t="shared" ref="C55:J55" si="172" xml:space="preserve">BB55/1000</f>
        <v>0.634</v>
      </c>
      <c r="D55" s="44">
        <f t="shared" si="172"/>
        <v>0.5608</v>
      </c>
      <c r="E55" s="44">
        <f t="shared" si="172"/>
        <v>0.5435</v>
      </c>
      <c r="F55" s="44">
        <f t="shared" si="172"/>
        <v>0.5394</v>
      </c>
      <c r="G55" s="44">
        <f t="shared" si="172"/>
        <v>0.5181</v>
      </c>
      <c r="H55" s="44">
        <f t="shared" si="172"/>
        <v>0.5287</v>
      </c>
      <c r="I55" s="44">
        <f t="shared" si="172"/>
        <v>0.5394</v>
      </c>
      <c r="J55" s="44">
        <f t="shared" si="172"/>
        <v>0.5394</v>
      </c>
      <c r="K55" s="36"/>
      <c r="L55" s="36"/>
      <c r="M55" s="49">
        <v>5.937</v>
      </c>
      <c r="N55" s="49">
        <v>5.845</v>
      </c>
      <c r="O55" s="49">
        <v>5.575</v>
      </c>
      <c r="P55" s="49">
        <v>5.276</v>
      </c>
      <c r="Q55" s="49">
        <v>5.363</v>
      </c>
      <c r="R55" s="49">
        <v>6.645</v>
      </c>
      <c r="S55" s="49">
        <v>5.654</v>
      </c>
      <c r="T55" s="49"/>
      <c r="U55" s="35"/>
      <c r="V55" s="43" t="s">
        <v>407</v>
      </c>
      <c r="W55" s="46">
        <f t="shared" ref="W55:AC55" si="173" xml:space="preserve">D55/M55</f>
        <v>0.0944584807141654</v>
      </c>
      <c r="X55" s="46">
        <f t="shared" si="173"/>
        <v>0.0929854576561163</v>
      </c>
      <c r="Y55" s="46">
        <f t="shared" si="173"/>
        <v>0.0967533632286995</v>
      </c>
      <c r="Z55" s="46">
        <f t="shared" si="173"/>
        <v>0.098199393479909</v>
      </c>
      <c r="AA55" s="46">
        <f t="shared" si="173"/>
        <v>0.0985828827148984</v>
      </c>
      <c r="AB55" s="47">
        <f t="shared" si="173"/>
        <v>0.0811738148984199</v>
      </c>
      <c r="AC55" s="47">
        <f t="shared" si="173"/>
        <v>0.0954014856738592</v>
      </c>
      <c r="AD55" s="36"/>
      <c r="AE55" s="36"/>
      <c r="AF55" s="46">
        <f t="shared" ref="AF55:AJ55" si="174" xml:space="preserve">W55</f>
        <v>0.0944584807141654</v>
      </c>
      <c r="AG55" s="46">
        <f t="shared" si="174"/>
        <v>0.0929854576561163</v>
      </c>
      <c r="AH55" s="46">
        <f t="shared" si="174"/>
        <v>0.0967533632286995</v>
      </c>
      <c r="AI55" s="46">
        <f t="shared" si="174"/>
        <v>0.098199393479909</v>
      </c>
      <c r="AJ55" s="46">
        <f t="shared" si="174"/>
        <v>0.0985828827148984</v>
      </c>
      <c r="AK55" s="48">
        <f t="shared" si="127"/>
        <v>0.0933498871331828</v>
      </c>
      <c r="AL55" s="48">
        <f t="shared" si="128"/>
        <v>0.109711708524938</v>
      </c>
      <c r="AO55" s="46">
        <f t="shared" ref="AO55:AS55" si="175" xml:space="preserve">W55</f>
        <v>0.0944584807141654</v>
      </c>
      <c r="AP55" s="46">
        <f t="shared" si="175"/>
        <v>0.0929854576561163</v>
      </c>
      <c r="AQ55" s="46">
        <f t="shared" si="175"/>
        <v>0.0967533632286995</v>
      </c>
      <c r="AR55" s="46">
        <f t="shared" si="175"/>
        <v>0.098199393479909</v>
      </c>
      <c r="AS55" s="46">
        <f t="shared" si="175"/>
        <v>0.0985828827148984</v>
      </c>
      <c r="AT55" s="48">
        <f t="shared" si="130"/>
        <v>0.0689977426636569</v>
      </c>
      <c r="AU55" s="48">
        <f t="shared" si="131"/>
        <v>0.0810912628227803</v>
      </c>
      <c r="AZ55" s="35"/>
      <c r="BA55" s="43" t="s">
        <v>407</v>
      </c>
      <c r="BB55" s="44">
        <v>634</v>
      </c>
      <c r="BC55" s="46">
        <v>560.8</v>
      </c>
      <c r="BD55" s="46">
        <v>543.5</v>
      </c>
      <c r="BE55" s="46">
        <v>539.4</v>
      </c>
      <c r="BF55" s="46">
        <v>518.1</v>
      </c>
      <c r="BG55" s="46">
        <v>528.7</v>
      </c>
      <c r="BH55" s="46">
        <v>539.4</v>
      </c>
      <c r="BI55" s="46">
        <v>539.4</v>
      </c>
      <c r="BJ55" s="36"/>
      <c r="BK55" s="36"/>
      <c r="BL55" s="49"/>
      <c r="BM55" s="49"/>
      <c r="BN55" s="49"/>
      <c r="BO55" s="49"/>
    </row>
    <row r="56" ht="15.5" spans="1:67">
      <c r="A56" s="35"/>
      <c r="B56" s="43" t="s">
        <v>408</v>
      </c>
      <c r="C56" s="44">
        <f t="shared" ref="C56:J56" si="176" xml:space="preserve">BB56/1000</f>
        <v>0.2256</v>
      </c>
      <c r="D56" s="44">
        <f t="shared" si="176"/>
        <v>0.1898</v>
      </c>
      <c r="E56" s="44">
        <f t="shared" si="176"/>
        <v>0.1816</v>
      </c>
      <c r="F56" s="44">
        <f t="shared" si="176"/>
        <v>0.1797</v>
      </c>
      <c r="G56" s="44">
        <f t="shared" si="176"/>
        <v>0.1697</v>
      </c>
      <c r="H56" s="44">
        <f t="shared" si="176"/>
        <v>0.1747</v>
      </c>
      <c r="I56" s="44">
        <f t="shared" si="176"/>
        <v>0.1797</v>
      </c>
      <c r="J56" s="44">
        <f t="shared" si="176"/>
        <v>0.1797</v>
      </c>
      <c r="K56" s="36"/>
      <c r="L56" s="36"/>
      <c r="M56" s="49">
        <v>5.937</v>
      </c>
      <c r="N56" s="49">
        <v>5.845</v>
      </c>
      <c r="O56" s="49">
        <v>5.575</v>
      </c>
      <c r="P56" s="49">
        <v>5.276</v>
      </c>
      <c r="Q56" s="49">
        <v>5.363</v>
      </c>
      <c r="R56" s="49">
        <v>6.645</v>
      </c>
      <c r="S56" s="49">
        <v>5.654</v>
      </c>
      <c r="T56" s="49"/>
      <c r="U56" s="35"/>
      <c r="V56" s="43" t="s">
        <v>408</v>
      </c>
      <c r="W56" s="46">
        <f t="shared" ref="W56:AC56" si="177" xml:space="preserve">D56/M56</f>
        <v>0.0319690079164561</v>
      </c>
      <c r="X56" s="46">
        <f t="shared" si="177"/>
        <v>0.0310692899914457</v>
      </c>
      <c r="Y56" s="46">
        <f t="shared" si="177"/>
        <v>0.0322331838565022</v>
      </c>
      <c r="Z56" s="46">
        <f t="shared" si="177"/>
        <v>0.0321645185746778</v>
      </c>
      <c r="AA56" s="46">
        <f t="shared" si="177"/>
        <v>0.0325750512772702</v>
      </c>
      <c r="AB56" s="47">
        <f t="shared" si="177"/>
        <v>0.0270428893905192</v>
      </c>
      <c r="AC56" s="47">
        <f t="shared" si="177"/>
        <v>0.0317828086310577</v>
      </c>
      <c r="AD56" s="36"/>
      <c r="AE56" s="36"/>
      <c r="AF56" s="46">
        <f t="shared" ref="AF56:AJ56" si="178" xml:space="preserve">W56</f>
        <v>0.0319690079164561</v>
      </c>
      <c r="AG56" s="46">
        <f t="shared" si="178"/>
        <v>0.0310692899914457</v>
      </c>
      <c r="AH56" s="46">
        <f t="shared" si="178"/>
        <v>0.0322331838565022</v>
      </c>
      <c r="AI56" s="46">
        <f t="shared" si="178"/>
        <v>0.0321645185746778</v>
      </c>
      <c r="AJ56" s="46">
        <f t="shared" si="178"/>
        <v>0.0325750512772702</v>
      </c>
      <c r="AK56" s="48">
        <f t="shared" si="127"/>
        <v>0.0310993227990971</v>
      </c>
      <c r="AL56" s="48">
        <f t="shared" si="128"/>
        <v>0.0365502299257163</v>
      </c>
      <c r="AO56" s="46">
        <f t="shared" ref="AO56:AS56" si="179" xml:space="preserve">W56</f>
        <v>0.0319690079164561</v>
      </c>
      <c r="AP56" s="46">
        <f t="shared" si="179"/>
        <v>0.0310692899914457</v>
      </c>
      <c r="AQ56" s="46">
        <f t="shared" si="179"/>
        <v>0.0322331838565022</v>
      </c>
      <c r="AR56" s="46">
        <f t="shared" si="179"/>
        <v>0.0321645185746778</v>
      </c>
      <c r="AS56" s="46">
        <f t="shared" si="179"/>
        <v>0.0325750512772702</v>
      </c>
      <c r="AT56" s="48">
        <f t="shared" si="130"/>
        <v>0.0229864559819413</v>
      </c>
      <c r="AU56" s="48">
        <f t="shared" si="131"/>
        <v>0.027015387336399</v>
      </c>
      <c r="AZ56" s="35"/>
      <c r="BA56" s="43" t="s">
        <v>408</v>
      </c>
      <c r="BB56" s="44">
        <v>225.6</v>
      </c>
      <c r="BC56" s="46">
        <v>189.8</v>
      </c>
      <c r="BD56" s="46">
        <v>181.6</v>
      </c>
      <c r="BE56" s="46">
        <v>179.7</v>
      </c>
      <c r="BF56" s="46">
        <v>169.7</v>
      </c>
      <c r="BG56" s="46">
        <v>174.7</v>
      </c>
      <c r="BH56" s="46">
        <v>179.7</v>
      </c>
      <c r="BI56" s="46">
        <v>179.7</v>
      </c>
      <c r="BJ56" s="36"/>
      <c r="BK56" s="36"/>
      <c r="BL56" s="49"/>
      <c r="BM56" s="49"/>
      <c r="BN56" s="49"/>
      <c r="BO56" s="49"/>
    </row>
    <row r="57" ht="15.5" spans="1:67">
      <c r="A57" s="35"/>
      <c r="B57" s="43" t="s">
        <v>409</v>
      </c>
      <c r="C57" s="44">
        <f t="shared" ref="C57:J57" si="180" xml:space="preserve">BB57/1000</f>
        <v>0.3671</v>
      </c>
      <c r="D57" s="44">
        <f t="shared" si="180"/>
        <v>0.3308</v>
      </c>
      <c r="E57" s="44">
        <f t="shared" si="180"/>
        <v>0.3224</v>
      </c>
      <c r="F57" s="44">
        <f t="shared" si="180"/>
        <v>0.3205</v>
      </c>
      <c r="G57" s="44">
        <f t="shared" si="180"/>
        <v>0.3101</v>
      </c>
      <c r="H57" s="44">
        <f t="shared" si="180"/>
        <v>0.3151</v>
      </c>
      <c r="I57" s="44">
        <f t="shared" si="180"/>
        <v>0.3205</v>
      </c>
      <c r="J57" s="44">
        <f t="shared" si="180"/>
        <v>0.3205</v>
      </c>
      <c r="K57" s="36"/>
      <c r="L57" s="36"/>
      <c r="M57" s="49">
        <v>5.937</v>
      </c>
      <c r="N57" s="49">
        <v>5.845</v>
      </c>
      <c r="O57" s="49">
        <v>5.575</v>
      </c>
      <c r="P57" s="49">
        <v>5.276</v>
      </c>
      <c r="Q57" s="49">
        <v>5.363</v>
      </c>
      <c r="R57" s="49">
        <v>6.645</v>
      </c>
      <c r="S57" s="49">
        <v>5.654</v>
      </c>
      <c r="T57" s="49"/>
      <c r="U57" s="35"/>
      <c r="V57" s="43" t="s">
        <v>409</v>
      </c>
      <c r="W57" s="46">
        <f t="shared" ref="W57:AC57" si="181" xml:space="preserve">D57/M57</f>
        <v>0.0557183762843187</v>
      </c>
      <c r="X57" s="46">
        <f t="shared" si="181"/>
        <v>0.055158254918734</v>
      </c>
      <c r="Y57" s="46">
        <f t="shared" si="181"/>
        <v>0.0574887892376682</v>
      </c>
      <c r="Z57" s="46">
        <f t="shared" si="181"/>
        <v>0.0587755875663381</v>
      </c>
      <c r="AA57" s="46">
        <f t="shared" si="181"/>
        <v>0.0587544284915159</v>
      </c>
      <c r="AB57" s="47">
        <f t="shared" si="181"/>
        <v>0.0482317531978932</v>
      </c>
      <c r="AC57" s="47">
        <f t="shared" si="181"/>
        <v>0.0566855323664662</v>
      </c>
      <c r="AD57" s="36"/>
      <c r="AE57" s="36"/>
      <c r="AF57" s="46">
        <f t="shared" ref="AF57:AJ57" si="182" xml:space="preserve">W57</f>
        <v>0.0557183762843187</v>
      </c>
      <c r="AG57" s="46">
        <f t="shared" si="182"/>
        <v>0.055158254918734</v>
      </c>
      <c r="AH57" s="46">
        <f t="shared" si="182"/>
        <v>0.0574887892376682</v>
      </c>
      <c r="AI57" s="46">
        <f t="shared" si="182"/>
        <v>0.0587755875663381</v>
      </c>
      <c r="AJ57" s="46">
        <f t="shared" si="182"/>
        <v>0.0587544284915159</v>
      </c>
      <c r="AK57" s="48">
        <f t="shared" si="127"/>
        <v>0.0554665161775771</v>
      </c>
      <c r="AL57" s="48">
        <f t="shared" si="128"/>
        <v>0.0651883622214361</v>
      </c>
      <c r="AO57" s="46">
        <f t="shared" ref="AO57:AS57" si="183" xml:space="preserve">W57</f>
        <v>0.0557183762843187</v>
      </c>
      <c r="AP57" s="46">
        <f t="shared" si="183"/>
        <v>0.055158254918734</v>
      </c>
      <c r="AQ57" s="46">
        <f t="shared" si="183"/>
        <v>0.0574887892376682</v>
      </c>
      <c r="AR57" s="46">
        <f t="shared" si="183"/>
        <v>0.0587755875663381</v>
      </c>
      <c r="AS57" s="46">
        <f t="shared" si="183"/>
        <v>0.0587544284915159</v>
      </c>
      <c r="AT57" s="48">
        <f t="shared" si="130"/>
        <v>0.0409969902182092</v>
      </c>
      <c r="AU57" s="48">
        <f t="shared" si="131"/>
        <v>0.0481827025114963</v>
      </c>
      <c r="AZ57" s="35"/>
      <c r="BA57" s="43" t="s">
        <v>409</v>
      </c>
      <c r="BB57" s="44">
        <v>367.1</v>
      </c>
      <c r="BC57" s="46">
        <v>330.8</v>
      </c>
      <c r="BD57" s="46">
        <v>322.4</v>
      </c>
      <c r="BE57" s="46">
        <v>320.5</v>
      </c>
      <c r="BF57" s="46">
        <v>310.1</v>
      </c>
      <c r="BG57" s="46">
        <v>315.1</v>
      </c>
      <c r="BH57" s="46">
        <v>320.5</v>
      </c>
      <c r="BI57" s="46">
        <v>320.5</v>
      </c>
      <c r="BJ57" s="36"/>
      <c r="BK57" s="36"/>
      <c r="BL57" s="49"/>
      <c r="BM57" s="49"/>
      <c r="BN57" s="49"/>
      <c r="BO57" s="49"/>
    </row>
    <row r="58" ht="15.5" spans="1:67">
      <c r="A58" s="35"/>
      <c r="B58" s="43" t="s">
        <v>410</v>
      </c>
      <c r="C58" s="44">
        <f t="shared" ref="C58:J58" si="184" xml:space="preserve">BB58/1000</f>
        <v>0.0853</v>
      </c>
      <c r="D58" s="44">
        <f t="shared" si="184"/>
        <v>0.0775</v>
      </c>
      <c r="E58" s="44">
        <f t="shared" si="184"/>
        <v>0.0755</v>
      </c>
      <c r="F58" s="44">
        <f t="shared" si="184"/>
        <v>0.075</v>
      </c>
      <c r="G58" s="44">
        <f t="shared" si="184"/>
        <v>0.0722</v>
      </c>
      <c r="H58" s="44">
        <f t="shared" si="184"/>
        <v>0.0736</v>
      </c>
      <c r="I58" s="44">
        <f t="shared" si="184"/>
        <v>0.075</v>
      </c>
      <c r="J58" s="44">
        <f t="shared" si="184"/>
        <v>0.075</v>
      </c>
      <c r="K58" s="36"/>
      <c r="L58" s="36"/>
      <c r="M58" s="49">
        <v>5.937</v>
      </c>
      <c r="N58" s="49">
        <v>5.845</v>
      </c>
      <c r="O58" s="49">
        <v>5.575</v>
      </c>
      <c r="P58" s="49">
        <v>5.276</v>
      </c>
      <c r="Q58" s="49">
        <v>5.363</v>
      </c>
      <c r="R58" s="49">
        <v>6.645</v>
      </c>
      <c r="S58" s="49">
        <v>5.654</v>
      </c>
      <c r="T58" s="49"/>
      <c r="U58" s="35"/>
      <c r="V58" s="43" t="s">
        <v>410</v>
      </c>
      <c r="W58" s="46">
        <f t="shared" ref="W58:AC58" si="185" xml:space="preserve">D58/M58</f>
        <v>0.0130537308404918</v>
      </c>
      <c r="X58" s="46">
        <f t="shared" si="185"/>
        <v>0.0129170230966638</v>
      </c>
      <c r="Y58" s="46">
        <f t="shared" si="185"/>
        <v>0.0134529147982063</v>
      </c>
      <c r="Z58" s="46">
        <f t="shared" si="185"/>
        <v>0.0136846095526914</v>
      </c>
      <c r="AA58" s="46">
        <f t="shared" si="185"/>
        <v>0.0137236621294052</v>
      </c>
      <c r="AB58" s="47">
        <f t="shared" si="185"/>
        <v>0.0112866817155756</v>
      </c>
      <c r="AC58" s="47">
        <f t="shared" si="185"/>
        <v>0.01326494517156</v>
      </c>
      <c r="AD58" s="36"/>
      <c r="AE58" s="36"/>
      <c r="AF58" s="46">
        <f t="shared" ref="AF58:AJ58" si="186" xml:space="preserve">W58</f>
        <v>0.0130537308404918</v>
      </c>
      <c r="AG58" s="46">
        <f t="shared" si="186"/>
        <v>0.0129170230966638</v>
      </c>
      <c r="AH58" s="46">
        <f t="shared" si="186"/>
        <v>0.0134529147982063</v>
      </c>
      <c r="AI58" s="46">
        <f t="shared" si="186"/>
        <v>0.0136846095526914</v>
      </c>
      <c r="AJ58" s="46">
        <f t="shared" si="186"/>
        <v>0.0137236621294052</v>
      </c>
      <c r="AK58" s="48">
        <f t="shared" si="127"/>
        <v>0.012979683972912</v>
      </c>
      <c r="AL58" s="48">
        <f t="shared" si="128"/>
        <v>0.0152546869472939</v>
      </c>
      <c r="AO58" s="46">
        <f t="shared" ref="AO58:AS58" si="187" xml:space="preserve">W58</f>
        <v>0.0130537308404918</v>
      </c>
      <c r="AP58" s="46">
        <f t="shared" si="187"/>
        <v>0.0129170230966638</v>
      </c>
      <c r="AQ58" s="46">
        <f t="shared" si="187"/>
        <v>0.0134529147982063</v>
      </c>
      <c r="AR58" s="46">
        <f t="shared" si="187"/>
        <v>0.0136846095526914</v>
      </c>
      <c r="AS58" s="46">
        <f t="shared" si="187"/>
        <v>0.0137236621294052</v>
      </c>
      <c r="AT58" s="48">
        <f t="shared" si="130"/>
        <v>0.00959367945823928</v>
      </c>
      <c r="AU58" s="48">
        <f t="shared" si="131"/>
        <v>0.011275203395826</v>
      </c>
      <c r="AZ58" s="35"/>
      <c r="BA58" s="43" t="s">
        <v>410</v>
      </c>
      <c r="BB58" s="44">
        <v>85.3</v>
      </c>
      <c r="BC58" s="46">
        <v>77.5</v>
      </c>
      <c r="BD58" s="46">
        <v>75.5</v>
      </c>
      <c r="BE58" s="46">
        <v>75</v>
      </c>
      <c r="BF58" s="46">
        <v>72.2</v>
      </c>
      <c r="BG58" s="46">
        <v>73.6</v>
      </c>
      <c r="BH58" s="46">
        <v>75</v>
      </c>
      <c r="BI58" s="46">
        <v>75</v>
      </c>
      <c r="BJ58" s="36"/>
      <c r="BK58" s="36"/>
      <c r="BL58" s="49"/>
      <c r="BM58" s="49"/>
      <c r="BN58" s="49"/>
      <c r="BO58" s="49"/>
    </row>
    <row r="59" ht="15.5" spans="1:67">
      <c r="A59" s="36"/>
      <c r="B59" s="36"/>
      <c r="C59" s="39"/>
      <c r="D59" s="36"/>
      <c r="E59" s="36"/>
      <c r="F59" s="36"/>
      <c r="G59" s="36"/>
      <c r="H59" s="36"/>
      <c r="I59" s="36"/>
      <c r="J59" s="36"/>
      <c r="K59" s="36"/>
      <c r="L59" s="36"/>
      <c r="M59" s="36"/>
      <c r="N59" s="36"/>
      <c r="O59" s="36"/>
      <c r="P59" s="36"/>
      <c r="Q59" s="36"/>
      <c r="R59" s="36"/>
      <c r="S59" s="36"/>
      <c r="T59" s="36"/>
      <c r="AZ59" s="36"/>
      <c r="BA59" s="36"/>
      <c r="BB59" s="39"/>
      <c r="BC59" s="36"/>
      <c r="BD59" s="36"/>
      <c r="BE59" s="36"/>
      <c r="BF59" s="36"/>
      <c r="BG59" s="36"/>
      <c r="BH59" s="36"/>
      <c r="BI59" s="36"/>
      <c r="BJ59" s="36"/>
      <c r="BK59" s="36"/>
      <c r="BL59" s="36"/>
      <c r="BM59" s="36"/>
      <c r="BN59" s="36"/>
      <c r="BO59" s="36"/>
    </row>
    <row r="60" ht="15.5" spans="1:67">
      <c r="A60" s="36" t="s">
        <v>411</v>
      </c>
      <c r="B60" s="36"/>
      <c r="C60" s="39"/>
      <c r="D60" s="36"/>
      <c r="E60" s="36"/>
      <c r="F60" s="36"/>
      <c r="G60" s="36"/>
      <c r="H60" s="36"/>
      <c r="I60" s="36"/>
      <c r="J60" s="36"/>
      <c r="K60" s="36"/>
      <c r="L60" s="36"/>
      <c r="M60" s="36"/>
      <c r="N60" s="36"/>
      <c r="O60" s="36"/>
      <c r="P60" s="36"/>
      <c r="Q60" s="36"/>
      <c r="R60" s="36"/>
      <c r="S60" s="36"/>
      <c r="T60" s="36"/>
      <c r="AZ60" s="36" t="s">
        <v>411</v>
      </c>
      <c r="BA60" s="36"/>
      <c r="BB60" s="39"/>
      <c r="BC60" s="36"/>
      <c r="BD60" s="36"/>
      <c r="BE60" s="36"/>
      <c r="BF60" s="36"/>
      <c r="BG60" s="36"/>
      <c r="BH60" s="36"/>
      <c r="BI60" s="36"/>
      <c r="BJ60" s="36"/>
      <c r="BK60" s="36"/>
      <c r="BL60" s="36"/>
      <c r="BM60" s="36"/>
      <c r="BN60" s="36"/>
      <c r="BO60" s="36"/>
    </row>
    <row r="61" ht="15.5" spans="1:67">
      <c r="A61" s="36" t="s">
        <v>426</v>
      </c>
      <c r="B61" s="36"/>
      <c r="C61" s="39"/>
      <c r="D61" s="36"/>
      <c r="E61" s="36"/>
      <c r="F61" s="36"/>
      <c r="G61" s="36"/>
      <c r="H61" s="36"/>
      <c r="I61" s="36"/>
      <c r="J61" s="36"/>
      <c r="K61" s="36"/>
      <c r="L61" s="36"/>
      <c r="M61" s="36"/>
      <c r="N61" s="36"/>
      <c r="O61" s="36"/>
      <c r="P61" s="36"/>
      <c r="Q61" s="36"/>
      <c r="R61" s="36"/>
      <c r="S61" s="36"/>
      <c r="T61" s="36"/>
      <c r="AZ61" s="36" t="s">
        <v>426</v>
      </c>
      <c r="BA61" s="36"/>
      <c r="BB61" s="39"/>
      <c r="BC61" s="36"/>
      <c r="BD61" s="36"/>
      <c r="BE61" s="36"/>
      <c r="BF61" s="36"/>
      <c r="BG61" s="36"/>
      <c r="BH61" s="36"/>
      <c r="BI61" s="36"/>
      <c r="BJ61" s="36"/>
      <c r="BK61" s="36"/>
      <c r="BL61" s="36"/>
      <c r="BM61" s="36"/>
      <c r="BN61" s="36"/>
      <c r="BO61" s="36"/>
    </row>
    <row r="62" ht="15.5" spans="1:67">
      <c r="A62" s="36" t="s">
        <v>427</v>
      </c>
      <c r="B62" s="36"/>
      <c r="C62" s="39"/>
      <c r="D62" s="36"/>
      <c r="E62" s="36"/>
      <c r="F62" s="36"/>
      <c r="G62" s="36"/>
      <c r="H62" s="36"/>
      <c r="I62" s="36"/>
      <c r="J62" s="36"/>
      <c r="K62" s="36"/>
      <c r="L62" s="36"/>
      <c r="M62" s="36"/>
      <c r="N62" s="36"/>
      <c r="O62" s="36"/>
      <c r="P62" s="36"/>
      <c r="Q62" s="36"/>
      <c r="R62" s="36"/>
      <c r="S62" s="36"/>
      <c r="T62" s="36"/>
      <c r="AZ62" s="36" t="s">
        <v>427</v>
      </c>
      <c r="BA62" s="36"/>
      <c r="BB62" s="39"/>
      <c r="BC62" s="36"/>
      <c r="BD62" s="36"/>
      <c r="BE62" s="36"/>
      <c r="BF62" s="36"/>
      <c r="BG62" s="36"/>
      <c r="BH62" s="36"/>
      <c r="BI62" s="36"/>
      <c r="BJ62" s="36"/>
      <c r="BK62" s="36"/>
      <c r="BL62" s="36"/>
      <c r="BM62" s="36"/>
      <c r="BN62" s="36"/>
      <c r="BO62" s="36"/>
    </row>
    <row r="71" ht="15.5" spans="21:47">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row>
    <row r="72" ht="15.5" spans="21:47">
      <c r="U72" s="36"/>
      <c r="V72" s="36"/>
      <c r="W72" s="36" t="s">
        <v>398</v>
      </c>
      <c r="X72" s="36" t="s">
        <v>399</v>
      </c>
      <c r="Y72" s="40" t="s">
        <v>400</v>
      </c>
      <c r="Z72" s="36" t="s">
        <v>401</v>
      </c>
      <c r="AA72" s="36" t="s">
        <v>402</v>
      </c>
      <c r="AB72" s="42" t="s">
        <v>403</v>
      </c>
      <c r="AC72" s="42" t="s">
        <v>404</v>
      </c>
      <c r="AD72" s="36"/>
      <c r="AE72" s="36"/>
      <c r="AF72" s="36" t="s">
        <v>398</v>
      </c>
      <c r="AG72" s="36" t="s">
        <v>399</v>
      </c>
      <c r="AH72" s="40" t="s">
        <v>400</v>
      </c>
      <c r="AI72" s="36" t="s">
        <v>401</v>
      </c>
      <c r="AJ72" s="36" t="s">
        <v>402</v>
      </c>
      <c r="AK72" s="42" t="s">
        <v>403</v>
      </c>
      <c r="AL72" s="42" t="s">
        <v>404</v>
      </c>
      <c r="AM72" s="36"/>
      <c r="AN72" s="36"/>
      <c r="AO72" s="36" t="s">
        <v>398</v>
      </c>
      <c r="AP72" s="36" t="s">
        <v>399</v>
      </c>
      <c r="AQ72" s="40" t="s">
        <v>400</v>
      </c>
      <c r="AR72" s="36" t="s">
        <v>401</v>
      </c>
      <c r="AS72" s="36" t="s">
        <v>402</v>
      </c>
      <c r="AT72" s="42" t="s">
        <v>403</v>
      </c>
      <c r="AU72" s="42" t="s">
        <v>404</v>
      </c>
    </row>
    <row r="73" spans="21:47">
      <c r="U73" s="35" t="s">
        <v>405</v>
      </c>
      <c r="V73" s="50" t="s">
        <v>182</v>
      </c>
      <c r="W73" s="1">
        <f t="shared" ref="W73:AC73" si="188" xml:space="preserve">W4-W5</f>
        <v>0.0105103587670541</v>
      </c>
      <c r="X73" s="1">
        <f t="shared" si="188"/>
        <v>0.0100940975192472</v>
      </c>
      <c r="Y73" s="1">
        <f t="shared" si="188"/>
        <v>0.0103856502242152</v>
      </c>
      <c r="Z73" s="1">
        <f t="shared" si="188"/>
        <v>0.0114291129643669</v>
      </c>
      <c r="AA73" s="1">
        <f t="shared" si="188"/>
        <v>0.0115979862017528</v>
      </c>
      <c r="AB73" s="1">
        <f t="shared" si="188"/>
        <v>0.00871331828442437</v>
      </c>
      <c r="AC73" s="1">
        <f t="shared" si="188"/>
        <v>0.0102405376724443</v>
      </c>
      <c r="AF73" s="1">
        <f t="shared" ref="AF73:AL73" si="189" xml:space="preserve">AF4-AF5</f>
        <v>0.0105103587670541</v>
      </c>
      <c r="AG73" s="1">
        <f t="shared" si="189"/>
        <v>0.0100940975192472</v>
      </c>
      <c r="AH73" s="1">
        <f t="shared" si="189"/>
        <v>0.0103856502242152</v>
      </c>
      <c r="AI73" s="1">
        <f t="shared" si="189"/>
        <v>0.0114291129643669</v>
      </c>
      <c r="AJ73" s="1">
        <f t="shared" si="189"/>
        <v>0.0115979862017528</v>
      </c>
      <c r="AK73" s="1">
        <f t="shared" si="189"/>
        <v>0.010020316027088</v>
      </c>
      <c r="AL73" s="1">
        <f t="shared" si="189"/>
        <v>0.0117766183233109</v>
      </c>
      <c r="AO73" s="1">
        <f t="shared" ref="AO73:AU73" si="190" xml:space="preserve">AO4-AO5</f>
        <v>0.0105103587670541</v>
      </c>
      <c r="AP73" s="1">
        <f t="shared" si="190"/>
        <v>0.0100940975192472</v>
      </c>
      <c r="AQ73" s="1">
        <f t="shared" si="190"/>
        <v>0.0103856502242152</v>
      </c>
      <c r="AR73" s="1">
        <f t="shared" si="190"/>
        <v>0.0114291129643669</v>
      </c>
      <c r="AS73" s="1">
        <f t="shared" si="190"/>
        <v>0.0115979862017528</v>
      </c>
      <c r="AT73" s="1">
        <f t="shared" si="190"/>
        <v>0.00740632054176073</v>
      </c>
      <c r="AU73" s="1">
        <f t="shared" si="190"/>
        <v>0.00870445702157763</v>
      </c>
    </row>
    <row r="74" spans="21:47">
      <c r="U74" s="35"/>
      <c r="V74" s="51" t="s">
        <v>428</v>
      </c>
      <c r="W74" s="1">
        <f t="shared" ref="W74:AC74" si="191" xml:space="preserve">W6</f>
        <v>0.0289203301330638</v>
      </c>
      <c r="X74" s="1">
        <f t="shared" si="191"/>
        <v>0.0275620188195039</v>
      </c>
      <c r="Y74" s="1">
        <f t="shared" si="191"/>
        <v>0.028322869955157</v>
      </c>
      <c r="Z74" s="1">
        <f t="shared" si="191"/>
        <v>0.0288286580742987</v>
      </c>
      <c r="AA74" s="1">
        <f t="shared" si="191"/>
        <v>0.0296102927465971</v>
      </c>
      <c r="AB74" s="1">
        <f t="shared" si="191"/>
        <v>0.0237622272385252</v>
      </c>
      <c r="AC74" s="1">
        <f t="shared" si="191"/>
        <v>0.0279271312345242</v>
      </c>
      <c r="AF74" s="1">
        <f t="shared" ref="AF74:AL74" si="192" xml:space="preserve">AF6</f>
        <v>0.0289203301330638</v>
      </c>
      <c r="AG74" s="1">
        <f t="shared" si="192"/>
        <v>0.0275620188195039</v>
      </c>
      <c r="AH74" s="1">
        <f t="shared" si="192"/>
        <v>0.028322869955157</v>
      </c>
      <c r="AI74" s="1">
        <f t="shared" si="192"/>
        <v>0.0288286580742987</v>
      </c>
      <c r="AJ74" s="1">
        <f t="shared" si="192"/>
        <v>0.0296102927465971</v>
      </c>
      <c r="AK74" s="1">
        <f t="shared" si="192"/>
        <v>0.027326561324304</v>
      </c>
      <c r="AL74" s="1">
        <f t="shared" si="192"/>
        <v>0.0321162009197029</v>
      </c>
      <c r="AO74" s="1">
        <f t="shared" ref="AO74:AU74" si="193" xml:space="preserve">AO6</f>
        <v>0.0289203301330638</v>
      </c>
      <c r="AP74" s="1">
        <f t="shared" si="193"/>
        <v>0.0275620188195039</v>
      </c>
      <c r="AQ74" s="1">
        <f t="shared" si="193"/>
        <v>0.028322869955157</v>
      </c>
      <c r="AR74" s="1">
        <f t="shared" si="193"/>
        <v>0.0288286580742987</v>
      </c>
      <c r="AS74" s="1">
        <f t="shared" si="193"/>
        <v>0.0296102927465971</v>
      </c>
      <c r="AT74" s="1">
        <f t="shared" si="193"/>
        <v>0.0201978931527464</v>
      </c>
      <c r="AU74" s="1">
        <f t="shared" si="193"/>
        <v>0.0237380615493456</v>
      </c>
    </row>
    <row r="75" spans="21:47">
      <c r="U75" s="35"/>
      <c r="V75" s="50" t="s">
        <v>429</v>
      </c>
      <c r="W75" s="1">
        <f t="shared" ref="W75:AC75" si="194" xml:space="preserve">W7</f>
        <v>0.0836617820448038</v>
      </c>
      <c r="X75" s="1">
        <f t="shared" si="194"/>
        <v>0.0814029084687767</v>
      </c>
      <c r="Y75" s="1">
        <f t="shared" si="194"/>
        <v>0.0843946188340807</v>
      </c>
      <c r="Z75" s="1">
        <f t="shared" si="194"/>
        <v>0.0884192570128886</v>
      </c>
      <c r="AA75" s="1">
        <f t="shared" si="194"/>
        <v>0.092485549132948</v>
      </c>
      <c r="AB75" s="1">
        <f t="shared" si="194"/>
        <v>0.0708051166290444</v>
      </c>
      <c r="AC75" s="1">
        <f t="shared" si="194"/>
        <v>0.0832154227095861</v>
      </c>
      <c r="AF75" s="1">
        <f t="shared" ref="AF75:AL75" si="195" xml:space="preserve">AF7</f>
        <v>0.0836617820448038</v>
      </c>
      <c r="AG75" s="1">
        <f t="shared" si="195"/>
        <v>0.0814029084687767</v>
      </c>
      <c r="AH75" s="1">
        <f t="shared" si="195"/>
        <v>0.0843946188340807</v>
      </c>
      <c r="AI75" s="1">
        <f t="shared" si="195"/>
        <v>0.0884192570128886</v>
      </c>
      <c r="AJ75" s="1">
        <f t="shared" si="195"/>
        <v>0.092485549132948</v>
      </c>
      <c r="AK75" s="1">
        <f t="shared" si="195"/>
        <v>0.0814258841234011</v>
      </c>
      <c r="AL75" s="1">
        <f t="shared" si="195"/>
        <v>0.0956977361160241</v>
      </c>
      <c r="AO75" s="1">
        <f t="shared" ref="AO75:AU75" si="196" xml:space="preserve">AO7</f>
        <v>0.0836617820448038</v>
      </c>
      <c r="AP75" s="1">
        <f t="shared" si="196"/>
        <v>0.0814029084687767</v>
      </c>
      <c r="AQ75" s="1">
        <f t="shared" si="196"/>
        <v>0.0843946188340807</v>
      </c>
      <c r="AR75" s="1">
        <f t="shared" si="196"/>
        <v>0.0884192570128886</v>
      </c>
      <c r="AS75" s="1">
        <f t="shared" si="196"/>
        <v>0.092485549132948</v>
      </c>
      <c r="AT75" s="1">
        <f t="shared" si="196"/>
        <v>0.0601843491346877</v>
      </c>
      <c r="AU75" s="1">
        <f t="shared" si="196"/>
        <v>0.0707331093031482</v>
      </c>
    </row>
    <row r="76" spans="21:47">
      <c r="U76" s="35"/>
      <c r="V76" s="50" t="s">
        <v>430</v>
      </c>
      <c r="W76" s="1">
        <f t="shared" ref="W76:AC76" si="197" xml:space="preserve">W8</f>
        <v>0.0130200437931615</v>
      </c>
      <c r="X76" s="1">
        <f t="shared" si="197"/>
        <v>0.0127459366980325</v>
      </c>
      <c r="Y76" s="1">
        <f t="shared" si="197"/>
        <v>0.0132017937219731</v>
      </c>
      <c r="Z76" s="1">
        <f t="shared" si="197"/>
        <v>0.0144238059135709</v>
      </c>
      <c r="AA76" s="1">
        <f t="shared" si="197"/>
        <v>0.0147119149729629</v>
      </c>
      <c r="AB76" s="1">
        <f t="shared" si="197"/>
        <v>0.0110759969902182</v>
      </c>
      <c r="AC76" s="1">
        <f t="shared" si="197"/>
        <v>0.0130173328616908</v>
      </c>
      <c r="AF76" s="1">
        <f t="shared" ref="AF76:AL76" si="198" xml:space="preserve">AF8</f>
        <v>0.0130200437931615</v>
      </c>
      <c r="AG76" s="1">
        <f t="shared" si="198"/>
        <v>0.0127459366980325</v>
      </c>
      <c r="AH76" s="1">
        <f t="shared" si="198"/>
        <v>0.0132017937219731</v>
      </c>
      <c r="AI76" s="1">
        <f t="shared" si="198"/>
        <v>0.0144238059135709</v>
      </c>
      <c r="AJ76" s="1">
        <f t="shared" si="198"/>
        <v>0.0147119149729629</v>
      </c>
      <c r="AK76" s="1">
        <f t="shared" si="198"/>
        <v>0.0127373965387509</v>
      </c>
      <c r="AL76" s="1">
        <f t="shared" si="198"/>
        <v>0.0149699327909445</v>
      </c>
      <c r="AO76" s="1">
        <f t="shared" ref="AO76:AU76" si="199" xml:space="preserve">AO8</f>
        <v>0.0130200437931615</v>
      </c>
      <c r="AP76" s="1">
        <f t="shared" si="199"/>
        <v>0.0127459366980325</v>
      </c>
      <c r="AQ76" s="1">
        <f t="shared" si="199"/>
        <v>0.0132017937219731</v>
      </c>
      <c r="AR76" s="1">
        <f t="shared" si="199"/>
        <v>0.0144238059135709</v>
      </c>
      <c r="AS76" s="1">
        <f t="shared" si="199"/>
        <v>0.0147119149729629</v>
      </c>
      <c r="AT76" s="1">
        <f t="shared" si="199"/>
        <v>0.00941459744168548</v>
      </c>
      <c r="AU76" s="1">
        <f t="shared" si="199"/>
        <v>0.0110647329324372</v>
      </c>
    </row>
    <row r="77" spans="21:47">
      <c r="U77" s="35" t="s">
        <v>301</v>
      </c>
      <c r="V77" s="50" t="s">
        <v>182</v>
      </c>
      <c r="W77" s="1">
        <f t="shared" ref="W77:AC77" si="200" xml:space="preserve">W9-W10</f>
        <v>0.0103587670540677</v>
      </c>
      <c r="X77" s="1">
        <f t="shared" si="200"/>
        <v>0.00995722840034217</v>
      </c>
      <c r="Y77" s="1">
        <f t="shared" si="200"/>
        <v>0.0102421524663677</v>
      </c>
      <c r="Z77" s="1">
        <f t="shared" si="200"/>
        <v>0.0112774829416224</v>
      </c>
      <c r="AA77" s="1">
        <f t="shared" si="200"/>
        <v>0.0114301696811486</v>
      </c>
      <c r="AB77" s="1">
        <f t="shared" si="200"/>
        <v>0.00859292701279159</v>
      </c>
      <c r="AC77" s="1">
        <f t="shared" si="200"/>
        <v>0.0100990449239476</v>
      </c>
      <c r="AF77" s="1">
        <f t="shared" ref="AF77:AL77" si="201" xml:space="preserve">AF9-AF10</f>
        <v>0.0103587670540677</v>
      </c>
      <c r="AG77" s="1">
        <f t="shared" si="201"/>
        <v>0.00995722840034217</v>
      </c>
      <c r="AH77" s="1">
        <f t="shared" si="201"/>
        <v>0.0102421524663677</v>
      </c>
      <c r="AI77" s="1">
        <f t="shared" si="201"/>
        <v>0.0112774829416224</v>
      </c>
      <c r="AJ77" s="1">
        <f t="shared" si="201"/>
        <v>0.0114301696811486</v>
      </c>
      <c r="AK77" s="1">
        <f t="shared" si="201"/>
        <v>0.00988186606471032</v>
      </c>
      <c r="AL77" s="1">
        <f t="shared" si="201"/>
        <v>0.0116139016625398</v>
      </c>
      <c r="AO77" s="1">
        <f t="shared" ref="AO77:AU77" si="202" xml:space="preserve">AO9-AO10</f>
        <v>0.0103587670540677</v>
      </c>
      <c r="AP77" s="1">
        <f t="shared" si="202"/>
        <v>0.00995722840034217</v>
      </c>
      <c r="AQ77" s="1">
        <f t="shared" si="202"/>
        <v>0.0102421524663677</v>
      </c>
      <c r="AR77" s="1">
        <f t="shared" si="202"/>
        <v>0.0112774829416224</v>
      </c>
      <c r="AS77" s="1">
        <f t="shared" si="202"/>
        <v>0.0114301696811486</v>
      </c>
      <c r="AT77" s="1">
        <f t="shared" si="202"/>
        <v>0.00730398796087285</v>
      </c>
      <c r="AU77" s="1">
        <f t="shared" si="202"/>
        <v>0.00858418818535549</v>
      </c>
    </row>
    <row r="78" spans="21:47">
      <c r="U78" s="35"/>
      <c r="V78" s="51" t="s">
        <v>428</v>
      </c>
      <c r="W78" s="1">
        <f t="shared" ref="W78:AC78" si="203" xml:space="preserve">W11</f>
        <v>0.0349503116051878</v>
      </c>
      <c r="X78" s="1">
        <f t="shared" si="203"/>
        <v>0.0333789563729684</v>
      </c>
      <c r="Y78" s="1">
        <f t="shared" si="203"/>
        <v>0.0343677130044843</v>
      </c>
      <c r="Z78" s="1">
        <f t="shared" si="203"/>
        <v>0.035253980288097</v>
      </c>
      <c r="AA78" s="1">
        <f t="shared" si="203"/>
        <v>0.0361364907700914</v>
      </c>
      <c r="AB78" s="1">
        <f t="shared" si="203"/>
        <v>0.0288337095560572</v>
      </c>
      <c r="AC78" s="1">
        <f t="shared" si="203"/>
        <v>0.0338875132649452</v>
      </c>
      <c r="AF78" s="1">
        <f t="shared" ref="AF78:AL78" si="204" xml:space="preserve">AF11</f>
        <v>0.0349503116051878</v>
      </c>
      <c r="AG78" s="1">
        <f t="shared" si="204"/>
        <v>0.0333789563729684</v>
      </c>
      <c r="AH78" s="1">
        <f t="shared" si="204"/>
        <v>0.0343677130044843</v>
      </c>
      <c r="AI78" s="1">
        <f t="shared" si="204"/>
        <v>0.035253980288097</v>
      </c>
      <c r="AJ78" s="1">
        <f t="shared" si="204"/>
        <v>0.0361364907700914</v>
      </c>
      <c r="AK78" s="1">
        <f t="shared" si="204"/>
        <v>0.0331587659894658</v>
      </c>
      <c r="AL78" s="1">
        <f t="shared" si="204"/>
        <v>0.0389706402546869</v>
      </c>
      <c r="AO78" s="1">
        <f t="shared" ref="AO78:AU78" si="205" xml:space="preserve">AO11</f>
        <v>0.0349503116051878</v>
      </c>
      <c r="AP78" s="1">
        <f t="shared" si="205"/>
        <v>0.0333789563729684</v>
      </c>
      <c r="AQ78" s="1">
        <f t="shared" si="205"/>
        <v>0.0343677130044843</v>
      </c>
      <c r="AR78" s="1">
        <f t="shared" si="205"/>
        <v>0.035253980288097</v>
      </c>
      <c r="AS78" s="1">
        <f t="shared" si="205"/>
        <v>0.0361364907700914</v>
      </c>
      <c r="AT78" s="1">
        <f t="shared" si="205"/>
        <v>0.0245086531226486</v>
      </c>
      <c r="AU78" s="1">
        <f t="shared" si="205"/>
        <v>0.0288043862752034</v>
      </c>
    </row>
    <row r="79" ht="15.5" spans="21:47">
      <c r="U79" s="35"/>
      <c r="V79" s="50" t="s">
        <v>429</v>
      </c>
      <c r="W79" s="1">
        <f t="shared" ref="W79:AC79" si="206" xml:space="preserve">W12</f>
        <v>0.0799898938858009</v>
      </c>
      <c r="X79" s="1">
        <f t="shared" si="206"/>
        <v>0.0778614200171086</v>
      </c>
      <c r="Y79" s="1">
        <f t="shared" si="206"/>
        <v>0.0807174887892377</v>
      </c>
      <c r="Z79" s="1">
        <f t="shared" si="206"/>
        <v>0.0845147839272176</v>
      </c>
      <c r="AA79" s="1">
        <f t="shared" si="206"/>
        <v>0.08851389147865</v>
      </c>
      <c r="AB79" s="1">
        <f t="shared" si="206"/>
        <v>0.0677200902934537</v>
      </c>
      <c r="AC79" s="1">
        <f t="shared" si="206"/>
        <v>0.0795896710293598</v>
      </c>
      <c r="AD79" s="36"/>
      <c r="AE79" s="36"/>
      <c r="AF79" s="1">
        <f t="shared" ref="AF79:AL79" si="207" xml:space="preserve">AF12</f>
        <v>0.0799898938858009</v>
      </c>
      <c r="AG79" s="1">
        <f t="shared" si="207"/>
        <v>0.0778614200171086</v>
      </c>
      <c r="AH79" s="1">
        <f t="shared" si="207"/>
        <v>0.0807174887892377</v>
      </c>
      <c r="AI79" s="1">
        <f t="shared" si="207"/>
        <v>0.0845147839272176</v>
      </c>
      <c r="AJ79" s="1">
        <f t="shared" si="207"/>
        <v>0.08851389147865</v>
      </c>
      <c r="AK79" s="1">
        <f t="shared" si="207"/>
        <v>0.0778781038374718</v>
      </c>
      <c r="AL79" s="1">
        <f t="shared" si="207"/>
        <v>0.0915281216837637</v>
      </c>
      <c r="AM79" s="36"/>
      <c r="AN79" s="36"/>
      <c r="AO79" s="1">
        <f t="shared" ref="AO79:AU79" si="208" xml:space="preserve">AO12</f>
        <v>0.0799898938858009</v>
      </c>
      <c r="AP79" s="1">
        <f t="shared" si="208"/>
        <v>0.0778614200171086</v>
      </c>
      <c r="AQ79" s="1">
        <f t="shared" si="208"/>
        <v>0.0807174887892377</v>
      </c>
      <c r="AR79" s="1">
        <f t="shared" si="208"/>
        <v>0.0845147839272176</v>
      </c>
      <c r="AS79" s="1">
        <f t="shared" si="208"/>
        <v>0.08851389147865</v>
      </c>
      <c r="AT79" s="1">
        <f t="shared" si="208"/>
        <v>0.0575620767494357</v>
      </c>
      <c r="AU79" s="1">
        <f t="shared" si="208"/>
        <v>0.0676512203749558</v>
      </c>
    </row>
    <row r="80" ht="15.5" spans="21:47">
      <c r="U80" s="35"/>
      <c r="V80" s="50" t="s">
        <v>430</v>
      </c>
      <c r="W80" s="1">
        <f t="shared" ref="W80:AC80" si="209" xml:space="preserve">W13</f>
        <v>0.0135085059794509</v>
      </c>
      <c r="X80" s="1">
        <f t="shared" si="209"/>
        <v>0.013207869974337</v>
      </c>
      <c r="Y80" s="1">
        <f t="shared" si="209"/>
        <v>0.0136860986547085</v>
      </c>
      <c r="Z80" s="1">
        <f t="shared" si="209"/>
        <v>0.0149545109931767</v>
      </c>
      <c r="AA80" s="1">
        <f t="shared" si="209"/>
        <v>0.0152340108148424</v>
      </c>
      <c r="AB80" s="1">
        <f t="shared" si="209"/>
        <v>0.0114823175319789</v>
      </c>
      <c r="AC80" s="1">
        <f t="shared" si="209"/>
        <v>0.013494870887867</v>
      </c>
      <c r="AD80" s="36"/>
      <c r="AE80" s="36"/>
      <c r="AF80" s="1">
        <f t="shared" ref="AF80:AL80" si="210" xml:space="preserve">AF13</f>
        <v>0.0135085059794509</v>
      </c>
      <c r="AG80" s="1">
        <f t="shared" si="210"/>
        <v>0.013207869974337</v>
      </c>
      <c r="AH80" s="1">
        <f t="shared" si="210"/>
        <v>0.0136860986547085</v>
      </c>
      <c r="AI80" s="1">
        <f t="shared" si="210"/>
        <v>0.0149545109931767</v>
      </c>
      <c r="AJ80" s="1">
        <f t="shared" si="210"/>
        <v>0.0152340108148424</v>
      </c>
      <c r="AK80" s="1">
        <f t="shared" si="210"/>
        <v>0.0132046651617758</v>
      </c>
      <c r="AL80" s="1">
        <f t="shared" si="210"/>
        <v>0.015519101521047</v>
      </c>
      <c r="AM80" s="36"/>
      <c r="AN80" s="36"/>
      <c r="AO80" s="1">
        <f t="shared" ref="AO80:AU80" si="211" xml:space="preserve">AO13</f>
        <v>0.0135085059794509</v>
      </c>
      <c r="AP80" s="1">
        <f t="shared" si="211"/>
        <v>0.013207869974337</v>
      </c>
      <c r="AQ80" s="1">
        <f t="shared" si="211"/>
        <v>0.0136860986547085</v>
      </c>
      <c r="AR80" s="1">
        <f t="shared" si="211"/>
        <v>0.0149545109931767</v>
      </c>
      <c r="AS80" s="1">
        <f t="shared" si="211"/>
        <v>0.0152340108148424</v>
      </c>
      <c r="AT80" s="1">
        <f t="shared" si="211"/>
        <v>0.00975996990218209</v>
      </c>
      <c r="AU80" s="1">
        <f t="shared" si="211"/>
        <v>0.0114706402546869</v>
      </c>
    </row>
    <row r="81" ht="15.5" spans="21:47">
      <c r="U81" s="35" t="s">
        <v>431</v>
      </c>
      <c r="V81" s="50" t="s">
        <v>182</v>
      </c>
      <c r="W81" s="36">
        <f t="shared" ref="W81:AC81" si="212" xml:space="preserve">W14-W15</f>
        <v>0.010830385716692</v>
      </c>
      <c r="X81" s="36">
        <f t="shared" si="212"/>
        <v>0.0104020530367836</v>
      </c>
      <c r="Y81" s="36">
        <f t="shared" si="212"/>
        <v>0.0107085201793722</v>
      </c>
      <c r="Z81" s="36">
        <f t="shared" si="212"/>
        <v>0.0117702805155421</v>
      </c>
      <c r="AA81" s="36">
        <f t="shared" si="212"/>
        <v>0.011933619242961</v>
      </c>
      <c r="AB81" s="36">
        <f t="shared" si="212"/>
        <v>0.00898419864559818</v>
      </c>
      <c r="AC81" s="36">
        <f t="shared" si="212"/>
        <v>0.0105588963565617</v>
      </c>
      <c r="AD81" s="36"/>
      <c r="AE81" s="36"/>
      <c r="AF81" s="36">
        <f t="shared" ref="AF81:AL81" si="213" xml:space="preserve">AF14-AF15</f>
        <v>0.010830385716692</v>
      </c>
      <c r="AG81" s="36">
        <f t="shared" si="213"/>
        <v>0.0104020530367836</v>
      </c>
      <c r="AH81" s="36">
        <f t="shared" si="213"/>
        <v>0.0107085201793722</v>
      </c>
      <c r="AI81" s="36">
        <f t="shared" si="213"/>
        <v>0.0117702805155421</v>
      </c>
      <c r="AJ81" s="36">
        <f t="shared" si="213"/>
        <v>0.011933619242961</v>
      </c>
      <c r="AK81" s="36">
        <f t="shared" si="213"/>
        <v>0.0103318284424379</v>
      </c>
      <c r="AL81" s="36">
        <f t="shared" si="213"/>
        <v>0.012142730810046</v>
      </c>
      <c r="AM81" s="36"/>
      <c r="AN81" s="36"/>
      <c r="AO81" s="36">
        <f t="shared" ref="AO81:AU81" si="214" xml:space="preserve">AO14-AO15</f>
        <v>0.010830385716692</v>
      </c>
      <c r="AP81" s="36">
        <f t="shared" si="214"/>
        <v>0.0104020530367836</v>
      </c>
      <c r="AQ81" s="36">
        <f t="shared" si="214"/>
        <v>0.0107085201793722</v>
      </c>
      <c r="AR81" s="36">
        <f t="shared" si="214"/>
        <v>0.0117702805155421</v>
      </c>
      <c r="AS81" s="36">
        <f t="shared" si="214"/>
        <v>0.011933619242961</v>
      </c>
      <c r="AT81" s="36">
        <f t="shared" si="214"/>
        <v>0.00763656884875846</v>
      </c>
      <c r="AU81" s="36">
        <f t="shared" si="214"/>
        <v>0.00897506190307747</v>
      </c>
    </row>
    <row r="82" ht="15.5" spans="21:47">
      <c r="U82" s="35"/>
      <c r="V82" s="51" t="s">
        <v>428</v>
      </c>
      <c r="W82" s="36">
        <f t="shared" ref="W82:AC82" si="215" xml:space="preserve">W16</f>
        <v>0.0447027118073101</v>
      </c>
      <c r="X82" s="36">
        <f t="shared" si="215"/>
        <v>0.0428058169375535</v>
      </c>
      <c r="Y82" s="36">
        <f t="shared" si="215"/>
        <v>0.0441255605381166</v>
      </c>
      <c r="Z82" s="36">
        <f t="shared" si="215"/>
        <v>0.0456406368460955</v>
      </c>
      <c r="AA82" s="36">
        <f t="shared" si="215"/>
        <v>0.0467275778482193</v>
      </c>
      <c r="AB82" s="36">
        <f t="shared" si="215"/>
        <v>0.037020316027088</v>
      </c>
      <c r="AC82" s="36">
        <f t="shared" si="215"/>
        <v>0.0435090201627167</v>
      </c>
      <c r="AD82" s="36"/>
      <c r="AE82" s="36"/>
      <c r="AF82" s="36">
        <f t="shared" ref="AF82:AL82" si="216" xml:space="preserve">AF16</f>
        <v>0.0447027118073101</v>
      </c>
      <c r="AG82" s="36">
        <f t="shared" si="216"/>
        <v>0.0428058169375535</v>
      </c>
      <c r="AH82" s="36">
        <f t="shared" si="216"/>
        <v>0.0441255605381166</v>
      </c>
      <c r="AI82" s="36">
        <f t="shared" si="216"/>
        <v>0.0456406368460955</v>
      </c>
      <c r="AJ82" s="36">
        <f t="shared" si="216"/>
        <v>0.0467275778482193</v>
      </c>
      <c r="AK82" s="36">
        <f t="shared" si="216"/>
        <v>0.0425733634311512</v>
      </c>
      <c r="AL82" s="36">
        <f t="shared" si="216"/>
        <v>0.0500353731871242</v>
      </c>
      <c r="AM82" s="36"/>
      <c r="AN82" s="36"/>
      <c r="AO82" s="36">
        <f t="shared" ref="AO82:AU82" si="217" xml:space="preserve">AO16</f>
        <v>0.0447027118073101</v>
      </c>
      <c r="AP82" s="36">
        <f t="shared" si="217"/>
        <v>0.0428058169375535</v>
      </c>
      <c r="AQ82" s="36">
        <f t="shared" si="217"/>
        <v>0.0441255605381166</v>
      </c>
      <c r="AR82" s="36">
        <f t="shared" si="217"/>
        <v>0.0456406368460955</v>
      </c>
      <c r="AS82" s="36">
        <f t="shared" si="217"/>
        <v>0.0467275778482193</v>
      </c>
      <c r="AT82" s="36">
        <f t="shared" si="217"/>
        <v>0.0314672686230248</v>
      </c>
      <c r="AU82" s="36">
        <f t="shared" si="217"/>
        <v>0.0369826671383092</v>
      </c>
    </row>
    <row r="83" ht="15.5" spans="21:47">
      <c r="U83" s="35"/>
      <c r="V83" s="50" t="s">
        <v>429</v>
      </c>
      <c r="W83" s="36">
        <f t="shared" ref="W83:AC83" si="218" xml:space="preserve">W17</f>
        <v>0.0724945258548088</v>
      </c>
      <c r="X83" s="36">
        <f t="shared" si="218"/>
        <v>0.0706073567151412</v>
      </c>
      <c r="Y83" s="36">
        <f t="shared" si="218"/>
        <v>0.0732017937219731</v>
      </c>
      <c r="Z83" s="36">
        <f t="shared" si="218"/>
        <v>0.076516300227445</v>
      </c>
      <c r="AA83" s="36">
        <f t="shared" si="218"/>
        <v>0.0803841133693828</v>
      </c>
      <c r="AB83" s="36">
        <f t="shared" si="218"/>
        <v>0.0614145974416855</v>
      </c>
      <c r="AC83" s="36">
        <f t="shared" si="218"/>
        <v>0.0721789883268483</v>
      </c>
      <c r="AD83" s="36"/>
      <c r="AE83" s="36"/>
      <c r="AF83" s="36">
        <f t="shared" ref="AF83:AL83" si="219" xml:space="preserve">AF17</f>
        <v>0.0724945258548088</v>
      </c>
      <c r="AG83" s="36">
        <f t="shared" si="219"/>
        <v>0.0706073567151412</v>
      </c>
      <c r="AH83" s="36">
        <f t="shared" si="219"/>
        <v>0.0732017937219731</v>
      </c>
      <c r="AI83" s="36">
        <f t="shared" si="219"/>
        <v>0.076516300227445</v>
      </c>
      <c r="AJ83" s="36">
        <f t="shared" si="219"/>
        <v>0.0803841133693828</v>
      </c>
      <c r="AK83" s="36">
        <f t="shared" si="219"/>
        <v>0.0706267870579383</v>
      </c>
      <c r="AL83" s="36">
        <f t="shared" si="219"/>
        <v>0.0830058365758755</v>
      </c>
      <c r="AM83" s="36"/>
      <c r="AN83" s="36"/>
      <c r="AO83" s="36">
        <f t="shared" ref="AO83:AU83" si="220" xml:space="preserve">AO17</f>
        <v>0.0724945258548088</v>
      </c>
      <c r="AP83" s="36">
        <f t="shared" si="220"/>
        <v>0.0706073567151412</v>
      </c>
      <c r="AQ83" s="36">
        <f t="shared" si="220"/>
        <v>0.0732017937219731</v>
      </c>
      <c r="AR83" s="36">
        <f t="shared" si="220"/>
        <v>0.076516300227445</v>
      </c>
      <c r="AS83" s="36">
        <f t="shared" si="220"/>
        <v>0.0803841133693828</v>
      </c>
      <c r="AT83" s="36">
        <f t="shared" si="220"/>
        <v>0.0522024078254327</v>
      </c>
      <c r="AU83" s="36">
        <f t="shared" si="220"/>
        <v>0.061352140077821</v>
      </c>
    </row>
    <row r="84" ht="15.5" spans="21:47">
      <c r="U84" s="35"/>
      <c r="V84" s="50" t="s">
        <v>430</v>
      </c>
      <c r="W84" s="36">
        <f t="shared" ref="W84:AC84" si="221" xml:space="preserve">W18</f>
        <v>0.0131547919824827</v>
      </c>
      <c r="X84" s="36">
        <f t="shared" si="221"/>
        <v>0.0128656971770744</v>
      </c>
      <c r="Y84" s="36">
        <f t="shared" si="221"/>
        <v>0.0133273542600897</v>
      </c>
      <c r="Z84" s="36">
        <f t="shared" si="221"/>
        <v>0.0145564821834723</v>
      </c>
      <c r="AA84" s="36">
        <f t="shared" si="221"/>
        <v>0.0148610852134999</v>
      </c>
      <c r="AB84" s="36">
        <f t="shared" si="221"/>
        <v>0.0111813393528969</v>
      </c>
      <c r="AC84" s="36">
        <f t="shared" si="221"/>
        <v>0.0131411390166254</v>
      </c>
      <c r="AD84" s="36"/>
      <c r="AE84" s="36"/>
      <c r="AF84" s="36">
        <f t="shared" ref="AF84:AL84" si="222" xml:space="preserve">AF18</f>
        <v>0.0131547919824827</v>
      </c>
      <c r="AG84" s="36">
        <f t="shared" si="222"/>
        <v>0.0128656971770744</v>
      </c>
      <c r="AH84" s="36">
        <f t="shared" si="222"/>
        <v>0.0133273542600897</v>
      </c>
      <c r="AI84" s="36">
        <f t="shared" si="222"/>
        <v>0.0145564821834723</v>
      </c>
      <c r="AJ84" s="36">
        <f t="shared" si="222"/>
        <v>0.0148610852134999</v>
      </c>
      <c r="AK84" s="36">
        <f t="shared" si="222"/>
        <v>0.0128585402558315</v>
      </c>
      <c r="AL84" s="36">
        <f t="shared" si="222"/>
        <v>0.0151123098691192</v>
      </c>
      <c r="AM84" s="36"/>
      <c r="AN84" s="36"/>
      <c r="AO84" s="36">
        <f t="shared" ref="AO84:AU84" si="223" xml:space="preserve">AO18</f>
        <v>0.0131547919824827</v>
      </c>
      <c r="AP84" s="36">
        <f t="shared" si="223"/>
        <v>0.0128656971770744</v>
      </c>
      <c r="AQ84" s="36">
        <f t="shared" si="223"/>
        <v>0.0133273542600897</v>
      </c>
      <c r="AR84" s="36">
        <f t="shared" si="223"/>
        <v>0.0145564821834723</v>
      </c>
      <c r="AS84" s="36">
        <f t="shared" si="223"/>
        <v>0.0148610852134999</v>
      </c>
      <c r="AT84" s="36">
        <f t="shared" si="223"/>
        <v>0.00950413844996238</v>
      </c>
      <c r="AU84" s="36">
        <f t="shared" si="223"/>
        <v>0.0111699681641316</v>
      </c>
    </row>
    <row r="85" ht="15.5" spans="21:47">
      <c r="U85" s="35" t="s">
        <v>431</v>
      </c>
      <c r="V85" s="50" t="s">
        <v>182</v>
      </c>
      <c r="W85" s="52">
        <f t="shared" ref="W85:AC85" si="224" xml:space="preserve">W81</f>
        <v>0.010830385716692</v>
      </c>
      <c r="X85" s="52">
        <f t="shared" si="224"/>
        <v>0.0104020530367836</v>
      </c>
      <c r="Y85" s="52">
        <f t="shared" si="224"/>
        <v>0.0107085201793722</v>
      </c>
      <c r="Z85" s="52">
        <f t="shared" si="224"/>
        <v>0.0117702805155421</v>
      </c>
      <c r="AA85" s="52">
        <f t="shared" si="224"/>
        <v>0.011933619242961</v>
      </c>
      <c r="AB85" s="52">
        <f t="shared" si="224"/>
        <v>0.00898419864559818</v>
      </c>
      <c r="AC85" s="52">
        <f t="shared" si="224"/>
        <v>0.0105588963565617</v>
      </c>
      <c r="AD85" s="36"/>
      <c r="AE85" s="36"/>
      <c r="AF85" s="52">
        <f t="shared" ref="AF85:AL85" si="225" xml:space="preserve">AF81</f>
        <v>0.010830385716692</v>
      </c>
      <c r="AG85" s="52">
        <f t="shared" si="225"/>
        <v>0.0104020530367836</v>
      </c>
      <c r="AH85" s="52">
        <f t="shared" si="225"/>
        <v>0.0107085201793722</v>
      </c>
      <c r="AI85" s="52">
        <f t="shared" si="225"/>
        <v>0.0117702805155421</v>
      </c>
      <c r="AJ85" s="52">
        <f t="shared" si="225"/>
        <v>0.011933619242961</v>
      </c>
      <c r="AK85" s="52">
        <f t="shared" si="225"/>
        <v>0.0103318284424379</v>
      </c>
      <c r="AL85" s="52">
        <f t="shared" si="225"/>
        <v>0.012142730810046</v>
      </c>
      <c r="AM85" s="36"/>
      <c r="AN85" s="36"/>
      <c r="AO85" s="52">
        <f t="shared" ref="AO85:AU85" si="226" xml:space="preserve">AO81</f>
        <v>0.010830385716692</v>
      </c>
      <c r="AP85" s="52">
        <f t="shared" si="226"/>
        <v>0.0104020530367836</v>
      </c>
      <c r="AQ85" s="52">
        <f t="shared" si="226"/>
        <v>0.0107085201793722</v>
      </c>
      <c r="AR85" s="52">
        <f t="shared" si="226"/>
        <v>0.0117702805155421</v>
      </c>
      <c r="AS85" s="52">
        <f t="shared" si="226"/>
        <v>0.011933619242961</v>
      </c>
      <c r="AT85" s="52">
        <f t="shared" si="226"/>
        <v>0.00763656884875846</v>
      </c>
      <c r="AU85" s="52">
        <f t="shared" si="226"/>
        <v>0.00897506190307747</v>
      </c>
    </row>
    <row r="86" ht="15.5" spans="21:47">
      <c r="U86" s="35"/>
      <c r="V86" s="51" t="s">
        <v>428</v>
      </c>
      <c r="W86" s="52">
        <f t="shared" ref="W86:AC86" si="227" xml:space="preserve">W82</f>
        <v>0.0447027118073101</v>
      </c>
      <c r="X86" s="52">
        <f t="shared" si="227"/>
        <v>0.0428058169375535</v>
      </c>
      <c r="Y86" s="52">
        <f t="shared" si="227"/>
        <v>0.0441255605381166</v>
      </c>
      <c r="Z86" s="52">
        <f t="shared" si="227"/>
        <v>0.0456406368460955</v>
      </c>
      <c r="AA86" s="52">
        <f t="shared" si="227"/>
        <v>0.0467275778482193</v>
      </c>
      <c r="AB86" s="52">
        <f t="shared" si="227"/>
        <v>0.037020316027088</v>
      </c>
      <c r="AC86" s="52">
        <f t="shared" si="227"/>
        <v>0.0435090201627167</v>
      </c>
      <c r="AD86" s="36"/>
      <c r="AE86" s="36"/>
      <c r="AF86" s="52">
        <f t="shared" ref="AF86:AL86" si="228" xml:space="preserve">AF82</f>
        <v>0.0447027118073101</v>
      </c>
      <c r="AG86" s="52">
        <f t="shared" si="228"/>
        <v>0.0428058169375535</v>
      </c>
      <c r="AH86" s="52">
        <f t="shared" si="228"/>
        <v>0.0441255605381166</v>
      </c>
      <c r="AI86" s="52">
        <f t="shared" si="228"/>
        <v>0.0456406368460955</v>
      </c>
      <c r="AJ86" s="52">
        <f t="shared" si="228"/>
        <v>0.0467275778482193</v>
      </c>
      <c r="AK86" s="52">
        <f t="shared" si="228"/>
        <v>0.0425733634311512</v>
      </c>
      <c r="AL86" s="52">
        <f t="shared" si="228"/>
        <v>0.0500353731871242</v>
      </c>
      <c r="AM86" s="36"/>
      <c r="AN86" s="36"/>
      <c r="AO86" s="52">
        <f t="shared" ref="AO86:AU86" si="229" xml:space="preserve">AO82</f>
        <v>0.0447027118073101</v>
      </c>
      <c r="AP86" s="52">
        <f t="shared" si="229"/>
        <v>0.0428058169375535</v>
      </c>
      <c r="AQ86" s="52">
        <f t="shared" si="229"/>
        <v>0.0441255605381166</v>
      </c>
      <c r="AR86" s="52">
        <f t="shared" si="229"/>
        <v>0.0456406368460955</v>
      </c>
      <c r="AS86" s="52">
        <f t="shared" si="229"/>
        <v>0.0467275778482193</v>
      </c>
      <c r="AT86" s="52">
        <f t="shared" si="229"/>
        <v>0.0314672686230248</v>
      </c>
      <c r="AU86" s="52">
        <f t="shared" si="229"/>
        <v>0.0369826671383092</v>
      </c>
    </row>
    <row r="87" ht="15.5" spans="21:47">
      <c r="U87" s="35"/>
      <c r="V87" s="50" t="s">
        <v>429</v>
      </c>
      <c r="W87" s="52">
        <f t="shared" ref="W87:AC87" si="230" xml:space="preserve">W83</f>
        <v>0.0724945258548088</v>
      </c>
      <c r="X87" s="52">
        <f t="shared" si="230"/>
        <v>0.0706073567151412</v>
      </c>
      <c r="Y87" s="52">
        <f t="shared" si="230"/>
        <v>0.0732017937219731</v>
      </c>
      <c r="Z87" s="52">
        <f t="shared" si="230"/>
        <v>0.076516300227445</v>
      </c>
      <c r="AA87" s="52">
        <f t="shared" si="230"/>
        <v>0.0803841133693828</v>
      </c>
      <c r="AB87" s="52">
        <f t="shared" si="230"/>
        <v>0.0614145974416855</v>
      </c>
      <c r="AC87" s="52">
        <f t="shared" si="230"/>
        <v>0.0721789883268483</v>
      </c>
      <c r="AD87" s="36"/>
      <c r="AE87" s="36"/>
      <c r="AF87" s="52">
        <f t="shared" ref="AF87:AL87" si="231" xml:space="preserve">AF83</f>
        <v>0.0724945258548088</v>
      </c>
      <c r="AG87" s="52">
        <f t="shared" si="231"/>
        <v>0.0706073567151412</v>
      </c>
      <c r="AH87" s="52">
        <f t="shared" si="231"/>
        <v>0.0732017937219731</v>
      </c>
      <c r="AI87" s="52">
        <f t="shared" si="231"/>
        <v>0.076516300227445</v>
      </c>
      <c r="AJ87" s="52">
        <f t="shared" si="231"/>
        <v>0.0803841133693828</v>
      </c>
      <c r="AK87" s="52">
        <f t="shared" si="231"/>
        <v>0.0706267870579383</v>
      </c>
      <c r="AL87" s="52">
        <f t="shared" si="231"/>
        <v>0.0830058365758755</v>
      </c>
      <c r="AM87" s="36"/>
      <c r="AN87" s="36"/>
      <c r="AO87" s="52">
        <f t="shared" ref="AO87:AU87" si="232" xml:space="preserve">AO83</f>
        <v>0.0724945258548088</v>
      </c>
      <c r="AP87" s="52">
        <f t="shared" si="232"/>
        <v>0.0706073567151412</v>
      </c>
      <c r="AQ87" s="52">
        <f t="shared" si="232"/>
        <v>0.0732017937219731</v>
      </c>
      <c r="AR87" s="52">
        <f t="shared" si="232"/>
        <v>0.076516300227445</v>
      </c>
      <c r="AS87" s="52">
        <f t="shared" si="232"/>
        <v>0.0803841133693828</v>
      </c>
      <c r="AT87" s="52">
        <f t="shared" si="232"/>
        <v>0.0522024078254327</v>
      </c>
      <c r="AU87" s="52">
        <f t="shared" si="232"/>
        <v>0.061352140077821</v>
      </c>
    </row>
    <row r="88" ht="15.5" spans="21:47">
      <c r="U88" s="35"/>
      <c r="V88" s="50" t="s">
        <v>430</v>
      </c>
      <c r="W88" s="52">
        <f t="shared" ref="W88:AC88" si="233" xml:space="preserve">W84</f>
        <v>0.0131547919824827</v>
      </c>
      <c r="X88" s="52">
        <f t="shared" si="233"/>
        <v>0.0128656971770744</v>
      </c>
      <c r="Y88" s="52">
        <f t="shared" si="233"/>
        <v>0.0133273542600897</v>
      </c>
      <c r="Z88" s="52">
        <f t="shared" si="233"/>
        <v>0.0145564821834723</v>
      </c>
      <c r="AA88" s="52">
        <f t="shared" si="233"/>
        <v>0.0148610852134999</v>
      </c>
      <c r="AB88" s="52">
        <f t="shared" si="233"/>
        <v>0.0111813393528969</v>
      </c>
      <c r="AC88" s="52">
        <f t="shared" si="233"/>
        <v>0.0131411390166254</v>
      </c>
      <c r="AD88" s="36"/>
      <c r="AE88" s="36"/>
      <c r="AF88" s="52">
        <f t="shared" ref="AF88:AL88" si="234" xml:space="preserve">AF84</f>
        <v>0.0131547919824827</v>
      </c>
      <c r="AG88" s="52">
        <f t="shared" si="234"/>
        <v>0.0128656971770744</v>
      </c>
      <c r="AH88" s="52">
        <f t="shared" si="234"/>
        <v>0.0133273542600897</v>
      </c>
      <c r="AI88" s="52">
        <f t="shared" si="234"/>
        <v>0.0145564821834723</v>
      </c>
      <c r="AJ88" s="52">
        <f t="shared" si="234"/>
        <v>0.0148610852134999</v>
      </c>
      <c r="AK88" s="52">
        <f t="shared" si="234"/>
        <v>0.0128585402558315</v>
      </c>
      <c r="AL88" s="52">
        <f t="shared" si="234"/>
        <v>0.0151123098691192</v>
      </c>
      <c r="AM88" s="36"/>
      <c r="AN88" s="36"/>
      <c r="AO88" s="52">
        <f t="shared" ref="AO88:AU88" si="235" xml:space="preserve">AO84</f>
        <v>0.0131547919824827</v>
      </c>
      <c r="AP88" s="52">
        <f t="shared" si="235"/>
        <v>0.0128656971770744</v>
      </c>
      <c r="AQ88" s="52">
        <f t="shared" si="235"/>
        <v>0.0133273542600897</v>
      </c>
      <c r="AR88" s="52">
        <f t="shared" si="235"/>
        <v>0.0145564821834723</v>
      </c>
      <c r="AS88" s="52">
        <f t="shared" si="235"/>
        <v>0.0148610852134999</v>
      </c>
      <c r="AT88" s="52">
        <f t="shared" si="235"/>
        <v>0.00950413844996238</v>
      </c>
      <c r="AU88" s="52">
        <f t="shared" si="235"/>
        <v>0.0111699681641316</v>
      </c>
    </row>
    <row r="89" ht="15.5" spans="21:47">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row>
    <row r="90" ht="15.5" spans="21:47">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row>
    <row r="91" ht="15.5" spans="21:47">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row>
    <row r="92" ht="15.5" spans="21:47">
      <c r="U92" s="36"/>
      <c r="V92" s="36"/>
      <c r="W92" s="36" t="s">
        <v>398</v>
      </c>
      <c r="X92" s="36" t="s">
        <v>399</v>
      </c>
      <c r="Y92" s="40" t="s">
        <v>400</v>
      </c>
      <c r="Z92" s="36" t="s">
        <v>401</v>
      </c>
      <c r="AA92" s="36" t="s">
        <v>402</v>
      </c>
      <c r="AB92" s="42" t="s">
        <v>403</v>
      </c>
      <c r="AC92" s="42" t="s">
        <v>404</v>
      </c>
      <c r="AD92" s="36"/>
      <c r="AE92" s="36"/>
      <c r="AF92" s="36" t="s">
        <v>398</v>
      </c>
      <c r="AG92" s="36" t="s">
        <v>399</v>
      </c>
      <c r="AH92" s="40" t="s">
        <v>400</v>
      </c>
      <c r="AI92" s="36" t="s">
        <v>401</v>
      </c>
      <c r="AJ92" s="36" t="s">
        <v>402</v>
      </c>
      <c r="AK92" s="42" t="s">
        <v>403</v>
      </c>
      <c r="AL92" s="42" t="s">
        <v>404</v>
      </c>
      <c r="AM92" s="36"/>
      <c r="AN92" s="36"/>
      <c r="AO92" s="36" t="s">
        <v>398</v>
      </c>
      <c r="AP92" s="36" t="s">
        <v>399</v>
      </c>
      <c r="AQ92" s="40" t="s">
        <v>400</v>
      </c>
      <c r="AR92" s="36" t="s">
        <v>401</v>
      </c>
      <c r="AS92" s="36" t="s">
        <v>402</v>
      </c>
      <c r="AT92" s="42" t="s">
        <v>403</v>
      </c>
      <c r="AU92" s="42" t="s">
        <v>404</v>
      </c>
    </row>
    <row r="93" spans="21:47">
      <c r="U93" s="35" t="s">
        <v>405</v>
      </c>
      <c r="V93" s="50" t="s">
        <v>182</v>
      </c>
      <c r="W93" s="1">
        <f t="shared" ref="W93:AC93" si="236" xml:space="preserve">W24-W25</f>
        <v>0.0115546572342934</v>
      </c>
      <c r="X93" s="1">
        <f t="shared" si="236"/>
        <v>0.0110863986313088</v>
      </c>
      <c r="Y93" s="1">
        <f t="shared" si="236"/>
        <v>0.0114618834080717</v>
      </c>
      <c r="Z93" s="1">
        <f t="shared" si="236"/>
        <v>0.011751326762699</v>
      </c>
      <c r="AA93" s="1">
        <f t="shared" si="236"/>
        <v>0.0119709118030953</v>
      </c>
      <c r="AB93" s="1">
        <f t="shared" si="236"/>
        <v>0.00961625282167042</v>
      </c>
      <c r="AC93" s="1">
        <f t="shared" si="236"/>
        <v>0.0113017332861691</v>
      </c>
      <c r="AF93" s="1">
        <f t="shared" ref="AF93:AL93" si="237" xml:space="preserve">AF24-AF25</f>
        <v>0.0115546572342934</v>
      </c>
      <c r="AG93" s="1">
        <f t="shared" si="237"/>
        <v>0.0110863986313088</v>
      </c>
      <c r="AH93" s="1">
        <f t="shared" si="237"/>
        <v>0.0114618834080717</v>
      </c>
      <c r="AI93" s="1">
        <f t="shared" si="237"/>
        <v>0.011751326762699</v>
      </c>
      <c r="AJ93" s="1">
        <f t="shared" si="237"/>
        <v>0.0119709118030953</v>
      </c>
      <c r="AK93" s="1">
        <f t="shared" si="237"/>
        <v>0.011058690744921</v>
      </c>
      <c r="AL93" s="1">
        <f t="shared" si="237"/>
        <v>0.0129969932790944</v>
      </c>
      <c r="AO93" s="1">
        <f t="shared" ref="AO93:AU93" si="238" xml:space="preserve">AO24-AO25</f>
        <v>0.0115546572342934</v>
      </c>
      <c r="AP93" s="1">
        <f t="shared" si="238"/>
        <v>0.0110863986313088</v>
      </c>
      <c r="AQ93" s="1">
        <f t="shared" si="238"/>
        <v>0.0114618834080717</v>
      </c>
      <c r="AR93" s="1">
        <f t="shared" si="238"/>
        <v>0.011751326762699</v>
      </c>
      <c r="AS93" s="1">
        <f t="shared" si="238"/>
        <v>0.0119709118030953</v>
      </c>
      <c r="AT93" s="1">
        <f t="shared" si="238"/>
        <v>0.00817381489841985</v>
      </c>
      <c r="AU93" s="1">
        <f t="shared" si="238"/>
        <v>0.00960647329324371</v>
      </c>
    </row>
    <row r="94" spans="21:47">
      <c r="U94" s="35"/>
      <c r="V94" s="51" t="s">
        <v>428</v>
      </c>
      <c r="W94" s="1">
        <f t="shared" ref="W94:AC94" si="239" xml:space="preserve">W26</f>
        <v>0.0252147549267307</v>
      </c>
      <c r="X94" s="1">
        <f t="shared" si="239"/>
        <v>0.0242600513259196</v>
      </c>
      <c r="Y94" s="1">
        <f t="shared" si="239"/>
        <v>0.0250941704035874</v>
      </c>
      <c r="Z94" s="1">
        <f t="shared" si="239"/>
        <v>0.0257581501137225</v>
      </c>
      <c r="AA94" s="1">
        <f t="shared" si="239"/>
        <v>0.0262539623345143</v>
      </c>
      <c r="AB94" s="1">
        <f t="shared" si="239"/>
        <v>0.0210534236267871</v>
      </c>
      <c r="AC94" s="1">
        <f t="shared" si="239"/>
        <v>0.0247435443933498</v>
      </c>
      <c r="AF94" s="1">
        <f t="shared" ref="AF94:AL94" si="240" xml:space="preserve">AF26</f>
        <v>0.0252147549267307</v>
      </c>
      <c r="AG94" s="1">
        <f t="shared" si="240"/>
        <v>0.0242600513259196</v>
      </c>
      <c r="AH94" s="1">
        <f t="shared" si="240"/>
        <v>0.0250941704035874</v>
      </c>
      <c r="AI94" s="1">
        <f t="shared" si="240"/>
        <v>0.0257581501137225</v>
      </c>
      <c r="AJ94" s="1">
        <f t="shared" si="240"/>
        <v>0.0262539623345143</v>
      </c>
      <c r="AK94" s="1">
        <f t="shared" si="240"/>
        <v>0.0242114371708051</v>
      </c>
      <c r="AL94" s="1">
        <f t="shared" si="240"/>
        <v>0.0284550760523523</v>
      </c>
      <c r="AO94" s="1">
        <f t="shared" ref="AO94:AU94" si="241" xml:space="preserve">AO26</f>
        <v>0.0252147549267307</v>
      </c>
      <c r="AP94" s="1">
        <f t="shared" si="241"/>
        <v>0.0242600513259196</v>
      </c>
      <c r="AQ94" s="1">
        <f t="shared" si="241"/>
        <v>0.0250941704035874</v>
      </c>
      <c r="AR94" s="1">
        <f t="shared" si="241"/>
        <v>0.0257581501137225</v>
      </c>
      <c r="AS94" s="1">
        <f t="shared" si="241"/>
        <v>0.0262539623345143</v>
      </c>
      <c r="AT94" s="1">
        <f t="shared" si="241"/>
        <v>0.017895410082769</v>
      </c>
      <c r="AU94" s="1">
        <f t="shared" si="241"/>
        <v>0.0210320127343474</v>
      </c>
    </row>
    <row r="95" spans="21:47">
      <c r="U95" s="35"/>
      <c r="V95" s="50" t="s">
        <v>429</v>
      </c>
      <c r="W95" s="1">
        <f t="shared" ref="W95:AC95" si="242" xml:space="preserve">W27</f>
        <v>0.0978103419235304</v>
      </c>
      <c r="X95" s="1">
        <f t="shared" si="242"/>
        <v>0.0947818648417451</v>
      </c>
      <c r="Y95" s="1">
        <f t="shared" si="242"/>
        <v>0.0982600896860986</v>
      </c>
      <c r="Z95" s="1">
        <f t="shared" si="242"/>
        <v>0.099696739954511</v>
      </c>
      <c r="AA95" s="1">
        <f t="shared" si="242"/>
        <v>0.103953011374231</v>
      </c>
      <c r="AB95" s="1">
        <f t="shared" si="242"/>
        <v>0.0824379232505643</v>
      </c>
      <c r="AC95" s="1">
        <f t="shared" si="242"/>
        <v>0.0968871595330739</v>
      </c>
      <c r="AF95" s="1">
        <f t="shared" ref="AF95:AL95" si="243" xml:space="preserve">AF27</f>
        <v>0.0978103419235304</v>
      </c>
      <c r="AG95" s="1">
        <f t="shared" si="243"/>
        <v>0.0947818648417451</v>
      </c>
      <c r="AH95" s="1">
        <f t="shared" si="243"/>
        <v>0.0982600896860986</v>
      </c>
      <c r="AI95" s="1">
        <f t="shared" si="243"/>
        <v>0.099696739954511</v>
      </c>
      <c r="AJ95" s="1">
        <f t="shared" si="243"/>
        <v>0.103953011374231</v>
      </c>
      <c r="AK95" s="1">
        <f t="shared" si="243"/>
        <v>0.094803611738149</v>
      </c>
      <c r="AL95" s="1">
        <f t="shared" si="243"/>
        <v>0.111420233463035</v>
      </c>
      <c r="AO95" s="1">
        <f t="shared" ref="AO95:AU95" si="244" xml:space="preserve">AO27</f>
        <v>0.0978103419235304</v>
      </c>
      <c r="AP95" s="1">
        <f t="shared" si="244"/>
        <v>0.0947818648417451</v>
      </c>
      <c r="AQ95" s="1">
        <f t="shared" si="244"/>
        <v>0.0982600896860986</v>
      </c>
      <c r="AR95" s="1">
        <f t="shared" si="244"/>
        <v>0.099696739954511</v>
      </c>
      <c r="AS95" s="1">
        <f t="shared" si="244"/>
        <v>0.103953011374231</v>
      </c>
      <c r="AT95" s="1">
        <f t="shared" si="244"/>
        <v>0.0700722347629797</v>
      </c>
      <c r="AU95" s="1">
        <f t="shared" si="244"/>
        <v>0.0823540856031128</v>
      </c>
    </row>
    <row r="96" spans="21:47">
      <c r="U96" s="35"/>
      <c r="V96" s="50" t="s">
        <v>430</v>
      </c>
      <c r="W96" s="1">
        <f t="shared" ref="W96:AC96" si="245" xml:space="preserve">W28</f>
        <v>0.0132390096008085</v>
      </c>
      <c r="X96" s="1">
        <f t="shared" si="245"/>
        <v>0.0130538922155689</v>
      </c>
      <c r="Y96" s="1">
        <f t="shared" si="245"/>
        <v>0.0136143497757848</v>
      </c>
      <c r="Z96" s="1">
        <f t="shared" si="245"/>
        <v>0.0139689158453374</v>
      </c>
      <c r="AA96" s="1">
        <f t="shared" si="245"/>
        <v>0.0141711728510162</v>
      </c>
      <c r="AB96" s="1">
        <f t="shared" si="245"/>
        <v>0.0114221218961625</v>
      </c>
      <c r="AC96" s="1">
        <f t="shared" si="245"/>
        <v>0.0134241245136187</v>
      </c>
      <c r="AF96" s="1">
        <f t="shared" ref="AF96:AL96" si="246" xml:space="preserve">AF28</f>
        <v>0.0132390096008085</v>
      </c>
      <c r="AG96" s="1">
        <f t="shared" si="246"/>
        <v>0.0130538922155689</v>
      </c>
      <c r="AH96" s="1">
        <f t="shared" si="246"/>
        <v>0.0136143497757848</v>
      </c>
      <c r="AI96" s="1">
        <f t="shared" si="246"/>
        <v>0.0139689158453374</v>
      </c>
      <c r="AJ96" s="1">
        <f t="shared" si="246"/>
        <v>0.0141711728510162</v>
      </c>
      <c r="AK96" s="1">
        <f t="shared" si="246"/>
        <v>0.0131354401805869</v>
      </c>
      <c r="AL96" s="1">
        <f t="shared" si="246"/>
        <v>0.0154377431906615</v>
      </c>
      <c r="AO96" s="1">
        <f t="shared" ref="AO96:AU96" si="247" xml:space="preserve">AO28</f>
        <v>0.0132390096008085</v>
      </c>
      <c r="AP96" s="1">
        <f t="shared" si="247"/>
        <v>0.0130538922155689</v>
      </c>
      <c r="AQ96" s="1">
        <f t="shared" si="247"/>
        <v>0.0136143497757848</v>
      </c>
      <c r="AR96" s="1">
        <f t="shared" si="247"/>
        <v>0.0139689158453374</v>
      </c>
      <c r="AS96" s="1">
        <f t="shared" si="247"/>
        <v>0.0141711728510162</v>
      </c>
      <c r="AT96" s="1">
        <f t="shared" si="247"/>
        <v>0.00970880361173815</v>
      </c>
      <c r="AU96" s="1">
        <f t="shared" si="247"/>
        <v>0.0114105058365759</v>
      </c>
    </row>
    <row r="97" spans="21:47">
      <c r="U97" s="35" t="s">
        <v>301</v>
      </c>
      <c r="V97" s="50" t="s">
        <v>182</v>
      </c>
      <c r="W97" s="1">
        <f t="shared" ref="W97:AC97" si="248" xml:space="preserve">W29-W30</f>
        <v>0.0114030655213071</v>
      </c>
      <c r="X97" s="1">
        <f t="shared" si="248"/>
        <v>0.0109324208725406</v>
      </c>
      <c r="Y97" s="1">
        <f t="shared" si="248"/>
        <v>0.0113183856502242</v>
      </c>
      <c r="Z97" s="1">
        <f t="shared" si="248"/>
        <v>0.0115996967399545</v>
      </c>
      <c r="AA97" s="1">
        <f t="shared" si="248"/>
        <v>0.0118030952824912</v>
      </c>
      <c r="AB97" s="1">
        <f t="shared" si="248"/>
        <v>0.00949586155003763</v>
      </c>
      <c r="AC97" s="1">
        <f t="shared" si="248"/>
        <v>0.0111602405376725</v>
      </c>
      <c r="AF97" s="1">
        <f t="shared" ref="AF97:AL97" si="249" xml:space="preserve">AF29-AF30</f>
        <v>0.0114030655213071</v>
      </c>
      <c r="AG97" s="1">
        <f t="shared" si="249"/>
        <v>0.0109324208725406</v>
      </c>
      <c r="AH97" s="1">
        <f t="shared" si="249"/>
        <v>0.0113183856502242</v>
      </c>
      <c r="AI97" s="1">
        <f t="shared" si="249"/>
        <v>0.0115996967399545</v>
      </c>
      <c r="AJ97" s="1">
        <f t="shared" si="249"/>
        <v>0.0118030952824912</v>
      </c>
      <c r="AK97" s="1">
        <f t="shared" si="249"/>
        <v>0.0109202407825433</v>
      </c>
      <c r="AL97" s="1">
        <f t="shared" si="249"/>
        <v>0.0128342766183233</v>
      </c>
      <c r="AO97" s="1">
        <f t="shared" ref="AO97:AU97" si="250" xml:space="preserve">AO29-AO30</f>
        <v>0.0114030655213071</v>
      </c>
      <c r="AP97" s="1">
        <f t="shared" si="250"/>
        <v>0.0109324208725406</v>
      </c>
      <c r="AQ97" s="1">
        <f t="shared" si="250"/>
        <v>0.0113183856502242</v>
      </c>
      <c r="AR97" s="1">
        <f t="shared" si="250"/>
        <v>0.0115996967399545</v>
      </c>
      <c r="AS97" s="1">
        <f t="shared" si="250"/>
        <v>0.0118030952824912</v>
      </c>
      <c r="AT97" s="1">
        <f t="shared" si="250"/>
        <v>0.00807148231753198</v>
      </c>
      <c r="AU97" s="1">
        <f t="shared" si="250"/>
        <v>0.00948620445702159</v>
      </c>
    </row>
    <row r="98" spans="21:47">
      <c r="U98" s="35"/>
      <c r="V98" s="51" t="s">
        <v>428</v>
      </c>
      <c r="W98" s="1">
        <f t="shared" ref="W98:AC98" si="251" xml:space="preserve">W31</f>
        <v>0.0310257705912077</v>
      </c>
      <c r="X98" s="1">
        <f t="shared" si="251"/>
        <v>0.0298716852010265</v>
      </c>
      <c r="Y98" s="1">
        <f t="shared" si="251"/>
        <v>0.0309237668161435</v>
      </c>
      <c r="Z98" s="1">
        <f t="shared" si="251"/>
        <v>0.0319749810462472</v>
      </c>
      <c r="AA98" s="1">
        <f t="shared" si="251"/>
        <v>0.0325750512772702</v>
      </c>
      <c r="AB98" s="1">
        <f t="shared" si="251"/>
        <v>0.0259443190368698</v>
      </c>
      <c r="AC98" s="1">
        <f t="shared" si="251"/>
        <v>0.0304916873010258</v>
      </c>
      <c r="AF98" s="1">
        <f t="shared" ref="AF98:AL98" si="252" xml:space="preserve">AF31</f>
        <v>0.0310257705912077</v>
      </c>
      <c r="AG98" s="1">
        <f t="shared" si="252"/>
        <v>0.0298716852010265</v>
      </c>
      <c r="AH98" s="1">
        <f t="shared" si="252"/>
        <v>0.0309237668161435</v>
      </c>
      <c r="AI98" s="1">
        <f t="shared" si="252"/>
        <v>0.0319749810462472</v>
      </c>
      <c r="AJ98" s="1">
        <f t="shared" si="252"/>
        <v>0.0325750512772702</v>
      </c>
      <c r="AK98" s="1">
        <f t="shared" si="252"/>
        <v>0.0298359668924003</v>
      </c>
      <c r="AL98" s="1">
        <f t="shared" si="252"/>
        <v>0.0350654403961797</v>
      </c>
      <c r="AO98" s="1">
        <f t="shared" ref="AO98:AU98" si="253" xml:space="preserve">AO31</f>
        <v>0.0310257705912077</v>
      </c>
      <c r="AP98" s="1">
        <f t="shared" si="253"/>
        <v>0.0298716852010265</v>
      </c>
      <c r="AQ98" s="1">
        <f t="shared" si="253"/>
        <v>0.0309237668161435</v>
      </c>
      <c r="AR98" s="1">
        <f t="shared" si="253"/>
        <v>0.0319749810462472</v>
      </c>
      <c r="AS98" s="1">
        <f t="shared" si="253"/>
        <v>0.0325750512772702</v>
      </c>
      <c r="AT98" s="1">
        <f t="shared" si="253"/>
        <v>0.0220526711813394</v>
      </c>
      <c r="AU98" s="1">
        <f t="shared" si="253"/>
        <v>0.0259179342058719</v>
      </c>
    </row>
    <row r="99" ht="15.5" spans="21:47">
      <c r="U99" s="35"/>
      <c r="V99" s="50" t="s">
        <v>429</v>
      </c>
      <c r="W99" s="1">
        <f t="shared" ref="W99:AC99" si="254" xml:space="preserve">W32</f>
        <v>0.0942732019538488</v>
      </c>
      <c r="X99" s="1">
        <f t="shared" si="254"/>
        <v>0.0913601368691189</v>
      </c>
      <c r="Y99" s="1">
        <f t="shared" si="254"/>
        <v>0.0947085201793722</v>
      </c>
      <c r="Z99" s="1">
        <f t="shared" si="254"/>
        <v>0.0959249431387415</v>
      </c>
      <c r="AA99" s="1">
        <f t="shared" si="254"/>
        <v>0.100111877680403</v>
      </c>
      <c r="AB99" s="1">
        <f t="shared" si="254"/>
        <v>0.0794582392776524</v>
      </c>
      <c r="AC99" s="1">
        <f t="shared" si="254"/>
        <v>0.0933852140077821</v>
      </c>
      <c r="AD99" s="36"/>
      <c r="AE99" s="36"/>
      <c r="AF99" s="1">
        <f t="shared" ref="AF99:AL99" si="255" xml:space="preserve">AF32</f>
        <v>0.0942732019538488</v>
      </c>
      <c r="AG99" s="1">
        <f t="shared" si="255"/>
        <v>0.0913601368691189</v>
      </c>
      <c r="AH99" s="1">
        <f t="shared" si="255"/>
        <v>0.0947085201793722</v>
      </c>
      <c r="AI99" s="1">
        <f t="shared" si="255"/>
        <v>0.0959249431387415</v>
      </c>
      <c r="AJ99" s="1">
        <f t="shared" si="255"/>
        <v>0.100111877680403</v>
      </c>
      <c r="AK99" s="1">
        <f t="shared" si="255"/>
        <v>0.0913769751693002</v>
      </c>
      <c r="AL99" s="1">
        <f t="shared" si="255"/>
        <v>0.107392996108949</v>
      </c>
      <c r="AM99" s="36"/>
      <c r="AN99" s="36"/>
      <c r="AO99" s="1">
        <f t="shared" ref="AO99:AU99" si="256" xml:space="preserve">AO32</f>
        <v>0.0942732019538488</v>
      </c>
      <c r="AP99" s="1">
        <f t="shared" si="256"/>
        <v>0.0913601368691189</v>
      </c>
      <c r="AQ99" s="1">
        <f t="shared" si="256"/>
        <v>0.0947085201793722</v>
      </c>
      <c r="AR99" s="1">
        <f t="shared" si="256"/>
        <v>0.0959249431387415</v>
      </c>
      <c r="AS99" s="1">
        <f t="shared" si="256"/>
        <v>0.100111877680403</v>
      </c>
      <c r="AT99" s="1">
        <f t="shared" si="256"/>
        <v>0.0675395033860045</v>
      </c>
      <c r="AU99" s="1">
        <f t="shared" si="256"/>
        <v>0.0793774319066148</v>
      </c>
    </row>
    <row r="100" ht="15.5" spans="21:47">
      <c r="U100" s="35"/>
      <c r="V100" s="50" t="s">
        <v>430</v>
      </c>
      <c r="W100" s="1">
        <f t="shared" ref="W100:AC100" si="257" xml:space="preserve">W33</f>
        <v>0.0137106282634327</v>
      </c>
      <c r="X100" s="1">
        <f t="shared" si="257"/>
        <v>0.0135158254918734</v>
      </c>
      <c r="Y100" s="1">
        <f t="shared" si="257"/>
        <v>0.0140807174887892</v>
      </c>
      <c r="Z100" s="1">
        <f t="shared" si="257"/>
        <v>0.0144806671721001</v>
      </c>
      <c r="AA100" s="1">
        <f t="shared" si="257"/>
        <v>0.0146746224128286</v>
      </c>
      <c r="AB100" s="1">
        <f t="shared" si="257"/>
        <v>0.0118133935289691</v>
      </c>
      <c r="AC100" s="1">
        <f t="shared" si="257"/>
        <v>0.0138839759462328</v>
      </c>
      <c r="AD100" s="36"/>
      <c r="AE100" s="36"/>
      <c r="AF100" s="1">
        <f t="shared" ref="AF100:AL100" si="258" xml:space="preserve">AF33</f>
        <v>0.0137106282634327</v>
      </c>
      <c r="AG100" s="1">
        <f t="shared" si="258"/>
        <v>0.0135158254918734</v>
      </c>
      <c r="AH100" s="1">
        <f t="shared" si="258"/>
        <v>0.0140807174887892</v>
      </c>
      <c r="AI100" s="1">
        <f t="shared" si="258"/>
        <v>0.0144806671721001</v>
      </c>
      <c r="AJ100" s="1">
        <f t="shared" si="258"/>
        <v>0.0146746224128286</v>
      </c>
      <c r="AK100" s="1">
        <f t="shared" si="258"/>
        <v>0.0135854025583145</v>
      </c>
      <c r="AL100" s="1">
        <f t="shared" si="258"/>
        <v>0.0159665723381677</v>
      </c>
      <c r="AM100" s="36"/>
      <c r="AN100" s="36"/>
      <c r="AO100" s="1">
        <f t="shared" ref="AO100:AU100" si="259" xml:space="preserve">AO33</f>
        <v>0.0137106282634327</v>
      </c>
      <c r="AP100" s="1">
        <f t="shared" si="259"/>
        <v>0.0135158254918734</v>
      </c>
      <c r="AQ100" s="1">
        <f t="shared" si="259"/>
        <v>0.0140807174887892</v>
      </c>
      <c r="AR100" s="1">
        <f t="shared" si="259"/>
        <v>0.0144806671721001</v>
      </c>
      <c r="AS100" s="1">
        <f t="shared" si="259"/>
        <v>0.0146746224128286</v>
      </c>
      <c r="AT100" s="1">
        <f t="shared" si="259"/>
        <v>0.0100413844996238</v>
      </c>
      <c r="AU100" s="1">
        <f t="shared" si="259"/>
        <v>0.0118013795542978</v>
      </c>
    </row>
    <row r="101" ht="15.5" spans="21:47">
      <c r="U101" s="35" t="s">
        <v>431</v>
      </c>
      <c r="V101" s="50" t="s">
        <v>182</v>
      </c>
      <c r="W101" s="36">
        <f t="shared" ref="W101:AC101" si="260" xml:space="preserve">W34-W35</f>
        <v>0.011840997136601</v>
      </c>
      <c r="X101" s="36">
        <f t="shared" si="260"/>
        <v>0.011377245508982</v>
      </c>
      <c r="Y101" s="36">
        <f t="shared" si="260"/>
        <v>0.0117668161434977</v>
      </c>
      <c r="Z101" s="36">
        <f t="shared" si="260"/>
        <v>0.0120924943138741</v>
      </c>
      <c r="AA101" s="36">
        <f t="shared" si="260"/>
        <v>0.0122878985642364</v>
      </c>
      <c r="AB101" s="36">
        <f t="shared" si="260"/>
        <v>0.00987208427389014</v>
      </c>
      <c r="AC101" s="36">
        <f t="shared" si="260"/>
        <v>0.0116024053767244</v>
      </c>
      <c r="AD101" s="36"/>
      <c r="AE101" s="36"/>
      <c r="AF101" s="36">
        <f t="shared" ref="AF101:AL101" si="261" xml:space="preserve">AF34-AF35</f>
        <v>0.011840997136601</v>
      </c>
      <c r="AG101" s="36">
        <f t="shared" si="261"/>
        <v>0.011377245508982</v>
      </c>
      <c r="AH101" s="36">
        <f t="shared" si="261"/>
        <v>0.0117668161434977</v>
      </c>
      <c r="AI101" s="36">
        <f t="shared" si="261"/>
        <v>0.0120924943138741</v>
      </c>
      <c r="AJ101" s="36">
        <f t="shared" si="261"/>
        <v>0.0122878985642364</v>
      </c>
      <c r="AK101" s="36">
        <f t="shared" si="261"/>
        <v>0.0113528969149737</v>
      </c>
      <c r="AL101" s="36">
        <f t="shared" si="261"/>
        <v>0.0133427661832331</v>
      </c>
      <c r="AM101" s="36"/>
      <c r="AN101" s="36"/>
      <c r="AO101" s="36">
        <f t="shared" ref="AO101:AU101" si="262" xml:space="preserve">AO34-AO35</f>
        <v>0.011840997136601</v>
      </c>
      <c r="AP101" s="36">
        <f t="shared" si="262"/>
        <v>0.011377245508982</v>
      </c>
      <c r="AQ101" s="36">
        <f t="shared" si="262"/>
        <v>0.0117668161434977</v>
      </c>
      <c r="AR101" s="36">
        <f t="shared" si="262"/>
        <v>0.0120924943138741</v>
      </c>
      <c r="AS101" s="36">
        <f t="shared" si="262"/>
        <v>0.0122878985642364</v>
      </c>
      <c r="AT101" s="36">
        <f t="shared" si="262"/>
        <v>0.00839127163280662</v>
      </c>
      <c r="AU101" s="36">
        <f t="shared" si="262"/>
        <v>0.00986204457021578</v>
      </c>
    </row>
    <row r="102" ht="15.5" spans="21:47">
      <c r="U102" s="35"/>
      <c r="V102" s="51" t="s">
        <v>428</v>
      </c>
      <c r="W102" s="36">
        <f t="shared" ref="W102:AC102" si="263" xml:space="preserve">W36</f>
        <v>0.0404413003200269</v>
      </c>
      <c r="X102" s="36">
        <f t="shared" si="263"/>
        <v>0.0389734816082122</v>
      </c>
      <c r="Y102" s="36">
        <f t="shared" si="263"/>
        <v>0.0403408071748879</v>
      </c>
      <c r="Z102" s="36">
        <f t="shared" si="263"/>
        <v>0.0420204700530705</v>
      </c>
      <c r="AA102" s="36">
        <f t="shared" si="263"/>
        <v>0.0428118590341227</v>
      </c>
      <c r="AB102" s="36">
        <f t="shared" si="263"/>
        <v>0.0338449962377728</v>
      </c>
      <c r="AC102" s="36">
        <f t="shared" si="263"/>
        <v>0.0397771489211178</v>
      </c>
      <c r="AD102" s="36"/>
      <c r="AE102" s="36"/>
      <c r="AF102" s="36">
        <f t="shared" ref="AF102:AL102" si="264" xml:space="preserve">AF36</f>
        <v>0.0404413003200269</v>
      </c>
      <c r="AG102" s="36">
        <f t="shared" si="264"/>
        <v>0.0389734816082122</v>
      </c>
      <c r="AH102" s="36">
        <f t="shared" si="264"/>
        <v>0.0403408071748879</v>
      </c>
      <c r="AI102" s="36">
        <f t="shared" si="264"/>
        <v>0.0420204700530705</v>
      </c>
      <c r="AJ102" s="36">
        <f t="shared" si="264"/>
        <v>0.0428118590341227</v>
      </c>
      <c r="AK102" s="36">
        <f t="shared" si="264"/>
        <v>0.0389217456734387</v>
      </c>
      <c r="AL102" s="36">
        <f t="shared" si="264"/>
        <v>0.0457437212592855</v>
      </c>
      <c r="AM102" s="36"/>
      <c r="AN102" s="36"/>
      <c r="AO102" s="36">
        <f t="shared" ref="AO102:AU102" si="265" xml:space="preserve">AO36</f>
        <v>0.0404413003200269</v>
      </c>
      <c r="AP102" s="36">
        <f t="shared" si="265"/>
        <v>0.0389734816082122</v>
      </c>
      <c r="AQ102" s="36">
        <f t="shared" si="265"/>
        <v>0.0403408071748879</v>
      </c>
      <c r="AR102" s="36">
        <f t="shared" si="265"/>
        <v>0.0420204700530705</v>
      </c>
      <c r="AS102" s="36">
        <f t="shared" si="265"/>
        <v>0.0428118590341227</v>
      </c>
      <c r="AT102" s="36">
        <f t="shared" si="265"/>
        <v>0.0287682468021069</v>
      </c>
      <c r="AU102" s="36">
        <f t="shared" si="265"/>
        <v>0.0338105765829501</v>
      </c>
    </row>
    <row r="103" ht="15.5" spans="21:47">
      <c r="U103" s="35"/>
      <c r="V103" s="50" t="s">
        <v>429</v>
      </c>
      <c r="W103" s="36">
        <f t="shared" ref="W103:AC103" si="266" xml:space="preserve">W37</f>
        <v>0.0870304867778339</v>
      </c>
      <c r="X103" s="36">
        <f t="shared" si="266"/>
        <v>0.0843627031650984</v>
      </c>
      <c r="Y103" s="36">
        <f t="shared" si="266"/>
        <v>0.0874439461883408</v>
      </c>
      <c r="Z103" s="36">
        <f t="shared" si="266"/>
        <v>0.0881918119787718</v>
      </c>
      <c r="AA103" s="36">
        <f t="shared" si="266"/>
        <v>0.0922245012120082</v>
      </c>
      <c r="AB103" s="36">
        <f t="shared" si="266"/>
        <v>0.0733634311512415</v>
      </c>
      <c r="AC103" s="36">
        <f t="shared" si="266"/>
        <v>0.0862221436151397</v>
      </c>
      <c r="AD103" s="36"/>
      <c r="AE103" s="36"/>
      <c r="AF103" s="36">
        <f t="shared" ref="AF103:AL103" si="267" xml:space="preserve">AF37</f>
        <v>0.0870304867778339</v>
      </c>
      <c r="AG103" s="36">
        <f t="shared" si="267"/>
        <v>0.0843627031650984</v>
      </c>
      <c r="AH103" s="36">
        <f t="shared" si="267"/>
        <v>0.0874439461883408</v>
      </c>
      <c r="AI103" s="36">
        <f t="shared" si="267"/>
        <v>0.0881918119787718</v>
      </c>
      <c r="AJ103" s="36">
        <f t="shared" si="267"/>
        <v>0.0922245012120082</v>
      </c>
      <c r="AK103" s="36">
        <f t="shared" si="267"/>
        <v>0.0843679458239278</v>
      </c>
      <c r="AL103" s="36">
        <f t="shared" si="267"/>
        <v>0.0991554651574107</v>
      </c>
      <c r="AM103" s="36"/>
      <c r="AN103" s="36"/>
      <c r="AO103" s="36">
        <f t="shared" ref="AO103:AU103" si="268" xml:space="preserve">AO37</f>
        <v>0.0870304867778339</v>
      </c>
      <c r="AP103" s="36">
        <f t="shared" si="268"/>
        <v>0.0843627031650984</v>
      </c>
      <c r="AQ103" s="36">
        <f t="shared" si="268"/>
        <v>0.0874439461883408</v>
      </c>
      <c r="AR103" s="36">
        <f t="shared" si="268"/>
        <v>0.0881918119787718</v>
      </c>
      <c r="AS103" s="36">
        <f t="shared" si="268"/>
        <v>0.0922245012120082</v>
      </c>
      <c r="AT103" s="36">
        <f t="shared" si="268"/>
        <v>0.0623589164785553</v>
      </c>
      <c r="AU103" s="36">
        <f t="shared" si="268"/>
        <v>0.0732888220728688</v>
      </c>
    </row>
    <row r="104" ht="15.5" spans="21:47">
      <c r="U104" s="35"/>
      <c r="V104" s="50" t="s">
        <v>430</v>
      </c>
      <c r="W104" s="36">
        <f t="shared" ref="W104:AC104" si="269" xml:space="preserve">W38</f>
        <v>0.0133569142664645</v>
      </c>
      <c r="X104" s="36">
        <f t="shared" si="269"/>
        <v>0.0131907613344739</v>
      </c>
      <c r="Y104" s="36">
        <f t="shared" si="269"/>
        <v>0.0137399103139013</v>
      </c>
      <c r="Z104" s="36">
        <f t="shared" si="269"/>
        <v>0.0141015921152388</v>
      </c>
      <c r="AA104" s="36">
        <f t="shared" si="269"/>
        <v>0.0143016968114861</v>
      </c>
      <c r="AB104" s="36">
        <f t="shared" si="269"/>
        <v>0.0115274642588412</v>
      </c>
      <c r="AC104" s="36">
        <f t="shared" si="269"/>
        <v>0.0135479306685532</v>
      </c>
      <c r="AD104" s="36"/>
      <c r="AE104" s="36"/>
      <c r="AF104" s="36">
        <f t="shared" ref="AF104:AL104" si="270" xml:space="preserve">AF38</f>
        <v>0.0133569142664645</v>
      </c>
      <c r="AG104" s="36">
        <f t="shared" si="270"/>
        <v>0.0131907613344739</v>
      </c>
      <c r="AH104" s="36">
        <f t="shared" si="270"/>
        <v>0.0137399103139013</v>
      </c>
      <c r="AI104" s="36">
        <f t="shared" si="270"/>
        <v>0.0141015921152388</v>
      </c>
      <c r="AJ104" s="36">
        <f t="shared" si="270"/>
        <v>0.0143016968114861</v>
      </c>
      <c r="AK104" s="36">
        <f t="shared" si="270"/>
        <v>0.0132565838976674</v>
      </c>
      <c r="AL104" s="36">
        <f t="shared" si="270"/>
        <v>0.0155801202688362</v>
      </c>
      <c r="AM104" s="36"/>
      <c r="AN104" s="36"/>
      <c r="AO104" s="36">
        <f t="shared" ref="AO104:AU104" si="271" xml:space="preserve">AO38</f>
        <v>0.0133569142664645</v>
      </c>
      <c r="AP104" s="36">
        <f t="shared" si="271"/>
        <v>0.0131907613344739</v>
      </c>
      <c r="AQ104" s="36">
        <f t="shared" si="271"/>
        <v>0.0137399103139013</v>
      </c>
      <c r="AR104" s="36">
        <f t="shared" si="271"/>
        <v>0.0141015921152388</v>
      </c>
      <c r="AS104" s="36">
        <f t="shared" si="271"/>
        <v>0.0143016968114861</v>
      </c>
      <c r="AT104" s="36">
        <f t="shared" si="271"/>
        <v>0.00979834462001505</v>
      </c>
      <c r="AU104" s="36">
        <f t="shared" si="271"/>
        <v>0.0115157410682703</v>
      </c>
    </row>
    <row r="105" ht="15.5" spans="21:47">
      <c r="U105" s="35" t="s">
        <v>431</v>
      </c>
      <c r="V105" s="50" t="s">
        <v>182</v>
      </c>
      <c r="W105" s="52">
        <f t="shared" ref="W105:AC105" si="272" xml:space="preserve">W101</f>
        <v>0.011840997136601</v>
      </c>
      <c r="X105" s="52">
        <f t="shared" si="272"/>
        <v>0.011377245508982</v>
      </c>
      <c r="Y105" s="52">
        <f t="shared" si="272"/>
        <v>0.0117668161434977</v>
      </c>
      <c r="Z105" s="52">
        <f t="shared" si="272"/>
        <v>0.0120924943138741</v>
      </c>
      <c r="AA105" s="52">
        <f t="shared" si="272"/>
        <v>0.0122878985642364</v>
      </c>
      <c r="AB105" s="52">
        <f t="shared" si="272"/>
        <v>0.00987208427389014</v>
      </c>
      <c r="AC105" s="52">
        <f t="shared" si="272"/>
        <v>0.0116024053767244</v>
      </c>
      <c r="AD105" s="36"/>
      <c r="AE105" s="36"/>
      <c r="AF105" s="52">
        <f t="shared" ref="AF105:AL105" si="273" xml:space="preserve">AF101</f>
        <v>0.011840997136601</v>
      </c>
      <c r="AG105" s="52">
        <f t="shared" si="273"/>
        <v>0.011377245508982</v>
      </c>
      <c r="AH105" s="52">
        <f t="shared" si="273"/>
        <v>0.0117668161434977</v>
      </c>
      <c r="AI105" s="52">
        <f t="shared" si="273"/>
        <v>0.0120924943138741</v>
      </c>
      <c r="AJ105" s="52">
        <f t="shared" si="273"/>
        <v>0.0122878985642364</v>
      </c>
      <c r="AK105" s="52">
        <f t="shared" si="273"/>
        <v>0.0113528969149737</v>
      </c>
      <c r="AL105" s="52">
        <f t="shared" si="273"/>
        <v>0.0133427661832331</v>
      </c>
      <c r="AM105" s="36"/>
      <c r="AN105" s="36"/>
      <c r="AO105" s="52">
        <f t="shared" ref="AO105:AU105" si="274" xml:space="preserve">AO101</f>
        <v>0.011840997136601</v>
      </c>
      <c r="AP105" s="52">
        <f t="shared" si="274"/>
        <v>0.011377245508982</v>
      </c>
      <c r="AQ105" s="52">
        <f t="shared" si="274"/>
        <v>0.0117668161434977</v>
      </c>
      <c r="AR105" s="52">
        <f t="shared" si="274"/>
        <v>0.0120924943138741</v>
      </c>
      <c r="AS105" s="52">
        <f t="shared" si="274"/>
        <v>0.0122878985642364</v>
      </c>
      <c r="AT105" s="52">
        <f t="shared" si="274"/>
        <v>0.00839127163280662</v>
      </c>
      <c r="AU105" s="52">
        <f t="shared" si="274"/>
        <v>0.00986204457021578</v>
      </c>
    </row>
    <row r="106" ht="15.5" spans="21:47">
      <c r="U106" s="35"/>
      <c r="V106" s="51" t="s">
        <v>428</v>
      </c>
      <c r="W106" s="52">
        <f t="shared" ref="W106:AC106" si="275" xml:space="preserve">W102</f>
        <v>0.0404413003200269</v>
      </c>
      <c r="X106" s="52">
        <f t="shared" si="275"/>
        <v>0.0389734816082122</v>
      </c>
      <c r="Y106" s="52">
        <f t="shared" si="275"/>
        <v>0.0403408071748879</v>
      </c>
      <c r="Z106" s="52">
        <f t="shared" si="275"/>
        <v>0.0420204700530705</v>
      </c>
      <c r="AA106" s="52">
        <f t="shared" si="275"/>
        <v>0.0428118590341227</v>
      </c>
      <c r="AB106" s="52">
        <f t="shared" si="275"/>
        <v>0.0338449962377728</v>
      </c>
      <c r="AC106" s="52">
        <f t="shared" si="275"/>
        <v>0.0397771489211178</v>
      </c>
      <c r="AD106" s="36"/>
      <c r="AE106" s="36"/>
      <c r="AF106" s="52">
        <f t="shared" ref="AF106:AL106" si="276" xml:space="preserve">AF102</f>
        <v>0.0404413003200269</v>
      </c>
      <c r="AG106" s="52">
        <f t="shared" si="276"/>
        <v>0.0389734816082122</v>
      </c>
      <c r="AH106" s="52">
        <f t="shared" si="276"/>
        <v>0.0403408071748879</v>
      </c>
      <c r="AI106" s="52">
        <f t="shared" si="276"/>
        <v>0.0420204700530705</v>
      </c>
      <c r="AJ106" s="52">
        <f t="shared" si="276"/>
        <v>0.0428118590341227</v>
      </c>
      <c r="AK106" s="52">
        <f t="shared" si="276"/>
        <v>0.0389217456734387</v>
      </c>
      <c r="AL106" s="52">
        <f t="shared" si="276"/>
        <v>0.0457437212592855</v>
      </c>
      <c r="AM106" s="36"/>
      <c r="AN106" s="36"/>
      <c r="AO106" s="52">
        <f t="shared" ref="AO106:AU106" si="277" xml:space="preserve">AO102</f>
        <v>0.0404413003200269</v>
      </c>
      <c r="AP106" s="52">
        <f t="shared" si="277"/>
        <v>0.0389734816082122</v>
      </c>
      <c r="AQ106" s="52">
        <f t="shared" si="277"/>
        <v>0.0403408071748879</v>
      </c>
      <c r="AR106" s="52">
        <f t="shared" si="277"/>
        <v>0.0420204700530705</v>
      </c>
      <c r="AS106" s="52">
        <f t="shared" si="277"/>
        <v>0.0428118590341227</v>
      </c>
      <c r="AT106" s="52">
        <f t="shared" si="277"/>
        <v>0.0287682468021069</v>
      </c>
      <c r="AU106" s="52">
        <f t="shared" si="277"/>
        <v>0.0338105765829501</v>
      </c>
    </row>
    <row r="107" ht="15.5" spans="21:47">
      <c r="U107" s="35"/>
      <c r="V107" s="50" t="s">
        <v>429</v>
      </c>
      <c r="W107" s="52">
        <f t="shared" ref="W107:AC107" si="278" xml:space="preserve">W103</f>
        <v>0.0870304867778339</v>
      </c>
      <c r="X107" s="52">
        <f t="shared" si="278"/>
        <v>0.0843627031650984</v>
      </c>
      <c r="Y107" s="52">
        <f t="shared" si="278"/>
        <v>0.0874439461883408</v>
      </c>
      <c r="Z107" s="52">
        <f t="shared" si="278"/>
        <v>0.0881918119787718</v>
      </c>
      <c r="AA107" s="52">
        <f t="shared" si="278"/>
        <v>0.0922245012120082</v>
      </c>
      <c r="AB107" s="52">
        <f t="shared" si="278"/>
        <v>0.0733634311512415</v>
      </c>
      <c r="AC107" s="52">
        <f t="shared" si="278"/>
        <v>0.0862221436151397</v>
      </c>
      <c r="AD107" s="36"/>
      <c r="AE107" s="36"/>
      <c r="AF107" s="52">
        <f t="shared" ref="AF107:AL107" si="279" xml:space="preserve">AF103</f>
        <v>0.0870304867778339</v>
      </c>
      <c r="AG107" s="52">
        <f t="shared" si="279"/>
        <v>0.0843627031650984</v>
      </c>
      <c r="AH107" s="52">
        <f t="shared" si="279"/>
        <v>0.0874439461883408</v>
      </c>
      <c r="AI107" s="52">
        <f t="shared" si="279"/>
        <v>0.0881918119787718</v>
      </c>
      <c r="AJ107" s="52">
        <f t="shared" si="279"/>
        <v>0.0922245012120082</v>
      </c>
      <c r="AK107" s="52">
        <f t="shared" si="279"/>
        <v>0.0843679458239278</v>
      </c>
      <c r="AL107" s="52">
        <f t="shared" si="279"/>
        <v>0.0991554651574107</v>
      </c>
      <c r="AM107" s="36"/>
      <c r="AN107" s="36"/>
      <c r="AO107" s="52">
        <f t="shared" ref="AO107:AU107" si="280" xml:space="preserve">AO103</f>
        <v>0.0870304867778339</v>
      </c>
      <c r="AP107" s="52">
        <f t="shared" si="280"/>
        <v>0.0843627031650984</v>
      </c>
      <c r="AQ107" s="52">
        <f t="shared" si="280"/>
        <v>0.0874439461883408</v>
      </c>
      <c r="AR107" s="52">
        <f t="shared" si="280"/>
        <v>0.0881918119787718</v>
      </c>
      <c r="AS107" s="52">
        <f t="shared" si="280"/>
        <v>0.0922245012120082</v>
      </c>
      <c r="AT107" s="52">
        <f t="shared" si="280"/>
        <v>0.0623589164785553</v>
      </c>
      <c r="AU107" s="52">
        <f t="shared" si="280"/>
        <v>0.0732888220728688</v>
      </c>
    </row>
    <row r="108" ht="15.5" spans="21:47">
      <c r="U108" s="35"/>
      <c r="V108" s="50" t="s">
        <v>430</v>
      </c>
      <c r="W108" s="52">
        <f t="shared" ref="W108:AC108" si="281" xml:space="preserve">W104</f>
        <v>0.0133569142664645</v>
      </c>
      <c r="X108" s="52">
        <f t="shared" si="281"/>
        <v>0.0131907613344739</v>
      </c>
      <c r="Y108" s="52">
        <f t="shared" si="281"/>
        <v>0.0137399103139013</v>
      </c>
      <c r="Z108" s="52">
        <f t="shared" si="281"/>
        <v>0.0141015921152388</v>
      </c>
      <c r="AA108" s="52">
        <f t="shared" si="281"/>
        <v>0.0143016968114861</v>
      </c>
      <c r="AB108" s="52">
        <f t="shared" si="281"/>
        <v>0.0115274642588412</v>
      </c>
      <c r="AC108" s="52">
        <f t="shared" si="281"/>
        <v>0.0135479306685532</v>
      </c>
      <c r="AD108" s="36"/>
      <c r="AE108" s="36"/>
      <c r="AF108" s="52">
        <f t="shared" ref="AF108:AL108" si="282" xml:space="preserve">AF104</f>
        <v>0.0133569142664645</v>
      </c>
      <c r="AG108" s="52">
        <f t="shared" si="282"/>
        <v>0.0131907613344739</v>
      </c>
      <c r="AH108" s="52">
        <f t="shared" si="282"/>
        <v>0.0137399103139013</v>
      </c>
      <c r="AI108" s="52">
        <f t="shared" si="282"/>
        <v>0.0141015921152388</v>
      </c>
      <c r="AJ108" s="52">
        <f t="shared" si="282"/>
        <v>0.0143016968114861</v>
      </c>
      <c r="AK108" s="52">
        <f t="shared" si="282"/>
        <v>0.0132565838976674</v>
      </c>
      <c r="AL108" s="52">
        <f t="shared" si="282"/>
        <v>0.0155801202688362</v>
      </c>
      <c r="AM108" s="36"/>
      <c r="AN108" s="36"/>
      <c r="AO108" s="52">
        <f t="shared" ref="AO108:AU108" si="283" xml:space="preserve">AO104</f>
        <v>0.0133569142664645</v>
      </c>
      <c r="AP108" s="52">
        <f t="shared" si="283"/>
        <v>0.0131907613344739</v>
      </c>
      <c r="AQ108" s="52">
        <f t="shared" si="283"/>
        <v>0.0137399103139013</v>
      </c>
      <c r="AR108" s="52">
        <f t="shared" si="283"/>
        <v>0.0141015921152388</v>
      </c>
      <c r="AS108" s="52">
        <f t="shared" si="283"/>
        <v>0.0143016968114861</v>
      </c>
      <c r="AT108" s="52">
        <f t="shared" si="283"/>
        <v>0.00979834462001505</v>
      </c>
      <c r="AU108" s="52">
        <f t="shared" si="283"/>
        <v>0.0115157410682703</v>
      </c>
    </row>
    <row r="112" ht="15.5" spans="21:47">
      <c r="U112" s="36"/>
      <c r="V112" s="36"/>
      <c r="W112" s="36" t="s">
        <v>398</v>
      </c>
      <c r="X112" s="36" t="s">
        <v>399</v>
      </c>
      <c r="Y112" s="40" t="s">
        <v>400</v>
      </c>
      <c r="Z112" s="36" t="s">
        <v>401</v>
      </c>
      <c r="AA112" s="36" t="s">
        <v>402</v>
      </c>
      <c r="AB112" s="42" t="s">
        <v>403</v>
      </c>
      <c r="AC112" s="42" t="s">
        <v>404</v>
      </c>
      <c r="AD112" s="36"/>
      <c r="AE112" s="36"/>
      <c r="AF112" s="36" t="s">
        <v>398</v>
      </c>
      <c r="AG112" s="36" t="s">
        <v>399</v>
      </c>
      <c r="AH112" s="40" t="s">
        <v>400</v>
      </c>
      <c r="AI112" s="36" t="s">
        <v>401</v>
      </c>
      <c r="AJ112" s="36" t="s">
        <v>402</v>
      </c>
      <c r="AK112" s="42" t="s">
        <v>403</v>
      </c>
      <c r="AL112" s="42" t="s">
        <v>404</v>
      </c>
      <c r="AM112" s="36"/>
      <c r="AN112" s="36"/>
      <c r="AO112" s="36" t="s">
        <v>398</v>
      </c>
      <c r="AP112" s="36" t="s">
        <v>399</v>
      </c>
      <c r="AQ112" s="40" t="s">
        <v>400</v>
      </c>
      <c r="AR112" s="36" t="s">
        <v>401</v>
      </c>
      <c r="AS112" s="36" t="s">
        <v>402</v>
      </c>
      <c r="AT112" s="42" t="s">
        <v>403</v>
      </c>
      <c r="AU112" s="42" t="s">
        <v>404</v>
      </c>
    </row>
    <row r="113" spans="21:47">
      <c r="U113" s="35" t="s">
        <v>405</v>
      </c>
      <c r="V113" s="50" t="s">
        <v>182</v>
      </c>
      <c r="W113" s="1">
        <f t="shared" ref="W113:AC113" si="284" xml:space="preserve">W44-W45</f>
        <v>0.00788276907529056</v>
      </c>
      <c r="X113" s="1">
        <f t="shared" si="284"/>
        <v>0.00764756201881948</v>
      </c>
      <c r="Y113" s="1">
        <f t="shared" si="284"/>
        <v>0.00794618834080718</v>
      </c>
      <c r="Z113" s="1">
        <f t="shared" si="284"/>
        <v>0.00794162244124336</v>
      </c>
      <c r="AA113" s="1">
        <f t="shared" si="284"/>
        <v>0.00801790042886445</v>
      </c>
      <c r="AB113" s="1">
        <f t="shared" si="284"/>
        <v>0.00666666666666667</v>
      </c>
      <c r="AC113" s="1">
        <f t="shared" si="284"/>
        <v>0.00783516094800141</v>
      </c>
      <c r="AF113" s="1">
        <f t="shared" ref="AF113:AL113" si="285" xml:space="preserve">AF44-AF45</f>
        <v>0.00788276907529056</v>
      </c>
      <c r="AG113" s="1">
        <f t="shared" si="285"/>
        <v>0.00764756201881948</v>
      </c>
      <c r="AH113" s="1">
        <f t="shared" si="285"/>
        <v>0.00794618834080718</v>
      </c>
      <c r="AI113" s="1">
        <f t="shared" si="285"/>
        <v>0.00794162244124336</v>
      </c>
      <c r="AJ113" s="1">
        <f t="shared" si="285"/>
        <v>0.00801790042886445</v>
      </c>
      <c r="AK113" s="1">
        <f t="shared" si="285"/>
        <v>0.00766666666666667</v>
      </c>
      <c r="AL113" s="1">
        <f t="shared" si="285"/>
        <v>0.00901043509020162</v>
      </c>
      <c r="AO113" s="1">
        <f t="shared" ref="AO113:AU113" si="286" xml:space="preserve">AO44-AO45</f>
        <v>0.00788276907529056</v>
      </c>
      <c r="AP113" s="1">
        <f t="shared" si="286"/>
        <v>0.00764756201881948</v>
      </c>
      <c r="AQ113" s="1">
        <f t="shared" si="286"/>
        <v>0.00794618834080718</v>
      </c>
      <c r="AR113" s="1">
        <f t="shared" si="286"/>
        <v>0.00794162244124336</v>
      </c>
      <c r="AS113" s="1">
        <f t="shared" si="286"/>
        <v>0.00801790042886445</v>
      </c>
      <c r="AT113" s="1">
        <f t="shared" si="286"/>
        <v>0.00566666666666667</v>
      </c>
      <c r="AU113" s="1">
        <f t="shared" si="286"/>
        <v>0.00665988680580119</v>
      </c>
    </row>
    <row r="114" spans="21:47">
      <c r="U114" s="35"/>
      <c r="V114" s="51" t="s">
        <v>428</v>
      </c>
      <c r="W114" s="1">
        <f t="shared" ref="W114:AC114" si="287" xml:space="preserve">W46</f>
        <v>0.02011116725619</v>
      </c>
      <c r="X114" s="1">
        <f t="shared" si="287"/>
        <v>0.0195038494439692</v>
      </c>
      <c r="Y114" s="1">
        <f t="shared" si="287"/>
        <v>0.0202152466367713</v>
      </c>
      <c r="Z114" s="1">
        <f t="shared" si="287"/>
        <v>0.0201099317664898</v>
      </c>
      <c r="AA114" s="1">
        <f t="shared" si="287"/>
        <v>0.0203990303934365</v>
      </c>
      <c r="AB114" s="1">
        <f t="shared" si="287"/>
        <v>0.0169601203912716</v>
      </c>
      <c r="AC114" s="1">
        <f t="shared" si="287"/>
        <v>0.0199327909444641</v>
      </c>
      <c r="AF114" s="1">
        <f t="shared" ref="AF114:AL114" si="288" xml:space="preserve">AF46</f>
        <v>0.02011116725619</v>
      </c>
      <c r="AG114" s="1">
        <f t="shared" si="288"/>
        <v>0.0195038494439692</v>
      </c>
      <c r="AH114" s="1">
        <f t="shared" si="288"/>
        <v>0.0202152466367713</v>
      </c>
      <c r="AI114" s="1">
        <f t="shared" si="288"/>
        <v>0.0201099317664898</v>
      </c>
      <c r="AJ114" s="1">
        <f t="shared" si="288"/>
        <v>0.0203990303934365</v>
      </c>
      <c r="AK114" s="1">
        <f t="shared" si="288"/>
        <v>0.0195041384499624</v>
      </c>
      <c r="AL114" s="1">
        <f t="shared" si="288"/>
        <v>0.0229227095861337</v>
      </c>
      <c r="AO114" s="1">
        <f t="shared" ref="AO114:AU114" si="289" xml:space="preserve">AO46</f>
        <v>0.02011116725619</v>
      </c>
      <c r="AP114" s="1">
        <f t="shared" si="289"/>
        <v>0.0195038494439692</v>
      </c>
      <c r="AQ114" s="1">
        <f t="shared" si="289"/>
        <v>0.0202152466367713</v>
      </c>
      <c r="AR114" s="1">
        <f t="shared" si="289"/>
        <v>0.0201099317664898</v>
      </c>
      <c r="AS114" s="1">
        <f t="shared" si="289"/>
        <v>0.0203990303934365</v>
      </c>
      <c r="AT114" s="1">
        <f t="shared" si="289"/>
        <v>0.0144161023325809</v>
      </c>
      <c r="AU114" s="1">
        <f t="shared" si="289"/>
        <v>0.0169428723027945</v>
      </c>
    </row>
    <row r="115" spans="21:47">
      <c r="U115" s="35"/>
      <c r="V115" s="50" t="s">
        <v>429</v>
      </c>
      <c r="W115" s="1">
        <f t="shared" ref="W115:AC115" si="290" xml:space="preserve">W47</f>
        <v>0.0641232945932289</v>
      </c>
      <c r="X115" s="1">
        <f t="shared" si="290"/>
        <v>0.0633532934131737</v>
      </c>
      <c r="Y115" s="1">
        <f t="shared" si="290"/>
        <v>0.0659910313901345</v>
      </c>
      <c r="Z115" s="1">
        <f t="shared" si="290"/>
        <v>0.0673237300985595</v>
      </c>
      <c r="AA115" s="1">
        <f t="shared" si="290"/>
        <v>0.0673690098825284</v>
      </c>
      <c r="AB115" s="1">
        <f t="shared" si="290"/>
        <v>0.055364936042137</v>
      </c>
      <c r="AC115" s="1">
        <f t="shared" si="290"/>
        <v>0.0650689777148921</v>
      </c>
      <c r="AF115" s="1">
        <f t="shared" ref="AF115:AL115" si="291" xml:space="preserve">AF47</f>
        <v>0.0641232945932289</v>
      </c>
      <c r="AG115" s="1">
        <f t="shared" si="291"/>
        <v>0.0633532934131737</v>
      </c>
      <c r="AH115" s="1">
        <f t="shared" si="291"/>
        <v>0.0659910313901345</v>
      </c>
      <c r="AI115" s="1">
        <f t="shared" si="291"/>
        <v>0.0673237300985595</v>
      </c>
      <c r="AJ115" s="1">
        <f t="shared" si="291"/>
        <v>0.0673690098825284</v>
      </c>
      <c r="AK115" s="1">
        <f t="shared" si="291"/>
        <v>0.0636696764484575</v>
      </c>
      <c r="AL115" s="1">
        <f t="shared" si="291"/>
        <v>0.0748293243721259</v>
      </c>
      <c r="AO115" s="1">
        <f t="shared" ref="AO115:AU115" si="292" xml:space="preserve">AO47</f>
        <v>0.0641232945932289</v>
      </c>
      <c r="AP115" s="1">
        <f t="shared" si="292"/>
        <v>0.0633532934131737</v>
      </c>
      <c r="AQ115" s="1">
        <f t="shared" si="292"/>
        <v>0.0659910313901345</v>
      </c>
      <c r="AR115" s="1">
        <f t="shared" si="292"/>
        <v>0.0673237300985595</v>
      </c>
      <c r="AS115" s="1">
        <f t="shared" si="292"/>
        <v>0.0673690098825284</v>
      </c>
      <c r="AT115" s="1">
        <f t="shared" si="292"/>
        <v>0.0470601956358164</v>
      </c>
      <c r="AU115" s="1">
        <f t="shared" si="292"/>
        <v>0.0553086310576583</v>
      </c>
    </row>
    <row r="116" spans="21:47">
      <c r="U116" s="35"/>
      <c r="V116" s="50" t="s">
        <v>430</v>
      </c>
      <c r="W116" s="1">
        <f t="shared" ref="W116:AC116" si="293" xml:space="preserve">W48</f>
        <v>0.0129695132221661</v>
      </c>
      <c r="X116" s="1">
        <f t="shared" si="293"/>
        <v>0.012814371257485</v>
      </c>
      <c r="Y116" s="1">
        <f t="shared" si="293"/>
        <v>0.0133452914798206</v>
      </c>
      <c r="Z116" s="1">
        <f t="shared" si="293"/>
        <v>0.0135898407884761</v>
      </c>
      <c r="AA116" s="1">
        <f t="shared" si="293"/>
        <v>0.0136304307290695</v>
      </c>
      <c r="AB116" s="1">
        <f t="shared" si="293"/>
        <v>0.011196388261851</v>
      </c>
      <c r="AC116" s="1">
        <f t="shared" si="293"/>
        <v>0.0131588256101875</v>
      </c>
      <c r="AF116" s="1">
        <f t="shared" ref="AF116:AL116" si="294" xml:space="preserve">AF48</f>
        <v>0.0129695132221661</v>
      </c>
      <c r="AG116" s="1">
        <f t="shared" si="294"/>
        <v>0.012814371257485</v>
      </c>
      <c r="AH116" s="1">
        <f t="shared" si="294"/>
        <v>0.0133452914798206</v>
      </c>
      <c r="AI116" s="1">
        <f t="shared" si="294"/>
        <v>0.0135898407884761</v>
      </c>
      <c r="AJ116" s="1">
        <f t="shared" si="294"/>
        <v>0.0136304307290695</v>
      </c>
      <c r="AK116" s="1">
        <f t="shared" si="294"/>
        <v>0.0128758465011287</v>
      </c>
      <c r="AL116" s="1">
        <f t="shared" si="294"/>
        <v>0.0151326494517156</v>
      </c>
      <c r="AO116" s="1">
        <f t="shared" ref="AO116:AU116" si="295" xml:space="preserve">AO48</f>
        <v>0.0129695132221661</v>
      </c>
      <c r="AP116" s="1">
        <f t="shared" si="295"/>
        <v>0.012814371257485</v>
      </c>
      <c r="AQ116" s="1">
        <f t="shared" si="295"/>
        <v>0.0133452914798206</v>
      </c>
      <c r="AR116" s="1">
        <f t="shared" si="295"/>
        <v>0.0135898407884761</v>
      </c>
      <c r="AS116" s="1">
        <f t="shared" si="295"/>
        <v>0.0136304307290695</v>
      </c>
      <c r="AT116" s="1">
        <f t="shared" si="295"/>
        <v>0.00951693002257336</v>
      </c>
      <c r="AU116" s="1">
        <f t="shared" si="295"/>
        <v>0.0111850017686594</v>
      </c>
    </row>
    <row r="117" spans="21:47">
      <c r="U117" s="35" t="s">
        <v>301</v>
      </c>
      <c r="V117" s="50" t="s">
        <v>182</v>
      </c>
      <c r="W117" s="1">
        <f t="shared" ref="W117:AC117" si="296" xml:space="preserve">W49-W50</f>
        <v>0.0077648644096345</v>
      </c>
      <c r="X117" s="1">
        <f t="shared" si="296"/>
        <v>0.00754491017964072</v>
      </c>
      <c r="Y117" s="1">
        <f t="shared" si="296"/>
        <v>0.00782062780269058</v>
      </c>
      <c r="Z117" s="1">
        <f t="shared" si="296"/>
        <v>0.00780894617134195</v>
      </c>
      <c r="AA117" s="1">
        <f t="shared" si="296"/>
        <v>0.00788737646839455</v>
      </c>
      <c r="AB117" s="1">
        <f t="shared" si="296"/>
        <v>0.00656132430398797</v>
      </c>
      <c r="AC117" s="1">
        <f t="shared" si="296"/>
        <v>0.00771135479306685</v>
      </c>
      <c r="AF117" s="1">
        <f t="shared" ref="AF117:AL117" si="297" xml:space="preserve">AF49-AF50</f>
        <v>0.0077648644096345</v>
      </c>
      <c r="AG117" s="1">
        <f t="shared" si="297"/>
        <v>0.00754491017964072</v>
      </c>
      <c r="AH117" s="1">
        <f t="shared" si="297"/>
        <v>0.00782062780269058</v>
      </c>
      <c r="AI117" s="1">
        <f t="shared" si="297"/>
        <v>0.00780894617134195</v>
      </c>
      <c r="AJ117" s="1">
        <f t="shared" si="297"/>
        <v>0.00788737646839455</v>
      </c>
      <c r="AK117" s="1">
        <f t="shared" si="297"/>
        <v>0.00754552294958616</v>
      </c>
      <c r="AL117" s="1">
        <f t="shared" si="297"/>
        <v>0.00886805801202688</v>
      </c>
      <c r="AO117" s="1">
        <f t="shared" ref="AO117:AU117" si="298" xml:space="preserve">AO49-AO50</f>
        <v>0.0077648644096345</v>
      </c>
      <c r="AP117" s="1">
        <f t="shared" si="298"/>
        <v>0.00754491017964072</v>
      </c>
      <c r="AQ117" s="1">
        <f t="shared" si="298"/>
        <v>0.00782062780269058</v>
      </c>
      <c r="AR117" s="1">
        <f t="shared" si="298"/>
        <v>0.00780894617134195</v>
      </c>
      <c r="AS117" s="1">
        <f t="shared" si="298"/>
        <v>0.00788737646839455</v>
      </c>
      <c r="AT117" s="1">
        <f t="shared" si="298"/>
        <v>0.00557712565838978</v>
      </c>
      <c r="AU117" s="1">
        <f t="shared" si="298"/>
        <v>0.00655465157410683</v>
      </c>
    </row>
    <row r="118" spans="21:47">
      <c r="U118" s="35"/>
      <c r="V118" s="51" t="s">
        <v>428</v>
      </c>
      <c r="W118" s="1">
        <f t="shared" ref="W118:AC118" si="299" xml:space="preserve">W51</f>
        <v>0.0246420751221155</v>
      </c>
      <c r="X118" s="1">
        <f t="shared" si="299"/>
        <v>0.023917878528657</v>
      </c>
      <c r="Y118" s="1">
        <f t="shared" si="299"/>
        <v>0.0248071748878924</v>
      </c>
      <c r="Z118" s="1">
        <f t="shared" si="299"/>
        <v>0.0247156937073541</v>
      </c>
      <c r="AA118" s="1">
        <f t="shared" si="299"/>
        <v>0.025041954130151</v>
      </c>
      <c r="AB118" s="1">
        <f t="shared" si="299"/>
        <v>0.0208126410835214</v>
      </c>
      <c r="AC118" s="1">
        <f t="shared" si="299"/>
        <v>0.0244605588963566</v>
      </c>
      <c r="AF118" s="1">
        <f t="shared" ref="AF118:AL118" si="300" xml:space="preserve">AF51</f>
        <v>0.0246420751221155</v>
      </c>
      <c r="AG118" s="1">
        <f t="shared" si="300"/>
        <v>0.023917878528657</v>
      </c>
      <c r="AH118" s="1">
        <f t="shared" si="300"/>
        <v>0.0248071748878924</v>
      </c>
      <c r="AI118" s="1">
        <f t="shared" si="300"/>
        <v>0.0247156937073541</v>
      </c>
      <c r="AJ118" s="1">
        <f t="shared" si="300"/>
        <v>0.025041954130151</v>
      </c>
      <c r="AK118" s="1">
        <f t="shared" si="300"/>
        <v>0.0239345372460497</v>
      </c>
      <c r="AL118" s="1">
        <f t="shared" si="300"/>
        <v>0.02812964273081</v>
      </c>
      <c r="AO118" s="1">
        <f t="shared" ref="AO118:AU118" si="301" xml:space="preserve">AO51</f>
        <v>0.0246420751221155</v>
      </c>
      <c r="AP118" s="1">
        <f t="shared" si="301"/>
        <v>0.023917878528657</v>
      </c>
      <c r="AQ118" s="1">
        <f t="shared" si="301"/>
        <v>0.0248071748878924</v>
      </c>
      <c r="AR118" s="1">
        <f t="shared" si="301"/>
        <v>0.0247156937073541</v>
      </c>
      <c r="AS118" s="1">
        <f t="shared" si="301"/>
        <v>0.025041954130151</v>
      </c>
      <c r="AT118" s="1">
        <f t="shared" si="301"/>
        <v>0.0176907449209932</v>
      </c>
      <c r="AU118" s="1">
        <f t="shared" si="301"/>
        <v>0.0207914750619031</v>
      </c>
    </row>
    <row r="119" ht="15.5" spans="21:47">
      <c r="U119" s="35"/>
      <c r="V119" s="50" t="s">
        <v>429</v>
      </c>
      <c r="W119" s="1">
        <f t="shared" ref="W119:AC119" si="302" xml:space="preserve">W52</f>
        <v>0.0613609567121442</v>
      </c>
      <c r="X119" s="1">
        <f t="shared" si="302"/>
        <v>0.0606672369546621</v>
      </c>
      <c r="Y119" s="1">
        <f t="shared" si="302"/>
        <v>0.0631928251121076</v>
      </c>
      <c r="Z119" s="1">
        <f t="shared" si="302"/>
        <v>0.0645185746777862</v>
      </c>
      <c r="AA119" s="1">
        <f t="shared" si="302"/>
        <v>0.0645534215923923</v>
      </c>
      <c r="AB119" s="1">
        <f t="shared" si="302"/>
        <v>0.0530173062452972</v>
      </c>
      <c r="AC119" s="1">
        <f t="shared" si="302"/>
        <v>0.0623098691192076</v>
      </c>
      <c r="AD119" s="36"/>
      <c r="AE119" s="36"/>
      <c r="AF119" s="1">
        <f t="shared" ref="AF119:AL119" si="303" xml:space="preserve">AF52</f>
        <v>0.0613609567121442</v>
      </c>
      <c r="AG119" s="1">
        <f t="shared" si="303"/>
        <v>0.0606672369546621</v>
      </c>
      <c r="AH119" s="1">
        <f t="shared" si="303"/>
        <v>0.0631928251121076</v>
      </c>
      <c r="AI119" s="1">
        <f t="shared" si="303"/>
        <v>0.0645185746777862</v>
      </c>
      <c r="AJ119" s="1">
        <f t="shared" si="303"/>
        <v>0.0645534215923923</v>
      </c>
      <c r="AK119" s="1">
        <f t="shared" si="303"/>
        <v>0.0609699021820918</v>
      </c>
      <c r="AL119" s="1">
        <f t="shared" si="303"/>
        <v>0.0716563494870888</v>
      </c>
      <c r="AM119" s="36"/>
      <c r="AN119" s="36"/>
      <c r="AO119" s="1">
        <f t="shared" ref="AO119:AU119" si="304" xml:space="preserve">AO52</f>
        <v>0.0613609567121442</v>
      </c>
      <c r="AP119" s="1">
        <f t="shared" si="304"/>
        <v>0.0606672369546621</v>
      </c>
      <c r="AQ119" s="1">
        <f t="shared" si="304"/>
        <v>0.0631928251121076</v>
      </c>
      <c r="AR119" s="1">
        <f t="shared" si="304"/>
        <v>0.0645185746777862</v>
      </c>
      <c r="AS119" s="1">
        <f t="shared" si="304"/>
        <v>0.0645534215923923</v>
      </c>
      <c r="AT119" s="1">
        <f t="shared" si="304"/>
        <v>0.0450647103085026</v>
      </c>
      <c r="AU119" s="1">
        <f t="shared" si="304"/>
        <v>0.0529633887513265</v>
      </c>
    </row>
    <row r="120" ht="15.5" spans="21:47">
      <c r="U120" s="35"/>
      <c r="V120" s="50" t="s">
        <v>430</v>
      </c>
      <c r="W120" s="1">
        <f t="shared" ref="W120:AC120" si="305" xml:space="preserve">W53</f>
        <v>0.0133232272191342</v>
      </c>
      <c r="X120" s="1">
        <f t="shared" si="305"/>
        <v>0.0131736526946108</v>
      </c>
      <c r="Y120" s="1">
        <f t="shared" si="305"/>
        <v>0.0137219730941704</v>
      </c>
      <c r="Z120" s="1">
        <f t="shared" si="305"/>
        <v>0.0139689158453374</v>
      </c>
      <c r="AA120" s="1">
        <f t="shared" si="305"/>
        <v>0.0140033563304121</v>
      </c>
      <c r="AB120" s="1">
        <f t="shared" si="305"/>
        <v>0.0115124153498871</v>
      </c>
      <c r="AC120" s="1">
        <f t="shared" si="305"/>
        <v>0.0135302440749912</v>
      </c>
      <c r="AD120" s="36"/>
      <c r="AE120" s="36"/>
      <c r="AF120" s="1">
        <f t="shared" ref="AF120:AL120" si="306" xml:space="preserve">AF53</f>
        <v>0.0133232272191342</v>
      </c>
      <c r="AG120" s="1">
        <f t="shared" si="306"/>
        <v>0.0131736526946108</v>
      </c>
      <c r="AH120" s="1">
        <f t="shared" si="306"/>
        <v>0.0137219730941704</v>
      </c>
      <c r="AI120" s="1">
        <f t="shared" si="306"/>
        <v>0.0139689158453374</v>
      </c>
      <c r="AJ120" s="1">
        <f t="shared" si="306"/>
        <v>0.0140033563304121</v>
      </c>
      <c r="AK120" s="1">
        <f t="shared" si="306"/>
        <v>0.0132392776523702</v>
      </c>
      <c r="AL120" s="1">
        <f t="shared" si="306"/>
        <v>0.0155597806862398</v>
      </c>
      <c r="AM120" s="36"/>
      <c r="AN120" s="36"/>
      <c r="AO120" s="1">
        <f t="shared" ref="AO120:AU120" si="307" xml:space="preserve">AO53</f>
        <v>0.0133232272191342</v>
      </c>
      <c r="AP120" s="1">
        <f t="shared" si="307"/>
        <v>0.0131736526946108</v>
      </c>
      <c r="AQ120" s="1">
        <f t="shared" si="307"/>
        <v>0.0137219730941704</v>
      </c>
      <c r="AR120" s="1">
        <f t="shared" si="307"/>
        <v>0.0139689158453374</v>
      </c>
      <c r="AS120" s="1">
        <f t="shared" si="307"/>
        <v>0.0140033563304121</v>
      </c>
      <c r="AT120" s="1">
        <f t="shared" si="307"/>
        <v>0.00978555304740406</v>
      </c>
      <c r="AU120" s="1">
        <f t="shared" si="307"/>
        <v>0.0115007074637425</v>
      </c>
    </row>
    <row r="121" ht="15.5" spans="21:47">
      <c r="U121" s="35" t="s">
        <v>431</v>
      </c>
      <c r="V121" s="50" t="s">
        <v>182</v>
      </c>
      <c r="W121" s="36">
        <f t="shared" ref="W121:AC121" si="308" xml:space="preserve">W54-W55</f>
        <v>0.00810173488293751</v>
      </c>
      <c r="X121" s="36">
        <f t="shared" si="308"/>
        <v>0.00786997433704022</v>
      </c>
      <c r="Y121" s="36">
        <f t="shared" si="308"/>
        <v>0.00817937219730942</v>
      </c>
      <c r="Z121" s="36">
        <f t="shared" si="308"/>
        <v>0.00816906747536013</v>
      </c>
      <c r="AA121" s="36">
        <f t="shared" si="308"/>
        <v>0.00826030206973706</v>
      </c>
      <c r="AB121" s="36">
        <f t="shared" si="308"/>
        <v>0.00686230248306997</v>
      </c>
      <c r="AC121" s="36">
        <f t="shared" si="308"/>
        <v>0.00806508666430845</v>
      </c>
      <c r="AD121" s="36"/>
      <c r="AE121" s="36"/>
      <c r="AF121" s="36">
        <f t="shared" ref="AF121:AL121" si="309" xml:space="preserve">AF54-AF55</f>
        <v>0.00810173488293751</v>
      </c>
      <c r="AG121" s="36">
        <f t="shared" si="309"/>
        <v>0.00786997433704022</v>
      </c>
      <c r="AH121" s="36">
        <f t="shared" si="309"/>
        <v>0.00817937219730942</v>
      </c>
      <c r="AI121" s="36">
        <f t="shared" si="309"/>
        <v>0.00816906747536013</v>
      </c>
      <c r="AJ121" s="36">
        <f t="shared" si="309"/>
        <v>0.00826030206973706</v>
      </c>
      <c r="AK121" s="36">
        <f t="shared" si="309"/>
        <v>0.00789164785553047</v>
      </c>
      <c r="AL121" s="36">
        <f t="shared" si="309"/>
        <v>0.00927484966395473</v>
      </c>
      <c r="AM121" s="36"/>
      <c r="AN121" s="36"/>
      <c r="AO121" s="36">
        <f t="shared" ref="AO121:AU121" si="310" xml:space="preserve">AO54-AO55</f>
        <v>0.00810173488293751</v>
      </c>
      <c r="AP121" s="36">
        <f t="shared" si="310"/>
        <v>0.00786997433704022</v>
      </c>
      <c r="AQ121" s="36">
        <f t="shared" si="310"/>
        <v>0.00817937219730942</v>
      </c>
      <c r="AR121" s="36">
        <f t="shared" si="310"/>
        <v>0.00816906747536013</v>
      </c>
      <c r="AS121" s="36">
        <f t="shared" si="310"/>
        <v>0.00826030206973706</v>
      </c>
      <c r="AT121" s="36">
        <f t="shared" si="310"/>
        <v>0.00583295711060948</v>
      </c>
      <c r="AU121" s="36">
        <f t="shared" si="310"/>
        <v>0.00685532366466218</v>
      </c>
    </row>
    <row r="122" ht="15.5" spans="21:47">
      <c r="U122" s="35"/>
      <c r="V122" s="51" t="s">
        <v>428</v>
      </c>
      <c r="W122" s="36">
        <f t="shared" ref="W122:AC122" si="311" xml:space="preserve">W56</f>
        <v>0.0319690079164561</v>
      </c>
      <c r="X122" s="36">
        <f t="shared" si="311"/>
        <v>0.0310692899914457</v>
      </c>
      <c r="Y122" s="36">
        <f t="shared" si="311"/>
        <v>0.0322331838565022</v>
      </c>
      <c r="Z122" s="36">
        <f t="shared" si="311"/>
        <v>0.0321645185746778</v>
      </c>
      <c r="AA122" s="36">
        <f t="shared" si="311"/>
        <v>0.0325750512772702</v>
      </c>
      <c r="AB122" s="36">
        <f t="shared" si="311"/>
        <v>0.0270428893905192</v>
      </c>
      <c r="AC122" s="36">
        <f t="shared" si="311"/>
        <v>0.0317828086310577</v>
      </c>
      <c r="AD122" s="36"/>
      <c r="AE122" s="36"/>
      <c r="AF122" s="36">
        <f t="shared" ref="AF122:AL122" si="312" xml:space="preserve">AF56</f>
        <v>0.0319690079164561</v>
      </c>
      <c r="AG122" s="36">
        <f t="shared" si="312"/>
        <v>0.0310692899914457</v>
      </c>
      <c r="AH122" s="36">
        <f t="shared" si="312"/>
        <v>0.0322331838565022</v>
      </c>
      <c r="AI122" s="36">
        <f t="shared" si="312"/>
        <v>0.0321645185746778</v>
      </c>
      <c r="AJ122" s="36">
        <f t="shared" si="312"/>
        <v>0.0325750512772702</v>
      </c>
      <c r="AK122" s="36">
        <f t="shared" si="312"/>
        <v>0.0310993227990971</v>
      </c>
      <c r="AL122" s="36">
        <f t="shared" si="312"/>
        <v>0.0365502299257163</v>
      </c>
      <c r="AM122" s="36"/>
      <c r="AN122" s="36"/>
      <c r="AO122" s="36">
        <f t="shared" ref="AO122:AU122" si="313" xml:space="preserve">AO56</f>
        <v>0.0319690079164561</v>
      </c>
      <c r="AP122" s="36">
        <f t="shared" si="313"/>
        <v>0.0310692899914457</v>
      </c>
      <c r="AQ122" s="36">
        <f t="shared" si="313"/>
        <v>0.0322331838565022</v>
      </c>
      <c r="AR122" s="36">
        <f t="shared" si="313"/>
        <v>0.0321645185746778</v>
      </c>
      <c r="AS122" s="36">
        <f t="shared" si="313"/>
        <v>0.0325750512772702</v>
      </c>
      <c r="AT122" s="36">
        <f t="shared" si="313"/>
        <v>0.0229864559819413</v>
      </c>
      <c r="AU122" s="36">
        <f t="shared" si="313"/>
        <v>0.027015387336399</v>
      </c>
    </row>
    <row r="123" ht="15.5" spans="21:47">
      <c r="U123" s="35"/>
      <c r="V123" s="50" t="s">
        <v>429</v>
      </c>
      <c r="W123" s="36">
        <f t="shared" ref="W123:AC123" si="314" xml:space="preserve">W57</f>
        <v>0.0557183762843187</v>
      </c>
      <c r="X123" s="36">
        <f t="shared" si="314"/>
        <v>0.055158254918734</v>
      </c>
      <c r="Y123" s="36">
        <f t="shared" si="314"/>
        <v>0.0574887892376682</v>
      </c>
      <c r="Z123" s="36">
        <f t="shared" si="314"/>
        <v>0.0587755875663381</v>
      </c>
      <c r="AA123" s="36">
        <f t="shared" si="314"/>
        <v>0.0587544284915159</v>
      </c>
      <c r="AB123" s="36">
        <f t="shared" si="314"/>
        <v>0.0482317531978932</v>
      </c>
      <c r="AC123" s="36">
        <f t="shared" si="314"/>
        <v>0.0566855323664662</v>
      </c>
      <c r="AD123" s="36"/>
      <c r="AE123" s="36"/>
      <c r="AF123" s="36">
        <f t="shared" ref="AF123:AL123" si="315" xml:space="preserve">AF57</f>
        <v>0.0557183762843187</v>
      </c>
      <c r="AG123" s="36">
        <f t="shared" si="315"/>
        <v>0.055158254918734</v>
      </c>
      <c r="AH123" s="36">
        <f t="shared" si="315"/>
        <v>0.0574887892376682</v>
      </c>
      <c r="AI123" s="36">
        <f t="shared" si="315"/>
        <v>0.0587755875663381</v>
      </c>
      <c r="AJ123" s="36">
        <f t="shared" si="315"/>
        <v>0.0587544284915159</v>
      </c>
      <c r="AK123" s="36">
        <f t="shared" si="315"/>
        <v>0.0554665161775771</v>
      </c>
      <c r="AL123" s="36">
        <f t="shared" si="315"/>
        <v>0.0651883622214361</v>
      </c>
      <c r="AM123" s="36"/>
      <c r="AN123" s="36"/>
      <c r="AO123" s="36">
        <f t="shared" ref="AO123:AU123" si="316" xml:space="preserve">AO57</f>
        <v>0.0557183762843187</v>
      </c>
      <c r="AP123" s="36">
        <f t="shared" si="316"/>
        <v>0.055158254918734</v>
      </c>
      <c r="AQ123" s="36">
        <f t="shared" si="316"/>
        <v>0.0574887892376682</v>
      </c>
      <c r="AR123" s="36">
        <f t="shared" si="316"/>
        <v>0.0587755875663381</v>
      </c>
      <c r="AS123" s="36">
        <f t="shared" si="316"/>
        <v>0.0587544284915159</v>
      </c>
      <c r="AT123" s="36">
        <f t="shared" si="316"/>
        <v>0.0409969902182092</v>
      </c>
      <c r="AU123" s="36">
        <f t="shared" si="316"/>
        <v>0.0481827025114963</v>
      </c>
    </row>
    <row r="124" ht="15.5" spans="21:47">
      <c r="U124" s="35"/>
      <c r="V124" s="50" t="s">
        <v>430</v>
      </c>
      <c r="W124" s="36">
        <f t="shared" ref="W124:AC124" si="317" xml:space="preserve">W58</f>
        <v>0.0130537308404918</v>
      </c>
      <c r="X124" s="36">
        <f t="shared" si="317"/>
        <v>0.0129170230966638</v>
      </c>
      <c r="Y124" s="36">
        <f t="shared" si="317"/>
        <v>0.0134529147982063</v>
      </c>
      <c r="Z124" s="36">
        <f t="shared" si="317"/>
        <v>0.0136846095526914</v>
      </c>
      <c r="AA124" s="36">
        <f t="shared" si="317"/>
        <v>0.0137236621294052</v>
      </c>
      <c r="AB124" s="36">
        <f t="shared" si="317"/>
        <v>0.0112866817155756</v>
      </c>
      <c r="AC124" s="36">
        <f t="shared" si="317"/>
        <v>0.01326494517156</v>
      </c>
      <c r="AD124" s="36"/>
      <c r="AE124" s="36"/>
      <c r="AF124" s="36">
        <f t="shared" ref="AF124:AL124" si="318" xml:space="preserve">AF58</f>
        <v>0.0130537308404918</v>
      </c>
      <c r="AG124" s="36">
        <f t="shared" si="318"/>
        <v>0.0129170230966638</v>
      </c>
      <c r="AH124" s="36">
        <f t="shared" si="318"/>
        <v>0.0134529147982063</v>
      </c>
      <c r="AI124" s="36">
        <f t="shared" si="318"/>
        <v>0.0136846095526914</v>
      </c>
      <c r="AJ124" s="36">
        <f t="shared" si="318"/>
        <v>0.0137236621294052</v>
      </c>
      <c r="AK124" s="36">
        <f t="shared" si="318"/>
        <v>0.012979683972912</v>
      </c>
      <c r="AL124" s="36">
        <f t="shared" si="318"/>
        <v>0.0152546869472939</v>
      </c>
      <c r="AM124" s="36"/>
      <c r="AN124" s="36"/>
      <c r="AO124" s="36">
        <f t="shared" ref="AO124:AU124" si="319" xml:space="preserve">AO58</f>
        <v>0.0130537308404918</v>
      </c>
      <c r="AP124" s="36">
        <f t="shared" si="319"/>
        <v>0.0129170230966638</v>
      </c>
      <c r="AQ124" s="36">
        <f t="shared" si="319"/>
        <v>0.0134529147982063</v>
      </c>
      <c r="AR124" s="36">
        <f t="shared" si="319"/>
        <v>0.0136846095526914</v>
      </c>
      <c r="AS124" s="36">
        <f t="shared" si="319"/>
        <v>0.0137236621294052</v>
      </c>
      <c r="AT124" s="36">
        <f t="shared" si="319"/>
        <v>0.00959367945823928</v>
      </c>
      <c r="AU124" s="36">
        <f t="shared" si="319"/>
        <v>0.011275203395826</v>
      </c>
    </row>
    <row r="125" ht="15.5" spans="21:47">
      <c r="U125" s="35" t="s">
        <v>431</v>
      </c>
      <c r="V125" s="50" t="s">
        <v>182</v>
      </c>
      <c r="W125" s="52">
        <f t="shared" ref="W125:AC125" si="320" xml:space="preserve">W121</f>
        <v>0.00810173488293751</v>
      </c>
      <c r="X125" s="52">
        <f t="shared" si="320"/>
        <v>0.00786997433704022</v>
      </c>
      <c r="Y125" s="52">
        <f t="shared" si="320"/>
        <v>0.00817937219730942</v>
      </c>
      <c r="Z125" s="52">
        <f t="shared" si="320"/>
        <v>0.00816906747536013</v>
      </c>
      <c r="AA125" s="52">
        <f t="shared" si="320"/>
        <v>0.00826030206973706</v>
      </c>
      <c r="AB125" s="52">
        <f t="shared" si="320"/>
        <v>0.00686230248306997</v>
      </c>
      <c r="AC125" s="52">
        <f t="shared" si="320"/>
        <v>0.00806508666430845</v>
      </c>
      <c r="AD125" s="36"/>
      <c r="AE125" s="36"/>
      <c r="AF125" s="52">
        <f t="shared" ref="AF125:AL125" si="321" xml:space="preserve">AF121</f>
        <v>0.00810173488293751</v>
      </c>
      <c r="AG125" s="52">
        <f t="shared" si="321"/>
        <v>0.00786997433704022</v>
      </c>
      <c r="AH125" s="52">
        <f t="shared" si="321"/>
        <v>0.00817937219730942</v>
      </c>
      <c r="AI125" s="52">
        <f t="shared" si="321"/>
        <v>0.00816906747536013</v>
      </c>
      <c r="AJ125" s="52">
        <f t="shared" si="321"/>
        <v>0.00826030206973706</v>
      </c>
      <c r="AK125" s="52">
        <f t="shared" si="321"/>
        <v>0.00789164785553047</v>
      </c>
      <c r="AL125" s="52">
        <f t="shared" si="321"/>
        <v>0.00927484966395473</v>
      </c>
      <c r="AM125" s="36"/>
      <c r="AN125" s="36"/>
      <c r="AO125" s="52">
        <f t="shared" ref="AO125:AU125" si="322" xml:space="preserve">AO121</f>
        <v>0.00810173488293751</v>
      </c>
      <c r="AP125" s="52">
        <f t="shared" si="322"/>
        <v>0.00786997433704022</v>
      </c>
      <c r="AQ125" s="52">
        <f t="shared" si="322"/>
        <v>0.00817937219730942</v>
      </c>
      <c r="AR125" s="52">
        <f t="shared" si="322"/>
        <v>0.00816906747536013</v>
      </c>
      <c r="AS125" s="52">
        <f t="shared" si="322"/>
        <v>0.00826030206973706</v>
      </c>
      <c r="AT125" s="52">
        <f t="shared" si="322"/>
        <v>0.00583295711060948</v>
      </c>
      <c r="AU125" s="52">
        <f t="shared" si="322"/>
        <v>0.00685532366466218</v>
      </c>
    </row>
    <row r="126" ht="15.5" spans="21:47">
      <c r="U126" s="35"/>
      <c r="V126" s="51" t="s">
        <v>428</v>
      </c>
      <c r="W126" s="52">
        <f t="shared" ref="W126:AC126" si="323" xml:space="preserve">W122</f>
        <v>0.0319690079164561</v>
      </c>
      <c r="X126" s="52">
        <f t="shared" si="323"/>
        <v>0.0310692899914457</v>
      </c>
      <c r="Y126" s="52">
        <f t="shared" si="323"/>
        <v>0.0322331838565022</v>
      </c>
      <c r="Z126" s="52">
        <f t="shared" si="323"/>
        <v>0.0321645185746778</v>
      </c>
      <c r="AA126" s="52">
        <f t="shared" si="323"/>
        <v>0.0325750512772702</v>
      </c>
      <c r="AB126" s="52">
        <f t="shared" si="323"/>
        <v>0.0270428893905192</v>
      </c>
      <c r="AC126" s="52">
        <f t="shared" si="323"/>
        <v>0.0317828086310577</v>
      </c>
      <c r="AD126" s="36"/>
      <c r="AE126" s="36"/>
      <c r="AF126" s="52">
        <f t="shared" ref="AF126:AL126" si="324" xml:space="preserve">AF122</f>
        <v>0.0319690079164561</v>
      </c>
      <c r="AG126" s="52">
        <f t="shared" si="324"/>
        <v>0.0310692899914457</v>
      </c>
      <c r="AH126" s="52">
        <f t="shared" si="324"/>
        <v>0.0322331838565022</v>
      </c>
      <c r="AI126" s="52">
        <f t="shared" si="324"/>
        <v>0.0321645185746778</v>
      </c>
      <c r="AJ126" s="52">
        <f t="shared" si="324"/>
        <v>0.0325750512772702</v>
      </c>
      <c r="AK126" s="52">
        <f t="shared" si="324"/>
        <v>0.0310993227990971</v>
      </c>
      <c r="AL126" s="52">
        <f t="shared" si="324"/>
        <v>0.0365502299257163</v>
      </c>
      <c r="AM126" s="36"/>
      <c r="AN126" s="36"/>
      <c r="AO126" s="52">
        <f t="shared" ref="AO126:AU126" si="325" xml:space="preserve">AO122</f>
        <v>0.0319690079164561</v>
      </c>
      <c r="AP126" s="52">
        <f t="shared" si="325"/>
        <v>0.0310692899914457</v>
      </c>
      <c r="AQ126" s="52">
        <f t="shared" si="325"/>
        <v>0.0322331838565022</v>
      </c>
      <c r="AR126" s="52">
        <f t="shared" si="325"/>
        <v>0.0321645185746778</v>
      </c>
      <c r="AS126" s="52">
        <f t="shared" si="325"/>
        <v>0.0325750512772702</v>
      </c>
      <c r="AT126" s="52">
        <f t="shared" si="325"/>
        <v>0.0229864559819413</v>
      </c>
      <c r="AU126" s="52">
        <f t="shared" si="325"/>
        <v>0.027015387336399</v>
      </c>
    </row>
    <row r="127" ht="15.5" spans="21:47">
      <c r="U127" s="35"/>
      <c r="V127" s="50" t="s">
        <v>429</v>
      </c>
      <c r="W127" s="52">
        <f t="shared" ref="W127:AC127" si="326" xml:space="preserve">W123</f>
        <v>0.0557183762843187</v>
      </c>
      <c r="X127" s="52">
        <f t="shared" si="326"/>
        <v>0.055158254918734</v>
      </c>
      <c r="Y127" s="52">
        <f t="shared" si="326"/>
        <v>0.0574887892376682</v>
      </c>
      <c r="Z127" s="52">
        <f t="shared" si="326"/>
        <v>0.0587755875663381</v>
      </c>
      <c r="AA127" s="52">
        <f t="shared" si="326"/>
        <v>0.0587544284915159</v>
      </c>
      <c r="AB127" s="52">
        <f t="shared" si="326"/>
        <v>0.0482317531978932</v>
      </c>
      <c r="AC127" s="52">
        <f t="shared" si="326"/>
        <v>0.0566855323664662</v>
      </c>
      <c r="AD127" s="36"/>
      <c r="AE127" s="36"/>
      <c r="AF127" s="52">
        <f t="shared" ref="AF127:AL127" si="327" xml:space="preserve">AF123</f>
        <v>0.0557183762843187</v>
      </c>
      <c r="AG127" s="52">
        <f t="shared" si="327"/>
        <v>0.055158254918734</v>
      </c>
      <c r="AH127" s="52">
        <f t="shared" si="327"/>
        <v>0.0574887892376682</v>
      </c>
      <c r="AI127" s="52">
        <f t="shared" si="327"/>
        <v>0.0587755875663381</v>
      </c>
      <c r="AJ127" s="52">
        <f t="shared" si="327"/>
        <v>0.0587544284915159</v>
      </c>
      <c r="AK127" s="52">
        <f t="shared" si="327"/>
        <v>0.0554665161775771</v>
      </c>
      <c r="AL127" s="52">
        <f t="shared" si="327"/>
        <v>0.0651883622214361</v>
      </c>
      <c r="AM127" s="36"/>
      <c r="AN127" s="36"/>
      <c r="AO127" s="52">
        <f t="shared" ref="AO127:AU127" si="328" xml:space="preserve">AO123</f>
        <v>0.0557183762843187</v>
      </c>
      <c r="AP127" s="52">
        <f t="shared" si="328"/>
        <v>0.055158254918734</v>
      </c>
      <c r="AQ127" s="52">
        <f t="shared" si="328"/>
        <v>0.0574887892376682</v>
      </c>
      <c r="AR127" s="52">
        <f t="shared" si="328"/>
        <v>0.0587755875663381</v>
      </c>
      <c r="AS127" s="52">
        <f t="shared" si="328"/>
        <v>0.0587544284915159</v>
      </c>
      <c r="AT127" s="52">
        <f t="shared" si="328"/>
        <v>0.0409969902182092</v>
      </c>
      <c r="AU127" s="52">
        <f t="shared" si="328"/>
        <v>0.0481827025114963</v>
      </c>
    </row>
    <row r="128" ht="15.5" spans="21:47">
      <c r="U128" s="35"/>
      <c r="V128" s="50" t="s">
        <v>430</v>
      </c>
      <c r="W128" s="52">
        <f t="shared" ref="W128:AC128" si="329" xml:space="preserve">W124</f>
        <v>0.0130537308404918</v>
      </c>
      <c r="X128" s="52">
        <f t="shared" si="329"/>
        <v>0.0129170230966638</v>
      </c>
      <c r="Y128" s="52">
        <f t="shared" si="329"/>
        <v>0.0134529147982063</v>
      </c>
      <c r="Z128" s="52">
        <f t="shared" si="329"/>
        <v>0.0136846095526914</v>
      </c>
      <c r="AA128" s="52">
        <f t="shared" si="329"/>
        <v>0.0137236621294052</v>
      </c>
      <c r="AB128" s="52">
        <f t="shared" si="329"/>
        <v>0.0112866817155756</v>
      </c>
      <c r="AC128" s="52">
        <f t="shared" si="329"/>
        <v>0.01326494517156</v>
      </c>
      <c r="AD128" s="36"/>
      <c r="AE128" s="36"/>
      <c r="AF128" s="52">
        <f t="shared" ref="AF128:AL128" si="330" xml:space="preserve">AF124</f>
        <v>0.0130537308404918</v>
      </c>
      <c r="AG128" s="52">
        <f t="shared" si="330"/>
        <v>0.0129170230966638</v>
      </c>
      <c r="AH128" s="52">
        <f t="shared" si="330"/>
        <v>0.0134529147982063</v>
      </c>
      <c r="AI128" s="52">
        <f t="shared" si="330"/>
        <v>0.0136846095526914</v>
      </c>
      <c r="AJ128" s="52">
        <f t="shared" si="330"/>
        <v>0.0137236621294052</v>
      </c>
      <c r="AK128" s="52">
        <f t="shared" si="330"/>
        <v>0.012979683972912</v>
      </c>
      <c r="AL128" s="52">
        <f t="shared" si="330"/>
        <v>0.0152546869472939</v>
      </c>
      <c r="AM128" s="36"/>
      <c r="AN128" s="36"/>
      <c r="AO128" s="52">
        <f t="shared" ref="AO128:AU128" si="331" xml:space="preserve">AO124</f>
        <v>0.0130537308404918</v>
      </c>
      <c r="AP128" s="52">
        <f t="shared" si="331"/>
        <v>0.0129170230966638</v>
      </c>
      <c r="AQ128" s="52">
        <f t="shared" si="331"/>
        <v>0.0134529147982063</v>
      </c>
      <c r="AR128" s="52">
        <f t="shared" si="331"/>
        <v>0.0136846095526914</v>
      </c>
      <c r="AS128" s="52">
        <f t="shared" si="331"/>
        <v>0.0137236621294052</v>
      </c>
      <c r="AT128" s="52">
        <f t="shared" si="331"/>
        <v>0.00959367945823928</v>
      </c>
      <c r="AU128" s="52">
        <f t="shared" si="331"/>
        <v>0.011275203395826</v>
      </c>
    </row>
    <row r="160" ht="15.5" spans="21:53">
      <c r="U160" s="53"/>
      <c r="V160" s="21" t="s">
        <v>388</v>
      </c>
      <c r="W160" s="53"/>
      <c r="X160" s="54"/>
      <c r="Z160" s="53"/>
      <c r="AA160" s="21" t="s">
        <v>388</v>
      </c>
      <c r="AB160" s="53"/>
      <c r="AC160" s="54"/>
      <c r="AE160" s="53"/>
      <c r="AF160" s="21" t="s">
        <v>388</v>
      </c>
      <c r="AG160" s="53"/>
      <c r="AH160" s="54"/>
      <c r="AJ160" s="53"/>
      <c r="AK160" s="21" t="s">
        <v>388</v>
      </c>
      <c r="AL160" s="53"/>
      <c r="AM160" s="54"/>
      <c r="AO160" s="53"/>
      <c r="AP160" s="21" t="s">
        <v>388</v>
      </c>
      <c r="AQ160" s="53"/>
      <c r="AR160" s="54"/>
      <c r="AT160" s="53"/>
      <c r="AU160" s="21" t="s">
        <v>388</v>
      </c>
      <c r="AV160" s="53"/>
      <c r="AW160" s="54"/>
      <c r="AY160" s="53"/>
      <c r="AZ160" s="21" t="s">
        <v>388</v>
      </c>
      <c r="BA160" s="53"/>
    </row>
    <row r="161" ht="15.5" spans="21:54">
      <c r="U161" s="21" t="s">
        <v>66</v>
      </c>
      <c r="V161" s="21" t="s">
        <v>172</v>
      </c>
      <c r="W161" s="21" t="s">
        <v>11</v>
      </c>
      <c r="X161" s="54" t="s">
        <v>41</v>
      </c>
      <c r="Z161" s="21" t="s">
        <v>66</v>
      </c>
      <c r="AA161" s="21" t="s">
        <v>172</v>
      </c>
      <c r="AB161" s="21" t="s">
        <v>11</v>
      </c>
      <c r="AC161" s="54" t="s">
        <v>41</v>
      </c>
      <c r="AE161" s="21" t="s">
        <v>66</v>
      </c>
      <c r="AF161" s="21" t="s">
        <v>172</v>
      </c>
      <c r="AG161" s="21" t="s">
        <v>11</v>
      </c>
      <c r="AH161" s="54" t="s">
        <v>41</v>
      </c>
      <c r="AJ161" s="21" t="s">
        <v>66</v>
      </c>
      <c r="AK161" s="21" t="s">
        <v>172</v>
      </c>
      <c r="AL161" s="21" t="s">
        <v>11</v>
      </c>
      <c r="AM161" s="54" t="s">
        <v>41</v>
      </c>
      <c r="AO161" s="21" t="s">
        <v>66</v>
      </c>
      <c r="AP161" s="21" t="s">
        <v>172</v>
      </c>
      <c r="AQ161" s="21" t="s">
        <v>11</v>
      </c>
      <c r="AR161" s="54" t="s">
        <v>41</v>
      </c>
      <c r="AT161" s="21" t="s">
        <v>66</v>
      </c>
      <c r="AU161" s="21" t="s">
        <v>172</v>
      </c>
      <c r="AV161" s="21" t="s">
        <v>11</v>
      </c>
      <c r="AW161" s="54" t="s">
        <v>41</v>
      </c>
      <c r="AY161" s="21" t="s">
        <v>66</v>
      </c>
      <c r="AZ161" s="21" t="s">
        <v>172</v>
      </c>
      <c r="BA161" s="21" t="s">
        <v>11</v>
      </c>
      <c r="BB161" s="54" t="s">
        <v>41</v>
      </c>
    </row>
    <row r="162" ht="15.5" spans="21:54">
      <c r="U162" s="54" t="s">
        <v>310</v>
      </c>
      <c r="V162" s="55" t="s">
        <v>389</v>
      </c>
      <c r="W162" s="54">
        <f t="shared" ref="W162:W165" si="332" xml:space="preserve">W85</f>
        <v>0.010830385716692</v>
      </c>
      <c r="X162" s="54">
        <v>2020</v>
      </c>
      <c r="Z162" s="54" t="s">
        <v>312</v>
      </c>
      <c r="AA162" s="55" t="s">
        <v>389</v>
      </c>
      <c r="AB162" s="54">
        <f t="shared" ref="AB162:AB165" si="333" xml:space="preserve">X85</f>
        <v>0.0104020530367836</v>
      </c>
      <c r="AC162" s="54">
        <v>2020</v>
      </c>
      <c r="AE162" s="54" t="s">
        <v>314</v>
      </c>
      <c r="AF162" s="55" t="s">
        <v>389</v>
      </c>
      <c r="AG162" s="54">
        <f t="shared" ref="AG162:AG165" si="334" xml:space="preserve">Y85</f>
        <v>0.0107085201793722</v>
      </c>
      <c r="AH162" s="54">
        <v>2020</v>
      </c>
      <c r="AJ162" s="54" t="s">
        <v>316</v>
      </c>
      <c r="AK162" s="55" t="s">
        <v>389</v>
      </c>
      <c r="AL162" s="54">
        <f t="shared" ref="AL162:AL165" si="335" xml:space="preserve">Z85</f>
        <v>0.0117702805155421</v>
      </c>
      <c r="AM162" s="54">
        <v>2020</v>
      </c>
      <c r="AO162" s="54" t="s">
        <v>308</v>
      </c>
      <c r="AP162" s="55" t="s">
        <v>389</v>
      </c>
      <c r="AQ162" s="54">
        <f t="shared" ref="AQ162:AQ165" si="336" xml:space="preserve">AA85</f>
        <v>0.011933619242961</v>
      </c>
      <c r="AR162" s="54">
        <v>2020</v>
      </c>
      <c r="AT162" s="54" t="s">
        <v>306</v>
      </c>
      <c r="AU162" s="55" t="s">
        <v>389</v>
      </c>
      <c r="AV162" s="54">
        <f t="shared" ref="AV162:AV165" si="337" xml:space="preserve">AB85</f>
        <v>0.00898419864559818</v>
      </c>
      <c r="AW162" s="54">
        <v>2020</v>
      </c>
      <c r="AY162" s="54" t="s">
        <v>304</v>
      </c>
      <c r="AZ162" s="55" t="s">
        <v>389</v>
      </c>
      <c r="BA162" s="54">
        <f t="shared" ref="BA162:BA165" si="338" xml:space="preserve">AC85</f>
        <v>0.0105588963565617</v>
      </c>
      <c r="BB162" s="54">
        <v>2020</v>
      </c>
    </row>
    <row r="163" ht="15.5" spans="21:54">
      <c r="U163" s="54" t="str">
        <f t="shared" ref="U163:U165" si="339" xml:space="preserve">U162</f>
        <v>PyroRecy-NMC111</v>
      </c>
      <c r="V163" s="55" t="s">
        <v>390</v>
      </c>
      <c r="W163" s="54">
        <f t="shared" si="332"/>
        <v>0.0447027118073101</v>
      </c>
      <c r="X163" s="54">
        <v>2020</v>
      </c>
      <c r="Z163" s="54" t="str">
        <f t="shared" ref="Z163:Z165" si="340" xml:space="preserve">Z162</f>
        <v>PyroRecy-NMC532</v>
      </c>
      <c r="AA163" s="55" t="s">
        <v>390</v>
      </c>
      <c r="AB163" s="54">
        <f t="shared" si="333"/>
        <v>0.0428058169375535</v>
      </c>
      <c r="AC163" s="54">
        <v>2020</v>
      </c>
      <c r="AE163" s="54" t="str">
        <f t="shared" ref="AE163:AE165" si="341" xml:space="preserve">AE162</f>
        <v>PyroRecy-NMC622</v>
      </c>
      <c r="AF163" s="55" t="s">
        <v>390</v>
      </c>
      <c r="AG163" s="54">
        <f t="shared" si="334"/>
        <v>0.0441255605381166</v>
      </c>
      <c r="AH163" s="54">
        <v>2020</v>
      </c>
      <c r="AJ163" s="54" t="str">
        <f t="shared" ref="AJ163:AJ165" si="342" xml:space="preserve">AJ162</f>
        <v>PyroRecy-NMC811</v>
      </c>
      <c r="AK163" s="55" t="s">
        <v>390</v>
      </c>
      <c r="AL163" s="54">
        <f t="shared" si="335"/>
        <v>0.0456406368460955</v>
      </c>
      <c r="AM163" s="54">
        <v>2020</v>
      </c>
      <c r="AO163" s="54" t="str">
        <f t="shared" ref="AO163:AO165" si="343" xml:space="preserve">AO162</f>
        <v>PyroRecy-NCA</v>
      </c>
      <c r="AP163" s="55" t="s">
        <v>390</v>
      </c>
      <c r="AQ163" s="54">
        <f t="shared" si="336"/>
        <v>0.0467275778482193</v>
      </c>
      <c r="AR163" s="54">
        <v>2020</v>
      </c>
      <c r="AT163" s="54" t="str">
        <f t="shared" ref="AT163:AT165" si="344" xml:space="preserve">AT162</f>
        <v>PyroRecy-LMO</v>
      </c>
      <c r="AU163" s="55" t="s">
        <v>390</v>
      </c>
      <c r="AV163" s="54">
        <f t="shared" si="337"/>
        <v>0.037020316027088</v>
      </c>
      <c r="AW163" s="54">
        <v>2020</v>
      </c>
      <c r="AY163" s="54" t="str">
        <f t="shared" ref="AY163:AY165" si="345" xml:space="preserve">AY162</f>
        <v>PyroRecy-LFP</v>
      </c>
      <c r="AZ163" s="55" t="s">
        <v>390</v>
      </c>
      <c r="BA163" s="54">
        <f t="shared" si="338"/>
        <v>0.0435090201627167</v>
      </c>
      <c r="BB163" s="54">
        <v>2020</v>
      </c>
    </row>
    <row r="164" ht="15.5" spans="21:54">
      <c r="U164" s="54" t="str">
        <f t="shared" si="339"/>
        <v>PyroRecy-NMC111</v>
      </c>
      <c r="V164" s="55" t="s">
        <v>391</v>
      </c>
      <c r="W164" s="54">
        <f t="shared" si="332"/>
        <v>0.0724945258548088</v>
      </c>
      <c r="X164" s="54">
        <v>2020</v>
      </c>
      <c r="Z164" s="54" t="str">
        <f t="shared" si="340"/>
        <v>PyroRecy-NMC532</v>
      </c>
      <c r="AA164" s="55" t="s">
        <v>391</v>
      </c>
      <c r="AB164" s="54">
        <f t="shared" si="333"/>
        <v>0.0706073567151412</v>
      </c>
      <c r="AC164" s="54">
        <v>2020</v>
      </c>
      <c r="AE164" s="54" t="str">
        <f t="shared" si="341"/>
        <v>PyroRecy-NMC622</v>
      </c>
      <c r="AF164" s="55" t="s">
        <v>391</v>
      </c>
      <c r="AG164" s="54">
        <f t="shared" si="334"/>
        <v>0.0732017937219731</v>
      </c>
      <c r="AH164" s="54">
        <v>2020</v>
      </c>
      <c r="AJ164" s="54" t="str">
        <f t="shared" si="342"/>
        <v>PyroRecy-NMC811</v>
      </c>
      <c r="AK164" s="55" t="s">
        <v>391</v>
      </c>
      <c r="AL164" s="54">
        <f t="shared" si="335"/>
        <v>0.076516300227445</v>
      </c>
      <c r="AM164" s="54">
        <v>2020</v>
      </c>
      <c r="AO164" s="54" t="str">
        <f t="shared" si="343"/>
        <v>PyroRecy-NCA</v>
      </c>
      <c r="AP164" s="55" t="s">
        <v>391</v>
      </c>
      <c r="AQ164" s="54">
        <f t="shared" si="336"/>
        <v>0.0803841133693828</v>
      </c>
      <c r="AR164" s="54">
        <v>2020</v>
      </c>
      <c r="AT164" s="54" t="str">
        <f t="shared" si="344"/>
        <v>PyroRecy-LMO</v>
      </c>
      <c r="AU164" s="55" t="s">
        <v>391</v>
      </c>
      <c r="AV164" s="54">
        <f t="shared" si="337"/>
        <v>0.0614145974416855</v>
      </c>
      <c r="AW164" s="54">
        <v>2020</v>
      </c>
      <c r="AY164" s="54" t="str">
        <f t="shared" si="345"/>
        <v>PyroRecy-LFP</v>
      </c>
      <c r="AZ164" s="55" t="s">
        <v>391</v>
      </c>
      <c r="BA164" s="54">
        <f t="shared" si="338"/>
        <v>0.0721789883268483</v>
      </c>
      <c r="BB164" s="54">
        <v>2020</v>
      </c>
    </row>
    <row r="165" ht="15.5" spans="21:54">
      <c r="U165" s="54" t="str">
        <f t="shared" si="339"/>
        <v>PyroRecy-NMC111</v>
      </c>
      <c r="V165" s="55" t="s">
        <v>392</v>
      </c>
      <c r="W165" s="54">
        <f t="shared" si="332"/>
        <v>0.0131547919824827</v>
      </c>
      <c r="X165" s="54">
        <v>2020</v>
      </c>
      <c r="Z165" s="54" t="str">
        <f t="shared" si="340"/>
        <v>PyroRecy-NMC532</v>
      </c>
      <c r="AA165" s="55" t="s">
        <v>392</v>
      </c>
      <c r="AB165" s="54">
        <f t="shared" si="333"/>
        <v>0.0128656971770744</v>
      </c>
      <c r="AC165" s="54">
        <v>2020</v>
      </c>
      <c r="AE165" s="54" t="str">
        <f t="shared" si="341"/>
        <v>PyroRecy-NMC622</v>
      </c>
      <c r="AF165" s="55" t="s">
        <v>392</v>
      </c>
      <c r="AG165" s="54">
        <f t="shared" si="334"/>
        <v>0.0133273542600897</v>
      </c>
      <c r="AH165" s="54">
        <v>2020</v>
      </c>
      <c r="AJ165" s="54" t="str">
        <f t="shared" si="342"/>
        <v>PyroRecy-NMC811</v>
      </c>
      <c r="AK165" s="55" t="s">
        <v>392</v>
      </c>
      <c r="AL165" s="54">
        <f t="shared" si="335"/>
        <v>0.0145564821834723</v>
      </c>
      <c r="AM165" s="54">
        <v>2020</v>
      </c>
      <c r="AO165" s="54" t="str">
        <f t="shared" si="343"/>
        <v>PyroRecy-NCA</v>
      </c>
      <c r="AP165" s="55" t="s">
        <v>392</v>
      </c>
      <c r="AQ165" s="54">
        <f t="shared" si="336"/>
        <v>0.0148610852134999</v>
      </c>
      <c r="AR165" s="54">
        <v>2020</v>
      </c>
      <c r="AT165" s="54" t="str">
        <f t="shared" si="344"/>
        <v>PyroRecy-LMO</v>
      </c>
      <c r="AU165" s="55" t="s">
        <v>392</v>
      </c>
      <c r="AV165" s="54">
        <f t="shared" si="337"/>
        <v>0.0111813393528969</v>
      </c>
      <c r="AW165" s="54">
        <v>2020</v>
      </c>
      <c r="AY165" s="54" t="str">
        <f t="shared" si="345"/>
        <v>PyroRecy-LFP</v>
      </c>
      <c r="AZ165" s="55" t="s">
        <v>392</v>
      </c>
      <c r="BA165" s="54">
        <f t="shared" si="338"/>
        <v>0.0131411390166254</v>
      </c>
      <c r="BB165" s="54">
        <v>2020</v>
      </c>
    </row>
    <row r="166" ht="15.5" spans="21:54">
      <c r="U166" s="56"/>
      <c r="V166" s="56"/>
      <c r="W166" s="56"/>
      <c r="X166" s="56"/>
      <c r="Z166" s="56"/>
      <c r="AA166" s="56"/>
      <c r="AB166" s="56"/>
      <c r="AC166" s="56"/>
      <c r="AE166" s="56"/>
      <c r="AF166" s="56"/>
      <c r="AG166" s="56"/>
      <c r="AH166" s="56"/>
      <c r="AJ166" s="56"/>
      <c r="AK166" s="56"/>
      <c r="AL166" s="56"/>
      <c r="AM166" s="56"/>
      <c r="AO166" s="56"/>
      <c r="AP166" s="56"/>
      <c r="AQ166" s="56"/>
      <c r="AR166" s="56"/>
      <c r="AT166" s="56"/>
      <c r="AU166" s="56"/>
      <c r="AV166" s="56"/>
      <c r="AW166" s="56"/>
      <c r="AY166" s="56"/>
      <c r="AZ166" s="56"/>
      <c r="BA166" s="56"/>
    </row>
    <row r="167" ht="15.5" spans="21:54">
      <c r="U167" s="36"/>
      <c r="V167" s="36"/>
      <c r="W167" s="36"/>
      <c r="X167" s="36"/>
      <c r="Z167" s="36"/>
      <c r="AA167" s="36"/>
      <c r="AB167" s="36"/>
      <c r="AC167" s="36"/>
      <c r="AE167" s="36"/>
      <c r="AF167" s="36"/>
      <c r="AG167" s="36"/>
      <c r="AH167" s="36"/>
      <c r="AJ167" s="36"/>
      <c r="AK167" s="36"/>
      <c r="AL167" s="36"/>
      <c r="AM167" s="36"/>
      <c r="AO167" s="36"/>
      <c r="AP167" s="36"/>
      <c r="AQ167" s="36"/>
      <c r="AR167" s="36"/>
      <c r="AT167" s="36"/>
      <c r="AU167" s="36"/>
      <c r="AV167" s="36"/>
      <c r="AW167" s="36"/>
      <c r="AY167" s="36"/>
      <c r="AZ167" s="36"/>
      <c r="BA167" s="36"/>
    </row>
    <row r="168" ht="15.5" spans="21:54">
      <c r="U168" s="36"/>
      <c r="V168" s="36"/>
      <c r="W168" s="36"/>
      <c r="X168" s="36"/>
      <c r="Z168" s="36"/>
      <c r="AA168" s="36"/>
      <c r="AB168" s="36"/>
      <c r="AC168" s="36"/>
      <c r="AE168" s="36"/>
      <c r="AF168" s="36"/>
      <c r="AG168" s="36"/>
      <c r="AH168" s="36"/>
      <c r="AJ168" s="36"/>
      <c r="AK168" s="36"/>
      <c r="AL168" s="36"/>
      <c r="AM168" s="36"/>
      <c r="AO168" s="36"/>
      <c r="AP168" s="36"/>
      <c r="AQ168" s="36"/>
      <c r="AR168" s="36"/>
      <c r="AT168" s="36"/>
      <c r="AU168" s="36"/>
      <c r="AV168" s="36"/>
      <c r="AW168" s="36"/>
      <c r="AY168" s="36"/>
      <c r="AZ168" s="36"/>
      <c r="BA168" s="36"/>
    </row>
    <row r="169" ht="15.5" spans="21:54">
      <c r="U169" s="36"/>
      <c r="V169" s="36"/>
      <c r="W169" s="36"/>
      <c r="X169" s="36"/>
      <c r="Z169" s="36"/>
      <c r="AA169" s="36"/>
      <c r="AB169" s="36"/>
      <c r="AC169" s="36"/>
      <c r="AE169" s="36"/>
      <c r="AF169" s="36"/>
      <c r="AG169" s="36"/>
      <c r="AH169" s="36"/>
      <c r="AJ169" s="36"/>
      <c r="AK169" s="36"/>
      <c r="AL169" s="36"/>
      <c r="AM169" s="36"/>
      <c r="AO169" s="36"/>
      <c r="AP169" s="36"/>
      <c r="AQ169" s="36"/>
      <c r="AR169" s="36"/>
      <c r="AT169" s="36"/>
      <c r="AU169" s="36"/>
      <c r="AV169" s="36"/>
      <c r="AW169" s="36"/>
      <c r="AY169" s="36"/>
      <c r="AZ169" s="36"/>
      <c r="BA169" s="36"/>
    </row>
    <row r="170" ht="15.5" spans="21:54">
      <c r="U170" s="36"/>
      <c r="V170" s="36"/>
      <c r="W170" s="36"/>
      <c r="X170" s="36"/>
      <c r="Z170" s="36"/>
      <c r="AA170" s="36"/>
      <c r="AB170" s="36"/>
      <c r="AC170" s="36"/>
      <c r="AE170" s="36"/>
      <c r="AF170" s="36"/>
      <c r="AG170" s="36"/>
      <c r="AH170" s="36"/>
      <c r="AJ170" s="36"/>
      <c r="AK170" s="36"/>
      <c r="AL170" s="36"/>
      <c r="AM170" s="36"/>
      <c r="AO170" s="36"/>
      <c r="AP170" s="36"/>
      <c r="AQ170" s="36"/>
      <c r="AR170" s="36"/>
      <c r="AT170" s="36"/>
      <c r="AU170" s="36"/>
      <c r="AV170" s="36"/>
      <c r="AW170" s="36"/>
      <c r="AY170" s="36"/>
      <c r="AZ170" s="36"/>
      <c r="BA170" s="36"/>
    </row>
    <row r="171" ht="15.5" spans="21:54">
      <c r="U171" s="36"/>
      <c r="V171" s="36"/>
      <c r="W171" s="36"/>
      <c r="X171" s="36"/>
      <c r="Z171" s="36"/>
      <c r="AA171" s="36"/>
      <c r="AB171" s="36"/>
      <c r="AC171" s="36"/>
      <c r="AE171" s="36"/>
      <c r="AF171" s="36"/>
      <c r="AG171" s="36"/>
      <c r="AH171" s="36"/>
      <c r="AJ171" s="36"/>
      <c r="AK171" s="36"/>
      <c r="AL171" s="36"/>
      <c r="AM171" s="36"/>
      <c r="AO171" s="36"/>
      <c r="AP171" s="36"/>
      <c r="AQ171" s="36"/>
      <c r="AR171" s="36"/>
      <c r="AT171" s="36"/>
      <c r="AU171" s="36"/>
      <c r="AV171" s="36"/>
      <c r="AW171" s="36"/>
      <c r="AY171" s="36"/>
      <c r="AZ171" s="36"/>
      <c r="BA171" s="36"/>
    </row>
    <row r="172" ht="15.5" spans="21:54">
      <c r="U172" s="53"/>
      <c r="V172" s="21" t="s">
        <v>388</v>
      </c>
      <c r="W172" s="53"/>
      <c r="X172" s="54"/>
      <c r="Z172" s="53"/>
      <c r="AA172" s="21" t="s">
        <v>388</v>
      </c>
      <c r="AB172" s="53"/>
      <c r="AC172" s="54"/>
      <c r="AE172" s="53"/>
      <c r="AF172" s="21" t="s">
        <v>388</v>
      </c>
      <c r="AG172" s="53"/>
      <c r="AH172" s="54"/>
      <c r="AJ172" s="53"/>
      <c r="AK172" s="21" t="s">
        <v>388</v>
      </c>
      <c r="AL172" s="53"/>
      <c r="AM172" s="54"/>
      <c r="AO172" s="53"/>
      <c r="AP172" s="21" t="s">
        <v>388</v>
      </c>
      <c r="AQ172" s="53"/>
      <c r="AR172" s="54"/>
      <c r="AT172" s="53"/>
      <c r="AU172" s="21" t="s">
        <v>388</v>
      </c>
      <c r="AV172" s="53"/>
      <c r="AW172" s="54"/>
      <c r="AY172" s="53"/>
      <c r="AZ172" s="21" t="s">
        <v>388</v>
      </c>
      <c r="BA172" s="53"/>
    </row>
    <row r="173" ht="15.5" spans="21:54">
      <c r="U173" s="21" t="s">
        <v>66</v>
      </c>
      <c r="V173" s="21" t="s">
        <v>172</v>
      </c>
      <c r="W173" s="21" t="s">
        <v>11</v>
      </c>
      <c r="X173" s="54" t="s">
        <v>41</v>
      </c>
      <c r="Z173" s="21" t="s">
        <v>66</v>
      </c>
      <c r="AA173" s="21" t="s">
        <v>172</v>
      </c>
      <c r="AB173" s="21" t="s">
        <v>11</v>
      </c>
      <c r="AC173" s="54" t="s">
        <v>41</v>
      </c>
      <c r="AE173" s="21" t="s">
        <v>66</v>
      </c>
      <c r="AF173" s="21" t="s">
        <v>172</v>
      </c>
      <c r="AG173" s="21" t="s">
        <v>11</v>
      </c>
      <c r="AH173" s="54" t="s">
        <v>41</v>
      </c>
      <c r="AJ173" s="21" t="s">
        <v>66</v>
      </c>
      <c r="AK173" s="21" t="s">
        <v>172</v>
      </c>
      <c r="AL173" s="21" t="s">
        <v>11</v>
      </c>
      <c r="AM173" s="54" t="s">
        <v>41</v>
      </c>
      <c r="AO173" s="21" t="s">
        <v>66</v>
      </c>
      <c r="AP173" s="21" t="s">
        <v>172</v>
      </c>
      <c r="AQ173" s="21" t="s">
        <v>11</v>
      </c>
      <c r="AR173" s="54" t="s">
        <v>41</v>
      </c>
      <c r="AT173" s="21" t="s">
        <v>66</v>
      </c>
      <c r="AU173" s="21" t="s">
        <v>172</v>
      </c>
      <c r="AV173" s="21" t="s">
        <v>11</v>
      </c>
      <c r="AW173" s="54" t="s">
        <v>41</v>
      </c>
      <c r="AY173" s="21" t="s">
        <v>66</v>
      </c>
      <c r="AZ173" s="21" t="s">
        <v>172</v>
      </c>
      <c r="BA173" s="21" t="s">
        <v>11</v>
      </c>
      <c r="BB173" s="54" t="s">
        <v>41</v>
      </c>
    </row>
    <row r="174" ht="15.5" spans="21:54">
      <c r="U174" s="54" t="s">
        <v>323</v>
      </c>
      <c r="V174" s="55" t="s">
        <v>389</v>
      </c>
      <c r="W174" s="54">
        <f t="shared" ref="W174:W177" si="346" xml:space="preserve">W105</f>
        <v>0.011840997136601</v>
      </c>
      <c r="X174" s="54">
        <v>2020</v>
      </c>
      <c r="Z174" s="54" t="s">
        <v>325</v>
      </c>
      <c r="AA174" s="55" t="s">
        <v>389</v>
      </c>
      <c r="AB174" s="54">
        <f t="shared" ref="AB174:AB177" si="347" xml:space="preserve">X105</f>
        <v>0.011377245508982</v>
      </c>
      <c r="AC174" s="54">
        <v>2020</v>
      </c>
      <c r="AE174" s="54" t="s">
        <v>327</v>
      </c>
      <c r="AF174" s="55" t="s">
        <v>389</v>
      </c>
      <c r="AG174" s="54">
        <f t="shared" ref="AG174:AG177" si="348" xml:space="preserve">Y105</f>
        <v>0.0117668161434977</v>
      </c>
      <c r="AH174" s="54">
        <v>2020</v>
      </c>
      <c r="AJ174" s="54" t="s">
        <v>329</v>
      </c>
      <c r="AK174" s="55" t="s">
        <v>389</v>
      </c>
      <c r="AL174" s="54">
        <f t="shared" ref="AL174:AL177" si="349" xml:space="preserve">Z105</f>
        <v>0.0120924943138741</v>
      </c>
      <c r="AM174" s="54">
        <v>2020</v>
      </c>
      <c r="AO174" s="54" t="s">
        <v>321</v>
      </c>
      <c r="AP174" s="55" t="s">
        <v>389</v>
      </c>
      <c r="AQ174" s="54">
        <f t="shared" ref="AQ174:AQ177" si="350" xml:space="preserve">AA105</f>
        <v>0.0122878985642364</v>
      </c>
      <c r="AR174" s="54">
        <v>2020</v>
      </c>
      <c r="AT174" s="54" t="s">
        <v>320</v>
      </c>
      <c r="AU174" s="55" t="s">
        <v>389</v>
      </c>
      <c r="AV174" s="54">
        <f t="shared" ref="AV174:AV177" si="351" xml:space="preserve">AB105</f>
        <v>0.00987208427389014</v>
      </c>
      <c r="AW174" s="54">
        <v>2020</v>
      </c>
      <c r="AY174" s="54" t="s">
        <v>318</v>
      </c>
      <c r="AZ174" s="55" t="s">
        <v>389</v>
      </c>
      <c r="BA174" s="54">
        <f t="shared" ref="BA174:BA177" si="352" xml:space="preserve">AC105</f>
        <v>0.0116024053767244</v>
      </c>
      <c r="BB174" s="54">
        <v>2020</v>
      </c>
    </row>
    <row r="175" ht="15.5" spans="21:54">
      <c r="U175" s="54" t="str">
        <f t="shared" ref="U175:U177" si="353" xml:space="preserve">U174</f>
        <v>HydRecy-NMC111</v>
      </c>
      <c r="V175" s="55" t="s">
        <v>390</v>
      </c>
      <c r="W175" s="54">
        <f t="shared" si="346"/>
        <v>0.0404413003200269</v>
      </c>
      <c r="X175" s="54">
        <v>2020</v>
      </c>
      <c r="Z175" s="54" t="str">
        <f t="shared" ref="Z175:Z177" si="354" xml:space="preserve">Z174</f>
        <v>HydRecy-NMC532</v>
      </c>
      <c r="AA175" s="55" t="s">
        <v>390</v>
      </c>
      <c r="AB175" s="54">
        <f t="shared" si="347"/>
        <v>0.0389734816082122</v>
      </c>
      <c r="AC175" s="54">
        <v>2020</v>
      </c>
      <c r="AE175" s="54" t="str">
        <f t="shared" ref="AE175:AE177" si="355" xml:space="preserve">AE174</f>
        <v>HydRecy-NMC622</v>
      </c>
      <c r="AF175" s="55" t="s">
        <v>390</v>
      </c>
      <c r="AG175" s="54">
        <f t="shared" si="348"/>
        <v>0.0403408071748879</v>
      </c>
      <c r="AH175" s="54">
        <v>2020</v>
      </c>
      <c r="AJ175" s="54" t="str">
        <f t="shared" ref="AJ175:AJ177" si="356" xml:space="preserve">AJ174</f>
        <v>HydRecy-NMC811</v>
      </c>
      <c r="AK175" s="55" t="s">
        <v>390</v>
      </c>
      <c r="AL175" s="54">
        <f t="shared" si="349"/>
        <v>0.0420204700530705</v>
      </c>
      <c r="AM175" s="54">
        <v>2020</v>
      </c>
      <c r="AO175" s="54" t="str">
        <f t="shared" ref="AO175:AO177" si="357" xml:space="preserve">AO174</f>
        <v>HydRecy-NCA</v>
      </c>
      <c r="AP175" s="55" t="s">
        <v>390</v>
      </c>
      <c r="AQ175" s="54">
        <f t="shared" si="350"/>
        <v>0.0428118590341227</v>
      </c>
      <c r="AR175" s="54">
        <v>2020</v>
      </c>
      <c r="AT175" s="54" t="str">
        <f t="shared" ref="AT175:AT177" si="358" xml:space="preserve">AT174</f>
        <v>HydRecy-LMO</v>
      </c>
      <c r="AU175" s="55" t="s">
        <v>390</v>
      </c>
      <c r="AV175" s="54">
        <f t="shared" si="351"/>
        <v>0.0338449962377728</v>
      </c>
      <c r="AW175" s="54">
        <v>2020</v>
      </c>
      <c r="AY175" s="54" t="str">
        <f t="shared" ref="AY175:AY177" si="359" xml:space="preserve">AY174</f>
        <v>HydRecy-LFP</v>
      </c>
      <c r="AZ175" s="55" t="s">
        <v>390</v>
      </c>
      <c r="BA175" s="54">
        <f t="shared" si="352"/>
        <v>0.0397771489211178</v>
      </c>
      <c r="BB175" s="54">
        <v>2020</v>
      </c>
    </row>
    <row r="176" ht="15.5" spans="21:54">
      <c r="U176" s="54" t="str">
        <f t="shared" si="353"/>
        <v>HydRecy-NMC111</v>
      </c>
      <c r="V176" s="55" t="s">
        <v>391</v>
      </c>
      <c r="W176" s="54">
        <f t="shared" si="346"/>
        <v>0.0870304867778339</v>
      </c>
      <c r="X176" s="54">
        <v>2020</v>
      </c>
      <c r="Z176" s="54" t="str">
        <f t="shared" si="354"/>
        <v>HydRecy-NMC532</v>
      </c>
      <c r="AA176" s="55" t="s">
        <v>391</v>
      </c>
      <c r="AB176" s="54">
        <f t="shared" si="347"/>
        <v>0.0843627031650984</v>
      </c>
      <c r="AC176" s="54">
        <v>2020</v>
      </c>
      <c r="AE176" s="54" t="str">
        <f t="shared" si="355"/>
        <v>HydRecy-NMC622</v>
      </c>
      <c r="AF176" s="55" t="s">
        <v>391</v>
      </c>
      <c r="AG176" s="54">
        <f t="shared" si="348"/>
        <v>0.0874439461883408</v>
      </c>
      <c r="AH176" s="54">
        <v>2020</v>
      </c>
      <c r="AJ176" s="54" t="str">
        <f t="shared" si="356"/>
        <v>HydRecy-NMC811</v>
      </c>
      <c r="AK176" s="55" t="s">
        <v>391</v>
      </c>
      <c r="AL176" s="54">
        <f t="shared" si="349"/>
        <v>0.0881918119787718</v>
      </c>
      <c r="AM176" s="54">
        <v>2020</v>
      </c>
      <c r="AO176" s="54" t="str">
        <f t="shared" si="357"/>
        <v>HydRecy-NCA</v>
      </c>
      <c r="AP176" s="55" t="s">
        <v>391</v>
      </c>
      <c r="AQ176" s="54">
        <f t="shared" si="350"/>
        <v>0.0922245012120082</v>
      </c>
      <c r="AR176" s="54">
        <v>2020</v>
      </c>
      <c r="AT176" s="54" t="str">
        <f t="shared" si="358"/>
        <v>HydRecy-LMO</v>
      </c>
      <c r="AU176" s="55" t="s">
        <v>391</v>
      </c>
      <c r="AV176" s="54">
        <f t="shared" si="351"/>
        <v>0.0733634311512415</v>
      </c>
      <c r="AW176" s="54">
        <v>2020</v>
      </c>
      <c r="AY176" s="54" t="str">
        <f t="shared" si="359"/>
        <v>HydRecy-LFP</v>
      </c>
      <c r="AZ176" s="55" t="s">
        <v>391</v>
      </c>
      <c r="BA176" s="54">
        <f t="shared" si="352"/>
        <v>0.0862221436151397</v>
      </c>
      <c r="BB176" s="54">
        <v>2020</v>
      </c>
    </row>
    <row r="177" ht="15.5" spans="21:54">
      <c r="U177" s="54" t="str">
        <f t="shared" si="353"/>
        <v>HydRecy-NMC111</v>
      </c>
      <c r="V177" s="55" t="s">
        <v>392</v>
      </c>
      <c r="W177" s="54">
        <f t="shared" si="346"/>
        <v>0.0133569142664645</v>
      </c>
      <c r="X177" s="54">
        <v>2020</v>
      </c>
      <c r="Z177" s="54" t="str">
        <f t="shared" si="354"/>
        <v>HydRecy-NMC532</v>
      </c>
      <c r="AA177" s="55" t="s">
        <v>392</v>
      </c>
      <c r="AB177" s="54">
        <f t="shared" si="347"/>
        <v>0.0131907613344739</v>
      </c>
      <c r="AC177" s="54">
        <v>2020</v>
      </c>
      <c r="AE177" s="54" t="str">
        <f t="shared" si="355"/>
        <v>HydRecy-NMC622</v>
      </c>
      <c r="AF177" s="55" t="s">
        <v>392</v>
      </c>
      <c r="AG177" s="54">
        <f t="shared" si="348"/>
        <v>0.0137399103139013</v>
      </c>
      <c r="AH177" s="54">
        <v>2020</v>
      </c>
      <c r="AJ177" s="54" t="str">
        <f t="shared" si="356"/>
        <v>HydRecy-NMC811</v>
      </c>
      <c r="AK177" s="55" t="s">
        <v>392</v>
      </c>
      <c r="AL177" s="54">
        <f t="shared" si="349"/>
        <v>0.0141015921152388</v>
      </c>
      <c r="AM177" s="54">
        <v>2020</v>
      </c>
      <c r="AO177" s="54" t="str">
        <f t="shared" si="357"/>
        <v>HydRecy-NCA</v>
      </c>
      <c r="AP177" s="55" t="s">
        <v>392</v>
      </c>
      <c r="AQ177" s="54">
        <f t="shared" si="350"/>
        <v>0.0143016968114861</v>
      </c>
      <c r="AR177" s="54">
        <v>2020</v>
      </c>
      <c r="AT177" s="54" t="str">
        <f t="shared" si="358"/>
        <v>HydRecy-LMO</v>
      </c>
      <c r="AU177" s="55" t="s">
        <v>392</v>
      </c>
      <c r="AV177" s="54">
        <f t="shared" si="351"/>
        <v>0.0115274642588412</v>
      </c>
      <c r="AW177" s="54">
        <v>2020</v>
      </c>
      <c r="AY177" s="54" t="str">
        <f t="shared" si="359"/>
        <v>HydRecy-LFP</v>
      </c>
      <c r="AZ177" s="55" t="s">
        <v>392</v>
      </c>
      <c r="BA177" s="54">
        <f t="shared" si="352"/>
        <v>0.0135479306685532</v>
      </c>
      <c r="BB177" s="54">
        <v>2020</v>
      </c>
    </row>
    <row r="178" ht="15.5" spans="21:54">
      <c r="U178" s="56"/>
      <c r="V178" s="56"/>
      <c r="W178" s="56"/>
      <c r="X178" s="56"/>
      <c r="Z178" s="56"/>
      <c r="AA178" s="56"/>
      <c r="AB178" s="56"/>
      <c r="AC178" s="56"/>
      <c r="AE178" s="56"/>
      <c r="AF178" s="56"/>
      <c r="AG178" s="56"/>
      <c r="AH178" s="56"/>
      <c r="AJ178" s="56"/>
      <c r="AK178" s="56"/>
      <c r="AL178" s="56"/>
      <c r="AM178" s="56"/>
      <c r="AO178" s="56"/>
      <c r="AP178" s="56"/>
      <c r="AQ178" s="56"/>
      <c r="AR178" s="56"/>
      <c r="AT178" s="56"/>
      <c r="AU178" s="56"/>
      <c r="AV178" s="56"/>
      <c r="AW178" s="56"/>
      <c r="AY178" s="56"/>
      <c r="AZ178" s="56"/>
      <c r="BA178" s="56"/>
    </row>
    <row r="183" ht="15.5" spans="21:54">
      <c r="U183" s="53"/>
      <c r="V183" s="21" t="s">
        <v>388</v>
      </c>
      <c r="W183" s="53"/>
      <c r="X183" s="54"/>
      <c r="Z183" s="53"/>
      <c r="AA183" s="21" t="s">
        <v>388</v>
      </c>
      <c r="AB183" s="53"/>
      <c r="AC183" s="54"/>
      <c r="AE183" s="53"/>
      <c r="AF183" s="21" t="s">
        <v>388</v>
      </c>
      <c r="AG183" s="53"/>
      <c r="AH183" s="54"/>
      <c r="AJ183" s="53"/>
      <c r="AK183" s="21" t="s">
        <v>388</v>
      </c>
      <c r="AL183" s="53"/>
      <c r="AM183" s="54"/>
      <c r="AO183" s="53"/>
      <c r="AP183" s="21" t="s">
        <v>388</v>
      </c>
      <c r="AQ183" s="53"/>
      <c r="AR183" s="54"/>
      <c r="AT183" s="53"/>
      <c r="AU183" s="21" t="s">
        <v>388</v>
      </c>
      <c r="AV183" s="53"/>
      <c r="AW183" s="54"/>
      <c r="AY183" s="53"/>
      <c r="AZ183" s="21" t="s">
        <v>388</v>
      </c>
      <c r="BA183" s="53"/>
    </row>
    <row r="184" ht="15.5" spans="21:54">
      <c r="U184" s="21" t="s">
        <v>66</v>
      </c>
      <c r="V184" s="21" t="s">
        <v>172</v>
      </c>
      <c r="W184" s="21" t="s">
        <v>11</v>
      </c>
      <c r="X184" s="54" t="s">
        <v>41</v>
      </c>
      <c r="Z184" s="21" t="s">
        <v>66</v>
      </c>
      <c r="AA184" s="21" t="s">
        <v>172</v>
      </c>
      <c r="AB184" s="21" t="s">
        <v>11</v>
      </c>
      <c r="AC184" s="54" t="s">
        <v>41</v>
      </c>
      <c r="AE184" s="21" t="s">
        <v>66</v>
      </c>
      <c r="AF184" s="21" t="s">
        <v>172</v>
      </c>
      <c r="AG184" s="21" t="s">
        <v>11</v>
      </c>
      <c r="AH184" s="54" t="s">
        <v>41</v>
      </c>
      <c r="AJ184" s="21" t="s">
        <v>66</v>
      </c>
      <c r="AK184" s="21" t="s">
        <v>172</v>
      </c>
      <c r="AL184" s="21" t="s">
        <v>11</v>
      </c>
      <c r="AM184" s="54" t="s">
        <v>41</v>
      </c>
      <c r="AO184" s="21" t="s">
        <v>66</v>
      </c>
      <c r="AP184" s="21" t="s">
        <v>172</v>
      </c>
      <c r="AQ184" s="21" t="s">
        <v>11</v>
      </c>
      <c r="AR184" s="54" t="s">
        <v>41</v>
      </c>
      <c r="AT184" s="21" t="s">
        <v>66</v>
      </c>
      <c r="AU184" s="21" t="s">
        <v>172</v>
      </c>
      <c r="AV184" s="21" t="s">
        <v>11</v>
      </c>
      <c r="AW184" s="54" t="s">
        <v>41</v>
      </c>
      <c r="AY184" s="21" t="s">
        <v>66</v>
      </c>
      <c r="AZ184" s="21" t="s">
        <v>172</v>
      </c>
      <c r="BA184" s="21" t="s">
        <v>11</v>
      </c>
      <c r="BB184" s="54" t="s">
        <v>41</v>
      </c>
    </row>
    <row r="185" ht="15.5" spans="21:54">
      <c r="U185" s="54" t="s">
        <v>336</v>
      </c>
      <c r="V185" s="55" t="s">
        <v>389</v>
      </c>
      <c r="W185" s="54">
        <f t="shared" ref="W185:W188" si="360" xml:space="preserve">W125</f>
        <v>0.00810173488293751</v>
      </c>
      <c r="X185" s="54">
        <v>2020</v>
      </c>
      <c r="Z185" s="54" t="s">
        <v>338</v>
      </c>
      <c r="AA185" s="55" t="s">
        <v>389</v>
      </c>
      <c r="AB185" s="54">
        <f t="shared" ref="AB185:AB188" si="361" xml:space="preserve">X125</f>
        <v>0.00786997433704022</v>
      </c>
      <c r="AC185" s="54">
        <v>2020</v>
      </c>
      <c r="AE185" s="54" t="s">
        <v>340</v>
      </c>
      <c r="AF185" s="55" t="s">
        <v>389</v>
      </c>
      <c r="AG185" s="54">
        <f t="shared" ref="AG185:AG188" si="362" xml:space="preserve">Y125</f>
        <v>0.00817937219730942</v>
      </c>
      <c r="AH185" s="54">
        <v>2020</v>
      </c>
      <c r="AJ185" s="54" t="s">
        <v>341</v>
      </c>
      <c r="AK185" s="55" t="s">
        <v>389</v>
      </c>
      <c r="AL185" s="54">
        <f t="shared" ref="AL185:AL188" si="363" xml:space="preserve">Z125</f>
        <v>0.00816906747536013</v>
      </c>
      <c r="AM185" s="54">
        <v>2020</v>
      </c>
      <c r="AO185" s="54" t="s">
        <v>335</v>
      </c>
      <c r="AP185" s="55" t="s">
        <v>389</v>
      </c>
      <c r="AQ185" s="54">
        <f t="shared" ref="AQ185:AQ188" si="364" xml:space="preserve">AA125</f>
        <v>0.00826030206973706</v>
      </c>
      <c r="AR185" s="54">
        <v>2020</v>
      </c>
      <c r="AT185" s="54" t="s">
        <v>333</v>
      </c>
      <c r="AU185" s="55" t="s">
        <v>389</v>
      </c>
      <c r="AV185" s="54">
        <f t="shared" ref="AV185:AV188" si="365" xml:space="preserve">AB125</f>
        <v>0.00686230248306997</v>
      </c>
      <c r="AW185" s="54">
        <v>2020</v>
      </c>
      <c r="AY185" s="54" t="s">
        <v>331</v>
      </c>
      <c r="AZ185" s="55" t="s">
        <v>389</v>
      </c>
      <c r="BA185" s="54">
        <f t="shared" ref="BA185:BA188" si="366" xml:space="preserve">AC125</f>
        <v>0.00806508666430845</v>
      </c>
      <c r="BB185" s="54">
        <v>2020</v>
      </c>
    </row>
    <row r="186" ht="15.5" spans="21:54">
      <c r="U186" s="54" t="str">
        <f t="shared" ref="U186:U188" si="367" xml:space="preserve">U185</f>
        <v>DirRecy-NMC111</v>
      </c>
      <c r="V186" s="55" t="s">
        <v>390</v>
      </c>
      <c r="W186" s="54">
        <f t="shared" si="360"/>
        <v>0.0319690079164561</v>
      </c>
      <c r="X186" s="54">
        <v>2020</v>
      </c>
      <c r="Z186" s="54" t="str">
        <f t="shared" ref="Z186:Z188" si="368" xml:space="preserve">Z185</f>
        <v>DirRecy-NMC532</v>
      </c>
      <c r="AA186" s="55" t="s">
        <v>390</v>
      </c>
      <c r="AB186" s="54">
        <f t="shared" si="361"/>
        <v>0.0310692899914457</v>
      </c>
      <c r="AC186" s="54">
        <v>2020</v>
      </c>
      <c r="AE186" s="54" t="str">
        <f t="shared" ref="AE186:AE188" si="369" xml:space="preserve">AE185</f>
        <v>DirRecy-NMC622</v>
      </c>
      <c r="AF186" s="55" t="s">
        <v>390</v>
      </c>
      <c r="AG186" s="54">
        <f t="shared" si="362"/>
        <v>0.0322331838565022</v>
      </c>
      <c r="AH186" s="54">
        <v>2020</v>
      </c>
      <c r="AJ186" s="54" t="str">
        <f t="shared" ref="AJ186:AJ188" si="370" xml:space="preserve">AJ185</f>
        <v>DirRecy-NMC811</v>
      </c>
      <c r="AK186" s="55" t="s">
        <v>390</v>
      </c>
      <c r="AL186" s="54">
        <f t="shared" si="363"/>
        <v>0.0321645185746778</v>
      </c>
      <c r="AM186" s="54">
        <v>2020</v>
      </c>
      <c r="AO186" s="54" t="str">
        <f t="shared" ref="AO186:AO188" si="371" xml:space="preserve">AO185</f>
        <v>DirRecy-NCA</v>
      </c>
      <c r="AP186" s="55" t="s">
        <v>390</v>
      </c>
      <c r="AQ186" s="54">
        <f t="shared" si="364"/>
        <v>0.0325750512772702</v>
      </c>
      <c r="AR186" s="54">
        <v>2020</v>
      </c>
      <c r="AT186" s="54" t="str">
        <f t="shared" ref="AT186:AT188" si="372" xml:space="preserve">AT185</f>
        <v>DirRecy-LMO</v>
      </c>
      <c r="AU186" s="55" t="s">
        <v>390</v>
      </c>
      <c r="AV186" s="54">
        <f t="shared" si="365"/>
        <v>0.0270428893905192</v>
      </c>
      <c r="AW186" s="54">
        <v>2020</v>
      </c>
      <c r="AY186" s="54" t="str">
        <f t="shared" ref="AY186:AY188" si="373" xml:space="preserve">AY185</f>
        <v>DirRecy-LFP</v>
      </c>
      <c r="AZ186" s="55" t="s">
        <v>390</v>
      </c>
      <c r="BA186" s="54">
        <f t="shared" si="366"/>
        <v>0.0317828086310577</v>
      </c>
      <c r="BB186" s="54">
        <v>2020</v>
      </c>
    </row>
    <row r="187" ht="15.5" spans="21:54">
      <c r="U187" s="54" t="str">
        <f t="shared" si="367"/>
        <v>DirRecy-NMC111</v>
      </c>
      <c r="V187" s="55" t="s">
        <v>391</v>
      </c>
      <c r="W187" s="54">
        <f t="shared" si="360"/>
        <v>0.0557183762843187</v>
      </c>
      <c r="X187" s="54">
        <v>2020</v>
      </c>
      <c r="Z187" s="54" t="str">
        <f t="shared" si="368"/>
        <v>DirRecy-NMC532</v>
      </c>
      <c r="AA187" s="55" t="s">
        <v>391</v>
      </c>
      <c r="AB187" s="54">
        <f t="shared" si="361"/>
        <v>0.055158254918734</v>
      </c>
      <c r="AC187" s="54">
        <v>2020</v>
      </c>
      <c r="AE187" s="54" t="str">
        <f t="shared" si="369"/>
        <v>DirRecy-NMC622</v>
      </c>
      <c r="AF187" s="55" t="s">
        <v>391</v>
      </c>
      <c r="AG187" s="54">
        <f t="shared" si="362"/>
        <v>0.0574887892376682</v>
      </c>
      <c r="AH187" s="54">
        <v>2020</v>
      </c>
      <c r="AJ187" s="54" t="str">
        <f t="shared" si="370"/>
        <v>DirRecy-NMC811</v>
      </c>
      <c r="AK187" s="55" t="s">
        <v>391</v>
      </c>
      <c r="AL187" s="54">
        <f t="shared" si="363"/>
        <v>0.0587755875663381</v>
      </c>
      <c r="AM187" s="54">
        <v>2020</v>
      </c>
      <c r="AO187" s="54" t="str">
        <f t="shared" si="371"/>
        <v>DirRecy-NCA</v>
      </c>
      <c r="AP187" s="55" t="s">
        <v>391</v>
      </c>
      <c r="AQ187" s="54">
        <f t="shared" si="364"/>
        <v>0.0587544284915159</v>
      </c>
      <c r="AR187" s="54">
        <v>2020</v>
      </c>
      <c r="AT187" s="54" t="str">
        <f t="shared" si="372"/>
        <v>DirRecy-LMO</v>
      </c>
      <c r="AU187" s="55" t="s">
        <v>391</v>
      </c>
      <c r="AV187" s="54">
        <f t="shared" si="365"/>
        <v>0.0482317531978932</v>
      </c>
      <c r="AW187" s="54">
        <v>2020</v>
      </c>
      <c r="AY187" s="54" t="str">
        <f t="shared" si="373"/>
        <v>DirRecy-LFP</v>
      </c>
      <c r="AZ187" s="55" t="s">
        <v>391</v>
      </c>
      <c r="BA187" s="54">
        <f t="shared" si="366"/>
        <v>0.0566855323664662</v>
      </c>
      <c r="BB187" s="54">
        <v>2020</v>
      </c>
    </row>
    <row r="188" ht="15.5" spans="21:54">
      <c r="U188" s="54" t="str">
        <f t="shared" si="367"/>
        <v>DirRecy-NMC111</v>
      </c>
      <c r="V188" s="55" t="s">
        <v>392</v>
      </c>
      <c r="W188" s="54">
        <f t="shared" si="360"/>
        <v>0.0130537308404918</v>
      </c>
      <c r="X188" s="54">
        <v>2020</v>
      </c>
      <c r="Z188" s="54" t="str">
        <f t="shared" si="368"/>
        <v>DirRecy-NMC532</v>
      </c>
      <c r="AA188" s="55" t="s">
        <v>392</v>
      </c>
      <c r="AB188" s="54">
        <f t="shared" si="361"/>
        <v>0.0129170230966638</v>
      </c>
      <c r="AC188" s="54">
        <v>2020</v>
      </c>
      <c r="AE188" s="54" t="str">
        <f t="shared" si="369"/>
        <v>DirRecy-NMC622</v>
      </c>
      <c r="AF188" s="55" t="s">
        <v>392</v>
      </c>
      <c r="AG188" s="54">
        <f t="shared" si="362"/>
        <v>0.0134529147982063</v>
      </c>
      <c r="AH188" s="54">
        <v>2020</v>
      </c>
      <c r="AJ188" s="54" t="str">
        <f t="shared" si="370"/>
        <v>DirRecy-NMC811</v>
      </c>
      <c r="AK188" s="55" t="s">
        <v>392</v>
      </c>
      <c r="AL188" s="54">
        <f t="shared" si="363"/>
        <v>0.0136846095526914</v>
      </c>
      <c r="AM188" s="54">
        <v>2020</v>
      </c>
      <c r="AO188" s="54" t="str">
        <f t="shared" si="371"/>
        <v>DirRecy-NCA</v>
      </c>
      <c r="AP188" s="55" t="s">
        <v>392</v>
      </c>
      <c r="AQ188" s="54">
        <f t="shared" si="364"/>
        <v>0.0137236621294052</v>
      </c>
      <c r="AR188" s="54">
        <v>2020</v>
      </c>
      <c r="AT188" s="54" t="str">
        <f t="shared" si="372"/>
        <v>DirRecy-LMO</v>
      </c>
      <c r="AU188" s="55" t="s">
        <v>392</v>
      </c>
      <c r="AV188" s="54">
        <f t="shared" si="365"/>
        <v>0.0112866817155756</v>
      </c>
      <c r="AW188" s="54">
        <v>2020</v>
      </c>
      <c r="AY188" s="54" t="str">
        <f t="shared" si="373"/>
        <v>DirRecy-LFP</v>
      </c>
      <c r="AZ188" s="55" t="s">
        <v>392</v>
      </c>
      <c r="BA188" s="54">
        <f t="shared" si="366"/>
        <v>0.01326494517156</v>
      </c>
      <c r="BB188" s="54">
        <v>2020</v>
      </c>
    </row>
    <row r="198" spans="21:54">
      <c r="V198" s="1" t="s">
        <v>388</v>
      </c>
      <c r="AA198" s="1" t="s">
        <v>388</v>
      </c>
      <c r="AF198" s="1" t="s">
        <v>388</v>
      </c>
      <c r="AK198" s="1" t="s">
        <v>388</v>
      </c>
      <c r="AP198" s="1" t="s">
        <v>388</v>
      </c>
      <c r="AU198" s="1" t="s">
        <v>388</v>
      </c>
      <c r="AZ198" s="1" t="s">
        <v>388</v>
      </c>
    </row>
    <row r="199" ht="15.5" spans="21:54">
      <c r="U199" s="1" t="s">
        <v>66</v>
      </c>
      <c r="V199" s="1" t="s">
        <v>172</v>
      </c>
      <c r="W199" s="1" t="s">
        <v>11</v>
      </c>
      <c r="X199" s="54" t="s">
        <v>41</v>
      </c>
      <c r="Z199" s="1" t="s">
        <v>66</v>
      </c>
      <c r="AA199" s="1" t="s">
        <v>172</v>
      </c>
      <c r="AB199" s="1" t="s">
        <v>11</v>
      </c>
      <c r="AC199" s="54" t="s">
        <v>41</v>
      </c>
      <c r="AE199" s="1" t="s">
        <v>66</v>
      </c>
      <c r="AF199" s="1" t="s">
        <v>172</v>
      </c>
      <c r="AG199" s="1" t="s">
        <v>11</v>
      </c>
      <c r="AH199" s="54" t="s">
        <v>41</v>
      </c>
      <c r="AJ199" s="1" t="s">
        <v>66</v>
      </c>
      <c r="AK199" s="1" t="s">
        <v>172</v>
      </c>
      <c r="AL199" s="1" t="s">
        <v>11</v>
      </c>
      <c r="AM199" s="54" t="s">
        <v>41</v>
      </c>
      <c r="AO199" s="1" t="s">
        <v>66</v>
      </c>
      <c r="AP199" s="1" t="s">
        <v>172</v>
      </c>
      <c r="AQ199" s="1" t="s">
        <v>11</v>
      </c>
      <c r="AR199" s="54" t="s">
        <v>41</v>
      </c>
      <c r="AT199" s="1" t="s">
        <v>66</v>
      </c>
      <c r="AU199" s="1" t="s">
        <v>172</v>
      </c>
      <c r="AV199" s="1" t="s">
        <v>11</v>
      </c>
      <c r="AW199" s="54" t="s">
        <v>41</v>
      </c>
      <c r="AY199" s="1" t="s">
        <v>66</v>
      </c>
      <c r="AZ199" s="1" t="s">
        <v>172</v>
      </c>
      <c r="BA199" s="1" t="s">
        <v>11</v>
      </c>
      <c r="BB199" s="54" t="s">
        <v>41</v>
      </c>
    </row>
    <row r="200" ht="15.5" spans="21:54">
      <c r="U200" s="1" t="s">
        <v>310</v>
      </c>
      <c r="V200" s="1" t="s">
        <v>389</v>
      </c>
      <c r="W200" s="1">
        <f xml:space="preserve">SUM(W162:W165)</f>
        <v>0.141182415361294</v>
      </c>
      <c r="X200" s="54" t="s">
        <v>413</v>
      </c>
      <c r="Z200" s="1" t="s">
        <v>312</v>
      </c>
      <c r="AA200" s="1" t="s">
        <v>389</v>
      </c>
      <c r="AB200" s="1">
        <f xml:space="preserve">SUM(AB162:AB165)</f>
        <v>0.136680923866553</v>
      </c>
      <c r="AC200" s="54" t="s">
        <v>413</v>
      </c>
      <c r="AE200" s="1" t="s">
        <v>314</v>
      </c>
      <c r="AF200" s="1" t="s">
        <v>389</v>
      </c>
      <c r="AG200" s="1">
        <f xml:space="preserve">SUM(AG162:AG165)</f>
        <v>0.141363228699552</v>
      </c>
      <c r="AH200" s="54" t="s">
        <v>413</v>
      </c>
      <c r="AJ200" s="1" t="s">
        <v>316</v>
      </c>
      <c r="AK200" s="1" t="s">
        <v>389</v>
      </c>
      <c r="AL200" s="1">
        <f xml:space="preserve">SUM(AL162:AL165)</f>
        <v>0.148483699772555</v>
      </c>
      <c r="AM200" s="54" t="s">
        <v>413</v>
      </c>
      <c r="AO200" s="1" t="s">
        <v>308</v>
      </c>
      <c r="AP200" s="1" t="s">
        <v>389</v>
      </c>
      <c r="AQ200" s="1">
        <f xml:space="preserve">SUM(AQ162:AQ165)</f>
        <v>0.153906395674063</v>
      </c>
      <c r="AR200" s="54" t="s">
        <v>413</v>
      </c>
      <c r="AT200" s="1" t="s">
        <v>306</v>
      </c>
      <c r="AU200" s="1" t="s">
        <v>389</v>
      </c>
      <c r="AV200" s="1">
        <f xml:space="preserve">SUM(AV162:AV165)</f>
        <v>0.118600451467269</v>
      </c>
      <c r="AW200" s="54" t="s">
        <v>413</v>
      </c>
      <c r="AY200" s="1" t="s">
        <v>304</v>
      </c>
      <c r="AZ200" s="1" t="s">
        <v>389</v>
      </c>
      <c r="BA200" s="1">
        <f xml:space="preserve">SUM(BA162:BA165)</f>
        <v>0.139388043862752</v>
      </c>
      <c r="BB200" s="54" t="s">
        <v>413</v>
      </c>
    </row>
    <row r="201" ht="15.5" spans="21:54">
      <c r="U201" s="1" t="s">
        <v>310</v>
      </c>
      <c r="V201" s="1" t="s">
        <v>390</v>
      </c>
      <c r="W201" s="1">
        <v>0</v>
      </c>
      <c r="X201" s="54" t="s">
        <v>413</v>
      </c>
      <c r="Z201" s="1" t="s">
        <v>312</v>
      </c>
      <c r="AA201" s="1" t="s">
        <v>390</v>
      </c>
      <c r="AB201" s="1">
        <v>0</v>
      </c>
      <c r="AC201" s="54" t="s">
        <v>413</v>
      </c>
      <c r="AE201" s="1" t="s">
        <v>314</v>
      </c>
      <c r="AF201" s="1" t="s">
        <v>390</v>
      </c>
      <c r="AG201" s="1">
        <v>0</v>
      </c>
      <c r="AH201" s="54" t="s">
        <v>413</v>
      </c>
      <c r="AJ201" s="1" t="s">
        <v>316</v>
      </c>
      <c r="AK201" s="1" t="s">
        <v>390</v>
      </c>
      <c r="AL201" s="1">
        <v>0</v>
      </c>
      <c r="AM201" s="54" t="s">
        <v>413</v>
      </c>
      <c r="AO201" s="1" t="s">
        <v>308</v>
      </c>
      <c r="AP201" s="1" t="s">
        <v>390</v>
      </c>
      <c r="AQ201" s="1">
        <v>0</v>
      </c>
      <c r="AR201" s="54" t="s">
        <v>413</v>
      </c>
      <c r="AT201" s="1" t="s">
        <v>306</v>
      </c>
      <c r="AU201" s="1" t="s">
        <v>390</v>
      </c>
      <c r="AV201" s="1">
        <v>0</v>
      </c>
      <c r="AW201" s="54" t="s">
        <v>413</v>
      </c>
      <c r="AY201" s="1" t="s">
        <v>304</v>
      </c>
      <c r="AZ201" s="1" t="s">
        <v>390</v>
      </c>
      <c r="BA201" s="1">
        <v>0</v>
      </c>
      <c r="BB201" s="54" t="s">
        <v>413</v>
      </c>
    </row>
    <row r="202" ht="15.5" spans="21:54">
      <c r="U202" s="1" t="s">
        <v>310</v>
      </c>
      <c r="V202" s="1" t="s">
        <v>391</v>
      </c>
      <c r="W202" s="1">
        <v>0</v>
      </c>
      <c r="X202" s="54" t="s">
        <v>413</v>
      </c>
      <c r="Z202" s="1" t="s">
        <v>312</v>
      </c>
      <c r="AA202" s="1" t="s">
        <v>391</v>
      </c>
      <c r="AB202" s="1">
        <v>0</v>
      </c>
      <c r="AC202" s="54" t="s">
        <v>413</v>
      </c>
      <c r="AE202" s="1" t="s">
        <v>314</v>
      </c>
      <c r="AF202" s="1" t="s">
        <v>391</v>
      </c>
      <c r="AG202" s="1">
        <v>0</v>
      </c>
      <c r="AH202" s="54" t="s">
        <v>413</v>
      </c>
      <c r="AJ202" s="1" t="s">
        <v>316</v>
      </c>
      <c r="AK202" s="1" t="s">
        <v>391</v>
      </c>
      <c r="AL202" s="1">
        <v>0</v>
      </c>
      <c r="AM202" s="54" t="s">
        <v>413</v>
      </c>
      <c r="AO202" s="1" t="s">
        <v>308</v>
      </c>
      <c r="AP202" s="1" t="s">
        <v>391</v>
      </c>
      <c r="AQ202" s="1">
        <v>0</v>
      </c>
      <c r="AR202" s="54" t="s">
        <v>413</v>
      </c>
      <c r="AT202" s="1" t="s">
        <v>306</v>
      </c>
      <c r="AU202" s="1" t="s">
        <v>391</v>
      </c>
      <c r="AV202" s="1">
        <v>0</v>
      </c>
      <c r="AW202" s="54" t="s">
        <v>413</v>
      </c>
      <c r="AY202" s="1" t="s">
        <v>304</v>
      </c>
      <c r="AZ202" s="1" t="s">
        <v>391</v>
      </c>
      <c r="BA202" s="1">
        <v>0</v>
      </c>
      <c r="BB202" s="54" t="s">
        <v>413</v>
      </c>
    </row>
    <row r="203" ht="15.5" spans="21:54">
      <c r="U203" s="1" t="s">
        <v>310</v>
      </c>
      <c r="V203" s="1" t="s">
        <v>392</v>
      </c>
      <c r="W203" s="1">
        <v>0</v>
      </c>
      <c r="X203" s="54" t="s">
        <v>413</v>
      </c>
      <c r="Z203" s="1" t="s">
        <v>312</v>
      </c>
      <c r="AA203" s="1" t="s">
        <v>392</v>
      </c>
      <c r="AB203" s="1">
        <v>0</v>
      </c>
      <c r="AC203" s="54" t="s">
        <v>413</v>
      </c>
      <c r="AE203" s="1" t="s">
        <v>314</v>
      </c>
      <c r="AF203" s="1" t="s">
        <v>392</v>
      </c>
      <c r="AG203" s="1">
        <v>0</v>
      </c>
      <c r="AH203" s="54" t="s">
        <v>413</v>
      </c>
      <c r="AJ203" s="1" t="s">
        <v>316</v>
      </c>
      <c r="AK203" s="1" t="s">
        <v>392</v>
      </c>
      <c r="AL203" s="1">
        <v>0</v>
      </c>
      <c r="AM203" s="54" t="s">
        <v>413</v>
      </c>
      <c r="AO203" s="1" t="s">
        <v>308</v>
      </c>
      <c r="AP203" s="1" t="s">
        <v>392</v>
      </c>
      <c r="AQ203" s="1">
        <v>0</v>
      </c>
      <c r="AR203" s="54" t="s">
        <v>413</v>
      </c>
      <c r="AT203" s="1" t="s">
        <v>306</v>
      </c>
      <c r="AU203" s="1" t="s">
        <v>392</v>
      </c>
      <c r="AV203" s="1">
        <v>0</v>
      </c>
      <c r="AW203" s="54" t="s">
        <v>413</v>
      </c>
      <c r="AY203" s="1" t="s">
        <v>304</v>
      </c>
      <c r="AZ203" s="1" t="s">
        <v>392</v>
      </c>
      <c r="BA203" s="1">
        <v>0</v>
      </c>
      <c r="BB203" s="54" t="s">
        <v>413</v>
      </c>
    </row>
    <row r="210" spans="21:54">
      <c r="V210" s="1" t="s">
        <v>388</v>
      </c>
      <c r="AA210" s="1" t="s">
        <v>388</v>
      </c>
      <c r="AF210" s="1" t="s">
        <v>388</v>
      </c>
      <c r="AK210" s="1" t="s">
        <v>388</v>
      </c>
      <c r="AP210" s="1" t="s">
        <v>388</v>
      </c>
      <c r="AU210" s="1" t="s">
        <v>388</v>
      </c>
      <c r="AZ210" s="1" t="s">
        <v>388</v>
      </c>
    </row>
    <row r="211" ht="15.5" spans="21:54">
      <c r="U211" s="1" t="s">
        <v>66</v>
      </c>
      <c r="V211" s="1" t="s">
        <v>172</v>
      </c>
      <c r="W211" s="1" t="s">
        <v>11</v>
      </c>
      <c r="X211" s="54" t="s">
        <v>41</v>
      </c>
      <c r="Z211" s="1" t="s">
        <v>66</v>
      </c>
      <c r="AA211" s="1" t="s">
        <v>172</v>
      </c>
      <c r="AB211" s="1" t="s">
        <v>11</v>
      </c>
      <c r="AC211" s="54" t="s">
        <v>41</v>
      </c>
      <c r="AE211" s="1" t="s">
        <v>66</v>
      </c>
      <c r="AF211" s="1" t="s">
        <v>172</v>
      </c>
      <c r="AG211" s="1" t="s">
        <v>11</v>
      </c>
      <c r="AH211" s="54" t="s">
        <v>41</v>
      </c>
      <c r="AJ211" s="1" t="s">
        <v>66</v>
      </c>
      <c r="AK211" s="1" t="s">
        <v>172</v>
      </c>
      <c r="AL211" s="1" t="s">
        <v>11</v>
      </c>
      <c r="AM211" s="54" t="s">
        <v>41</v>
      </c>
      <c r="AO211" s="1" t="s">
        <v>66</v>
      </c>
      <c r="AP211" s="1" t="s">
        <v>172</v>
      </c>
      <c r="AQ211" s="1" t="s">
        <v>11</v>
      </c>
      <c r="AR211" s="54" t="s">
        <v>41</v>
      </c>
      <c r="AT211" s="1" t="s">
        <v>66</v>
      </c>
      <c r="AU211" s="1" t="s">
        <v>172</v>
      </c>
      <c r="AV211" s="1" t="s">
        <v>11</v>
      </c>
      <c r="AW211" s="54" t="s">
        <v>41</v>
      </c>
      <c r="AY211" s="1" t="s">
        <v>66</v>
      </c>
      <c r="AZ211" s="1" t="s">
        <v>172</v>
      </c>
      <c r="BA211" s="1" t="s">
        <v>11</v>
      </c>
      <c r="BB211" s="54" t="s">
        <v>41</v>
      </c>
    </row>
    <row r="212" ht="15.5" spans="21:54">
      <c r="U212" s="1" t="s">
        <v>323</v>
      </c>
      <c r="V212" s="1" t="s">
        <v>389</v>
      </c>
      <c r="W212" s="1">
        <f xml:space="preserve">SUM(W174:W177)</f>
        <v>0.152669698500926</v>
      </c>
      <c r="X212" s="54" t="s">
        <v>413</v>
      </c>
      <c r="Z212" s="1" t="s">
        <v>325</v>
      </c>
      <c r="AA212" s="1" t="s">
        <v>389</v>
      </c>
      <c r="AB212" s="1">
        <f xml:space="preserve">SUM(AB174:AB177)</f>
        <v>0.147904191616766</v>
      </c>
      <c r="AC212" s="54" t="s">
        <v>413</v>
      </c>
      <c r="AE212" s="1" t="s">
        <v>327</v>
      </c>
      <c r="AF212" s="1" t="s">
        <v>389</v>
      </c>
      <c r="AG212" s="1">
        <f xml:space="preserve">SUM(AG174:AG177)</f>
        <v>0.153291479820628</v>
      </c>
      <c r="AH212" s="54" t="s">
        <v>413</v>
      </c>
      <c r="AJ212" s="1" t="s">
        <v>329</v>
      </c>
      <c r="AK212" s="1" t="s">
        <v>389</v>
      </c>
      <c r="AL212" s="1">
        <f xml:space="preserve">SUM(AL174:AL177)</f>
        <v>0.156406368460955</v>
      </c>
      <c r="AM212" s="54" t="s">
        <v>413</v>
      </c>
      <c r="AO212" s="1" t="s">
        <v>321</v>
      </c>
      <c r="AP212" s="1" t="s">
        <v>389</v>
      </c>
      <c r="AQ212" s="1">
        <f xml:space="preserve">SUM(AQ174:AQ177)</f>
        <v>0.161625955621853</v>
      </c>
      <c r="AR212" s="54" t="s">
        <v>413</v>
      </c>
      <c r="AT212" s="1" t="s">
        <v>320</v>
      </c>
      <c r="AU212" s="1" t="s">
        <v>389</v>
      </c>
      <c r="AV212" s="1">
        <f xml:space="preserve">SUM(AV174:AV177)</f>
        <v>0.128607975921746</v>
      </c>
      <c r="AW212" s="54" t="s">
        <v>413</v>
      </c>
      <c r="AY212" s="1" t="s">
        <v>318</v>
      </c>
      <c r="AZ212" s="1" t="s">
        <v>389</v>
      </c>
      <c r="BA212" s="1">
        <f xml:space="preserve">SUM(BA174:BA177)</f>
        <v>0.151149628581535</v>
      </c>
      <c r="BB212" s="54" t="s">
        <v>413</v>
      </c>
    </row>
    <row r="213" ht="15.5" spans="21:54">
      <c r="U213" s="1" t="s">
        <v>323</v>
      </c>
      <c r="V213" s="1" t="s">
        <v>390</v>
      </c>
      <c r="W213" s="1">
        <v>0</v>
      </c>
      <c r="X213" s="54" t="s">
        <v>413</v>
      </c>
      <c r="Z213" s="1" t="s">
        <v>325</v>
      </c>
      <c r="AA213" s="1" t="s">
        <v>390</v>
      </c>
      <c r="AB213" s="1">
        <v>0</v>
      </c>
      <c r="AC213" s="54" t="s">
        <v>413</v>
      </c>
      <c r="AE213" s="1" t="s">
        <v>327</v>
      </c>
      <c r="AF213" s="1" t="s">
        <v>390</v>
      </c>
      <c r="AG213" s="1">
        <v>0</v>
      </c>
      <c r="AH213" s="54" t="s">
        <v>413</v>
      </c>
      <c r="AJ213" s="1" t="s">
        <v>329</v>
      </c>
      <c r="AK213" s="1" t="s">
        <v>390</v>
      </c>
      <c r="AL213" s="1">
        <v>0</v>
      </c>
      <c r="AM213" s="54" t="s">
        <v>413</v>
      </c>
      <c r="AO213" s="1" t="s">
        <v>321</v>
      </c>
      <c r="AP213" s="1" t="s">
        <v>390</v>
      </c>
      <c r="AQ213" s="1">
        <v>0</v>
      </c>
      <c r="AR213" s="54" t="s">
        <v>413</v>
      </c>
      <c r="AT213" s="1" t="s">
        <v>320</v>
      </c>
      <c r="AU213" s="1" t="s">
        <v>390</v>
      </c>
      <c r="AV213" s="1">
        <v>0</v>
      </c>
      <c r="AW213" s="54" t="s">
        <v>413</v>
      </c>
      <c r="AY213" s="1" t="s">
        <v>318</v>
      </c>
      <c r="AZ213" s="1" t="s">
        <v>390</v>
      </c>
      <c r="BA213" s="1">
        <v>0</v>
      </c>
      <c r="BB213" s="54" t="s">
        <v>413</v>
      </c>
    </row>
    <row r="214" ht="15.5" spans="21:54">
      <c r="U214" s="1" t="s">
        <v>323</v>
      </c>
      <c r="V214" s="1" t="s">
        <v>391</v>
      </c>
      <c r="W214" s="1">
        <v>0</v>
      </c>
      <c r="X214" s="54" t="s">
        <v>413</v>
      </c>
      <c r="Z214" s="1" t="s">
        <v>325</v>
      </c>
      <c r="AA214" s="1" t="s">
        <v>391</v>
      </c>
      <c r="AB214" s="1">
        <v>0</v>
      </c>
      <c r="AC214" s="54" t="s">
        <v>413</v>
      </c>
      <c r="AE214" s="1" t="s">
        <v>327</v>
      </c>
      <c r="AF214" s="1" t="s">
        <v>391</v>
      </c>
      <c r="AG214" s="1">
        <v>0</v>
      </c>
      <c r="AH214" s="54" t="s">
        <v>413</v>
      </c>
      <c r="AJ214" s="1" t="s">
        <v>329</v>
      </c>
      <c r="AK214" s="1" t="s">
        <v>391</v>
      </c>
      <c r="AL214" s="1">
        <v>0</v>
      </c>
      <c r="AM214" s="54" t="s">
        <v>413</v>
      </c>
      <c r="AO214" s="1" t="s">
        <v>321</v>
      </c>
      <c r="AP214" s="1" t="s">
        <v>391</v>
      </c>
      <c r="AQ214" s="1">
        <v>0</v>
      </c>
      <c r="AR214" s="54" t="s">
        <v>413</v>
      </c>
      <c r="AT214" s="1" t="s">
        <v>320</v>
      </c>
      <c r="AU214" s="1" t="s">
        <v>391</v>
      </c>
      <c r="AV214" s="1">
        <v>0</v>
      </c>
      <c r="AW214" s="54" t="s">
        <v>413</v>
      </c>
      <c r="AY214" s="1" t="s">
        <v>318</v>
      </c>
      <c r="AZ214" s="1" t="s">
        <v>391</v>
      </c>
      <c r="BA214" s="1">
        <v>0</v>
      </c>
      <c r="BB214" s="54" t="s">
        <v>413</v>
      </c>
    </row>
    <row r="215" ht="15.5" spans="21:54">
      <c r="U215" s="1" t="s">
        <v>323</v>
      </c>
      <c r="V215" s="1" t="s">
        <v>392</v>
      </c>
      <c r="W215" s="1">
        <v>0</v>
      </c>
      <c r="X215" s="54" t="s">
        <v>413</v>
      </c>
      <c r="Z215" s="1" t="s">
        <v>325</v>
      </c>
      <c r="AA215" s="1" t="s">
        <v>392</v>
      </c>
      <c r="AB215" s="1">
        <v>0</v>
      </c>
      <c r="AC215" s="54" t="s">
        <v>413</v>
      </c>
      <c r="AE215" s="1" t="s">
        <v>327</v>
      </c>
      <c r="AF215" s="1" t="s">
        <v>392</v>
      </c>
      <c r="AG215" s="1">
        <v>0</v>
      </c>
      <c r="AH215" s="54" t="s">
        <v>413</v>
      </c>
      <c r="AJ215" s="1" t="s">
        <v>329</v>
      </c>
      <c r="AK215" s="1" t="s">
        <v>392</v>
      </c>
      <c r="AL215" s="1">
        <v>0</v>
      </c>
      <c r="AM215" s="54" t="s">
        <v>413</v>
      </c>
      <c r="AO215" s="1" t="s">
        <v>321</v>
      </c>
      <c r="AP215" s="1" t="s">
        <v>392</v>
      </c>
      <c r="AQ215" s="1">
        <v>0</v>
      </c>
      <c r="AR215" s="54" t="s">
        <v>413</v>
      </c>
      <c r="AT215" s="1" t="s">
        <v>320</v>
      </c>
      <c r="AU215" s="1" t="s">
        <v>392</v>
      </c>
      <c r="AV215" s="1">
        <v>0</v>
      </c>
      <c r="AW215" s="54" t="s">
        <v>413</v>
      </c>
      <c r="AY215" s="1" t="s">
        <v>318</v>
      </c>
      <c r="AZ215" s="1" t="s">
        <v>392</v>
      </c>
      <c r="BA215" s="1">
        <v>0</v>
      </c>
      <c r="BB215" s="54" t="s">
        <v>413</v>
      </c>
    </row>
    <row r="221" spans="21:54">
      <c r="V221" s="1" t="s">
        <v>388</v>
      </c>
      <c r="AA221" s="1" t="s">
        <v>388</v>
      </c>
      <c r="AF221" s="1" t="s">
        <v>388</v>
      </c>
      <c r="AK221" s="1" t="s">
        <v>388</v>
      </c>
      <c r="AP221" s="1" t="s">
        <v>388</v>
      </c>
      <c r="AU221" s="1" t="s">
        <v>388</v>
      </c>
      <c r="AZ221" s="1" t="s">
        <v>388</v>
      </c>
    </row>
    <row r="222" ht="15.5" spans="21:54">
      <c r="U222" s="1" t="s">
        <v>66</v>
      </c>
      <c r="V222" s="1" t="s">
        <v>172</v>
      </c>
      <c r="W222" s="1" t="s">
        <v>11</v>
      </c>
      <c r="X222" s="54" t="s">
        <v>41</v>
      </c>
      <c r="Z222" s="1" t="s">
        <v>66</v>
      </c>
      <c r="AA222" s="1" t="s">
        <v>172</v>
      </c>
      <c r="AB222" s="1" t="s">
        <v>11</v>
      </c>
      <c r="AC222" s="54" t="s">
        <v>41</v>
      </c>
      <c r="AE222" s="1" t="s">
        <v>66</v>
      </c>
      <c r="AF222" s="1" t="s">
        <v>172</v>
      </c>
      <c r="AG222" s="1" t="s">
        <v>11</v>
      </c>
      <c r="AH222" s="54" t="s">
        <v>41</v>
      </c>
      <c r="AJ222" s="1" t="s">
        <v>66</v>
      </c>
      <c r="AK222" s="1" t="s">
        <v>172</v>
      </c>
      <c r="AL222" s="1" t="s">
        <v>11</v>
      </c>
      <c r="AM222" s="54" t="s">
        <v>41</v>
      </c>
      <c r="AO222" s="1" t="s">
        <v>66</v>
      </c>
      <c r="AP222" s="1" t="s">
        <v>172</v>
      </c>
      <c r="AQ222" s="1" t="s">
        <v>11</v>
      </c>
      <c r="AR222" s="54" t="s">
        <v>41</v>
      </c>
      <c r="AT222" s="1" t="s">
        <v>66</v>
      </c>
      <c r="AU222" s="1" t="s">
        <v>172</v>
      </c>
      <c r="AV222" s="1" t="s">
        <v>11</v>
      </c>
      <c r="AW222" s="54" t="s">
        <v>41</v>
      </c>
      <c r="AY222" s="1" t="s">
        <v>66</v>
      </c>
      <c r="AZ222" s="1" t="s">
        <v>172</v>
      </c>
      <c r="BA222" s="1" t="s">
        <v>11</v>
      </c>
      <c r="BB222" s="54" t="s">
        <v>41</v>
      </c>
    </row>
    <row r="223" ht="15.5" spans="21:54">
      <c r="U223" s="1" t="s">
        <v>336</v>
      </c>
      <c r="V223" s="1" t="s">
        <v>389</v>
      </c>
      <c r="W223" s="1">
        <f xml:space="preserve">SUM(W185:W188)</f>
        <v>0.108842849924204</v>
      </c>
      <c r="X223" s="54" t="s">
        <v>413</v>
      </c>
      <c r="Z223" s="1" t="s">
        <v>338</v>
      </c>
      <c r="AA223" s="1" t="s">
        <v>389</v>
      </c>
      <c r="AB223" s="1">
        <f xml:space="preserve">SUM(AB185:AB188)</f>
        <v>0.107014542343884</v>
      </c>
      <c r="AC223" s="54" t="s">
        <v>413</v>
      </c>
      <c r="AE223" s="1" t="s">
        <v>340</v>
      </c>
      <c r="AF223" s="1" t="s">
        <v>389</v>
      </c>
      <c r="AG223" s="1">
        <f xml:space="preserve">SUM(AG185:AG188)</f>
        <v>0.111354260089686</v>
      </c>
      <c r="AH223" s="54" t="s">
        <v>413</v>
      </c>
      <c r="AJ223" s="1" t="s">
        <v>341</v>
      </c>
      <c r="AK223" s="1" t="s">
        <v>389</v>
      </c>
      <c r="AL223" s="1">
        <f xml:space="preserve">SUM(AL185:AL188)</f>
        <v>0.112793783169067</v>
      </c>
      <c r="AM223" s="54" t="s">
        <v>413</v>
      </c>
      <c r="AO223" s="1" t="s">
        <v>335</v>
      </c>
      <c r="AP223" s="1" t="s">
        <v>389</v>
      </c>
      <c r="AQ223" s="1">
        <f xml:space="preserve">SUM(AQ185:AQ188)</f>
        <v>0.113313443967928</v>
      </c>
      <c r="AR223" s="54" t="s">
        <v>413</v>
      </c>
      <c r="AT223" s="1" t="s">
        <v>333</v>
      </c>
      <c r="AU223" s="1" t="s">
        <v>389</v>
      </c>
      <c r="AV223" s="1">
        <f xml:space="preserve">SUM(AV185:AV188)</f>
        <v>0.0934236267870579</v>
      </c>
      <c r="AW223" s="54" t="s">
        <v>413</v>
      </c>
      <c r="AY223" s="1" t="s">
        <v>331</v>
      </c>
      <c r="AZ223" s="1" t="s">
        <v>389</v>
      </c>
      <c r="BA223" s="1">
        <f xml:space="preserve">SUM(BA185:BA188)</f>
        <v>0.109798372833392</v>
      </c>
      <c r="BB223" s="54" t="s">
        <v>413</v>
      </c>
    </row>
    <row r="224" ht="15.5" spans="21:54">
      <c r="U224" s="1" t="s">
        <v>336</v>
      </c>
      <c r="V224" s="1" t="s">
        <v>390</v>
      </c>
      <c r="W224" s="1">
        <v>0</v>
      </c>
      <c r="X224" s="54" t="s">
        <v>413</v>
      </c>
      <c r="Z224" s="1" t="s">
        <v>338</v>
      </c>
      <c r="AA224" s="1" t="s">
        <v>390</v>
      </c>
      <c r="AB224" s="1">
        <v>0</v>
      </c>
      <c r="AC224" s="54" t="s">
        <v>413</v>
      </c>
      <c r="AE224" s="1" t="s">
        <v>340</v>
      </c>
      <c r="AF224" s="1" t="s">
        <v>390</v>
      </c>
      <c r="AG224" s="1">
        <v>0</v>
      </c>
      <c r="AH224" s="54" t="s">
        <v>413</v>
      </c>
      <c r="AJ224" s="1" t="s">
        <v>341</v>
      </c>
      <c r="AK224" s="1" t="s">
        <v>390</v>
      </c>
      <c r="AL224" s="1">
        <v>0</v>
      </c>
      <c r="AM224" s="54" t="s">
        <v>413</v>
      </c>
      <c r="AO224" s="1" t="s">
        <v>335</v>
      </c>
      <c r="AP224" s="1" t="s">
        <v>390</v>
      </c>
      <c r="AQ224" s="1">
        <v>0</v>
      </c>
      <c r="AR224" s="54" t="s">
        <v>413</v>
      </c>
      <c r="AT224" s="1" t="s">
        <v>333</v>
      </c>
      <c r="AU224" s="1" t="s">
        <v>390</v>
      </c>
      <c r="AV224" s="1">
        <v>0</v>
      </c>
      <c r="AW224" s="54" t="s">
        <v>413</v>
      </c>
      <c r="AY224" s="1" t="s">
        <v>331</v>
      </c>
      <c r="AZ224" s="1" t="s">
        <v>390</v>
      </c>
      <c r="BA224" s="1">
        <v>0</v>
      </c>
      <c r="BB224" s="54" t="s">
        <v>413</v>
      </c>
    </row>
    <row r="225" ht="15.5" spans="21:54">
      <c r="U225" s="1" t="s">
        <v>336</v>
      </c>
      <c r="V225" s="1" t="s">
        <v>391</v>
      </c>
      <c r="W225" s="1">
        <v>0</v>
      </c>
      <c r="X225" s="54" t="s">
        <v>413</v>
      </c>
      <c r="Z225" s="1" t="s">
        <v>338</v>
      </c>
      <c r="AA225" s="1" t="s">
        <v>391</v>
      </c>
      <c r="AB225" s="1">
        <v>0</v>
      </c>
      <c r="AC225" s="54" t="s">
        <v>413</v>
      </c>
      <c r="AE225" s="1" t="s">
        <v>340</v>
      </c>
      <c r="AF225" s="1" t="s">
        <v>391</v>
      </c>
      <c r="AG225" s="1">
        <v>0</v>
      </c>
      <c r="AH225" s="54" t="s">
        <v>413</v>
      </c>
      <c r="AJ225" s="1" t="s">
        <v>341</v>
      </c>
      <c r="AK225" s="1" t="s">
        <v>391</v>
      </c>
      <c r="AL225" s="1">
        <v>0</v>
      </c>
      <c r="AM225" s="54" t="s">
        <v>413</v>
      </c>
      <c r="AO225" s="1" t="s">
        <v>335</v>
      </c>
      <c r="AP225" s="1" t="s">
        <v>391</v>
      </c>
      <c r="AQ225" s="1">
        <v>0</v>
      </c>
      <c r="AR225" s="54" t="s">
        <v>413</v>
      </c>
      <c r="AT225" s="1" t="s">
        <v>333</v>
      </c>
      <c r="AU225" s="1" t="s">
        <v>391</v>
      </c>
      <c r="AV225" s="1">
        <v>0</v>
      </c>
      <c r="AW225" s="54" t="s">
        <v>413</v>
      </c>
      <c r="AY225" s="1" t="s">
        <v>331</v>
      </c>
      <c r="AZ225" s="1" t="s">
        <v>391</v>
      </c>
      <c r="BA225" s="1">
        <v>0</v>
      </c>
      <c r="BB225" s="54" t="s">
        <v>413</v>
      </c>
    </row>
    <row r="226" ht="15.5" spans="21:54">
      <c r="U226" s="1" t="s">
        <v>336</v>
      </c>
      <c r="V226" s="1" t="s">
        <v>392</v>
      </c>
      <c r="W226" s="1">
        <v>0</v>
      </c>
      <c r="X226" s="54" t="s">
        <v>413</v>
      </c>
      <c r="Z226" s="1" t="s">
        <v>338</v>
      </c>
      <c r="AA226" s="1" t="s">
        <v>392</v>
      </c>
      <c r="AB226" s="1">
        <v>0</v>
      </c>
      <c r="AC226" s="54" t="s">
        <v>413</v>
      </c>
      <c r="AE226" s="1" t="s">
        <v>340</v>
      </c>
      <c r="AF226" s="1" t="s">
        <v>392</v>
      </c>
      <c r="AG226" s="1">
        <v>0</v>
      </c>
      <c r="AH226" s="54" t="s">
        <v>413</v>
      </c>
      <c r="AJ226" s="1" t="s">
        <v>341</v>
      </c>
      <c r="AK226" s="1" t="s">
        <v>392</v>
      </c>
      <c r="AL226" s="1">
        <v>0</v>
      </c>
      <c r="AM226" s="54" t="s">
        <v>413</v>
      </c>
      <c r="AO226" s="1" t="s">
        <v>335</v>
      </c>
      <c r="AP226" s="1" t="s">
        <v>392</v>
      </c>
      <c r="AQ226" s="1">
        <v>0</v>
      </c>
      <c r="AR226" s="54" t="s">
        <v>413</v>
      </c>
      <c r="AT226" s="1" t="s">
        <v>333</v>
      </c>
      <c r="AU226" s="1" t="s">
        <v>392</v>
      </c>
      <c r="AV226" s="1">
        <v>0</v>
      </c>
      <c r="AW226" s="54" t="s">
        <v>413</v>
      </c>
      <c r="AY226" s="1" t="s">
        <v>331</v>
      </c>
      <c r="AZ226" s="1" t="s">
        <v>392</v>
      </c>
      <c r="BA226" s="1">
        <v>0</v>
      </c>
      <c r="BB226" s="54" t="s">
        <v>413</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447"/>
  <sheetViews>
    <sheetView zoomScale="59" zoomScaleNormal="59" topLeftCell="AN1" workbookViewId="0">
      <selection activeCell="H408" sqref="H408"/>
    </sheetView>
  </sheetViews>
  <sheetFormatPr defaultColWidth="8.72727272727273" defaultRowHeight="12.5"/>
  <cols>
    <col min="1" max="1" width="34.8545454545455" customWidth="1"/>
    <col min="2" max="2" width="9.71818181818182" customWidth="1"/>
    <col min="5" max="5" width="12.8545454545455" style="33" customWidth="1"/>
    <col min="6" max="6" width="12.8545454545455" style="33"/>
    <col min="9" max="10" width="12.8545454545455" style="33"/>
    <col min="12" max="12" width="12.8545454545455" style="33"/>
    <col min="22" max="22" width="12.8545454545455" style="33" customWidth="1"/>
  </cols>
  <sheetData>
    <row r="1" spans="1:89">
      <c r="A1" s="34" t="s">
        <v>432</v>
      </c>
      <c r="B1" s="34"/>
      <c r="C1" s="34"/>
      <c r="D1" s="34"/>
      <c r="E1" s="34"/>
      <c r="F1" s="34"/>
      <c r="G1" s="34"/>
      <c r="H1" s="34"/>
      <c r="I1" s="34"/>
      <c r="J1" s="34"/>
      <c r="K1" s="34"/>
      <c r="L1" s="34"/>
      <c r="M1" s="34"/>
      <c r="N1" s="34"/>
      <c r="O1" s="34"/>
      <c r="P1" s="34"/>
      <c r="Q1" s="34"/>
      <c r="R1" s="34"/>
      <c r="S1" s="34"/>
      <c r="T1" s="34"/>
      <c r="U1" s="34"/>
      <c r="V1" s="34"/>
      <c r="W1" s="34"/>
      <c r="AI1" t="s">
        <v>433</v>
      </c>
      <c r="BL1" t="s">
        <v>434</v>
      </c>
    </row>
    <row r="2" spans="1:89">
      <c r="A2" s="34" t="s">
        <v>1</v>
      </c>
      <c r="B2" s="34" t="s">
        <v>196</v>
      </c>
      <c r="C2" s="34" t="s">
        <v>4</v>
      </c>
      <c r="D2" s="34">
        <v>2019</v>
      </c>
      <c r="E2" s="34">
        <v>2020</v>
      </c>
      <c r="F2" s="34">
        <v>2024</v>
      </c>
      <c r="G2" s="34">
        <v>2025</v>
      </c>
      <c r="H2" s="34">
        <v>2030</v>
      </c>
      <c r="I2" s="34">
        <v>2035</v>
      </c>
      <c r="J2" s="34">
        <v>2040</v>
      </c>
      <c r="K2" s="34">
        <v>2045</v>
      </c>
      <c r="L2" s="34">
        <v>2050</v>
      </c>
      <c r="M2" s="34">
        <v>2055</v>
      </c>
      <c r="N2" s="34">
        <v>2060</v>
      </c>
      <c r="O2" s="34">
        <v>2065</v>
      </c>
      <c r="P2" s="34">
        <v>2070</v>
      </c>
      <c r="Q2" s="34">
        <v>2075</v>
      </c>
      <c r="R2" s="34">
        <v>2080</v>
      </c>
      <c r="S2" s="34">
        <v>2085</v>
      </c>
      <c r="T2" s="34">
        <v>2090</v>
      </c>
      <c r="U2" s="34">
        <v>2095</v>
      </c>
      <c r="V2" s="34">
        <v>2100</v>
      </c>
      <c r="W2" s="34">
        <v>0</v>
      </c>
      <c r="AH2" t="s">
        <v>435</v>
      </c>
      <c r="BK2" t="s">
        <v>435</v>
      </c>
    </row>
    <row r="3" spans="1:89">
      <c r="A3" s="34" t="s">
        <v>3</v>
      </c>
      <c r="B3" s="34" t="s">
        <v>436</v>
      </c>
      <c r="C3" s="34" t="s">
        <v>436</v>
      </c>
      <c r="D3" s="34"/>
      <c r="E3" s="34">
        <v>29.5822608017472</v>
      </c>
      <c r="F3" s="34">
        <f xml:space="preserve">E3</f>
        <v>29.5822608017472</v>
      </c>
      <c r="G3" s="34"/>
      <c r="H3" s="34"/>
      <c r="I3" s="34">
        <f xml:space="preserve">F3</f>
        <v>29.5822608017472</v>
      </c>
      <c r="J3" s="34">
        <f xml:space="preserve">I3</f>
        <v>29.5822608017472</v>
      </c>
      <c r="K3" s="34"/>
      <c r="L3" s="34">
        <f xml:space="preserve">J3</f>
        <v>29.5822608017472</v>
      </c>
      <c r="M3" s="34"/>
      <c r="N3" s="34"/>
      <c r="O3" s="34"/>
      <c r="P3" s="34"/>
      <c r="Q3" s="34"/>
      <c r="R3" s="34"/>
      <c r="S3" s="34"/>
      <c r="T3" s="34"/>
      <c r="U3" s="34"/>
      <c r="V3" s="34">
        <f xml:space="preserve">L3</f>
        <v>29.5822608017472</v>
      </c>
      <c r="W3" s="34">
        <v>3</v>
      </c>
      <c r="AG3" s="232" t="s">
        <v>437</v>
      </c>
      <c r="AI3">
        <v>1</v>
      </c>
      <c r="AJ3">
        <v>1.02349969875313</v>
      </c>
      <c r="AK3">
        <v>1.25839625558148</v>
      </c>
      <c r="AL3">
        <v>1.56875019961733</v>
      </c>
      <c r="AM3">
        <v>1.96121257678312</v>
      </c>
      <c r="AN3">
        <v>2.43608377440658</v>
      </c>
      <c r="AO3">
        <v>3.00325350238505</v>
      </c>
      <c r="AP3">
        <v>3.67420479014643</v>
      </c>
      <c r="AQ3">
        <v>4.460440572303</v>
      </c>
      <c r="AR3">
        <v>5.36383284096653</v>
      </c>
      <c r="AS3">
        <v>6.37421321365854</v>
      </c>
      <c r="AT3">
        <v>7.45520677550761</v>
      </c>
      <c r="AU3">
        <v>8.60970837366772</v>
      </c>
      <c r="AV3">
        <v>9.8314238983634</v>
      </c>
      <c r="AW3">
        <v>11.1188654370631</v>
      </c>
      <c r="AX3">
        <v>12.4785673189264</v>
      </c>
      <c r="AY3">
        <v>13.9094673309328</v>
      </c>
      <c r="AZ3">
        <v>15.3976698448309</v>
      </c>
      <c r="BA3">
        <v>0</v>
      </c>
      <c r="BB3">
        <v>0</v>
      </c>
      <c r="BC3">
        <v>0</v>
      </c>
      <c r="BD3">
        <v>0</v>
      </c>
      <c r="BE3">
        <v>0</v>
      </c>
      <c r="BF3">
        <v>0</v>
      </c>
      <c r="BG3">
        <v>0</v>
      </c>
      <c r="BH3">
        <v>0</v>
      </c>
      <c r="BJ3" t="s">
        <v>438</v>
      </c>
      <c r="BL3">
        <v>1</v>
      </c>
      <c r="BM3">
        <v>0.997560975609757</v>
      </c>
      <c r="BN3">
        <v>0.985365853658537</v>
      </c>
      <c r="BO3">
        <v>0.973170731707317</v>
      </c>
      <c r="BP3">
        <v>0.960975609756098</v>
      </c>
      <c r="BQ3">
        <v>0.948780487804878</v>
      </c>
      <c r="BR3">
        <v>0.936585365853658</v>
      </c>
      <c r="BS3">
        <v>0.924390243902439</v>
      </c>
      <c r="BT3">
        <v>0.91219512195122</v>
      </c>
      <c r="BU3">
        <v>0.9</v>
      </c>
      <c r="BV3">
        <v>0.8875</v>
      </c>
      <c r="BW3">
        <v>0.875000000000001</v>
      </c>
      <c r="BX3">
        <v>0.862500000000001</v>
      </c>
      <c r="BY3">
        <v>0.850000000000001</v>
      </c>
      <c r="BZ3">
        <v>0.8375</v>
      </c>
      <c r="CA3">
        <v>0.825000000000001</v>
      </c>
      <c r="CB3">
        <v>0.812500000000001</v>
      </c>
      <c r="CC3">
        <v>0.800000000000001</v>
      </c>
      <c r="CD3" t="e">
        <v>#VALUE!</v>
      </c>
      <c r="CE3" t="e">
        <v>#VALUE!</v>
      </c>
      <c r="CF3" t="e">
        <v>#VALUE!</v>
      </c>
      <c r="CG3" t="e">
        <v>#VALUE!</v>
      </c>
      <c r="CH3" t="e">
        <v>#VALUE!</v>
      </c>
      <c r="CI3" t="e">
        <v>#VALUE!</v>
      </c>
      <c r="CJ3" t="e">
        <v>#VALUE!</v>
      </c>
      <c r="CK3" t="e">
        <v>#VALUE!</v>
      </c>
    </row>
    <row r="4" spans="1:89">
      <c r="A4" s="34" t="s">
        <v>3</v>
      </c>
      <c r="B4" s="34" t="s">
        <v>439</v>
      </c>
      <c r="C4" s="34" t="s">
        <v>439</v>
      </c>
      <c r="D4" s="34"/>
      <c r="E4" s="34">
        <v>101.446710074843</v>
      </c>
      <c r="F4" s="34">
        <f xml:space="preserve">E4</f>
        <v>101.446710074843</v>
      </c>
      <c r="G4" s="34"/>
      <c r="H4" s="34"/>
      <c r="I4" s="34">
        <f xml:space="preserve">F4</f>
        <v>101.446710074843</v>
      </c>
      <c r="J4" s="34">
        <f xml:space="preserve">I4</f>
        <v>101.446710074843</v>
      </c>
      <c r="K4" s="34"/>
      <c r="L4" s="34">
        <f xml:space="preserve">J4</f>
        <v>101.446710074843</v>
      </c>
      <c r="M4" s="34"/>
      <c r="N4" s="34"/>
      <c r="O4" s="34"/>
      <c r="P4" s="34"/>
      <c r="Q4" s="34"/>
      <c r="R4" s="34"/>
      <c r="S4" s="34"/>
      <c r="T4" s="34"/>
      <c r="U4" s="34"/>
      <c r="V4" s="34">
        <f xml:space="preserve">L4</f>
        <v>101.446710074843</v>
      </c>
      <c r="W4" s="34">
        <v>3</v>
      </c>
      <c r="AG4" s="232" t="s">
        <v>437</v>
      </c>
      <c r="AI4">
        <v>1</v>
      </c>
      <c r="AJ4">
        <v>1.02349969875313</v>
      </c>
      <c r="AK4">
        <v>1.25839625558148</v>
      </c>
      <c r="AL4">
        <v>1.56875019961733</v>
      </c>
      <c r="AM4">
        <v>1.96121257678312</v>
      </c>
      <c r="AN4">
        <v>2.43608377440658</v>
      </c>
      <c r="AO4">
        <v>3.00325350238505</v>
      </c>
      <c r="AP4">
        <v>3.67420479014643</v>
      </c>
      <c r="AQ4">
        <v>4.460440572303</v>
      </c>
      <c r="AR4">
        <v>5.36383284096653</v>
      </c>
      <c r="AS4">
        <v>6.37421321365854</v>
      </c>
      <c r="AT4">
        <v>7.45520677550761</v>
      </c>
      <c r="AU4">
        <v>8.60970837366772</v>
      </c>
      <c r="AV4">
        <v>9.8314238983634</v>
      </c>
      <c r="AW4">
        <v>11.1188654370631</v>
      </c>
      <c r="AX4">
        <v>12.4785673189264</v>
      </c>
      <c r="AY4">
        <v>13.9094673309328</v>
      </c>
      <c r="AZ4">
        <v>15.3976698448309</v>
      </c>
      <c r="BA4">
        <v>0</v>
      </c>
      <c r="BB4">
        <v>0</v>
      </c>
      <c r="BC4">
        <v>0</v>
      </c>
      <c r="BD4">
        <v>0</v>
      </c>
      <c r="BE4">
        <v>0</v>
      </c>
      <c r="BF4">
        <v>0</v>
      </c>
      <c r="BG4">
        <v>0</v>
      </c>
      <c r="BH4">
        <v>0</v>
      </c>
      <c r="BJ4" t="s">
        <v>438</v>
      </c>
      <c r="BL4">
        <v>1</v>
      </c>
      <c r="BM4">
        <v>0.997560975609757</v>
      </c>
      <c r="BN4">
        <v>0.985365853658537</v>
      </c>
      <c r="BO4">
        <v>0.973170731707317</v>
      </c>
      <c r="BP4">
        <v>0.960975609756098</v>
      </c>
      <c r="BQ4">
        <v>0.948780487804878</v>
      </c>
      <c r="BR4">
        <v>0.936585365853658</v>
      </c>
      <c r="BS4">
        <v>0.924390243902439</v>
      </c>
      <c r="BT4">
        <v>0.91219512195122</v>
      </c>
      <c r="BU4">
        <v>0.9</v>
      </c>
      <c r="BV4">
        <v>0.8875</v>
      </c>
      <c r="BW4">
        <v>0.875000000000001</v>
      </c>
      <c r="BX4">
        <v>0.862500000000001</v>
      </c>
      <c r="BY4">
        <v>0.850000000000001</v>
      </c>
      <c r="BZ4">
        <v>0.8375</v>
      </c>
      <c r="CA4">
        <v>0.825000000000001</v>
      </c>
      <c r="CB4">
        <v>0.812500000000001</v>
      </c>
      <c r="CC4">
        <v>0.800000000000001</v>
      </c>
      <c r="CD4" t="e">
        <v>#VALUE!</v>
      </c>
      <c r="CE4" t="e">
        <v>#VALUE!</v>
      </c>
      <c r="CF4" t="e">
        <v>#VALUE!</v>
      </c>
      <c r="CG4" t="e">
        <v>#VALUE!</v>
      </c>
      <c r="CH4" t="e">
        <v>#VALUE!</v>
      </c>
      <c r="CI4" t="e">
        <v>#VALUE!</v>
      </c>
      <c r="CJ4" t="e">
        <v>#VALUE!</v>
      </c>
      <c r="CK4" t="e">
        <v>#VALUE!</v>
      </c>
    </row>
    <row r="5" spans="1:89">
      <c r="A5" s="34" t="s">
        <v>3</v>
      </c>
      <c r="B5" s="34" t="s">
        <v>440</v>
      </c>
      <c r="C5" s="34" t="s">
        <v>440</v>
      </c>
      <c r="D5" s="34"/>
      <c r="E5" s="34">
        <v>7.339410306728</v>
      </c>
      <c r="F5" s="34"/>
      <c r="G5" s="34"/>
      <c r="H5" s="34"/>
      <c r="I5" s="34">
        <v>13.841847071751</v>
      </c>
      <c r="J5" s="34">
        <v>17.0217286798939</v>
      </c>
      <c r="K5" s="34"/>
      <c r="L5" s="34">
        <v>25.0152093842934</v>
      </c>
      <c r="M5" s="34"/>
      <c r="N5" s="34"/>
      <c r="O5" s="34"/>
      <c r="P5" s="34"/>
      <c r="Q5" s="34"/>
      <c r="R5" s="34"/>
      <c r="S5" s="34"/>
      <c r="T5" s="34"/>
      <c r="U5" s="34"/>
      <c r="V5" s="34">
        <v>87.2541501773716</v>
      </c>
      <c r="W5" s="34">
        <v>3</v>
      </c>
      <c r="AG5" s="232" t="s">
        <v>437</v>
      </c>
      <c r="AI5">
        <v>1</v>
      </c>
      <c r="AJ5">
        <v>1.02349969875313</v>
      </c>
      <c r="AK5">
        <v>1.25839625558148</v>
      </c>
      <c r="AL5">
        <v>1.56875019961733</v>
      </c>
      <c r="AM5">
        <v>1.96121257678312</v>
      </c>
      <c r="AN5">
        <v>2.43608377440658</v>
      </c>
      <c r="AO5">
        <v>3.00325350238505</v>
      </c>
      <c r="AP5">
        <v>3.67420479014643</v>
      </c>
      <c r="AQ5">
        <v>4.460440572303</v>
      </c>
      <c r="AR5">
        <v>5.36383284096653</v>
      </c>
      <c r="AS5">
        <v>6.37421321365854</v>
      </c>
      <c r="AT5">
        <v>7.45520677550761</v>
      </c>
      <c r="AU5">
        <v>8.60970837366772</v>
      </c>
      <c r="AV5">
        <v>9.8314238983634</v>
      </c>
      <c r="AW5">
        <v>11.1188654370631</v>
      </c>
      <c r="AX5">
        <v>12.4785673189264</v>
      </c>
      <c r="AY5">
        <v>13.9094673309328</v>
      </c>
      <c r="AZ5">
        <v>15.3976698448309</v>
      </c>
      <c r="BA5">
        <v>0</v>
      </c>
      <c r="BB5">
        <v>0</v>
      </c>
      <c r="BC5">
        <v>0</v>
      </c>
      <c r="BD5">
        <v>0</v>
      </c>
      <c r="BE5">
        <v>0</v>
      </c>
      <c r="BF5">
        <v>0</v>
      </c>
      <c r="BG5">
        <v>0</v>
      </c>
      <c r="BH5">
        <v>0</v>
      </c>
      <c r="BJ5" t="s">
        <v>438</v>
      </c>
      <c r="BL5">
        <v>1</v>
      </c>
      <c r="BM5">
        <v>0.997560975609757</v>
      </c>
      <c r="BN5">
        <v>0.985365853658537</v>
      </c>
      <c r="BO5">
        <v>0.973170731707317</v>
      </c>
      <c r="BP5">
        <v>0.960975609756098</v>
      </c>
      <c r="BQ5">
        <v>0.948780487804878</v>
      </c>
      <c r="BR5">
        <v>0.936585365853658</v>
      </c>
      <c r="BS5">
        <v>0.924390243902439</v>
      </c>
      <c r="BT5">
        <v>0.91219512195122</v>
      </c>
      <c r="BU5">
        <v>0.9</v>
      </c>
      <c r="BV5">
        <v>0.8875</v>
      </c>
      <c r="BW5">
        <v>0.875000000000001</v>
      </c>
      <c r="BX5">
        <v>0.862500000000001</v>
      </c>
      <c r="BY5">
        <v>0.850000000000001</v>
      </c>
      <c r="BZ5">
        <v>0.8375</v>
      </c>
      <c r="CA5">
        <v>0.825000000000001</v>
      </c>
      <c r="CB5">
        <v>0.812500000000001</v>
      </c>
      <c r="CC5">
        <v>0.800000000000001</v>
      </c>
      <c r="CD5" t="e">
        <v>#VALUE!</v>
      </c>
      <c r="CE5" t="e">
        <v>#VALUE!</v>
      </c>
      <c r="CF5" t="e">
        <v>#VALUE!</v>
      </c>
      <c r="CG5" t="e">
        <v>#VALUE!</v>
      </c>
      <c r="CH5" t="e">
        <v>#VALUE!</v>
      </c>
      <c r="CI5" t="e">
        <v>#VALUE!</v>
      </c>
      <c r="CJ5" t="e">
        <v>#VALUE!</v>
      </c>
      <c r="CK5" t="e">
        <v>#VALUE!</v>
      </c>
    </row>
    <row r="6" spans="1:89">
      <c r="A6" s="34" t="s">
        <v>3</v>
      </c>
      <c r="B6" s="34" t="s">
        <v>441</v>
      </c>
      <c r="C6" s="34" t="s">
        <v>441</v>
      </c>
      <c r="D6" s="34"/>
      <c r="E6" s="34">
        <v>7.64151346723974</v>
      </c>
      <c r="F6" s="34"/>
      <c r="G6" s="34"/>
      <c r="H6" s="34"/>
      <c r="I6" s="34">
        <v>9.2993927266152</v>
      </c>
      <c r="J6" s="34">
        <v>9.79653150802128</v>
      </c>
      <c r="K6" s="34"/>
      <c r="L6" s="34">
        <v>10.6662053125579</v>
      </c>
      <c r="M6" s="34"/>
      <c r="N6" s="34"/>
      <c r="O6" s="34"/>
      <c r="P6" s="34"/>
      <c r="Q6" s="34"/>
      <c r="R6" s="34"/>
      <c r="S6" s="34"/>
      <c r="T6" s="34"/>
      <c r="U6" s="34"/>
      <c r="V6" s="34">
        <v>11.9574774350737</v>
      </c>
      <c r="W6" s="34">
        <v>3</v>
      </c>
      <c r="AG6" s="232" t="s">
        <v>442</v>
      </c>
      <c r="AI6">
        <v>1</v>
      </c>
      <c r="AJ6">
        <v>1.01584628198016</v>
      </c>
      <c r="AK6">
        <v>1.09507769188094</v>
      </c>
      <c r="AL6">
        <v>1.1704569144987</v>
      </c>
      <c r="AM6">
        <v>1.24250514202812</v>
      </c>
      <c r="AN6">
        <v>1.31251440483152</v>
      </c>
      <c r="AO6">
        <v>1.37847278122092</v>
      </c>
      <c r="AP6">
        <v>1.43787155208791</v>
      </c>
      <c r="AQ6">
        <v>1.48872422701151</v>
      </c>
      <c r="AR6">
        <v>1.53079373183263</v>
      </c>
      <c r="AS6">
        <v>1.5634574865207</v>
      </c>
      <c r="AT6">
        <v>1.58812645526123</v>
      </c>
      <c r="AU6">
        <v>1.60725760691474</v>
      </c>
      <c r="AV6">
        <v>1.62190399331504</v>
      </c>
      <c r="AW6">
        <v>1.63213276332236</v>
      </c>
      <c r="AX6">
        <v>1.6384236593401</v>
      </c>
      <c r="AY6">
        <v>1.63955889165861</v>
      </c>
      <c r="AZ6">
        <v>1.63521866507092</v>
      </c>
      <c r="BA6">
        <v>0</v>
      </c>
      <c r="BB6">
        <v>0</v>
      </c>
      <c r="BC6">
        <v>0</v>
      </c>
      <c r="BD6">
        <v>0</v>
      </c>
      <c r="BE6">
        <v>0</v>
      </c>
      <c r="BF6">
        <v>0</v>
      </c>
      <c r="BG6">
        <v>0</v>
      </c>
      <c r="BH6">
        <v>0</v>
      </c>
      <c r="BJ6" t="s">
        <v>438</v>
      </c>
      <c r="BL6">
        <v>1</v>
      </c>
      <c r="BM6">
        <v>0.997560975609757</v>
      </c>
      <c r="BN6">
        <v>0.985365853658537</v>
      </c>
      <c r="BO6">
        <v>0.973170731707317</v>
      </c>
      <c r="BP6">
        <v>0.960975609756098</v>
      </c>
      <c r="BQ6">
        <v>0.948780487804878</v>
      </c>
      <c r="BR6">
        <v>0.936585365853658</v>
      </c>
      <c r="BS6">
        <v>0.924390243902439</v>
      </c>
      <c r="BT6">
        <v>0.91219512195122</v>
      </c>
      <c r="BU6">
        <v>0.9</v>
      </c>
      <c r="BV6">
        <v>0.8875</v>
      </c>
      <c r="BW6">
        <v>0.875000000000001</v>
      </c>
      <c r="BX6">
        <v>0.862500000000001</v>
      </c>
      <c r="BY6">
        <v>0.850000000000001</v>
      </c>
      <c r="BZ6">
        <v>0.8375</v>
      </c>
      <c r="CA6">
        <v>0.825000000000001</v>
      </c>
      <c r="CB6">
        <v>0.812500000000001</v>
      </c>
      <c r="CC6">
        <v>0.800000000000001</v>
      </c>
      <c r="CD6" t="e">
        <v>#VALUE!</v>
      </c>
      <c r="CE6" t="e">
        <v>#VALUE!</v>
      </c>
      <c r="CF6" t="e">
        <v>#VALUE!</v>
      </c>
      <c r="CG6" t="e">
        <v>#VALUE!</v>
      </c>
      <c r="CH6" t="e">
        <v>#VALUE!</v>
      </c>
      <c r="CI6" t="e">
        <v>#VALUE!</v>
      </c>
      <c r="CJ6" t="e">
        <v>#VALUE!</v>
      </c>
      <c r="CK6" t="e">
        <v>#VALUE!</v>
      </c>
    </row>
    <row r="7" spans="1:89">
      <c r="A7" s="34" t="s">
        <v>3</v>
      </c>
      <c r="B7" s="34" t="s">
        <v>443</v>
      </c>
      <c r="C7" s="34" t="s">
        <v>443</v>
      </c>
      <c r="D7" s="34"/>
      <c r="E7" s="34">
        <v>12.3151564281066</v>
      </c>
      <c r="F7" s="34">
        <f xml:space="preserve">E7</f>
        <v>12.3151564281066</v>
      </c>
      <c r="G7" s="34"/>
      <c r="H7" s="34"/>
      <c r="I7" s="34">
        <f xml:space="preserve">F7</f>
        <v>12.3151564281066</v>
      </c>
      <c r="J7" s="34">
        <f xml:space="preserve">I7</f>
        <v>12.3151564281066</v>
      </c>
      <c r="K7" s="34"/>
      <c r="L7" s="34">
        <f xml:space="preserve">J7</f>
        <v>12.3151564281066</v>
      </c>
      <c r="M7" s="34"/>
      <c r="N7" s="34"/>
      <c r="O7" s="34"/>
      <c r="P7" s="34"/>
      <c r="Q7" s="34"/>
      <c r="R7" s="34"/>
      <c r="S7" s="34"/>
      <c r="T7" s="34"/>
      <c r="U7" s="34"/>
      <c r="V7" s="34">
        <f xml:space="preserve">L7</f>
        <v>12.3151564281066</v>
      </c>
      <c r="W7" s="34">
        <v>3</v>
      </c>
      <c r="AG7" s="232" t="s">
        <v>437</v>
      </c>
      <c r="AI7">
        <v>1</v>
      </c>
      <c r="AJ7">
        <v>1.02349969875313</v>
      </c>
      <c r="AK7">
        <v>1.25839625558148</v>
      </c>
      <c r="AL7">
        <v>1.56875019961733</v>
      </c>
      <c r="AM7">
        <v>1.96121257678312</v>
      </c>
      <c r="AN7">
        <v>2.43608377440658</v>
      </c>
      <c r="AO7">
        <v>3.00325350238505</v>
      </c>
      <c r="AP7">
        <v>3.67420479014643</v>
      </c>
      <c r="AQ7">
        <v>4.460440572303</v>
      </c>
      <c r="AR7">
        <v>5.36383284096653</v>
      </c>
      <c r="AS7">
        <v>6.37421321365854</v>
      </c>
      <c r="AT7">
        <v>7.45520677550761</v>
      </c>
      <c r="AU7">
        <v>8.60970837366772</v>
      </c>
      <c r="AV7">
        <v>9.8314238983634</v>
      </c>
      <c r="AW7">
        <v>11.1188654370631</v>
      </c>
      <c r="AX7">
        <v>12.4785673189264</v>
      </c>
      <c r="AY7">
        <v>13.9094673309328</v>
      </c>
      <c r="AZ7">
        <v>15.3976698448309</v>
      </c>
      <c r="BA7">
        <v>0</v>
      </c>
      <c r="BB7">
        <v>0</v>
      </c>
      <c r="BC7">
        <v>0</v>
      </c>
      <c r="BD7">
        <v>0</v>
      </c>
      <c r="BE7">
        <v>0</v>
      </c>
      <c r="BF7">
        <v>0</v>
      </c>
      <c r="BG7">
        <v>0</v>
      </c>
      <c r="BH7">
        <v>0</v>
      </c>
      <c r="BJ7" t="s">
        <v>438</v>
      </c>
      <c r="BL7">
        <v>1</v>
      </c>
      <c r="BM7">
        <v>0.997560975609757</v>
      </c>
      <c r="BN7">
        <v>0.985365853658537</v>
      </c>
      <c r="BO7">
        <v>0.973170731707317</v>
      </c>
      <c r="BP7">
        <v>0.960975609756098</v>
      </c>
      <c r="BQ7">
        <v>0.948780487804878</v>
      </c>
      <c r="BR7">
        <v>0.936585365853658</v>
      </c>
      <c r="BS7">
        <v>0.924390243902439</v>
      </c>
      <c r="BT7">
        <v>0.91219512195122</v>
      </c>
      <c r="BU7">
        <v>0.9</v>
      </c>
      <c r="BV7">
        <v>0.8875</v>
      </c>
      <c r="BW7">
        <v>0.875000000000001</v>
      </c>
      <c r="BX7">
        <v>0.862500000000001</v>
      </c>
      <c r="BY7">
        <v>0.850000000000001</v>
      </c>
      <c r="BZ7">
        <v>0.8375</v>
      </c>
      <c r="CA7">
        <v>0.825000000000001</v>
      </c>
      <c r="CB7">
        <v>0.812500000000001</v>
      </c>
      <c r="CC7">
        <v>0.800000000000001</v>
      </c>
      <c r="CD7" t="e">
        <v>#VALUE!</v>
      </c>
      <c r="CE7" t="e">
        <v>#VALUE!</v>
      </c>
      <c r="CF7" t="e">
        <v>#VALUE!</v>
      </c>
      <c r="CG7" t="e">
        <v>#VALUE!</v>
      </c>
      <c r="CH7" t="e">
        <v>#VALUE!</v>
      </c>
      <c r="CI7" t="e">
        <v>#VALUE!</v>
      </c>
      <c r="CJ7" t="e">
        <v>#VALUE!</v>
      </c>
      <c r="CK7" t="e">
        <v>#VALUE!</v>
      </c>
    </row>
    <row r="8" spans="1:89">
      <c r="A8" s="34" t="s">
        <v>3</v>
      </c>
      <c r="B8" s="34" t="s">
        <v>444</v>
      </c>
      <c r="C8" s="34" t="s">
        <v>444</v>
      </c>
      <c r="D8" s="34"/>
      <c r="E8" s="34">
        <v>36.6868983480112</v>
      </c>
      <c r="F8" s="34">
        <f xml:space="preserve">E8</f>
        <v>36.6868983480112</v>
      </c>
      <c r="G8" s="34"/>
      <c r="H8" s="34"/>
      <c r="I8" s="34">
        <f xml:space="preserve">F8</f>
        <v>36.6868983480112</v>
      </c>
      <c r="J8" s="34">
        <f xml:space="preserve">I8</f>
        <v>36.6868983480112</v>
      </c>
      <c r="K8" s="34"/>
      <c r="L8" s="34">
        <f xml:space="preserve">J8</f>
        <v>36.6868983480112</v>
      </c>
      <c r="M8" s="34"/>
      <c r="N8" s="34"/>
      <c r="O8" s="34"/>
      <c r="P8" s="34"/>
      <c r="Q8" s="34"/>
      <c r="R8" s="34"/>
      <c r="S8" s="34"/>
      <c r="T8" s="34"/>
      <c r="U8" s="34"/>
      <c r="V8" s="34">
        <f xml:space="preserve">L8</f>
        <v>36.6868983480112</v>
      </c>
      <c r="W8" s="34">
        <v>3</v>
      </c>
      <c r="AG8" s="232" t="s">
        <v>437</v>
      </c>
      <c r="AI8">
        <v>1</v>
      </c>
      <c r="AJ8">
        <v>1.02349969875313</v>
      </c>
      <c r="AK8">
        <v>1.25839625558148</v>
      </c>
      <c r="AL8">
        <v>1.56875019961733</v>
      </c>
      <c r="AM8">
        <v>1.96121257678312</v>
      </c>
      <c r="AN8">
        <v>2.43608377440658</v>
      </c>
      <c r="AO8">
        <v>3.00325350238505</v>
      </c>
      <c r="AP8">
        <v>3.67420479014643</v>
      </c>
      <c r="AQ8">
        <v>4.460440572303</v>
      </c>
      <c r="AR8">
        <v>5.36383284096653</v>
      </c>
      <c r="AS8">
        <v>6.37421321365854</v>
      </c>
      <c r="AT8">
        <v>7.45520677550761</v>
      </c>
      <c r="AU8">
        <v>8.60970837366772</v>
      </c>
      <c r="AV8">
        <v>9.8314238983634</v>
      </c>
      <c r="AW8">
        <v>11.1188654370631</v>
      </c>
      <c r="AX8">
        <v>12.4785673189264</v>
      </c>
      <c r="AY8">
        <v>13.9094673309328</v>
      </c>
      <c r="AZ8">
        <v>15.3976698448309</v>
      </c>
      <c r="BA8">
        <v>0</v>
      </c>
      <c r="BB8">
        <v>0</v>
      </c>
      <c r="BC8">
        <v>0</v>
      </c>
      <c r="BD8">
        <v>0</v>
      </c>
      <c r="BE8">
        <v>0</v>
      </c>
      <c r="BF8">
        <v>0</v>
      </c>
      <c r="BG8">
        <v>0</v>
      </c>
      <c r="BH8">
        <v>0</v>
      </c>
      <c r="BJ8" t="s">
        <v>438</v>
      </c>
      <c r="BL8">
        <v>1</v>
      </c>
      <c r="BM8">
        <v>0.997560975609757</v>
      </c>
      <c r="BN8">
        <v>0.985365853658537</v>
      </c>
      <c r="BO8">
        <v>0.973170731707317</v>
      </c>
      <c r="BP8">
        <v>0.960975609756098</v>
      </c>
      <c r="BQ8">
        <v>0.948780487804878</v>
      </c>
      <c r="BR8">
        <v>0.936585365853658</v>
      </c>
      <c r="BS8">
        <v>0.924390243902439</v>
      </c>
      <c r="BT8">
        <v>0.91219512195122</v>
      </c>
      <c r="BU8">
        <v>0.9</v>
      </c>
      <c r="BV8">
        <v>0.8875</v>
      </c>
      <c r="BW8">
        <v>0.875000000000001</v>
      </c>
      <c r="BX8">
        <v>0.862500000000001</v>
      </c>
      <c r="BY8">
        <v>0.850000000000001</v>
      </c>
      <c r="BZ8">
        <v>0.8375</v>
      </c>
      <c r="CA8">
        <v>0.825000000000001</v>
      </c>
      <c r="CB8">
        <v>0.812500000000001</v>
      </c>
      <c r="CC8">
        <v>0.800000000000001</v>
      </c>
      <c r="CD8" t="e">
        <v>#VALUE!</v>
      </c>
      <c r="CE8" t="e">
        <v>#VALUE!</v>
      </c>
      <c r="CF8" t="e">
        <v>#VALUE!</v>
      </c>
      <c r="CG8" t="e">
        <v>#VALUE!</v>
      </c>
      <c r="CH8" t="e">
        <v>#VALUE!</v>
      </c>
      <c r="CI8" t="e">
        <v>#VALUE!</v>
      </c>
      <c r="CJ8" t="e">
        <v>#VALUE!</v>
      </c>
      <c r="CK8" t="e">
        <v>#VALUE!</v>
      </c>
    </row>
    <row r="9" spans="1:89">
      <c r="A9" s="34" t="s">
        <v>3</v>
      </c>
      <c r="B9" s="34" t="s">
        <v>445</v>
      </c>
      <c r="C9" s="34" t="s">
        <v>445</v>
      </c>
      <c r="D9" s="34">
        <v>247.982</v>
      </c>
      <c r="E9" s="34">
        <v>251.90200832557</v>
      </c>
      <c r="F9" s="34"/>
      <c r="G9" s="34">
        <v>271.261704044487</v>
      </c>
      <c r="H9" s="34">
        <v>289.432930760334</v>
      </c>
      <c r="I9" s="34">
        <v>306.553893294221</v>
      </c>
      <c r="J9" s="34">
        <v>322.9420417925</v>
      </c>
      <c r="K9" s="34">
        <v>338.141840360066</v>
      </c>
      <c r="L9" s="34">
        <v>351.610783775369</v>
      </c>
      <c r="M9" s="34">
        <v>362.954194116709</v>
      </c>
      <c r="N9" s="34">
        <v>372.185166951014</v>
      </c>
      <c r="O9" s="34">
        <v>379.233344772678</v>
      </c>
      <c r="P9" s="34">
        <v>384.46910184135</v>
      </c>
      <c r="Q9" s="34">
        <v>388.463732040384</v>
      </c>
      <c r="R9" s="34">
        <v>391.472678094125</v>
      </c>
      <c r="S9" s="34">
        <v>393.540363884459</v>
      </c>
      <c r="T9" s="34">
        <v>394.791775711966</v>
      </c>
      <c r="U9" s="34">
        <v>395.014029925036</v>
      </c>
      <c r="V9" s="34">
        <v>394.177487655569</v>
      </c>
      <c r="W9" s="34">
        <v>3</v>
      </c>
      <c r="AG9" s="232" t="s">
        <v>442</v>
      </c>
      <c r="AI9">
        <v>1</v>
      </c>
      <c r="AJ9">
        <v>1.01584628198016</v>
      </c>
      <c r="AK9">
        <v>1.09507769188094</v>
      </c>
      <c r="AL9">
        <v>1.1704569144987</v>
      </c>
      <c r="AM9">
        <v>1.24250514202812</v>
      </c>
      <c r="AN9">
        <v>1.31251440483152</v>
      </c>
      <c r="AO9">
        <v>1.37847278122092</v>
      </c>
      <c r="AP9">
        <v>1.43787155208791</v>
      </c>
      <c r="AQ9">
        <v>1.48872422701151</v>
      </c>
      <c r="AR9">
        <v>1.53079373183263</v>
      </c>
      <c r="AS9">
        <v>1.5634574865207</v>
      </c>
      <c r="AT9">
        <v>1.58812645526123</v>
      </c>
      <c r="AU9">
        <v>1.60725760691474</v>
      </c>
      <c r="AV9">
        <v>1.62190399331504</v>
      </c>
      <c r="AW9">
        <v>1.63213276332236</v>
      </c>
      <c r="AX9">
        <v>1.6384236593401</v>
      </c>
      <c r="AY9">
        <v>1.63955889165861</v>
      </c>
      <c r="AZ9">
        <v>1.63521866507092</v>
      </c>
      <c r="BA9">
        <v>0</v>
      </c>
      <c r="BB9">
        <v>0</v>
      </c>
      <c r="BC9">
        <v>0</v>
      </c>
      <c r="BD9">
        <v>0</v>
      </c>
      <c r="BE9">
        <v>0</v>
      </c>
      <c r="BF9">
        <v>0</v>
      </c>
      <c r="BG9">
        <v>0</v>
      </c>
      <c r="BH9">
        <v>0</v>
      </c>
      <c r="BJ9" t="s">
        <v>438</v>
      </c>
      <c r="BL9">
        <v>1</v>
      </c>
      <c r="BM9">
        <v>0.997560975609757</v>
      </c>
      <c r="BN9">
        <v>0.985365853658537</v>
      </c>
      <c r="BO9">
        <v>0.973170731707317</v>
      </c>
      <c r="BP9">
        <v>0.960975609756098</v>
      </c>
      <c r="BQ9">
        <v>0.948780487804878</v>
      </c>
      <c r="BR9">
        <v>0.936585365853658</v>
      </c>
      <c r="BS9">
        <v>0.924390243902439</v>
      </c>
      <c r="BT9">
        <v>0.91219512195122</v>
      </c>
      <c r="BU9">
        <v>0.9</v>
      </c>
      <c r="BV9">
        <v>0.8875</v>
      </c>
      <c r="BW9">
        <v>0.875000000000001</v>
      </c>
      <c r="BX9">
        <v>0.862500000000001</v>
      </c>
      <c r="BY9">
        <v>0.850000000000001</v>
      </c>
      <c r="BZ9">
        <v>0.8375</v>
      </c>
      <c r="CA9">
        <v>0.825000000000001</v>
      </c>
      <c r="CB9">
        <v>0.812500000000001</v>
      </c>
      <c r="CC9">
        <v>0.800000000000001</v>
      </c>
      <c r="CD9" t="e">
        <v>#VALUE!</v>
      </c>
      <c r="CE9" t="e">
        <v>#VALUE!</v>
      </c>
      <c r="CF9" t="e">
        <v>#VALUE!</v>
      </c>
      <c r="CG9" t="e">
        <v>#VALUE!</v>
      </c>
      <c r="CH9" t="e">
        <v>#VALUE!</v>
      </c>
      <c r="CI9" t="e">
        <v>#VALUE!</v>
      </c>
      <c r="CJ9" t="e">
        <v>#VALUE!</v>
      </c>
      <c r="CK9" t="e">
        <v>#VALUE!</v>
      </c>
    </row>
    <row r="10" spans="1:89">
      <c r="A10" s="34" t="s">
        <v>3</v>
      </c>
      <c r="B10" s="34" t="s">
        <v>446</v>
      </c>
      <c r="C10" s="34" t="s">
        <v>446</v>
      </c>
      <c r="D10" s="34">
        <v>42.015</v>
      </c>
      <c r="E10" s="34">
        <v>42.6791576799881</v>
      </c>
      <c r="F10" s="34"/>
      <c r="G10" s="34">
        <v>45.9592248446626</v>
      </c>
      <c r="H10" s="34">
        <v>49.0379325350042</v>
      </c>
      <c r="I10" s="34">
        <v>51.9386964648914</v>
      </c>
      <c r="J10" s="34">
        <v>54.7153014570085</v>
      </c>
      <c r="K10" s="34">
        <v>57.290567148939</v>
      </c>
      <c r="L10" s="34">
        <v>59.5725781722954</v>
      </c>
      <c r="M10" s="34">
        <v>61.4944651862374</v>
      </c>
      <c r="N10" s="34">
        <v>63.0584469414992</v>
      </c>
      <c r="O10" s="34">
        <v>64.2526029333745</v>
      </c>
      <c r="P10" s="34">
        <v>65.139684791091</v>
      </c>
      <c r="Q10" s="34">
        <v>65.8164854774811</v>
      </c>
      <c r="R10" s="34">
        <v>66.3262840453124</v>
      </c>
      <c r="S10" s="34">
        <v>66.6766071271525</v>
      </c>
      <c r="T10" s="34">
        <v>66.8886308544098</v>
      </c>
      <c r="U10" s="34">
        <v>66.9262868567089</v>
      </c>
      <c r="V10" s="34">
        <v>66.7845534911757</v>
      </c>
      <c r="W10" s="34">
        <v>3</v>
      </c>
      <c r="AG10" s="232" t="s">
        <v>442</v>
      </c>
      <c r="AI10">
        <v>1</v>
      </c>
      <c r="AJ10">
        <v>1.01584628198016</v>
      </c>
      <c r="AK10">
        <v>1.09507769188094</v>
      </c>
      <c r="AL10">
        <v>1.1704569144987</v>
      </c>
      <c r="AM10">
        <v>1.24250514202812</v>
      </c>
      <c r="AN10">
        <v>1.31251440483152</v>
      </c>
      <c r="AO10">
        <v>1.37847278122092</v>
      </c>
      <c r="AP10">
        <v>1.43787155208791</v>
      </c>
      <c r="AQ10">
        <v>1.48872422701151</v>
      </c>
      <c r="AR10">
        <v>1.53079373183263</v>
      </c>
      <c r="AS10">
        <v>1.5634574865207</v>
      </c>
      <c r="AT10">
        <v>1.58812645526123</v>
      </c>
      <c r="AU10">
        <v>1.60725760691474</v>
      </c>
      <c r="AV10">
        <v>1.62190399331504</v>
      </c>
      <c r="AW10">
        <v>1.63213276332236</v>
      </c>
      <c r="AX10">
        <v>1.6384236593401</v>
      </c>
      <c r="AY10">
        <v>1.63955889165861</v>
      </c>
      <c r="AZ10">
        <v>1.63521866507092</v>
      </c>
      <c r="BA10">
        <v>0</v>
      </c>
      <c r="BB10">
        <v>0</v>
      </c>
      <c r="BC10">
        <v>0</v>
      </c>
      <c r="BD10">
        <v>0</v>
      </c>
      <c r="BE10">
        <v>0</v>
      </c>
      <c r="BF10">
        <v>0</v>
      </c>
      <c r="BG10">
        <v>0</v>
      </c>
      <c r="BH10">
        <v>0</v>
      </c>
      <c r="BJ10" t="s">
        <v>438</v>
      </c>
      <c r="BL10">
        <v>1</v>
      </c>
      <c r="BM10">
        <v>0.997560975609757</v>
      </c>
      <c r="BN10">
        <v>0.985365853658537</v>
      </c>
      <c r="BO10">
        <v>0.973170731707317</v>
      </c>
      <c r="BP10">
        <v>0.960975609756098</v>
      </c>
      <c r="BQ10">
        <v>0.948780487804878</v>
      </c>
      <c r="BR10">
        <v>0.936585365853658</v>
      </c>
      <c r="BS10">
        <v>0.924390243902439</v>
      </c>
      <c r="BT10">
        <v>0.91219512195122</v>
      </c>
      <c r="BU10">
        <v>0.9</v>
      </c>
      <c r="BV10">
        <v>0.8875</v>
      </c>
      <c r="BW10">
        <v>0.875000000000001</v>
      </c>
      <c r="BX10">
        <v>0.862500000000001</v>
      </c>
      <c r="BY10">
        <v>0.850000000000001</v>
      </c>
      <c r="BZ10">
        <v>0.8375</v>
      </c>
      <c r="CA10">
        <v>0.825000000000001</v>
      </c>
      <c r="CB10">
        <v>0.812500000000001</v>
      </c>
      <c r="CC10">
        <v>0.800000000000001</v>
      </c>
      <c r="CD10" t="e">
        <v>#VALUE!</v>
      </c>
      <c r="CE10" t="e">
        <v>#VALUE!</v>
      </c>
      <c r="CF10" t="e">
        <v>#VALUE!</v>
      </c>
      <c r="CG10" t="e">
        <v>#VALUE!</v>
      </c>
      <c r="CH10" t="e">
        <v>#VALUE!</v>
      </c>
      <c r="CI10" t="e">
        <v>#VALUE!</v>
      </c>
      <c r="CJ10" t="e">
        <v>#VALUE!</v>
      </c>
      <c r="CK10" t="e">
        <v>#VALUE!</v>
      </c>
    </row>
    <row r="11" spans="1:89">
      <c r="A11" s="34" t="s">
        <v>3</v>
      </c>
      <c r="B11" s="34" t="s">
        <v>447</v>
      </c>
      <c r="C11" s="34" t="s">
        <v>447</v>
      </c>
      <c r="D11" s="34">
        <v>26.355</v>
      </c>
      <c r="E11" s="34">
        <v>26.7716101548515</v>
      </c>
      <c r="F11" s="34"/>
      <c r="G11" s="34">
        <v>28.8291174766413</v>
      </c>
      <c r="H11" s="34">
        <v>30.7603168382729</v>
      </c>
      <c r="I11" s="34">
        <v>32.5798963544499</v>
      </c>
      <c r="J11" s="34">
        <v>34.321593952147</v>
      </c>
      <c r="K11" s="34">
        <v>35.9369962444433</v>
      </c>
      <c r="L11" s="34">
        <v>37.3684469292121</v>
      </c>
      <c r="M11" s="34">
        <v>38.5740004756227</v>
      </c>
      <c r="N11" s="34">
        <v>39.5550486527005</v>
      </c>
      <c r="O11" s="34">
        <v>40.3041140142589</v>
      </c>
      <c r="P11" s="34">
        <v>40.8605591495705</v>
      </c>
      <c r="Q11" s="34">
        <v>41.2850999585628</v>
      </c>
      <c r="R11" s="34">
        <v>41.6048843511652</v>
      </c>
      <c r="S11" s="34">
        <v>41.8246336031442</v>
      </c>
      <c r="T11" s="34">
        <v>41.9576309929304</v>
      </c>
      <c r="U11" s="34">
        <v>41.9812516984069</v>
      </c>
      <c r="V11" s="34">
        <v>41.8923457636543</v>
      </c>
      <c r="W11" s="34">
        <v>3</v>
      </c>
      <c r="AG11" s="232" t="s">
        <v>442</v>
      </c>
      <c r="AI11">
        <v>1</v>
      </c>
      <c r="AJ11">
        <v>1.01584628198016</v>
      </c>
      <c r="AK11">
        <v>1.09507769188094</v>
      </c>
      <c r="AL11">
        <v>1.1704569144987</v>
      </c>
      <c r="AM11">
        <v>1.24250514202812</v>
      </c>
      <c r="AN11">
        <v>1.31251440483152</v>
      </c>
      <c r="AO11">
        <v>1.37847278122092</v>
      </c>
      <c r="AP11">
        <v>1.43787155208791</v>
      </c>
      <c r="AQ11">
        <v>1.48872422701151</v>
      </c>
      <c r="AR11">
        <v>1.53079373183263</v>
      </c>
      <c r="AS11">
        <v>1.5634574865207</v>
      </c>
      <c r="AT11">
        <v>1.58812645526123</v>
      </c>
      <c r="AU11">
        <v>1.60725760691474</v>
      </c>
      <c r="AV11">
        <v>1.62190399331504</v>
      </c>
      <c r="AW11">
        <v>1.63213276332236</v>
      </c>
      <c r="AX11">
        <v>1.6384236593401</v>
      </c>
      <c r="AY11">
        <v>1.63955889165861</v>
      </c>
      <c r="AZ11">
        <v>1.63521866507092</v>
      </c>
      <c r="BA11">
        <v>0</v>
      </c>
      <c r="BB11">
        <v>0</v>
      </c>
      <c r="BC11">
        <v>0</v>
      </c>
      <c r="BD11">
        <v>0</v>
      </c>
      <c r="BE11">
        <v>0</v>
      </c>
      <c r="BF11">
        <v>0</v>
      </c>
      <c r="BG11">
        <v>0</v>
      </c>
      <c r="BH11">
        <v>0</v>
      </c>
      <c r="BJ11" t="s">
        <v>438</v>
      </c>
      <c r="BL11">
        <v>1</v>
      </c>
      <c r="BM11">
        <v>0.997560975609757</v>
      </c>
      <c r="BN11">
        <v>0.985365853658537</v>
      </c>
      <c r="BO11">
        <v>0.973170731707317</v>
      </c>
      <c r="BP11">
        <v>0.960975609756098</v>
      </c>
      <c r="BQ11">
        <v>0.948780487804878</v>
      </c>
      <c r="BR11">
        <v>0.936585365853658</v>
      </c>
      <c r="BS11">
        <v>0.924390243902439</v>
      </c>
      <c r="BT11">
        <v>0.91219512195122</v>
      </c>
      <c r="BU11">
        <v>0.9</v>
      </c>
      <c r="BV11">
        <v>0.8875</v>
      </c>
      <c r="BW11">
        <v>0.875000000000001</v>
      </c>
      <c r="BX11">
        <v>0.862500000000001</v>
      </c>
      <c r="BY11">
        <v>0.850000000000001</v>
      </c>
      <c r="BZ11">
        <v>0.8375</v>
      </c>
      <c r="CA11">
        <v>0.825000000000001</v>
      </c>
      <c r="CB11">
        <v>0.812500000000001</v>
      </c>
      <c r="CC11">
        <v>0.800000000000001</v>
      </c>
      <c r="CD11" t="e">
        <v>#VALUE!</v>
      </c>
      <c r="CE11" t="e">
        <v>#VALUE!</v>
      </c>
      <c r="CF11" t="e">
        <v>#VALUE!</v>
      </c>
      <c r="CG11" t="e">
        <v>#VALUE!</v>
      </c>
      <c r="CH11" t="e">
        <v>#VALUE!</v>
      </c>
      <c r="CI11" t="e">
        <v>#VALUE!</v>
      </c>
      <c r="CJ11" t="e">
        <v>#VALUE!</v>
      </c>
      <c r="CK11" t="e">
        <v>#VALUE!</v>
      </c>
    </row>
    <row r="12" spans="1:89">
      <c r="A12" s="34" t="s">
        <v>3</v>
      </c>
      <c r="B12" s="34" t="s">
        <v>448</v>
      </c>
      <c r="C12" s="34" t="s">
        <v>448</v>
      </c>
      <c r="D12" s="34">
        <v>256.56</v>
      </c>
      <c r="E12" s="34">
        <v>258.488216374671</v>
      </c>
      <c r="F12" s="34"/>
      <c r="G12" s="34">
        <v>294.286020754547</v>
      </c>
      <c r="H12" s="34">
        <v>341.924767254561</v>
      </c>
      <c r="I12" s="34">
        <v>400.307827734166</v>
      </c>
      <c r="J12" s="34">
        <v>467.106424430855</v>
      </c>
      <c r="K12" s="34">
        <v>543.15498327552</v>
      </c>
      <c r="L12" s="34">
        <v>629.950239527197</v>
      </c>
      <c r="M12" s="34">
        <v>729.086667683432</v>
      </c>
      <c r="N12" s="34">
        <v>840.299707157724</v>
      </c>
      <c r="O12" s="34">
        <v>962.26354015926</v>
      </c>
      <c r="P12" s="34">
        <v>1089.75698872903</v>
      </c>
      <c r="Q12" s="34">
        <v>1222.39049391052</v>
      </c>
      <c r="R12" s="34">
        <v>1359.11460985926</v>
      </c>
      <c r="S12" s="34">
        <v>1500.10371974867</v>
      </c>
      <c r="T12" s="34">
        <v>1646.11243965391</v>
      </c>
      <c r="U12" s="34">
        <v>1798.44559883895</v>
      </c>
      <c r="V12" s="34">
        <v>1956.60846480586</v>
      </c>
      <c r="W12" s="34">
        <v>3</v>
      </c>
      <c r="AG12" s="232" t="s">
        <v>449</v>
      </c>
      <c r="AI12">
        <v>1</v>
      </c>
      <c r="AJ12">
        <v>1.00753403040277</v>
      </c>
      <c r="AK12">
        <v>1.14913879162311</v>
      </c>
      <c r="AL12">
        <v>1.34028871988784</v>
      </c>
      <c r="AM12">
        <v>1.57843417338448</v>
      </c>
      <c r="AN12">
        <v>1.85604345783869</v>
      </c>
      <c r="AO12">
        <v>2.17868175802867</v>
      </c>
      <c r="AP12">
        <v>2.55530807658804</v>
      </c>
      <c r="AQ12">
        <v>2.99614965040031</v>
      </c>
      <c r="AR12">
        <v>3.5039553203194</v>
      </c>
      <c r="AS12">
        <v>4.07699810747245</v>
      </c>
      <c r="AT12">
        <v>4.69434077545247</v>
      </c>
      <c r="AU12">
        <v>5.35676940437366</v>
      </c>
      <c r="AV12">
        <v>6.06165589263316</v>
      </c>
      <c r="AW12">
        <v>6.81247609687681</v>
      </c>
      <c r="AX12">
        <v>7.61620307897183</v>
      </c>
      <c r="AY12">
        <v>8.48366435734537</v>
      </c>
      <c r="AZ12">
        <v>9.41627573958936</v>
      </c>
      <c r="BA12">
        <v>0</v>
      </c>
      <c r="BB12">
        <v>0</v>
      </c>
      <c r="BC12">
        <v>0</v>
      </c>
      <c r="BD12">
        <v>0</v>
      </c>
      <c r="BE12">
        <v>0</v>
      </c>
      <c r="BF12">
        <v>0</v>
      </c>
      <c r="BG12">
        <v>0</v>
      </c>
      <c r="BH12">
        <v>0</v>
      </c>
      <c r="BJ12" t="s">
        <v>438</v>
      </c>
      <c r="BL12">
        <v>1</v>
      </c>
      <c r="BM12">
        <v>0.997560975609757</v>
      </c>
      <c r="BN12">
        <v>0.985365853658537</v>
      </c>
      <c r="BO12">
        <v>0.973170731707317</v>
      </c>
      <c r="BP12">
        <v>0.960975609756098</v>
      </c>
      <c r="BQ12">
        <v>0.948780487804878</v>
      </c>
      <c r="BR12">
        <v>0.936585365853658</v>
      </c>
      <c r="BS12">
        <v>0.924390243902439</v>
      </c>
      <c r="BT12">
        <v>0.91219512195122</v>
      </c>
      <c r="BU12">
        <v>0.9</v>
      </c>
      <c r="BV12">
        <v>0.8875</v>
      </c>
      <c r="BW12">
        <v>0.875000000000001</v>
      </c>
      <c r="BX12">
        <v>0.862500000000001</v>
      </c>
      <c r="BY12">
        <v>0.850000000000001</v>
      </c>
      <c r="BZ12">
        <v>0.8375</v>
      </c>
      <c r="CA12">
        <v>0.825000000000001</v>
      </c>
      <c r="CB12">
        <v>0.812500000000001</v>
      </c>
      <c r="CC12">
        <v>0.800000000000001</v>
      </c>
      <c r="CD12" t="e">
        <v>#VALUE!</v>
      </c>
      <c r="CE12" t="e">
        <v>#VALUE!</v>
      </c>
      <c r="CF12" t="e">
        <v>#VALUE!</v>
      </c>
      <c r="CG12" t="e">
        <v>#VALUE!</v>
      </c>
      <c r="CH12" t="e">
        <v>#VALUE!</v>
      </c>
      <c r="CI12" t="e">
        <v>#VALUE!</v>
      </c>
      <c r="CJ12" t="e">
        <v>#VALUE!</v>
      </c>
      <c r="CK12" t="e">
        <v>#VALUE!</v>
      </c>
    </row>
    <row r="13" spans="1:89">
      <c r="A13" s="34" t="s">
        <v>3</v>
      </c>
      <c r="B13" s="34" t="s">
        <v>450</v>
      </c>
      <c r="C13" s="34" t="s">
        <v>450</v>
      </c>
      <c r="D13" s="34">
        <v>62.8</v>
      </c>
      <c r="E13" s="34">
        <v>64.2721816156436</v>
      </c>
      <c r="F13" s="34"/>
      <c r="G13" s="34">
        <v>78.8069957193348</v>
      </c>
      <c r="H13" s="34">
        <v>97.7214433171068</v>
      </c>
      <c r="I13" s="34">
        <v>121.214875815842</v>
      </c>
      <c r="J13" s="34">
        <v>149.061517397857</v>
      </c>
      <c r="K13" s="34">
        <v>181.565286874014</v>
      </c>
      <c r="L13" s="34">
        <v>219.061479534236</v>
      </c>
      <c r="M13" s="34">
        <v>261.822022187319</v>
      </c>
      <c r="N13" s="34">
        <v>309.547171328579</v>
      </c>
      <c r="O13" s="34">
        <v>361.296517570375</v>
      </c>
      <c r="P13" s="34">
        <v>414.909300321866</v>
      </c>
      <c r="Q13" s="34">
        <v>470.326824387375</v>
      </c>
      <c r="R13" s="34">
        <v>527.055197101302</v>
      </c>
      <c r="S13" s="34">
        <v>584.858414345939</v>
      </c>
      <c r="T13" s="34">
        <v>643.863292151739</v>
      </c>
      <c r="U13" s="34">
        <v>703.850907296216</v>
      </c>
      <c r="V13" s="34">
        <v>764.096072102391</v>
      </c>
      <c r="W13" s="34">
        <v>3</v>
      </c>
      <c r="AG13" s="232" t="s">
        <v>437</v>
      </c>
      <c r="AI13">
        <v>1</v>
      </c>
      <c r="AJ13">
        <v>1.02349969875313</v>
      </c>
      <c r="AK13">
        <v>1.25839625558148</v>
      </c>
      <c r="AL13">
        <v>1.56875019961733</v>
      </c>
      <c r="AM13">
        <v>1.96121257678312</v>
      </c>
      <c r="AN13">
        <v>2.43608377440658</v>
      </c>
      <c r="AO13">
        <v>3.00325350238505</v>
      </c>
      <c r="AP13">
        <v>3.67420479014643</v>
      </c>
      <c r="AQ13">
        <v>4.460440572303</v>
      </c>
      <c r="AR13">
        <v>5.36383284096653</v>
      </c>
      <c r="AS13">
        <v>6.37421321365854</v>
      </c>
      <c r="AT13">
        <v>7.45520677550761</v>
      </c>
      <c r="AU13">
        <v>8.60970837366772</v>
      </c>
      <c r="AV13">
        <v>9.8314238983634</v>
      </c>
      <c r="AW13">
        <v>11.1188654370631</v>
      </c>
      <c r="AX13">
        <v>12.4785673189264</v>
      </c>
      <c r="AY13">
        <v>13.9094673309328</v>
      </c>
      <c r="AZ13">
        <v>15.3976698448309</v>
      </c>
      <c r="BA13">
        <v>0</v>
      </c>
      <c r="BB13">
        <v>0</v>
      </c>
      <c r="BC13">
        <v>0</v>
      </c>
      <c r="BD13">
        <v>0</v>
      </c>
      <c r="BE13">
        <v>0</v>
      </c>
      <c r="BF13">
        <v>0</v>
      </c>
      <c r="BG13">
        <v>0</v>
      </c>
      <c r="BH13">
        <v>0</v>
      </c>
      <c r="BJ13" t="s">
        <v>438</v>
      </c>
      <c r="BL13">
        <v>1</v>
      </c>
      <c r="BM13">
        <v>0.997560975609757</v>
      </c>
      <c r="BN13">
        <v>0.985365853658537</v>
      </c>
      <c r="BO13">
        <v>0.973170731707317</v>
      </c>
      <c r="BP13">
        <v>0.960975609756098</v>
      </c>
      <c r="BQ13">
        <v>0.948780487804878</v>
      </c>
      <c r="BR13">
        <v>0.936585365853658</v>
      </c>
      <c r="BS13">
        <v>0.924390243902439</v>
      </c>
      <c r="BT13">
        <v>0.91219512195122</v>
      </c>
      <c r="BU13">
        <v>0.9</v>
      </c>
      <c r="BV13">
        <v>0.8875</v>
      </c>
      <c r="BW13">
        <v>0.875000000000001</v>
      </c>
      <c r="BX13">
        <v>0.862500000000001</v>
      </c>
      <c r="BY13">
        <v>0.850000000000001</v>
      </c>
      <c r="BZ13">
        <v>0.8375</v>
      </c>
      <c r="CA13">
        <v>0.825000000000001</v>
      </c>
      <c r="CB13">
        <v>0.812500000000001</v>
      </c>
      <c r="CC13">
        <v>0.800000000000001</v>
      </c>
      <c r="CD13" t="e">
        <v>#VALUE!</v>
      </c>
      <c r="CE13" t="e">
        <v>#VALUE!</v>
      </c>
      <c r="CF13" t="e">
        <v>#VALUE!</v>
      </c>
      <c r="CG13" t="e">
        <v>#VALUE!</v>
      </c>
      <c r="CH13" t="e">
        <v>#VALUE!</v>
      </c>
      <c r="CI13" t="e">
        <v>#VALUE!</v>
      </c>
      <c r="CJ13" t="e">
        <v>#VALUE!</v>
      </c>
      <c r="CK13" t="e">
        <v>#VALUE!</v>
      </c>
    </row>
    <row r="14" spans="1:89">
      <c r="A14" s="34" t="s">
        <v>3</v>
      </c>
      <c r="B14" s="34" t="s">
        <v>451</v>
      </c>
      <c r="C14" s="34" t="s">
        <v>451</v>
      </c>
      <c r="D14" s="34">
        <v>82.28</v>
      </c>
      <c r="E14" s="34">
        <v>84.2088392250821</v>
      </c>
      <c r="F14" s="34"/>
      <c r="G14" s="34">
        <v>103.252223053931</v>
      </c>
      <c r="H14" s="34">
        <v>128.033763632668</v>
      </c>
      <c r="I14" s="34">
        <v>158.814649396934</v>
      </c>
      <c r="J14" s="34">
        <v>195.299070883689</v>
      </c>
      <c r="K14" s="34">
        <v>237.88521980882</v>
      </c>
      <c r="L14" s="34">
        <v>287.012397071289</v>
      </c>
      <c r="M14" s="34">
        <v>343.036878751156</v>
      </c>
      <c r="N14" s="34">
        <v>405.565943581456</v>
      </c>
      <c r="O14" s="34">
        <v>473.367475568319</v>
      </c>
      <c r="P14" s="34">
        <v>543.610465453553</v>
      </c>
      <c r="Q14" s="34">
        <v>616.218011315178</v>
      </c>
      <c r="R14" s="34">
        <v>690.543019386865</v>
      </c>
      <c r="S14" s="34">
        <v>766.276279178086</v>
      </c>
      <c r="T14" s="34">
        <v>843.5839439211</v>
      </c>
      <c r="U14" s="34">
        <v>922.179182361985</v>
      </c>
      <c r="V14" s="34">
        <v>1001.11186007301</v>
      </c>
      <c r="W14" s="34">
        <v>3</v>
      </c>
      <c r="AG14" s="232" t="s">
        <v>437</v>
      </c>
      <c r="AI14">
        <v>1</v>
      </c>
      <c r="AJ14">
        <v>1.02349969875313</v>
      </c>
      <c r="AK14">
        <v>1.25839625558148</v>
      </c>
      <c r="AL14">
        <v>1.56875019961733</v>
      </c>
      <c r="AM14">
        <v>1.96121257678312</v>
      </c>
      <c r="AN14">
        <v>2.43608377440658</v>
      </c>
      <c r="AO14">
        <v>3.00325350238505</v>
      </c>
      <c r="AP14">
        <v>3.67420479014643</v>
      </c>
      <c r="AQ14">
        <v>4.460440572303</v>
      </c>
      <c r="AR14">
        <v>5.36383284096653</v>
      </c>
      <c r="AS14">
        <v>6.37421321365854</v>
      </c>
      <c r="AT14">
        <v>7.45520677550761</v>
      </c>
      <c r="AU14">
        <v>8.60970837366772</v>
      </c>
      <c r="AV14">
        <v>9.8314238983634</v>
      </c>
      <c r="AW14">
        <v>11.1188654370631</v>
      </c>
      <c r="AX14">
        <v>12.4785673189264</v>
      </c>
      <c r="AY14">
        <v>13.9094673309328</v>
      </c>
      <c r="AZ14">
        <v>15.3976698448309</v>
      </c>
      <c r="BA14">
        <v>0</v>
      </c>
      <c r="BB14">
        <v>0</v>
      </c>
      <c r="BC14">
        <v>0</v>
      </c>
      <c r="BD14">
        <v>0</v>
      </c>
      <c r="BE14">
        <v>0</v>
      </c>
      <c r="BF14">
        <v>0</v>
      </c>
      <c r="BG14">
        <v>0</v>
      </c>
      <c r="BH14">
        <v>0</v>
      </c>
      <c r="BJ14" t="s">
        <v>438</v>
      </c>
      <c r="BL14">
        <v>1</v>
      </c>
      <c r="BM14">
        <v>0.997560975609757</v>
      </c>
      <c r="BN14">
        <v>0.985365853658537</v>
      </c>
      <c r="BO14">
        <v>0.973170731707317</v>
      </c>
      <c r="BP14">
        <v>0.960975609756098</v>
      </c>
      <c r="BQ14">
        <v>0.948780487804878</v>
      </c>
      <c r="BR14">
        <v>0.936585365853658</v>
      </c>
      <c r="BS14">
        <v>0.924390243902439</v>
      </c>
      <c r="BT14">
        <v>0.91219512195122</v>
      </c>
      <c r="BU14">
        <v>0.9</v>
      </c>
      <c r="BV14">
        <v>0.8875</v>
      </c>
      <c r="BW14">
        <v>0.875000000000001</v>
      </c>
      <c r="BX14">
        <v>0.862500000000001</v>
      </c>
      <c r="BY14">
        <v>0.850000000000001</v>
      </c>
      <c r="BZ14">
        <v>0.8375</v>
      </c>
      <c r="CA14">
        <v>0.825000000000001</v>
      </c>
      <c r="CB14">
        <v>0.812500000000001</v>
      </c>
      <c r="CC14">
        <v>0.800000000000001</v>
      </c>
      <c r="CD14" t="e">
        <v>#VALUE!</v>
      </c>
      <c r="CE14" t="e">
        <v>#VALUE!</v>
      </c>
      <c r="CF14" t="e">
        <v>#VALUE!</v>
      </c>
      <c r="CG14" t="e">
        <v>#VALUE!</v>
      </c>
      <c r="CH14" t="e">
        <v>#VALUE!</v>
      </c>
      <c r="CI14" t="e">
        <v>#VALUE!</v>
      </c>
      <c r="CJ14" t="e">
        <v>#VALUE!</v>
      </c>
      <c r="CK14" t="e">
        <v>#VALUE!</v>
      </c>
    </row>
    <row r="15" spans="1:89">
      <c r="A15" s="34" t="s">
        <v>5</v>
      </c>
      <c r="B15" s="34" t="s">
        <v>436</v>
      </c>
      <c r="C15" s="34" t="s">
        <v>436</v>
      </c>
      <c r="D15" s="34"/>
      <c r="E15" s="34">
        <v>23.1803432118412</v>
      </c>
      <c r="F15" s="34">
        <f xml:space="preserve">E15</f>
        <v>23.1803432118412</v>
      </c>
      <c r="G15" s="34"/>
      <c r="H15" s="34"/>
      <c r="I15" s="34">
        <f xml:space="preserve">F15</f>
        <v>23.1803432118412</v>
      </c>
      <c r="J15" s="34">
        <f xml:space="preserve">I15</f>
        <v>23.1803432118412</v>
      </c>
      <c r="K15" s="34"/>
      <c r="L15" s="34">
        <f xml:space="preserve">J15</f>
        <v>23.1803432118412</v>
      </c>
      <c r="M15" s="34"/>
      <c r="N15" s="34"/>
      <c r="O15" s="34"/>
      <c r="P15" s="34"/>
      <c r="Q15" s="34"/>
      <c r="R15" s="34"/>
      <c r="S15" s="34"/>
      <c r="T15" s="34"/>
      <c r="U15" s="34"/>
      <c r="V15" s="34">
        <f xml:space="preserve">L15</f>
        <v>23.1803432118412</v>
      </c>
      <c r="W15" s="34">
        <v>3</v>
      </c>
      <c r="AG15" s="232" t="s">
        <v>437</v>
      </c>
      <c r="AI15">
        <v>1</v>
      </c>
      <c r="AJ15">
        <v>1.02246891243641</v>
      </c>
      <c r="AK15">
        <v>1.24938302921191</v>
      </c>
      <c r="AL15">
        <v>1.59660851081695</v>
      </c>
      <c r="AM15">
        <v>2.08504784266403</v>
      </c>
      <c r="AN15">
        <v>2.68343024980208</v>
      </c>
      <c r="AO15">
        <v>3.43061745145576</v>
      </c>
      <c r="AP15">
        <v>4.36282278169176</v>
      </c>
      <c r="AQ15">
        <v>5.51907412505686</v>
      </c>
      <c r="AR15">
        <v>6.93831073081934</v>
      </c>
      <c r="AS15">
        <v>8.66105910457652</v>
      </c>
      <c r="AT15">
        <v>10.7052920010157</v>
      </c>
      <c r="AU15">
        <v>13.1033847939631</v>
      </c>
      <c r="AV15">
        <v>15.8686875832727</v>
      </c>
      <c r="AW15">
        <v>19.0189860674954</v>
      </c>
      <c r="AX15">
        <v>22.575041414736</v>
      </c>
      <c r="AY15">
        <v>26.5513879418483</v>
      </c>
      <c r="AZ15">
        <v>30.9565185519041</v>
      </c>
      <c r="BA15">
        <v>0</v>
      </c>
      <c r="BB15">
        <v>0</v>
      </c>
      <c r="BC15">
        <v>0</v>
      </c>
      <c r="BD15">
        <v>0</v>
      </c>
      <c r="BE15">
        <v>0</v>
      </c>
      <c r="BF15">
        <v>0</v>
      </c>
      <c r="BG15">
        <v>0</v>
      </c>
      <c r="BH15">
        <v>0</v>
      </c>
      <c r="BJ15" t="s">
        <v>438</v>
      </c>
      <c r="BL15">
        <v>1</v>
      </c>
      <c r="BM15">
        <v>0.997560975609757</v>
      </c>
      <c r="BN15">
        <v>0.985365853658537</v>
      </c>
      <c r="BO15">
        <v>0.973170731707317</v>
      </c>
      <c r="BP15">
        <v>0.960975609756098</v>
      </c>
      <c r="BQ15">
        <v>0.948780487804878</v>
      </c>
      <c r="BR15">
        <v>0.936585365853658</v>
      </c>
      <c r="BS15">
        <v>0.924390243902439</v>
      </c>
      <c r="BT15">
        <v>0.91219512195122</v>
      </c>
      <c r="BU15">
        <v>0.9</v>
      </c>
      <c r="BV15">
        <v>0.8875</v>
      </c>
      <c r="BW15">
        <v>0.875000000000001</v>
      </c>
      <c r="BX15">
        <v>0.862500000000001</v>
      </c>
      <c r="BY15">
        <v>0.850000000000001</v>
      </c>
      <c r="BZ15">
        <v>0.8375</v>
      </c>
      <c r="CA15">
        <v>0.825000000000001</v>
      </c>
      <c r="CB15">
        <v>0.812500000000001</v>
      </c>
      <c r="CC15">
        <v>0.800000000000001</v>
      </c>
      <c r="CD15" t="e">
        <v>#VALUE!</v>
      </c>
      <c r="CE15" t="e">
        <v>#VALUE!</v>
      </c>
      <c r="CF15" t="e">
        <v>#VALUE!</v>
      </c>
      <c r="CG15" t="e">
        <v>#VALUE!</v>
      </c>
      <c r="CH15" t="e">
        <v>#VALUE!</v>
      </c>
      <c r="CI15" t="e">
        <v>#VALUE!</v>
      </c>
      <c r="CJ15" t="e">
        <v>#VALUE!</v>
      </c>
      <c r="CK15" t="e">
        <v>#VALUE!</v>
      </c>
    </row>
    <row r="16" spans="1:89">
      <c r="A16" s="34" t="s">
        <v>5</v>
      </c>
      <c r="B16" s="34" t="s">
        <v>439</v>
      </c>
      <c r="C16" s="34" t="s">
        <v>439</v>
      </c>
      <c r="D16" s="34"/>
      <c r="E16" s="34">
        <v>196.398393249324</v>
      </c>
      <c r="F16" s="34">
        <f xml:space="preserve">E16</f>
        <v>196.398393249324</v>
      </c>
      <c r="G16" s="34"/>
      <c r="H16" s="34"/>
      <c r="I16" s="34">
        <f xml:space="preserve">F16</f>
        <v>196.398393249324</v>
      </c>
      <c r="J16" s="34">
        <f xml:space="preserve">I16</f>
        <v>196.398393249324</v>
      </c>
      <c r="K16" s="34"/>
      <c r="L16" s="34">
        <f xml:space="preserve">J16</f>
        <v>196.398393249324</v>
      </c>
      <c r="M16" s="34"/>
      <c r="N16" s="34"/>
      <c r="O16" s="34"/>
      <c r="P16" s="34"/>
      <c r="Q16" s="34"/>
      <c r="R16" s="34"/>
      <c r="S16" s="34"/>
      <c r="T16" s="34"/>
      <c r="U16" s="34"/>
      <c r="V16" s="34">
        <f xml:space="preserve">L16</f>
        <v>196.398393249324</v>
      </c>
      <c r="W16" s="34">
        <v>3</v>
      </c>
      <c r="AG16" s="232" t="s">
        <v>437</v>
      </c>
      <c r="AI16">
        <v>1</v>
      </c>
      <c r="AJ16">
        <v>1.02246891243641</v>
      </c>
      <c r="AK16">
        <v>1.24938302921191</v>
      </c>
      <c r="AL16">
        <v>1.59660851081695</v>
      </c>
      <c r="AM16">
        <v>2.08504784266403</v>
      </c>
      <c r="AN16">
        <v>2.68343024980208</v>
      </c>
      <c r="AO16">
        <v>3.43061745145576</v>
      </c>
      <c r="AP16">
        <v>4.36282278169176</v>
      </c>
      <c r="AQ16">
        <v>5.51907412505686</v>
      </c>
      <c r="AR16">
        <v>6.93831073081934</v>
      </c>
      <c r="AS16">
        <v>8.66105910457652</v>
      </c>
      <c r="AT16">
        <v>10.7052920010157</v>
      </c>
      <c r="AU16">
        <v>13.1033847939631</v>
      </c>
      <c r="AV16">
        <v>15.8686875832727</v>
      </c>
      <c r="AW16">
        <v>19.0189860674954</v>
      </c>
      <c r="AX16">
        <v>22.575041414736</v>
      </c>
      <c r="AY16">
        <v>26.5513879418483</v>
      </c>
      <c r="AZ16">
        <v>30.9565185519041</v>
      </c>
      <c r="BA16">
        <v>0</v>
      </c>
      <c r="BB16">
        <v>0</v>
      </c>
      <c r="BC16">
        <v>0</v>
      </c>
      <c r="BD16">
        <v>0</v>
      </c>
      <c r="BE16">
        <v>0</v>
      </c>
      <c r="BF16">
        <v>0</v>
      </c>
      <c r="BG16">
        <v>0</v>
      </c>
      <c r="BH16">
        <v>0</v>
      </c>
      <c r="BJ16" t="s">
        <v>438</v>
      </c>
      <c r="BL16">
        <v>1</v>
      </c>
      <c r="BM16">
        <v>0.997560975609757</v>
      </c>
      <c r="BN16">
        <v>0.985365853658537</v>
      </c>
      <c r="BO16">
        <v>0.973170731707317</v>
      </c>
      <c r="BP16">
        <v>0.960975609756098</v>
      </c>
      <c r="BQ16">
        <v>0.948780487804878</v>
      </c>
      <c r="BR16">
        <v>0.936585365853658</v>
      </c>
      <c r="BS16">
        <v>0.924390243902439</v>
      </c>
      <c r="BT16">
        <v>0.91219512195122</v>
      </c>
      <c r="BU16">
        <v>0.9</v>
      </c>
      <c r="BV16">
        <v>0.8875</v>
      </c>
      <c r="BW16">
        <v>0.875000000000001</v>
      </c>
      <c r="BX16">
        <v>0.862500000000001</v>
      </c>
      <c r="BY16">
        <v>0.850000000000001</v>
      </c>
      <c r="BZ16">
        <v>0.8375</v>
      </c>
      <c r="CA16">
        <v>0.825000000000001</v>
      </c>
      <c r="CB16">
        <v>0.812500000000001</v>
      </c>
      <c r="CC16">
        <v>0.800000000000001</v>
      </c>
      <c r="CD16" t="e">
        <v>#VALUE!</v>
      </c>
      <c r="CE16" t="e">
        <v>#VALUE!</v>
      </c>
      <c r="CF16" t="e">
        <v>#VALUE!</v>
      </c>
      <c r="CG16" t="e">
        <v>#VALUE!</v>
      </c>
      <c r="CH16" t="e">
        <v>#VALUE!</v>
      </c>
      <c r="CI16" t="e">
        <v>#VALUE!</v>
      </c>
      <c r="CJ16" t="e">
        <v>#VALUE!</v>
      </c>
      <c r="CK16" t="e">
        <v>#VALUE!</v>
      </c>
    </row>
    <row r="17" spans="1:89">
      <c r="A17" s="34" t="s">
        <v>5</v>
      </c>
      <c r="B17" s="34" t="s">
        <v>440</v>
      </c>
      <c r="C17" s="34" t="s">
        <v>440</v>
      </c>
      <c r="D17" s="34"/>
      <c r="E17" s="34">
        <v>10.9711987039902</v>
      </c>
      <c r="F17" s="34"/>
      <c r="G17" s="34"/>
      <c r="H17" s="34"/>
      <c r="I17" s="34">
        <v>21.9803324306003</v>
      </c>
      <c r="J17" s="34">
        <v>27.9653136634823</v>
      </c>
      <c r="K17" s="34"/>
      <c r="L17" s="34">
        <v>44.1146915834348</v>
      </c>
      <c r="M17" s="34"/>
      <c r="N17" s="34"/>
      <c r="O17" s="34"/>
      <c r="P17" s="34"/>
      <c r="Q17" s="34"/>
      <c r="R17" s="34"/>
      <c r="S17" s="34"/>
      <c r="T17" s="34"/>
      <c r="U17" s="34"/>
      <c r="V17" s="34">
        <v>243.633869506012</v>
      </c>
      <c r="W17" s="34">
        <v>3</v>
      </c>
      <c r="AG17" s="232" t="s">
        <v>437</v>
      </c>
      <c r="AI17">
        <v>1</v>
      </c>
      <c r="AJ17">
        <v>1.02246891243641</v>
      </c>
      <c r="AK17">
        <v>1.24938302921191</v>
      </c>
      <c r="AL17">
        <v>1.59660851081695</v>
      </c>
      <c r="AM17">
        <v>2.08504784266403</v>
      </c>
      <c r="AN17">
        <v>2.68343024980208</v>
      </c>
      <c r="AO17">
        <v>3.43061745145576</v>
      </c>
      <c r="AP17">
        <v>4.36282278169176</v>
      </c>
      <c r="AQ17">
        <v>5.51907412505686</v>
      </c>
      <c r="AR17">
        <v>6.93831073081934</v>
      </c>
      <c r="AS17">
        <v>8.66105910457652</v>
      </c>
      <c r="AT17">
        <v>10.7052920010157</v>
      </c>
      <c r="AU17">
        <v>13.1033847939631</v>
      </c>
      <c r="AV17">
        <v>15.8686875832727</v>
      </c>
      <c r="AW17">
        <v>19.0189860674954</v>
      </c>
      <c r="AX17">
        <v>22.575041414736</v>
      </c>
      <c r="AY17">
        <v>26.5513879418483</v>
      </c>
      <c r="AZ17">
        <v>30.9565185519041</v>
      </c>
      <c r="BA17">
        <v>0</v>
      </c>
      <c r="BB17">
        <v>0</v>
      </c>
      <c r="BC17">
        <v>0</v>
      </c>
      <c r="BD17">
        <v>0</v>
      </c>
      <c r="BE17">
        <v>0</v>
      </c>
      <c r="BF17">
        <v>0</v>
      </c>
      <c r="BG17">
        <v>0</v>
      </c>
      <c r="BH17">
        <v>0</v>
      </c>
      <c r="BJ17" t="s">
        <v>438</v>
      </c>
      <c r="BL17">
        <v>1</v>
      </c>
      <c r="BM17">
        <v>0.997560975609757</v>
      </c>
      <c r="BN17">
        <v>0.985365853658537</v>
      </c>
      <c r="BO17">
        <v>0.973170731707317</v>
      </c>
      <c r="BP17">
        <v>0.960975609756098</v>
      </c>
      <c r="BQ17">
        <v>0.948780487804878</v>
      </c>
      <c r="BR17">
        <v>0.936585365853658</v>
      </c>
      <c r="BS17">
        <v>0.924390243902439</v>
      </c>
      <c r="BT17">
        <v>0.91219512195122</v>
      </c>
      <c r="BU17">
        <v>0.9</v>
      </c>
      <c r="BV17">
        <v>0.8875</v>
      </c>
      <c r="BW17">
        <v>0.875000000000001</v>
      </c>
      <c r="BX17">
        <v>0.862500000000001</v>
      </c>
      <c r="BY17">
        <v>0.850000000000001</v>
      </c>
      <c r="BZ17">
        <v>0.8375</v>
      </c>
      <c r="CA17">
        <v>0.825000000000001</v>
      </c>
      <c r="CB17">
        <v>0.812500000000001</v>
      </c>
      <c r="CC17">
        <v>0.800000000000001</v>
      </c>
      <c r="CD17" t="e">
        <v>#VALUE!</v>
      </c>
      <c r="CE17" t="e">
        <v>#VALUE!</v>
      </c>
      <c r="CF17" t="e">
        <v>#VALUE!</v>
      </c>
      <c r="CG17" t="e">
        <v>#VALUE!</v>
      </c>
      <c r="CH17" t="e">
        <v>#VALUE!</v>
      </c>
      <c r="CI17" t="e">
        <v>#VALUE!</v>
      </c>
      <c r="CJ17" t="e">
        <v>#VALUE!</v>
      </c>
      <c r="CK17" t="e">
        <v>#VALUE!</v>
      </c>
    </row>
    <row r="18" spans="1:89">
      <c r="A18" s="34" t="s">
        <v>5</v>
      </c>
      <c r="B18" s="34" t="s">
        <v>441</v>
      </c>
      <c r="C18" s="34" t="s">
        <v>441</v>
      </c>
      <c r="D18" s="34"/>
      <c r="E18" s="34">
        <v>4.81437254044958</v>
      </c>
      <c r="F18" s="34"/>
      <c r="G18" s="34"/>
      <c r="H18" s="34"/>
      <c r="I18" s="34">
        <v>6.86787428674687</v>
      </c>
      <c r="J18" s="34">
        <v>7.58517428493052</v>
      </c>
      <c r="K18" s="34"/>
      <c r="L18" s="34">
        <v>8.98931157796759</v>
      </c>
      <c r="M18" s="34"/>
      <c r="N18" s="34"/>
      <c r="O18" s="34"/>
      <c r="P18" s="34"/>
      <c r="Q18" s="34"/>
      <c r="R18" s="34"/>
      <c r="S18" s="34"/>
      <c r="T18" s="34"/>
      <c r="U18" s="34"/>
      <c r="V18" s="34">
        <v>13.0281374717101</v>
      </c>
      <c r="W18" s="34">
        <v>3</v>
      </c>
      <c r="AG18" s="232" t="s">
        <v>442</v>
      </c>
      <c r="AI18">
        <v>1</v>
      </c>
      <c r="AJ18">
        <v>1.02835964629207</v>
      </c>
      <c r="AK18">
        <v>1.17015787775242</v>
      </c>
      <c r="AL18">
        <v>1.32178389095272</v>
      </c>
      <c r="AM18">
        <v>1.4803215894015</v>
      </c>
      <c r="AN18">
        <v>1.64327701361462</v>
      </c>
      <c r="AO18">
        <v>1.807856173634</v>
      </c>
      <c r="AP18">
        <v>1.97112678896917</v>
      </c>
      <c r="AQ18">
        <v>2.12882285563043</v>
      </c>
      <c r="AR18">
        <v>2.27914115883496</v>
      </c>
      <c r="AS18">
        <v>2.41945733999278</v>
      </c>
      <c r="AT18">
        <v>2.54829854847816</v>
      </c>
      <c r="AU18">
        <v>2.6637921436305</v>
      </c>
      <c r="AV18">
        <v>2.76437656345089</v>
      </c>
      <c r="AW18">
        <v>2.84931997770064</v>
      </c>
      <c r="AX18">
        <v>2.91858238898645</v>
      </c>
      <c r="AY18">
        <v>2.97211785895335</v>
      </c>
      <c r="AZ18">
        <v>3.01053474588593</v>
      </c>
      <c r="BA18">
        <v>0</v>
      </c>
      <c r="BB18">
        <v>0</v>
      </c>
      <c r="BC18">
        <v>0</v>
      </c>
      <c r="BD18">
        <v>0</v>
      </c>
      <c r="BE18">
        <v>0</v>
      </c>
      <c r="BF18">
        <v>0</v>
      </c>
      <c r="BG18">
        <v>0</v>
      </c>
      <c r="BH18">
        <v>0</v>
      </c>
      <c r="BJ18" t="s">
        <v>438</v>
      </c>
      <c r="BL18">
        <v>1</v>
      </c>
      <c r="BM18">
        <v>0.997560975609757</v>
      </c>
      <c r="BN18">
        <v>0.985365853658537</v>
      </c>
      <c r="BO18">
        <v>0.973170731707317</v>
      </c>
      <c r="BP18">
        <v>0.960975609756098</v>
      </c>
      <c r="BQ18">
        <v>0.948780487804878</v>
      </c>
      <c r="BR18">
        <v>0.936585365853658</v>
      </c>
      <c r="BS18">
        <v>0.924390243902439</v>
      </c>
      <c r="BT18">
        <v>0.91219512195122</v>
      </c>
      <c r="BU18">
        <v>0.9</v>
      </c>
      <c r="BV18">
        <v>0.8875</v>
      </c>
      <c r="BW18">
        <v>0.875000000000001</v>
      </c>
      <c r="BX18">
        <v>0.862500000000001</v>
      </c>
      <c r="BY18">
        <v>0.850000000000001</v>
      </c>
      <c r="BZ18">
        <v>0.8375</v>
      </c>
      <c r="CA18">
        <v>0.825000000000001</v>
      </c>
      <c r="CB18">
        <v>0.812500000000001</v>
      </c>
      <c r="CC18">
        <v>0.800000000000001</v>
      </c>
      <c r="CD18" t="e">
        <v>#VALUE!</v>
      </c>
      <c r="CE18" t="e">
        <v>#VALUE!</v>
      </c>
      <c r="CF18" t="e">
        <v>#VALUE!</v>
      </c>
      <c r="CG18" t="e">
        <v>#VALUE!</v>
      </c>
      <c r="CH18" t="e">
        <v>#VALUE!</v>
      </c>
      <c r="CI18" t="e">
        <v>#VALUE!</v>
      </c>
      <c r="CJ18" t="e">
        <v>#VALUE!</v>
      </c>
      <c r="CK18" t="e">
        <v>#VALUE!</v>
      </c>
    </row>
    <row r="19" spans="1:89">
      <c r="A19" s="34" t="s">
        <v>5</v>
      </c>
      <c r="B19" s="34" t="s">
        <v>443</v>
      </c>
      <c r="C19" s="34" t="s">
        <v>443</v>
      </c>
      <c r="D19" s="34"/>
      <c r="E19" s="34">
        <v>24.0823261432321</v>
      </c>
      <c r="F19" s="34">
        <f xml:space="preserve">E19</f>
        <v>24.0823261432321</v>
      </c>
      <c r="G19" s="34"/>
      <c r="H19" s="34"/>
      <c r="I19" s="34">
        <f xml:space="preserve">F19</f>
        <v>24.0823261432321</v>
      </c>
      <c r="J19" s="34">
        <f xml:space="preserve">I19</f>
        <v>24.0823261432321</v>
      </c>
      <c r="K19" s="34"/>
      <c r="L19" s="34">
        <f xml:space="preserve">J19</f>
        <v>24.0823261432321</v>
      </c>
      <c r="M19" s="34"/>
      <c r="N19" s="34"/>
      <c r="O19" s="34"/>
      <c r="P19" s="34"/>
      <c r="Q19" s="34"/>
      <c r="R19" s="34"/>
      <c r="S19" s="34"/>
      <c r="T19" s="34"/>
      <c r="U19" s="34"/>
      <c r="V19" s="34">
        <f xml:space="preserve">L19</f>
        <v>24.0823261432321</v>
      </c>
      <c r="W19" s="34">
        <v>3</v>
      </c>
      <c r="AG19" s="232" t="s">
        <v>437</v>
      </c>
      <c r="AI19">
        <v>1</v>
      </c>
      <c r="AJ19">
        <v>1.02246891243641</v>
      </c>
      <c r="AK19">
        <v>1.24938302921191</v>
      </c>
      <c r="AL19">
        <v>1.59660851081695</v>
      </c>
      <c r="AM19">
        <v>2.08504784266403</v>
      </c>
      <c r="AN19">
        <v>2.68343024980208</v>
      </c>
      <c r="AO19">
        <v>3.43061745145576</v>
      </c>
      <c r="AP19">
        <v>4.36282278169176</v>
      </c>
      <c r="AQ19">
        <v>5.51907412505686</v>
      </c>
      <c r="AR19">
        <v>6.93831073081934</v>
      </c>
      <c r="AS19">
        <v>8.66105910457652</v>
      </c>
      <c r="AT19">
        <v>10.7052920010157</v>
      </c>
      <c r="AU19">
        <v>13.1033847939631</v>
      </c>
      <c r="AV19">
        <v>15.8686875832727</v>
      </c>
      <c r="AW19">
        <v>19.0189860674954</v>
      </c>
      <c r="AX19">
        <v>22.575041414736</v>
      </c>
      <c r="AY19">
        <v>26.5513879418483</v>
      </c>
      <c r="AZ19">
        <v>30.9565185519041</v>
      </c>
      <c r="BA19">
        <v>0</v>
      </c>
      <c r="BB19">
        <v>0</v>
      </c>
      <c r="BC19">
        <v>0</v>
      </c>
      <c r="BD19">
        <v>0</v>
      </c>
      <c r="BE19">
        <v>0</v>
      </c>
      <c r="BF19">
        <v>0</v>
      </c>
      <c r="BG19">
        <v>0</v>
      </c>
      <c r="BH19">
        <v>0</v>
      </c>
      <c r="BJ19" t="s">
        <v>438</v>
      </c>
      <c r="BL19">
        <v>1</v>
      </c>
      <c r="BM19">
        <v>0.997560975609757</v>
      </c>
      <c r="BN19">
        <v>0.985365853658537</v>
      </c>
      <c r="BO19">
        <v>0.973170731707317</v>
      </c>
      <c r="BP19">
        <v>0.960975609756098</v>
      </c>
      <c r="BQ19">
        <v>0.948780487804878</v>
      </c>
      <c r="BR19">
        <v>0.936585365853658</v>
      </c>
      <c r="BS19">
        <v>0.924390243902439</v>
      </c>
      <c r="BT19">
        <v>0.91219512195122</v>
      </c>
      <c r="BU19">
        <v>0.9</v>
      </c>
      <c r="BV19">
        <v>0.8875</v>
      </c>
      <c r="BW19">
        <v>0.875000000000001</v>
      </c>
      <c r="BX19">
        <v>0.862500000000001</v>
      </c>
      <c r="BY19">
        <v>0.850000000000001</v>
      </c>
      <c r="BZ19">
        <v>0.8375</v>
      </c>
      <c r="CA19">
        <v>0.825000000000001</v>
      </c>
      <c r="CB19">
        <v>0.812500000000001</v>
      </c>
      <c r="CC19">
        <v>0.800000000000001</v>
      </c>
      <c r="CD19" t="e">
        <v>#VALUE!</v>
      </c>
      <c r="CE19" t="e">
        <v>#VALUE!</v>
      </c>
      <c r="CF19" t="e">
        <v>#VALUE!</v>
      </c>
      <c r="CG19" t="e">
        <v>#VALUE!</v>
      </c>
      <c r="CH19" t="e">
        <v>#VALUE!</v>
      </c>
      <c r="CI19" t="e">
        <v>#VALUE!</v>
      </c>
      <c r="CJ19" t="e">
        <v>#VALUE!</v>
      </c>
      <c r="CK19" t="e">
        <v>#VALUE!</v>
      </c>
    </row>
    <row r="20" spans="1:89">
      <c r="A20" s="34" t="s">
        <v>5</v>
      </c>
      <c r="B20" s="34" t="s">
        <v>444</v>
      </c>
      <c r="C20" s="34" t="s">
        <v>444</v>
      </c>
      <c r="D20" s="34"/>
      <c r="E20" s="34">
        <v>90.4088922329234</v>
      </c>
      <c r="F20" s="34">
        <f xml:space="preserve">E20</f>
        <v>90.4088922329234</v>
      </c>
      <c r="G20" s="34"/>
      <c r="H20" s="34"/>
      <c r="I20" s="34">
        <f xml:space="preserve">F20</f>
        <v>90.4088922329234</v>
      </c>
      <c r="J20" s="34">
        <f xml:space="preserve">I20</f>
        <v>90.4088922329234</v>
      </c>
      <c r="K20" s="34"/>
      <c r="L20" s="34">
        <f xml:space="preserve">J20</f>
        <v>90.4088922329234</v>
      </c>
      <c r="M20" s="34"/>
      <c r="N20" s="34"/>
      <c r="O20" s="34"/>
      <c r="P20" s="34"/>
      <c r="Q20" s="34"/>
      <c r="R20" s="34"/>
      <c r="S20" s="34"/>
      <c r="T20" s="34"/>
      <c r="U20" s="34"/>
      <c r="V20" s="34">
        <f xml:space="preserve">L20</f>
        <v>90.4088922329234</v>
      </c>
      <c r="W20" s="34">
        <v>3</v>
      </c>
      <c r="AG20" s="232" t="s">
        <v>437</v>
      </c>
      <c r="AI20">
        <v>1</v>
      </c>
      <c r="AJ20">
        <v>1.02246891243641</v>
      </c>
      <c r="AK20">
        <v>1.24938302921191</v>
      </c>
      <c r="AL20">
        <v>1.59660851081695</v>
      </c>
      <c r="AM20">
        <v>2.08504784266403</v>
      </c>
      <c r="AN20">
        <v>2.68343024980208</v>
      </c>
      <c r="AO20">
        <v>3.43061745145576</v>
      </c>
      <c r="AP20">
        <v>4.36282278169176</v>
      </c>
      <c r="AQ20">
        <v>5.51907412505686</v>
      </c>
      <c r="AR20">
        <v>6.93831073081934</v>
      </c>
      <c r="AS20">
        <v>8.66105910457652</v>
      </c>
      <c r="AT20">
        <v>10.7052920010157</v>
      </c>
      <c r="AU20">
        <v>13.1033847939631</v>
      </c>
      <c r="AV20">
        <v>15.8686875832727</v>
      </c>
      <c r="AW20">
        <v>19.0189860674954</v>
      </c>
      <c r="AX20">
        <v>22.575041414736</v>
      </c>
      <c r="AY20">
        <v>26.5513879418483</v>
      </c>
      <c r="AZ20">
        <v>30.9565185519041</v>
      </c>
      <c r="BA20">
        <v>0</v>
      </c>
      <c r="BB20">
        <v>0</v>
      </c>
      <c r="BC20">
        <v>0</v>
      </c>
      <c r="BD20">
        <v>0</v>
      </c>
      <c r="BE20">
        <v>0</v>
      </c>
      <c r="BF20">
        <v>0</v>
      </c>
      <c r="BG20">
        <v>0</v>
      </c>
      <c r="BH20">
        <v>0</v>
      </c>
      <c r="BJ20" t="s">
        <v>438</v>
      </c>
      <c r="BL20">
        <v>1</v>
      </c>
      <c r="BM20">
        <v>0.997560975609757</v>
      </c>
      <c r="BN20">
        <v>0.985365853658537</v>
      </c>
      <c r="BO20">
        <v>0.973170731707317</v>
      </c>
      <c r="BP20">
        <v>0.960975609756098</v>
      </c>
      <c r="BQ20">
        <v>0.948780487804878</v>
      </c>
      <c r="BR20">
        <v>0.936585365853658</v>
      </c>
      <c r="BS20">
        <v>0.924390243902439</v>
      </c>
      <c r="BT20">
        <v>0.91219512195122</v>
      </c>
      <c r="BU20">
        <v>0.9</v>
      </c>
      <c r="BV20">
        <v>0.8875</v>
      </c>
      <c r="BW20">
        <v>0.875000000000001</v>
      </c>
      <c r="BX20">
        <v>0.862500000000001</v>
      </c>
      <c r="BY20">
        <v>0.850000000000001</v>
      </c>
      <c r="BZ20">
        <v>0.8375</v>
      </c>
      <c r="CA20">
        <v>0.825000000000001</v>
      </c>
      <c r="CB20">
        <v>0.812500000000001</v>
      </c>
      <c r="CC20">
        <v>0.800000000000001</v>
      </c>
      <c r="CD20" t="e">
        <v>#VALUE!</v>
      </c>
      <c r="CE20" t="e">
        <v>#VALUE!</v>
      </c>
      <c r="CF20" t="e">
        <v>#VALUE!</v>
      </c>
      <c r="CG20" t="e">
        <v>#VALUE!</v>
      </c>
      <c r="CH20" t="e">
        <v>#VALUE!</v>
      </c>
      <c r="CI20" t="e">
        <v>#VALUE!</v>
      </c>
      <c r="CJ20" t="e">
        <v>#VALUE!</v>
      </c>
      <c r="CK20" t="e">
        <v>#VALUE!</v>
      </c>
    </row>
    <row r="21" spans="1:89">
      <c r="A21" s="34" t="s">
        <v>5</v>
      </c>
      <c r="B21" s="34" t="s">
        <v>445</v>
      </c>
      <c r="C21" s="34" t="s">
        <v>445</v>
      </c>
      <c r="D21" s="34">
        <v>430.612</v>
      </c>
      <c r="E21" s="34">
        <v>442.794218633489</v>
      </c>
      <c r="F21" s="34"/>
      <c r="G21" s="34">
        <v>502.956630473746</v>
      </c>
      <c r="H21" s="34">
        <v>566.379930005521</v>
      </c>
      <c r="I21" s="34">
        <v>631.661759226702</v>
      </c>
      <c r="J21" s="34">
        <v>697.634279955618</v>
      </c>
      <c r="K21" s="34">
        <v>763.073669799907</v>
      </c>
      <c r="L21" s="34">
        <v>826.777562969283</v>
      </c>
      <c r="M21" s="34">
        <v>887.114426195659</v>
      </c>
      <c r="N21" s="34">
        <v>943.490456473223</v>
      </c>
      <c r="O21" s="34">
        <v>995.042086942428</v>
      </c>
      <c r="P21" s="34">
        <v>1041.40666630462</v>
      </c>
      <c r="Q21" s="34">
        <v>1082.11534915572</v>
      </c>
      <c r="R21" s="34">
        <v>1116.8467951166</v>
      </c>
      <c r="S21" s="34">
        <v>1145.58839431704</v>
      </c>
      <c r="T21" s="34">
        <v>1168.56251709046</v>
      </c>
      <c r="U21" s="34">
        <v>1185.97837943395</v>
      </c>
      <c r="V21" s="34">
        <v>1198.24211848318</v>
      </c>
      <c r="W21" s="34">
        <v>3</v>
      </c>
      <c r="AG21" s="232" t="s">
        <v>442</v>
      </c>
      <c r="AI21">
        <v>1</v>
      </c>
      <c r="AJ21">
        <v>1.02835964629207</v>
      </c>
      <c r="AK21">
        <v>1.17015787775242</v>
      </c>
      <c r="AL21">
        <v>1.32178389095272</v>
      </c>
      <c r="AM21">
        <v>1.4803215894015</v>
      </c>
      <c r="AN21">
        <v>1.64327701361462</v>
      </c>
      <c r="AO21">
        <v>1.807856173634</v>
      </c>
      <c r="AP21">
        <v>1.97112678896917</v>
      </c>
      <c r="AQ21">
        <v>2.12882285563043</v>
      </c>
      <c r="AR21">
        <v>2.27914115883496</v>
      </c>
      <c r="AS21">
        <v>2.41945733999278</v>
      </c>
      <c r="AT21">
        <v>2.54829854847816</v>
      </c>
      <c r="AU21">
        <v>2.6637921436305</v>
      </c>
      <c r="AV21">
        <v>2.76437656345089</v>
      </c>
      <c r="AW21">
        <v>2.84931997770064</v>
      </c>
      <c r="AX21">
        <v>2.91858238898645</v>
      </c>
      <c r="AY21">
        <v>2.97211785895335</v>
      </c>
      <c r="AZ21">
        <v>3.01053474588593</v>
      </c>
      <c r="BA21">
        <v>0</v>
      </c>
      <c r="BB21">
        <v>0</v>
      </c>
      <c r="BC21">
        <v>0</v>
      </c>
      <c r="BD21">
        <v>0</v>
      </c>
      <c r="BE21">
        <v>0</v>
      </c>
      <c r="BF21">
        <v>0</v>
      </c>
      <c r="BG21">
        <v>0</v>
      </c>
      <c r="BH21">
        <v>0</v>
      </c>
      <c r="BJ21" t="s">
        <v>438</v>
      </c>
      <c r="BL21">
        <v>1</v>
      </c>
      <c r="BM21">
        <v>0.997560975609757</v>
      </c>
      <c r="BN21">
        <v>0.985365853658537</v>
      </c>
      <c r="BO21">
        <v>0.973170731707317</v>
      </c>
      <c r="BP21">
        <v>0.960975609756098</v>
      </c>
      <c r="BQ21">
        <v>0.948780487804878</v>
      </c>
      <c r="BR21">
        <v>0.936585365853658</v>
      </c>
      <c r="BS21">
        <v>0.924390243902439</v>
      </c>
      <c r="BT21">
        <v>0.91219512195122</v>
      </c>
      <c r="BU21">
        <v>0.9</v>
      </c>
      <c r="BV21">
        <v>0.8875</v>
      </c>
      <c r="BW21">
        <v>0.875000000000001</v>
      </c>
      <c r="BX21">
        <v>0.862500000000001</v>
      </c>
      <c r="BY21">
        <v>0.850000000000001</v>
      </c>
      <c r="BZ21">
        <v>0.8375</v>
      </c>
      <c r="CA21">
        <v>0.825000000000001</v>
      </c>
      <c r="CB21">
        <v>0.812500000000001</v>
      </c>
      <c r="CC21">
        <v>0.800000000000001</v>
      </c>
      <c r="CD21" t="e">
        <v>#VALUE!</v>
      </c>
      <c r="CE21" t="e">
        <v>#VALUE!</v>
      </c>
      <c r="CF21" t="e">
        <v>#VALUE!</v>
      </c>
      <c r="CG21" t="e">
        <v>#VALUE!</v>
      </c>
      <c r="CH21" t="e">
        <v>#VALUE!</v>
      </c>
      <c r="CI21" t="e">
        <v>#VALUE!</v>
      </c>
      <c r="CJ21" t="e">
        <v>#VALUE!</v>
      </c>
      <c r="CK21" t="e">
        <v>#VALUE!</v>
      </c>
    </row>
    <row r="22" spans="1:89">
      <c r="A22" s="34" t="s">
        <v>5</v>
      </c>
      <c r="B22" s="34" t="s">
        <v>446</v>
      </c>
      <c r="C22" s="34" t="s">
        <v>446</v>
      </c>
      <c r="D22" s="34">
        <v>72.945</v>
      </c>
      <c r="E22" s="34">
        <v>75.0086488026805</v>
      </c>
      <c r="F22" s="34"/>
      <c r="G22" s="34">
        <v>85.2000673690175</v>
      </c>
      <c r="H22" s="34">
        <v>95.9438752153974</v>
      </c>
      <c r="I22" s="34">
        <v>107.002515087345</v>
      </c>
      <c r="J22" s="34">
        <v>118.178157021547</v>
      </c>
      <c r="K22" s="34">
        <v>129.263487416872</v>
      </c>
      <c r="L22" s="34">
        <v>140.054827387055</v>
      </c>
      <c r="M22" s="34">
        <v>150.275797745633</v>
      </c>
      <c r="N22" s="34">
        <v>159.825809191196</v>
      </c>
      <c r="O22" s="34">
        <v>168.558574846998</v>
      </c>
      <c r="P22" s="34">
        <v>176.412662149663</v>
      </c>
      <c r="Q22" s="34">
        <v>183.308649420276</v>
      </c>
      <c r="R22" s="34">
        <v>189.192102100686</v>
      </c>
      <c r="S22" s="34">
        <v>194.060884098577</v>
      </c>
      <c r="T22" s="34">
        <v>197.952664600994</v>
      </c>
      <c r="U22" s="34">
        <v>200.902884470961</v>
      </c>
      <c r="V22" s="34">
        <v>202.980342704699</v>
      </c>
      <c r="W22" s="34">
        <v>3</v>
      </c>
      <c r="AG22" s="232" t="s">
        <v>442</v>
      </c>
      <c r="AI22">
        <v>1</v>
      </c>
      <c r="AJ22">
        <v>1.02835964629207</v>
      </c>
      <c r="AK22">
        <v>1.17015787775242</v>
      </c>
      <c r="AL22">
        <v>1.32178389095272</v>
      </c>
      <c r="AM22">
        <v>1.4803215894015</v>
      </c>
      <c r="AN22">
        <v>1.64327701361462</v>
      </c>
      <c r="AO22">
        <v>1.807856173634</v>
      </c>
      <c r="AP22">
        <v>1.97112678896917</v>
      </c>
      <c r="AQ22">
        <v>2.12882285563043</v>
      </c>
      <c r="AR22">
        <v>2.27914115883496</v>
      </c>
      <c r="AS22">
        <v>2.41945733999278</v>
      </c>
      <c r="AT22">
        <v>2.54829854847816</v>
      </c>
      <c r="AU22">
        <v>2.6637921436305</v>
      </c>
      <c r="AV22">
        <v>2.76437656345089</v>
      </c>
      <c r="AW22">
        <v>2.84931997770064</v>
      </c>
      <c r="AX22">
        <v>2.91858238898645</v>
      </c>
      <c r="AY22">
        <v>2.97211785895335</v>
      </c>
      <c r="AZ22">
        <v>3.01053474588593</v>
      </c>
      <c r="BA22">
        <v>0</v>
      </c>
      <c r="BB22">
        <v>0</v>
      </c>
      <c r="BC22">
        <v>0</v>
      </c>
      <c r="BD22">
        <v>0</v>
      </c>
      <c r="BE22">
        <v>0</v>
      </c>
      <c r="BF22">
        <v>0</v>
      </c>
      <c r="BG22">
        <v>0</v>
      </c>
      <c r="BH22">
        <v>0</v>
      </c>
      <c r="BJ22" t="s">
        <v>438</v>
      </c>
      <c r="BL22">
        <v>1</v>
      </c>
      <c r="BM22">
        <v>0.997560975609757</v>
      </c>
      <c r="BN22">
        <v>0.985365853658537</v>
      </c>
      <c r="BO22">
        <v>0.973170731707317</v>
      </c>
      <c r="BP22">
        <v>0.960975609756098</v>
      </c>
      <c r="BQ22">
        <v>0.948780487804878</v>
      </c>
      <c r="BR22">
        <v>0.936585365853658</v>
      </c>
      <c r="BS22">
        <v>0.924390243902439</v>
      </c>
      <c r="BT22">
        <v>0.91219512195122</v>
      </c>
      <c r="BU22">
        <v>0.9</v>
      </c>
      <c r="BV22">
        <v>0.8875</v>
      </c>
      <c r="BW22">
        <v>0.875000000000001</v>
      </c>
      <c r="BX22">
        <v>0.862500000000001</v>
      </c>
      <c r="BY22">
        <v>0.850000000000001</v>
      </c>
      <c r="BZ22">
        <v>0.8375</v>
      </c>
      <c r="CA22">
        <v>0.825000000000001</v>
      </c>
      <c r="CB22">
        <v>0.812500000000001</v>
      </c>
      <c r="CC22">
        <v>0.800000000000001</v>
      </c>
      <c r="CD22" t="e">
        <v>#VALUE!</v>
      </c>
      <c r="CE22" t="e">
        <v>#VALUE!</v>
      </c>
      <c r="CF22" t="e">
        <v>#VALUE!</v>
      </c>
      <c r="CG22" t="e">
        <v>#VALUE!</v>
      </c>
      <c r="CH22" t="e">
        <v>#VALUE!</v>
      </c>
      <c r="CI22" t="e">
        <v>#VALUE!</v>
      </c>
      <c r="CJ22" t="e">
        <v>#VALUE!</v>
      </c>
      <c r="CK22" t="e">
        <v>#VALUE!</v>
      </c>
    </row>
    <row r="23" spans="1:89">
      <c r="A23" s="34" t="s">
        <v>5</v>
      </c>
      <c r="B23" s="34" t="s">
        <v>447</v>
      </c>
      <c r="C23" s="34" t="s">
        <v>447</v>
      </c>
      <c r="D23" s="34">
        <v>22.435</v>
      </c>
      <c r="E23" s="34">
        <v>23.0696968385515</v>
      </c>
      <c r="F23" s="34"/>
      <c r="G23" s="34">
        <v>26.2041745345659</v>
      </c>
      <c r="H23" s="34">
        <v>29.5085453486523</v>
      </c>
      <c r="I23" s="34">
        <v>32.9097460550358</v>
      </c>
      <c r="J23" s="34">
        <v>36.3469319731087</v>
      </c>
      <c r="K23" s="34">
        <v>39.7563416299613</v>
      </c>
      <c r="L23" s="34">
        <v>43.0753314473722</v>
      </c>
      <c r="M23" s="34">
        <v>46.2188981071117</v>
      </c>
      <c r="N23" s="34">
        <v>49.1561043142708</v>
      </c>
      <c r="O23" s="34">
        <v>51.8419580052422</v>
      </c>
      <c r="P23" s="34">
        <v>54.2575649506847</v>
      </c>
      <c r="Q23" s="34">
        <v>56.378498180052</v>
      </c>
      <c r="R23" s="34">
        <v>58.1880157739241</v>
      </c>
      <c r="S23" s="34">
        <v>59.6854607546999</v>
      </c>
      <c r="T23" s="34">
        <v>60.8824186760341</v>
      </c>
      <c r="U23" s="34">
        <v>61.7897897471522</v>
      </c>
      <c r="V23" s="34">
        <v>62.4287338210969</v>
      </c>
      <c r="W23" s="34">
        <v>3</v>
      </c>
      <c r="AG23" s="232" t="s">
        <v>442</v>
      </c>
      <c r="AI23">
        <v>1</v>
      </c>
      <c r="AJ23">
        <v>1.02835964629207</v>
      </c>
      <c r="AK23">
        <v>1.17015787775242</v>
      </c>
      <c r="AL23">
        <v>1.32178389095272</v>
      </c>
      <c r="AM23">
        <v>1.4803215894015</v>
      </c>
      <c r="AN23">
        <v>1.64327701361462</v>
      </c>
      <c r="AO23">
        <v>1.807856173634</v>
      </c>
      <c r="AP23">
        <v>1.97112678896917</v>
      </c>
      <c r="AQ23">
        <v>2.12882285563043</v>
      </c>
      <c r="AR23">
        <v>2.27914115883496</v>
      </c>
      <c r="AS23">
        <v>2.41945733999278</v>
      </c>
      <c r="AT23">
        <v>2.54829854847816</v>
      </c>
      <c r="AU23">
        <v>2.6637921436305</v>
      </c>
      <c r="AV23">
        <v>2.76437656345089</v>
      </c>
      <c r="AW23">
        <v>2.84931997770064</v>
      </c>
      <c r="AX23">
        <v>2.91858238898645</v>
      </c>
      <c r="AY23">
        <v>2.97211785895335</v>
      </c>
      <c r="AZ23">
        <v>3.01053474588593</v>
      </c>
      <c r="BA23">
        <v>0</v>
      </c>
      <c r="BB23">
        <v>0</v>
      </c>
      <c r="BC23">
        <v>0</v>
      </c>
      <c r="BD23">
        <v>0</v>
      </c>
      <c r="BE23">
        <v>0</v>
      </c>
      <c r="BF23">
        <v>0</v>
      </c>
      <c r="BG23">
        <v>0</v>
      </c>
      <c r="BH23">
        <v>0</v>
      </c>
      <c r="BJ23" t="s">
        <v>438</v>
      </c>
      <c r="BL23">
        <v>1</v>
      </c>
      <c r="BM23">
        <v>0.997560975609757</v>
      </c>
      <c r="BN23">
        <v>0.985365853658537</v>
      </c>
      <c r="BO23">
        <v>0.973170731707317</v>
      </c>
      <c r="BP23">
        <v>0.960975609756098</v>
      </c>
      <c r="BQ23">
        <v>0.948780487804878</v>
      </c>
      <c r="BR23">
        <v>0.936585365853658</v>
      </c>
      <c r="BS23">
        <v>0.924390243902439</v>
      </c>
      <c r="BT23">
        <v>0.91219512195122</v>
      </c>
      <c r="BU23">
        <v>0.9</v>
      </c>
      <c r="BV23">
        <v>0.8875</v>
      </c>
      <c r="BW23">
        <v>0.875000000000001</v>
      </c>
      <c r="BX23">
        <v>0.862500000000001</v>
      </c>
      <c r="BY23">
        <v>0.850000000000001</v>
      </c>
      <c r="BZ23">
        <v>0.8375</v>
      </c>
      <c r="CA23">
        <v>0.825000000000001</v>
      </c>
      <c r="CB23">
        <v>0.812500000000001</v>
      </c>
      <c r="CC23">
        <v>0.800000000000001</v>
      </c>
      <c r="CD23" t="e">
        <v>#VALUE!</v>
      </c>
      <c r="CE23" t="e">
        <v>#VALUE!</v>
      </c>
      <c r="CF23" t="e">
        <v>#VALUE!</v>
      </c>
      <c r="CG23" t="e">
        <v>#VALUE!</v>
      </c>
      <c r="CH23" t="e">
        <v>#VALUE!</v>
      </c>
      <c r="CI23" t="e">
        <v>#VALUE!</v>
      </c>
      <c r="CJ23" t="e">
        <v>#VALUE!</v>
      </c>
      <c r="CK23" t="e">
        <v>#VALUE!</v>
      </c>
    </row>
    <row r="24" spans="1:89">
      <c r="A24" s="34" t="s">
        <v>5</v>
      </c>
      <c r="B24" s="34" t="s">
        <v>448</v>
      </c>
      <c r="C24" s="34" t="s">
        <v>448</v>
      </c>
      <c r="D24" s="34">
        <v>370.728</v>
      </c>
      <c r="E24" s="34">
        <v>368.609545137503</v>
      </c>
      <c r="F24" s="34"/>
      <c r="G24" s="34">
        <v>395.435178075436</v>
      </c>
      <c r="H24" s="34">
        <v>445.971902816158</v>
      </c>
      <c r="I24" s="34">
        <v>517.141154478426</v>
      </c>
      <c r="J24" s="34">
        <v>595.333345692313</v>
      </c>
      <c r="K24" s="34">
        <v>685.695337785793</v>
      </c>
      <c r="L24" s="34">
        <v>791.163028948559</v>
      </c>
      <c r="M24" s="34">
        <v>914.800189861376</v>
      </c>
      <c r="N24" s="34">
        <v>1058.25315588521</v>
      </c>
      <c r="O24" s="34">
        <v>1223.45868731069</v>
      </c>
      <c r="P24" s="34">
        <v>1409.22996358322</v>
      </c>
      <c r="Q24" s="34">
        <v>1617.00184979229</v>
      </c>
      <c r="R24" s="34">
        <v>1846.49755642542</v>
      </c>
      <c r="S24" s="34">
        <v>2098.24711298761</v>
      </c>
      <c r="T24" s="34">
        <v>2373.14758692814</v>
      </c>
      <c r="U24" s="34">
        <v>2671.92673123458</v>
      </c>
      <c r="V24" s="34">
        <v>2994.76314727127</v>
      </c>
      <c r="W24" s="34">
        <v>3</v>
      </c>
      <c r="AG24" s="232" t="s">
        <v>449</v>
      </c>
      <c r="AI24">
        <v>1</v>
      </c>
      <c r="AJ24">
        <v>0.994271718190323</v>
      </c>
      <c r="AK24">
        <v>1.06770466871673</v>
      </c>
      <c r="AL24">
        <v>1.20791948044255</v>
      </c>
      <c r="AM24">
        <v>1.40851005456661</v>
      </c>
      <c r="AN24">
        <v>1.63297498082779</v>
      </c>
      <c r="AO24">
        <v>1.89761635991199</v>
      </c>
      <c r="AP24">
        <v>2.21336486628207</v>
      </c>
      <c r="AQ24">
        <v>2.59254738385569</v>
      </c>
      <c r="AR24">
        <v>3.04426546987814</v>
      </c>
      <c r="AS24">
        <v>3.57975276580091</v>
      </c>
      <c r="AT24">
        <v>4.20095675501165</v>
      </c>
      <c r="AU24">
        <v>4.91907179217984</v>
      </c>
      <c r="AV24">
        <v>5.7404218343767</v>
      </c>
      <c r="AW24">
        <v>6.67492110971807</v>
      </c>
      <c r="AX24">
        <v>7.73493374726207</v>
      </c>
      <c r="AY24">
        <v>8.93349093201792</v>
      </c>
      <c r="AZ24">
        <v>10.2827308650757</v>
      </c>
      <c r="BA24">
        <v>0</v>
      </c>
      <c r="BB24">
        <v>0</v>
      </c>
      <c r="BC24">
        <v>0</v>
      </c>
      <c r="BD24">
        <v>0</v>
      </c>
      <c r="BE24">
        <v>0</v>
      </c>
      <c r="BF24">
        <v>0</v>
      </c>
      <c r="BG24">
        <v>0</v>
      </c>
      <c r="BH24">
        <v>0</v>
      </c>
      <c r="BJ24" t="s">
        <v>438</v>
      </c>
      <c r="BL24">
        <v>1</v>
      </c>
      <c r="BM24">
        <v>0.997560975609757</v>
      </c>
      <c r="BN24">
        <v>0.985365853658537</v>
      </c>
      <c r="BO24">
        <v>0.973170731707317</v>
      </c>
      <c r="BP24">
        <v>0.960975609756098</v>
      </c>
      <c r="BQ24">
        <v>0.948780487804878</v>
      </c>
      <c r="BR24">
        <v>0.936585365853658</v>
      </c>
      <c r="BS24">
        <v>0.924390243902439</v>
      </c>
      <c r="BT24">
        <v>0.91219512195122</v>
      </c>
      <c r="BU24">
        <v>0.9</v>
      </c>
      <c r="BV24">
        <v>0.8875</v>
      </c>
      <c r="BW24">
        <v>0.875000000000001</v>
      </c>
      <c r="BX24">
        <v>0.862500000000001</v>
      </c>
      <c r="BY24">
        <v>0.850000000000001</v>
      </c>
      <c r="BZ24">
        <v>0.8375</v>
      </c>
      <c r="CA24">
        <v>0.825000000000001</v>
      </c>
      <c r="CB24">
        <v>0.812500000000001</v>
      </c>
      <c r="CC24">
        <v>0.800000000000001</v>
      </c>
      <c r="CD24" t="e">
        <v>#VALUE!</v>
      </c>
      <c r="CE24" t="e">
        <v>#VALUE!</v>
      </c>
      <c r="CF24" t="e">
        <v>#VALUE!</v>
      </c>
      <c r="CG24" t="e">
        <v>#VALUE!</v>
      </c>
      <c r="CH24" t="e">
        <v>#VALUE!</v>
      </c>
      <c r="CI24" t="e">
        <v>#VALUE!</v>
      </c>
      <c r="CJ24" t="e">
        <v>#VALUE!</v>
      </c>
      <c r="CK24" t="e">
        <v>#VALUE!</v>
      </c>
    </row>
    <row r="25" spans="1:89">
      <c r="A25" s="34" t="s">
        <v>5</v>
      </c>
      <c r="B25" s="34" t="s">
        <v>450</v>
      </c>
      <c r="C25" s="34" t="s">
        <v>450</v>
      </c>
      <c r="D25" s="34">
        <v>55.8</v>
      </c>
      <c r="E25" s="34">
        <v>57.0507073497713</v>
      </c>
      <c r="F25" s="34"/>
      <c r="G25" s="34">
        <v>69.5265516034102</v>
      </c>
      <c r="H25" s="34">
        <v>88.3307885559441</v>
      </c>
      <c r="I25" s="34">
        <v>114.29867845642</v>
      </c>
      <c r="J25" s="34">
        <v>145.42083949128</v>
      </c>
      <c r="K25" s="34">
        <v>183.344751327249</v>
      </c>
      <c r="L25" s="34">
        <v>229.398302524283</v>
      </c>
      <c r="M25" s="34">
        <v>284.856100771211</v>
      </c>
      <c r="N25" s="34">
        <v>350.782083424432</v>
      </c>
      <c r="O25" s="34">
        <v>428.08108204192</v>
      </c>
      <c r="P25" s="34">
        <v>516.489467462947</v>
      </c>
      <c r="Q25" s="34">
        <v>616.279701105412</v>
      </c>
      <c r="R25" s="34">
        <v>726.828998311414</v>
      </c>
      <c r="S25" s="34">
        <v>847.673739517023</v>
      </c>
      <c r="T25" s="34">
        <v>978.43040271808</v>
      </c>
      <c r="U25" s="34">
        <v>1118.45649782882</v>
      </c>
      <c r="V25" s="34">
        <v>1266.90664937321</v>
      </c>
      <c r="W25" s="34">
        <v>3</v>
      </c>
      <c r="AG25" s="232" t="s">
        <v>437</v>
      </c>
      <c r="AI25">
        <v>1</v>
      </c>
      <c r="AJ25">
        <v>1.02246891243641</v>
      </c>
      <c r="AK25">
        <v>1.24938302921191</v>
      </c>
      <c r="AL25">
        <v>1.59660851081695</v>
      </c>
      <c r="AM25">
        <v>2.08504784266403</v>
      </c>
      <c r="AN25">
        <v>2.68343024980208</v>
      </c>
      <c r="AO25">
        <v>3.43061745145576</v>
      </c>
      <c r="AP25">
        <v>4.36282278169176</v>
      </c>
      <c r="AQ25">
        <v>5.51907412505686</v>
      </c>
      <c r="AR25">
        <v>6.93831073081934</v>
      </c>
      <c r="AS25">
        <v>8.66105910457652</v>
      </c>
      <c r="AT25">
        <v>10.7052920010157</v>
      </c>
      <c r="AU25">
        <v>13.1033847939631</v>
      </c>
      <c r="AV25">
        <v>15.8686875832727</v>
      </c>
      <c r="AW25">
        <v>19.0189860674954</v>
      </c>
      <c r="AX25">
        <v>22.575041414736</v>
      </c>
      <c r="AY25">
        <v>26.5513879418483</v>
      </c>
      <c r="AZ25">
        <v>30.9565185519041</v>
      </c>
      <c r="BA25">
        <v>0</v>
      </c>
      <c r="BB25">
        <v>0</v>
      </c>
      <c r="BC25">
        <v>0</v>
      </c>
      <c r="BD25">
        <v>0</v>
      </c>
      <c r="BE25">
        <v>0</v>
      </c>
      <c r="BF25">
        <v>0</v>
      </c>
      <c r="BG25">
        <v>0</v>
      </c>
      <c r="BH25">
        <v>0</v>
      </c>
      <c r="BJ25" t="s">
        <v>438</v>
      </c>
      <c r="BL25">
        <v>1</v>
      </c>
      <c r="BM25">
        <v>0.997560975609757</v>
      </c>
      <c r="BN25">
        <v>0.985365853658537</v>
      </c>
      <c r="BO25">
        <v>0.973170731707317</v>
      </c>
      <c r="BP25">
        <v>0.960975609756098</v>
      </c>
      <c r="BQ25">
        <v>0.948780487804878</v>
      </c>
      <c r="BR25">
        <v>0.936585365853658</v>
      </c>
      <c r="BS25">
        <v>0.924390243902439</v>
      </c>
      <c r="BT25">
        <v>0.91219512195122</v>
      </c>
      <c r="BU25">
        <v>0.9</v>
      </c>
      <c r="BV25">
        <v>0.8875</v>
      </c>
      <c r="BW25">
        <v>0.875000000000001</v>
      </c>
      <c r="BX25">
        <v>0.862500000000001</v>
      </c>
      <c r="BY25">
        <v>0.850000000000001</v>
      </c>
      <c r="BZ25">
        <v>0.8375</v>
      </c>
      <c r="CA25">
        <v>0.825000000000001</v>
      </c>
      <c r="CB25">
        <v>0.812500000000001</v>
      </c>
      <c r="CC25">
        <v>0.800000000000001</v>
      </c>
      <c r="CD25" t="e">
        <v>#VALUE!</v>
      </c>
      <c r="CE25" t="e">
        <v>#VALUE!</v>
      </c>
      <c r="CF25" t="e">
        <v>#VALUE!</v>
      </c>
      <c r="CG25" t="e">
        <v>#VALUE!</v>
      </c>
      <c r="CH25" t="e">
        <v>#VALUE!</v>
      </c>
      <c r="CI25" t="e">
        <v>#VALUE!</v>
      </c>
      <c r="CJ25" t="e">
        <v>#VALUE!</v>
      </c>
      <c r="CK25" t="e">
        <v>#VALUE!</v>
      </c>
    </row>
    <row r="26" spans="1:89">
      <c r="A26" s="34" t="s">
        <v>5</v>
      </c>
      <c r="B26" s="34" t="s">
        <v>451</v>
      </c>
      <c r="C26" s="34" t="s">
        <v>451</v>
      </c>
      <c r="D26" s="34">
        <v>67.52</v>
      </c>
      <c r="E26" s="34">
        <v>69.0334007214437</v>
      </c>
      <c r="F26" s="34"/>
      <c r="G26" s="34">
        <v>84.1296194312232</v>
      </c>
      <c r="H26" s="34">
        <v>106.883420130777</v>
      </c>
      <c r="I26" s="34">
        <v>138.305497659095</v>
      </c>
      <c r="J26" s="34">
        <v>175.964428000918</v>
      </c>
      <c r="K26" s="34">
        <v>221.853720602435</v>
      </c>
      <c r="L26" s="34">
        <v>277.580168215763</v>
      </c>
      <c r="M26" s="34">
        <v>344.68609182925</v>
      </c>
      <c r="N26" s="34">
        <v>424.458893778094</v>
      </c>
      <c r="O26" s="34">
        <v>517.993452678681</v>
      </c>
      <c r="P26" s="34">
        <v>624.970767797459</v>
      </c>
      <c r="Q26" s="34">
        <v>745.720527215725</v>
      </c>
      <c r="R26" s="34">
        <v>879.489139175389</v>
      </c>
      <c r="S26" s="34">
        <v>1025.71560738691</v>
      </c>
      <c r="T26" s="34">
        <v>1183.93585647894</v>
      </c>
      <c r="U26" s="34">
        <v>1353.37245041939</v>
      </c>
      <c r="V26" s="34">
        <v>1533.00245458206</v>
      </c>
      <c r="W26" s="34">
        <v>3</v>
      </c>
      <c r="AG26" s="232" t="s">
        <v>437</v>
      </c>
      <c r="AI26">
        <v>1</v>
      </c>
      <c r="AJ26">
        <v>1.02246891243641</v>
      </c>
      <c r="AK26">
        <v>1.24938302921191</v>
      </c>
      <c r="AL26">
        <v>1.59660851081695</v>
      </c>
      <c r="AM26">
        <v>2.08504784266403</v>
      </c>
      <c r="AN26">
        <v>2.68343024980208</v>
      </c>
      <c r="AO26">
        <v>3.43061745145576</v>
      </c>
      <c r="AP26">
        <v>4.36282278169176</v>
      </c>
      <c r="AQ26">
        <v>5.51907412505686</v>
      </c>
      <c r="AR26">
        <v>6.93831073081934</v>
      </c>
      <c r="AS26">
        <v>8.66105910457652</v>
      </c>
      <c r="AT26">
        <v>10.7052920010157</v>
      </c>
      <c r="AU26">
        <v>13.1033847939631</v>
      </c>
      <c r="AV26">
        <v>15.8686875832727</v>
      </c>
      <c r="AW26">
        <v>19.0189860674954</v>
      </c>
      <c r="AX26">
        <v>22.575041414736</v>
      </c>
      <c r="AY26">
        <v>26.5513879418483</v>
      </c>
      <c r="AZ26">
        <v>30.9565185519041</v>
      </c>
      <c r="BA26">
        <v>0</v>
      </c>
      <c r="BB26">
        <v>0</v>
      </c>
      <c r="BC26">
        <v>0</v>
      </c>
      <c r="BD26">
        <v>0</v>
      </c>
      <c r="BE26">
        <v>0</v>
      </c>
      <c r="BF26">
        <v>0</v>
      </c>
      <c r="BG26">
        <v>0</v>
      </c>
      <c r="BH26">
        <v>0</v>
      </c>
      <c r="BJ26" t="s">
        <v>438</v>
      </c>
      <c r="BL26">
        <v>1</v>
      </c>
      <c r="BM26">
        <v>0.997560975609757</v>
      </c>
      <c r="BN26">
        <v>0.985365853658537</v>
      </c>
      <c r="BO26">
        <v>0.973170731707317</v>
      </c>
      <c r="BP26">
        <v>0.960975609756098</v>
      </c>
      <c r="BQ26">
        <v>0.948780487804878</v>
      </c>
      <c r="BR26">
        <v>0.936585365853658</v>
      </c>
      <c r="BS26">
        <v>0.924390243902439</v>
      </c>
      <c r="BT26">
        <v>0.91219512195122</v>
      </c>
      <c r="BU26">
        <v>0.9</v>
      </c>
      <c r="BV26">
        <v>0.8875</v>
      </c>
      <c r="BW26">
        <v>0.875000000000001</v>
      </c>
      <c r="BX26">
        <v>0.862500000000001</v>
      </c>
      <c r="BY26">
        <v>0.850000000000001</v>
      </c>
      <c r="BZ26">
        <v>0.8375</v>
      </c>
      <c r="CA26">
        <v>0.825000000000001</v>
      </c>
      <c r="CB26">
        <v>0.812500000000001</v>
      </c>
      <c r="CC26">
        <v>0.800000000000001</v>
      </c>
      <c r="CD26" t="e">
        <v>#VALUE!</v>
      </c>
      <c r="CE26" t="e">
        <v>#VALUE!</v>
      </c>
      <c r="CF26" t="e">
        <v>#VALUE!</v>
      </c>
      <c r="CG26" t="e">
        <v>#VALUE!</v>
      </c>
      <c r="CH26" t="e">
        <v>#VALUE!</v>
      </c>
      <c r="CI26" t="e">
        <v>#VALUE!</v>
      </c>
      <c r="CJ26" t="e">
        <v>#VALUE!</v>
      </c>
      <c r="CK26" t="e">
        <v>#VALUE!</v>
      </c>
    </row>
    <row r="27" spans="1:89">
      <c r="A27" s="34" t="s">
        <v>6</v>
      </c>
      <c r="B27" s="34" t="s">
        <v>436</v>
      </c>
      <c r="C27" s="34" t="s">
        <v>436</v>
      </c>
      <c r="D27" s="34"/>
      <c r="E27" s="34">
        <v>125.236568967332</v>
      </c>
      <c r="F27" s="34">
        <f xml:space="preserve">E27</f>
        <v>125.236568967332</v>
      </c>
      <c r="G27" s="34"/>
      <c r="H27" s="34"/>
      <c r="I27" s="34">
        <f xml:space="preserve">F27</f>
        <v>125.236568967332</v>
      </c>
      <c r="J27" s="34">
        <f xml:space="preserve">I27</f>
        <v>125.236568967332</v>
      </c>
      <c r="K27" s="34"/>
      <c r="L27" s="34">
        <f xml:space="preserve">J27</f>
        <v>125.236568967332</v>
      </c>
      <c r="M27" s="34"/>
      <c r="N27" s="34"/>
      <c r="O27" s="34"/>
      <c r="P27" s="34"/>
      <c r="Q27" s="34"/>
      <c r="R27" s="34"/>
      <c r="S27" s="34"/>
      <c r="T27" s="34"/>
      <c r="U27" s="34"/>
      <c r="V27" s="34">
        <f xml:space="preserve">L27</f>
        <v>125.236568967332</v>
      </c>
      <c r="W27" s="34">
        <v>3</v>
      </c>
      <c r="AG27" s="232" t="s">
        <v>437</v>
      </c>
      <c r="AI27">
        <v>1</v>
      </c>
      <c r="AJ27">
        <v>1.01538282310513</v>
      </c>
      <c r="AK27">
        <v>1.16783502508932</v>
      </c>
      <c r="AL27">
        <v>1.33034996724544</v>
      </c>
      <c r="AM27">
        <v>1.50536735755145</v>
      </c>
      <c r="AN27">
        <v>1.69386645595694</v>
      </c>
      <c r="AO27">
        <v>1.89761161875046</v>
      </c>
      <c r="AP27">
        <v>2.10930060579047</v>
      </c>
      <c r="AQ27">
        <v>2.32434102558908</v>
      </c>
      <c r="AR27">
        <v>2.54768827116721</v>
      </c>
      <c r="AS27">
        <v>2.77881050306947</v>
      </c>
      <c r="AT27">
        <v>3.01109771663594</v>
      </c>
      <c r="AU27">
        <v>3.23989842710592</v>
      </c>
      <c r="AV27">
        <v>3.46150664208387</v>
      </c>
      <c r="AW27">
        <v>3.67298458172093</v>
      </c>
      <c r="AX27">
        <v>3.87332766037914</v>
      </c>
      <c r="AY27">
        <v>4.06283978631873</v>
      </c>
      <c r="AZ27">
        <v>4.24070209561629</v>
      </c>
      <c r="BA27">
        <v>0</v>
      </c>
      <c r="BB27">
        <v>0</v>
      </c>
      <c r="BC27">
        <v>0</v>
      </c>
      <c r="BD27">
        <v>0</v>
      </c>
      <c r="BE27">
        <v>0</v>
      </c>
      <c r="BF27">
        <v>0</v>
      </c>
      <c r="BG27">
        <v>0</v>
      </c>
      <c r="BH27">
        <v>0</v>
      </c>
      <c r="BJ27" t="s">
        <v>452</v>
      </c>
      <c r="BL27">
        <v>0.8</v>
      </c>
      <c r="BM27">
        <v>0.797560975609756</v>
      </c>
      <c r="BN27">
        <v>0.785365853658536</v>
      </c>
      <c r="BO27">
        <v>0.773170731707317</v>
      </c>
      <c r="BP27">
        <v>0.760975609756097</v>
      </c>
      <c r="BQ27">
        <v>0.748780487804878</v>
      </c>
      <c r="BR27">
        <v>0.736585365853658</v>
      </c>
      <c r="BS27">
        <v>0.724390243902439</v>
      </c>
      <c r="BT27">
        <v>0.71219512195122</v>
      </c>
      <c r="BU27">
        <v>0.699999999999999</v>
      </c>
      <c r="BV27">
        <v>0.687499999999999</v>
      </c>
      <c r="BW27">
        <v>0.675</v>
      </c>
      <c r="BX27">
        <v>0.6625</v>
      </c>
      <c r="BY27">
        <v>0.649999999999999</v>
      </c>
      <c r="BZ27">
        <v>0.637499999999999</v>
      </c>
      <c r="CA27">
        <v>0.625</v>
      </c>
      <c r="CB27">
        <v>0.6125</v>
      </c>
      <c r="CC27">
        <v>0.6</v>
      </c>
      <c r="CD27" t="e">
        <v>#VALUE!</v>
      </c>
      <c r="CE27" t="e">
        <v>#VALUE!</v>
      </c>
      <c r="CF27" t="e">
        <v>#VALUE!</v>
      </c>
      <c r="CG27" t="e">
        <v>#VALUE!</v>
      </c>
      <c r="CH27" t="e">
        <v>#VALUE!</v>
      </c>
      <c r="CI27" t="e">
        <v>#VALUE!</v>
      </c>
      <c r="CJ27" t="e">
        <v>#VALUE!</v>
      </c>
      <c r="CK27" t="e">
        <v>#VALUE!</v>
      </c>
    </row>
    <row r="28" spans="1:89">
      <c r="A28" s="34" t="s">
        <v>6</v>
      </c>
      <c r="B28" s="34" t="s">
        <v>439</v>
      </c>
      <c r="C28" s="34" t="s">
        <v>439</v>
      </c>
      <c r="D28" s="34"/>
      <c r="E28" s="34">
        <v>213.949612782254</v>
      </c>
      <c r="F28" s="34">
        <f xml:space="preserve">E28</f>
        <v>213.949612782254</v>
      </c>
      <c r="G28" s="34"/>
      <c r="H28" s="34"/>
      <c r="I28" s="34">
        <f xml:space="preserve">F28</f>
        <v>213.949612782254</v>
      </c>
      <c r="J28" s="34">
        <f xml:space="preserve">I28</f>
        <v>213.949612782254</v>
      </c>
      <c r="K28" s="34"/>
      <c r="L28" s="34">
        <f xml:space="preserve">J28</f>
        <v>213.949612782254</v>
      </c>
      <c r="M28" s="34"/>
      <c r="N28" s="34"/>
      <c r="O28" s="34"/>
      <c r="P28" s="34"/>
      <c r="Q28" s="34"/>
      <c r="R28" s="34"/>
      <c r="S28" s="34"/>
      <c r="T28" s="34"/>
      <c r="U28" s="34"/>
      <c r="V28" s="34">
        <f xml:space="preserve">L28</f>
        <v>213.949612782254</v>
      </c>
      <c r="W28" s="34">
        <v>3</v>
      </c>
      <c r="AG28" s="232" t="s">
        <v>437</v>
      </c>
      <c r="AI28">
        <v>1</v>
      </c>
      <c r="AJ28">
        <v>1.01538282310513</v>
      </c>
      <c r="AK28">
        <v>1.16783502508932</v>
      </c>
      <c r="AL28">
        <v>1.33034996724544</v>
      </c>
      <c r="AM28">
        <v>1.50536735755145</v>
      </c>
      <c r="AN28">
        <v>1.69386645595694</v>
      </c>
      <c r="AO28">
        <v>1.89761161875046</v>
      </c>
      <c r="AP28">
        <v>2.10930060579047</v>
      </c>
      <c r="AQ28">
        <v>2.32434102558908</v>
      </c>
      <c r="AR28">
        <v>2.54768827116721</v>
      </c>
      <c r="AS28">
        <v>2.77881050306947</v>
      </c>
      <c r="AT28">
        <v>3.01109771663594</v>
      </c>
      <c r="AU28">
        <v>3.23989842710592</v>
      </c>
      <c r="AV28">
        <v>3.46150664208387</v>
      </c>
      <c r="AW28">
        <v>3.67298458172093</v>
      </c>
      <c r="AX28">
        <v>3.87332766037914</v>
      </c>
      <c r="AY28">
        <v>4.06283978631873</v>
      </c>
      <c r="AZ28">
        <v>4.24070209561629</v>
      </c>
      <c r="BA28">
        <v>0</v>
      </c>
      <c r="BB28">
        <v>0</v>
      </c>
      <c r="BC28">
        <v>0</v>
      </c>
      <c r="BD28">
        <v>0</v>
      </c>
      <c r="BE28">
        <v>0</v>
      </c>
      <c r="BF28">
        <v>0</v>
      </c>
      <c r="BG28">
        <v>0</v>
      </c>
      <c r="BH28">
        <v>0</v>
      </c>
      <c r="BJ28" t="s">
        <v>452</v>
      </c>
      <c r="BL28">
        <v>0.8</v>
      </c>
      <c r="BM28">
        <v>0.797560975609756</v>
      </c>
      <c r="BN28">
        <v>0.785365853658536</v>
      </c>
      <c r="BO28">
        <v>0.773170731707317</v>
      </c>
      <c r="BP28">
        <v>0.760975609756097</v>
      </c>
      <c r="BQ28">
        <v>0.748780487804878</v>
      </c>
      <c r="BR28">
        <v>0.736585365853658</v>
      </c>
      <c r="BS28">
        <v>0.724390243902439</v>
      </c>
      <c r="BT28">
        <v>0.71219512195122</v>
      </c>
      <c r="BU28">
        <v>0.699999999999999</v>
      </c>
      <c r="BV28">
        <v>0.687499999999999</v>
      </c>
      <c r="BW28">
        <v>0.675</v>
      </c>
      <c r="BX28">
        <v>0.6625</v>
      </c>
      <c r="BY28">
        <v>0.649999999999999</v>
      </c>
      <c r="BZ28">
        <v>0.637499999999999</v>
      </c>
      <c r="CA28">
        <v>0.625</v>
      </c>
      <c r="CB28">
        <v>0.6125</v>
      </c>
      <c r="CC28">
        <v>0.6</v>
      </c>
      <c r="CD28" t="e">
        <v>#VALUE!</v>
      </c>
      <c r="CE28" t="e">
        <v>#VALUE!</v>
      </c>
      <c r="CF28" t="e">
        <v>#VALUE!</v>
      </c>
      <c r="CG28" t="e">
        <v>#VALUE!</v>
      </c>
      <c r="CH28" t="e">
        <v>#VALUE!</v>
      </c>
      <c r="CI28" t="e">
        <v>#VALUE!</v>
      </c>
      <c r="CJ28" t="e">
        <v>#VALUE!</v>
      </c>
      <c r="CK28" t="e">
        <v>#VALUE!</v>
      </c>
    </row>
    <row r="29" spans="1:89">
      <c r="A29" s="34" t="s">
        <v>6</v>
      </c>
      <c r="B29" s="34" t="s">
        <v>440</v>
      </c>
      <c r="C29" s="34" t="s">
        <v>440</v>
      </c>
      <c r="D29" s="34"/>
      <c r="E29" s="34">
        <v>37.3435930436258</v>
      </c>
      <c r="F29" s="34"/>
      <c r="G29" s="34"/>
      <c r="H29" s="34"/>
      <c r="I29" s="34">
        <v>50.867806738396</v>
      </c>
      <c r="J29" s="34">
        <v>55.6372129625937</v>
      </c>
      <c r="K29" s="34"/>
      <c r="L29" s="34">
        <v>65.4610142006929</v>
      </c>
      <c r="M29" s="34"/>
      <c r="N29" s="34"/>
      <c r="O29" s="34"/>
      <c r="P29" s="34"/>
      <c r="Q29" s="34"/>
      <c r="R29" s="34"/>
      <c r="S29" s="34"/>
      <c r="T29" s="34"/>
      <c r="U29" s="34"/>
      <c r="V29" s="34">
        <v>104.777296697505</v>
      </c>
      <c r="W29" s="34">
        <v>3</v>
      </c>
      <c r="AG29" s="232" t="s">
        <v>437</v>
      </c>
      <c r="AI29">
        <v>1</v>
      </c>
      <c r="AJ29">
        <v>1.01538282310513</v>
      </c>
      <c r="AK29">
        <v>1.16783502508932</v>
      </c>
      <c r="AL29">
        <v>1.33034996724544</v>
      </c>
      <c r="AM29">
        <v>1.50536735755145</v>
      </c>
      <c r="AN29">
        <v>1.69386645595694</v>
      </c>
      <c r="AO29">
        <v>1.89761161875046</v>
      </c>
      <c r="AP29">
        <v>2.10930060579047</v>
      </c>
      <c r="AQ29">
        <v>2.32434102558908</v>
      </c>
      <c r="AR29">
        <v>2.54768827116721</v>
      </c>
      <c r="AS29">
        <v>2.77881050306947</v>
      </c>
      <c r="AT29">
        <v>3.01109771663594</v>
      </c>
      <c r="AU29">
        <v>3.23989842710592</v>
      </c>
      <c r="AV29">
        <v>3.46150664208387</v>
      </c>
      <c r="AW29">
        <v>3.67298458172093</v>
      </c>
      <c r="AX29">
        <v>3.87332766037914</v>
      </c>
      <c r="AY29">
        <v>4.06283978631873</v>
      </c>
      <c r="AZ29">
        <v>4.24070209561629</v>
      </c>
      <c r="BA29">
        <v>0</v>
      </c>
      <c r="BB29">
        <v>0</v>
      </c>
      <c r="BC29">
        <v>0</v>
      </c>
      <c r="BD29">
        <v>0</v>
      </c>
      <c r="BE29">
        <v>0</v>
      </c>
      <c r="BF29">
        <v>0</v>
      </c>
      <c r="BG29">
        <v>0</v>
      </c>
      <c r="BH29">
        <v>0</v>
      </c>
      <c r="BJ29" t="s">
        <v>452</v>
      </c>
      <c r="BL29">
        <v>0.8</v>
      </c>
      <c r="BM29">
        <v>0.797560975609756</v>
      </c>
      <c r="BN29">
        <v>0.785365853658536</v>
      </c>
      <c r="BO29">
        <v>0.773170731707317</v>
      </c>
      <c r="BP29">
        <v>0.760975609756097</v>
      </c>
      <c r="BQ29">
        <v>0.748780487804878</v>
      </c>
      <c r="BR29">
        <v>0.736585365853658</v>
      </c>
      <c r="BS29">
        <v>0.724390243902439</v>
      </c>
      <c r="BT29">
        <v>0.71219512195122</v>
      </c>
      <c r="BU29">
        <v>0.699999999999999</v>
      </c>
      <c r="BV29">
        <v>0.687499999999999</v>
      </c>
      <c r="BW29">
        <v>0.675</v>
      </c>
      <c r="BX29">
        <v>0.6625</v>
      </c>
      <c r="BY29">
        <v>0.649999999999999</v>
      </c>
      <c r="BZ29">
        <v>0.637499999999999</v>
      </c>
      <c r="CA29">
        <v>0.625</v>
      </c>
      <c r="CB29">
        <v>0.6125</v>
      </c>
      <c r="CC29">
        <v>0.6</v>
      </c>
      <c r="CD29" t="e">
        <v>#VALUE!</v>
      </c>
      <c r="CE29" t="e">
        <v>#VALUE!</v>
      </c>
      <c r="CF29" t="e">
        <v>#VALUE!</v>
      </c>
      <c r="CG29" t="e">
        <v>#VALUE!</v>
      </c>
      <c r="CH29" t="e">
        <v>#VALUE!</v>
      </c>
      <c r="CI29" t="e">
        <v>#VALUE!</v>
      </c>
      <c r="CJ29" t="e">
        <v>#VALUE!</v>
      </c>
      <c r="CK29" t="e">
        <v>#VALUE!</v>
      </c>
    </row>
    <row r="30" spans="1:89">
      <c r="A30" s="34" t="s">
        <v>6</v>
      </c>
      <c r="B30" s="34" t="s">
        <v>441</v>
      </c>
      <c r="C30" s="34" t="s">
        <v>441</v>
      </c>
      <c r="D30" s="34"/>
      <c r="E30" s="34">
        <v>22.6322603522854</v>
      </c>
      <c r="F30" s="34"/>
      <c r="G30" s="34"/>
      <c r="H30" s="34"/>
      <c r="I30" s="34">
        <v>24.6222738080731</v>
      </c>
      <c r="J30" s="34">
        <v>25.1847275482685</v>
      </c>
      <c r="K30" s="34"/>
      <c r="L30" s="34">
        <v>26.2652817642942</v>
      </c>
      <c r="M30" s="34"/>
      <c r="N30" s="34"/>
      <c r="O30" s="34"/>
      <c r="P30" s="34"/>
      <c r="Q30" s="34"/>
      <c r="R30" s="34"/>
      <c r="S30" s="34"/>
      <c r="T30" s="34"/>
      <c r="U30" s="34"/>
      <c r="V30" s="34">
        <v>28.4622983069202</v>
      </c>
      <c r="W30" s="34">
        <v>3</v>
      </c>
      <c r="AG30" s="232" t="s">
        <v>442</v>
      </c>
      <c r="AI30">
        <v>1</v>
      </c>
      <c r="AJ30">
        <v>1.00806756087954</v>
      </c>
      <c r="AK30">
        <v>1.04840536527724</v>
      </c>
      <c r="AL30">
        <v>1.08732275330387</v>
      </c>
      <c r="AM30">
        <v>1.12354717901157</v>
      </c>
      <c r="AN30">
        <v>1.15782359835946</v>
      </c>
      <c r="AO30">
        <v>1.19166808768815</v>
      </c>
      <c r="AP30">
        <v>1.22608843109086</v>
      </c>
      <c r="AQ30">
        <v>1.25818767846711</v>
      </c>
      <c r="AR30">
        <v>1.28796306735902</v>
      </c>
      <c r="AS30">
        <v>1.31375846481219</v>
      </c>
      <c r="AT30">
        <v>1.33604222582596</v>
      </c>
      <c r="AU30">
        <v>1.35475878553354</v>
      </c>
      <c r="AV30">
        <v>1.36928268401038</v>
      </c>
      <c r="AW30">
        <v>1.37849007446916</v>
      </c>
      <c r="AX30">
        <v>1.38228774368874</v>
      </c>
      <c r="AY30">
        <v>1.3817633107947</v>
      </c>
      <c r="AZ30">
        <v>1.37813032352762</v>
      </c>
      <c r="BA30">
        <v>0</v>
      </c>
      <c r="BB30">
        <v>0</v>
      </c>
      <c r="BC30">
        <v>0</v>
      </c>
      <c r="BD30">
        <v>0</v>
      </c>
      <c r="BE30">
        <v>0</v>
      </c>
      <c r="BF30">
        <v>0</v>
      </c>
      <c r="BG30">
        <v>0</v>
      </c>
      <c r="BH30">
        <v>0</v>
      </c>
      <c r="BJ30" t="s">
        <v>452</v>
      </c>
      <c r="BL30">
        <v>0.8</v>
      </c>
      <c r="BM30">
        <v>0.797560975609756</v>
      </c>
      <c r="BN30">
        <v>0.785365853658536</v>
      </c>
      <c r="BO30">
        <v>0.773170731707317</v>
      </c>
      <c r="BP30">
        <v>0.760975609756097</v>
      </c>
      <c r="BQ30">
        <v>0.748780487804878</v>
      </c>
      <c r="BR30">
        <v>0.736585365853658</v>
      </c>
      <c r="BS30">
        <v>0.724390243902439</v>
      </c>
      <c r="BT30">
        <v>0.71219512195122</v>
      </c>
      <c r="BU30">
        <v>0.699999999999999</v>
      </c>
      <c r="BV30">
        <v>0.687499999999999</v>
      </c>
      <c r="BW30">
        <v>0.675</v>
      </c>
      <c r="BX30">
        <v>0.6625</v>
      </c>
      <c r="BY30">
        <v>0.649999999999999</v>
      </c>
      <c r="BZ30">
        <v>0.637499999999999</v>
      </c>
      <c r="CA30">
        <v>0.625</v>
      </c>
      <c r="CB30">
        <v>0.6125</v>
      </c>
      <c r="CC30">
        <v>0.6</v>
      </c>
      <c r="CD30" t="e">
        <v>#VALUE!</v>
      </c>
      <c r="CE30" t="e">
        <v>#VALUE!</v>
      </c>
      <c r="CF30" t="e">
        <v>#VALUE!</v>
      </c>
      <c r="CG30" t="e">
        <v>#VALUE!</v>
      </c>
      <c r="CH30" t="e">
        <v>#VALUE!</v>
      </c>
      <c r="CI30" t="e">
        <v>#VALUE!</v>
      </c>
      <c r="CJ30" t="e">
        <v>#VALUE!</v>
      </c>
      <c r="CK30" t="e">
        <v>#VALUE!</v>
      </c>
    </row>
    <row r="31" spans="1:89">
      <c r="A31" s="34" t="s">
        <v>6</v>
      </c>
      <c r="B31" s="34" t="s">
        <v>443</v>
      </c>
      <c r="C31" s="34" t="s">
        <v>443</v>
      </c>
      <c r="D31" s="34"/>
      <c r="E31" s="34">
        <v>29.5450191028017</v>
      </c>
      <c r="F31" s="34">
        <f xml:space="preserve">E31</f>
        <v>29.5450191028017</v>
      </c>
      <c r="G31" s="34"/>
      <c r="H31" s="34"/>
      <c r="I31" s="34">
        <f xml:space="preserve">F31</f>
        <v>29.5450191028017</v>
      </c>
      <c r="J31" s="34">
        <f xml:space="preserve">I31</f>
        <v>29.5450191028017</v>
      </c>
      <c r="K31" s="34"/>
      <c r="L31" s="34">
        <f xml:space="preserve">J31</f>
        <v>29.5450191028017</v>
      </c>
      <c r="M31" s="34"/>
      <c r="N31" s="34"/>
      <c r="O31" s="34"/>
      <c r="P31" s="34"/>
      <c r="Q31" s="34"/>
      <c r="R31" s="34"/>
      <c r="S31" s="34"/>
      <c r="T31" s="34"/>
      <c r="U31" s="34"/>
      <c r="V31" s="34">
        <f xml:space="preserve">L31</f>
        <v>29.5450191028017</v>
      </c>
      <c r="W31" s="34">
        <v>3</v>
      </c>
      <c r="AG31" s="232" t="s">
        <v>437</v>
      </c>
      <c r="AI31">
        <v>1</v>
      </c>
      <c r="AJ31">
        <v>1.01538282310513</v>
      </c>
      <c r="AK31">
        <v>1.16783502508932</v>
      </c>
      <c r="AL31">
        <v>1.33034996724544</v>
      </c>
      <c r="AM31">
        <v>1.50536735755145</v>
      </c>
      <c r="AN31">
        <v>1.69386645595694</v>
      </c>
      <c r="AO31">
        <v>1.89761161875046</v>
      </c>
      <c r="AP31">
        <v>2.10930060579047</v>
      </c>
      <c r="AQ31">
        <v>2.32434102558908</v>
      </c>
      <c r="AR31">
        <v>2.54768827116721</v>
      </c>
      <c r="AS31">
        <v>2.77881050306947</v>
      </c>
      <c r="AT31">
        <v>3.01109771663594</v>
      </c>
      <c r="AU31">
        <v>3.23989842710592</v>
      </c>
      <c r="AV31">
        <v>3.46150664208387</v>
      </c>
      <c r="AW31">
        <v>3.67298458172093</v>
      </c>
      <c r="AX31">
        <v>3.87332766037914</v>
      </c>
      <c r="AY31">
        <v>4.06283978631873</v>
      </c>
      <c r="AZ31">
        <v>4.24070209561629</v>
      </c>
      <c r="BA31">
        <v>0</v>
      </c>
      <c r="BB31">
        <v>0</v>
      </c>
      <c r="BC31">
        <v>0</v>
      </c>
      <c r="BD31">
        <v>0</v>
      </c>
      <c r="BE31">
        <v>0</v>
      </c>
      <c r="BF31">
        <v>0</v>
      </c>
      <c r="BG31">
        <v>0</v>
      </c>
      <c r="BH31">
        <v>0</v>
      </c>
      <c r="BJ31" t="s">
        <v>452</v>
      </c>
      <c r="BL31">
        <v>0.8</v>
      </c>
      <c r="BM31">
        <v>0.797560975609756</v>
      </c>
      <c r="BN31">
        <v>0.785365853658536</v>
      </c>
      <c r="BO31">
        <v>0.773170731707317</v>
      </c>
      <c r="BP31">
        <v>0.760975609756097</v>
      </c>
      <c r="BQ31">
        <v>0.748780487804878</v>
      </c>
      <c r="BR31">
        <v>0.736585365853658</v>
      </c>
      <c r="BS31">
        <v>0.724390243902439</v>
      </c>
      <c r="BT31">
        <v>0.71219512195122</v>
      </c>
      <c r="BU31">
        <v>0.699999999999999</v>
      </c>
      <c r="BV31">
        <v>0.687499999999999</v>
      </c>
      <c r="BW31">
        <v>0.675</v>
      </c>
      <c r="BX31">
        <v>0.6625</v>
      </c>
      <c r="BY31">
        <v>0.649999999999999</v>
      </c>
      <c r="BZ31">
        <v>0.637499999999999</v>
      </c>
      <c r="CA31">
        <v>0.625</v>
      </c>
      <c r="CB31">
        <v>0.6125</v>
      </c>
      <c r="CC31">
        <v>0.6</v>
      </c>
      <c r="CD31" t="e">
        <v>#VALUE!</v>
      </c>
      <c r="CE31" t="e">
        <v>#VALUE!</v>
      </c>
      <c r="CF31" t="e">
        <v>#VALUE!</v>
      </c>
      <c r="CG31" t="e">
        <v>#VALUE!</v>
      </c>
      <c r="CH31" t="e">
        <v>#VALUE!</v>
      </c>
      <c r="CI31" t="e">
        <v>#VALUE!</v>
      </c>
      <c r="CJ31" t="e">
        <v>#VALUE!</v>
      </c>
      <c r="CK31" t="e">
        <v>#VALUE!</v>
      </c>
    </row>
    <row r="32" spans="1:89">
      <c r="A32" s="34" t="s">
        <v>6</v>
      </c>
      <c r="B32" s="34" t="s">
        <v>444</v>
      </c>
      <c r="C32" s="34" t="s">
        <v>444</v>
      </c>
      <c r="D32" s="34"/>
      <c r="E32" s="34">
        <v>32.4911044377169</v>
      </c>
      <c r="F32" s="34">
        <f xml:space="preserve">E32</f>
        <v>32.4911044377169</v>
      </c>
      <c r="G32" s="34"/>
      <c r="H32" s="34"/>
      <c r="I32" s="34">
        <f xml:space="preserve">F32</f>
        <v>32.4911044377169</v>
      </c>
      <c r="J32" s="34">
        <f xml:space="preserve">I32</f>
        <v>32.4911044377169</v>
      </c>
      <c r="K32" s="34"/>
      <c r="L32" s="34">
        <f xml:space="preserve">J32</f>
        <v>32.4911044377169</v>
      </c>
      <c r="M32" s="34"/>
      <c r="N32" s="34"/>
      <c r="O32" s="34"/>
      <c r="P32" s="34"/>
      <c r="Q32" s="34"/>
      <c r="R32" s="34"/>
      <c r="S32" s="34"/>
      <c r="T32" s="34"/>
      <c r="U32" s="34"/>
      <c r="V32" s="34">
        <f xml:space="preserve">L32</f>
        <v>32.4911044377169</v>
      </c>
      <c r="W32" s="34">
        <v>3</v>
      </c>
      <c r="AG32" s="232" t="s">
        <v>437</v>
      </c>
      <c r="AI32">
        <v>1</v>
      </c>
      <c r="AJ32">
        <v>1.01538282310513</v>
      </c>
      <c r="AK32">
        <v>1.16783502508932</v>
      </c>
      <c r="AL32">
        <v>1.33034996724544</v>
      </c>
      <c r="AM32">
        <v>1.50536735755145</v>
      </c>
      <c r="AN32">
        <v>1.69386645595694</v>
      </c>
      <c r="AO32">
        <v>1.89761161875046</v>
      </c>
      <c r="AP32">
        <v>2.10930060579047</v>
      </c>
      <c r="AQ32">
        <v>2.32434102558908</v>
      </c>
      <c r="AR32">
        <v>2.54768827116721</v>
      </c>
      <c r="AS32">
        <v>2.77881050306947</v>
      </c>
      <c r="AT32">
        <v>3.01109771663594</v>
      </c>
      <c r="AU32">
        <v>3.23989842710592</v>
      </c>
      <c r="AV32">
        <v>3.46150664208387</v>
      </c>
      <c r="AW32">
        <v>3.67298458172093</v>
      </c>
      <c r="AX32">
        <v>3.87332766037914</v>
      </c>
      <c r="AY32">
        <v>4.06283978631873</v>
      </c>
      <c r="AZ32">
        <v>4.24070209561629</v>
      </c>
      <c r="BA32">
        <v>0</v>
      </c>
      <c r="BB32">
        <v>0</v>
      </c>
      <c r="BC32">
        <v>0</v>
      </c>
      <c r="BD32">
        <v>0</v>
      </c>
      <c r="BE32">
        <v>0</v>
      </c>
      <c r="BF32">
        <v>0</v>
      </c>
      <c r="BG32">
        <v>0</v>
      </c>
      <c r="BH32">
        <v>0</v>
      </c>
      <c r="BJ32" t="s">
        <v>452</v>
      </c>
      <c r="BL32">
        <v>0.8</v>
      </c>
      <c r="BM32">
        <v>0.797560975609756</v>
      </c>
      <c r="BN32">
        <v>0.785365853658536</v>
      </c>
      <c r="BO32">
        <v>0.773170731707317</v>
      </c>
      <c r="BP32">
        <v>0.760975609756097</v>
      </c>
      <c r="BQ32">
        <v>0.748780487804878</v>
      </c>
      <c r="BR32">
        <v>0.736585365853658</v>
      </c>
      <c r="BS32">
        <v>0.724390243902439</v>
      </c>
      <c r="BT32">
        <v>0.71219512195122</v>
      </c>
      <c r="BU32">
        <v>0.699999999999999</v>
      </c>
      <c r="BV32">
        <v>0.687499999999999</v>
      </c>
      <c r="BW32">
        <v>0.675</v>
      </c>
      <c r="BX32">
        <v>0.6625</v>
      </c>
      <c r="BY32">
        <v>0.649999999999999</v>
      </c>
      <c r="BZ32">
        <v>0.637499999999999</v>
      </c>
      <c r="CA32">
        <v>0.625</v>
      </c>
      <c r="CB32">
        <v>0.6125</v>
      </c>
      <c r="CC32">
        <v>0.6</v>
      </c>
      <c r="CD32" t="e">
        <v>#VALUE!</v>
      </c>
      <c r="CE32" t="e">
        <v>#VALUE!</v>
      </c>
      <c r="CF32" t="e">
        <v>#VALUE!</v>
      </c>
      <c r="CG32" t="e">
        <v>#VALUE!</v>
      </c>
      <c r="CH32" t="e">
        <v>#VALUE!</v>
      </c>
      <c r="CI32" t="e">
        <v>#VALUE!</v>
      </c>
      <c r="CJ32" t="e">
        <v>#VALUE!</v>
      </c>
      <c r="CK32" t="e">
        <v>#VALUE!</v>
      </c>
    </row>
    <row r="33" spans="1:89">
      <c r="A33" s="34" t="s">
        <v>6</v>
      </c>
      <c r="B33" s="34" t="s">
        <v>445</v>
      </c>
      <c r="C33" s="34" t="s">
        <v>445</v>
      </c>
      <c r="D33" s="34">
        <v>10.136</v>
      </c>
      <c r="E33" s="34">
        <v>10.2012187918135</v>
      </c>
      <c r="F33" s="34"/>
      <c r="G33" s="34">
        <v>10.5218063719303</v>
      </c>
      <c r="H33" s="34">
        <v>10.8237877485925</v>
      </c>
      <c r="I33" s="34">
        <v>11.0981933911311</v>
      </c>
      <c r="J33" s="34">
        <v>11.3517126408523</v>
      </c>
      <c r="K33" s="34">
        <v>11.5961288722843</v>
      </c>
      <c r="L33" s="34">
        <v>11.8387594405318</v>
      </c>
      <c r="M33" s="34">
        <v>12.0594980212159</v>
      </c>
      <c r="N33" s="34">
        <v>12.2592721683466</v>
      </c>
      <c r="O33" s="34">
        <v>12.4280736302691</v>
      </c>
      <c r="P33" s="34">
        <v>12.5703656537178</v>
      </c>
      <c r="Q33" s="34">
        <v>12.6870303979346</v>
      </c>
      <c r="R33" s="34">
        <v>12.7754390085566</v>
      </c>
      <c r="S33" s="34">
        <v>12.8302035513989</v>
      </c>
      <c r="T33" s="34">
        <v>12.8522951454964</v>
      </c>
      <c r="U33" s="34">
        <v>12.8493085373166</v>
      </c>
      <c r="V33" s="34">
        <v>12.8290381882884</v>
      </c>
      <c r="W33" s="34">
        <v>3</v>
      </c>
      <c r="AG33" s="232" t="s">
        <v>442</v>
      </c>
      <c r="AI33">
        <v>1</v>
      </c>
      <c r="AJ33">
        <v>1.00806756087954</v>
      </c>
      <c r="AK33">
        <v>1.04840536527724</v>
      </c>
      <c r="AL33">
        <v>1.08732275330387</v>
      </c>
      <c r="AM33">
        <v>1.12354717901157</v>
      </c>
      <c r="AN33">
        <v>1.15782359835946</v>
      </c>
      <c r="AO33">
        <v>1.19166808768815</v>
      </c>
      <c r="AP33">
        <v>1.22608843109086</v>
      </c>
      <c r="AQ33">
        <v>1.25818767846711</v>
      </c>
      <c r="AR33">
        <v>1.28796306735902</v>
      </c>
      <c r="AS33">
        <v>1.31375846481219</v>
      </c>
      <c r="AT33">
        <v>1.33604222582596</v>
      </c>
      <c r="AU33">
        <v>1.35475878553354</v>
      </c>
      <c r="AV33">
        <v>1.36928268401038</v>
      </c>
      <c r="AW33">
        <v>1.37849007446916</v>
      </c>
      <c r="AX33">
        <v>1.38228774368874</v>
      </c>
      <c r="AY33">
        <v>1.3817633107947</v>
      </c>
      <c r="AZ33">
        <v>1.37813032352762</v>
      </c>
      <c r="BA33">
        <v>0</v>
      </c>
      <c r="BB33">
        <v>0</v>
      </c>
      <c r="BC33">
        <v>0</v>
      </c>
      <c r="BD33">
        <v>0</v>
      </c>
      <c r="BE33">
        <v>0</v>
      </c>
      <c r="BF33">
        <v>0</v>
      </c>
      <c r="BG33">
        <v>0</v>
      </c>
      <c r="BH33">
        <v>0</v>
      </c>
      <c r="BJ33" t="s">
        <v>452</v>
      </c>
      <c r="BL33">
        <v>0.8</v>
      </c>
      <c r="BM33">
        <v>0.797560975609756</v>
      </c>
      <c r="BN33">
        <v>0.785365853658536</v>
      </c>
      <c r="BO33">
        <v>0.773170731707317</v>
      </c>
      <c r="BP33">
        <v>0.760975609756097</v>
      </c>
      <c r="BQ33">
        <v>0.748780487804878</v>
      </c>
      <c r="BR33">
        <v>0.736585365853658</v>
      </c>
      <c r="BS33">
        <v>0.724390243902439</v>
      </c>
      <c r="BT33">
        <v>0.71219512195122</v>
      </c>
      <c r="BU33">
        <v>0.699999999999999</v>
      </c>
      <c r="BV33">
        <v>0.687499999999999</v>
      </c>
      <c r="BW33">
        <v>0.675</v>
      </c>
      <c r="BX33">
        <v>0.6625</v>
      </c>
      <c r="BY33">
        <v>0.649999999999999</v>
      </c>
      <c r="BZ33">
        <v>0.637499999999999</v>
      </c>
      <c r="CA33">
        <v>0.625</v>
      </c>
      <c r="CB33">
        <v>0.6125</v>
      </c>
      <c r="CC33">
        <v>0.6</v>
      </c>
      <c r="CD33" t="e">
        <v>#VALUE!</v>
      </c>
      <c r="CE33" t="e">
        <v>#VALUE!</v>
      </c>
      <c r="CF33" t="e">
        <v>#VALUE!</v>
      </c>
      <c r="CG33" t="e">
        <v>#VALUE!</v>
      </c>
      <c r="CH33" t="e">
        <v>#VALUE!</v>
      </c>
      <c r="CI33" t="e">
        <v>#VALUE!</v>
      </c>
      <c r="CJ33" t="e">
        <v>#VALUE!</v>
      </c>
      <c r="CK33" t="e">
        <v>#VALUE!</v>
      </c>
    </row>
    <row r="34" spans="1:89">
      <c r="A34" s="34" t="s">
        <v>6</v>
      </c>
      <c r="B34" s="34" t="s">
        <v>446</v>
      </c>
      <c r="C34" s="34" t="s">
        <v>446</v>
      </c>
      <c r="D34" s="34">
        <v>0</v>
      </c>
      <c r="E34" s="34">
        <v>0</v>
      </c>
      <c r="F34" s="34"/>
      <c r="G34" s="34">
        <v>0</v>
      </c>
      <c r="H34" s="34">
        <v>0</v>
      </c>
      <c r="I34" s="34">
        <v>0</v>
      </c>
      <c r="J34" s="34">
        <v>0</v>
      </c>
      <c r="K34" s="34">
        <v>0</v>
      </c>
      <c r="L34" s="34">
        <v>0</v>
      </c>
      <c r="M34" s="34">
        <v>0</v>
      </c>
      <c r="N34" s="34">
        <v>0</v>
      </c>
      <c r="O34" s="34">
        <v>0</v>
      </c>
      <c r="P34" s="34">
        <v>0</v>
      </c>
      <c r="Q34" s="34">
        <v>0</v>
      </c>
      <c r="R34" s="34">
        <v>0</v>
      </c>
      <c r="S34" s="34">
        <v>0</v>
      </c>
      <c r="T34" s="34">
        <v>0</v>
      </c>
      <c r="U34" s="34">
        <v>0</v>
      </c>
      <c r="V34" s="34">
        <v>0</v>
      </c>
      <c r="W34" s="34">
        <v>3</v>
      </c>
      <c r="AG34" s="232" t="s">
        <v>442</v>
      </c>
      <c r="AI34">
        <v>1</v>
      </c>
      <c r="AJ34">
        <v>1.00806756087954</v>
      </c>
      <c r="AK34">
        <v>1.04840536527724</v>
      </c>
      <c r="AL34">
        <v>1.08732275330387</v>
      </c>
      <c r="AM34">
        <v>1.12354717901157</v>
      </c>
      <c r="AN34">
        <v>1.15782359835946</v>
      </c>
      <c r="AO34">
        <v>1.19166808768815</v>
      </c>
      <c r="AP34">
        <v>1.22608843109086</v>
      </c>
      <c r="AQ34">
        <v>1.25818767846711</v>
      </c>
      <c r="AR34">
        <v>1.28796306735902</v>
      </c>
      <c r="AS34">
        <v>1.31375846481219</v>
      </c>
      <c r="AT34">
        <v>1.33604222582596</v>
      </c>
      <c r="AU34">
        <v>1.35475878553354</v>
      </c>
      <c r="AV34">
        <v>1.36928268401038</v>
      </c>
      <c r="AW34">
        <v>1.37849007446916</v>
      </c>
      <c r="AX34">
        <v>1.38228774368874</v>
      </c>
      <c r="AY34">
        <v>1.3817633107947</v>
      </c>
      <c r="AZ34">
        <v>1.37813032352762</v>
      </c>
      <c r="BA34">
        <v>0</v>
      </c>
      <c r="BB34">
        <v>0</v>
      </c>
      <c r="BC34">
        <v>0</v>
      </c>
      <c r="BD34">
        <v>0</v>
      </c>
      <c r="BE34">
        <v>0</v>
      </c>
      <c r="BF34">
        <v>0</v>
      </c>
      <c r="BG34">
        <v>0</v>
      </c>
      <c r="BH34">
        <v>0</v>
      </c>
      <c r="BJ34" t="s">
        <v>452</v>
      </c>
      <c r="BL34">
        <v>0.8</v>
      </c>
      <c r="BM34">
        <v>0.797560975609756</v>
      </c>
      <c r="BN34">
        <v>0.785365853658536</v>
      </c>
      <c r="BO34">
        <v>0.773170731707317</v>
      </c>
      <c r="BP34">
        <v>0.760975609756097</v>
      </c>
      <c r="BQ34">
        <v>0.748780487804878</v>
      </c>
      <c r="BR34">
        <v>0.736585365853658</v>
      </c>
      <c r="BS34">
        <v>0.724390243902439</v>
      </c>
      <c r="BT34">
        <v>0.71219512195122</v>
      </c>
      <c r="BU34">
        <v>0.699999999999999</v>
      </c>
      <c r="BV34">
        <v>0.687499999999999</v>
      </c>
      <c r="BW34">
        <v>0.675</v>
      </c>
      <c r="BX34">
        <v>0.6625</v>
      </c>
      <c r="BY34">
        <v>0.649999999999999</v>
      </c>
      <c r="BZ34">
        <v>0.637499999999999</v>
      </c>
      <c r="CA34">
        <v>0.625</v>
      </c>
      <c r="CB34">
        <v>0.6125</v>
      </c>
      <c r="CC34">
        <v>0.6</v>
      </c>
      <c r="CD34" t="e">
        <v>#VALUE!</v>
      </c>
      <c r="CE34" t="e">
        <v>#VALUE!</v>
      </c>
      <c r="CF34" t="e">
        <v>#VALUE!</v>
      </c>
      <c r="CG34" t="e">
        <v>#VALUE!</v>
      </c>
      <c r="CH34" t="e">
        <v>#VALUE!</v>
      </c>
      <c r="CI34" t="e">
        <v>#VALUE!</v>
      </c>
      <c r="CJ34" t="e">
        <v>#VALUE!</v>
      </c>
      <c r="CK34" t="e">
        <v>#VALUE!</v>
      </c>
    </row>
    <row r="35" spans="1:89">
      <c r="A35" s="34" t="s">
        <v>6</v>
      </c>
      <c r="B35" s="34" t="s">
        <v>447</v>
      </c>
      <c r="C35" s="34" t="s">
        <v>447</v>
      </c>
      <c r="D35" s="34">
        <v>7.14</v>
      </c>
      <c r="E35" s="34">
        <v>7.18594141412276</v>
      </c>
      <c r="F35" s="34"/>
      <c r="G35" s="34">
        <v>7.41176968188462</v>
      </c>
      <c r="H35" s="34">
        <v>7.62449136986489</v>
      </c>
      <c r="I35" s="34">
        <v>7.81778816226085</v>
      </c>
      <c r="J35" s="34">
        <v>7.99637216413631</v>
      </c>
      <c r="K35" s="34">
        <v>8.16854381887434</v>
      </c>
      <c r="L35" s="34">
        <v>8.33945761694923</v>
      </c>
      <c r="M35" s="34">
        <v>8.4949502635637</v>
      </c>
      <c r="N35" s="34">
        <v>8.63567514621098</v>
      </c>
      <c r="O35" s="34">
        <v>8.75458225336639</v>
      </c>
      <c r="P35" s="34">
        <v>8.85481558480123</v>
      </c>
      <c r="Q35" s="34">
        <v>8.9369965510313</v>
      </c>
      <c r="R35" s="34">
        <v>8.99927333475672</v>
      </c>
      <c r="S35" s="34">
        <v>9.03785056797438</v>
      </c>
      <c r="T35" s="34">
        <v>9.05341232624746</v>
      </c>
      <c r="U35" s="34">
        <v>9.05130850004345</v>
      </c>
      <c r="V35" s="34">
        <v>9.03702966302085</v>
      </c>
      <c r="W35" s="34">
        <v>3</v>
      </c>
      <c r="AG35" s="232" t="s">
        <v>442</v>
      </c>
      <c r="AI35">
        <v>1</v>
      </c>
      <c r="AJ35">
        <v>1.00806756087954</v>
      </c>
      <c r="AK35">
        <v>1.04840536527724</v>
      </c>
      <c r="AL35">
        <v>1.08732275330387</v>
      </c>
      <c r="AM35">
        <v>1.12354717901157</v>
      </c>
      <c r="AN35">
        <v>1.15782359835946</v>
      </c>
      <c r="AO35">
        <v>1.19166808768815</v>
      </c>
      <c r="AP35">
        <v>1.22608843109086</v>
      </c>
      <c r="AQ35">
        <v>1.25818767846711</v>
      </c>
      <c r="AR35">
        <v>1.28796306735902</v>
      </c>
      <c r="AS35">
        <v>1.31375846481219</v>
      </c>
      <c r="AT35">
        <v>1.33604222582596</v>
      </c>
      <c r="AU35">
        <v>1.35475878553354</v>
      </c>
      <c r="AV35">
        <v>1.36928268401038</v>
      </c>
      <c r="AW35">
        <v>1.37849007446916</v>
      </c>
      <c r="AX35">
        <v>1.38228774368874</v>
      </c>
      <c r="AY35">
        <v>1.3817633107947</v>
      </c>
      <c r="AZ35">
        <v>1.37813032352762</v>
      </c>
      <c r="BA35">
        <v>0</v>
      </c>
      <c r="BB35">
        <v>0</v>
      </c>
      <c r="BC35">
        <v>0</v>
      </c>
      <c r="BD35">
        <v>0</v>
      </c>
      <c r="BE35">
        <v>0</v>
      </c>
      <c r="BF35">
        <v>0</v>
      </c>
      <c r="BG35">
        <v>0</v>
      </c>
      <c r="BH35">
        <v>0</v>
      </c>
      <c r="BJ35" t="s">
        <v>452</v>
      </c>
      <c r="BL35">
        <v>0.8</v>
      </c>
      <c r="BM35">
        <v>0.797560975609756</v>
      </c>
      <c r="BN35">
        <v>0.785365853658536</v>
      </c>
      <c r="BO35">
        <v>0.773170731707317</v>
      </c>
      <c r="BP35">
        <v>0.760975609756097</v>
      </c>
      <c r="BQ35">
        <v>0.748780487804878</v>
      </c>
      <c r="BR35">
        <v>0.736585365853658</v>
      </c>
      <c r="BS35">
        <v>0.724390243902439</v>
      </c>
      <c r="BT35">
        <v>0.71219512195122</v>
      </c>
      <c r="BU35">
        <v>0.699999999999999</v>
      </c>
      <c r="BV35">
        <v>0.687499999999999</v>
      </c>
      <c r="BW35">
        <v>0.675</v>
      </c>
      <c r="BX35">
        <v>0.6625</v>
      </c>
      <c r="BY35">
        <v>0.649999999999999</v>
      </c>
      <c r="BZ35">
        <v>0.637499999999999</v>
      </c>
      <c r="CA35">
        <v>0.625</v>
      </c>
      <c r="CB35">
        <v>0.6125</v>
      </c>
      <c r="CC35">
        <v>0.6</v>
      </c>
      <c r="CD35" t="e">
        <v>#VALUE!</v>
      </c>
      <c r="CE35" t="e">
        <v>#VALUE!</v>
      </c>
      <c r="CF35" t="e">
        <v>#VALUE!</v>
      </c>
      <c r="CG35" t="e">
        <v>#VALUE!</v>
      </c>
      <c r="CH35" t="e">
        <v>#VALUE!</v>
      </c>
      <c r="CI35" t="e">
        <v>#VALUE!</v>
      </c>
      <c r="CJ35" t="e">
        <v>#VALUE!</v>
      </c>
      <c r="CK35" t="e">
        <v>#VALUE!</v>
      </c>
    </row>
    <row r="36" spans="1:89">
      <c r="A36" s="34" t="s">
        <v>6</v>
      </c>
      <c r="B36" s="34" t="s">
        <v>448</v>
      </c>
      <c r="C36" s="34" t="s">
        <v>448</v>
      </c>
      <c r="D36" s="34">
        <v>242.172</v>
      </c>
      <c r="E36" s="34">
        <v>243.573612891857</v>
      </c>
      <c r="F36" s="34"/>
      <c r="G36" s="34">
        <v>263.829853570693</v>
      </c>
      <c r="H36" s="34">
        <v>283.899264297911</v>
      </c>
      <c r="I36" s="34">
        <v>304.439246599583</v>
      </c>
      <c r="J36" s="34">
        <v>325.390163313964</v>
      </c>
      <c r="K36" s="34">
        <v>346.593714879194</v>
      </c>
      <c r="L36" s="34">
        <v>366.7672330622</v>
      </c>
      <c r="M36" s="34">
        <v>386.053778837822</v>
      </c>
      <c r="N36" s="34">
        <v>405.173342067379</v>
      </c>
      <c r="O36" s="34">
        <v>424.477977613716</v>
      </c>
      <c r="P36" s="34">
        <v>443.250698062686</v>
      </c>
      <c r="Q36" s="34">
        <v>461.198987217964</v>
      </c>
      <c r="R36" s="34">
        <v>478.306581903341</v>
      </c>
      <c r="S36" s="34">
        <v>494.774356421311</v>
      </c>
      <c r="T36" s="34">
        <v>510.745611134922</v>
      </c>
      <c r="U36" s="34">
        <v>526.176215384945</v>
      </c>
      <c r="V36" s="34">
        <v>540.865815707178</v>
      </c>
      <c r="W36" s="34">
        <v>3</v>
      </c>
      <c r="AG36" s="232" t="s">
        <v>449</v>
      </c>
      <c r="AI36">
        <v>1</v>
      </c>
      <c r="AJ36">
        <v>1.00725671820965</v>
      </c>
      <c r="AK36">
        <v>1.11391553664979</v>
      </c>
      <c r="AL36">
        <v>1.22350972901388</v>
      </c>
      <c r="AM36">
        <v>1.33983457541656</v>
      </c>
      <c r="AN36">
        <v>1.46297454841739</v>
      </c>
      <c r="AO36">
        <v>1.59239945951045</v>
      </c>
      <c r="AP36">
        <v>1.72034948891394</v>
      </c>
      <c r="AQ36">
        <v>1.84737226835737</v>
      </c>
      <c r="AR36">
        <v>1.97807556422504</v>
      </c>
      <c r="AS36">
        <v>2.11516087431393</v>
      </c>
      <c r="AT36">
        <v>2.25374442396418</v>
      </c>
      <c r="AU36">
        <v>2.3914946791284</v>
      </c>
      <c r="AV36">
        <v>2.52797079997079</v>
      </c>
      <c r="AW36">
        <v>2.66449838830749</v>
      </c>
      <c r="AX36">
        <v>2.80211387105471</v>
      </c>
      <c r="AY36">
        <v>2.94032976167389</v>
      </c>
      <c r="AZ36">
        <v>3.07714156144632</v>
      </c>
      <c r="BA36">
        <v>0</v>
      </c>
      <c r="BB36">
        <v>0</v>
      </c>
      <c r="BC36">
        <v>0</v>
      </c>
      <c r="BD36">
        <v>0</v>
      </c>
      <c r="BE36">
        <v>0</v>
      </c>
      <c r="BF36">
        <v>0</v>
      </c>
      <c r="BG36">
        <v>0</v>
      </c>
      <c r="BH36">
        <v>0</v>
      </c>
      <c r="BJ36" t="s">
        <v>452</v>
      </c>
      <c r="BL36">
        <v>0.8</v>
      </c>
      <c r="BM36">
        <v>0.797560975609756</v>
      </c>
      <c r="BN36">
        <v>0.785365853658536</v>
      </c>
      <c r="BO36">
        <v>0.773170731707317</v>
      </c>
      <c r="BP36">
        <v>0.760975609756097</v>
      </c>
      <c r="BQ36">
        <v>0.748780487804878</v>
      </c>
      <c r="BR36">
        <v>0.736585365853658</v>
      </c>
      <c r="BS36">
        <v>0.724390243902439</v>
      </c>
      <c r="BT36">
        <v>0.71219512195122</v>
      </c>
      <c r="BU36">
        <v>0.699999999999999</v>
      </c>
      <c r="BV36">
        <v>0.687499999999999</v>
      </c>
      <c r="BW36">
        <v>0.675</v>
      </c>
      <c r="BX36">
        <v>0.6625</v>
      </c>
      <c r="BY36">
        <v>0.649999999999999</v>
      </c>
      <c r="BZ36">
        <v>0.637499999999999</v>
      </c>
      <c r="CA36">
        <v>0.625</v>
      </c>
      <c r="CB36">
        <v>0.6125</v>
      </c>
      <c r="CC36">
        <v>0.6</v>
      </c>
      <c r="CD36" t="e">
        <v>#VALUE!</v>
      </c>
      <c r="CE36" t="e">
        <v>#VALUE!</v>
      </c>
      <c r="CF36" t="e">
        <v>#VALUE!</v>
      </c>
      <c r="CG36" t="e">
        <v>#VALUE!</v>
      </c>
      <c r="CH36" t="e">
        <v>#VALUE!</v>
      </c>
      <c r="CI36" t="e">
        <v>#VALUE!</v>
      </c>
      <c r="CJ36" t="e">
        <v>#VALUE!</v>
      </c>
      <c r="CK36" t="e">
        <v>#VALUE!</v>
      </c>
    </row>
    <row r="37" spans="1:89">
      <c r="A37" s="34" t="s">
        <v>6</v>
      </c>
      <c r="B37" s="34" t="s">
        <v>450</v>
      </c>
      <c r="C37" s="34" t="s">
        <v>450</v>
      </c>
      <c r="D37" s="34">
        <v>51.1</v>
      </c>
      <c r="E37" s="34">
        <v>51.7269325835117</v>
      </c>
      <c r="F37" s="34"/>
      <c r="G37" s="34">
        <v>57.8264100285185</v>
      </c>
      <c r="H37" s="34">
        <v>64.0481726602432</v>
      </c>
      <c r="I37" s="34">
        <v>70.4601618476892</v>
      </c>
      <c r="J37" s="34">
        <v>77.0665629493252</v>
      </c>
      <c r="K37" s="34">
        <v>83.8946211750688</v>
      </c>
      <c r="L37" s="34">
        <v>90.6741208445533</v>
      </c>
      <c r="M37" s="34">
        <v>97.2577289310377</v>
      </c>
      <c r="N37" s="34">
        <v>103.799614110601</v>
      </c>
      <c r="O37" s="34">
        <v>110.273482654212</v>
      </c>
      <c r="P37" s="34">
        <v>116.495643536256</v>
      </c>
      <c r="Q37" s="34">
        <v>122.360104321629</v>
      </c>
      <c r="R37" s="34">
        <v>127.800214002118</v>
      </c>
      <c r="S37" s="34">
        <v>132.777718617817</v>
      </c>
      <c r="T37" s="34">
        <v>137.304197073765</v>
      </c>
      <c r="U37" s="34">
        <v>141.418939666899</v>
      </c>
      <c r="V37" s="34">
        <v>145.133548242743</v>
      </c>
      <c r="W37" s="34">
        <v>3</v>
      </c>
      <c r="AG37" s="232" t="s">
        <v>437</v>
      </c>
      <c r="AI37">
        <v>1</v>
      </c>
      <c r="AJ37">
        <v>1.01538282310513</v>
      </c>
      <c r="AK37">
        <v>1.16783502508932</v>
      </c>
      <c r="AL37">
        <v>1.33034996724544</v>
      </c>
      <c r="AM37">
        <v>1.50536735755145</v>
      </c>
      <c r="AN37">
        <v>1.69386645595694</v>
      </c>
      <c r="AO37">
        <v>1.89761161875046</v>
      </c>
      <c r="AP37">
        <v>2.10930060579047</v>
      </c>
      <c r="AQ37">
        <v>2.32434102558908</v>
      </c>
      <c r="AR37">
        <v>2.54768827116721</v>
      </c>
      <c r="AS37">
        <v>2.77881050306947</v>
      </c>
      <c r="AT37">
        <v>3.01109771663594</v>
      </c>
      <c r="AU37">
        <v>3.23989842710592</v>
      </c>
      <c r="AV37">
        <v>3.46150664208387</v>
      </c>
      <c r="AW37">
        <v>3.67298458172093</v>
      </c>
      <c r="AX37">
        <v>3.87332766037914</v>
      </c>
      <c r="AY37">
        <v>4.06283978631873</v>
      </c>
      <c r="AZ37">
        <v>4.24070209561629</v>
      </c>
      <c r="BA37">
        <v>0</v>
      </c>
      <c r="BB37">
        <v>0</v>
      </c>
      <c r="BC37">
        <v>0</v>
      </c>
      <c r="BD37">
        <v>0</v>
      </c>
      <c r="BE37">
        <v>0</v>
      </c>
      <c r="BF37">
        <v>0</v>
      </c>
      <c r="BG37">
        <v>0</v>
      </c>
      <c r="BH37">
        <v>0</v>
      </c>
      <c r="BJ37" t="s">
        <v>452</v>
      </c>
      <c r="BL37">
        <v>0.8</v>
      </c>
      <c r="BM37">
        <v>0.797560975609756</v>
      </c>
      <c r="BN37">
        <v>0.785365853658536</v>
      </c>
      <c r="BO37">
        <v>0.773170731707317</v>
      </c>
      <c r="BP37">
        <v>0.760975609756097</v>
      </c>
      <c r="BQ37">
        <v>0.748780487804878</v>
      </c>
      <c r="BR37">
        <v>0.736585365853658</v>
      </c>
      <c r="BS37">
        <v>0.724390243902439</v>
      </c>
      <c r="BT37">
        <v>0.71219512195122</v>
      </c>
      <c r="BU37">
        <v>0.699999999999999</v>
      </c>
      <c r="BV37">
        <v>0.687499999999999</v>
      </c>
      <c r="BW37">
        <v>0.675</v>
      </c>
      <c r="BX37">
        <v>0.6625</v>
      </c>
      <c r="BY37">
        <v>0.649999999999999</v>
      </c>
      <c r="BZ37">
        <v>0.637499999999999</v>
      </c>
      <c r="CA37">
        <v>0.625</v>
      </c>
      <c r="CB37">
        <v>0.6125</v>
      </c>
      <c r="CC37">
        <v>0.6</v>
      </c>
      <c r="CD37" t="e">
        <v>#VALUE!</v>
      </c>
      <c r="CE37" t="e">
        <v>#VALUE!</v>
      </c>
      <c r="CF37" t="e">
        <v>#VALUE!</v>
      </c>
      <c r="CG37" t="e">
        <v>#VALUE!</v>
      </c>
      <c r="CH37" t="e">
        <v>#VALUE!</v>
      </c>
      <c r="CI37" t="e">
        <v>#VALUE!</v>
      </c>
      <c r="CJ37" t="e">
        <v>#VALUE!</v>
      </c>
      <c r="CK37" t="e">
        <v>#VALUE!</v>
      </c>
    </row>
    <row r="38" spans="1:89">
      <c r="A38" s="34" t="s">
        <v>6</v>
      </c>
      <c r="B38" s="34" t="s">
        <v>451</v>
      </c>
      <c r="C38" s="34" t="s">
        <v>451</v>
      </c>
      <c r="D38" s="34">
        <v>64.16</v>
      </c>
      <c r="E38" s="34">
        <v>64.9471623201196</v>
      </c>
      <c r="F38" s="34"/>
      <c r="G38" s="34">
        <v>72.6055277383512</v>
      </c>
      <c r="H38" s="34">
        <v>80.4174316610803</v>
      </c>
      <c r="I38" s="34">
        <v>88.4681797289185</v>
      </c>
      <c r="J38" s="34">
        <v>96.7630269829491</v>
      </c>
      <c r="K38" s="34">
        <v>105.336181890262</v>
      </c>
      <c r="L38" s="34">
        <v>113.848367776645</v>
      </c>
      <c r="M38" s="34">
        <v>122.114596638266</v>
      </c>
      <c r="N38" s="34">
        <v>130.328439165091</v>
      </c>
      <c r="O38" s="34">
        <v>138.456881547833</v>
      </c>
      <c r="P38" s="34">
        <v>146.269285504622</v>
      </c>
      <c r="Q38" s="34">
        <v>153.632569340033</v>
      </c>
      <c r="R38" s="34">
        <v>160.463047561172</v>
      </c>
      <c r="S38" s="34">
        <v>166.712689364366</v>
      </c>
      <c r="T38" s="34">
        <v>172.396032959937</v>
      </c>
      <c r="U38" s="34">
        <v>177.562410352803</v>
      </c>
      <c r="V38" s="34">
        <v>182.226388556838</v>
      </c>
      <c r="W38" s="34">
        <v>3</v>
      </c>
      <c r="AG38" s="232" t="s">
        <v>437</v>
      </c>
      <c r="AI38">
        <v>1</v>
      </c>
      <c r="AJ38">
        <v>1.01538282310513</v>
      </c>
      <c r="AK38">
        <v>1.16783502508932</v>
      </c>
      <c r="AL38">
        <v>1.33034996724544</v>
      </c>
      <c r="AM38">
        <v>1.50536735755145</v>
      </c>
      <c r="AN38">
        <v>1.69386645595694</v>
      </c>
      <c r="AO38">
        <v>1.89761161875046</v>
      </c>
      <c r="AP38">
        <v>2.10930060579047</v>
      </c>
      <c r="AQ38">
        <v>2.32434102558908</v>
      </c>
      <c r="AR38">
        <v>2.54768827116721</v>
      </c>
      <c r="AS38">
        <v>2.77881050306947</v>
      </c>
      <c r="AT38">
        <v>3.01109771663594</v>
      </c>
      <c r="AU38">
        <v>3.23989842710592</v>
      </c>
      <c r="AV38">
        <v>3.46150664208387</v>
      </c>
      <c r="AW38">
        <v>3.67298458172093</v>
      </c>
      <c r="AX38">
        <v>3.87332766037914</v>
      </c>
      <c r="AY38">
        <v>4.06283978631873</v>
      </c>
      <c r="AZ38">
        <v>4.24070209561629</v>
      </c>
      <c r="BA38">
        <v>0</v>
      </c>
      <c r="BB38">
        <v>0</v>
      </c>
      <c r="BC38">
        <v>0</v>
      </c>
      <c r="BD38">
        <v>0</v>
      </c>
      <c r="BE38">
        <v>0</v>
      </c>
      <c r="BF38">
        <v>0</v>
      </c>
      <c r="BG38">
        <v>0</v>
      </c>
      <c r="BH38">
        <v>0</v>
      </c>
      <c r="BJ38" t="s">
        <v>452</v>
      </c>
      <c r="BL38">
        <v>0.8</v>
      </c>
      <c r="BM38">
        <v>0.797560975609756</v>
      </c>
      <c r="BN38">
        <v>0.785365853658536</v>
      </c>
      <c r="BO38">
        <v>0.773170731707317</v>
      </c>
      <c r="BP38">
        <v>0.760975609756097</v>
      </c>
      <c r="BQ38">
        <v>0.748780487804878</v>
      </c>
      <c r="BR38">
        <v>0.736585365853658</v>
      </c>
      <c r="BS38">
        <v>0.724390243902439</v>
      </c>
      <c r="BT38">
        <v>0.71219512195122</v>
      </c>
      <c r="BU38">
        <v>0.699999999999999</v>
      </c>
      <c r="BV38">
        <v>0.687499999999999</v>
      </c>
      <c r="BW38">
        <v>0.675</v>
      </c>
      <c r="BX38">
        <v>0.6625</v>
      </c>
      <c r="BY38">
        <v>0.649999999999999</v>
      </c>
      <c r="BZ38">
        <v>0.637499999999999</v>
      </c>
      <c r="CA38">
        <v>0.625</v>
      </c>
      <c r="CB38">
        <v>0.6125</v>
      </c>
      <c r="CC38">
        <v>0.6</v>
      </c>
      <c r="CD38" t="e">
        <v>#VALUE!</v>
      </c>
      <c r="CE38" t="e">
        <v>#VALUE!</v>
      </c>
      <c r="CF38" t="e">
        <v>#VALUE!</v>
      </c>
      <c r="CG38" t="e">
        <v>#VALUE!</v>
      </c>
      <c r="CH38" t="e">
        <v>#VALUE!</v>
      </c>
      <c r="CI38" t="e">
        <v>#VALUE!</v>
      </c>
      <c r="CJ38" t="e">
        <v>#VALUE!</v>
      </c>
      <c r="CK38" t="e">
        <v>#VALUE!</v>
      </c>
    </row>
    <row r="39" spans="1:89">
      <c r="A39" s="34" t="s">
        <v>7</v>
      </c>
      <c r="B39" s="34" t="s">
        <v>436</v>
      </c>
      <c r="C39" s="34" t="s">
        <v>436</v>
      </c>
      <c r="D39" s="34"/>
      <c r="E39" s="34">
        <v>1.31029971791135</v>
      </c>
      <c r="F39" s="34">
        <f xml:space="preserve">E39</f>
        <v>1.31029971791135</v>
      </c>
      <c r="G39" s="34"/>
      <c r="H39" s="34"/>
      <c r="I39" s="34">
        <f xml:space="preserve">F39</f>
        <v>1.31029971791135</v>
      </c>
      <c r="J39" s="34">
        <f xml:space="preserve">I39</f>
        <v>1.31029971791135</v>
      </c>
      <c r="K39" s="34"/>
      <c r="L39" s="34">
        <f xml:space="preserve">J39</f>
        <v>1.31029971791135</v>
      </c>
      <c r="M39" s="34"/>
      <c r="N39" s="34"/>
      <c r="O39" s="34"/>
      <c r="P39" s="34"/>
      <c r="Q39" s="34"/>
      <c r="R39" s="34"/>
      <c r="S39" s="34"/>
      <c r="T39" s="34"/>
      <c r="U39" s="34"/>
      <c r="V39" s="34">
        <f xml:space="preserve">L39</f>
        <v>1.31029971791135</v>
      </c>
      <c r="W39" s="34">
        <v>3</v>
      </c>
      <c r="AG39" s="232" t="s">
        <v>437</v>
      </c>
      <c r="AI39">
        <v>1</v>
      </c>
      <c r="AJ39">
        <v>1.00222228558761</v>
      </c>
      <c r="AK39">
        <v>1.11536936759602</v>
      </c>
      <c r="AL39">
        <v>1.22692746022008</v>
      </c>
      <c r="AM39">
        <v>1.31065179378735</v>
      </c>
      <c r="AN39">
        <v>1.39418296511398</v>
      </c>
      <c r="AO39">
        <v>1.47814645193158</v>
      </c>
      <c r="AP39">
        <v>1.55843985617691</v>
      </c>
      <c r="AQ39">
        <v>1.63661997352757</v>
      </c>
      <c r="AR39">
        <v>1.71631319509662</v>
      </c>
      <c r="AS39">
        <v>1.79843244242615</v>
      </c>
      <c r="AT39">
        <v>1.88001359494246</v>
      </c>
      <c r="AU39">
        <v>1.95857313812296</v>
      </c>
      <c r="AV39">
        <v>2.0297419260483</v>
      </c>
      <c r="AW39">
        <v>2.09143656598008</v>
      </c>
      <c r="AX39">
        <v>2.14401348824332</v>
      </c>
      <c r="AY39">
        <v>2.18899039615736</v>
      </c>
      <c r="AZ39">
        <v>2.22693297914124</v>
      </c>
      <c r="BA39">
        <v>0</v>
      </c>
      <c r="BB39">
        <v>0</v>
      </c>
      <c r="BC39">
        <v>0</v>
      </c>
      <c r="BD39">
        <v>0</v>
      </c>
      <c r="BE39">
        <v>0</v>
      </c>
      <c r="BF39">
        <v>0</v>
      </c>
      <c r="BG39">
        <v>0</v>
      </c>
      <c r="BH39">
        <v>0</v>
      </c>
      <c r="BJ39" t="s">
        <v>452</v>
      </c>
      <c r="BL39">
        <v>0.8</v>
      </c>
      <c r="BM39">
        <v>0.797560975609756</v>
      </c>
      <c r="BN39">
        <v>0.785365853658536</v>
      </c>
      <c r="BO39">
        <v>0.773170731707317</v>
      </c>
      <c r="BP39">
        <v>0.760975609756097</v>
      </c>
      <c r="BQ39">
        <v>0.748780487804878</v>
      </c>
      <c r="BR39">
        <v>0.736585365853658</v>
      </c>
      <c r="BS39">
        <v>0.724390243902439</v>
      </c>
      <c r="BT39">
        <v>0.71219512195122</v>
      </c>
      <c r="BU39">
        <v>0.699999999999999</v>
      </c>
      <c r="BV39">
        <v>0.687499999999999</v>
      </c>
      <c r="BW39">
        <v>0.675</v>
      </c>
      <c r="BX39">
        <v>0.6625</v>
      </c>
      <c r="BY39">
        <v>0.649999999999999</v>
      </c>
      <c r="BZ39">
        <v>0.637499999999999</v>
      </c>
      <c r="CA39">
        <v>0.625</v>
      </c>
      <c r="CB39">
        <v>0.6125</v>
      </c>
      <c r="CC39">
        <v>0.6</v>
      </c>
      <c r="CD39" t="e">
        <v>#VALUE!</v>
      </c>
      <c r="CE39" t="e">
        <v>#VALUE!</v>
      </c>
      <c r="CF39" t="e">
        <v>#VALUE!</v>
      </c>
      <c r="CG39" t="e">
        <v>#VALUE!</v>
      </c>
      <c r="CH39" t="e">
        <v>#VALUE!</v>
      </c>
      <c r="CI39" t="e">
        <v>#VALUE!</v>
      </c>
      <c r="CJ39" t="e">
        <v>#VALUE!</v>
      </c>
      <c r="CK39" t="e">
        <v>#VALUE!</v>
      </c>
    </row>
    <row r="40" spans="1:89">
      <c r="A40" s="34" t="s">
        <v>7</v>
      </c>
      <c r="B40" s="34" t="s">
        <v>439</v>
      </c>
      <c r="C40" s="34" t="s">
        <v>439</v>
      </c>
      <c r="D40" s="34"/>
      <c r="E40" s="34">
        <v>39.7497370273663</v>
      </c>
      <c r="F40" s="34">
        <f xml:space="preserve">E40</f>
        <v>39.7497370273663</v>
      </c>
      <c r="G40" s="34"/>
      <c r="H40" s="34"/>
      <c r="I40" s="34">
        <f xml:space="preserve">F40</f>
        <v>39.7497370273663</v>
      </c>
      <c r="J40" s="34">
        <f xml:space="preserve">I40</f>
        <v>39.7497370273663</v>
      </c>
      <c r="K40" s="34"/>
      <c r="L40" s="34">
        <f xml:space="preserve">J40</f>
        <v>39.7497370273663</v>
      </c>
      <c r="M40" s="34"/>
      <c r="N40" s="34"/>
      <c r="O40" s="34"/>
      <c r="P40" s="34"/>
      <c r="Q40" s="34"/>
      <c r="R40" s="34"/>
      <c r="S40" s="34"/>
      <c r="T40" s="34"/>
      <c r="U40" s="34"/>
      <c r="V40" s="34">
        <f xml:space="preserve">L40</f>
        <v>39.7497370273663</v>
      </c>
      <c r="W40" s="34">
        <v>3</v>
      </c>
      <c r="AG40" s="232" t="s">
        <v>437</v>
      </c>
      <c r="AI40">
        <v>1</v>
      </c>
      <c r="AJ40">
        <v>1.00222228558761</v>
      </c>
      <c r="AK40">
        <v>1.11536936759602</v>
      </c>
      <c r="AL40">
        <v>1.22692746022008</v>
      </c>
      <c r="AM40">
        <v>1.31065179378735</v>
      </c>
      <c r="AN40">
        <v>1.39418296511398</v>
      </c>
      <c r="AO40">
        <v>1.47814645193158</v>
      </c>
      <c r="AP40">
        <v>1.55843985617691</v>
      </c>
      <c r="AQ40">
        <v>1.63661997352757</v>
      </c>
      <c r="AR40">
        <v>1.71631319509662</v>
      </c>
      <c r="AS40">
        <v>1.79843244242615</v>
      </c>
      <c r="AT40">
        <v>1.88001359494246</v>
      </c>
      <c r="AU40">
        <v>1.95857313812296</v>
      </c>
      <c r="AV40">
        <v>2.0297419260483</v>
      </c>
      <c r="AW40">
        <v>2.09143656598008</v>
      </c>
      <c r="AX40">
        <v>2.14401348824332</v>
      </c>
      <c r="AY40">
        <v>2.18899039615736</v>
      </c>
      <c r="AZ40">
        <v>2.22693297914124</v>
      </c>
      <c r="BA40">
        <v>0</v>
      </c>
      <c r="BB40">
        <v>0</v>
      </c>
      <c r="BC40">
        <v>0</v>
      </c>
      <c r="BD40">
        <v>0</v>
      </c>
      <c r="BE40">
        <v>0</v>
      </c>
      <c r="BF40">
        <v>0</v>
      </c>
      <c r="BG40">
        <v>0</v>
      </c>
      <c r="BH40">
        <v>0</v>
      </c>
      <c r="BJ40" t="s">
        <v>452</v>
      </c>
      <c r="BL40">
        <v>0.8</v>
      </c>
      <c r="BM40">
        <v>0.797560975609756</v>
      </c>
      <c r="BN40">
        <v>0.785365853658536</v>
      </c>
      <c r="BO40">
        <v>0.773170731707317</v>
      </c>
      <c r="BP40">
        <v>0.760975609756097</v>
      </c>
      <c r="BQ40">
        <v>0.748780487804878</v>
      </c>
      <c r="BR40">
        <v>0.736585365853658</v>
      </c>
      <c r="BS40">
        <v>0.724390243902439</v>
      </c>
      <c r="BT40">
        <v>0.71219512195122</v>
      </c>
      <c r="BU40">
        <v>0.699999999999999</v>
      </c>
      <c r="BV40">
        <v>0.687499999999999</v>
      </c>
      <c r="BW40">
        <v>0.675</v>
      </c>
      <c r="BX40">
        <v>0.6625</v>
      </c>
      <c r="BY40">
        <v>0.649999999999999</v>
      </c>
      <c r="BZ40">
        <v>0.637499999999999</v>
      </c>
      <c r="CA40">
        <v>0.625</v>
      </c>
      <c r="CB40">
        <v>0.6125</v>
      </c>
      <c r="CC40">
        <v>0.6</v>
      </c>
      <c r="CD40" t="e">
        <v>#VALUE!</v>
      </c>
      <c r="CE40" t="e">
        <v>#VALUE!</v>
      </c>
      <c r="CF40" t="e">
        <v>#VALUE!</v>
      </c>
      <c r="CG40" t="e">
        <v>#VALUE!</v>
      </c>
      <c r="CH40" t="e">
        <v>#VALUE!</v>
      </c>
      <c r="CI40" t="e">
        <v>#VALUE!</v>
      </c>
      <c r="CJ40" t="e">
        <v>#VALUE!</v>
      </c>
      <c r="CK40" t="e">
        <v>#VALUE!</v>
      </c>
    </row>
    <row r="41" spans="1:89">
      <c r="A41" s="34" t="s">
        <v>7</v>
      </c>
      <c r="B41" s="34" t="s">
        <v>440</v>
      </c>
      <c r="C41" s="34" t="s">
        <v>440</v>
      </c>
      <c r="D41" s="34"/>
      <c r="E41" s="34">
        <v>1.27011069498277</v>
      </c>
      <c r="F41" s="34"/>
      <c r="G41" s="34"/>
      <c r="H41" s="34"/>
      <c r="I41" s="34">
        <v>1.56700840734804</v>
      </c>
      <c r="J41" s="34">
        <v>1.64178868795761</v>
      </c>
      <c r="K41" s="34"/>
      <c r="L41" s="34">
        <v>1.7820875475286</v>
      </c>
      <c r="M41" s="34"/>
      <c r="N41" s="34"/>
      <c r="O41" s="34"/>
      <c r="P41" s="34"/>
      <c r="Q41" s="34"/>
      <c r="R41" s="34"/>
      <c r="S41" s="34"/>
      <c r="T41" s="34"/>
      <c r="U41" s="34"/>
      <c r="V41" s="34">
        <v>2.26478361303252</v>
      </c>
      <c r="W41" s="34">
        <v>3</v>
      </c>
      <c r="AG41" s="232" t="s">
        <v>437</v>
      </c>
      <c r="AI41">
        <v>1</v>
      </c>
      <c r="AJ41">
        <v>1.00222228558761</v>
      </c>
      <c r="AK41">
        <v>1.11536936759602</v>
      </c>
      <c r="AL41">
        <v>1.22692746022008</v>
      </c>
      <c r="AM41">
        <v>1.31065179378735</v>
      </c>
      <c r="AN41">
        <v>1.39418296511398</v>
      </c>
      <c r="AO41">
        <v>1.47814645193158</v>
      </c>
      <c r="AP41">
        <v>1.55843985617691</v>
      </c>
      <c r="AQ41">
        <v>1.63661997352757</v>
      </c>
      <c r="AR41">
        <v>1.71631319509662</v>
      </c>
      <c r="AS41">
        <v>1.79843244242615</v>
      </c>
      <c r="AT41">
        <v>1.88001359494246</v>
      </c>
      <c r="AU41">
        <v>1.95857313812296</v>
      </c>
      <c r="AV41">
        <v>2.0297419260483</v>
      </c>
      <c r="AW41">
        <v>2.09143656598008</v>
      </c>
      <c r="AX41">
        <v>2.14401348824332</v>
      </c>
      <c r="AY41">
        <v>2.18899039615736</v>
      </c>
      <c r="AZ41">
        <v>2.22693297914124</v>
      </c>
      <c r="BA41">
        <v>0</v>
      </c>
      <c r="BB41">
        <v>0</v>
      </c>
      <c r="BC41">
        <v>0</v>
      </c>
      <c r="BD41">
        <v>0</v>
      </c>
      <c r="BE41">
        <v>0</v>
      </c>
      <c r="BF41">
        <v>0</v>
      </c>
      <c r="BG41">
        <v>0</v>
      </c>
      <c r="BH41">
        <v>0</v>
      </c>
      <c r="BJ41" t="s">
        <v>452</v>
      </c>
      <c r="BL41">
        <v>0.8</v>
      </c>
      <c r="BM41">
        <v>0.797560975609756</v>
      </c>
      <c r="BN41">
        <v>0.785365853658536</v>
      </c>
      <c r="BO41">
        <v>0.773170731707317</v>
      </c>
      <c r="BP41">
        <v>0.760975609756097</v>
      </c>
      <c r="BQ41">
        <v>0.748780487804878</v>
      </c>
      <c r="BR41">
        <v>0.736585365853658</v>
      </c>
      <c r="BS41">
        <v>0.724390243902439</v>
      </c>
      <c r="BT41">
        <v>0.71219512195122</v>
      </c>
      <c r="BU41">
        <v>0.699999999999999</v>
      </c>
      <c r="BV41">
        <v>0.687499999999999</v>
      </c>
      <c r="BW41">
        <v>0.675</v>
      </c>
      <c r="BX41">
        <v>0.6625</v>
      </c>
      <c r="BY41">
        <v>0.649999999999999</v>
      </c>
      <c r="BZ41">
        <v>0.637499999999999</v>
      </c>
      <c r="CA41">
        <v>0.625</v>
      </c>
      <c r="CB41">
        <v>0.6125</v>
      </c>
      <c r="CC41">
        <v>0.6</v>
      </c>
      <c r="CD41" t="e">
        <v>#VALUE!</v>
      </c>
      <c r="CE41" t="e">
        <v>#VALUE!</v>
      </c>
      <c r="CF41" t="e">
        <v>#VALUE!</v>
      </c>
      <c r="CG41" t="e">
        <v>#VALUE!</v>
      </c>
      <c r="CH41" t="e">
        <v>#VALUE!</v>
      </c>
      <c r="CI41" t="e">
        <v>#VALUE!</v>
      </c>
      <c r="CJ41" t="e">
        <v>#VALUE!</v>
      </c>
      <c r="CK41" t="e">
        <v>#VALUE!</v>
      </c>
    </row>
    <row r="42" spans="1:89">
      <c r="A42" s="34" t="s">
        <v>7</v>
      </c>
      <c r="B42" s="34" t="s">
        <v>441</v>
      </c>
      <c r="C42" s="34" t="s">
        <v>441</v>
      </c>
      <c r="D42" s="34"/>
      <c r="E42" s="34">
        <v>7.31143704140328</v>
      </c>
      <c r="F42" s="34"/>
      <c r="G42" s="34"/>
      <c r="H42" s="34"/>
      <c r="I42" s="34">
        <v>7.4712788225843</v>
      </c>
      <c r="J42" s="34">
        <v>7.49446942090852</v>
      </c>
      <c r="K42" s="34"/>
      <c r="L42" s="34">
        <v>7.53994546338287</v>
      </c>
      <c r="M42" s="34"/>
      <c r="N42" s="34"/>
      <c r="O42" s="34"/>
      <c r="P42" s="34"/>
      <c r="Q42" s="34"/>
      <c r="R42" s="34"/>
      <c r="S42" s="34"/>
      <c r="T42" s="34"/>
      <c r="U42" s="34"/>
      <c r="V42" s="34">
        <v>7.26035151569322</v>
      </c>
      <c r="W42" s="34">
        <v>3</v>
      </c>
      <c r="AG42" s="232" t="s">
        <v>442</v>
      </c>
      <c r="AI42">
        <v>1</v>
      </c>
      <c r="AJ42">
        <v>1.00323836883231</v>
      </c>
      <c r="AK42">
        <v>1.01943021299387</v>
      </c>
      <c r="AL42">
        <v>1.02630425158199</v>
      </c>
      <c r="AM42">
        <v>1.03148032182615</v>
      </c>
      <c r="AN42">
        <v>1.03575618143882</v>
      </c>
      <c r="AO42">
        <v>1.04031122243802</v>
      </c>
      <c r="AP42">
        <v>1.04436031057323</v>
      </c>
      <c r="AQ42">
        <v>1.0460204085313</v>
      </c>
      <c r="AR42">
        <v>1.04563234978531</v>
      </c>
      <c r="AS42">
        <v>1.0433225943739</v>
      </c>
      <c r="AT42">
        <v>1.04070976316582</v>
      </c>
      <c r="AU42">
        <v>1.03733411418462</v>
      </c>
      <c r="AV42">
        <v>1.03156609374183</v>
      </c>
      <c r="AW42">
        <v>1.02257818882174</v>
      </c>
      <c r="AX42">
        <v>1.01090464236831</v>
      </c>
      <c r="AY42">
        <v>0.997492664866922</v>
      </c>
      <c r="AZ42">
        <v>0.982951789195398</v>
      </c>
      <c r="BA42">
        <v>0</v>
      </c>
      <c r="BB42">
        <v>0</v>
      </c>
      <c r="BC42">
        <v>0</v>
      </c>
      <c r="BD42">
        <v>0</v>
      </c>
      <c r="BE42">
        <v>0</v>
      </c>
      <c r="BF42">
        <v>0</v>
      </c>
      <c r="BG42">
        <v>0</v>
      </c>
      <c r="BH42">
        <v>0</v>
      </c>
      <c r="BJ42" t="s">
        <v>452</v>
      </c>
      <c r="BL42">
        <v>0.8</v>
      </c>
      <c r="BM42">
        <v>0.797560975609756</v>
      </c>
      <c r="BN42">
        <v>0.785365853658536</v>
      </c>
      <c r="BO42">
        <v>0.773170731707317</v>
      </c>
      <c r="BP42">
        <v>0.760975609756097</v>
      </c>
      <c r="BQ42">
        <v>0.748780487804878</v>
      </c>
      <c r="BR42">
        <v>0.736585365853658</v>
      </c>
      <c r="BS42">
        <v>0.724390243902439</v>
      </c>
      <c r="BT42">
        <v>0.71219512195122</v>
      </c>
      <c r="BU42">
        <v>0.699999999999999</v>
      </c>
      <c r="BV42">
        <v>0.687499999999999</v>
      </c>
      <c r="BW42">
        <v>0.675</v>
      </c>
      <c r="BX42">
        <v>0.6625</v>
      </c>
      <c r="BY42">
        <v>0.649999999999999</v>
      </c>
      <c r="BZ42">
        <v>0.637499999999999</v>
      </c>
      <c r="CA42">
        <v>0.625</v>
      </c>
      <c r="CB42">
        <v>0.6125</v>
      </c>
      <c r="CC42">
        <v>0.6</v>
      </c>
      <c r="CD42" t="e">
        <v>#VALUE!</v>
      </c>
      <c r="CE42" t="e">
        <v>#VALUE!</v>
      </c>
      <c r="CF42" t="e">
        <v>#VALUE!</v>
      </c>
      <c r="CG42" t="e">
        <v>#VALUE!</v>
      </c>
      <c r="CH42" t="e">
        <v>#VALUE!</v>
      </c>
      <c r="CI42" t="e">
        <v>#VALUE!</v>
      </c>
      <c r="CJ42" t="e">
        <v>#VALUE!</v>
      </c>
      <c r="CK42" t="e">
        <v>#VALUE!</v>
      </c>
    </row>
    <row r="43" spans="1:89">
      <c r="A43" s="34" t="s">
        <v>7</v>
      </c>
      <c r="B43" s="34" t="s">
        <v>443</v>
      </c>
      <c r="C43" s="34" t="s">
        <v>443</v>
      </c>
      <c r="D43" s="34"/>
      <c r="E43" s="34">
        <v>1.13972076127334</v>
      </c>
      <c r="F43" s="34">
        <f xml:space="preserve">E43</f>
        <v>1.13972076127334</v>
      </c>
      <c r="G43" s="34"/>
      <c r="H43" s="34"/>
      <c r="I43" s="34">
        <f xml:space="preserve">F43</f>
        <v>1.13972076127334</v>
      </c>
      <c r="J43" s="34">
        <f xml:space="preserve">I43</f>
        <v>1.13972076127334</v>
      </c>
      <c r="K43" s="34"/>
      <c r="L43" s="34">
        <f xml:space="preserve">J43</f>
        <v>1.13972076127334</v>
      </c>
      <c r="M43" s="34"/>
      <c r="N43" s="34"/>
      <c r="O43" s="34"/>
      <c r="P43" s="34"/>
      <c r="Q43" s="34"/>
      <c r="R43" s="34"/>
      <c r="S43" s="34"/>
      <c r="T43" s="34"/>
      <c r="U43" s="34"/>
      <c r="V43" s="34">
        <f xml:space="preserve">L43</f>
        <v>1.13972076127334</v>
      </c>
      <c r="W43" s="34">
        <v>3</v>
      </c>
      <c r="AG43" s="232" t="s">
        <v>437</v>
      </c>
      <c r="AI43">
        <v>1</v>
      </c>
      <c r="AJ43">
        <v>1.00222228558761</v>
      </c>
      <c r="AK43">
        <v>1.11536936759602</v>
      </c>
      <c r="AL43">
        <v>1.22692746022008</v>
      </c>
      <c r="AM43">
        <v>1.31065179378735</v>
      </c>
      <c r="AN43">
        <v>1.39418296511398</v>
      </c>
      <c r="AO43">
        <v>1.47814645193158</v>
      </c>
      <c r="AP43">
        <v>1.55843985617691</v>
      </c>
      <c r="AQ43">
        <v>1.63661997352757</v>
      </c>
      <c r="AR43">
        <v>1.71631319509662</v>
      </c>
      <c r="AS43">
        <v>1.79843244242615</v>
      </c>
      <c r="AT43">
        <v>1.88001359494246</v>
      </c>
      <c r="AU43">
        <v>1.95857313812296</v>
      </c>
      <c r="AV43">
        <v>2.0297419260483</v>
      </c>
      <c r="AW43">
        <v>2.09143656598008</v>
      </c>
      <c r="AX43">
        <v>2.14401348824332</v>
      </c>
      <c r="AY43">
        <v>2.18899039615736</v>
      </c>
      <c r="AZ43">
        <v>2.22693297914124</v>
      </c>
      <c r="BA43">
        <v>0</v>
      </c>
      <c r="BB43">
        <v>0</v>
      </c>
      <c r="BC43">
        <v>0</v>
      </c>
      <c r="BD43">
        <v>0</v>
      </c>
      <c r="BE43">
        <v>0</v>
      </c>
      <c r="BF43">
        <v>0</v>
      </c>
      <c r="BG43">
        <v>0</v>
      </c>
      <c r="BH43">
        <v>0</v>
      </c>
      <c r="BJ43" t="s">
        <v>452</v>
      </c>
      <c r="BL43">
        <v>0.8</v>
      </c>
      <c r="BM43">
        <v>0.797560975609756</v>
      </c>
      <c r="BN43">
        <v>0.785365853658536</v>
      </c>
      <c r="BO43">
        <v>0.773170731707317</v>
      </c>
      <c r="BP43">
        <v>0.760975609756097</v>
      </c>
      <c r="BQ43">
        <v>0.748780487804878</v>
      </c>
      <c r="BR43">
        <v>0.736585365853658</v>
      </c>
      <c r="BS43">
        <v>0.724390243902439</v>
      </c>
      <c r="BT43">
        <v>0.71219512195122</v>
      </c>
      <c r="BU43">
        <v>0.699999999999999</v>
      </c>
      <c r="BV43">
        <v>0.687499999999999</v>
      </c>
      <c r="BW43">
        <v>0.675</v>
      </c>
      <c r="BX43">
        <v>0.6625</v>
      </c>
      <c r="BY43">
        <v>0.649999999999999</v>
      </c>
      <c r="BZ43">
        <v>0.637499999999999</v>
      </c>
      <c r="CA43">
        <v>0.625</v>
      </c>
      <c r="CB43">
        <v>0.6125</v>
      </c>
      <c r="CC43">
        <v>0.6</v>
      </c>
      <c r="CD43" t="e">
        <v>#VALUE!</v>
      </c>
      <c r="CE43" t="e">
        <v>#VALUE!</v>
      </c>
      <c r="CF43" t="e">
        <v>#VALUE!</v>
      </c>
      <c r="CG43" t="e">
        <v>#VALUE!</v>
      </c>
      <c r="CH43" t="e">
        <v>#VALUE!</v>
      </c>
      <c r="CI43" t="e">
        <v>#VALUE!</v>
      </c>
      <c r="CJ43" t="e">
        <v>#VALUE!</v>
      </c>
      <c r="CK43" t="e">
        <v>#VALUE!</v>
      </c>
    </row>
    <row r="44" spans="1:89">
      <c r="A44" s="34" t="s">
        <v>7</v>
      </c>
      <c r="B44" s="34" t="s">
        <v>444</v>
      </c>
      <c r="C44" s="34" t="s">
        <v>444</v>
      </c>
      <c r="D44" s="34"/>
      <c r="E44" s="34">
        <v>0.614101020779717</v>
      </c>
      <c r="F44" s="34">
        <f xml:space="preserve">E44</f>
        <v>0.614101020779717</v>
      </c>
      <c r="G44" s="34"/>
      <c r="H44" s="34"/>
      <c r="I44" s="34">
        <f xml:space="preserve">F44</f>
        <v>0.614101020779717</v>
      </c>
      <c r="J44" s="34">
        <f xml:space="preserve">I44</f>
        <v>0.614101020779717</v>
      </c>
      <c r="K44" s="34"/>
      <c r="L44" s="34">
        <f xml:space="preserve">J44</f>
        <v>0.614101020779717</v>
      </c>
      <c r="M44" s="34"/>
      <c r="N44" s="34"/>
      <c r="O44" s="34"/>
      <c r="P44" s="34"/>
      <c r="Q44" s="34"/>
      <c r="R44" s="34"/>
      <c r="S44" s="34"/>
      <c r="T44" s="34"/>
      <c r="U44" s="34"/>
      <c r="V44" s="34">
        <f xml:space="preserve">L44</f>
        <v>0.614101020779717</v>
      </c>
      <c r="W44" s="34">
        <v>3</v>
      </c>
      <c r="AG44" s="232" t="s">
        <v>437</v>
      </c>
      <c r="AI44">
        <v>1</v>
      </c>
      <c r="AJ44">
        <v>1.00222228558761</v>
      </c>
      <c r="AK44">
        <v>1.11536936759602</v>
      </c>
      <c r="AL44">
        <v>1.22692746022008</v>
      </c>
      <c r="AM44">
        <v>1.31065179378735</v>
      </c>
      <c r="AN44">
        <v>1.39418296511398</v>
      </c>
      <c r="AO44">
        <v>1.47814645193158</v>
      </c>
      <c r="AP44">
        <v>1.55843985617691</v>
      </c>
      <c r="AQ44">
        <v>1.63661997352757</v>
      </c>
      <c r="AR44">
        <v>1.71631319509662</v>
      </c>
      <c r="AS44">
        <v>1.79843244242615</v>
      </c>
      <c r="AT44">
        <v>1.88001359494246</v>
      </c>
      <c r="AU44">
        <v>1.95857313812296</v>
      </c>
      <c r="AV44">
        <v>2.0297419260483</v>
      </c>
      <c r="AW44">
        <v>2.09143656598008</v>
      </c>
      <c r="AX44">
        <v>2.14401348824332</v>
      </c>
      <c r="AY44">
        <v>2.18899039615736</v>
      </c>
      <c r="AZ44">
        <v>2.22693297914124</v>
      </c>
      <c r="BA44">
        <v>0</v>
      </c>
      <c r="BB44">
        <v>0</v>
      </c>
      <c r="BC44">
        <v>0</v>
      </c>
      <c r="BD44">
        <v>0</v>
      </c>
      <c r="BE44">
        <v>0</v>
      </c>
      <c r="BF44">
        <v>0</v>
      </c>
      <c r="BG44">
        <v>0</v>
      </c>
      <c r="BH44">
        <v>0</v>
      </c>
      <c r="BJ44" t="s">
        <v>452</v>
      </c>
      <c r="BL44">
        <v>0.8</v>
      </c>
      <c r="BM44">
        <v>0.797560975609756</v>
      </c>
      <c r="BN44">
        <v>0.785365853658536</v>
      </c>
      <c r="BO44">
        <v>0.773170731707317</v>
      </c>
      <c r="BP44">
        <v>0.760975609756097</v>
      </c>
      <c r="BQ44">
        <v>0.748780487804878</v>
      </c>
      <c r="BR44">
        <v>0.736585365853658</v>
      </c>
      <c r="BS44">
        <v>0.724390243902439</v>
      </c>
      <c r="BT44">
        <v>0.71219512195122</v>
      </c>
      <c r="BU44">
        <v>0.699999999999999</v>
      </c>
      <c r="BV44">
        <v>0.687499999999999</v>
      </c>
      <c r="BW44">
        <v>0.675</v>
      </c>
      <c r="BX44">
        <v>0.6625</v>
      </c>
      <c r="BY44">
        <v>0.649999999999999</v>
      </c>
      <c r="BZ44">
        <v>0.637499999999999</v>
      </c>
      <c r="CA44">
        <v>0.625</v>
      </c>
      <c r="CB44">
        <v>0.6125</v>
      </c>
      <c r="CC44">
        <v>0.6</v>
      </c>
      <c r="CD44" t="e">
        <v>#VALUE!</v>
      </c>
      <c r="CE44" t="e">
        <v>#VALUE!</v>
      </c>
      <c r="CF44" t="e">
        <v>#VALUE!</v>
      </c>
      <c r="CG44" t="e">
        <v>#VALUE!</v>
      </c>
      <c r="CH44" t="e">
        <v>#VALUE!</v>
      </c>
      <c r="CI44" t="e">
        <v>#VALUE!</v>
      </c>
      <c r="CJ44" t="e">
        <v>#VALUE!</v>
      </c>
      <c r="CK44" t="e">
        <v>#VALUE!</v>
      </c>
    </row>
    <row r="45" spans="1:89">
      <c r="A45" s="34" t="s">
        <v>7</v>
      </c>
      <c r="B45" s="34" t="s">
        <v>445</v>
      </c>
      <c r="C45" s="34" t="s">
        <v>445</v>
      </c>
      <c r="D45" s="34">
        <v>0.329</v>
      </c>
      <c r="E45" s="34">
        <v>0.329849740083138</v>
      </c>
      <c r="F45" s="34"/>
      <c r="G45" s="34">
        <v>0.334030741773154</v>
      </c>
      <c r="H45" s="34">
        <v>0.335772213021045</v>
      </c>
      <c r="I45" s="34">
        <v>0.337060876509318</v>
      </c>
      <c r="J45" s="34">
        <v>0.33810710213997</v>
      </c>
      <c r="K45" s="34">
        <v>0.339202349301157</v>
      </c>
      <c r="L45" s="34">
        <v>0.340158718081574</v>
      </c>
      <c r="M45" s="34">
        <v>0.340543809603631</v>
      </c>
      <c r="N45" s="34">
        <v>0.340455373754921</v>
      </c>
      <c r="O45" s="34">
        <v>0.339938338832083</v>
      </c>
      <c r="P45" s="34">
        <v>0.339363697761251</v>
      </c>
      <c r="Q45" s="34">
        <v>0.33863444359812</v>
      </c>
      <c r="R45" s="34">
        <v>0.337410524767833</v>
      </c>
      <c r="S45" s="34">
        <v>0.335536392557153</v>
      </c>
      <c r="T45" s="34">
        <v>0.333142382673514</v>
      </c>
      <c r="U45" s="34">
        <v>0.330435193491893</v>
      </c>
      <c r="V45" s="34">
        <v>0.327545056710765</v>
      </c>
      <c r="W45" s="34">
        <v>3</v>
      </c>
      <c r="AG45" s="232" t="s">
        <v>442</v>
      </c>
      <c r="AI45">
        <v>1</v>
      </c>
      <c r="AJ45">
        <v>1.00323836883231</v>
      </c>
      <c r="AK45">
        <v>1.01943021299387</v>
      </c>
      <c r="AL45">
        <v>1.02630425158199</v>
      </c>
      <c r="AM45">
        <v>1.03148032182615</v>
      </c>
      <c r="AN45">
        <v>1.03575618143882</v>
      </c>
      <c r="AO45">
        <v>1.04031122243802</v>
      </c>
      <c r="AP45">
        <v>1.04436031057323</v>
      </c>
      <c r="AQ45">
        <v>1.0460204085313</v>
      </c>
      <c r="AR45">
        <v>1.04563234978531</v>
      </c>
      <c r="AS45">
        <v>1.0433225943739</v>
      </c>
      <c r="AT45">
        <v>1.04070976316582</v>
      </c>
      <c r="AU45">
        <v>1.03733411418462</v>
      </c>
      <c r="AV45">
        <v>1.03156609374183</v>
      </c>
      <c r="AW45">
        <v>1.02257818882174</v>
      </c>
      <c r="AX45">
        <v>1.01090464236831</v>
      </c>
      <c r="AY45">
        <v>0.997492664866922</v>
      </c>
      <c r="AZ45">
        <v>0.982951789195398</v>
      </c>
      <c r="BA45">
        <v>0</v>
      </c>
      <c r="BB45">
        <v>0</v>
      </c>
      <c r="BC45">
        <v>0</v>
      </c>
      <c r="BD45">
        <v>0</v>
      </c>
      <c r="BE45">
        <v>0</v>
      </c>
      <c r="BF45">
        <v>0</v>
      </c>
      <c r="BG45">
        <v>0</v>
      </c>
      <c r="BH45">
        <v>0</v>
      </c>
      <c r="BJ45" t="s">
        <v>452</v>
      </c>
      <c r="BL45">
        <v>0.8</v>
      </c>
      <c r="BM45">
        <v>0.797560975609756</v>
      </c>
      <c r="BN45">
        <v>0.785365853658536</v>
      </c>
      <c r="BO45">
        <v>0.773170731707317</v>
      </c>
      <c r="BP45">
        <v>0.760975609756097</v>
      </c>
      <c r="BQ45">
        <v>0.748780487804878</v>
      </c>
      <c r="BR45">
        <v>0.736585365853658</v>
      </c>
      <c r="BS45">
        <v>0.724390243902439</v>
      </c>
      <c r="BT45">
        <v>0.71219512195122</v>
      </c>
      <c r="BU45">
        <v>0.699999999999999</v>
      </c>
      <c r="BV45">
        <v>0.687499999999999</v>
      </c>
      <c r="BW45">
        <v>0.675</v>
      </c>
      <c r="BX45">
        <v>0.6625</v>
      </c>
      <c r="BY45">
        <v>0.649999999999999</v>
      </c>
      <c r="BZ45">
        <v>0.637499999999999</v>
      </c>
      <c r="CA45">
        <v>0.625</v>
      </c>
      <c r="CB45">
        <v>0.6125</v>
      </c>
      <c r="CC45">
        <v>0.6</v>
      </c>
      <c r="CD45" t="e">
        <v>#VALUE!</v>
      </c>
      <c r="CE45" t="e">
        <v>#VALUE!</v>
      </c>
      <c r="CF45" t="e">
        <v>#VALUE!</v>
      </c>
      <c r="CG45" t="e">
        <v>#VALUE!</v>
      </c>
      <c r="CH45" t="e">
        <v>#VALUE!</v>
      </c>
      <c r="CI45" t="e">
        <v>#VALUE!</v>
      </c>
      <c r="CJ45" t="e">
        <v>#VALUE!</v>
      </c>
      <c r="CK45" t="e">
        <v>#VALUE!</v>
      </c>
    </row>
    <row r="46" spans="1:89">
      <c r="A46" s="34" t="s">
        <v>7</v>
      </c>
      <c r="B46" s="34" t="s">
        <v>446</v>
      </c>
      <c r="C46" s="34" t="s">
        <v>446</v>
      </c>
      <c r="D46" s="34">
        <v>0.195</v>
      </c>
      <c r="E46" s="34">
        <v>0.19550364533803</v>
      </c>
      <c r="F46" s="34"/>
      <c r="G46" s="34">
        <v>0.197981746643663</v>
      </c>
      <c r="H46" s="34">
        <v>0.199013925650771</v>
      </c>
      <c r="I46" s="34">
        <v>0.199777723159018</v>
      </c>
      <c r="J46" s="34">
        <v>0.200397826496335</v>
      </c>
      <c r="K46" s="34">
        <v>0.201046985148102</v>
      </c>
      <c r="L46" s="34">
        <v>0.201613829865978</v>
      </c>
      <c r="M46" s="34">
        <v>0.201842075600936</v>
      </c>
      <c r="N46" s="34">
        <v>0.201789659216442</v>
      </c>
      <c r="O46" s="34">
        <v>0.201483209946067</v>
      </c>
      <c r="P46" s="34">
        <v>0.201142617214116</v>
      </c>
      <c r="Q46" s="34">
        <v>0.200710384503445</v>
      </c>
      <c r="R46" s="34">
        <v>0.199984961488533</v>
      </c>
      <c r="S46" s="34">
        <v>0.198874153643297</v>
      </c>
      <c r="T46" s="34">
        <v>0.197455211615001</v>
      </c>
      <c r="U46" s="34">
        <v>0.195850646598538</v>
      </c>
      <c r="V46" s="34">
        <v>0.194137647594526</v>
      </c>
      <c r="W46" s="34">
        <v>3</v>
      </c>
      <c r="AG46" s="232" t="s">
        <v>442</v>
      </c>
      <c r="AI46">
        <v>1</v>
      </c>
      <c r="AJ46">
        <v>1.00323836883231</v>
      </c>
      <c r="AK46">
        <v>1.01943021299387</v>
      </c>
      <c r="AL46">
        <v>1.02630425158199</v>
      </c>
      <c r="AM46">
        <v>1.03148032182615</v>
      </c>
      <c r="AN46">
        <v>1.03575618143882</v>
      </c>
      <c r="AO46">
        <v>1.04031122243802</v>
      </c>
      <c r="AP46">
        <v>1.04436031057323</v>
      </c>
      <c r="AQ46">
        <v>1.0460204085313</v>
      </c>
      <c r="AR46">
        <v>1.04563234978531</v>
      </c>
      <c r="AS46">
        <v>1.0433225943739</v>
      </c>
      <c r="AT46">
        <v>1.04070976316582</v>
      </c>
      <c r="AU46">
        <v>1.03733411418462</v>
      </c>
      <c r="AV46">
        <v>1.03156609374183</v>
      </c>
      <c r="AW46">
        <v>1.02257818882174</v>
      </c>
      <c r="AX46">
        <v>1.01090464236831</v>
      </c>
      <c r="AY46">
        <v>0.997492664866922</v>
      </c>
      <c r="AZ46">
        <v>0.982951789195398</v>
      </c>
      <c r="BA46">
        <v>0</v>
      </c>
      <c r="BB46">
        <v>0</v>
      </c>
      <c r="BC46">
        <v>0</v>
      </c>
      <c r="BD46">
        <v>0</v>
      </c>
      <c r="BE46">
        <v>0</v>
      </c>
      <c r="BF46">
        <v>0</v>
      </c>
      <c r="BG46">
        <v>0</v>
      </c>
      <c r="BH46">
        <v>0</v>
      </c>
      <c r="BJ46" t="s">
        <v>452</v>
      </c>
      <c r="BL46">
        <v>0.8</v>
      </c>
      <c r="BM46">
        <v>0.797560975609756</v>
      </c>
      <c r="BN46">
        <v>0.785365853658536</v>
      </c>
      <c r="BO46">
        <v>0.773170731707317</v>
      </c>
      <c r="BP46">
        <v>0.760975609756097</v>
      </c>
      <c r="BQ46">
        <v>0.748780487804878</v>
      </c>
      <c r="BR46">
        <v>0.736585365853658</v>
      </c>
      <c r="BS46">
        <v>0.724390243902439</v>
      </c>
      <c r="BT46">
        <v>0.71219512195122</v>
      </c>
      <c r="BU46">
        <v>0.699999999999999</v>
      </c>
      <c r="BV46">
        <v>0.687499999999999</v>
      </c>
      <c r="BW46">
        <v>0.675</v>
      </c>
      <c r="BX46">
        <v>0.6625</v>
      </c>
      <c r="BY46">
        <v>0.649999999999999</v>
      </c>
      <c r="BZ46">
        <v>0.637499999999999</v>
      </c>
      <c r="CA46">
        <v>0.625</v>
      </c>
      <c r="CB46">
        <v>0.6125</v>
      </c>
      <c r="CC46">
        <v>0.6</v>
      </c>
      <c r="CD46" t="e">
        <v>#VALUE!</v>
      </c>
      <c r="CE46" t="e">
        <v>#VALUE!</v>
      </c>
      <c r="CF46" t="e">
        <v>#VALUE!</v>
      </c>
      <c r="CG46" t="e">
        <v>#VALUE!</v>
      </c>
      <c r="CH46" t="e">
        <v>#VALUE!</v>
      </c>
      <c r="CI46" t="e">
        <v>#VALUE!</v>
      </c>
      <c r="CJ46" t="e">
        <v>#VALUE!</v>
      </c>
      <c r="CK46" t="e">
        <v>#VALUE!</v>
      </c>
    </row>
    <row r="47" spans="1:89">
      <c r="A47" s="34" t="s">
        <v>7</v>
      </c>
      <c r="B47" s="34" t="s">
        <v>447</v>
      </c>
      <c r="C47" s="34" t="s">
        <v>447</v>
      </c>
      <c r="D47" s="34">
        <v>0.77</v>
      </c>
      <c r="E47" s="34">
        <v>0.771988753386067</v>
      </c>
      <c r="F47" s="34"/>
      <c r="G47" s="34">
        <v>0.78177407649036</v>
      </c>
      <c r="H47" s="34">
        <v>0.78584986026202</v>
      </c>
      <c r="I47" s="34">
        <v>0.78886588119202</v>
      </c>
      <c r="J47" s="34">
        <v>0.791314494370143</v>
      </c>
      <c r="K47" s="34">
        <v>0.793877838789942</v>
      </c>
      <c r="L47" s="34">
        <v>0.796116148701556</v>
      </c>
      <c r="M47" s="34">
        <v>0.797017426731902</v>
      </c>
      <c r="N47" s="34">
        <v>0.796810449213644</v>
      </c>
      <c r="O47" s="34">
        <v>0.795600367479342</v>
      </c>
      <c r="P47" s="34">
        <v>0.794255462845482</v>
      </c>
      <c r="Q47" s="34">
        <v>0.792548697782834</v>
      </c>
      <c r="R47" s="34">
        <v>0.78968420690344</v>
      </c>
      <c r="S47" s="34">
        <v>0.785297940027379</v>
      </c>
      <c r="T47" s="34">
        <v>0.779694938172054</v>
      </c>
      <c r="U47" s="34">
        <v>0.773358963491663</v>
      </c>
      <c r="V47" s="34">
        <v>0.766594813578386</v>
      </c>
      <c r="W47" s="34">
        <v>3</v>
      </c>
      <c r="AG47" s="232" t="s">
        <v>442</v>
      </c>
      <c r="AI47">
        <v>1</v>
      </c>
      <c r="AJ47">
        <v>1.00323836883231</v>
      </c>
      <c r="AK47">
        <v>1.01943021299387</v>
      </c>
      <c r="AL47">
        <v>1.02630425158199</v>
      </c>
      <c r="AM47">
        <v>1.03148032182615</v>
      </c>
      <c r="AN47">
        <v>1.03575618143882</v>
      </c>
      <c r="AO47">
        <v>1.04031122243802</v>
      </c>
      <c r="AP47">
        <v>1.04436031057323</v>
      </c>
      <c r="AQ47">
        <v>1.0460204085313</v>
      </c>
      <c r="AR47">
        <v>1.04563234978531</v>
      </c>
      <c r="AS47">
        <v>1.0433225943739</v>
      </c>
      <c r="AT47">
        <v>1.04070976316582</v>
      </c>
      <c r="AU47">
        <v>1.03733411418462</v>
      </c>
      <c r="AV47">
        <v>1.03156609374183</v>
      </c>
      <c r="AW47">
        <v>1.02257818882174</v>
      </c>
      <c r="AX47">
        <v>1.01090464236831</v>
      </c>
      <c r="AY47">
        <v>0.997492664866922</v>
      </c>
      <c r="AZ47">
        <v>0.982951789195398</v>
      </c>
      <c r="BA47">
        <v>0</v>
      </c>
      <c r="BB47">
        <v>0</v>
      </c>
      <c r="BC47">
        <v>0</v>
      </c>
      <c r="BD47">
        <v>0</v>
      </c>
      <c r="BE47">
        <v>0</v>
      </c>
      <c r="BF47">
        <v>0</v>
      </c>
      <c r="BG47">
        <v>0</v>
      </c>
      <c r="BH47">
        <v>0</v>
      </c>
      <c r="BJ47" t="s">
        <v>452</v>
      </c>
      <c r="BL47">
        <v>0.8</v>
      </c>
      <c r="BM47">
        <v>0.797560975609756</v>
      </c>
      <c r="BN47">
        <v>0.785365853658536</v>
      </c>
      <c r="BO47">
        <v>0.773170731707317</v>
      </c>
      <c r="BP47">
        <v>0.760975609756097</v>
      </c>
      <c r="BQ47">
        <v>0.748780487804878</v>
      </c>
      <c r="BR47">
        <v>0.736585365853658</v>
      </c>
      <c r="BS47">
        <v>0.724390243902439</v>
      </c>
      <c r="BT47">
        <v>0.71219512195122</v>
      </c>
      <c r="BU47">
        <v>0.699999999999999</v>
      </c>
      <c r="BV47">
        <v>0.687499999999999</v>
      </c>
      <c r="BW47">
        <v>0.675</v>
      </c>
      <c r="BX47">
        <v>0.6625</v>
      </c>
      <c r="BY47">
        <v>0.649999999999999</v>
      </c>
      <c r="BZ47">
        <v>0.637499999999999</v>
      </c>
      <c r="CA47">
        <v>0.625</v>
      </c>
      <c r="CB47">
        <v>0.6125</v>
      </c>
      <c r="CC47">
        <v>0.6</v>
      </c>
      <c r="CD47" t="e">
        <v>#VALUE!</v>
      </c>
      <c r="CE47" t="e">
        <v>#VALUE!</v>
      </c>
      <c r="CF47" t="e">
        <v>#VALUE!</v>
      </c>
      <c r="CG47" t="e">
        <v>#VALUE!</v>
      </c>
      <c r="CH47" t="e">
        <v>#VALUE!</v>
      </c>
      <c r="CI47" t="e">
        <v>#VALUE!</v>
      </c>
      <c r="CJ47" t="e">
        <v>#VALUE!</v>
      </c>
      <c r="CK47" t="e">
        <v>#VALUE!</v>
      </c>
    </row>
    <row r="48" spans="1:89">
      <c r="A48" s="34" t="s">
        <v>7</v>
      </c>
      <c r="B48" s="34" t="s">
        <v>448</v>
      </c>
      <c r="C48" s="34" t="s">
        <v>448</v>
      </c>
      <c r="D48" s="34">
        <v>60.552</v>
      </c>
      <c r="E48" s="34">
        <v>60.5030877608683</v>
      </c>
      <c r="F48" s="34"/>
      <c r="G48" s="34">
        <v>65.0276530408567</v>
      </c>
      <c r="H48" s="34">
        <v>69.6859216382221</v>
      </c>
      <c r="I48" s="34">
        <v>73.0203234250387</v>
      </c>
      <c r="J48" s="34">
        <v>76.2648737855567</v>
      </c>
      <c r="K48" s="34">
        <v>79.3872210176143</v>
      </c>
      <c r="L48" s="34">
        <v>82.2759651766126</v>
      </c>
      <c r="M48" s="34">
        <v>85.1178360916168</v>
      </c>
      <c r="N48" s="34">
        <v>88.0423220356544</v>
      </c>
      <c r="O48" s="34">
        <v>91.0788293341822</v>
      </c>
      <c r="P48" s="34">
        <v>94.0289767594457</v>
      </c>
      <c r="Q48" s="34">
        <v>96.8432309401162</v>
      </c>
      <c r="R48" s="34">
        <v>99.4953449667202</v>
      </c>
      <c r="S48" s="34">
        <v>101.997712843937</v>
      </c>
      <c r="T48" s="34">
        <v>104.354947803445</v>
      </c>
      <c r="U48" s="34">
        <v>106.573243303633</v>
      </c>
      <c r="V48" s="34">
        <v>108.643930898978</v>
      </c>
      <c r="W48" s="34">
        <v>3</v>
      </c>
      <c r="AG48" s="232" t="s">
        <v>449</v>
      </c>
      <c r="AI48">
        <v>1</v>
      </c>
      <c r="AJ48">
        <v>0.998987196586309</v>
      </c>
      <c r="AK48">
        <v>1.09411056625485</v>
      </c>
      <c r="AL48">
        <v>1.19548122141055</v>
      </c>
      <c r="AM48">
        <v>1.27065128248589</v>
      </c>
      <c r="AN48">
        <v>1.34605324119548</v>
      </c>
      <c r="AO48">
        <v>1.42086946680001</v>
      </c>
      <c r="AP48">
        <v>1.49224347229503</v>
      </c>
      <c r="AQ48">
        <v>1.56461571894714</v>
      </c>
      <c r="AR48">
        <v>1.64141172128905</v>
      </c>
      <c r="AS48">
        <v>1.72375490775736</v>
      </c>
      <c r="AT48">
        <v>1.80647252623392</v>
      </c>
      <c r="AU48">
        <v>1.88808322346794</v>
      </c>
      <c r="AV48">
        <v>1.96763148610842</v>
      </c>
      <c r="AW48">
        <v>2.04525833705677</v>
      </c>
      <c r="AX48">
        <v>2.12088598507216</v>
      </c>
      <c r="AY48">
        <v>2.1944927248657</v>
      </c>
      <c r="AZ48">
        <v>2.26555666678637</v>
      </c>
      <c r="BA48">
        <v>0</v>
      </c>
      <c r="BB48">
        <v>0</v>
      </c>
      <c r="BC48">
        <v>0</v>
      </c>
      <c r="BD48">
        <v>0</v>
      </c>
      <c r="BE48">
        <v>0</v>
      </c>
      <c r="BF48">
        <v>0</v>
      </c>
      <c r="BG48">
        <v>0</v>
      </c>
      <c r="BH48">
        <v>0</v>
      </c>
      <c r="BJ48" t="s">
        <v>452</v>
      </c>
      <c r="BL48">
        <v>0.8</v>
      </c>
      <c r="BM48">
        <v>0.797560975609756</v>
      </c>
      <c r="BN48">
        <v>0.785365853658536</v>
      </c>
      <c r="BO48">
        <v>0.773170731707317</v>
      </c>
      <c r="BP48">
        <v>0.760975609756097</v>
      </c>
      <c r="BQ48">
        <v>0.748780487804878</v>
      </c>
      <c r="BR48">
        <v>0.736585365853658</v>
      </c>
      <c r="BS48">
        <v>0.724390243902439</v>
      </c>
      <c r="BT48">
        <v>0.71219512195122</v>
      </c>
      <c r="BU48">
        <v>0.699999999999999</v>
      </c>
      <c r="BV48">
        <v>0.687499999999999</v>
      </c>
      <c r="BW48">
        <v>0.675</v>
      </c>
      <c r="BX48">
        <v>0.6625</v>
      </c>
      <c r="BY48">
        <v>0.649999999999999</v>
      </c>
      <c r="BZ48">
        <v>0.637499999999999</v>
      </c>
      <c r="CA48">
        <v>0.625</v>
      </c>
      <c r="CB48">
        <v>0.6125</v>
      </c>
      <c r="CC48">
        <v>0.6</v>
      </c>
      <c r="CD48" t="e">
        <v>#VALUE!</v>
      </c>
      <c r="CE48" t="e">
        <v>#VALUE!</v>
      </c>
      <c r="CF48" t="e">
        <v>#VALUE!</v>
      </c>
      <c r="CG48" t="e">
        <v>#VALUE!</v>
      </c>
      <c r="CH48" t="e">
        <v>#VALUE!</v>
      </c>
      <c r="CI48" t="e">
        <v>#VALUE!</v>
      </c>
      <c r="CJ48" t="e">
        <v>#VALUE!</v>
      </c>
      <c r="CK48" t="e">
        <v>#VALUE!</v>
      </c>
    </row>
    <row r="49" spans="1:89">
      <c r="A49" s="34" t="s">
        <v>7</v>
      </c>
      <c r="B49" s="34" t="s">
        <v>450</v>
      </c>
      <c r="C49" s="34" t="s">
        <v>450</v>
      </c>
      <c r="D49" s="34">
        <v>24.7</v>
      </c>
      <c r="E49" s="34">
        <v>24.743778484055</v>
      </c>
      <c r="F49" s="34"/>
      <c r="G49" s="34">
        <v>26.9376810531496</v>
      </c>
      <c r="H49" s="34">
        <v>29.0208187561915</v>
      </c>
      <c r="I49" s="34">
        <v>30.5278186123753</v>
      </c>
      <c r="J49" s="34">
        <v>31.9846575364848</v>
      </c>
      <c r="K49" s="34">
        <v>33.4035042705639</v>
      </c>
      <c r="L49" s="34">
        <v>34.7179026910239</v>
      </c>
      <c r="M49" s="34">
        <v>35.9582940947106</v>
      </c>
      <c r="N49" s="34">
        <v>37.1839559107832</v>
      </c>
      <c r="O49" s="34">
        <v>38.4070974420523</v>
      </c>
      <c r="P49" s="34">
        <v>39.5831073160645</v>
      </c>
      <c r="Q49" s="34">
        <v>40.6789134471302</v>
      </c>
      <c r="R49" s="34">
        <v>41.639712301189</v>
      </c>
      <c r="S49" s="34">
        <v>42.4465654917359</v>
      </c>
      <c r="T49" s="34">
        <v>43.1134844084097</v>
      </c>
      <c r="U49" s="34">
        <v>43.6674480973478</v>
      </c>
      <c r="V49" s="34">
        <v>44.1215905484165</v>
      </c>
      <c r="W49" s="34">
        <v>3</v>
      </c>
      <c r="AG49" s="232" t="s">
        <v>437</v>
      </c>
      <c r="AI49">
        <v>1</v>
      </c>
      <c r="AJ49">
        <v>1.00222228558761</v>
      </c>
      <c r="AK49">
        <v>1.11536936759602</v>
      </c>
      <c r="AL49">
        <v>1.22692746022008</v>
      </c>
      <c r="AM49">
        <v>1.31065179378735</v>
      </c>
      <c r="AN49">
        <v>1.39418296511398</v>
      </c>
      <c r="AO49">
        <v>1.47814645193158</v>
      </c>
      <c r="AP49">
        <v>1.55843985617691</v>
      </c>
      <c r="AQ49">
        <v>1.63661997352757</v>
      </c>
      <c r="AR49">
        <v>1.71631319509662</v>
      </c>
      <c r="AS49">
        <v>1.79843244242615</v>
      </c>
      <c r="AT49">
        <v>1.88001359494246</v>
      </c>
      <c r="AU49">
        <v>1.95857313812296</v>
      </c>
      <c r="AV49">
        <v>2.0297419260483</v>
      </c>
      <c r="AW49">
        <v>2.09143656598008</v>
      </c>
      <c r="AX49">
        <v>2.14401348824332</v>
      </c>
      <c r="AY49">
        <v>2.18899039615736</v>
      </c>
      <c r="AZ49">
        <v>2.22693297914124</v>
      </c>
      <c r="BA49">
        <v>0</v>
      </c>
      <c r="BB49">
        <v>0</v>
      </c>
      <c r="BC49">
        <v>0</v>
      </c>
      <c r="BD49">
        <v>0</v>
      </c>
      <c r="BE49">
        <v>0</v>
      </c>
      <c r="BF49">
        <v>0</v>
      </c>
      <c r="BG49">
        <v>0</v>
      </c>
      <c r="BH49">
        <v>0</v>
      </c>
      <c r="BJ49" t="s">
        <v>452</v>
      </c>
      <c r="BL49">
        <v>0.8</v>
      </c>
      <c r="BM49">
        <v>0.797560975609756</v>
      </c>
      <c r="BN49">
        <v>0.785365853658536</v>
      </c>
      <c r="BO49">
        <v>0.773170731707317</v>
      </c>
      <c r="BP49">
        <v>0.760975609756097</v>
      </c>
      <c r="BQ49">
        <v>0.748780487804878</v>
      </c>
      <c r="BR49">
        <v>0.736585365853658</v>
      </c>
      <c r="BS49">
        <v>0.724390243902439</v>
      </c>
      <c r="BT49">
        <v>0.71219512195122</v>
      </c>
      <c r="BU49">
        <v>0.699999999999999</v>
      </c>
      <c r="BV49">
        <v>0.687499999999999</v>
      </c>
      <c r="BW49">
        <v>0.675</v>
      </c>
      <c r="BX49">
        <v>0.6625</v>
      </c>
      <c r="BY49">
        <v>0.649999999999999</v>
      </c>
      <c r="BZ49">
        <v>0.637499999999999</v>
      </c>
      <c r="CA49">
        <v>0.625</v>
      </c>
      <c r="CB49">
        <v>0.6125</v>
      </c>
      <c r="CC49">
        <v>0.6</v>
      </c>
      <c r="CD49" t="e">
        <v>#VALUE!</v>
      </c>
      <c r="CE49" t="e">
        <v>#VALUE!</v>
      </c>
      <c r="CF49" t="e">
        <v>#VALUE!</v>
      </c>
      <c r="CG49" t="e">
        <v>#VALUE!</v>
      </c>
      <c r="CH49" t="e">
        <v>#VALUE!</v>
      </c>
      <c r="CI49" t="e">
        <v>#VALUE!</v>
      </c>
      <c r="CJ49" t="e">
        <v>#VALUE!</v>
      </c>
      <c r="CK49" t="e">
        <v>#VALUE!</v>
      </c>
    </row>
    <row r="50" spans="1:89">
      <c r="A50" s="34" t="s">
        <v>7</v>
      </c>
      <c r="B50" s="34" t="s">
        <v>451</v>
      </c>
      <c r="C50" s="34" t="s">
        <v>451</v>
      </c>
      <c r="D50" s="34">
        <v>13.36</v>
      </c>
      <c r="E50" s="34">
        <v>13.3836793743715</v>
      </c>
      <c r="F50" s="34"/>
      <c r="G50" s="34">
        <v>14.5703408449424</v>
      </c>
      <c r="H50" s="34">
        <v>15.6970906308793</v>
      </c>
      <c r="I50" s="34">
        <v>16.5122128202969</v>
      </c>
      <c r="J50" s="34">
        <v>17.3002034286411</v>
      </c>
      <c r="K50" s="34">
        <v>18.0676444151714</v>
      </c>
      <c r="L50" s="34">
        <v>18.7785902814607</v>
      </c>
      <c r="M50" s="34">
        <v>19.4495064415115</v>
      </c>
      <c r="N50" s="34">
        <v>20.1124555047799</v>
      </c>
      <c r="O50" s="34">
        <v>20.7740413694664</v>
      </c>
      <c r="P50" s="34">
        <v>21.4101341596203</v>
      </c>
      <c r="Q50" s="34">
        <v>22.002845492051</v>
      </c>
      <c r="R50" s="34">
        <v>22.5225326455014</v>
      </c>
      <c r="S50" s="34">
        <v>22.9589520230604</v>
      </c>
      <c r="T50" s="34">
        <v>23.3196822549131</v>
      </c>
      <c r="U50" s="34">
        <v>23.6193160558934</v>
      </c>
      <c r="V50" s="34">
        <v>23.8649574788196</v>
      </c>
      <c r="W50" s="34">
        <v>3</v>
      </c>
      <c r="AG50" s="232" t="s">
        <v>437</v>
      </c>
      <c r="AI50">
        <v>1</v>
      </c>
      <c r="AJ50">
        <v>1.00222228558761</v>
      </c>
      <c r="AK50">
        <v>1.11536936759602</v>
      </c>
      <c r="AL50">
        <v>1.22692746022008</v>
      </c>
      <c r="AM50">
        <v>1.31065179378735</v>
      </c>
      <c r="AN50">
        <v>1.39418296511398</v>
      </c>
      <c r="AO50">
        <v>1.47814645193158</v>
      </c>
      <c r="AP50">
        <v>1.55843985617691</v>
      </c>
      <c r="AQ50">
        <v>1.63661997352757</v>
      </c>
      <c r="AR50">
        <v>1.71631319509662</v>
      </c>
      <c r="AS50">
        <v>1.79843244242615</v>
      </c>
      <c r="AT50">
        <v>1.88001359494246</v>
      </c>
      <c r="AU50">
        <v>1.95857313812296</v>
      </c>
      <c r="AV50">
        <v>2.0297419260483</v>
      </c>
      <c r="AW50">
        <v>2.09143656598008</v>
      </c>
      <c r="AX50">
        <v>2.14401348824332</v>
      </c>
      <c r="AY50">
        <v>2.18899039615736</v>
      </c>
      <c r="AZ50">
        <v>2.22693297914124</v>
      </c>
      <c r="BA50">
        <v>0</v>
      </c>
      <c r="BB50">
        <v>0</v>
      </c>
      <c r="BC50">
        <v>0</v>
      </c>
      <c r="BD50">
        <v>0</v>
      </c>
      <c r="BE50">
        <v>0</v>
      </c>
      <c r="BF50">
        <v>0</v>
      </c>
      <c r="BG50">
        <v>0</v>
      </c>
      <c r="BH50">
        <v>0</v>
      </c>
      <c r="BJ50" t="s">
        <v>452</v>
      </c>
      <c r="BL50">
        <v>0.8</v>
      </c>
      <c r="BM50">
        <v>0.797560975609756</v>
      </c>
      <c r="BN50">
        <v>0.785365853658536</v>
      </c>
      <c r="BO50">
        <v>0.773170731707317</v>
      </c>
      <c r="BP50">
        <v>0.760975609756097</v>
      </c>
      <c r="BQ50">
        <v>0.748780487804878</v>
      </c>
      <c r="BR50">
        <v>0.736585365853658</v>
      </c>
      <c r="BS50">
        <v>0.724390243902439</v>
      </c>
      <c r="BT50">
        <v>0.71219512195122</v>
      </c>
      <c r="BU50">
        <v>0.699999999999999</v>
      </c>
      <c r="BV50">
        <v>0.687499999999999</v>
      </c>
      <c r="BW50">
        <v>0.675</v>
      </c>
      <c r="BX50">
        <v>0.6625</v>
      </c>
      <c r="BY50">
        <v>0.649999999999999</v>
      </c>
      <c r="BZ50">
        <v>0.637499999999999</v>
      </c>
      <c r="CA50">
        <v>0.625</v>
      </c>
      <c r="CB50">
        <v>0.6125</v>
      </c>
      <c r="CC50">
        <v>0.6</v>
      </c>
      <c r="CD50" t="e">
        <v>#VALUE!</v>
      </c>
      <c r="CE50" t="e">
        <v>#VALUE!</v>
      </c>
      <c r="CF50" t="e">
        <v>#VALUE!</v>
      </c>
      <c r="CG50" t="e">
        <v>#VALUE!</v>
      </c>
      <c r="CH50" t="e">
        <v>#VALUE!</v>
      </c>
      <c r="CI50" t="e">
        <v>#VALUE!</v>
      </c>
      <c r="CJ50" t="e">
        <v>#VALUE!</v>
      </c>
      <c r="CK50" t="e">
        <v>#VALUE!</v>
      </c>
    </row>
    <row r="51" spans="1:89">
      <c r="A51" s="34" t="s">
        <v>8</v>
      </c>
      <c r="B51" s="34" t="s">
        <v>436</v>
      </c>
      <c r="C51" s="34" t="s">
        <v>436</v>
      </c>
      <c r="D51" s="34"/>
      <c r="E51" s="34">
        <v>0.0904007668523383</v>
      </c>
      <c r="F51" s="34">
        <f xml:space="preserve">E51</f>
        <v>0.0904007668523383</v>
      </c>
      <c r="G51" s="34"/>
      <c r="H51" s="34"/>
      <c r="I51" s="34">
        <f xml:space="preserve">F51</f>
        <v>0.0904007668523383</v>
      </c>
      <c r="J51" s="34">
        <f xml:space="preserve">I51</f>
        <v>0.0904007668523383</v>
      </c>
      <c r="K51" s="34"/>
      <c r="L51" s="34">
        <f xml:space="preserve">J51</f>
        <v>0.0904007668523383</v>
      </c>
      <c r="M51" s="34"/>
      <c r="N51" s="34"/>
      <c r="O51" s="34"/>
      <c r="P51" s="34"/>
      <c r="Q51" s="34"/>
      <c r="R51" s="34"/>
      <c r="S51" s="34"/>
      <c r="T51" s="34"/>
      <c r="U51" s="34"/>
      <c r="V51" s="34">
        <f xml:space="preserve">L51</f>
        <v>0.0904007668523383</v>
      </c>
      <c r="W51" s="34">
        <v>3</v>
      </c>
      <c r="AG51" s="232" t="s">
        <v>437</v>
      </c>
      <c r="AI51">
        <v>1</v>
      </c>
      <c r="AJ51">
        <v>1.02456207653745</v>
      </c>
      <c r="AK51">
        <v>1.15425102266182</v>
      </c>
      <c r="AL51">
        <v>1.31001036569329</v>
      </c>
      <c r="AM51">
        <v>1.40143289909313</v>
      </c>
      <c r="AN51">
        <v>1.46131720335972</v>
      </c>
      <c r="AO51">
        <v>1.49853726680739</v>
      </c>
      <c r="AP51">
        <v>1.52174255958907</v>
      </c>
      <c r="AQ51">
        <v>1.53852305748937</v>
      </c>
      <c r="AR51">
        <v>1.55692513386698</v>
      </c>
      <c r="AS51">
        <v>1.5786103282771</v>
      </c>
      <c r="AT51">
        <v>1.60030340974207</v>
      </c>
      <c r="AU51">
        <v>1.61869391843923</v>
      </c>
      <c r="AV51">
        <v>1.63377344151007</v>
      </c>
      <c r="AW51">
        <v>1.64683019791355</v>
      </c>
      <c r="AX51">
        <v>1.65988853172799</v>
      </c>
      <c r="AY51">
        <v>1.6739506247231</v>
      </c>
      <c r="AZ51">
        <v>1.68740594029836</v>
      </c>
      <c r="BA51">
        <v>0</v>
      </c>
      <c r="BB51">
        <v>0</v>
      </c>
      <c r="BC51">
        <v>0</v>
      </c>
      <c r="BD51">
        <v>0</v>
      </c>
      <c r="BE51">
        <v>0</v>
      </c>
      <c r="BF51">
        <v>0</v>
      </c>
      <c r="BG51">
        <v>0</v>
      </c>
      <c r="BH51">
        <v>0</v>
      </c>
      <c r="BJ51" t="s">
        <v>452</v>
      </c>
      <c r="BL51">
        <v>0.8</v>
      </c>
      <c r="BM51">
        <v>0.797560975609756</v>
      </c>
      <c r="BN51">
        <v>0.785365853658536</v>
      </c>
      <c r="BO51">
        <v>0.773170731707317</v>
      </c>
      <c r="BP51">
        <v>0.760975609756097</v>
      </c>
      <c r="BQ51">
        <v>0.748780487804878</v>
      </c>
      <c r="BR51">
        <v>0.736585365853658</v>
      </c>
      <c r="BS51">
        <v>0.724390243902439</v>
      </c>
      <c r="BT51">
        <v>0.71219512195122</v>
      </c>
      <c r="BU51">
        <v>0.699999999999999</v>
      </c>
      <c r="BV51">
        <v>0.687499999999999</v>
      </c>
      <c r="BW51">
        <v>0.675</v>
      </c>
      <c r="BX51">
        <v>0.6625</v>
      </c>
      <c r="BY51">
        <v>0.649999999999999</v>
      </c>
      <c r="BZ51">
        <v>0.637499999999999</v>
      </c>
      <c r="CA51">
        <v>0.625</v>
      </c>
      <c r="CB51">
        <v>0.6125</v>
      </c>
      <c r="CC51">
        <v>0.6</v>
      </c>
      <c r="CD51" t="e">
        <v>#VALUE!</v>
      </c>
      <c r="CE51" t="e">
        <v>#VALUE!</v>
      </c>
      <c r="CF51" t="e">
        <v>#VALUE!</v>
      </c>
      <c r="CG51" t="e">
        <v>#VALUE!</v>
      </c>
      <c r="CH51" t="e">
        <v>#VALUE!</v>
      </c>
      <c r="CI51" t="e">
        <v>#VALUE!</v>
      </c>
      <c r="CJ51" t="e">
        <v>#VALUE!</v>
      </c>
      <c r="CK51" t="e">
        <v>#VALUE!</v>
      </c>
    </row>
    <row r="52" spans="1:89">
      <c r="A52" s="34" t="s">
        <v>8</v>
      </c>
      <c r="B52" s="34" t="s">
        <v>439</v>
      </c>
      <c r="C52" s="34" t="s">
        <v>439</v>
      </c>
      <c r="D52" s="34"/>
      <c r="E52" s="34">
        <v>14.8181528799758</v>
      </c>
      <c r="F52" s="34">
        <f xml:space="preserve">E52</f>
        <v>14.8181528799758</v>
      </c>
      <c r="G52" s="34"/>
      <c r="H52" s="34"/>
      <c r="I52" s="34">
        <f xml:space="preserve">F52</f>
        <v>14.8181528799758</v>
      </c>
      <c r="J52" s="34">
        <f xml:space="preserve">I52</f>
        <v>14.8181528799758</v>
      </c>
      <c r="K52" s="34"/>
      <c r="L52" s="34">
        <f xml:space="preserve">J52</f>
        <v>14.8181528799758</v>
      </c>
      <c r="M52" s="34"/>
      <c r="N52" s="34"/>
      <c r="O52" s="34"/>
      <c r="P52" s="34"/>
      <c r="Q52" s="34"/>
      <c r="R52" s="34"/>
      <c r="S52" s="34"/>
      <c r="T52" s="34"/>
      <c r="U52" s="34"/>
      <c r="V52" s="34">
        <f xml:space="preserve">L52</f>
        <v>14.8181528799758</v>
      </c>
      <c r="W52" s="34">
        <v>3</v>
      </c>
      <c r="AG52" s="232" t="s">
        <v>437</v>
      </c>
      <c r="AI52">
        <v>1</v>
      </c>
      <c r="AJ52">
        <v>1.02456207653745</v>
      </c>
      <c r="AK52">
        <v>1.15425102266182</v>
      </c>
      <c r="AL52">
        <v>1.31001036569329</v>
      </c>
      <c r="AM52">
        <v>1.40143289909313</v>
      </c>
      <c r="AN52">
        <v>1.46131720335972</v>
      </c>
      <c r="AO52">
        <v>1.49853726680739</v>
      </c>
      <c r="AP52">
        <v>1.52174255958907</v>
      </c>
      <c r="AQ52">
        <v>1.53852305748937</v>
      </c>
      <c r="AR52">
        <v>1.55692513386698</v>
      </c>
      <c r="AS52">
        <v>1.5786103282771</v>
      </c>
      <c r="AT52">
        <v>1.60030340974207</v>
      </c>
      <c r="AU52">
        <v>1.61869391843923</v>
      </c>
      <c r="AV52">
        <v>1.63377344151007</v>
      </c>
      <c r="AW52">
        <v>1.64683019791355</v>
      </c>
      <c r="AX52">
        <v>1.65988853172799</v>
      </c>
      <c r="AY52">
        <v>1.6739506247231</v>
      </c>
      <c r="AZ52">
        <v>1.68740594029836</v>
      </c>
      <c r="BA52">
        <v>0</v>
      </c>
      <c r="BB52">
        <v>0</v>
      </c>
      <c r="BC52">
        <v>0</v>
      </c>
      <c r="BD52">
        <v>0</v>
      </c>
      <c r="BE52">
        <v>0</v>
      </c>
      <c r="BF52">
        <v>0</v>
      </c>
      <c r="BG52">
        <v>0</v>
      </c>
      <c r="BH52">
        <v>0</v>
      </c>
      <c r="BJ52" t="s">
        <v>452</v>
      </c>
      <c r="BL52">
        <v>0.8</v>
      </c>
      <c r="BM52">
        <v>0.797560975609756</v>
      </c>
      <c r="BN52">
        <v>0.785365853658536</v>
      </c>
      <c r="BO52">
        <v>0.773170731707317</v>
      </c>
      <c r="BP52">
        <v>0.760975609756097</v>
      </c>
      <c r="BQ52">
        <v>0.748780487804878</v>
      </c>
      <c r="BR52">
        <v>0.736585365853658</v>
      </c>
      <c r="BS52">
        <v>0.724390243902439</v>
      </c>
      <c r="BT52">
        <v>0.71219512195122</v>
      </c>
      <c r="BU52">
        <v>0.699999999999999</v>
      </c>
      <c r="BV52">
        <v>0.687499999999999</v>
      </c>
      <c r="BW52">
        <v>0.675</v>
      </c>
      <c r="BX52">
        <v>0.6625</v>
      </c>
      <c r="BY52">
        <v>0.649999999999999</v>
      </c>
      <c r="BZ52">
        <v>0.637499999999999</v>
      </c>
      <c r="CA52">
        <v>0.625</v>
      </c>
      <c r="CB52">
        <v>0.6125</v>
      </c>
      <c r="CC52">
        <v>0.6</v>
      </c>
      <c r="CD52" t="e">
        <v>#VALUE!</v>
      </c>
      <c r="CE52" t="e">
        <v>#VALUE!</v>
      </c>
      <c r="CF52" t="e">
        <v>#VALUE!</v>
      </c>
      <c r="CG52" t="e">
        <v>#VALUE!</v>
      </c>
      <c r="CH52" t="e">
        <v>#VALUE!</v>
      </c>
      <c r="CI52" t="e">
        <v>#VALUE!</v>
      </c>
      <c r="CJ52" t="e">
        <v>#VALUE!</v>
      </c>
      <c r="CK52" t="e">
        <v>#VALUE!</v>
      </c>
    </row>
    <row r="53" spans="1:89">
      <c r="A53" s="34" t="s">
        <v>8</v>
      </c>
      <c r="B53" s="34" t="s">
        <v>440</v>
      </c>
      <c r="C53" s="34" t="s">
        <v>440</v>
      </c>
      <c r="D53" s="34"/>
      <c r="E53" s="34">
        <v>4.41815872313833</v>
      </c>
      <c r="F53" s="34"/>
      <c r="G53" s="34"/>
      <c r="H53" s="34"/>
      <c r="I53" s="34">
        <v>5.64904106823887</v>
      </c>
      <c r="J53" s="34">
        <v>5.82978759084491</v>
      </c>
      <c r="K53" s="34"/>
      <c r="L53" s="34">
        <v>6.00578208244984</v>
      </c>
      <c r="M53" s="34"/>
      <c r="N53" s="34"/>
      <c r="O53" s="34"/>
      <c r="P53" s="34"/>
      <c r="Q53" s="34"/>
      <c r="R53" s="34"/>
      <c r="S53" s="34"/>
      <c r="T53" s="34"/>
      <c r="U53" s="34"/>
      <c r="V53" s="34">
        <v>6.43196534717608</v>
      </c>
      <c r="W53" s="34">
        <v>3</v>
      </c>
      <c r="AG53" s="232" t="s">
        <v>437</v>
      </c>
      <c r="AI53">
        <v>1</v>
      </c>
      <c r="AJ53">
        <v>1.02456207653745</v>
      </c>
      <c r="AK53">
        <v>1.15425102266182</v>
      </c>
      <c r="AL53">
        <v>1.31001036569329</v>
      </c>
      <c r="AM53">
        <v>1.40143289909313</v>
      </c>
      <c r="AN53">
        <v>1.46131720335972</v>
      </c>
      <c r="AO53">
        <v>1.49853726680739</v>
      </c>
      <c r="AP53">
        <v>1.52174255958907</v>
      </c>
      <c r="AQ53">
        <v>1.53852305748937</v>
      </c>
      <c r="AR53">
        <v>1.55692513386698</v>
      </c>
      <c r="AS53">
        <v>1.5786103282771</v>
      </c>
      <c r="AT53">
        <v>1.60030340974207</v>
      </c>
      <c r="AU53">
        <v>1.61869391843923</v>
      </c>
      <c r="AV53">
        <v>1.63377344151007</v>
      </c>
      <c r="AW53">
        <v>1.64683019791355</v>
      </c>
      <c r="AX53">
        <v>1.65988853172799</v>
      </c>
      <c r="AY53">
        <v>1.6739506247231</v>
      </c>
      <c r="AZ53">
        <v>1.68740594029836</v>
      </c>
      <c r="BA53">
        <v>0</v>
      </c>
      <c r="BB53">
        <v>0</v>
      </c>
      <c r="BC53">
        <v>0</v>
      </c>
      <c r="BD53">
        <v>0</v>
      </c>
      <c r="BE53">
        <v>0</v>
      </c>
      <c r="BF53">
        <v>0</v>
      </c>
      <c r="BG53">
        <v>0</v>
      </c>
      <c r="BH53">
        <v>0</v>
      </c>
      <c r="BJ53" t="s">
        <v>452</v>
      </c>
      <c r="BL53">
        <v>0.8</v>
      </c>
      <c r="BM53">
        <v>0.797560975609756</v>
      </c>
      <c r="BN53">
        <v>0.785365853658536</v>
      </c>
      <c r="BO53">
        <v>0.773170731707317</v>
      </c>
      <c r="BP53">
        <v>0.760975609756097</v>
      </c>
      <c r="BQ53">
        <v>0.748780487804878</v>
      </c>
      <c r="BR53">
        <v>0.736585365853658</v>
      </c>
      <c r="BS53">
        <v>0.724390243902439</v>
      </c>
      <c r="BT53">
        <v>0.71219512195122</v>
      </c>
      <c r="BU53">
        <v>0.699999999999999</v>
      </c>
      <c r="BV53">
        <v>0.687499999999999</v>
      </c>
      <c r="BW53">
        <v>0.675</v>
      </c>
      <c r="BX53">
        <v>0.6625</v>
      </c>
      <c r="BY53">
        <v>0.649999999999999</v>
      </c>
      <c r="BZ53">
        <v>0.637499999999999</v>
      </c>
      <c r="CA53">
        <v>0.625</v>
      </c>
      <c r="CB53">
        <v>0.6125</v>
      </c>
      <c r="CC53">
        <v>0.6</v>
      </c>
      <c r="CD53" t="e">
        <v>#VALUE!</v>
      </c>
      <c r="CE53" t="e">
        <v>#VALUE!</v>
      </c>
      <c r="CF53" t="e">
        <v>#VALUE!</v>
      </c>
      <c r="CG53" t="e">
        <v>#VALUE!</v>
      </c>
      <c r="CH53" t="e">
        <v>#VALUE!</v>
      </c>
      <c r="CI53" t="e">
        <v>#VALUE!</v>
      </c>
      <c r="CJ53" t="e">
        <v>#VALUE!</v>
      </c>
      <c r="CK53" t="e">
        <v>#VALUE!</v>
      </c>
    </row>
    <row r="54" spans="1:89">
      <c r="A54" s="34" t="s">
        <v>8</v>
      </c>
      <c r="B54" s="34" t="s">
        <v>441</v>
      </c>
      <c r="C54" s="34" t="s">
        <v>441</v>
      </c>
      <c r="D54" s="34"/>
      <c r="E54" s="34">
        <v>0.743295306072797</v>
      </c>
      <c r="F54" s="34"/>
      <c r="G54" s="34"/>
      <c r="H54" s="34"/>
      <c r="I54" s="34">
        <v>0.677223548832968</v>
      </c>
      <c r="J54" s="34">
        <v>0.656209277870055</v>
      </c>
      <c r="K54" s="34"/>
      <c r="L54" s="34">
        <v>0.62247470653344</v>
      </c>
      <c r="M54" s="34"/>
      <c r="N54" s="34"/>
      <c r="O54" s="34"/>
      <c r="P54" s="34"/>
      <c r="Q54" s="34"/>
      <c r="R54" s="34"/>
      <c r="S54" s="34"/>
      <c r="T54" s="34"/>
      <c r="U54" s="34"/>
      <c r="V54" s="34">
        <v>0.524452135498622</v>
      </c>
      <c r="W54" s="34">
        <v>3</v>
      </c>
      <c r="AG54" s="232" t="s">
        <v>442</v>
      </c>
      <c r="AI54">
        <v>1</v>
      </c>
      <c r="AJ54">
        <v>0.994655635543914</v>
      </c>
      <c r="AK54">
        <v>0.967933813263484</v>
      </c>
      <c r="AL54">
        <v>0.922510826864744</v>
      </c>
      <c r="AM54">
        <v>0.881038463024037</v>
      </c>
      <c r="AN54">
        <v>0.844527555633293</v>
      </c>
      <c r="AO54">
        <v>0.813152064438621</v>
      </c>
      <c r="AP54">
        <v>0.78540368309147</v>
      </c>
      <c r="AQ54">
        <v>0.759047143517085</v>
      </c>
      <c r="AR54">
        <v>0.733846404289723</v>
      </c>
      <c r="AS54">
        <v>0.71088683007766</v>
      </c>
      <c r="AT54">
        <v>0.690423954971224</v>
      </c>
      <c r="AU54">
        <v>0.672374402783251</v>
      </c>
      <c r="AV54">
        <v>0.656418428293023</v>
      </c>
      <c r="AW54">
        <v>0.642061835122001</v>
      </c>
      <c r="AX54">
        <v>0.629054330904787</v>
      </c>
      <c r="AY54">
        <v>0.617255535695606</v>
      </c>
      <c r="AZ54">
        <v>0.606078703910127</v>
      </c>
      <c r="BA54">
        <v>0</v>
      </c>
      <c r="BB54">
        <v>0</v>
      </c>
      <c r="BC54">
        <v>0</v>
      </c>
      <c r="BD54">
        <v>0</v>
      </c>
      <c r="BE54">
        <v>0</v>
      </c>
      <c r="BF54">
        <v>0</v>
      </c>
      <c r="BG54">
        <v>0</v>
      </c>
      <c r="BH54">
        <v>0</v>
      </c>
      <c r="BJ54" t="s">
        <v>452</v>
      </c>
      <c r="BL54">
        <v>0.8</v>
      </c>
      <c r="BM54">
        <v>0.797560975609756</v>
      </c>
      <c r="BN54">
        <v>0.785365853658536</v>
      </c>
      <c r="BO54">
        <v>0.773170731707317</v>
      </c>
      <c r="BP54">
        <v>0.760975609756097</v>
      </c>
      <c r="BQ54">
        <v>0.748780487804878</v>
      </c>
      <c r="BR54">
        <v>0.736585365853658</v>
      </c>
      <c r="BS54">
        <v>0.724390243902439</v>
      </c>
      <c r="BT54">
        <v>0.71219512195122</v>
      </c>
      <c r="BU54">
        <v>0.699999999999999</v>
      </c>
      <c r="BV54">
        <v>0.687499999999999</v>
      </c>
      <c r="BW54">
        <v>0.675</v>
      </c>
      <c r="BX54">
        <v>0.6625</v>
      </c>
      <c r="BY54">
        <v>0.649999999999999</v>
      </c>
      <c r="BZ54">
        <v>0.637499999999999</v>
      </c>
      <c r="CA54">
        <v>0.625</v>
      </c>
      <c r="CB54">
        <v>0.6125</v>
      </c>
      <c r="CC54">
        <v>0.6</v>
      </c>
      <c r="CD54" t="e">
        <v>#VALUE!</v>
      </c>
      <c r="CE54" t="e">
        <v>#VALUE!</v>
      </c>
      <c r="CF54" t="e">
        <v>#VALUE!</v>
      </c>
      <c r="CG54" t="e">
        <v>#VALUE!</v>
      </c>
      <c r="CH54" t="e">
        <v>#VALUE!</v>
      </c>
      <c r="CI54" t="e">
        <v>#VALUE!</v>
      </c>
      <c r="CJ54" t="e">
        <v>#VALUE!</v>
      </c>
      <c r="CK54" t="e">
        <v>#VALUE!</v>
      </c>
    </row>
    <row r="55" spans="1:89">
      <c r="A55" s="34" t="s">
        <v>8</v>
      </c>
      <c r="B55" s="34" t="s">
        <v>443</v>
      </c>
      <c r="C55" s="34" t="s">
        <v>443</v>
      </c>
      <c r="D55" s="34"/>
      <c r="E55" s="34">
        <v>0.53141239378321</v>
      </c>
      <c r="F55" s="34">
        <f xml:space="preserve">E55</f>
        <v>0.53141239378321</v>
      </c>
      <c r="G55" s="34"/>
      <c r="H55" s="34"/>
      <c r="I55" s="34">
        <f xml:space="preserve">F55</f>
        <v>0.53141239378321</v>
      </c>
      <c r="J55" s="34">
        <f xml:space="preserve">I55</f>
        <v>0.53141239378321</v>
      </c>
      <c r="K55" s="34"/>
      <c r="L55" s="34">
        <f xml:space="preserve">J55</f>
        <v>0.53141239378321</v>
      </c>
      <c r="M55" s="34"/>
      <c r="N55" s="34"/>
      <c r="O55" s="34"/>
      <c r="P55" s="34"/>
      <c r="Q55" s="34"/>
      <c r="R55" s="34"/>
      <c r="S55" s="34"/>
      <c r="T55" s="34"/>
      <c r="U55" s="34"/>
      <c r="V55" s="34">
        <f xml:space="preserve">L55</f>
        <v>0.53141239378321</v>
      </c>
      <c r="W55" s="34">
        <v>3</v>
      </c>
      <c r="AG55" s="232" t="s">
        <v>437</v>
      </c>
      <c r="AI55">
        <v>1</v>
      </c>
      <c r="AJ55">
        <v>1.02456207653745</v>
      </c>
      <c r="AK55">
        <v>1.15425102266182</v>
      </c>
      <c r="AL55">
        <v>1.31001036569329</v>
      </c>
      <c r="AM55">
        <v>1.40143289909313</v>
      </c>
      <c r="AN55">
        <v>1.46131720335972</v>
      </c>
      <c r="AO55">
        <v>1.49853726680739</v>
      </c>
      <c r="AP55">
        <v>1.52174255958907</v>
      </c>
      <c r="AQ55">
        <v>1.53852305748937</v>
      </c>
      <c r="AR55">
        <v>1.55692513386698</v>
      </c>
      <c r="AS55">
        <v>1.5786103282771</v>
      </c>
      <c r="AT55">
        <v>1.60030340974207</v>
      </c>
      <c r="AU55">
        <v>1.61869391843923</v>
      </c>
      <c r="AV55">
        <v>1.63377344151007</v>
      </c>
      <c r="AW55">
        <v>1.64683019791355</v>
      </c>
      <c r="AX55">
        <v>1.65988853172799</v>
      </c>
      <c r="AY55">
        <v>1.6739506247231</v>
      </c>
      <c r="AZ55">
        <v>1.68740594029836</v>
      </c>
      <c r="BA55">
        <v>0</v>
      </c>
      <c r="BB55">
        <v>0</v>
      </c>
      <c r="BC55">
        <v>0</v>
      </c>
      <c r="BD55">
        <v>0</v>
      </c>
      <c r="BE55">
        <v>0</v>
      </c>
      <c r="BF55">
        <v>0</v>
      </c>
      <c r="BG55">
        <v>0</v>
      </c>
      <c r="BH55">
        <v>0</v>
      </c>
      <c r="BJ55" t="s">
        <v>452</v>
      </c>
      <c r="BL55">
        <v>0.8</v>
      </c>
      <c r="BM55">
        <v>0.797560975609756</v>
      </c>
      <c r="BN55">
        <v>0.785365853658536</v>
      </c>
      <c r="BO55">
        <v>0.773170731707317</v>
      </c>
      <c r="BP55">
        <v>0.760975609756097</v>
      </c>
      <c r="BQ55">
        <v>0.748780487804878</v>
      </c>
      <c r="BR55">
        <v>0.736585365853658</v>
      </c>
      <c r="BS55">
        <v>0.724390243902439</v>
      </c>
      <c r="BT55">
        <v>0.71219512195122</v>
      </c>
      <c r="BU55">
        <v>0.699999999999999</v>
      </c>
      <c r="BV55">
        <v>0.687499999999999</v>
      </c>
      <c r="BW55">
        <v>0.675</v>
      </c>
      <c r="BX55">
        <v>0.6625</v>
      </c>
      <c r="BY55">
        <v>0.649999999999999</v>
      </c>
      <c r="BZ55">
        <v>0.637499999999999</v>
      </c>
      <c r="CA55">
        <v>0.625</v>
      </c>
      <c r="CB55">
        <v>0.6125</v>
      </c>
      <c r="CC55">
        <v>0.6</v>
      </c>
      <c r="CD55" t="e">
        <v>#VALUE!</v>
      </c>
      <c r="CE55" t="e">
        <v>#VALUE!</v>
      </c>
      <c r="CF55" t="e">
        <v>#VALUE!</v>
      </c>
      <c r="CG55" t="e">
        <v>#VALUE!</v>
      </c>
      <c r="CH55" t="e">
        <v>#VALUE!</v>
      </c>
      <c r="CI55" t="e">
        <v>#VALUE!</v>
      </c>
      <c r="CJ55" t="e">
        <v>#VALUE!</v>
      </c>
      <c r="CK55" t="e">
        <v>#VALUE!</v>
      </c>
    </row>
    <row r="56" spans="1:89">
      <c r="A56" s="34" t="s">
        <v>8</v>
      </c>
      <c r="B56" s="34" t="s">
        <v>444</v>
      </c>
      <c r="C56" s="34" t="s">
        <v>444</v>
      </c>
      <c r="D56" s="34"/>
      <c r="E56" s="34">
        <v>28.7369724475552</v>
      </c>
      <c r="F56" s="34">
        <f xml:space="preserve">E56</f>
        <v>28.7369724475552</v>
      </c>
      <c r="G56" s="34"/>
      <c r="H56" s="34"/>
      <c r="I56" s="34">
        <f xml:space="preserve">F56</f>
        <v>28.7369724475552</v>
      </c>
      <c r="J56" s="34">
        <f xml:space="preserve">I56</f>
        <v>28.7369724475552</v>
      </c>
      <c r="K56" s="34"/>
      <c r="L56" s="34">
        <f xml:space="preserve">J56</f>
        <v>28.7369724475552</v>
      </c>
      <c r="M56" s="34"/>
      <c r="N56" s="34"/>
      <c r="O56" s="34"/>
      <c r="P56" s="34"/>
      <c r="Q56" s="34"/>
      <c r="R56" s="34"/>
      <c r="S56" s="34"/>
      <c r="T56" s="34"/>
      <c r="U56" s="34"/>
      <c r="V56" s="34">
        <f xml:space="preserve">L56</f>
        <v>28.7369724475552</v>
      </c>
      <c r="W56" s="34">
        <v>3</v>
      </c>
      <c r="AG56" s="232" t="s">
        <v>437</v>
      </c>
      <c r="AI56">
        <v>1</v>
      </c>
      <c r="AJ56">
        <v>1.02456207653745</v>
      </c>
      <c r="AK56">
        <v>1.15425102266182</v>
      </c>
      <c r="AL56">
        <v>1.31001036569329</v>
      </c>
      <c r="AM56">
        <v>1.40143289909313</v>
      </c>
      <c r="AN56">
        <v>1.46131720335972</v>
      </c>
      <c r="AO56">
        <v>1.49853726680739</v>
      </c>
      <c r="AP56">
        <v>1.52174255958907</v>
      </c>
      <c r="AQ56">
        <v>1.53852305748937</v>
      </c>
      <c r="AR56">
        <v>1.55692513386698</v>
      </c>
      <c r="AS56">
        <v>1.5786103282771</v>
      </c>
      <c r="AT56">
        <v>1.60030340974207</v>
      </c>
      <c r="AU56">
        <v>1.61869391843923</v>
      </c>
      <c r="AV56">
        <v>1.63377344151007</v>
      </c>
      <c r="AW56">
        <v>1.64683019791355</v>
      </c>
      <c r="AX56">
        <v>1.65988853172799</v>
      </c>
      <c r="AY56">
        <v>1.6739506247231</v>
      </c>
      <c r="AZ56">
        <v>1.68740594029836</v>
      </c>
      <c r="BA56">
        <v>0</v>
      </c>
      <c r="BB56">
        <v>0</v>
      </c>
      <c r="BC56">
        <v>0</v>
      </c>
      <c r="BD56">
        <v>0</v>
      </c>
      <c r="BE56">
        <v>0</v>
      </c>
      <c r="BF56">
        <v>0</v>
      </c>
      <c r="BG56">
        <v>0</v>
      </c>
      <c r="BH56">
        <v>0</v>
      </c>
      <c r="BJ56" t="s">
        <v>452</v>
      </c>
      <c r="BL56">
        <v>0.8</v>
      </c>
      <c r="BM56">
        <v>0.797560975609756</v>
      </c>
      <c r="BN56">
        <v>0.785365853658536</v>
      </c>
      <c r="BO56">
        <v>0.773170731707317</v>
      </c>
      <c r="BP56">
        <v>0.760975609756097</v>
      </c>
      <c r="BQ56">
        <v>0.748780487804878</v>
      </c>
      <c r="BR56">
        <v>0.736585365853658</v>
      </c>
      <c r="BS56">
        <v>0.724390243902439</v>
      </c>
      <c r="BT56">
        <v>0.71219512195122</v>
      </c>
      <c r="BU56">
        <v>0.699999999999999</v>
      </c>
      <c r="BV56">
        <v>0.687499999999999</v>
      </c>
      <c r="BW56">
        <v>0.675</v>
      </c>
      <c r="BX56">
        <v>0.6625</v>
      </c>
      <c r="BY56">
        <v>0.649999999999999</v>
      </c>
      <c r="BZ56">
        <v>0.637499999999999</v>
      </c>
      <c r="CA56">
        <v>0.625</v>
      </c>
      <c r="CB56">
        <v>0.6125</v>
      </c>
      <c r="CC56">
        <v>0.6</v>
      </c>
      <c r="CD56" t="e">
        <v>#VALUE!</v>
      </c>
      <c r="CE56" t="e">
        <v>#VALUE!</v>
      </c>
      <c r="CF56" t="e">
        <v>#VALUE!</v>
      </c>
      <c r="CG56" t="e">
        <v>#VALUE!</v>
      </c>
      <c r="CH56" t="e">
        <v>#VALUE!</v>
      </c>
      <c r="CI56" t="e">
        <v>#VALUE!</v>
      </c>
      <c r="CJ56" t="e">
        <v>#VALUE!</v>
      </c>
      <c r="CK56" t="e">
        <v>#VALUE!</v>
      </c>
    </row>
    <row r="57" spans="1:89">
      <c r="A57" s="34" t="s">
        <v>8</v>
      </c>
      <c r="B57" s="34" t="s">
        <v>445</v>
      </c>
      <c r="C57" s="34" t="s">
        <v>445</v>
      </c>
      <c r="D57" s="34">
        <v>0.301</v>
      </c>
      <c r="E57" s="34">
        <v>0.299717000584587</v>
      </c>
      <c r="F57" s="34"/>
      <c r="G57" s="34">
        <v>0.293393221113225</v>
      </c>
      <c r="H57" s="34">
        <v>0.282747979982797</v>
      </c>
      <c r="I57" s="34">
        <v>0.273075060642974</v>
      </c>
      <c r="J57" s="34">
        <v>0.264601531735933</v>
      </c>
      <c r="K57" s="34">
        <v>0.25736063841315</v>
      </c>
      <c r="L57" s="34">
        <v>0.2509988297487</v>
      </c>
      <c r="M57" s="34">
        <v>0.245000005370027</v>
      </c>
      <c r="N57" s="34">
        <v>0.239306120729086</v>
      </c>
      <c r="O57" s="34">
        <v>0.234158753321223</v>
      </c>
      <c r="P57" s="34">
        <v>0.229609078524824</v>
      </c>
      <c r="Q57" s="34">
        <v>0.225632353900795</v>
      </c>
      <c r="R57" s="34">
        <v>0.222151972071459</v>
      </c>
      <c r="S57" s="34">
        <v>0.219054545705653</v>
      </c>
      <c r="T57" s="34">
        <v>0.216280910080545</v>
      </c>
      <c r="U57" s="34">
        <v>0.213796211065374</v>
      </c>
      <c r="V57" s="34">
        <v>0.211473447656124</v>
      </c>
      <c r="W57" s="34">
        <v>3</v>
      </c>
      <c r="AG57" s="232" t="s">
        <v>442</v>
      </c>
      <c r="AI57">
        <v>1</v>
      </c>
      <c r="AJ57">
        <v>0.994655635543914</v>
      </c>
      <c r="AK57">
        <v>0.967933813263484</v>
      </c>
      <c r="AL57">
        <v>0.922510826864744</v>
      </c>
      <c r="AM57">
        <v>0.881038463024037</v>
      </c>
      <c r="AN57">
        <v>0.844527555633293</v>
      </c>
      <c r="AO57">
        <v>0.813152064438621</v>
      </c>
      <c r="AP57">
        <v>0.78540368309147</v>
      </c>
      <c r="AQ57">
        <v>0.759047143517085</v>
      </c>
      <c r="AR57">
        <v>0.733846404289723</v>
      </c>
      <c r="AS57">
        <v>0.71088683007766</v>
      </c>
      <c r="AT57">
        <v>0.690423954971224</v>
      </c>
      <c r="AU57">
        <v>0.672374402783251</v>
      </c>
      <c r="AV57">
        <v>0.656418428293023</v>
      </c>
      <c r="AW57">
        <v>0.642061835122001</v>
      </c>
      <c r="AX57">
        <v>0.629054330904787</v>
      </c>
      <c r="AY57">
        <v>0.617255535695606</v>
      </c>
      <c r="AZ57">
        <v>0.606078703910127</v>
      </c>
      <c r="BA57">
        <v>0</v>
      </c>
      <c r="BB57">
        <v>0</v>
      </c>
      <c r="BC57">
        <v>0</v>
      </c>
      <c r="BD57">
        <v>0</v>
      </c>
      <c r="BE57">
        <v>0</v>
      </c>
      <c r="BF57">
        <v>0</v>
      </c>
      <c r="BG57">
        <v>0</v>
      </c>
      <c r="BH57">
        <v>0</v>
      </c>
      <c r="BJ57" t="s">
        <v>452</v>
      </c>
      <c r="BL57">
        <v>0.8</v>
      </c>
      <c r="BM57">
        <v>0.797560975609756</v>
      </c>
      <c r="BN57">
        <v>0.785365853658536</v>
      </c>
      <c r="BO57">
        <v>0.773170731707317</v>
      </c>
      <c r="BP57">
        <v>0.760975609756097</v>
      </c>
      <c r="BQ57">
        <v>0.748780487804878</v>
      </c>
      <c r="BR57">
        <v>0.736585365853658</v>
      </c>
      <c r="BS57">
        <v>0.724390243902439</v>
      </c>
      <c r="BT57">
        <v>0.71219512195122</v>
      </c>
      <c r="BU57">
        <v>0.699999999999999</v>
      </c>
      <c r="BV57">
        <v>0.687499999999999</v>
      </c>
      <c r="BW57">
        <v>0.675</v>
      </c>
      <c r="BX57">
        <v>0.6625</v>
      </c>
      <c r="BY57">
        <v>0.649999999999999</v>
      </c>
      <c r="BZ57">
        <v>0.637499999999999</v>
      </c>
      <c r="CA57">
        <v>0.625</v>
      </c>
      <c r="CB57">
        <v>0.6125</v>
      </c>
      <c r="CC57">
        <v>0.6</v>
      </c>
      <c r="CD57" t="e">
        <v>#VALUE!</v>
      </c>
      <c r="CE57" t="e">
        <v>#VALUE!</v>
      </c>
      <c r="CF57" t="e">
        <v>#VALUE!</v>
      </c>
      <c r="CG57" t="e">
        <v>#VALUE!</v>
      </c>
      <c r="CH57" t="e">
        <v>#VALUE!</v>
      </c>
      <c r="CI57" t="e">
        <v>#VALUE!</v>
      </c>
      <c r="CJ57" t="e">
        <v>#VALUE!</v>
      </c>
      <c r="CK57" t="e">
        <v>#VALUE!</v>
      </c>
    </row>
    <row r="58" spans="1:89">
      <c r="A58" s="34" t="s">
        <v>8</v>
      </c>
      <c r="B58" s="34" t="s">
        <v>446</v>
      </c>
      <c r="C58" s="34" t="s">
        <v>446</v>
      </c>
      <c r="D58" s="34">
        <v>0.06</v>
      </c>
      <c r="E58" s="34">
        <v>0.0597442526082234</v>
      </c>
      <c r="F58" s="34"/>
      <c r="G58" s="34">
        <v>0.0584836985607757</v>
      </c>
      <c r="H58" s="34">
        <v>0.0563617235846107</v>
      </c>
      <c r="I58" s="34">
        <v>0.0544335669055762</v>
      </c>
      <c r="J58" s="34">
        <v>0.0527444913759334</v>
      </c>
      <c r="K58" s="34">
        <v>0.051301123936176</v>
      </c>
      <c r="L58" s="34">
        <v>0.0500329893186777</v>
      </c>
      <c r="M58" s="34">
        <v>0.0488372103727629</v>
      </c>
      <c r="N58" s="34">
        <v>0.0477022167566283</v>
      </c>
      <c r="O58" s="34">
        <v>0.0466761634527356</v>
      </c>
      <c r="P58" s="34">
        <v>0.0457692515331876</v>
      </c>
      <c r="Q58" s="34">
        <v>0.0449765489503246</v>
      </c>
      <c r="R58" s="34">
        <v>0.0442827851305234</v>
      </c>
      <c r="S58" s="34">
        <v>0.0436653579479707</v>
      </c>
      <c r="T58" s="34">
        <v>0.0431124737702083</v>
      </c>
      <c r="U58" s="34">
        <v>0.0426171849299748</v>
      </c>
      <c r="V58" s="34">
        <v>0.0421541756125165</v>
      </c>
      <c r="W58" s="34">
        <v>3</v>
      </c>
      <c r="AG58" s="232" t="s">
        <v>442</v>
      </c>
      <c r="AI58">
        <v>1</v>
      </c>
      <c r="AJ58">
        <v>0.994655635543914</v>
      </c>
      <c r="AK58">
        <v>0.967933813263484</v>
      </c>
      <c r="AL58">
        <v>0.922510826864744</v>
      </c>
      <c r="AM58">
        <v>0.881038463024037</v>
      </c>
      <c r="AN58">
        <v>0.844527555633293</v>
      </c>
      <c r="AO58">
        <v>0.813152064438621</v>
      </c>
      <c r="AP58">
        <v>0.78540368309147</v>
      </c>
      <c r="AQ58">
        <v>0.759047143517085</v>
      </c>
      <c r="AR58">
        <v>0.733846404289723</v>
      </c>
      <c r="AS58">
        <v>0.71088683007766</v>
      </c>
      <c r="AT58">
        <v>0.690423954971224</v>
      </c>
      <c r="AU58">
        <v>0.672374402783251</v>
      </c>
      <c r="AV58">
        <v>0.656418428293023</v>
      </c>
      <c r="AW58">
        <v>0.642061835122001</v>
      </c>
      <c r="AX58">
        <v>0.629054330904787</v>
      </c>
      <c r="AY58">
        <v>0.617255535695606</v>
      </c>
      <c r="AZ58">
        <v>0.606078703910127</v>
      </c>
      <c r="BA58">
        <v>0</v>
      </c>
      <c r="BB58">
        <v>0</v>
      </c>
      <c r="BC58">
        <v>0</v>
      </c>
      <c r="BD58">
        <v>0</v>
      </c>
      <c r="BE58">
        <v>0</v>
      </c>
      <c r="BF58">
        <v>0</v>
      </c>
      <c r="BG58">
        <v>0</v>
      </c>
      <c r="BH58">
        <v>0</v>
      </c>
      <c r="BJ58" t="s">
        <v>452</v>
      </c>
      <c r="BL58">
        <v>0.8</v>
      </c>
      <c r="BM58">
        <v>0.797560975609756</v>
      </c>
      <c r="BN58">
        <v>0.785365853658536</v>
      </c>
      <c r="BO58">
        <v>0.773170731707317</v>
      </c>
      <c r="BP58">
        <v>0.760975609756097</v>
      </c>
      <c r="BQ58">
        <v>0.748780487804878</v>
      </c>
      <c r="BR58">
        <v>0.736585365853658</v>
      </c>
      <c r="BS58">
        <v>0.724390243902439</v>
      </c>
      <c r="BT58">
        <v>0.71219512195122</v>
      </c>
      <c r="BU58">
        <v>0.699999999999999</v>
      </c>
      <c r="BV58">
        <v>0.687499999999999</v>
      </c>
      <c r="BW58">
        <v>0.675</v>
      </c>
      <c r="BX58">
        <v>0.6625</v>
      </c>
      <c r="BY58">
        <v>0.649999999999999</v>
      </c>
      <c r="BZ58">
        <v>0.637499999999999</v>
      </c>
      <c r="CA58">
        <v>0.625</v>
      </c>
      <c r="CB58">
        <v>0.6125</v>
      </c>
      <c r="CC58">
        <v>0.6</v>
      </c>
      <c r="CD58" t="e">
        <v>#VALUE!</v>
      </c>
      <c r="CE58" t="e">
        <v>#VALUE!</v>
      </c>
      <c r="CF58" t="e">
        <v>#VALUE!</v>
      </c>
      <c r="CG58" t="e">
        <v>#VALUE!</v>
      </c>
      <c r="CH58" t="e">
        <v>#VALUE!</v>
      </c>
      <c r="CI58" t="e">
        <v>#VALUE!</v>
      </c>
      <c r="CJ58" t="e">
        <v>#VALUE!</v>
      </c>
      <c r="CK58" t="e">
        <v>#VALUE!</v>
      </c>
    </row>
    <row r="59" spans="1:89">
      <c r="A59" s="34" t="s">
        <v>8</v>
      </c>
      <c r="B59" s="34" t="s">
        <v>447</v>
      </c>
      <c r="C59" s="34" t="s">
        <v>447</v>
      </c>
      <c r="D59" s="34">
        <v>1.015</v>
      </c>
      <c r="E59" s="34">
        <v>1.01067360662245</v>
      </c>
      <c r="F59" s="34"/>
      <c r="G59" s="34">
        <v>0.989349233986455</v>
      </c>
      <c r="H59" s="34">
        <v>0.953452490639665</v>
      </c>
      <c r="I59" s="34">
        <v>0.920834506819331</v>
      </c>
      <c r="J59" s="34">
        <v>0.89226097910954</v>
      </c>
      <c r="K59" s="34">
        <v>0.867844013253645</v>
      </c>
      <c r="L59" s="34">
        <v>0.846391402640965</v>
      </c>
      <c r="M59" s="34">
        <v>0.826162808805906</v>
      </c>
      <c r="N59" s="34">
        <v>0.806962500132963</v>
      </c>
      <c r="O59" s="34">
        <v>0.789605098408777</v>
      </c>
      <c r="P59" s="34">
        <v>0.774263171769757</v>
      </c>
      <c r="Q59" s="34">
        <v>0.760853286409657</v>
      </c>
      <c r="R59" s="34">
        <v>0.749117115124688</v>
      </c>
      <c r="S59" s="34">
        <v>0.738672305286504</v>
      </c>
      <c r="T59" s="34">
        <v>0.729319347946025</v>
      </c>
      <c r="U59" s="34">
        <v>0.720940711732074</v>
      </c>
      <c r="V59" s="34">
        <v>0.713108137445071</v>
      </c>
      <c r="W59" s="34">
        <v>3</v>
      </c>
      <c r="AG59" s="232" t="s">
        <v>442</v>
      </c>
      <c r="AI59">
        <v>1</v>
      </c>
      <c r="AJ59">
        <v>0.994655635543914</v>
      </c>
      <c r="AK59">
        <v>0.967933813263484</v>
      </c>
      <c r="AL59">
        <v>0.922510826864744</v>
      </c>
      <c r="AM59">
        <v>0.881038463024037</v>
      </c>
      <c r="AN59">
        <v>0.844527555633293</v>
      </c>
      <c r="AO59">
        <v>0.813152064438621</v>
      </c>
      <c r="AP59">
        <v>0.78540368309147</v>
      </c>
      <c r="AQ59">
        <v>0.759047143517085</v>
      </c>
      <c r="AR59">
        <v>0.733846404289723</v>
      </c>
      <c r="AS59">
        <v>0.71088683007766</v>
      </c>
      <c r="AT59">
        <v>0.690423954971224</v>
      </c>
      <c r="AU59">
        <v>0.672374402783251</v>
      </c>
      <c r="AV59">
        <v>0.656418428293023</v>
      </c>
      <c r="AW59">
        <v>0.642061835122001</v>
      </c>
      <c r="AX59">
        <v>0.629054330904787</v>
      </c>
      <c r="AY59">
        <v>0.617255535695606</v>
      </c>
      <c r="AZ59">
        <v>0.606078703910127</v>
      </c>
      <c r="BA59">
        <v>0</v>
      </c>
      <c r="BB59">
        <v>0</v>
      </c>
      <c r="BC59">
        <v>0</v>
      </c>
      <c r="BD59">
        <v>0</v>
      </c>
      <c r="BE59">
        <v>0</v>
      </c>
      <c r="BF59">
        <v>0</v>
      </c>
      <c r="BG59">
        <v>0</v>
      </c>
      <c r="BH59">
        <v>0</v>
      </c>
      <c r="BJ59" t="s">
        <v>452</v>
      </c>
      <c r="BL59">
        <v>0.8</v>
      </c>
      <c r="BM59">
        <v>0.797560975609756</v>
      </c>
      <c r="BN59">
        <v>0.785365853658536</v>
      </c>
      <c r="BO59">
        <v>0.773170731707317</v>
      </c>
      <c r="BP59">
        <v>0.760975609756097</v>
      </c>
      <c r="BQ59">
        <v>0.748780487804878</v>
      </c>
      <c r="BR59">
        <v>0.736585365853658</v>
      </c>
      <c r="BS59">
        <v>0.724390243902439</v>
      </c>
      <c r="BT59">
        <v>0.71219512195122</v>
      </c>
      <c r="BU59">
        <v>0.699999999999999</v>
      </c>
      <c r="BV59">
        <v>0.687499999999999</v>
      </c>
      <c r="BW59">
        <v>0.675</v>
      </c>
      <c r="BX59">
        <v>0.6625</v>
      </c>
      <c r="BY59">
        <v>0.649999999999999</v>
      </c>
      <c r="BZ59">
        <v>0.637499999999999</v>
      </c>
      <c r="CA59">
        <v>0.625</v>
      </c>
      <c r="CB59">
        <v>0.6125</v>
      </c>
      <c r="CC59">
        <v>0.6</v>
      </c>
      <c r="CD59" t="e">
        <v>#VALUE!</v>
      </c>
      <c r="CE59" t="e">
        <v>#VALUE!</v>
      </c>
      <c r="CF59" t="e">
        <v>#VALUE!</v>
      </c>
      <c r="CG59" t="e">
        <v>#VALUE!</v>
      </c>
      <c r="CH59" t="e">
        <v>#VALUE!</v>
      </c>
      <c r="CI59" t="e">
        <v>#VALUE!</v>
      </c>
      <c r="CJ59" t="e">
        <v>#VALUE!</v>
      </c>
      <c r="CK59" t="e">
        <v>#VALUE!</v>
      </c>
    </row>
    <row r="60" spans="1:89">
      <c r="A60" s="34" t="s">
        <v>8</v>
      </c>
      <c r="B60" s="34" t="s">
        <v>448</v>
      </c>
      <c r="C60" s="34" t="s">
        <v>448</v>
      </c>
      <c r="D60" s="34">
        <v>14.676</v>
      </c>
      <c r="E60" s="34">
        <v>15.0279359114907</v>
      </c>
      <c r="F60" s="34"/>
      <c r="G60" s="34">
        <v>16.8889599183515</v>
      </c>
      <c r="H60" s="34">
        <v>19.3807876412468</v>
      </c>
      <c r="I60" s="34">
        <v>21.1527204765845</v>
      </c>
      <c r="J60" s="34">
        <v>22.543527989314</v>
      </c>
      <c r="K60" s="34">
        <v>23.6234992372747</v>
      </c>
      <c r="L60" s="34">
        <v>24.5024464883538</v>
      </c>
      <c r="M60" s="34">
        <v>25.3074958134495</v>
      </c>
      <c r="N60" s="34">
        <v>26.1350145681235</v>
      </c>
      <c r="O60" s="34">
        <v>26.9736653362655</v>
      </c>
      <c r="P60" s="34">
        <v>27.7709105010172</v>
      </c>
      <c r="Q60" s="34">
        <v>28.4819078040894</v>
      </c>
      <c r="R60" s="34">
        <v>29.1085797201388</v>
      </c>
      <c r="S60" s="34">
        <v>29.6751278254503</v>
      </c>
      <c r="T60" s="34">
        <v>30.2087461262979</v>
      </c>
      <c r="U60" s="34">
        <v>30.7221740134875</v>
      </c>
      <c r="V60" s="34">
        <v>31.2130070740177</v>
      </c>
      <c r="W60" s="34">
        <v>3</v>
      </c>
      <c r="AG60" s="232" t="s">
        <v>449</v>
      </c>
      <c r="AI60">
        <v>1</v>
      </c>
      <c r="AJ60">
        <v>1.03006713069814</v>
      </c>
      <c r="AK60">
        <v>1.19248961741522</v>
      </c>
      <c r="AL60">
        <v>1.42004877075048</v>
      </c>
      <c r="AM60">
        <v>1.59066029226795</v>
      </c>
      <c r="AN60">
        <v>1.73033691276527</v>
      </c>
      <c r="AO60">
        <v>1.84287457702262</v>
      </c>
      <c r="AP60">
        <v>1.93752918702806</v>
      </c>
      <c r="AQ60">
        <v>2.02691370441175</v>
      </c>
      <c r="AR60">
        <v>2.1215953703199</v>
      </c>
      <c r="AS60">
        <v>2.22062114739789</v>
      </c>
      <c r="AT60">
        <v>2.31785614942744</v>
      </c>
      <c r="AU60">
        <v>2.40742941988682</v>
      </c>
      <c r="AV60">
        <v>2.48892074184846</v>
      </c>
      <c r="AW60">
        <v>2.56490902873962</v>
      </c>
      <c r="AX60">
        <v>2.63870456044794</v>
      </c>
      <c r="AY60">
        <v>2.7119248478455</v>
      </c>
      <c r="AZ60">
        <v>2.78413666312977</v>
      </c>
      <c r="BA60">
        <v>0</v>
      </c>
      <c r="BB60">
        <v>0</v>
      </c>
      <c r="BC60">
        <v>0</v>
      </c>
      <c r="BD60">
        <v>0</v>
      </c>
      <c r="BE60">
        <v>0</v>
      </c>
      <c r="BF60">
        <v>0</v>
      </c>
      <c r="BG60">
        <v>0</v>
      </c>
      <c r="BH60">
        <v>0</v>
      </c>
      <c r="BJ60" t="s">
        <v>452</v>
      </c>
      <c r="BL60">
        <v>0.8</v>
      </c>
      <c r="BM60">
        <v>0.797560975609756</v>
      </c>
      <c r="BN60">
        <v>0.785365853658536</v>
      </c>
      <c r="BO60">
        <v>0.773170731707317</v>
      </c>
      <c r="BP60">
        <v>0.760975609756097</v>
      </c>
      <c r="BQ60">
        <v>0.748780487804878</v>
      </c>
      <c r="BR60">
        <v>0.736585365853658</v>
      </c>
      <c r="BS60">
        <v>0.724390243902439</v>
      </c>
      <c r="BT60">
        <v>0.71219512195122</v>
      </c>
      <c r="BU60">
        <v>0.699999999999999</v>
      </c>
      <c r="BV60">
        <v>0.687499999999999</v>
      </c>
      <c r="BW60">
        <v>0.675</v>
      </c>
      <c r="BX60">
        <v>0.6625</v>
      </c>
      <c r="BY60">
        <v>0.649999999999999</v>
      </c>
      <c r="BZ60">
        <v>0.637499999999999</v>
      </c>
      <c r="CA60">
        <v>0.625</v>
      </c>
      <c r="CB60">
        <v>0.6125</v>
      </c>
      <c r="CC60">
        <v>0.6</v>
      </c>
      <c r="CD60" t="e">
        <v>#VALUE!</v>
      </c>
      <c r="CE60" t="e">
        <v>#VALUE!</v>
      </c>
      <c r="CF60" t="e">
        <v>#VALUE!</v>
      </c>
      <c r="CG60" t="e">
        <v>#VALUE!</v>
      </c>
      <c r="CH60" t="e">
        <v>#VALUE!</v>
      </c>
      <c r="CI60" t="e">
        <v>#VALUE!</v>
      </c>
      <c r="CJ60" t="e">
        <v>#VALUE!</v>
      </c>
      <c r="CK60" t="e">
        <v>#VALUE!</v>
      </c>
    </row>
    <row r="61" spans="1:89">
      <c r="A61" s="34" t="s">
        <v>8</v>
      </c>
      <c r="B61" s="34" t="s">
        <v>450</v>
      </c>
      <c r="C61" s="34" t="s">
        <v>450</v>
      </c>
      <c r="D61" s="34">
        <v>13.8</v>
      </c>
      <c r="E61" s="34">
        <v>14.0703386014217</v>
      </c>
      <c r="F61" s="34"/>
      <c r="G61" s="34">
        <v>15.4690923009141</v>
      </c>
      <c r="H61" s="34">
        <v>17.0830571616842</v>
      </c>
      <c r="I61" s="34">
        <v>17.9902818310245</v>
      </c>
      <c r="J61" s="34">
        <v>18.5658982661647</v>
      </c>
      <c r="K61" s="34">
        <v>18.9142128548411</v>
      </c>
      <c r="L61" s="34">
        <v>19.1263810926186</v>
      </c>
      <c r="M61" s="34">
        <v>19.2765899198589</v>
      </c>
      <c r="N61" s="34">
        <v>19.4379852884852</v>
      </c>
      <c r="O61" s="34">
        <v>19.6241166447833</v>
      </c>
      <c r="P61" s="34">
        <v>19.8061454827833</v>
      </c>
      <c r="Q61" s="34">
        <v>19.9569371208929</v>
      </c>
      <c r="R61" s="34">
        <v>20.0777825189643</v>
      </c>
      <c r="S61" s="34">
        <v>20.1800739853741</v>
      </c>
      <c r="T61" s="34">
        <v>20.2800835912654</v>
      </c>
      <c r="U61" s="34">
        <v>20.3853153612151</v>
      </c>
      <c r="V61" s="34">
        <v>20.4836303941326</v>
      </c>
      <c r="W61" s="34">
        <v>3</v>
      </c>
      <c r="AG61" s="232" t="s">
        <v>437</v>
      </c>
      <c r="AI61">
        <v>1</v>
      </c>
      <c r="AJ61">
        <v>1.02456207653745</v>
      </c>
      <c r="AK61">
        <v>1.15425102266182</v>
      </c>
      <c r="AL61">
        <v>1.31001036569329</v>
      </c>
      <c r="AM61">
        <v>1.40143289909313</v>
      </c>
      <c r="AN61">
        <v>1.46131720335972</v>
      </c>
      <c r="AO61">
        <v>1.49853726680739</v>
      </c>
      <c r="AP61">
        <v>1.52174255958907</v>
      </c>
      <c r="AQ61">
        <v>1.53852305748937</v>
      </c>
      <c r="AR61">
        <v>1.55692513386698</v>
      </c>
      <c r="AS61">
        <v>1.5786103282771</v>
      </c>
      <c r="AT61">
        <v>1.60030340974207</v>
      </c>
      <c r="AU61">
        <v>1.61869391843923</v>
      </c>
      <c r="AV61">
        <v>1.63377344151007</v>
      </c>
      <c r="AW61">
        <v>1.64683019791355</v>
      </c>
      <c r="AX61">
        <v>1.65988853172799</v>
      </c>
      <c r="AY61">
        <v>1.6739506247231</v>
      </c>
      <c r="AZ61">
        <v>1.68740594029836</v>
      </c>
      <c r="BA61">
        <v>0</v>
      </c>
      <c r="BB61">
        <v>0</v>
      </c>
      <c r="BC61">
        <v>0</v>
      </c>
      <c r="BD61">
        <v>0</v>
      </c>
      <c r="BE61">
        <v>0</v>
      </c>
      <c r="BF61">
        <v>0</v>
      </c>
      <c r="BG61">
        <v>0</v>
      </c>
      <c r="BH61">
        <v>0</v>
      </c>
      <c r="BJ61" t="s">
        <v>452</v>
      </c>
      <c r="BL61">
        <v>0.8</v>
      </c>
      <c r="BM61">
        <v>0.797560975609756</v>
      </c>
      <c r="BN61">
        <v>0.785365853658536</v>
      </c>
      <c r="BO61">
        <v>0.773170731707317</v>
      </c>
      <c r="BP61">
        <v>0.760975609756097</v>
      </c>
      <c r="BQ61">
        <v>0.748780487804878</v>
      </c>
      <c r="BR61">
        <v>0.736585365853658</v>
      </c>
      <c r="BS61">
        <v>0.724390243902439</v>
      </c>
      <c r="BT61">
        <v>0.71219512195122</v>
      </c>
      <c r="BU61">
        <v>0.699999999999999</v>
      </c>
      <c r="BV61">
        <v>0.687499999999999</v>
      </c>
      <c r="BW61">
        <v>0.675</v>
      </c>
      <c r="BX61">
        <v>0.6625</v>
      </c>
      <c r="BY61">
        <v>0.649999999999999</v>
      </c>
      <c r="BZ61">
        <v>0.637499999999999</v>
      </c>
      <c r="CA61">
        <v>0.625</v>
      </c>
      <c r="CB61">
        <v>0.6125</v>
      </c>
      <c r="CC61">
        <v>0.6</v>
      </c>
      <c r="CD61" t="e">
        <v>#VALUE!</v>
      </c>
      <c r="CE61" t="e">
        <v>#VALUE!</v>
      </c>
      <c r="CF61" t="e">
        <v>#VALUE!</v>
      </c>
      <c r="CG61" t="e">
        <v>#VALUE!</v>
      </c>
      <c r="CH61" t="e">
        <v>#VALUE!</v>
      </c>
      <c r="CI61" t="e">
        <v>#VALUE!</v>
      </c>
      <c r="CJ61" t="e">
        <v>#VALUE!</v>
      </c>
      <c r="CK61" t="e">
        <v>#VALUE!</v>
      </c>
    </row>
    <row r="62" spans="1:89">
      <c r="A62" s="34" t="s">
        <v>8</v>
      </c>
      <c r="B62" s="34" t="s">
        <v>451</v>
      </c>
      <c r="C62" s="34" t="s">
        <v>451</v>
      </c>
      <c r="D62" s="34">
        <v>7.68</v>
      </c>
      <c r="E62" s="34">
        <v>7.83044930861729</v>
      </c>
      <c r="F62" s="34"/>
      <c r="G62" s="34">
        <v>8.60888615007394</v>
      </c>
      <c r="H62" s="34">
        <v>9.50709268128512</v>
      </c>
      <c r="I62" s="34">
        <v>10.0119829320484</v>
      </c>
      <c r="J62" s="34">
        <v>10.3323259916047</v>
      </c>
      <c r="K62" s="34">
        <v>10.5261706322594</v>
      </c>
      <c r="L62" s="34">
        <v>10.6442468689356</v>
      </c>
      <c r="M62" s="34">
        <v>10.7278413467041</v>
      </c>
      <c r="N62" s="34">
        <v>10.8176613779396</v>
      </c>
      <c r="O62" s="34">
        <v>10.9212475240533</v>
      </c>
      <c r="P62" s="34">
        <v>11.0225505295489</v>
      </c>
      <c r="Q62" s="34">
        <v>11.106469354236</v>
      </c>
      <c r="R62" s="34">
        <v>11.1737224453366</v>
      </c>
      <c r="S62" s="34">
        <v>11.2306498701212</v>
      </c>
      <c r="T62" s="34">
        <v>11.2863073899216</v>
      </c>
      <c r="U62" s="34">
        <v>11.3448711575458</v>
      </c>
      <c r="V62" s="34">
        <v>11.3995856106477</v>
      </c>
      <c r="W62" s="34">
        <v>3</v>
      </c>
      <c r="AG62" s="232" t="s">
        <v>437</v>
      </c>
      <c r="AI62">
        <v>1</v>
      </c>
      <c r="AJ62">
        <v>1.02456207653745</v>
      </c>
      <c r="AK62">
        <v>1.15425102266182</v>
      </c>
      <c r="AL62">
        <v>1.31001036569329</v>
      </c>
      <c r="AM62">
        <v>1.40143289909313</v>
      </c>
      <c r="AN62">
        <v>1.46131720335972</v>
      </c>
      <c r="AO62">
        <v>1.49853726680739</v>
      </c>
      <c r="AP62">
        <v>1.52174255958907</v>
      </c>
      <c r="AQ62">
        <v>1.53852305748937</v>
      </c>
      <c r="AR62">
        <v>1.55692513386698</v>
      </c>
      <c r="AS62">
        <v>1.5786103282771</v>
      </c>
      <c r="AT62">
        <v>1.60030340974207</v>
      </c>
      <c r="AU62">
        <v>1.61869391843923</v>
      </c>
      <c r="AV62">
        <v>1.63377344151007</v>
      </c>
      <c r="AW62">
        <v>1.64683019791355</v>
      </c>
      <c r="AX62">
        <v>1.65988853172799</v>
      </c>
      <c r="AY62">
        <v>1.6739506247231</v>
      </c>
      <c r="AZ62">
        <v>1.68740594029836</v>
      </c>
      <c r="BA62">
        <v>0</v>
      </c>
      <c r="BB62">
        <v>0</v>
      </c>
      <c r="BC62">
        <v>0</v>
      </c>
      <c r="BD62">
        <v>0</v>
      </c>
      <c r="BE62">
        <v>0</v>
      </c>
      <c r="BF62">
        <v>0</v>
      </c>
      <c r="BG62">
        <v>0</v>
      </c>
      <c r="BH62">
        <v>0</v>
      </c>
      <c r="BJ62" t="s">
        <v>452</v>
      </c>
      <c r="BL62">
        <v>0.8</v>
      </c>
      <c r="BM62">
        <v>0.797560975609756</v>
      </c>
      <c r="BN62">
        <v>0.785365853658536</v>
      </c>
      <c r="BO62">
        <v>0.773170731707317</v>
      </c>
      <c r="BP62">
        <v>0.760975609756097</v>
      </c>
      <c r="BQ62">
        <v>0.748780487804878</v>
      </c>
      <c r="BR62">
        <v>0.736585365853658</v>
      </c>
      <c r="BS62">
        <v>0.724390243902439</v>
      </c>
      <c r="BT62">
        <v>0.71219512195122</v>
      </c>
      <c r="BU62">
        <v>0.699999999999999</v>
      </c>
      <c r="BV62">
        <v>0.687499999999999</v>
      </c>
      <c r="BW62">
        <v>0.675</v>
      </c>
      <c r="BX62">
        <v>0.6625</v>
      </c>
      <c r="BY62">
        <v>0.649999999999999</v>
      </c>
      <c r="BZ62">
        <v>0.637499999999999</v>
      </c>
      <c r="CA62">
        <v>0.625</v>
      </c>
      <c r="CB62">
        <v>0.6125</v>
      </c>
      <c r="CC62">
        <v>0.6</v>
      </c>
      <c r="CD62" t="e">
        <v>#VALUE!</v>
      </c>
      <c r="CE62" t="e">
        <v>#VALUE!</v>
      </c>
      <c r="CF62" t="e">
        <v>#VALUE!</v>
      </c>
      <c r="CG62" t="e">
        <v>#VALUE!</v>
      </c>
      <c r="CH62" t="e">
        <v>#VALUE!</v>
      </c>
      <c r="CI62" t="e">
        <v>#VALUE!</v>
      </c>
      <c r="CJ62" t="e">
        <v>#VALUE!</v>
      </c>
      <c r="CK62" t="e">
        <v>#VALUE!</v>
      </c>
    </row>
    <row r="63" spans="1:89">
      <c r="A63" s="34" t="s">
        <v>9</v>
      </c>
      <c r="B63" s="34" t="s">
        <v>436</v>
      </c>
      <c r="C63" s="34" t="s">
        <v>436</v>
      </c>
      <c r="D63" s="34"/>
      <c r="E63" s="34">
        <v>0.556097471395552</v>
      </c>
      <c r="F63" s="34">
        <f xml:space="preserve">E63</f>
        <v>0.556097471395552</v>
      </c>
      <c r="G63" s="34"/>
      <c r="H63" s="34"/>
      <c r="I63" s="34">
        <f xml:space="preserve">F63</f>
        <v>0.556097471395552</v>
      </c>
      <c r="J63" s="34">
        <f xml:space="preserve">I63</f>
        <v>0.556097471395552</v>
      </c>
      <c r="K63" s="34"/>
      <c r="L63" s="34">
        <f xml:space="preserve">J63</f>
        <v>0.556097471395552</v>
      </c>
      <c r="M63" s="34"/>
      <c r="N63" s="34"/>
      <c r="O63" s="34"/>
      <c r="P63" s="34"/>
      <c r="Q63" s="34"/>
      <c r="R63" s="34"/>
      <c r="S63" s="34"/>
      <c r="T63" s="34"/>
      <c r="U63" s="34"/>
      <c r="V63" s="34">
        <f xml:space="preserve">L63</f>
        <v>0.556097471395552</v>
      </c>
      <c r="W63" s="34">
        <v>3</v>
      </c>
      <c r="AG63" s="232" t="s">
        <v>437</v>
      </c>
      <c r="AI63">
        <v>1</v>
      </c>
      <c r="AJ63">
        <v>1.00809088662721</v>
      </c>
      <c r="AK63">
        <v>1.14400338979557</v>
      </c>
      <c r="AL63">
        <v>1.25050759781859</v>
      </c>
      <c r="AM63">
        <v>1.33772956440188</v>
      </c>
      <c r="AN63">
        <v>1.41833893109734</v>
      </c>
      <c r="AO63">
        <v>1.49432278315945</v>
      </c>
      <c r="AP63">
        <v>1.56678818974415</v>
      </c>
      <c r="AQ63">
        <v>1.63621947674348</v>
      </c>
      <c r="AR63">
        <v>1.70585717561322</v>
      </c>
      <c r="AS63">
        <v>1.77645880442683</v>
      </c>
      <c r="AT63">
        <v>1.84470086225119</v>
      </c>
      <c r="AU63">
        <v>1.90940288904307</v>
      </c>
      <c r="AV63">
        <v>1.96812166978731</v>
      </c>
      <c r="AW63">
        <v>2.01904873969769</v>
      </c>
      <c r="AX63">
        <v>2.06183130985843</v>
      </c>
      <c r="AY63">
        <v>2.09672570873607</v>
      </c>
      <c r="AZ63">
        <v>2.12356532282736</v>
      </c>
      <c r="BA63">
        <v>0</v>
      </c>
      <c r="BB63">
        <v>0</v>
      </c>
      <c r="BC63">
        <v>0</v>
      </c>
      <c r="BD63">
        <v>0</v>
      </c>
      <c r="BE63">
        <v>0</v>
      </c>
      <c r="BF63">
        <v>0</v>
      </c>
      <c r="BG63">
        <v>0</v>
      </c>
      <c r="BH63">
        <v>0</v>
      </c>
      <c r="BJ63" t="s">
        <v>452</v>
      </c>
      <c r="BL63">
        <v>0.8</v>
      </c>
      <c r="BM63">
        <v>0.797560975609756</v>
      </c>
      <c r="BN63">
        <v>0.785365853658536</v>
      </c>
      <c r="BO63">
        <v>0.773170731707317</v>
      </c>
      <c r="BP63">
        <v>0.760975609756097</v>
      </c>
      <c r="BQ63">
        <v>0.748780487804878</v>
      </c>
      <c r="BR63">
        <v>0.736585365853658</v>
      </c>
      <c r="BS63">
        <v>0.724390243902439</v>
      </c>
      <c r="BT63">
        <v>0.71219512195122</v>
      </c>
      <c r="BU63">
        <v>0.699999999999999</v>
      </c>
      <c r="BV63">
        <v>0.687499999999999</v>
      </c>
      <c r="BW63">
        <v>0.675</v>
      </c>
      <c r="BX63">
        <v>0.6625</v>
      </c>
      <c r="BY63">
        <v>0.649999999999999</v>
      </c>
      <c r="BZ63">
        <v>0.637499999999999</v>
      </c>
      <c r="CA63">
        <v>0.625</v>
      </c>
      <c r="CB63">
        <v>0.6125</v>
      </c>
      <c r="CC63">
        <v>0.6</v>
      </c>
      <c r="CD63" t="e">
        <v>#VALUE!</v>
      </c>
      <c r="CE63" t="e">
        <v>#VALUE!</v>
      </c>
      <c r="CF63" t="e">
        <v>#VALUE!</v>
      </c>
      <c r="CG63" t="e">
        <v>#VALUE!</v>
      </c>
      <c r="CH63" t="e">
        <v>#VALUE!</v>
      </c>
      <c r="CI63" t="e">
        <v>#VALUE!</v>
      </c>
      <c r="CJ63" t="e">
        <v>#VALUE!</v>
      </c>
      <c r="CK63" t="e">
        <v>#VALUE!</v>
      </c>
    </row>
    <row r="64" spans="1:89">
      <c r="A64" s="34" t="s">
        <v>9</v>
      </c>
      <c r="B64" s="34" t="s">
        <v>439</v>
      </c>
      <c r="C64" s="34" t="s">
        <v>439</v>
      </c>
      <c r="D64" s="34"/>
      <c r="E64" s="34">
        <v>262.50625171618</v>
      </c>
      <c r="F64" s="34">
        <f xml:space="preserve">E64</f>
        <v>262.50625171618</v>
      </c>
      <c r="G64" s="34"/>
      <c r="H64" s="34"/>
      <c r="I64" s="34">
        <f xml:space="preserve">F64</f>
        <v>262.50625171618</v>
      </c>
      <c r="J64" s="34">
        <f xml:space="preserve">I64</f>
        <v>262.50625171618</v>
      </c>
      <c r="K64" s="34"/>
      <c r="L64" s="34">
        <f xml:space="preserve">J64</f>
        <v>262.50625171618</v>
      </c>
      <c r="M64" s="34"/>
      <c r="N64" s="34"/>
      <c r="O64" s="34"/>
      <c r="P64" s="34"/>
      <c r="Q64" s="34"/>
      <c r="R64" s="34"/>
      <c r="S64" s="34"/>
      <c r="T64" s="34"/>
      <c r="U64" s="34"/>
      <c r="V64" s="34">
        <f xml:space="preserve">L64</f>
        <v>262.50625171618</v>
      </c>
      <c r="W64" s="34">
        <v>3</v>
      </c>
      <c r="AG64" s="232" t="s">
        <v>437</v>
      </c>
      <c r="AI64">
        <v>1</v>
      </c>
      <c r="AJ64">
        <v>1.00809088662721</v>
      </c>
      <c r="AK64">
        <v>1.14400338979557</v>
      </c>
      <c r="AL64">
        <v>1.25050759781859</v>
      </c>
      <c r="AM64">
        <v>1.33772956440188</v>
      </c>
      <c r="AN64">
        <v>1.41833893109734</v>
      </c>
      <c r="AO64">
        <v>1.49432278315945</v>
      </c>
      <c r="AP64">
        <v>1.56678818974415</v>
      </c>
      <c r="AQ64">
        <v>1.63621947674348</v>
      </c>
      <c r="AR64">
        <v>1.70585717561322</v>
      </c>
      <c r="AS64">
        <v>1.77645880442683</v>
      </c>
      <c r="AT64">
        <v>1.84470086225119</v>
      </c>
      <c r="AU64">
        <v>1.90940288904307</v>
      </c>
      <c r="AV64">
        <v>1.96812166978731</v>
      </c>
      <c r="AW64">
        <v>2.01904873969769</v>
      </c>
      <c r="AX64">
        <v>2.06183130985843</v>
      </c>
      <c r="AY64">
        <v>2.09672570873607</v>
      </c>
      <c r="AZ64">
        <v>2.12356532282736</v>
      </c>
      <c r="BA64">
        <v>0</v>
      </c>
      <c r="BB64">
        <v>0</v>
      </c>
      <c r="BC64">
        <v>0</v>
      </c>
      <c r="BD64">
        <v>0</v>
      </c>
      <c r="BE64">
        <v>0</v>
      </c>
      <c r="BF64">
        <v>0</v>
      </c>
      <c r="BG64">
        <v>0</v>
      </c>
      <c r="BH64">
        <v>0</v>
      </c>
      <c r="BJ64" t="s">
        <v>452</v>
      </c>
      <c r="BL64">
        <v>0.8</v>
      </c>
      <c r="BM64">
        <v>0.797560975609756</v>
      </c>
      <c r="BN64">
        <v>0.785365853658536</v>
      </c>
      <c r="BO64">
        <v>0.773170731707317</v>
      </c>
      <c r="BP64">
        <v>0.760975609756097</v>
      </c>
      <c r="BQ64">
        <v>0.748780487804878</v>
      </c>
      <c r="BR64">
        <v>0.736585365853658</v>
      </c>
      <c r="BS64">
        <v>0.724390243902439</v>
      </c>
      <c r="BT64">
        <v>0.71219512195122</v>
      </c>
      <c r="BU64">
        <v>0.699999999999999</v>
      </c>
      <c r="BV64">
        <v>0.687499999999999</v>
      </c>
      <c r="BW64">
        <v>0.675</v>
      </c>
      <c r="BX64">
        <v>0.6625</v>
      </c>
      <c r="BY64">
        <v>0.649999999999999</v>
      </c>
      <c r="BZ64">
        <v>0.637499999999999</v>
      </c>
      <c r="CA64">
        <v>0.625</v>
      </c>
      <c r="CB64">
        <v>0.6125</v>
      </c>
      <c r="CC64">
        <v>0.6</v>
      </c>
      <c r="CD64" t="e">
        <v>#VALUE!</v>
      </c>
      <c r="CE64" t="e">
        <v>#VALUE!</v>
      </c>
      <c r="CF64" t="e">
        <v>#VALUE!</v>
      </c>
      <c r="CG64" t="e">
        <v>#VALUE!</v>
      </c>
      <c r="CH64" t="e">
        <v>#VALUE!</v>
      </c>
      <c r="CI64" t="e">
        <v>#VALUE!</v>
      </c>
      <c r="CJ64" t="e">
        <v>#VALUE!</v>
      </c>
      <c r="CK64" t="e">
        <v>#VALUE!</v>
      </c>
    </row>
    <row r="65" spans="1:89">
      <c r="A65" s="34" t="s">
        <v>9</v>
      </c>
      <c r="B65" s="34" t="s">
        <v>440</v>
      </c>
      <c r="C65" s="34" t="s">
        <v>440</v>
      </c>
      <c r="D65" s="34"/>
      <c r="E65" s="34">
        <v>1.78356265105312</v>
      </c>
      <c r="F65" s="34"/>
      <c r="G65" s="34"/>
      <c r="H65" s="34"/>
      <c r="I65" s="34">
        <v>2.22661580785633</v>
      </c>
      <c r="J65" s="34">
        <v>2.32708131726095</v>
      </c>
      <c r="K65" s="34"/>
      <c r="L65" s="34">
        <v>2.50388201247059</v>
      </c>
      <c r="M65" s="34"/>
      <c r="N65" s="34"/>
      <c r="O65" s="34"/>
      <c r="P65" s="34"/>
      <c r="Q65" s="34"/>
      <c r="R65" s="34"/>
      <c r="S65" s="34"/>
      <c r="T65" s="34"/>
      <c r="U65" s="34"/>
      <c r="V65" s="34">
        <v>3.07152023009688</v>
      </c>
      <c r="W65" s="34">
        <v>3</v>
      </c>
      <c r="AG65" s="232" t="s">
        <v>437</v>
      </c>
      <c r="AI65">
        <v>1</v>
      </c>
      <c r="AJ65">
        <v>1.00809088662721</v>
      </c>
      <c r="AK65">
        <v>1.14400338979557</v>
      </c>
      <c r="AL65">
        <v>1.25050759781859</v>
      </c>
      <c r="AM65">
        <v>1.33772956440188</v>
      </c>
      <c r="AN65">
        <v>1.41833893109734</v>
      </c>
      <c r="AO65">
        <v>1.49432278315945</v>
      </c>
      <c r="AP65">
        <v>1.56678818974415</v>
      </c>
      <c r="AQ65">
        <v>1.63621947674348</v>
      </c>
      <c r="AR65">
        <v>1.70585717561322</v>
      </c>
      <c r="AS65">
        <v>1.77645880442683</v>
      </c>
      <c r="AT65">
        <v>1.84470086225119</v>
      </c>
      <c r="AU65">
        <v>1.90940288904307</v>
      </c>
      <c r="AV65">
        <v>1.96812166978731</v>
      </c>
      <c r="AW65">
        <v>2.01904873969769</v>
      </c>
      <c r="AX65">
        <v>2.06183130985843</v>
      </c>
      <c r="AY65">
        <v>2.09672570873607</v>
      </c>
      <c r="AZ65">
        <v>2.12356532282736</v>
      </c>
      <c r="BA65">
        <v>0</v>
      </c>
      <c r="BB65">
        <v>0</v>
      </c>
      <c r="BC65">
        <v>0</v>
      </c>
      <c r="BD65">
        <v>0</v>
      </c>
      <c r="BE65">
        <v>0</v>
      </c>
      <c r="BF65">
        <v>0</v>
      </c>
      <c r="BG65">
        <v>0</v>
      </c>
      <c r="BH65">
        <v>0</v>
      </c>
      <c r="BJ65" t="s">
        <v>452</v>
      </c>
      <c r="BL65">
        <v>0.8</v>
      </c>
      <c r="BM65">
        <v>0.797560975609756</v>
      </c>
      <c r="BN65">
        <v>0.785365853658536</v>
      </c>
      <c r="BO65">
        <v>0.773170731707317</v>
      </c>
      <c r="BP65">
        <v>0.760975609756097</v>
      </c>
      <c r="BQ65">
        <v>0.748780487804878</v>
      </c>
      <c r="BR65">
        <v>0.736585365853658</v>
      </c>
      <c r="BS65">
        <v>0.724390243902439</v>
      </c>
      <c r="BT65">
        <v>0.71219512195122</v>
      </c>
      <c r="BU65">
        <v>0.699999999999999</v>
      </c>
      <c r="BV65">
        <v>0.687499999999999</v>
      </c>
      <c r="BW65">
        <v>0.675</v>
      </c>
      <c r="BX65">
        <v>0.6625</v>
      </c>
      <c r="BY65">
        <v>0.649999999999999</v>
      </c>
      <c r="BZ65">
        <v>0.637499999999999</v>
      </c>
      <c r="CA65">
        <v>0.625</v>
      </c>
      <c r="CB65">
        <v>0.6125</v>
      </c>
      <c r="CC65">
        <v>0.6</v>
      </c>
      <c r="CD65" t="e">
        <v>#VALUE!</v>
      </c>
      <c r="CE65" t="e">
        <v>#VALUE!</v>
      </c>
      <c r="CF65" t="e">
        <v>#VALUE!</v>
      </c>
      <c r="CG65" t="e">
        <v>#VALUE!</v>
      </c>
      <c r="CH65" t="e">
        <v>#VALUE!</v>
      </c>
      <c r="CI65" t="e">
        <v>#VALUE!</v>
      </c>
      <c r="CJ65" t="e">
        <v>#VALUE!</v>
      </c>
      <c r="CK65" t="e">
        <v>#VALUE!</v>
      </c>
    </row>
    <row r="66" spans="1:89">
      <c r="A66" s="34" t="s">
        <v>9</v>
      </c>
      <c r="B66" s="34" t="s">
        <v>441</v>
      </c>
      <c r="C66" s="34" t="s">
        <v>441</v>
      </c>
      <c r="D66" s="34"/>
      <c r="E66" s="34">
        <v>12.3807603168204</v>
      </c>
      <c r="F66" s="34"/>
      <c r="G66" s="34"/>
      <c r="H66" s="34"/>
      <c r="I66" s="34">
        <v>12.6644810306856</v>
      </c>
      <c r="J66" s="34">
        <v>12.7260322944271</v>
      </c>
      <c r="K66" s="34"/>
      <c r="L66" s="34">
        <v>12.8232854254518</v>
      </c>
      <c r="M66" s="34"/>
      <c r="N66" s="34"/>
      <c r="O66" s="34"/>
      <c r="P66" s="34"/>
      <c r="Q66" s="34"/>
      <c r="R66" s="34"/>
      <c r="S66" s="34"/>
      <c r="T66" s="34"/>
      <c r="U66" s="34"/>
      <c r="V66" s="34">
        <v>12.828033432102</v>
      </c>
      <c r="W66" s="34">
        <v>3</v>
      </c>
      <c r="AG66" s="232" t="s">
        <v>442</v>
      </c>
      <c r="AI66">
        <v>1</v>
      </c>
      <c r="AJ66">
        <v>1.00246027312928</v>
      </c>
      <c r="AK66">
        <v>1.01476163877566</v>
      </c>
      <c r="AL66">
        <v>1.02400419008678</v>
      </c>
      <c r="AM66">
        <v>1.03216863359442</v>
      </c>
      <c r="AN66">
        <v>1.03886818486006</v>
      </c>
      <c r="AO66">
        <v>1.04438293968798</v>
      </c>
      <c r="AP66">
        <v>1.04974249255609</v>
      </c>
      <c r="AQ66">
        <v>1.05309357340416</v>
      </c>
      <c r="AR66">
        <v>1.05565447354461</v>
      </c>
      <c r="AS66">
        <v>1.0579269041621</v>
      </c>
      <c r="AT66">
        <v>1.06086957129022</v>
      </c>
      <c r="AU66">
        <v>1.06410704755827</v>
      </c>
      <c r="AV66">
        <v>1.06605714085946</v>
      </c>
      <c r="AW66">
        <v>1.06529950577906</v>
      </c>
      <c r="AX66">
        <v>1.06166595600804</v>
      </c>
      <c r="AY66">
        <v>1.05584344159268</v>
      </c>
      <c r="AZ66">
        <v>1.04844283717563</v>
      </c>
      <c r="BA66">
        <v>0</v>
      </c>
      <c r="BB66">
        <v>0</v>
      </c>
      <c r="BC66">
        <v>0</v>
      </c>
      <c r="BD66">
        <v>0</v>
      </c>
      <c r="BE66">
        <v>0</v>
      </c>
      <c r="BF66">
        <v>0</v>
      </c>
      <c r="BG66">
        <v>0</v>
      </c>
      <c r="BH66">
        <v>0</v>
      </c>
      <c r="BJ66" t="s">
        <v>452</v>
      </c>
      <c r="BL66">
        <v>0.8</v>
      </c>
      <c r="BM66">
        <v>0.797560975609756</v>
      </c>
      <c r="BN66">
        <v>0.785365853658536</v>
      </c>
      <c r="BO66">
        <v>0.773170731707317</v>
      </c>
      <c r="BP66">
        <v>0.760975609756097</v>
      </c>
      <c r="BQ66">
        <v>0.748780487804878</v>
      </c>
      <c r="BR66">
        <v>0.736585365853658</v>
      </c>
      <c r="BS66">
        <v>0.724390243902439</v>
      </c>
      <c r="BT66">
        <v>0.71219512195122</v>
      </c>
      <c r="BU66">
        <v>0.699999999999999</v>
      </c>
      <c r="BV66">
        <v>0.687499999999999</v>
      </c>
      <c r="BW66">
        <v>0.675</v>
      </c>
      <c r="BX66">
        <v>0.6625</v>
      </c>
      <c r="BY66">
        <v>0.649999999999999</v>
      </c>
      <c r="BZ66">
        <v>0.637499999999999</v>
      </c>
      <c r="CA66">
        <v>0.625</v>
      </c>
      <c r="CB66">
        <v>0.6125</v>
      </c>
      <c r="CC66">
        <v>0.6</v>
      </c>
      <c r="CD66" t="e">
        <v>#VALUE!</v>
      </c>
      <c r="CE66" t="e">
        <v>#VALUE!</v>
      </c>
      <c r="CF66" t="e">
        <v>#VALUE!</v>
      </c>
      <c r="CG66" t="e">
        <v>#VALUE!</v>
      </c>
      <c r="CH66" t="e">
        <v>#VALUE!</v>
      </c>
      <c r="CI66" t="e">
        <v>#VALUE!</v>
      </c>
      <c r="CJ66" t="e">
        <v>#VALUE!</v>
      </c>
      <c r="CK66" t="e">
        <v>#VALUE!</v>
      </c>
    </row>
    <row r="67" spans="1:89">
      <c r="A67" s="34" t="s">
        <v>9</v>
      </c>
      <c r="B67" s="34" t="s">
        <v>443</v>
      </c>
      <c r="C67" s="34" t="s">
        <v>443</v>
      </c>
      <c r="D67" s="34"/>
      <c r="E67" s="34">
        <v>18.0740611496268</v>
      </c>
      <c r="F67" s="34">
        <f xml:space="preserve">E67</f>
        <v>18.0740611496268</v>
      </c>
      <c r="G67" s="34"/>
      <c r="H67" s="34"/>
      <c r="I67" s="34">
        <f xml:space="preserve">F67</f>
        <v>18.0740611496268</v>
      </c>
      <c r="J67" s="34">
        <f xml:space="preserve">I67</f>
        <v>18.0740611496268</v>
      </c>
      <c r="K67" s="34"/>
      <c r="L67" s="34">
        <f xml:space="preserve">J67</f>
        <v>18.0740611496268</v>
      </c>
      <c r="M67" s="34"/>
      <c r="N67" s="34"/>
      <c r="O67" s="34"/>
      <c r="P67" s="34"/>
      <c r="Q67" s="34"/>
      <c r="R67" s="34"/>
      <c r="S67" s="34"/>
      <c r="T67" s="34"/>
      <c r="U67" s="34"/>
      <c r="V67" s="34">
        <f xml:space="preserve">L67</f>
        <v>18.0740611496268</v>
      </c>
      <c r="W67" s="34">
        <v>3</v>
      </c>
      <c r="AG67" s="232" t="s">
        <v>437</v>
      </c>
      <c r="AI67">
        <v>1</v>
      </c>
      <c r="AJ67">
        <v>1.00809088662721</v>
      </c>
      <c r="AK67">
        <v>1.14400338979557</v>
      </c>
      <c r="AL67">
        <v>1.25050759781859</v>
      </c>
      <c r="AM67">
        <v>1.33772956440188</v>
      </c>
      <c r="AN67">
        <v>1.41833893109734</v>
      </c>
      <c r="AO67">
        <v>1.49432278315945</v>
      </c>
      <c r="AP67">
        <v>1.56678818974415</v>
      </c>
      <c r="AQ67">
        <v>1.63621947674348</v>
      </c>
      <c r="AR67">
        <v>1.70585717561322</v>
      </c>
      <c r="AS67">
        <v>1.77645880442683</v>
      </c>
      <c r="AT67">
        <v>1.84470086225119</v>
      </c>
      <c r="AU67">
        <v>1.90940288904307</v>
      </c>
      <c r="AV67">
        <v>1.96812166978731</v>
      </c>
      <c r="AW67">
        <v>2.01904873969769</v>
      </c>
      <c r="AX67">
        <v>2.06183130985843</v>
      </c>
      <c r="AY67">
        <v>2.09672570873607</v>
      </c>
      <c r="AZ67">
        <v>2.12356532282736</v>
      </c>
      <c r="BA67">
        <v>0</v>
      </c>
      <c r="BB67">
        <v>0</v>
      </c>
      <c r="BC67">
        <v>0</v>
      </c>
      <c r="BD67">
        <v>0</v>
      </c>
      <c r="BE67">
        <v>0</v>
      </c>
      <c r="BF67">
        <v>0</v>
      </c>
      <c r="BG67">
        <v>0</v>
      </c>
      <c r="BH67">
        <v>0</v>
      </c>
      <c r="BJ67" t="s">
        <v>452</v>
      </c>
      <c r="BL67">
        <v>0.8</v>
      </c>
      <c r="BM67">
        <v>0.797560975609756</v>
      </c>
      <c r="BN67">
        <v>0.785365853658536</v>
      </c>
      <c r="BO67">
        <v>0.773170731707317</v>
      </c>
      <c r="BP67">
        <v>0.760975609756097</v>
      </c>
      <c r="BQ67">
        <v>0.748780487804878</v>
      </c>
      <c r="BR67">
        <v>0.736585365853658</v>
      </c>
      <c r="BS67">
        <v>0.724390243902439</v>
      </c>
      <c r="BT67">
        <v>0.71219512195122</v>
      </c>
      <c r="BU67">
        <v>0.699999999999999</v>
      </c>
      <c r="BV67">
        <v>0.687499999999999</v>
      </c>
      <c r="BW67">
        <v>0.675</v>
      </c>
      <c r="BX67">
        <v>0.6625</v>
      </c>
      <c r="BY67">
        <v>0.649999999999999</v>
      </c>
      <c r="BZ67">
        <v>0.637499999999999</v>
      </c>
      <c r="CA67">
        <v>0.625</v>
      </c>
      <c r="CB67">
        <v>0.6125</v>
      </c>
      <c r="CC67">
        <v>0.6</v>
      </c>
      <c r="CD67" t="e">
        <v>#VALUE!</v>
      </c>
      <c r="CE67" t="e">
        <v>#VALUE!</v>
      </c>
      <c r="CF67" t="e">
        <v>#VALUE!</v>
      </c>
      <c r="CG67" t="e">
        <v>#VALUE!</v>
      </c>
      <c r="CH67" t="e">
        <v>#VALUE!</v>
      </c>
      <c r="CI67" t="e">
        <v>#VALUE!</v>
      </c>
      <c r="CJ67" t="e">
        <v>#VALUE!</v>
      </c>
      <c r="CK67" t="e">
        <v>#VALUE!</v>
      </c>
    </row>
    <row r="68" spans="1:89">
      <c r="A68" s="34" t="s">
        <v>9</v>
      </c>
      <c r="B68" s="34" t="s">
        <v>444</v>
      </c>
      <c r="C68" s="34" t="s">
        <v>444</v>
      </c>
      <c r="D68" s="34"/>
      <c r="E68" s="34">
        <v>816.254772786243</v>
      </c>
      <c r="F68" s="34">
        <f xml:space="preserve">E68</f>
        <v>816.254772786243</v>
      </c>
      <c r="G68" s="34"/>
      <c r="H68" s="34"/>
      <c r="I68" s="34">
        <f xml:space="preserve">F68</f>
        <v>816.254772786243</v>
      </c>
      <c r="J68" s="34">
        <f xml:space="preserve">I68</f>
        <v>816.254772786243</v>
      </c>
      <c r="K68" s="34"/>
      <c r="L68" s="34">
        <f xml:space="preserve">J68</f>
        <v>816.254772786243</v>
      </c>
      <c r="M68" s="34"/>
      <c r="N68" s="34"/>
      <c r="O68" s="34"/>
      <c r="P68" s="34"/>
      <c r="Q68" s="34"/>
      <c r="R68" s="34"/>
      <c r="S68" s="34"/>
      <c r="T68" s="34"/>
      <c r="U68" s="34"/>
      <c r="V68" s="34">
        <f xml:space="preserve">L68</f>
        <v>816.254772786243</v>
      </c>
      <c r="W68" s="34">
        <v>3</v>
      </c>
      <c r="AG68" s="232" t="s">
        <v>437</v>
      </c>
      <c r="AI68">
        <v>1</v>
      </c>
      <c r="AJ68">
        <v>1.00809088662721</v>
      </c>
      <c r="AK68">
        <v>1.14400338979557</v>
      </c>
      <c r="AL68">
        <v>1.25050759781859</v>
      </c>
      <c r="AM68">
        <v>1.33772956440188</v>
      </c>
      <c r="AN68">
        <v>1.41833893109734</v>
      </c>
      <c r="AO68">
        <v>1.49432278315945</v>
      </c>
      <c r="AP68">
        <v>1.56678818974415</v>
      </c>
      <c r="AQ68">
        <v>1.63621947674348</v>
      </c>
      <c r="AR68">
        <v>1.70585717561322</v>
      </c>
      <c r="AS68">
        <v>1.77645880442683</v>
      </c>
      <c r="AT68">
        <v>1.84470086225119</v>
      </c>
      <c r="AU68">
        <v>1.90940288904307</v>
      </c>
      <c r="AV68">
        <v>1.96812166978731</v>
      </c>
      <c r="AW68">
        <v>2.01904873969769</v>
      </c>
      <c r="AX68">
        <v>2.06183130985843</v>
      </c>
      <c r="AY68">
        <v>2.09672570873607</v>
      </c>
      <c r="AZ68">
        <v>2.12356532282736</v>
      </c>
      <c r="BA68">
        <v>0</v>
      </c>
      <c r="BB68">
        <v>0</v>
      </c>
      <c r="BC68">
        <v>0</v>
      </c>
      <c r="BD68">
        <v>0</v>
      </c>
      <c r="BE68">
        <v>0</v>
      </c>
      <c r="BF68">
        <v>0</v>
      </c>
      <c r="BG68">
        <v>0</v>
      </c>
      <c r="BH68">
        <v>0</v>
      </c>
      <c r="BJ68" t="s">
        <v>452</v>
      </c>
      <c r="BL68">
        <v>0.8</v>
      </c>
      <c r="BM68">
        <v>0.797560975609756</v>
      </c>
      <c r="BN68">
        <v>0.785365853658536</v>
      </c>
      <c r="BO68">
        <v>0.773170731707317</v>
      </c>
      <c r="BP68">
        <v>0.760975609756097</v>
      </c>
      <c r="BQ68">
        <v>0.748780487804878</v>
      </c>
      <c r="BR68">
        <v>0.736585365853658</v>
      </c>
      <c r="BS68">
        <v>0.724390243902439</v>
      </c>
      <c r="BT68">
        <v>0.71219512195122</v>
      </c>
      <c r="BU68">
        <v>0.699999999999999</v>
      </c>
      <c r="BV68">
        <v>0.687499999999999</v>
      </c>
      <c r="BW68">
        <v>0.675</v>
      </c>
      <c r="BX68">
        <v>0.6625</v>
      </c>
      <c r="BY68">
        <v>0.649999999999999</v>
      </c>
      <c r="BZ68">
        <v>0.637499999999999</v>
      </c>
      <c r="CA68">
        <v>0.625</v>
      </c>
      <c r="CB68">
        <v>0.6125</v>
      </c>
      <c r="CC68">
        <v>0.6</v>
      </c>
      <c r="CD68" t="e">
        <v>#VALUE!</v>
      </c>
      <c r="CE68" t="e">
        <v>#VALUE!</v>
      </c>
      <c r="CF68" t="e">
        <v>#VALUE!</v>
      </c>
      <c r="CG68" t="e">
        <v>#VALUE!</v>
      </c>
      <c r="CH68" t="e">
        <v>#VALUE!</v>
      </c>
      <c r="CI68" t="e">
        <v>#VALUE!</v>
      </c>
      <c r="CJ68" t="e">
        <v>#VALUE!</v>
      </c>
      <c r="CK68" t="e">
        <v>#VALUE!</v>
      </c>
    </row>
    <row r="69" spans="1:89">
      <c r="A69" s="34" t="s">
        <v>9</v>
      </c>
      <c r="B69" s="34" t="s">
        <v>445</v>
      </c>
      <c r="C69" s="34" t="s">
        <v>445</v>
      </c>
      <c r="D69" s="34">
        <v>1.288</v>
      </c>
      <c r="E69" s="34">
        <v>1.29052733657438</v>
      </c>
      <c r="F69" s="34"/>
      <c r="G69" s="34">
        <v>1.30296461567403</v>
      </c>
      <c r="H69" s="34">
        <v>1.31214024490941</v>
      </c>
      <c r="I69" s="34">
        <v>1.32010139566493</v>
      </c>
      <c r="J69" s="34">
        <v>1.32651728503089</v>
      </c>
      <c r="K69" s="34">
        <v>1.33170411203091</v>
      </c>
      <c r="L69" s="34">
        <v>1.33665461270246</v>
      </c>
      <c r="M69" s="34">
        <v>1.33969354009986</v>
      </c>
      <c r="N69" s="34">
        <v>1.34197403541685</v>
      </c>
      <c r="O69" s="34">
        <v>1.34396006473482</v>
      </c>
      <c r="P69" s="34">
        <v>1.34648340380928</v>
      </c>
      <c r="Q69" s="34">
        <v>1.34920567563357</v>
      </c>
      <c r="R69" s="34">
        <v>1.35081284478202</v>
      </c>
      <c r="S69" s="34">
        <v>1.3502008397929</v>
      </c>
      <c r="T69" s="34">
        <v>1.34732252838514</v>
      </c>
      <c r="U69" s="34">
        <v>1.34279667640736</v>
      </c>
      <c r="V69" s="34">
        <v>1.33714952837964</v>
      </c>
      <c r="W69" s="34">
        <v>3</v>
      </c>
      <c r="AG69" s="232" t="s">
        <v>442</v>
      </c>
      <c r="AI69">
        <v>1</v>
      </c>
      <c r="AJ69">
        <v>1.00246027312928</v>
      </c>
      <c r="AK69">
        <v>1.01476163877566</v>
      </c>
      <c r="AL69">
        <v>1.02400419008678</v>
      </c>
      <c r="AM69">
        <v>1.03216863359442</v>
      </c>
      <c r="AN69">
        <v>1.03886818486006</v>
      </c>
      <c r="AO69">
        <v>1.04438293968798</v>
      </c>
      <c r="AP69">
        <v>1.04974249255609</v>
      </c>
      <c r="AQ69">
        <v>1.05309357340416</v>
      </c>
      <c r="AR69">
        <v>1.05565447354461</v>
      </c>
      <c r="AS69">
        <v>1.0579269041621</v>
      </c>
      <c r="AT69">
        <v>1.06086957129022</v>
      </c>
      <c r="AU69">
        <v>1.06410704755827</v>
      </c>
      <c r="AV69">
        <v>1.06605714085946</v>
      </c>
      <c r="AW69">
        <v>1.06529950577906</v>
      </c>
      <c r="AX69">
        <v>1.06166595600804</v>
      </c>
      <c r="AY69">
        <v>1.05584344159268</v>
      </c>
      <c r="AZ69">
        <v>1.04844283717563</v>
      </c>
      <c r="BA69">
        <v>0</v>
      </c>
      <c r="BB69">
        <v>0</v>
      </c>
      <c r="BC69">
        <v>0</v>
      </c>
      <c r="BD69">
        <v>0</v>
      </c>
      <c r="BE69">
        <v>0</v>
      </c>
      <c r="BF69">
        <v>0</v>
      </c>
      <c r="BG69">
        <v>0</v>
      </c>
      <c r="BH69">
        <v>0</v>
      </c>
      <c r="BJ69" t="s">
        <v>452</v>
      </c>
      <c r="BL69">
        <v>0.8</v>
      </c>
      <c r="BM69">
        <v>0.797560975609756</v>
      </c>
      <c r="BN69">
        <v>0.785365853658536</v>
      </c>
      <c r="BO69">
        <v>0.773170731707317</v>
      </c>
      <c r="BP69">
        <v>0.760975609756097</v>
      </c>
      <c r="BQ69">
        <v>0.748780487804878</v>
      </c>
      <c r="BR69">
        <v>0.736585365853658</v>
      </c>
      <c r="BS69">
        <v>0.724390243902439</v>
      </c>
      <c r="BT69">
        <v>0.71219512195122</v>
      </c>
      <c r="BU69">
        <v>0.699999999999999</v>
      </c>
      <c r="BV69">
        <v>0.687499999999999</v>
      </c>
      <c r="BW69">
        <v>0.675</v>
      </c>
      <c r="BX69">
        <v>0.6625</v>
      </c>
      <c r="BY69">
        <v>0.649999999999999</v>
      </c>
      <c r="BZ69">
        <v>0.637499999999999</v>
      </c>
      <c r="CA69">
        <v>0.625</v>
      </c>
      <c r="CB69">
        <v>0.6125</v>
      </c>
      <c r="CC69">
        <v>0.6</v>
      </c>
      <c r="CD69" t="e">
        <v>#VALUE!</v>
      </c>
      <c r="CE69" t="e">
        <v>#VALUE!</v>
      </c>
      <c r="CF69" t="e">
        <v>#VALUE!</v>
      </c>
      <c r="CG69" t="e">
        <v>#VALUE!</v>
      </c>
      <c r="CH69" t="e">
        <v>#VALUE!</v>
      </c>
      <c r="CI69" t="e">
        <v>#VALUE!</v>
      </c>
      <c r="CJ69" t="e">
        <v>#VALUE!</v>
      </c>
      <c r="CK69" t="e">
        <v>#VALUE!</v>
      </c>
    </row>
    <row r="70" spans="1:89">
      <c r="A70" s="34" t="s">
        <v>9</v>
      </c>
      <c r="B70" s="34" t="s">
        <v>446</v>
      </c>
      <c r="C70" s="34" t="s">
        <v>446</v>
      </c>
      <c r="D70" s="34">
        <v>0.765</v>
      </c>
      <c r="E70" s="34">
        <v>0.7665010966455</v>
      </c>
      <c r="F70" s="34"/>
      <c r="G70" s="34">
        <v>0.773888145179065</v>
      </c>
      <c r="H70" s="34">
        <v>0.779337956021502</v>
      </c>
      <c r="I70" s="34">
        <v>0.784066434537011</v>
      </c>
      <c r="J70" s="34">
        <v>0.787877114168189</v>
      </c>
      <c r="K70" s="34">
        <v>0.790957799459353</v>
      </c>
      <c r="L70" s="34">
        <v>0.793898120122189</v>
      </c>
      <c r="M70" s="34">
        <v>0.795703073118319</v>
      </c>
      <c r="N70" s="34">
        <v>0.797057559855507</v>
      </c>
      <c r="O70" s="34">
        <v>0.798237150250104</v>
      </c>
      <c r="P70" s="34">
        <v>0.799735872604115</v>
      </c>
      <c r="Q70" s="34">
        <v>0.801352749891055</v>
      </c>
      <c r="R70" s="34">
        <v>0.802307318523482</v>
      </c>
      <c r="S70" s="34">
        <v>0.801943821771405</v>
      </c>
      <c r="T70" s="34">
        <v>0.800234265694592</v>
      </c>
      <c r="U70" s="34">
        <v>0.797546162617726</v>
      </c>
      <c r="V70" s="34">
        <v>0.794192072368342</v>
      </c>
      <c r="W70" s="34">
        <v>3</v>
      </c>
      <c r="AG70" s="232" t="s">
        <v>442</v>
      </c>
      <c r="AI70">
        <v>1</v>
      </c>
      <c r="AJ70">
        <v>1.00246027312928</v>
      </c>
      <c r="AK70">
        <v>1.01476163877566</v>
      </c>
      <c r="AL70">
        <v>1.02400419008678</v>
      </c>
      <c r="AM70">
        <v>1.03216863359442</v>
      </c>
      <c r="AN70">
        <v>1.03886818486006</v>
      </c>
      <c r="AO70">
        <v>1.04438293968798</v>
      </c>
      <c r="AP70">
        <v>1.04974249255609</v>
      </c>
      <c r="AQ70">
        <v>1.05309357340416</v>
      </c>
      <c r="AR70">
        <v>1.05565447354461</v>
      </c>
      <c r="AS70">
        <v>1.0579269041621</v>
      </c>
      <c r="AT70">
        <v>1.06086957129022</v>
      </c>
      <c r="AU70">
        <v>1.06410704755827</v>
      </c>
      <c r="AV70">
        <v>1.06605714085946</v>
      </c>
      <c r="AW70">
        <v>1.06529950577906</v>
      </c>
      <c r="AX70">
        <v>1.06166595600804</v>
      </c>
      <c r="AY70">
        <v>1.05584344159268</v>
      </c>
      <c r="AZ70">
        <v>1.04844283717563</v>
      </c>
      <c r="BA70">
        <v>0</v>
      </c>
      <c r="BB70">
        <v>0</v>
      </c>
      <c r="BC70">
        <v>0</v>
      </c>
      <c r="BD70">
        <v>0</v>
      </c>
      <c r="BE70">
        <v>0</v>
      </c>
      <c r="BF70">
        <v>0</v>
      </c>
      <c r="BG70">
        <v>0</v>
      </c>
      <c r="BH70">
        <v>0</v>
      </c>
      <c r="BJ70" t="s">
        <v>452</v>
      </c>
      <c r="BL70">
        <v>0.8</v>
      </c>
      <c r="BM70">
        <v>0.797560975609756</v>
      </c>
      <c r="BN70">
        <v>0.785365853658536</v>
      </c>
      <c r="BO70">
        <v>0.773170731707317</v>
      </c>
      <c r="BP70">
        <v>0.760975609756097</v>
      </c>
      <c r="BQ70">
        <v>0.748780487804878</v>
      </c>
      <c r="BR70">
        <v>0.736585365853658</v>
      </c>
      <c r="BS70">
        <v>0.724390243902439</v>
      </c>
      <c r="BT70">
        <v>0.71219512195122</v>
      </c>
      <c r="BU70">
        <v>0.699999999999999</v>
      </c>
      <c r="BV70">
        <v>0.687499999999999</v>
      </c>
      <c r="BW70">
        <v>0.675</v>
      </c>
      <c r="BX70">
        <v>0.6625</v>
      </c>
      <c r="BY70">
        <v>0.649999999999999</v>
      </c>
      <c r="BZ70">
        <v>0.637499999999999</v>
      </c>
      <c r="CA70">
        <v>0.625</v>
      </c>
      <c r="CB70">
        <v>0.6125</v>
      </c>
      <c r="CC70">
        <v>0.6</v>
      </c>
      <c r="CD70" t="e">
        <v>#VALUE!</v>
      </c>
      <c r="CE70" t="e">
        <v>#VALUE!</v>
      </c>
      <c r="CF70" t="e">
        <v>#VALUE!</v>
      </c>
      <c r="CG70" t="e">
        <v>#VALUE!</v>
      </c>
      <c r="CH70" t="e">
        <v>#VALUE!</v>
      </c>
      <c r="CI70" t="e">
        <v>#VALUE!</v>
      </c>
      <c r="CJ70" t="e">
        <v>#VALUE!</v>
      </c>
      <c r="CK70" t="e">
        <v>#VALUE!</v>
      </c>
    </row>
    <row r="71" spans="1:89">
      <c r="A71" s="34" t="s">
        <v>9</v>
      </c>
      <c r="B71" s="34" t="s">
        <v>447</v>
      </c>
      <c r="C71" s="34" t="s">
        <v>447</v>
      </c>
      <c r="D71" s="34">
        <v>1.785</v>
      </c>
      <c r="E71" s="34">
        <v>1.7885025588395</v>
      </c>
      <c r="F71" s="34"/>
      <c r="G71" s="34">
        <v>1.80573900541782</v>
      </c>
      <c r="H71" s="34">
        <v>1.81845523071684</v>
      </c>
      <c r="I71" s="34">
        <v>1.82948834725303</v>
      </c>
      <c r="J71" s="34">
        <v>1.83837993305911</v>
      </c>
      <c r="K71" s="34">
        <v>1.84556819873849</v>
      </c>
      <c r="L71" s="34">
        <v>1.85242894695178</v>
      </c>
      <c r="M71" s="34">
        <v>1.85664050394275</v>
      </c>
      <c r="N71" s="34">
        <v>1.85980097299618</v>
      </c>
      <c r="O71" s="34">
        <v>1.86255335058358</v>
      </c>
      <c r="P71" s="34">
        <v>1.8660503694096</v>
      </c>
      <c r="Q71" s="34">
        <v>1.86982308307913</v>
      </c>
      <c r="R71" s="34">
        <v>1.87205040988813</v>
      </c>
      <c r="S71" s="34">
        <v>1.87120225079995</v>
      </c>
      <c r="T71" s="34">
        <v>1.86721328662072</v>
      </c>
      <c r="U71" s="34">
        <v>1.86094104610803</v>
      </c>
      <c r="V71" s="34">
        <v>1.85311483552613</v>
      </c>
      <c r="W71" s="34">
        <v>3</v>
      </c>
      <c r="AG71" s="232" t="s">
        <v>442</v>
      </c>
      <c r="AI71">
        <v>1</v>
      </c>
      <c r="AJ71">
        <v>1.00246027312928</v>
      </c>
      <c r="AK71">
        <v>1.01476163877566</v>
      </c>
      <c r="AL71">
        <v>1.02400419008678</v>
      </c>
      <c r="AM71">
        <v>1.03216863359442</v>
      </c>
      <c r="AN71">
        <v>1.03886818486006</v>
      </c>
      <c r="AO71">
        <v>1.04438293968798</v>
      </c>
      <c r="AP71">
        <v>1.04974249255609</v>
      </c>
      <c r="AQ71">
        <v>1.05309357340416</v>
      </c>
      <c r="AR71">
        <v>1.05565447354461</v>
      </c>
      <c r="AS71">
        <v>1.0579269041621</v>
      </c>
      <c r="AT71">
        <v>1.06086957129022</v>
      </c>
      <c r="AU71">
        <v>1.06410704755827</v>
      </c>
      <c r="AV71">
        <v>1.06605714085946</v>
      </c>
      <c r="AW71">
        <v>1.06529950577906</v>
      </c>
      <c r="AX71">
        <v>1.06166595600804</v>
      </c>
      <c r="AY71">
        <v>1.05584344159268</v>
      </c>
      <c r="AZ71">
        <v>1.04844283717563</v>
      </c>
      <c r="BA71">
        <v>0</v>
      </c>
      <c r="BB71">
        <v>0</v>
      </c>
      <c r="BC71">
        <v>0</v>
      </c>
      <c r="BD71">
        <v>0</v>
      </c>
      <c r="BE71">
        <v>0</v>
      </c>
      <c r="BF71">
        <v>0</v>
      </c>
      <c r="BG71">
        <v>0</v>
      </c>
      <c r="BH71">
        <v>0</v>
      </c>
      <c r="BJ71" t="s">
        <v>452</v>
      </c>
      <c r="BL71">
        <v>0.8</v>
      </c>
      <c r="BM71">
        <v>0.797560975609756</v>
      </c>
      <c r="BN71">
        <v>0.785365853658536</v>
      </c>
      <c r="BO71">
        <v>0.773170731707317</v>
      </c>
      <c r="BP71">
        <v>0.760975609756097</v>
      </c>
      <c r="BQ71">
        <v>0.748780487804878</v>
      </c>
      <c r="BR71">
        <v>0.736585365853658</v>
      </c>
      <c r="BS71">
        <v>0.724390243902439</v>
      </c>
      <c r="BT71">
        <v>0.71219512195122</v>
      </c>
      <c r="BU71">
        <v>0.699999999999999</v>
      </c>
      <c r="BV71">
        <v>0.687499999999999</v>
      </c>
      <c r="BW71">
        <v>0.675</v>
      </c>
      <c r="BX71">
        <v>0.6625</v>
      </c>
      <c r="BY71">
        <v>0.649999999999999</v>
      </c>
      <c r="BZ71">
        <v>0.637499999999999</v>
      </c>
      <c r="CA71">
        <v>0.625</v>
      </c>
      <c r="CB71">
        <v>0.6125</v>
      </c>
      <c r="CC71">
        <v>0.6</v>
      </c>
      <c r="CD71" t="e">
        <v>#VALUE!</v>
      </c>
      <c r="CE71" t="e">
        <v>#VALUE!</v>
      </c>
      <c r="CF71" t="e">
        <v>#VALUE!</v>
      </c>
      <c r="CG71" t="e">
        <v>#VALUE!</v>
      </c>
      <c r="CH71" t="e">
        <v>#VALUE!</v>
      </c>
      <c r="CI71" t="e">
        <v>#VALUE!</v>
      </c>
      <c r="CJ71" t="e">
        <v>#VALUE!</v>
      </c>
      <c r="CK71" t="e">
        <v>#VALUE!</v>
      </c>
    </row>
    <row r="72" spans="1:89">
      <c r="A72" s="34" t="s">
        <v>9</v>
      </c>
      <c r="B72" s="34" t="s">
        <v>448</v>
      </c>
      <c r="C72" s="34" t="s">
        <v>448</v>
      </c>
      <c r="D72" s="34">
        <v>188.412</v>
      </c>
      <c r="E72" s="34">
        <v>189.256036060692</v>
      </c>
      <c r="F72" s="34"/>
      <c r="G72" s="34">
        <v>207.250544007891</v>
      </c>
      <c r="H72" s="34">
        <v>220.587584191758</v>
      </c>
      <c r="I72" s="34">
        <v>230.875419859672</v>
      </c>
      <c r="J72" s="34">
        <v>240.110549584008</v>
      </c>
      <c r="K72" s="34">
        <v>248.601538699814</v>
      </c>
      <c r="L72" s="34">
        <v>256.37049935059</v>
      </c>
      <c r="M72" s="34">
        <v>263.854922313545</v>
      </c>
      <c r="N72" s="34">
        <v>271.248583254919</v>
      </c>
      <c r="O72" s="34">
        <v>278.549570282268</v>
      </c>
      <c r="P72" s="34">
        <v>285.230759175177</v>
      </c>
      <c r="Q72" s="34">
        <v>291.263552420858</v>
      </c>
      <c r="R72" s="34">
        <v>296.72867535095</v>
      </c>
      <c r="S72" s="34">
        <v>301.761506209798</v>
      </c>
      <c r="T72" s="34">
        <v>306.417023848534</v>
      </c>
      <c r="U72" s="34">
        <v>310.645815593219</v>
      </c>
      <c r="V72" s="34">
        <v>314.364198685293</v>
      </c>
      <c r="W72" s="34">
        <v>3</v>
      </c>
      <c r="AG72" s="232" t="s">
        <v>449</v>
      </c>
      <c r="AI72">
        <v>1</v>
      </c>
      <c r="AJ72">
        <v>1.00561679464899</v>
      </c>
      <c r="AK72">
        <v>1.12736168384907</v>
      </c>
      <c r="AL72">
        <v>1.22119382901413</v>
      </c>
      <c r="AM72">
        <v>1.29603779931132</v>
      </c>
      <c r="AN72">
        <v>1.36527323847963</v>
      </c>
      <c r="AO72">
        <v>1.43081883701192</v>
      </c>
      <c r="AP72">
        <v>1.49254526786763</v>
      </c>
      <c r="AQ72">
        <v>1.55372658049212</v>
      </c>
      <c r="AR72">
        <v>1.61592378790894</v>
      </c>
      <c r="AS72">
        <v>1.67918860692349</v>
      </c>
      <c r="AT72">
        <v>1.73885736020092</v>
      </c>
      <c r="AU72">
        <v>1.79437105827317</v>
      </c>
      <c r="AV72">
        <v>1.84616902261036</v>
      </c>
      <c r="AW72">
        <v>1.89528740860642</v>
      </c>
      <c r="AX72">
        <v>1.94207160754322</v>
      </c>
      <c r="AY72">
        <v>1.98583012039482</v>
      </c>
      <c r="AZ72">
        <v>2.02544692712859</v>
      </c>
      <c r="BA72">
        <v>0</v>
      </c>
      <c r="BB72">
        <v>0</v>
      </c>
      <c r="BC72">
        <v>0</v>
      </c>
      <c r="BD72">
        <v>0</v>
      </c>
      <c r="BE72">
        <v>0</v>
      </c>
      <c r="BF72">
        <v>0</v>
      </c>
      <c r="BG72">
        <v>0</v>
      </c>
      <c r="BH72">
        <v>0</v>
      </c>
      <c r="BJ72" t="s">
        <v>452</v>
      </c>
      <c r="BL72">
        <v>0.8</v>
      </c>
      <c r="BM72">
        <v>0.797560975609756</v>
      </c>
      <c r="BN72">
        <v>0.785365853658536</v>
      </c>
      <c r="BO72">
        <v>0.773170731707317</v>
      </c>
      <c r="BP72">
        <v>0.760975609756097</v>
      </c>
      <c r="BQ72">
        <v>0.748780487804878</v>
      </c>
      <c r="BR72">
        <v>0.736585365853658</v>
      </c>
      <c r="BS72">
        <v>0.724390243902439</v>
      </c>
      <c r="BT72">
        <v>0.71219512195122</v>
      </c>
      <c r="BU72">
        <v>0.699999999999999</v>
      </c>
      <c r="BV72">
        <v>0.687499999999999</v>
      </c>
      <c r="BW72">
        <v>0.675</v>
      </c>
      <c r="BX72">
        <v>0.6625</v>
      </c>
      <c r="BY72">
        <v>0.649999999999999</v>
      </c>
      <c r="BZ72">
        <v>0.637499999999999</v>
      </c>
      <c r="CA72">
        <v>0.625</v>
      </c>
      <c r="CB72">
        <v>0.6125</v>
      </c>
      <c r="CC72">
        <v>0.6</v>
      </c>
      <c r="CD72" t="e">
        <v>#VALUE!</v>
      </c>
      <c r="CE72" t="e">
        <v>#VALUE!</v>
      </c>
      <c r="CF72" t="e">
        <v>#VALUE!</v>
      </c>
      <c r="CG72" t="e">
        <v>#VALUE!</v>
      </c>
      <c r="CH72" t="e">
        <v>#VALUE!</v>
      </c>
      <c r="CI72" t="e">
        <v>#VALUE!</v>
      </c>
      <c r="CJ72" t="e">
        <v>#VALUE!</v>
      </c>
      <c r="CK72" t="e">
        <v>#VALUE!</v>
      </c>
    </row>
    <row r="73" spans="1:89">
      <c r="A73" s="34" t="s">
        <v>9</v>
      </c>
      <c r="B73" s="34" t="s">
        <v>450</v>
      </c>
      <c r="C73" s="34" t="s">
        <v>450</v>
      </c>
      <c r="D73" s="34">
        <v>52.2</v>
      </c>
      <c r="E73" s="34">
        <v>52.5368453175476</v>
      </c>
      <c r="F73" s="34"/>
      <c r="G73" s="34">
        <v>58.0996745557037</v>
      </c>
      <c r="H73" s="34">
        <v>62.2817182028071</v>
      </c>
      <c r="I73" s="34">
        <v>65.5874747152184</v>
      </c>
      <c r="J73" s="34">
        <v>68.5467993704095</v>
      </c>
      <c r="K73" s="34">
        <v>71.2517014664645</v>
      </c>
      <c r="L73" s="34">
        <v>73.7546628400662</v>
      </c>
      <c r="M73" s="34">
        <v>76.0823971237345</v>
      </c>
      <c r="N73" s="34">
        <v>78.3490503416236</v>
      </c>
      <c r="O73" s="34">
        <v>80.578401556557</v>
      </c>
      <c r="P73" s="34">
        <v>82.6677909919788</v>
      </c>
      <c r="Q73" s="34">
        <v>84.5887325390831</v>
      </c>
      <c r="R73" s="34">
        <v>86.2795834978481</v>
      </c>
      <c r="S73" s="34">
        <v>87.7028458960293</v>
      </c>
      <c r="T73" s="34">
        <v>88.8643313409043</v>
      </c>
      <c r="U73" s="34">
        <v>89.7854936532617</v>
      </c>
      <c r="V73" s="34">
        <v>90.4750854269331</v>
      </c>
      <c r="W73" s="34">
        <v>3</v>
      </c>
      <c r="AG73" s="232" t="s">
        <v>437</v>
      </c>
      <c r="AI73">
        <v>1</v>
      </c>
      <c r="AJ73">
        <v>1.00809088662721</v>
      </c>
      <c r="AK73">
        <v>1.14400338979557</v>
      </c>
      <c r="AL73">
        <v>1.25050759781859</v>
      </c>
      <c r="AM73">
        <v>1.33772956440188</v>
      </c>
      <c r="AN73">
        <v>1.41833893109734</v>
      </c>
      <c r="AO73">
        <v>1.49432278315945</v>
      </c>
      <c r="AP73">
        <v>1.56678818974415</v>
      </c>
      <c r="AQ73">
        <v>1.63621947674348</v>
      </c>
      <c r="AR73">
        <v>1.70585717561322</v>
      </c>
      <c r="AS73">
        <v>1.77645880442683</v>
      </c>
      <c r="AT73">
        <v>1.84470086225119</v>
      </c>
      <c r="AU73">
        <v>1.90940288904307</v>
      </c>
      <c r="AV73">
        <v>1.96812166978731</v>
      </c>
      <c r="AW73">
        <v>2.01904873969769</v>
      </c>
      <c r="AX73">
        <v>2.06183130985843</v>
      </c>
      <c r="AY73">
        <v>2.09672570873607</v>
      </c>
      <c r="AZ73">
        <v>2.12356532282736</v>
      </c>
      <c r="BA73">
        <v>0</v>
      </c>
      <c r="BB73">
        <v>0</v>
      </c>
      <c r="BC73">
        <v>0</v>
      </c>
      <c r="BD73">
        <v>0</v>
      </c>
      <c r="BE73">
        <v>0</v>
      </c>
      <c r="BF73">
        <v>0</v>
      </c>
      <c r="BG73">
        <v>0</v>
      </c>
      <c r="BH73">
        <v>0</v>
      </c>
      <c r="BJ73" t="s">
        <v>452</v>
      </c>
      <c r="BL73">
        <v>0.8</v>
      </c>
      <c r="BM73">
        <v>0.797560975609756</v>
      </c>
      <c r="BN73">
        <v>0.785365853658536</v>
      </c>
      <c r="BO73">
        <v>0.773170731707317</v>
      </c>
      <c r="BP73">
        <v>0.760975609756097</v>
      </c>
      <c r="BQ73">
        <v>0.748780487804878</v>
      </c>
      <c r="BR73">
        <v>0.736585365853658</v>
      </c>
      <c r="BS73">
        <v>0.724390243902439</v>
      </c>
      <c r="BT73">
        <v>0.71219512195122</v>
      </c>
      <c r="BU73">
        <v>0.699999999999999</v>
      </c>
      <c r="BV73">
        <v>0.687499999999999</v>
      </c>
      <c r="BW73">
        <v>0.675</v>
      </c>
      <c r="BX73">
        <v>0.6625</v>
      </c>
      <c r="BY73">
        <v>0.649999999999999</v>
      </c>
      <c r="BZ73">
        <v>0.637499999999999</v>
      </c>
      <c r="CA73">
        <v>0.625</v>
      </c>
      <c r="CB73">
        <v>0.6125</v>
      </c>
      <c r="CC73">
        <v>0.6</v>
      </c>
      <c r="CD73" t="e">
        <v>#VALUE!</v>
      </c>
      <c r="CE73" t="e">
        <v>#VALUE!</v>
      </c>
      <c r="CF73" t="e">
        <v>#VALUE!</v>
      </c>
      <c r="CG73" t="e">
        <v>#VALUE!</v>
      </c>
      <c r="CH73" t="e">
        <v>#VALUE!</v>
      </c>
      <c r="CI73" t="e">
        <v>#VALUE!</v>
      </c>
      <c r="CJ73" t="e">
        <v>#VALUE!</v>
      </c>
      <c r="CK73" t="e">
        <v>#VALUE!</v>
      </c>
    </row>
    <row r="74" spans="1:89">
      <c r="A74" s="34" t="s">
        <v>9</v>
      </c>
      <c r="B74" s="34" t="s">
        <v>451</v>
      </c>
      <c r="C74" s="34" t="s">
        <v>451</v>
      </c>
      <c r="D74" s="34">
        <v>30.4</v>
      </c>
      <c r="E74" s="34">
        <v>30.5961704531311</v>
      </c>
      <c r="F74" s="34"/>
      <c r="G74" s="34">
        <v>33.8358257948926</v>
      </c>
      <c r="H74" s="34">
        <v>36.2713454667689</v>
      </c>
      <c r="I74" s="34">
        <v>38.1965369989011</v>
      </c>
      <c r="J74" s="34">
        <v>39.9199751122691</v>
      </c>
      <c r="K74" s="34">
        <v>41.4952437659104</v>
      </c>
      <c r="L74" s="34">
        <v>42.952907094598</v>
      </c>
      <c r="M74" s="34">
        <v>44.3085224628645</v>
      </c>
      <c r="N74" s="34">
        <v>45.6285657161946</v>
      </c>
      <c r="O74" s="34">
        <v>46.9268851976884</v>
      </c>
      <c r="P74" s="34">
        <v>48.1436943708076</v>
      </c>
      <c r="Q74" s="34">
        <v>49.2624036242936</v>
      </c>
      <c r="R74" s="34">
        <v>50.2471137611989</v>
      </c>
      <c r="S74" s="34">
        <v>51.0759868819787</v>
      </c>
      <c r="T74" s="34">
        <v>51.7524075242048</v>
      </c>
      <c r="U74" s="34">
        <v>52.2888698670337</v>
      </c>
      <c r="V74" s="34">
        <v>52.6904712064898</v>
      </c>
      <c r="W74" s="34">
        <v>3</v>
      </c>
      <c r="AG74" s="232" t="s">
        <v>437</v>
      </c>
      <c r="AI74">
        <v>1</v>
      </c>
      <c r="AJ74">
        <v>1.00809088662721</v>
      </c>
      <c r="AK74">
        <v>1.14400338979557</v>
      </c>
      <c r="AL74">
        <v>1.25050759781859</v>
      </c>
      <c r="AM74">
        <v>1.33772956440188</v>
      </c>
      <c r="AN74">
        <v>1.41833893109734</v>
      </c>
      <c r="AO74">
        <v>1.49432278315945</v>
      </c>
      <c r="AP74">
        <v>1.56678818974415</v>
      </c>
      <c r="AQ74">
        <v>1.63621947674348</v>
      </c>
      <c r="AR74">
        <v>1.70585717561322</v>
      </c>
      <c r="AS74">
        <v>1.77645880442683</v>
      </c>
      <c r="AT74">
        <v>1.84470086225119</v>
      </c>
      <c r="AU74">
        <v>1.90940288904307</v>
      </c>
      <c r="AV74">
        <v>1.96812166978731</v>
      </c>
      <c r="AW74">
        <v>2.01904873969769</v>
      </c>
      <c r="AX74">
        <v>2.06183130985843</v>
      </c>
      <c r="AY74">
        <v>2.09672570873607</v>
      </c>
      <c r="AZ74">
        <v>2.12356532282736</v>
      </c>
      <c r="BA74">
        <v>0</v>
      </c>
      <c r="BB74">
        <v>0</v>
      </c>
      <c r="BC74">
        <v>0</v>
      </c>
      <c r="BD74">
        <v>0</v>
      </c>
      <c r="BE74">
        <v>0</v>
      </c>
      <c r="BF74">
        <v>0</v>
      </c>
      <c r="BG74">
        <v>0</v>
      </c>
      <c r="BH74">
        <v>0</v>
      </c>
      <c r="BJ74" t="s">
        <v>452</v>
      </c>
      <c r="BL74">
        <v>0.8</v>
      </c>
      <c r="BM74">
        <v>0.797560975609756</v>
      </c>
      <c r="BN74">
        <v>0.785365853658536</v>
      </c>
      <c r="BO74">
        <v>0.773170731707317</v>
      </c>
      <c r="BP74">
        <v>0.760975609756097</v>
      </c>
      <c r="BQ74">
        <v>0.748780487804878</v>
      </c>
      <c r="BR74">
        <v>0.736585365853658</v>
      </c>
      <c r="BS74">
        <v>0.724390243902439</v>
      </c>
      <c r="BT74">
        <v>0.71219512195122</v>
      </c>
      <c r="BU74">
        <v>0.699999999999999</v>
      </c>
      <c r="BV74">
        <v>0.687499999999999</v>
      </c>
      <c r="BW74">
        <v>0.675</v>
      </c>
      <c r="BX74">
        <v>0.6625</v>
      </c>
      <c r="BY74">
        <v>0.649999999999999</v>
      </c>
      <c r="BZ74">
        <v>0.637499999999999</v>
      </c>
      <c r="CA74">
        <v>0.625</v>
      </c>
      <c r="CB74">
        <v>0.6125</v>
      </c>
      <c r="CC74">
        <v>0.6</v>
      </c>
      <c r="CD74" t="e">
        <v>#VALUE!</v>
      </c>
      <c r="CE74" t="e">
        <v>#VALUE!</v>
      </c>
      <c r="CF74" t="e">
        <v>#VALUE!</v>
      </c>
      <c r="CG74" t="e">
        <v>#VALUE!</v>
      </c>
      <c r="CH74" t="e">
        <v>#VALUE!</v>
      </c>
      <c r="CI74" t="e">
        <v>#VALUE!</v>
      </c>
      <c r="CJ74" t="e">
        <v>#VALUE!</v>
      </c>
      <c r="CK74" t="e">
        <v>#VALUE!</v>
      </c>
    </row>
    <row r="75" spans="1:89">
      <c r="A75" s="34" t="s">
        <v>10</v>
      </c>
      <c r="B75" s="34" t="s">
        <v>436</v>
      </c>
      <c r="C75" s="34" t="s">
        <v>436</v>
      </c>
      <c r="D75" s="34"/>
      <c r="E75" s="34">
        <v>139.408253389821</v>
      </c>
      <c r="F75" s="34">
        <f xml:space="preserve">E75</f>
        <v>139.408253389821</v>
      </c>
      <c r="G75" s="34"/>
      <c r="H75" s="34"/>
      <c r="I75" s="34">
        <f xml:space="preserve">F75</f>
        <v>139.408253389821</v>
      </c>
      <c r="J75" s="34">
        <f xml:space="preserve">I75</f>
        <v>139.408253389821</v>
      </c>
      <c r="K75" s="34"/>
      <c r="L75" s="34">
        <f xml:space="preserve">J75</f>
        <v>139.408253389821</v>
      </c>
      <c r="M75" s="34"/>
      <c r="N75" s="34"/>
      <c r="O75" s="34"/>
      <c r="P75" s="34"/>
      <c r="Q75" s="34"/>
      <c r="R75" s="34"/>
      <c r="S75" s="34"/>
      <c r="T75" s="34"/>
      <c r="U75" s="34"/>
      <c r="V75" s="34">
        <f xml:space="preserve">L75</f>
        <v>139.408253389821</v>
      </c>
      <c r="W75" s="34">
        <v>3</v>
      </c>
      <c r="AG75" s="232" t="s">
        <v>437</v>
      </c>
      <c r="AI75">
        <v>1</v>
      </c>
      <c r="AJ75">
        <v>0.994558051739161</v>
      </c>
      <c r="AK75">
        <v>1.15513685497127</v>
      </c>
      <c r="AL75">
        <v>1.25563538404626</v>
      </c>
      <c r="AM75">
        <v>1.42788808774329</v>
      </c>
      <c r="AN75">
        <v>1.65347960827729</v>
      </c>
      <c r="AO75">
        <v>1.9282871549153</v>
      </c>
      <c r="AP75">
        <v>2.24373315482587</v>
      </c>
      <c r="AQ75">
        <v>2.59289660433811</v>
      </c>
      <c r="AR75">
        <v>2.96644786854768</v>
      </c>
      <c r="AS75">
        <v>3.36388557273931</v>
      </c>
      <c r="AT75">
        <v>3.77165904893282</v>
      </c>
      <c r="AU75">
        <v>4.18763067925433</v>
      </c>
      <c r="AV75">
        <v>4.60092605264976</v>
      </c>
      <c r="AW75">
        <v>5.01164679912896</v>
      </c>
      <c r="AX75">
        <v>5.41925089197272</v>
      </c>
      <c r="AY75">
        <v>5.82370445451109</v>
      </c>
      <c r="AZ75">
        <v>6.22487198006426</v>
      </c>
      <c r="BA75">
        <v>0</v>
      </c>
      <c r="BB75">
        <v>0</v>
      </c>
      <c r="BC75">
        <v>0</v>
      </c>
      <c r="BD75">
        <v>0</v>
      </c>
      <c r="BE75">
        <v>0</v>
      </c>
      <c r="BF75">
        <v>0</v>
      </c>
      <c r="BG75">
        <v>0</v>
      </c>
      <c r="BH75">
        <v>0</v>
      </c>
      <c r="BJ75" t="s">
        <v>438</v>
      </c>
      <c r="BL75">
        <v>1</v>
      </c>
      <c r="BM75">
        <v>0.997560975609757</v>
      </c>
      <c r="BN75">
        <v>0.985365853658537</v>
      </c>
      <c r="BO75">
        <v>0.973170731707317</v>
      </c>
      <c r="BP75">
        <v>0.960975609756098</v>
      </c>
      <c r="BQ75">
        <v>0.948780487804878</v>
      </c>
      <c r="BR75">
        <v>0.936585365853658</v>
      </c>
      <c r="BS75">
        <v>0.924390243902439</v>
      </c>
      <c r="BT75">
        <v>0.91219512195122</v>
      </c>
      <c r="BU75">
        <v>0.9</v>
      </c>
      <c r="BV75">
        <v>0.8875</v>
      </c>
      <c r="BW75">
        <v>0.875000000000001</v>
      </c>
      <c r="BX75">
        <v>0.862500000000001</v>
      </c>
      <c r="BY75">
        <v>0.850000000000001</v>
      </c>
      <c r="BZ75">
        <v>0.8375</v>
      </c>
      <c r="CA75">
        <v>0.825000000000001</v>
      </c>
      <c r="CB75">
        <v>0.812500000000001</v>
      </c>
      <c r="CC75">
        <v>0.800000000000001</v>
      </c>
      <c r="CD75" t="e">
        <v>#VALUE!</v>
      </c>
      <c r="CE75" t="e">
        <v>#VALUE!</v>
      </c>
      <c r="CF75" t="e">
        <v>#VALUE!</v>
      </c>
      <c r="CG75" t="e">
        <v>#VALUE!</v>
      </c>
      <c r="CH75" t="e">
        <v>#VALUE!</v>
      </c>
      <c r="CI75" t="e">
        <v>#VALUE!</v>
      </c>
      <c r="CJ75" t="e">
        <v>#VALUE!</v>
      </c>
      <c r="CK75" t="e">
        <v>#VALUE!</v>
      </c>
    </row>
    <row r="76" spans="1:89">
      <c r="A76" s="34" t="s">
        <v>10</v>
      </c>
      <c r="B76" s="34" t="s">
        <v>439</v>
      </c>
      <c r="C76" s="34" t="s">
        <v>439</v>
      </c>
      <c r="D76" s="34"/>
      <c r="E76" s="34">
        <v>100.89549985663</v>
      </c>
      <c r="F76" s="34">
        <f xml:space="preserve">E76</f>
        <v>100.89549985663</v>
      </c>
      <c r="G76" s="34"/>
      <c r="H76" s="34"/>
      <c r="I76" s="34">
        <f xml:space="preserve">F76</f>
        <v>100.89549985663</v>
      </c>
      <c r="J76" s="34">
        <f xml:space="preserve">I76</f>
        <v>100.89549985663</v>
      </c>
      <c r="K76" s="34"/>
      <c r="L76" s="34">
        <f xml:space="preserve">J76</f>
        <v>100.89549985663</v>
      </c>
      <c r="M76" s="34"/>
      <c r="N76" s="34"/>
      <c r="O76" s="34"/>
      <c r="P76" s="34"/>
      <c r="Q76" s="34"/>
      <c r="R76" s="34"/>
      <c r="S76" s="34"/>
      <c r="T76" s="34"/>
      <c r="U76" s="34"/>
      <c r="V76" s="34">
        <f xml:space="preserve">L76</f>
        <v>100.89549985663</v>
      </c>
      <c r="W76" s="34">
        <v>3</v>
      </c>
      <c r="AG76" s="232" t="s">
        <v>437</v>
      </c>
      <c r="AI76">
        <v>1</v>
      </c>
      <c r="AJ76">
        <v>0.994558051739161</v>
      </c>
      <c r="AK76">
        <v>1.15513685497127</v>
      </c>
      <c r="AL76">
        <v>1.25563538404626</v>
      </c>
      <c r="AM76">
        <v>1.42788808774329</v>
      </c>
      <c r="AN76">
        <v>1.65347960827729</v>
      </c>
      <c r="AO76">
        <v>1.9282871549153</v>
      </c>
      <c r="AP76">
        <v>2.24373315482587</v>
      </c>
      <c r="AQ76">
        <v>2.59289660433811</v>
      </c>
      <c r="AR76">
        <v>2.96644786854768</v>
      </c>
      <c r="AS76">
        <v>3.36388557273931</v>
      </c>
      <c r="AT76">
        <v>3.77165904893282</v>
      </c>
      <c r="AU76">
        <v>4.18763067925433</v>
      </c>
      <c r="AV76">
        <v>4.60092605264976</v>
      </c>
      <c r="AW76">
        <v>5.01164679912896</v>
      </c>
      <c r="AX76">
        <v>5.41925089197272</v>
      </c>
      <c r="AY76">
        <v>5.82370445451109</v>
      </c>
      <c r="AZ76">
        <v>6.22487198006426</v>
      </c>
      <c r="BA76">
        <v>0</v>
      </c>
      <c r="BB76">
        <v>0</v>
      </c>
      <c r="BC76">
        <v>0</v>
      </c>
      <c r="BD76">
        <v>0</v>
      </c>
      <c r="BE76">
        <v>0</v>
      </c>
      <c r="BF76">
        <v>0</v>
      </c>
      <c r="BG76">
        <v>0</v>
      </c>
      <c r="BH76">
        <v>0</v>
      </c>
      <c r="BJ76" t="s">
        <v>438</v>
      </c>
      <c r="BL76">
        <v>1</v>
      </c>
      <c r="BM76">
        <v>0.997560975609757</v>
      </c>
      <c r="BN76">
        <v>0.985365853658537</v>
      </c>
      <c r="BO76">
        <v>0.973170731707317</v>
      </c>
      <c r="BP76">
        <v>0.960975609756098</v>
      </c>
      <c r="BQ76">
        <v>0.948780487804878</v>
      </c>
      <c r="BR76">
        <v>0.936585365853658</v>
      </c>
      <c r="BS76">
        <v>0.924390243902439</v>
      </c>
      <c r="BT76">
        <v>0.91219512195122</v>
      </c>
      <c r="BU76">
        <v>0.9</v>
      </c>
      <c r="BV76">
        <v>0.8875</v>
      </c>
      <c r="BW76">
        <v>0.875000000000001</v>
      </c>
      <c r="BX76">
        <v>0.862500000000001</v>
      </c>
      <c r="BY76">
        <v>0.850000000000001</v>
      </c>
      <c r="BZ76">
        <v>0.8375</v>
      </c>
      <c r="CA76">
        <v>0.825000000000001</v>
      </c>
      <c r="CB76">
        <v>0.812500000000001</v>
      </c>
      <c r="CC76">
        <v>0.800000000000001</v>
      </c>
      <c r="CD76" t="e">
        <v>#VALUE!</v>
      </c>
      <c r="CE76" t="e">
        <v>#VALUE!</v>
      </c>
      <c r="CF76" t="e">
        <v>#VALUE!</v>
      </c>
      <c r="CG76" t="e">
        <v>#VALUE!</v>
      </c>
      <c r="CH76" t="e">
        <v>#VALUE!</v>
      </c>
      <c r="CI76" t="e">
        <v>#VALUE!</v>
      </c>
      <c r="CJ76" t="e">
        <v>#VALUE!</v>
      </c>
      <c r="CK76" t="e">
        <v>#VALUE!</v>
      </c>
    </row>
    <row r="77" spans="1:89">
      <c r="A77" s="34" t="s">
        <v>10</v>
      </c>
      <c r="B77" s="34" t="s">
        <v>440</v>
      </c>
      <c r="C77" s="34" t="s">
        <v>440</v>
      </c>
      <c r="D77" s="34"/>
      <c r="E77" s="34">
        <v>36.3491412681947</v>
      </c>
      <c r="F77" s="34"/>
      <c r="G77" s="34"/>
      <c r="H77" s="34"/>
      <c r="I77" s="34">
        <v>51.7238503606635</v>
      </c>
      <c r="J77" s="34">
        <v>59.47712543275</v>
      </c>
      <c r="K77" s="34"/>
      <c r="L77" s="34">
        <v>79.1294823604451</v>
      </c>
      <c r="M77" s="34"/>
      <c r="N77" s="34"/>
      <c r="O77" s="34"/>
      <c r="P77" s="34"/>
      <c r="Q77" s="34"/>
      <c r="R77" s="34"/>
      <c r="S77" s="34"/>
      <c r="T77" s="34"/>
      <c r="U77" s="34"/>
      <c r="V77" s="34">
        <v>192.459870143503</v>
      </c>
      <c r="W77" s="34">
        <v>3</v>
      </c>
      <c r="AG77" s="232" t="s">
        <v>437</v>
      </c>
      <c r="AI77">
        <v>1</v>
      </c>
      <c r="AJ77">
        <v>0.994558051739161</v>
      </c>
      <c r="AK77">
        <v>1.15513685497127</v>
      </c>
      <c r="AL77">
        <v>1.25563538404626</v>
      </c>
      <c r="AM77">
        <v>1.42788808774329</v>
      </c>
      <c r="AN77">
        <v>1.65347960827729</v>
      </c>
      <c r="AO77">
        <v>1.9282871549153</v>
      </c>
      <c r="AP77">
        <v>2.24373315482587</v>
      </c>
      <c r="AQ77">
        <v>2.59289660433811</v>
      </c>
      <c r="AR77">
        <v>2.96644786854768</v>
      </c>
      <c r="AS77">
        <v>3.36388557273931</v>
      </c>
      <c r="AT77">
        <v>3.77165904893282</v>
      </c>
      <c r="AU77">
        <v>4.18763067925433</v>
      </c>
      <c r="AV77">
        <v>4.60092605264976</v>
      </c>
      <c r="AW77">
        <v>5.01164679912896</v>
      </c>
      <c r="AX77">
        <v>5.41925089197272</v>
      </c>
      <c r="AY77">
        <v>5.82370445451109</v>
      </c>
      <c r="AZ77">
        <v>6.22487198006426</v>
      </c>
      <c r="BA77">
        <v>0</v>
      </c>
      <c r="BB77">
        <v>0</v>
      </c>
      <c r="BC77">
        <v>0</v>
      </c>
      <c r="BD77">
        <v>0</v>
      </c>
      <c r="BE77">
        <v>0</v>
      </c>
      <c r="BF77">
        <v>0</v>
      </c>
      <c r="BG77">
        <v>0</v>
      </c>
      <c r="BH77">
        <v>0</v>
      </c>
      <c r="BJ77" t="s">
        <v>438</v>
      </c>
      <c r="BL77">
        <v>1</v>
      </c>
      <c r="BM77">
        <v>0.997560975609757</v>
      </c>
      <c r="BN77">
        <v>0.985365853658537</v>
      </c>
      <c r="BO77">
        <v>0.973170731707317</v>
      </c>
      <c r="BP77">
        <v>0.960975609756098</v>
      </c>
      <c r="BQ77">
        <v>0.948780487804878</v>
      </c>
      <c r="BR77">
        <v>0.936585365853658</v>
      </c>
      <c r="BS77">
        <v>0.924390243902439</v>
      </c>
      <c r="BT77">
        <v>0.91219512195122</v>
      </c>
      <c r="BU77">
        <v>0.9</v>
      </c>
      <c r="BV77">
        <v>0.8875</v>
      </c>
      <c r="BW77">
        <v>0.875000000000001</v>
      </c>
      <c r="BX77">
        <v>0.862500000000001</v>
      </c>
      <c r="BY77">
        <v>0.850000000000001</v>
      </c>
      <c r="BZ77">
        <v>0.8375</v>
      </c>
      <c r="CA77">
        <v>0.825000000000001</v>
      </c>
      <c r="CB77">
        <v>0.812500000000001</v>
      </c>
      <c r="CC77">
        <v>0.800000000000001</v>
      </c>
      <c r="CD77" t="e">
        <v>#VALUE!</v>
      </c>
      <c r="CE77" t="e">
        <v>#VALUE!</v>
      </c>
      <c r="CF77" t="e">
        <v>#VALUE!</v>
      </c>
      <c r="CG77" t="e">
        <v>#VALUE!</v>
      </c>
      <c r="CH77" t="e">
        <v>#VALUE!</v>
      </c>
      <c r="CI77" t="e">
        <v>#VALUE!</v>
      </c>
      <c r="CJ77" t="e">
        <v>#VALUE!</v>
      </c>
      <c r="CK77" t="e">
        <v>#VALUE!</v>
      </c>
    </row>
    <row r="78" spans="1:89">
      <c r="A78" s="34" t="s">
        <v>10</v>
      </c>
      <c r="B78" s="34" t="s">
        <v>441</v>
      </c>
      <c r="C78" s="34" t="s">
        <v>441</v>
      </c>
      <c r="D78" s="34"/>
      <c r="E78" s="34">
        <v>16.8114020843873</v>
      </c>
      <c r="F78" s="34"/>
      <c r="G78" s="34"/>
      <c r="H78" s="34"/>
      <c r="I78" s="34">
        <v>17.8160951323929</v>
      </c>
      <c r="J78" s="34">
        <v>17.9690096349578</v>
      </c>
      <c r="K78" s="34"/>
      <c r="L78" s="34">
        <v>17.9821026520996</v>
      </c>
      <c r="M78" s="34"/>
      <c r="N78" s="34"/>
      <c r="O78" s="34"/>
      <c r="P78" s="34"/>
      <c r="Q78" s="34"/>
      <c r="R78" s="34"/>
      <c r="S78" s="34"/>
      <c r="T78" s="34"/>
      <c r="U78" s="34"/>
      <c r="V78" s="34">
        <v>14.8844598657544</v>
      </c>
      <c r="W78" s="34">
        <v>3</v>
      </c>
      <c r="AG78" s="232" t="s">
        <v>442</v>
      </c>
      <c r="AI78">
        <v>1</v>
      </c>
      <c r="AJ78">
        <v>1.00472384407087</v>
      </c>
      <c r="AK78">
        <v>1.02834306442523</v>
      </c>
      <c r="AL78">
        <v>1.05036327197554</v>
      </c>
      <c r="AM78">
        <v>1.06635006298857</v>
      </c>
      <c r="AN78">
        <v>1.07599657273857</v>
      </c>
      <c r="AO78">
        <v>1.07948696165566</v>
      </c>
      <c r="AP78">
        <v>1.07679812106107</v>
      </c>
      <c r="AQ78">
        <v>1.0689551990234</v>
      </c>
      <c r="AR78">
        <v>1.05654016651334</v>
      </c>
      <c r="AS78">
        <v>1.03980456733692</v>
      </c>
      <c r="AT78">
        <v>1.01936448955287</v>
      </c>
      <c r="AU78">
        <v>0.995769852597646</v>
      </c>
      <c r="AV78">
        <v>0.96951061340022</v>
      </c>
      <c r="AW78">
        <v>0.94207203750446</v>
      </c>
      <c r="AX78">
        <v>0.914265618141886</v>
      </c>
      <c r="AY78">
        <v>0.886844450563568</v>
      </c>
      <c r="AZ78">
        <v>0.860306366326999</v>
      </c>
      <c r="BA78">
        <v>0</v>
      </c>
      <c r="BB78">
        <v>0</v>
      </c>
      <c r="BC78">
        <v>0</v>
      </c>
      <c r="BD78">
        <v>0</v>
      </c>
      <c r="BE78">
        <v>0</v>
      </c>
      <c r="BF78">
        <v>0</v>
      </c>
      <c r="BG78">
        <v>0</v>
      </c>
      <c r="BH78">
        <v>0</v>
      </c>
      <c r="BJ78" t="s">
        <v>438</v>
      </c>
      <c r="BL78">
        <v>1</v>
      </c>
      <c r="BM78">
        <v>0.997560975609757</v>
      </c>
      <c r="BN78">
        <v>0.985365853658537</v>
      </c>
      <c r="BO78">
        <v>0.973170731707317</v>
      </c>
      <c r="BP78">
        <v>0.960975609756098</v>
      </c>
      <c r="BQ78">
        <v>0.948780487804878</v>
      </c>
      <c r="BR78">
        <v>0.936585365853658</v>
      </c>
      <c r="BS78">
        <v>0.924390243902439</v>
      </c>
      <c r="BT78">
        <v>0.91219512195122</v>
      </c>
      <c r="BU78">
        <v>0.9</v>
      </c>
      <c r="BV78">
        <v>0.8875</v>
      </c>
      <c r="BW78">
        <v>0.875000000000001</v>
      </c>
      <c r="BX78">
        <v>0.862500000000001</v>
      </c>
      <c r="BY78">
        <v>0.850000000000001</v>
      </c>
      <c r="BZ78">
        <v>0.8375</v>
      </c>
      <c r="CA78">
        <v>0.825000000000001</v>
      </c>
      <c r="CB78">
        <v>0.812500000000001</v>
      </c>
      <c r="CC78">
        <v>0.800000000000001</v>
      </c>
      <c r="CD78" t="e">
        <v>#VALUE!</v>
      </c>
      <c r="CE78" t="e">
        <v>#VALUE!</v>
      </c>
      <c r="CF78" t="e">
        <v>#VALUE!</v>
      </c>
      <c r="CG78" t="e">
        <v>#VALUE!</v>
      </c>
      <c r="CH78" t="e">
        <v>#VALUE!</v>
      </c>
      <c r="CI78" t="e">
        <v>#VALUE!</v>
      </c>
      <c r="CJ78" t="e">
        <v>#VALUE!</v>
      </c>
      <c r="CK78" t="e">
        <v>#VALUE!</v>
      </c>
    </row>
    <row r="79" spans="1:89">
      <c r="A79" s="34" t="s">
        <v>10</v>
      </c>
      <c r="B79" s="34" t="s">
        <v>443</v>
      </c>
      <c r="C79" s="34" t="s">
        <v>443</v>
      </c>
      <c r="D79" s="34"/>
      <c r="E79" s="34">
        <v>54.0166941738206</v>
      </c>
      <c r="F79" s="34">
        <f xml:space="preserve">E79</f>
        <v>54.0166941738206</v>
      </c>
      <c r="G79" s="34"/>
      <c r="H79" s="34"/>
      <c r="I79" s="34">
        <f xml:space="preserve">F79</f>
        <v>54.0166941738206</v>
      </c>
      <c r="J79" s="34">
        <f xml:space="preserve">I79</f>
        <v>54.0166941738206</v>
      </c>
      <c r="K79" s="34"/>
      <c r="L79" s="34">
        <f xml:space="preserve">J79</f>
        <v>54.0166941738206</v>
      </c>
      <c r="M79" s="34"/>
      <c r="N79" s="34"/>
      <c r="O79" s="34"/>
      <c r="P79" s="34"/>
      <c r="Q79" s="34"/>
      <c r="R79" s="34"/>
      <c r="S79" s="34"/>
      <c r="T79" s="34"/>
      <c r="U79" s="34"/>
      <c r="V79" s="34">
        <f xml:space="preserve">L79</f>
        <v>54.0166941738206</v>
      </c>
      <c r="W79" s="34">
        <v>3</v>
      </c>
      <c r="AG79" s="232" t="s">
        <v>437</v>
      </c>
      <c r="AI79">
        <v>1</v>
      </c>
      <c r="AJ79">
        <v>0.994558051739161</v>
      </c>
      <c r="AK79">
        <v>1.15513685497127</v>
      </c>
      <c r="AL79">
        <v>1.25563538404626</v>
      </c>
      <c r="AM79">
        <v>1.42788808774329</v>
      </c>
      <c r="AN79">
        <v>1.65347960827729</v>
      </c>
      <c r="AO79">
        <v>1.9282871549153</v>
      </c>
      <c r="AP79">
        <v>2.24373315482587</v>
      </c>
      <c r="AQ79">
        <v>2.59289660433811</v>
      </c>
      <c r="AR79">
        <v>2.96644786854768</v>
      </c>
      <c r="AS79">
        <v>3.36388557273931</v>
      </c>
      <c r="AT79">
        <v>3.77165904893282</v>
      </c>
      <c r="AU79">
        <v>4.18763067925433</v>
      </c>
      <c r="AV79">
        <v>4.60092605264976</v>
      </c>
      <c r="AW79">
        <v>5.01164679912896</v>
      </c>
      <c r="AX79">
        <v>5.41925089197272</v>
      </c>
      <c r="AY79">
        <v>5.82370445451109</v>
      </c>
      <c r="AZ79">
        <v>6.22487198006426</v>
      </c>
      <c r="BA79">
        <v>0</v>
      </c>
      <c r="BB79">
        <v>0</v>
      </c>
      <c r="BC79">
        <v>0</v>
      </c>
      <c r="BD79">
        <v>0</v>
      </c>
      <c r="BE79">
        <v>0</v>
      </c>
      <c r="BF79">
        <v>0</v>
      </c>
      <c r="BG79">
        <v>0</v>
      </c>
      <c r="BH79">
        <v>0</v>
      </c>
      <c r="BJ79" t="s">
        <v>438</v>
      </c>
      <c r="BL79">
        <v>1</v>
      </c>
      <c r="BM79">
        <v>0.997560975609757</v>
      </c>
      <c r="BN79">
        <v>0.985365853658537</v>
      </c>
      <c r="BO79">
        <v>0.973170731707317</v>
      </c>
      <c r="BP79">
        <v>0.960975609756098</v>
      </c>
      <c r="BQ79">
        <v>0.948780487804878</v>
      </c>
      <c r="BR79">
        <v>0.936585365853658</v>
      </c>
      <c r="BS79">
        <v>0.924390243902439</v>
      </c>
      <c r="BT79">
        <v>0.91219512195122</v>
      </c>
      <c r="BU79">
        <v>0.9</v>
      </c>
      <c r="BV79">
        <v>0.8875</v>
      </c>
      <c r="BW79">
        <v>0.875000000000001</v>
      </c>
      <c r="BX79">
        <v>0.862500000000001</v>
      </c>
      <c r="BY79">
        <v>0.850000000000001</v>
      </c>
      <c r="BZ79">
        <v>0.8375</v>
      </c>
      <c r="CA79">
        <v>0.825000000000001</v>
      </c>
      <c r="CB79">
        <v>0.812500000000001</v>
      </c>
      <c r="CC79">
        <v>0.800000000000001</v>
      </c>
      <c r="CD79" t="e">
        <v>#VALUE!</v>
      </c>
      <c r="CE79" t="e">
        <v>#VALUE!</v>
      </c>
      <c r="CF79" t="e">
        <v>#VALUE!</v>
      </c>
      <c r="CG79" t="e">
        <v>#VALUE!</v>
      </c>
      <c r="CH79" t="e">
        <v>#VALUE!</v>
      </c>
      <c r="CI79" t="e">
        <v>#VALUE!</v>
      </c>
      <c r="CJ79" t="e">
        <v>#VALUE!</v>
      </c>
      <c r="CK79" t="e">
        <v>#VALUE!</v>
      </c>
    </row>
    <row r="80" spans="1:89">
      <c r="A80" s="34" t="s">
        <v>10</v>
      </c>
      <c r="B80" s="34" t="s">
        <v>444</v>
      </c>
      <c r="C80" s="34" t="s">
        <v>444</v>
      </c>
      <c r="D80" s="34"/>
      <c r="E80" s="34">
        <v>138.398524415336</v>
      </c>
      <c r="F80" s="34">
        <f xml:space="preserve">E80</f>
        <v>138.398524415336</v>
      </c>
      <c r="G80" s="34"/>
      <c r="H80" s="34"/>
      <c r="I80" s="34">
        <f xml:space="preserve">F80</f>
        <v>138.398524415336</v>
      </c>
      <c r="J80" s="34">
        <f xml:space="preserve">I80</f>
        <v>138.398524415336</v>
      </c>
      <c r="K80" s="34"/>
      <c r="L80" s="34">
        <f xml:space="preserve">J80</f>
        <v>138.398524415336</v>
      </c>
      <c r="M80" s="34"/>
      <c r="N80" s="34"/>
      <c r="O80" s="34"/>
      <c r="P80" s="34"/>
      <c r="Q80" s="34"/>
      <c r="R80" s="34"/>
      <c r="S80" s="34"/>
      <c r="T80" s="34"/>
      <c r="U80" s="34"/>
      <c r="V80" s="34">
        <f xml:space="preserve">L80</f>
        <v>138.398524415336</v>
      </c>
      <c r="W80" s="34">
        <v>3</v>
      </c>
      <c r="AG80" s="232" t="s">
        <v>437</v>
      </c>
      <c r="AI80">
        <v>1</v>
      </c>
      <c r="AJ80">
        <v>0.994558051739161</v>
      </c>
      <c r="AK80">
        <v>1.15513685497127</v>
      </c>
      <c r="AL80">
        <v>1.25563538404626</v>
      </c>
      <c r="AM80">
        <v>1.42788808774329</v>
      </c>
      <c r="AN80">
        <v>1.65347960827729</v>
      </c>
      <c r="AO80">
        <v>1.9282871549153</v>
      </c>
      <c r="AP80">
        <v>2.24373315482587</v>
      </c>
      <c r="AQ80">
        <v>2.59289660433811</v>
      </c>
      <c r="AR80">
        <v>2.96644786854768</v>
      </c>
      <c r="AS80">
        <v>3.36388557273931</v>
      </c>
      <c r="AT80">
        <v>3.77165904893282</v>
      </c>
      <c r="AU80">
        <v>4.18763067925433</v>
      </c>
      <c r="AV80">
        <v>4.60092605264976</v>
      </c>
      <c r="AW80">
        <v>5.01164679912896</v>
      </c>
      <c r="AX80">
        <v>5.41925089197272</v>
      </c>
      <c r="AY80">
        <v>5.82370445451109</v>
      </c>
      <c r="AZ80">
        <v>6.22487198006426</v>
      </c>
      <c r="BA80">
        <v>0</v>
      </c>
      <c r="BB80">
        <v>0</v>
      </c>
      <c r="BC80">
        <v>0</v>
      </c>
      <c r="BD80">
        <v>0</v>
      </c>
      <c r="BE80">
        <v>0</v>
      </c>
      <c r="BF80">
        <v>0</v>
      </c>
      <c r="BG80">
        <v>0</v>
      </c>
      <c r="BH80">
        <v>0</v>
      </c>
      <c r="BJ80" t="s">
        <v>438</v>
      </c>
      <c r="BL80">
        <v>1</v>
      </c>
      <c r="BM80">
        <v>0.997560975609757</v>
      </c>
      <c r="BN80">
        <v>0.985365853658537</v>
      </c>
      <c r="BO80">
        <v>0.973170731707317</v>
      </c>
      <c r="BP80">
        <v>0.960975609756098</v>
      </c>
      <c r="BQ80">
        <v>0.948780487804878</v>
      </c>
      <c r="BR80">
        <v>0.936585365853658</v>
      </c>
      <c r="BS80">
        <v>0.924390243902439</v>
      </c>
      <c r="BT80">
        <v>0.91219512195122</v>
      </c>
      <c r="BU80">
        <v>0.9</v>
      </c>
      <c r="BV80">
        <v>0.8875</v>
      </c>
      <c r="BW80">
        <v>0.875000000000001</v>
      </c>
      <c r="BX80">
        <v>0.862500000000001</v>
      </c>
      <c r="BY80">
        <v>0.850000000000001</v>
      </c>
      <c r="BZ80">
        <v>0.8375</v>
      </c>
      <c r="CA80">
        <v>0.825000000000001</v>
      </c>
      <c r="CB80">
        <v>0.812500000000001</v>
      </c>
      <c r="CC80">
        <v>0.800000000000001</v>
      </c>
      <c r="CD80" t="e">
        <v>#VALUE!</v>
      </c>
      <c r="CE80" t="e">
        <v>#VALUE!</v>
      </c>
      <c r="CF80" t="e">
        <v>#VALUE!</v>
      </c>
      <c r="CG80" t="e">
        <v>#VALUE!</v>
      </c>
      <c r="CH80" t="e">
        <v>#VALUE!</v>
      </c>
      <c r="CI80" t="e">
        <v>#VALUE!</v>
      </c>
      <c r="CJ80" t="e">
        <v>#VALUE!</v>
      </c>
      <c r="CK80" t="e">
        <v>#VALUE!</v>
      </c>
    </row>
    <row r="81" spans="1:89">
      <c r="A81" s="34" t="s">
        <v>10</v>
      </c>
      <c r="B81" s="34" t="s">
        <v>445</v>
      </c>
      <c r="C81" s="34" t="s">
        <v>445</v>
      </c>
      <c r="D81" s="34">
        <v>12.005</v>
      </c>
      <c r="E81" s="34">
        <v>12.0615714316121</v>
      </c>
      <c r="F81" s="34"/>
      <c r="G81" s="34">
        <v>12.3409674742218</v>
      </c>
      <c r="H81" s="34">
        <v>12.5981382597297</v>
      </c>
      <c r="I81" s="34">
        <v>12.7824022644323</v>
      </c>
      <c r="J81" s="34">
        <v>12.892112875502</v>
      </c>
      <c r="K81" s="34">
        <v>12.9312811464046</v>
      </c>
      <c r="L81" s="34">
        <v>12.901506640562</v>
      </c>
      <c r="M81" s="34">
        <v>12.8157886888742</v>
      </c>
      <c r="N81" s="34">
        <v>12.6818283601122</v>
      </c>
      <c r="O81" s="34">
        <v>12.5035471857187</v>
      </c>
      <c r="P81" s="34">
        <v>12.2884810093951</v>
      </c>
      <c r="Q81" s="34">
        <v>12.0431564060854</v>
      </c>
      <c r="R81" s="34">
        <v>11.7732069741516</v>
      </c>
      <c r="S81" s="34">
        <v>11.4941527544462</v>
      </c>
      <c r="T81" s="34">
        <v>11.2142598633916</v>
      </c>
      <c r="U81" s="34">
        <v>10.9409800577595</v>
      </c>
      <c r="V81" s="34">
        <v>10.6790602586615</v>
      </c>
      <c r="W81" s="34">
        <v>3</v>
      </c>
      <c r="AG81" s="232" t="s">
        <v>442</v>
      </c>
      <c r="AI81">
        <v>1</v>
      </c>
      <c r="AJ81">
        <v>1.00472384407087</v>
      </c>
      <c r="AK81">
        <v>1.02834306442523</v>
      </c>
      <c r="AL81">
        <v>1.05036327197554</v>
      </c>
      <c r="AM81">
        <v>1.06635006298857</v>
      </c>
      <c r="AN81">
        <v>1.07599657273857</v>
      </c>
      <c r="AO81">
        <v>1.07948696165566</v>
      </c>
      <c r="AP81">
        <v>1.07679812106107</v>
      </c>
      <c r="AQ81">
        <v>1.0689551990234</v>
      </c>
      <c r="AR81">
        <v>1.05654016651334</v>
      </c>
      <c r="AS81">
        <v>1.03980456733692</v>
      </c>
      <c r="AT81">
        <v>1.01936448955287</v>
      </c>
      <c r="AU81">
        <v>0.995769852597646</v>
      </c>
      <c r="AV81">
        <v>0.96951061340022</v>
      </c>
      <c r="AW81">
        <v>0.94207203750446</v>
      </c>
      <c r="AX81">
        <v>0.914265618141886</v>
      </c>
      <c r="AY81">
        <v>0.886844450563568</v>
      </c>
      <c r="AZ81">
        <v>0.860306366326999</v>
      </c>
      <c r="BA81">
        <v>0</v>
      </c>
      <c r="BB81">
        <v>0</v>
      </c>
      <c r="BC81">
        <v>0</v>
      </c>
      <c r="BD81">
        <v>0</v>
      </c>
      <c r="BE81">
        <v>0</v>
      </c>
      <c r="BF81">
        <v>0</v>
      </c>
      <c r="BG81">
        <v>0</v>
      </c>
      <c r="BH81">
        <v>0</v>
      </c>
      <c r="BJ81" t="s">
        <v>438</v>
      </c>
      <c r="BL81">
        <v>1</v>
      </c>
      <c r="BM81">
        <v>0.997560975609757</v>
      </c>
      <c r="BN81">
        <v>0.985365853658537</v>
      </c>
      <c r="BO81">
        <v>0.973170731707317</v>
      </c>
      <c r="BP81">
        <v>0.960975609756098</v>
      </c>
      <c r="BQ81">
        <v>0.948780487804878</v>
      </c>
      <c r="BR81">
        <v>0.936585365853658</v>
      </c>
      <c r="BS81">
        <v>0.924390243902439</v>
      </c>
      <c r="BT81">
        <v>0.91219512195122</v>
      </c>
      <c r="BU81">
        <v>0.9</v>
      </c>
      <c r="BV81">
        <v>0.8875</v>
      </c>
      <c r="BW81">
        <v>0.875000000000001</v>
      </c>
      <c r="BX81">
        <v>0.862500000000001</v>
      </c>
      <c r="BY81">
        <v>0.850000000000001</v>
      </c>
      <c r="BZ81">
        <v>0.8375</v>
      </c>
      <c r="CA81">
        <v>0.825000000000001</v>
      </c>
      <c r="CB81">
        <v>0.812500000000001</v>
      </c>
      <c r="CC81">
        <v>0.800000000000001</v>
      </c>
      <c r="CD81" t="e">
        <v>#VALUE!</v>
      </c>
      <c r="CE81" t="e">
        <v>#VALUE!</v>
      </c>
      <c r="CF81" t="e">
        <v>#VALUE!</v>
      </c>
      <c r="CG81" t="e">
        <v>#VALUE!</v>
      </c>
      <c r="CH81" t="e">
        <v>#VALUE!</v>
      </c>
      <c r="CI81" t="e">
        <v>#VALUE!</v>
      </c>
      <c r="CJ81" t="e">
        <v>#VALUE!</v>
      </c>
      <c r="CK81" t="e">
        <v>#VALUE!</v>
      </c>
    </row>
    <row r="82" spans="1:89">
      <c r="A82" s="34" t="s">
        <v>10</v>
      </c>
      <c r="B82" s="34" t="s">
        <v>446</v>
      </c>
      <c r="C82" s="34" t="s">
        <v>446</v>
      </c>
      <c r="D82" s="34">
        <v>3.225</v>
      </c>
      <c r="E82" s="34">
        <v>3.24019724006239</v>
      </c>
      <c r="F82" s="34"/>
      <c r="G82" s="34">
        <v>3.31525365300835</v>
      </c>
      <c r="H82" s="34">
        <v>3.38433951583743</v>
      </c>
      <c r="I82" s="34">
        <v>3.43383984196536</v>
      </c>
      <c r="J82" s="34">
        <v>3.46331228850428</v>
      </c>
      <c r="K82" s="34">
        <v>3.47383437710577</v>
      </c>
      <c r="L82" s="34">
        <v>3.46583581139629</v>
      </c>
      <c r="M82" s="34">
        <v>3.44280870650722</v>
      </c>
      <c r="N82" s="34">
        <v>3.40682186267071</v>
      </c>
      <c r="O82" s="34">
        <v>3.35892875251503</v>
      </c>
      <c r="P82" s="34">
        <v>3.30115379052887</v>
      </c>
      <c r="Q82" s="34">
        <v>3.23525026319245</v>
      </c>
      <c r="R82" s="34">
        <v>3.16273156948263</v>
      </c>
      <c r="S82" s="34">
        <v>3.08776698318109</v>
      </c>
      <c r="T82" s="34">
        <v>3.01257709782908</v>
      </c>
      <c r="U82" s="34">
        <v>2.93916373896497</v>
      </c>
      <c r="V82" s="34">
        <v>2.86880211030266</v>
      </c>
      <c r="W82" s="34">
        <v>3</v>
      </c>
      <c r="AG82" s="232" t="s">
        <v>442</v>
      </c>
      <c r="AI82">
        <v>1</v>
      </c>
      <c r="AJ82">
        <v>1.00472384407087</v>
      </c>
      <c r="AK82">
        <v>1.02834306442523</v>
      </c>
      <c r="AL82">
        <v>1.05036327197554</v>
      </c>
      <c r="AM82">
        <v>1.06635006298857</v>
      </c>
      <c r="AN82">
        <v>1.07599657273857</v>
      </c>
      <c r="AO82">
        <v>1.07948696165566</v>
      </c>
      <c r="AP82">
        <v>1.07679812106107</v>
      </c>
      <c r="AQ82">
        <v>1.0689551990234</v>
      </c>
      <c r="AR82">
        <v>1.05654016651334</v>
      </c>
      <c r="AS82">
        <v>1.03980456733692</v>
      </c>
      <c r="AT82">
        <v>1.01936448955287</v>
      </c>
      <c r="AU82">
        <v>0.995769852597646</v>
      </c>
      <c r="AV82">
        <v>0.96951061340022</v>
      </c>
      <c r="AW82">
        <v>0.94207203750446</v>
      </c>
      <c r="AX82">
        <v>0.914265618141886</v>
      </c>
      <c r="AY82">
        <v>0.886844450563568</v>
      </c>
      <c r="AZ82">
        <v>0.860306366326999</v>
      </c>
      <c r="BA82">
        <v>0</v>
      </c>
      <c r="BB82">
        <v>0</v>
      </c>
      <c r="BC82">
        <v>0</v>
      </c>
      <c r="BD82">
        <v>0</v>
      </c>
      <c r="BE82">
        <v>0</v>
      </c>
      <c r="BF82">
        <v>0</v>
      </c>
      <c r="BG82">
        <v>0</v>
      </c>
      <c r="BH82">
        <v>0</v>
      </c>
      <c r="BJ82" t="s">
        <v>438</v>
      </c>
      <c r="BL82">
        <v>1</v>
      </c>
      <c r="BM82">
        <v>0.997560975609757</v>
      </c>
      <c r="BN82">
        <v>0.985365853658537</v>
      </c>
      <c r="BO82">
        <v>0.973170731707317</v>
      </c>
      <c r="BP82">
        <v>0.960975609756098</v>
      </c>
      <c r="BQ82">
        <v>0.948780487804878</v>
      </c>
      <c r="BR82">
        <v>0.936585365853658</v>
      </c>
      <c r="BS82">
        <v>0.924390243902439</v>
      </c>
      <c r="BT82">
        <v>0.91219512195122</v>
      </c>
      <c r="BU82">
        <v>0.9</v>
      </c>
      <c r="BV82">
        <v>0.8875</v>
      </c>
      <c r="BW82">
        <v>0.875000000000001</v>
      </c>
      <c r="BX82">
        <v>0.862500000000001</v>
      </c>
      <c r="BY82">
        <v>0.850000000000001</v>
      </c>
      <c r="BZ82">
        <v>0.8375</v>
      </c>
      <c r="CA82">
        <v>0.825000000000001</v>
      </c>
      <c r="CB82">
        <v>0.812500000000001</v>
      </c>
      <c r="CC82">
        <v>0.800000000000001</v>
      </c>
      <c r="CD82" t="e">
        <v>#VALUE!</v>
      </c>
      <c r="CE82" t="e">
        <v>#VALUE!</v>
      </c>
      <c r="CF82" t="e">
        <v>#VALUE!</v>
      </c>
      <c r="CG82" t="e">
        <v>#VALUE!</v>
      </c>
      <c r="CH82" t="e">
        <v>#VALUE!</v>
      </c>
      <c r="CI82" t="e">
        <v>#VALUE!</v>
      </c>
      <c r="CJ82" t="e">
        <v>#VALUE!</v>
      </c>
      <c r="CK82" t="e">
        <v>#VALUE!</v>
      </c>
    </row>
    <row r="83" spans="1:89">
      <c r="A83" s="34" t="s">
        <v>10</v>
      </c>
      <c r="B83" s="34" t="s">
        <v>447</v>
      </c>
      <c r="C83" s="34" t="s">
        <v>447</v>
      </c>
      <c r="D83" s="34">
        <v>16.415</v>
      </c>
      <c r="E83" s="34">
        <v>16.4923527738369</v>
      </c>
      <c r="F83" s="34"/>
      <c r="G83" s="34">
        <v>16.8743840974053</v>
      </c>
      <c r="H83" s="34">
        <v>17.226025783712</v>
      </c>
      <c r="I83" s="34">
        <v>17.4779786064686</v>
      </c>
      <c r="J83" s="34">
        <v>17.6279910746659</v>
      </c>
      <c r="K83" s="34">
        <v>17.6815476899817</v>
      </c>
      <c r="L83" s="34">
        <v>17.6408356105644</v>
      </c>
      <c r="M83" s="34">
        <v>17.5236294317259</v>
      </c>
      <c r="N83" s="34">
        <v>17.3404591862759</v>
      </c>
      <c r="O83" s="34">
        <v>17.0966869682277</v>
      </c>
      <c r="P83" s="34">
        <v>16.8026168903973</v>
      </c>
      <c r="Q83" s="34">
        <v>16.4671730450555</v>
      </c>
      <c r="R83" s="34">
        <v>16.0980585156767</v>
      </c>
      <c r="S83" s="34">
        <v>15.7164945826101</v>
      </c>
      <c r="T83" s="34">
        <v>15.3337838948416</v>
      </c>
      <c r="U83" s="34">
        <v>14.9601155891814</v>
      </c>
      <c r="V83" s="34">
        <v>14.6019803536801</v>
      </c>
      <c r="W83" s="34">
        <v>3</v>
      </c>
      <c r="AG83" s="232" t="s">
        <v>442</v>
      </c>
      <c r="AI83">
        <v>1</v>
      </c>
      <c r="AJ83">
        <v>1.00472384407087</v>
      </c>
      <c r="AK83">
        <v>1.02834306442523</v>
      </c>
      <c r="AL83">
        <v>1.05036327197554</v>
      </c>
      <c r="AM83">
        <v>1.06635006298857</v>
      </c>
      <c r="AN83">
        <v>1.07599657273857</v>
      </c>
      <c r="AO83">
        <v>1.07948696165566</v>
      </c>
      <c r="AP83">
        <v>1.07679812106107</v>
      </c>
      <c r="AQ83">
        <v>1.0689551990234</v>
      </c>
      <c r="AR83">
        <v>1.05654016651334</v>
      </c>
      <c r="AS83">
        <v>1.03980456733692</v>
      </c>
      <c r="AT83">
        <v>1.01936448955287</v>
      </c>
      <c r="AU83">
        <v>0.995769852597646</v>
      </c>
      <c r="AV83">
        <v>0.96951061340022</v>
      </c>
      <c r="AW83">
        <v>0.94207203750446</v>
      </c>
      <c r="AX83">
        <v>0.914265618141886</v>
      </c>
      <c r="AY83">
        <v>0.886844450563568</v>
      </c>
      <c r="AZ83">
        <v>0.860306366326999</v>
      </c>
      <c r="BA83">
        <v>0</v>
      </c>
      <c r="BB83">
        <v>0</v>
      </c>
      <c r="BC83">
        <v>0</v>
      </c>
      <c r="BD83">
        <v>0</v>
      </c>
      <c r="BE83">
        <v>0</v>
      </c>
      <c r="BF83">
        <v>0</v>
      </c>
      <c r="BG83">
        <v>0</v>
      </c>
      <c r="BH83">
        <v>0</v>
      </c>
      <c r="BJ83" t="s">
        <v>438</v>
      </c>
      <c r="BL83">
        <v>1</v>
      </c>
      <c r="BM83">
        <v>0.997560975609757</v>
      </c>
      <c r="BN83">
        <v>0.985365853658537</v>
      </c>
      <c r="BO83">
        <v>0.973170731707317</v>
      </c>
      <c r="BP83">
        <v>0.960975609756098</v>
      </c>
      <c r="BQ83">
        <v>0.948780487804878</v>
      </c>
      <c r="BR83">
        <v>0.936585365853658</v>
      </c>
      <c r="BS83">
        <v>0.924390243902439</v>
      </c>
      <c r="BT83">
        <v>0.91219512195122</v>
      </c>
      <c r="BU83">
        <v>0.9</v>
      </c>
      <c r="BV83">
        <v>0.8875</v>
      </c>
      <c r="BW83">
        <v>0.875000000000001</v>
      </c>
      <c r="BX83">
        <v>0.862500000000001</v>
      </c>
      <c r="BY83">
        <v>0.850000000000001</v>
      </c>
      <c r="BZ83">
        <v>0.8375</v>
      </c>
      <c r="CA83">
        <v>0.825000000000001</v>
      </c>
      <c r="CB83">
        <v>0.812500000000001</v>
      </c>
      <c r="CC83">
        <v>0.800000000000001</v>
      </c>
      <c r="CD83" t="e">
        <v>#VALUE!</v>
      </c>
      <c r="CE83" t="e">
        <v>#VALUE!</v>
      </c>
      <c r="CF83" t="e">
        <v>#VALUE!</v>
      </c>
      <c r="CG83" t="e">
        <v>#VALUE!</v>
      </c>
      <c r="CH83" t="e">
        <v>#VALUE!</v>
      </c>
      <c r="CI83" t="e">
        <v>#VALUE!</v>
      </c>
      <c r="CJ83" t="e">
        <v>#VALUE!</v>
      </c>
      <c r="CK83" t="e">
        <v>#VALUE!</v>
      </c>
    </row>
    <row r="84" spans="1:89">
      <c r="A84" s="34" t="s">
        <v>10</v>
      </c>
      <c r="B84" s="34" t="s">
        <v>448</v>
      </c>
      <c r="C84" s="34" t="s">
        <v>448</v>
      </c>
      <c r="D84" s="34">
        <v>463.596</v>
      </c>
      <c r="E84" s="34">
        <v>458.916777938121</v>
      </c>
      <c r="F84" s="34"/>
      <c r="G84" s="34">
        <v>519.864790981081</v>
      </c>
      <c r="H84" s="34">
        <v>552.351303546928</v>
      </c>
      <c r="I84" s="34">
        <v>616.118477150593</v>
      </c>
      <c r="J84" s="34">
        <v>702.404410939197</v>
      </c>
      <c r="K84" s="34">
        <v>809.260079309927</v>
      </c>
      <c r="L84" s="34">
        <v>933.8098000596</v>
      </c>
      <c r="M84" s="34">
        <v>1073.58947904128</v>
      </c>
      <c r="N84" s="34">
        <v>1225.78112349894</v>
      </c>
      <c r="O84" s="34">
        <v>1391.38807440142</v>
      </c>
      <c r="P84" s="34">
        <v>1566.34193666892</v>
      </c>
      <c r="Q84" s="34">
        <v>1750.88026123174</v>
      </c>
      <c r="R84" s="34">
        <v>1942.04947863317</v>
      </c>
      <c r="S84" s="34">
        <v>2138.84370882204</v>
      </c>
      <c r="T84" s="34">
        <v>2340.38824623336</v>
      </c>
      <c r="U84" s="34">
        <v>2545.4916888418</v>
      </c>
      <c r="V84" s="34">
        <v>2752.9135272842</v>
      </c>
      <c r="W84" s="34">
        <v>3</v>
      </c>
      <c r="AG84" s="232" t="s">
        <v>449</v>
      </c>
      <c r="AI84">
        <v>1</v>
      </c>
      <c r="AJ84">
        <v>0.989882003506034</v>
      </c>
      <c r="AK84">
        <v>1.12329911576436</v>
      </c>
      <c r="AL84">
        <v>1.19542963615307</v>
      </c>
      <c r="AM84">
        <v>1.339042531438</v>
      </c>
      <c r="AN84">
        <v>1.53669598042394</v>
      </c>
      <c r="AO84">
        <v>1.78629962510875</v>
      </c>
      <c r="AP84">
        <v>2.08370827450451</v>
      </c>
      <c r="AQ84">
        <v>2.42563636596461</v>
      </c>
      <c r="AR84">
        <v>2.80770004072554</v>
      </c>
      <c r="AS84">
        <v>3.23511328802362</v>
      </c>
      <c r="AT84">
        <v>3.70001023930823</v>
      </c>
      <c r="AU84">
        <v>4.20542022670213</v>
      </c>
      <c r="AV84">
        <v>4.74561700414359</v>
      </c>
      <c r="AW84">
        <v>5.31981271029418</v>
      </c>
      <c r="AX84">
        <v>5.92743594906978</v>
      </c>
      <c r="AY84">
        <v>6.5667710395101</v>
      </c>
      <c r="AZ84">
        <v>7.23564560685608</v>
      </c>
      <c r="BA84">
        <v>0</v>
      </c>
      <c r="BB84">
        <v>0</v>
      </c>
      <c r="BC84">
        <v>0</v>
      </c>
      <c r="BD84">
        <v>0</v>
      </c>
      <c r="BE84">
        <v>0</v>
      </c>
      <c r="BF84">
        <v>0</v>
      </c>
      <c r="BG84">
        <v>0</v>
      </c>
      <c r="BH84">
        <v>0</v>
      </c>
      <c r="BJ84" t="s">
        <v>438</v>
      </c>
      <c r="BL84">
        <v>1</v>
      </c>
      <c r="BM84">
        <v>0.997560975609757</v>
      </c>
      <c r="BN84">
        <v>0.985365853658537</v>
      </c>
      <c r="BO84">
        <v>0.973170731707317</v>
      </c>
      <c r="BP84">
        <v>0.960975609756098</v>
      </c>
      <c r="BQ84">
        <v>0.948780487804878</v>
      </c>
      <c r="BR84">
        <v>0.936585365853658</v>
      </c>
      <c r="BS84">
        <v>0.924390243902439</v>
      </c>
      <c r="BT84">
        <v>0.91219512195122</v>
      </c>
      <c r="BU84">
        <v>0.9</v>
      </c>
      <c r="BV84">
        <v>0.8875</v>
      </c>
      <c r="BW84">
        <v>0.875000000000001</v>
      </c>
      <c r="BX84">
        <v>0.862500000000001</v>
      </c>
      <c r="BY84">
        <v>0.850000000000001</v>
      </c>
      <c r="BZ84">
        <v>0.8375</v>
      </c>
      <c r="CA84">
        <v>0.825000000000001</v>
      </c>
      <c r="CB84">
        <v>0.812500000000001</v>
      </c>
      <c r="CC84">
        <v>0.800000000000001</v>
      </c>
      <c r="CD84" t="e">
        <v>#VALUE!</v>
      </c>
      <c r="CE84" t="e">
        <v>#VALUE!</v>
      </c>
      <c r="CF84" t="e">
        <v>#VALUE!</v>
      </c>
      <c r="CG84" t="e">
        <v>#VALUE!</v>
      </c>
      <c r="CH84" t="e">
        <v>#VALUE!</v>
      </c>
      <c r="CI84" t="e">
        <v>#VALUE!</v>
      </c>
      <c r="CJ84" t="e">
        <v>#VALUE!</v>
      </c>
      <c r="CK84" t="e">
        <v>#VALUE!</v>
      </c>
    </row>
    <row r="85" spans="1:89">
      <c r="A85" s="34" t="s">
        <v>10</v>
      </c>
      <c r="B85" s="34" t="s">
        <v>450</v>
      </c>
      <c r="C85" s="34" t="s">
        <v>450</v>
      </c>
      <c r="D85" s="34">
        <v>220.2</v>
      </c>
      <c r="E85" s="34">
        <v>219.004605717371</v>
      </c>
      <c r="F85" s="34"/>
      <c r="G85" s="34">
        <v>253.847067776885</v>
      </c>
      <c r="H85" s="34">
        <v>275.339593496499</v>
      </c>
      <c r="I85" s="34">
        <v>311.637663482662</v>
      </c>
      <c r="J85" s="34">
        <v>358.351365400742</v>
      </c>
      <c r="K85" s="34">
        <v>414.132358613992</v>
      </c>
      <c r="L85" s="34">
        <v>476.757372536125</v>
      </c>
      <c r="M85" s="34">
        <v>544.434627193422</v>
      </c>
      <c r="N85" s="34">
        <v>615.026265376979</v>
      </c>
      <c r="O85" s="34">
        <v>688.156062701103</v>
      </c>
      <c r="P85" s="34">
        <v>761.147640687482</v>
      </c>
      <c r="Q85" s="34">
        <v>833.551096442647</v>
      </c>
      <c r="R85" s="34">
        <v>903.477843171256</v>
      </c>
      <c r="S85" s="34">
        <v>971.024476786969</v>
      </c>
      <c r="T85" s="34">
        <v>1036.17864519791</v>
      </c>
      <c r="U85" s="34">
        <v>1099.01159004118</v>
      </c>
      <c r="V85" s="34">
        <v>1159.57616897197</v>
      </c>
      <c r="W85" s="34">
        <v>3</v>
      </c>
      <c r="AG85" s="232" t="s">
        <v>437</v>
      </c>
      <c r="AI85">
        <v>1</v>
      </c>
      <c r="AJ85">
        <v>0.994558051739161</v>
      </c>
      <c r="AK85">
        <v>1.15513685497127</v>
      </c>
      <c r="AL85">
        <v>1.25563538404626</v>
      </c>
      <c r="AM85">
        <v>1.42788808774329</v>
      </c>
      <c r="AN85">
        <v>1.65347960827729</v>
      </c>
      <c r="AO85">
        <v>1.9282871549153</v>
      </c>
      <c r="AP85">
        <v>2.24373315482587</v>
      </c>
      <c r="AQ85">
        <v>2.59289660433811</v>
      </c>
      <c r="AR85">
        <v>2.96644786854768</v>
      </c>
      <c r="AS85">
        <v>3.36388557273931</v>
      </c>
      <c r="AT85">
        <v>3.77165904893282</v>
      </c>
      <c r="AU85">
        <v>4.18763067925433</v>
      </c>
      <c r="AV85">
        <v>4.60092605264976</v>
      </c>
      <c r="AW85">
        <v>5.01164679912896</v>
      </c>
      <c r="AX85">
        <v>5.41925089197272</v>
      </c>
      <c r="AY85">
        <v>5.82370445451109</v>
      </c>
      <c r="AZ85">
        <v>6.22487198006426</v>
      </c>
      <c r="BA85">
        <v>0</v>
      </c>
      <c r="BB85">
        <v>0</v>
      </c>
      <c r="BC85">
        <v>0</v>
      </c>
      <c r="BD85">
        <v>0</v>
      </c>
      <c r="BE85">
        <v>0</v>
      </c>
      <c r="BF85">
        <v>0</v>
      </c>
      <c r="BG85">
        <v>0</v>
      </c>
      <c r="BH85">
        <v>0</v>
      </c>
      <c r="BJ85" t="s">
        <v>438</v>
      </c>
      <c r="BL85">
        <v>1</v>
      </c>
      <c r="BM85">
        <v>0.997560975609757</v>
      </c>
      <c r="BN85">
        <v>0.985365853658537</v>
      </c>
      <c r="BO85">
        <v>0.973170731707317</v>
      </c>
      <c r="BP85">
        <v>0.960975609756098</v>
      </c>
      <c r="BQ85">
        <v>0.948780487804878</v>
      </c>
      <c r="BR85">
        <v>0.936585365853658</v>
      </c>
      <c r="BS85">
        <v>0.924390243902439</v>
      </c>
      <c r="BT85">
        <v>0.91219512195122</v>
      </c>
      <c r="BU85">
        <v>0.9</v>
      </c>
      <c r="BV85">
        <v>0.8875</v>
      </c>
      <c r="BW85">
        <v>0.875000000000001</v>
      </c>
      <c r="BX85">
        <v>0.862500000000001</v>
      </c>
      <c r="BY85">
        <v>0.850000000000001</v>
      </c>
      <c r="BZ85">
        <v>0.8375</v>
      </c>
      <c r="CA85">
        <v>0.825000000000001</v>
      </c>
      <c r="CB85">
        <v>0.812500000000001</v>
      </c>
      <c r="CC85">
        <v>0.800000000000001</v>
      </c>
      <c r="CD85" t="e">
        <v>#VALUE!</v>
      </c>
      <c r="CE85" t="e">
        <v>#VALUE!</v>
      </c>
      <c r="CF85" t="e">
        <v>#VALUE!</v>
      </c>
      <c r="CG85" t="e">
        <v>#VALUE!</v>
      </c>
      <c r="CH85" t="e">
        <v>#VALUE!</v>
      </c>
      <c r="CI85" t="e">
        <v>#VALUE!</v>
      </c>
      <c r="CJ85" t="e">
        <v>#VALUE!</v>
      </c>
      <c r="CK85" t="e">
        <v>#VALUE!</v>
      </c>
    </row>
    <row r="86" spans="1:89">
      <c r="A86" s="34" t="s">
        <v>10</v>
      </c>
      <c r="B86" s="34" t="s">
        <v>451</v>
      </c>
      <c r="C86" s="34" t="s">
        <v>451</v>
      </c>
      <c r="D86" s="34">
        <v>98.64</v>
      </c>
      <c r="E86" s="34">
        <v>98.1045154766641</v>
      </c>
      <c r="F86" s="34"/>
      <c r="G86" s="34">
        <v>113.712419461907</v>
      </c>
      <c r="H86" s="34">
        <v>123.340133980448</v>
      </c>
      <c r="I86" s="34">
        <v>139.600086857084</v>
      </c>
      <c r="J86" s="34">
        <v>160.525788751722</v>
      </c>
      <c r="K86" s="34">
        <v>185.513241842344</v>
      </c>
      <c r="L86" s="34">
        <v>213.566517833621</v>
      </c>
      <c r="M86" s="34">
        <v>243.882977413075</v>
      </c>
      <c r="N86" s="34">
        <v>275.504953754701</v>
      </c>
      <c r="O86" s="34">
        <v>308.263914735862</v>
      </c>
      <c r="P86" s="34">
        <v>340.960959479624</v>
      </c>
      <c r="Q86" s="34">
        <v>373.394551104009</v>
      </c>
      <c r="R86" s="34">
        <v>404.718685060911</v>
      </c>
      <c r="S86" s="34">
        <v>434.976632108386</v>
      </c>
      <c r="T86" s="34">
        <v>464.162859047785</v>
      </c>
      <c r="U86" s="34">
        <v>492.309279026621</v>
      </c>
      <c r="V86" s="34">
        <v>519.439569970007</v>
      </c>
      <c r="W86" s="34">
        <v>3</v>
      </c>
      <c r="AG86" s="232" t="s">
        <v>437</v>
      </c>
      <c r="AI86">
        <v>1</v>
      </c>
      <c r="AJ86">
        <v>0.994558051739161</v>
      </c>
      <c r="AK86">
        <v>1.15513685497127</v>
      </c>
      <c r="AL86">
        <v>1.25563538404626</v>
      </c>
      <c r="AM86">
        <v>1.42788808774329</v>
      </c>
      <c r="AN86">
        <v>1.65347960827729</v>
      </c>
      <c r="AO86">
        <v>1.9282871549153</v>
      </c>
      <c r="AP86">
        <v>2.24373315482587</v>
      </c>
      <c r="AQ86">
        <v>2.59289660433811</v>
      </c>
      <c r="AR86">
        <v>2.96644786854768</v>
      </c>
      <c r="AS86">
        <v>3.36388557273931</v>
      </c>
      <c r="AT86">
        <v>3.77165904893282</v>
      </c>
      <c r="AU86">
        <v>4.18763067925433</v>
      </c>
      <c r="AV86">
        <v>4.60092605264976</v>
      </c>
      <c r="AW86">
        <v>5.01164679912896</v>
      </c>
      <c r="AX86">
        <v>5.41925089197272</v>
      </c>
      <c r="AY86">
        <v>5.82370445451109</v>
      </c>
      <c r="AZ86">
        <v>6.22487198006426</v>
      </c>
      <c r="BA86">
        <v>0</v>
      </c>
      <c r="BB86">
        <v>0</v>
      </c>
      <c r="BC86">
        <v>0</v>
      </c>
      <c r="BD86">
        <v>0</v>
      </c>
      <c r="BE86">
        <v>0</v>
      </c>
      <c r="BF86">
        <v>0</v>
      </c>
      <c r="BG86">
        <v>0</v>
      </c>
      <c r="BH86">
        <v>0</v>
      </c>
      <c r="BJ86" t="s">
        <v>438</v>
      </c>
      <c r="BL86">
        <v>1</v>
      </c>
      <c r="BM86">
        <v>0.997560975609757</v>
      </c>
      <c r="BN86">
        <v>0.985365853658537</v>
      </c>
      <c r="BO86">
        <v>0.973170731707317</v>
      </c>
      <c r="BP86">
        <v>0.960975609756098</v>
      </c>
      <c r="BQ86">
        <v>0.948780487804878</v>
      </c>
      <c r="BR86">
        <v>0.936585365853658</v>
      </c>
      <c r="BS86">
        <v>0.924390243902439</v>
      </c>
      <c r="BT86">
        <v>0.91219512195122</v>
      </c>
      <c r="BU86">
        <v>0.9</v>
      </c>
      <c r="BV86">
        <v>0.8875</v>
      </c>
      <c r="BW86">
        <v>0.875000000000001</v>
      </c>
      <c r="BX86">
        <v>0.862500000000001</v>
      </c>
      <c r="BY86">
        <v>0.850000000000001</v>
      </c>
      <c r="BZ86">
        <v>0.8375</v>
      </c>
      <c r="CA86">
        <v>0.825000000000001</v>
      </c>
      <c r="CB86">
        <v>0.812500000000001</v>
      </c>
      <c r="CC86">
        <v>0.800000000000001</v>
      </c>
      <c r="CD86" t="e">
        <v>#VALUE!</v>
      </c>
      <c r="CE86" t="e">
        <v>#VALUE!</v>
      </c>
      <c r="CF86" t="e">
        <v>#VALUE!</v>
      </c>
      <c r="CG86" t="e">
        <v>#VALUE!</v>
      </c>
      <c r="CH86" t="e">
        <v>#VALUE!</v>
      </c>
      <c r="CI86" t="e">
        <v>#VALUE!</v>
      </c>
      <c r="CJ86" t="e">
        <v>#VALUE!</v>
      </c>
      <c r="CK86" t="e">
        <v>#VALUE!</v>
      </c>
    </row>
    <row r="87" s="32" customFormat="1" spans="1:89">
      <c r="A87" s="34" t="s">
        <v>11</v>
      </c>
      <c r="B87" s="34" t="s">
        <v>436</v>
      </c>
      <c r="C87" s="34" t="s">
        <v>436</v>
      </c>
      <c r="D87" s="34"/>
      <c r="E87" s="34">
        <v>1188.16711411818</v>
      </c>
      <c r="F87" s="34">
        <f xml:space="preserve">E87</f>
        <v>1188.16711411818</v>
      </c>
      <c r="G87" s="34"/>
      <c r="H87" s="34"/>
      <c r="I87" s="34">
        <f xml:space="preserve">F87</f>
        <v>1188.16711411818</v>
      </c>
      <c r="J87" s="34">
        <f xml:space="preserve">I87</f>
        <v>1188.16711411818</v>
      </c>
      <c r="K87" s="34"/>
      <c r="L87" s="34">
        <f xml:space="preserve">J87</f>
        <v>1188.16711411818</v>
      </c>
      <c r="M87" s="34"/>
      <c r="N87" s="34"/>
      <c r="O87" s="34"/>
      <c r="P87" s="34"/>
      <c r="Q87" s="34"/>
      <c r="R87" s="34"/>
      <c r="S87" s="34"/>
      <c r="T87" s="34"/>
      <c r="U87" s="34"/>
      <c r="V87" s="34">
        <f xml:space="preserve">L87</f>
        <v>1188.16711411818</v>
      </c>
      <c r="W87" s="34">
        <v>3</v>
      </c>
      <c r="AG87" s="233" t="s">
        <v>437</v>
      </c>
      <c r="AI87" s="32">
        <v>1</v>
      </c>
      <c r="AJ87" s="32">
        <v>1.05112854144243</v>
      </c>
      <c r="AK87" s="32">
        <v>1.34748241570804</v>
      </c>
      <c r="AL87" s="32">
        <v>1.61939081647613</v>
      </c>
      <c r="AM87" s="32">
        <v>1.86637100263541</v>
      </c>
      <c r="AN87" s="32">
        <v>2.06432167722141</v>
      </c>
      <c r="AO87" s="32">
        <v>2.25382438235957</v>
      </c>
      <c r="AP87" s="32">
        <v>2.43076687895356</v>
      </c>
      <c r="AQ87" s="32">
        <v>2.58432772042495</v>
      </c>
      <c r="AR87" s="32">
        <v>2.73235938824186</v>
      </c>
      <c r="AS87" s="32">
        <v>2.8725062845741</v>
      </c>
      <c r="AT87" s="32">
        <v>2.98524868318952</v>
      </c>
      <c r="AU87" s="32">
        <v>3.06916517970485</v>
      </c>
      <c r="AV87" s="32">
        <v>3.130871115275</v>
      </c>
      <c r="AW87" s="32">
        <v>3.17630688746411</v>
      </c>
      <c r="AX87" s="32">
        <v>3.21307119895013</v>
      </c>
      <c r="AY87" s="32">
        <v>3.24296091942514</v>
      </c>
      <c r="AZ87" s="32">
        <v>3.25990155657189</v>
      </c>
      <c r="BA87" s="32">
        <v>0</v>
      </c>
      <c r="BB87" s="32">
        <v>0</v>
      </c>
      <c r="BC87" s="32">
        <v>0</v>
      </c>
      <c r="BD87" s="32">
        <v>0</v>
      </c>
      <c r="BE87" s="32">
        <v>0</v>
      </c>
      <c r="BF87" s="32">
        <v>0</v>
      </c>
      <c r="BG87" s="32">
        <v>0</v>
      </c>
      <c r="BH87" s="32">
        <v>0</v>
      </c>
      <c r="BJ87" s="32" t="s">
        <v>453</v>
      </c>
      <c r="BL87" s="32">
        <v>0.799999999999999</v>
      </c>
      <c r="BM87" s="32">
        <v>0.795121951219512</v>
      </c>
      <c r="BN87" s="32">
        <v>0.770731707317072</v>
      </c>
      <c r="BO87" s="32">
        <v>0.746341463414634</v>
      </c>
      <c r="BP87" s="32">
        <v>0.721951219512194</v>
      </c>
      <c r="BQ87" s="32">
        <v>0.697560975609756</v>
      </c>
      <c r="BR87" s="32">
        <v>0.673170731707316</v>
      </c>
      <c r="BS87" s="32">
        <v>0.648780487804878</v>
      </c>
      <c r="BT87" s="32">
        <v>0.62439024390244</v>
      </c>
      <c r="BU87" s="32">
        <v>0.6</v>
      </c>
      <c r="BV87" s="32">
        <v>0.574999999999999</v>
      </c>
      <c r="BW87" s="32">
        <v>0.550000000000001</v>
      </c>
      <c r="BX87" s="32">
        <v>0.525</v>
      </c>
      <c r="BY87" s="32">
        <v>0.5</v>
      </c>
      <c r="BZ87" s="32">
        <v>0.475</v>
      </c>
      <c r="CA87" s="32">
        <v>0.449999999999999</v>
      </c>
      <c r="CB87" s="32">
        <v>0.425000000000001</v>
      </c>
      <c r="CC87" s="32">
        <v>0.4</v>
      </c>
      <c r="CD87" s="32" t="e">
        <v>#VALUE!</v>
      </c>
      <c r="CE87" s="32" t="e">
        <v>#VALUE!</v>
      </c>
      <c r="CF87" s="32" t="e">
        <v>#VALUE!</v>
      </c>
      <c r="CG87" s="32" t="e">
        <v>#VALUE!</v>
      </c>
      <c r="CH87" s="32" t="e">
        <v>#VALUE!</v>
      </c>
      <c r="CI87" s="32" t="e">
        <v>#VALUE!</v>
      </c>
      <c r="CJ87" s="32" t="e">
        <v>#VALUE!</v>
      </c>
      <c r="CK87" s="32" t="e">
        <v>#VALUE!</v>
      </c>
    </row>
    <row r="88" spans="1:89">
      <c r="A88" s="34" t="s">
        <v>11</v>
      </c>
      <c r="B88" s="34" t="s">
        <v>439</v>
      </c>
      <c r="C88" s="34" t="s">
        <v>439</v>
      </c>
      <c r="D88" s="34"/>
      <c r="E88" s="34">
        <v>467.444758409838</v>
      </c>
      <c r="F88" s="34">
        <f xml:space="preserve">E88</f>
        <v>467.444758409838</v>
      </c>
      <c r="G88" s="34"/>
      <c r="H88" s="34"/>
      <c r="I88" s="34">
        <f xml:space="preserve">F88</f>
        <v>467.444758409838</v>
      </c>
      <c r="J88" s="34">
        <f xml:space="preserve">I88</f>
        <v>467.444758409838</v>
      </c>
      <c r="K88" s="34"/>
      <c r="L88" s="34">
        <f xml:space="preserve">J88</f>
        <v>467.444758409838</v>
      </c>
      <c r="M88" s="34"/>
      <c r="N88" s="34"/>
      <c r="O88" s="34"/>
      <c r="P88" s="34"/>
      <c r="Q88" s="34"/>
      <c r="R88" s="34"/>
      <c r="S88" s="34"/>
      <c r="T88" s="34"/>
      <c r="U88" s="34"/>
      <c r="V88" s="34">
        <f xml:space="preserve">L88</f>
        <v>467.444758409838</v>
      </c>
      <c r="W88" s="34">
        <v>3</v>
      </c>
      <c r="AG88" s="232" t="s">
        <v>437</v>
      </c>
      <c r="AI88">
        <v>1</v>
      </c>
      <c r="AJ88">
        <v>1.05112854144243</v>
      </c>
      <c r="AK88">
        <v>1.34748241570804</v>
      </c>
      <c r="AL88">
        <v>1.61939081647613</v>
      </c>
      <c r="AM88">
        <v>1.86637100263541</v>
      </c>
      <c r="AN88">
        <v>2.06432167722141</v>
      </c>
      <c r="AO88">
        <v>2.25382438235957</v>
      </c>
      <c r="AP88">
        <v>2.43076687895356</v>
      </c>
      <c r="AQ88">
        <v>2.58432772042495</v>
      </c>
      <c r="AR88">
        <v>2.73235938824186</v>
      </c>
      <c r="AS88">
        <v>2.8725062845741</v>
      </c>
      <c r="AT88">
        <v>2.98524868318952</v>
      </c>
      <c r="AU88">
        <v>3.06916517970485</v>
      </c>
      <c r="AV88">
        <v>3.130871115275</v>
      </c>
      <c r="AW88">
        <v>3.17630688746411</v>
      </c>
      <c r="AX88">
        <v>3.21307119895013</v>
      </c>
      <c r="AY88">
        <v>3.24296091942514</v>
      </c>
      <c r="AZ88">
        <v>3.25990155657189</v>
      </c>
      <c r="BA88">
        <v>0</v>
      </c>
      <c r="BB88">
        <v>0</v>
      </c>
      <c r="BC88">
        <v>0</v>
      </c>
      <c r="BD88">
        <v>0</v>
      </c>
      <c r="BE88">
        <v>0</v>
      </c>
      <c r="BF88">
        <v>0</v>
      </c>
      <c r="BG88">
        <v>0</v>
      </c>
      <c r="BH88">
        <v>0</v>
      </c>
      <c r="BJ88" t="s">
        <v>453</v>
      </c>
      <c r="BL88">
        <v>0.799999999999999</v>
      </c>
      <c r="BM88">
        <v>0.795121951219512</v>
      </c>
      <c r="BN88">
        <v>0.770731707317072</v>
      </c>
      <c r="BO88">
        <v>0.746341463414634</v>
      </c>
      <c r="BP88">
        <v>0.721951219512194</v>
      </c>
      <c r="BQ88">
        <v>0.697560975609756</v>
      </c>
      <c r="BR88">
        <v>0.673170731707316</v>
      </c>
      <c r="BS88">
        <v>0.648780487804878</v>
      </c>
      <c r="BT88">
        <v>0.62439024390244</v>
      </c>
      <c r="BU88">
        <v>0.6</v>
      </c>
      <c r="BV88">
        <v>0.574999999999999</v>
      </c>
      <c r="BW88">
        <v>0.550000000000001</v>
      </c>
      <c r="BX88">
        <v>0.525</v>
      </c>
      <c r="BY88">
        <v>0.5</v>
      </c>
      <c r="BZ88">
        <v>0.475</v>
      </c>
      <c r="CA88">
        <v>0.449999999999999</v>
      </c>
      <c r="CB88">
        <v>0.425000000000001</v>
      </c>
      <c r="CC88">
        <v>0.4</v>
      </c>
      <c r="CD88" t="e">
        <v>#VALUE!</v>
      </c>
      <c r="CE88" t="e">
        <v>#VALUE!</v>
      </c>
      <c r="CF88" t="e">
        <v>#VALUE!</v>
      </c>
      <c r="CG88" t="e">
        <v>#VALUE!</v>
      </c>
      <c r="CH88" t="e">
        <v>#VALUE!</v>
      </c>
      <c r="CI88" t="e">
        <v>#VALUE!</v>
      </c>
      <c r="CJ88" t="e">
        <v>#VALUE!</v>
      </c>
      <c r="CK88" t="e">
        <v>#VALUE!</v>
      </c>
    </row>
    <row r="89" spans="1:89">
      <c r="A89" s="34" t="s">
        <v>11</v>
      </c>
      <c r="B89" s="34" t="s">
        <v>440</v>
      </c>
      <c r="C89" s="34" t="s">
        <v>440</v>
      </c>
      <c r="D89" s="34"/>
      <c r="E89" s="34">
        <v>144.327570907279</v>
      </c>
      <c r="F89" s="34"/>
      <c r="G89" s="34"/>
      <c r="H89" s="34"/>
      <c r="I89" s="34">
        <v>224.407696622378</v>
      </c>
      <c r="J89" s="34">
        <v>241.010404715518</v>
      </c>
      <c r="K89" s="34"/>
      <c r="L89" s="34">
        <v>268.938258912685</v>
      </c>
      <c r="M89" s="34"/>
      <c r="N89" s="34"/>
      <c r="O89" s="34"/>
      <c r="P89" s="34"/>
      <c r="Q89" s="34"/>
      <c r="R89" s="34"/>
      <c r="S89" s="34"/>
      <c r="T89" s="34"/>
      <c r="U89" s="34"/>
      <c r="V89" s="34">
        <v>317.390632286557</v>
      </c>
      <c r="W89" s="34">
        <v>3</v>
      </c>
      <c r="AG89" s="232" t="s">
        <v>437</v>
      </c>
      <c r="AI89">
        <v>1</v>
      </c>
      <c r="AJ89">
        <v>1.05112854144243</v>
      </c>
      <c r="AK89">
        <v>1.34748241570804</v>
      </c>
      <c r="AL89">
        <v>1.61939081647613</v>
      </c>
      <c r="AM89">
        <v>1.86637100263541</v>
      </c>
      <c r="AN89">
        <v>2.06432167722141</v>
      </c>
      <c r="AO89">
        <v>2.25382438235957</v>
      </c>
      <c r="AP89">
        <v>2.43076687895356</v>
      </c>
      <c r="AQ89">
        <v>2.58432772042495</v>
      </c>
      <c r="AR89">
        <v>2.73235938824186</v>
      </c>
      <c r="AS89">
        <v>2.8725062845741</v>
      </c>
      <c r="AT89">
        <v>2.98524868318952</v>
      </c>
      <c r="AU89">
        <v>3.06916517970485</v>
      </c>
      <c r="AV89">
        <v>3.130871115275</v>
      </c>
      <c r="AW89">
        <v>3.17630688746411</v>
      </c>
      <c r="AX89">
        <v>3.21307119895013</v>
      </c>
      <c r="AY89">
        <v>3.24296091942514</v>
      </c>
      <c r="AZ89">
        <v>3.25990155657189</v>
      </c>
      <c r="BA89">
        <v>0</v>
      </c>
      <c r="BB89">
        <v>0</v>
      </c>
      <c r="BC89">
        <v>0</v>
      </c>
      <c r="BD89">
        <v>0</v>
      </c>
      <c r="BE89">
        <v>0</v>
      </c>
      <c r="BF89">
        <v>0</v>
      </c>
      <c r="BG89">
        <v>0</v>
      </c>
      <c r="BH89">
        <v>0</v>
      </c>
      <c r="BJ89" t="s">
        <v>453</v>
      </c>
      <c r="BL89">
        <v>0.799999999999999</v>
      </c>
      <c r="BM89">
        <v>0.795121951219512</v>
      </c>
      <c r="BN89">
        <v>0.770731707317072</v>
      </c>
      <c r="BO89">
        <v>0.746341463414634</v>
      </c>
      <c r="BP89">
        <v>0.721951219512194</v>
      </c>
      <c r="BQ89">
        <v>0.697560975609756</v>
      </c>
      <c r="BR89">
        <v>0.673170731707316</v>
      </c>
      <c r="BS89">
        <v>0.648780487804878</v>
      </c>
      <c r="BT89">
        <v>0.62439024390244</v>
      </c>
      <c r="BU89">
        <v>0.6</v>
      </c>
      <c r="BV89">
        <v>0.574999999999999</v>
      </c>
      <c r="BW89">
        <v>0.550000000000001</v>
      </c>
      <c r="BX89">
        <v>0.525</v>
      </c>
      <c r="BY89">
        <v>0.5</v>
      </c>
      <c r="BZ89">
        <v>0.475</v>
      </c>
      <c r="CA89">
        <v>0.449999999999999</v>
      </c>
      <c r="CB89">
        <v>0.425000000000001</v>
      </c>
      <c r="CC89">
        <v>0.4</v>
      </c>
      <c r="CD89" t="e">
        <v>#VALUE!</v>
      </c>
      <c r="CE89" t="e">
        <v>#VALUE!</v>
      </c>
      <c r="CF89" t="e">
        <v>#VALUE!</v>
      </c>
      <c r="CG89" t="e">
        <v>#VALUE!</v>
      </c>
      <c r="CH89" t="e">
        <v>#VALUE!</v>
      </c>
      <c r="CI89" t="e">
        <v>#VALUE!</v>
      </c>
      <c r="CJ89" t="e">
        <v>#VALUE!</v>
      </c>
      <c r="CK89" t="e">
        <v>#VALUE!</v>
      </c>
    </row>
    <row r="90" spans="1:89">
      <c r="A90" s="34" t="s">
        <v>11</v>
      </c>
      <c r="B90" s="34" t="s">
        <v>441</v>
      </c>
      <c r="C90" s="34" t="s">
        <v>441</v>
      </c>
      <c r="D90" s="34"/>
      <c r="E90" s="34">
        <v>326.607668327134</v>
      </c>
      <c r="F90" s="34"/>
      <c r="G90" s="34"/>
      <c r="H90" s="34"/>
      <c r="I90" s="34">
        <v>322.411094673057</v>
      </c>
      <c r="J90" s="34">
        <v>318.688567557196</v>
      </c>
      <c r="K90" s="34"/>
      <c r="L90" s="34">
        <v>308.001346625873</v>
      </c>
      <c r="M90" s="34"/>
      <c r="N90" s="34"/>
      <c r="O90" s="34"/>
      <c r="P90" s="34"/>
      <c r="Q90" s="34"/>
      <c r="R90" s="34"/>
      <c r="S90" s="34"/>
      <c r="T90" s="34"/>
      <c r="U90" s="34"/>
      <c r="V90" s="34">
        <v>240.985198947612</v>
      </c>
      <c r="W90" s="34">
        <v>3</v>
      </c>
      <c r="AG90" s="232" t="s">
        <v>442</v>
      </c>
      <c r="AI90">
        <v>1</v>
      </c>
      <c r="AJ90">
        <v>1.00033331616148</v>
      </c>
      <c r="AK90">
        <v>1.0019998969689</v>
      </c>
      <c r="AL90">
        <v>0.994906430115937</v>
      </c>
      <c r="AM90">
        <v>0.98267151190847</v>
      </c>
      <c r="AN90">
        <v>0.966406511398471</v>
      </c>
      <c r="AO90">
        <v>0.945066520676171</v>
      </c>
      <c r="AP90">
        <v>0.917459642340542</v>
      </c>
      <c r="AQ90">
        <v>0.883436545527019</v>
      </c>
      <c r="AR90">
        <v>0.84523773973525</v>
      </c>
      <c r="AS90">
        <v>0.805571252552421</v>
      </c>
      <c r="AT90">
        <v>0.766871080268876</v>
      </c>
      <c r="AU90">
        <v>0.729674722955349</v>
      </c>
      <c r="AV90">
        <v>0.693102074332999</v>
      </c>
      <c r="AW90">
        <v>0.65724585573511</v>
      </c>
      <c r="AX90">
        <v>0.623388841880121</v>
      </c>
      <c r="AY90">
        <v>0.592040606359808</v>
      </c>
      <c r="AZ90">
        <v>0.562137393665917</v>
      </c>
      <c r="BA90">
        <v>0</v>
      </c>
      <c r="BB90">
        <v>0</v>
      </c>
      <c r="BC90">
        <v>0</v>
      </c>
      <c r="BD90">
        <v>0</v>
      </c>
      <c r="BE90">
        <v>0</v>
      </c>
      <c r="BF90">
        <v>0</v>
      </c>
      <c r="BG90">
        <v>0</v>
      </c>
      <c r="BH90">
        <v>0</v>
      </c>
      <c r="BJ90" t="s">
        <v>453</v>
      </c>
      <c r="BL90">
        <v>0.799999999999999</v>
      </c>
      <c r="BM90">
        <v>0.795121951219512</v>
      </c>
      <c r="BN90">
        <v>0.770731707317072</v>
      </c>
      <c r="BO90">
        <v>0.746341463414634</v>
      </c>
      <c r="BP90">
        <v>0.721951219512194</v>
      </c>
      <c r="BQ90">
        <v>0.697560975609756</v>
      </c>
      <c r="BR90">
        <v>0.673170731707316</v>
      </c>
      <c r="BS90">
        <v>0.648780487804878</v>
      </c>
      <c r="BT90">
        <v>0.62439024390244</v>
      </c>
      <c r="BU90">
        <v>0.6</v>
      </c>
      <c r="BV90">
        <v>0.574999999999999</v>
      </c>
      <c r="BW90">
        <v>0.550000000000001</v>
      </c>
      <c r="BX90">
        <v>0.525</v>
      </c>
      <c r="BY90">
        <v>0.5</v>
      </c>
      <c r="BZ90">
        <v>0.475</v>
      </c>
      <c r="CA90">
        <v>0.449999999999999</v>
      </c>
      <c r="CB90">
        <v>0.425000000000001</v>
      </c>
      <c r="CC90">
        <v>0.4</v>
      </c>
      <c r="CD90" t="e">
        <v>#VALUE!</v>
      </c>
      <c r="CE90" t="e">
        <v>#VALUE!</v>
      </c>
      <c r="CF90" t="e">
        <v>#VALUE!</v>
      </c>
      <c r="CG90" t="e">
        <v>#VALUE!</v>
      </c>
      <c r="CH90" t="e">
        <v>#VALUE!</v>
      </c>
      <c r="CI90" t="e">
        <v>#VALUE!</v>
      </c>
      <c r="CJ90" t="e">
        <v>#VALUE!</v>
      </c>
      <c r="CK90" t="e">
        <v>#VALUE!</v>
      </c>
    </row>
    <row r="91" spans="1:89">
      <c r="A91" s="34" t="s">
        <v>11</v>
      </c>
      <c r="B91" s="34" t="s">
        <v>443</v>
      </c>
      <c r="C91" s="34" t="s">
        <v>443</v>
      </c>
      <c r="D91" s="34"/>
      <c r="E91" s="34">
        <v>1059.41231504256</v>
      </c>
      <c r="F91" s="34">
        <f xml:space="preserve">E91</f>
        <v>1059.41231504256</v>
      </c>
      <c r="G91" s="34"/>
      <c r="H91" s="34"/>
      <c r="I91" s="34">
        <f xml:space="preserve">F91</f>
        <v>1059.41231504256</v>
      </c>
      <c r="J91" s="34">
        <f xml:space="preserve">I91</f>
        <v>1059.41231504256</v>
      </c>
      <c r="K91" s="34"/>
      <c r="L91" s="34">
        <f xml:space="preserve">J91</f>
        <v>1059.41231504256</v>
      </c>
      <c r="M91" s="34"/>
      <c r="N91" s="34"/>
      <c r="O91" s="34"/>
      <c r="P91" s="34"/>
      <c r="Q91" s="34"/>
      <c r="R91" s="34"/>
      <c r="S91" s="34"/>
      <c r="T91" s="34"/>
      <c r="U91" s="34"/>
      <c r="V91" s="34">
        <f xml:space="preserve">L91</f>
        <v>1059.41231504256</v>
      </c>
      <c r="W91" s="34">
        <v>3</v>
      </c>
      <c r="AG91" s="232" t="s">
        <v>437</v>
      </c>
      <c r="AI91">
        <v>1</v>
      </c>
      <c r="AJ91">
        <v>1.05112854144243</v>
      </c>
      <c r="AK91">
        <v>1.34748241570804</v>
      </c>
      <c r="AL91">
        <v>1.61939081647613</v>
      </c>
      <c r="AM91">
        <v>1.86637100263541</v>
      </c>
      <c r="AN91">
        <v>2.06432167722141</v>
      </c>
      <c r="AO91">
        <v>2.25382438235957</v>
      </c>
      <c r="AP91">
        <v>2.43076687895356</v>
      </c>
      <c r="AQ91">
        <v>2.58432772042495</v>
      </c>
      <c r="AR91">
        <v>2.73235938824186</v>
      </c>
      <c r="AS91">
        <v>2.8725062845741</v>
      </c>
      <c r="AT91">
        <v>2.98524868318952</v>
      </c>
      <c r="AU91">
        <v>3.06916517970485</v>
      </c>
      <c r="AV91">
        <v>3.130871115275</v>
      </c>
      <c r="AW91">
        <v>3.17630688746411</v>
      </c>
      <c r="AX91">
        <v>3.21307119895013</v>
      </c>
      <c r="AY91">
        <v>3.24296091942514</v>
      </c>
      <c r="AZ91">
        <v>3.25990155657189</v>
      </c>
      <c r="BA91">
        <v>0</v>
      </c>
      <c r="BB91">
        <v>0</v>
      </c>
      <c r="BC91">
        <v>0</v>
      </c>
      <c r="BD91">
        <v>0</v>
      </c>
      <c r="BE91">
        <v>0</v>
      </c>
      <c r="BF91">
        <v>0</v>
      </c>
      <c r="BG91">
        <v>0</v>
      </c>
      <c r="BH91">
        <v>0</v>
      </c>
      <c r="BJ91" t="s">
        <v>453</v>
      </c>
      <c r="BL91">
        <v>0.799999999999999</v>
      </c>
      <c r="BM91">
        <v>0.795121951219512</v>
      </c>
      <c r="BN91">
        <v>0.770731707317072</v>
      </c>
      <c r="BO91">
        <v>0.746341463414634</v>
      </c>
      <c r="BP91">
        <v>0.721951219512194</v>
      </c>
      <c r="BQ91">
        <v>0.697560975609756</v>
      </c>
      <c r="BR91">
        <v>0.673170731707316</v>
      </c>
      <c r="BS91">
        <v>0.648780487804878</v>
      </c>
      <c r="BT91">
        <v>0.62439024390244</v>
      </c>
      <c r="BU91">
        <v>0.6</v>
      </c>
      <c r="BV91">
        <v>0.574999999999999</v>
      </c>
      <c r="BW91">
        <v>0.550000000000001</v>
      </c>
      <c r="BX91">
        <v>0.525</v>
      </c>
      <c r="BY91">
        <v>0.5</v>
      </c>
      <c r="BZ91">
        <v>0.475</v>
      </c>
      <c r="CA91">
        <v>0.449999999999999</v>
      </c>
      <c r="CB91">
        <v>0.425000000000001</v>
      </c>
      <c r="CC91">
        <v>0.4</v>
      </c>
      <c r="CD91" t="e">
        <v>#VALUE!</v>
      </c>
      <c r="CE91" t="e">
        <v>#VALUE!</v>
      </c>
      <c r="CF91" t="e">
        <v>#VALUE!</v>
      </c>
      <c r="CG91" t="e">
        <v>#VALUE!</v>
      </c>
      <c r="CH91" t="e">
        <v>#VALUE!</v>
      </c>
      <c r="CI91" t="e">
        <v>#VALUE!</v>
      </c>
      <c r="CJ91" t="e">
        <v>#VALUE!</v>
      </c>
      <c r="CK91" t="e">
        <v>#VALUE!</v>
      </c>
    </row>
    <row r="92" spans="1:89">
      <c r="A92" s="34" t="s">
        <v>11</v>
      </c>
      <c r="B92" s="34" t="s">
        <v>444</v>
      </c>
      <c r="C92" s="34" t="s">
        <v>444</v>
      </c>
      <c r="D92" s="34"/>
      <c r="E92" s="34">
        <v>494.941546836131</v>
      </c>
      <c r="F92" s="34">
        <f xml:space="preserve">E92</f>
        <v>494.941546836131</v>
      </c>
      <c r="G92" s="34"/>
      <c r="H92" s="34"/>
      <c r="I92" s="34">
        <f xml:space="preserve">F92</f>
        <v>494.941546836131</v>
      </c>
      <c r="J92" s="34">
        <f xml:space="preserve">I92</f>
        <v>494.941546836131</v>
      </c>
      <c r="K92" s="34"/>
      <c r="L92" s="34">
        <f xml:space="preserve">J92</f>
        <v>494.941546836131</v>
      </c>
      <c r="M92" s="34"/>
      <c r="N92" s="34"/>
      <c r="O92" s="34"/>
      <c r="P92" s="34"/>
      <c r="Q92" s="34"/>
      <c r="R92" s="34"/>
      <c r="S92" s="34"/>
      <c r="T92" s="34"/>
      <c r="U92" s="34"/>
      <c r="V92" s="34">
        <f xml:space="preserve">L92</f>
        <v>494.941546836131</v>
      </c>
      <c r="W92" s="34">
        <v>3</v>
      </c>
      <c r="AG92" s="232" t="s">
        <v>437</v>
      </c>
      <c r="AI92">
        <v>1</v>
      </c>
      <c r="AJ92">
        <v>1.05112854144243</v>
      </c>
      <c r="AK92">
        <v>1.34748241570804</v>
      </c>
      <c r="AL92">
        <v>1.61939081647613</v>
      </c>
      <c r="AM92">
        <v>1.86637100263541</v>
      </c>
      <c r="AN92">
        <v>2.06432167722141</v>
      </c>
      <c r="AO92">
        <v>2.25382438235957</v>
      </c>
      <c r="AP92">
        <v>2.43076687895356</v>
      </c>
      <c r="AQ92">
        <v>2.58432772042495</v>
      </c>
      <c r="AR92">
        <v>2.73235938824186</v>
      </c>
      <c r="AS92">
        <v>2.8725062845741</v>
      </c>
      <c r="AT92">
        <v>2.98524868318952</v>
      </c>
      <c r="AU92">
        <v>3.06916517970485</v>
      </c>
      <c r="AV92">
        <v>3.130871115275</v>
      </c>
      <c r="AW92">
        <v>3.17630688746411</v>
      </c>
      <c r="AX92">
        <v>3.21307119895013</v>
      </c>
      <c r="AY92">
        <v>3.24296091942514</v>
      </c>
      <c r="AZ92">
        <v>3.25990155657189</v>
      </c>
      <c r="BA92">
        <v>0</v>
      </c>
      <c r="BB92">
        <v>0</v>
      </c>
      <c r="BC92">
        <v>0</v>
      </c>
      <c r="BD92">
        <v>0</v>
      </c>
      <c r="BE92">
        <v>0</v>
      </c>
      <c r="BF92">
        <v>0</v>
      </c>
      <c r="BG92">
        <v>0</v>
      </c>
      <c r="BH92">
        <v>0</v>
      </c>
      <c r="BJ92" t="s">
        <v>453</v>
      </c>
      <c r="BL92">
        <v>0.799999999999999</v>
      </c>
      <c r="BM92">
        <v>0.795121951219512</v>
      </c>
      <c r="BN92">
        <v>0.770731707317072</v>
      </c>
      <c r="BO92">
        <v>0.746341463414634</v>
      </c>
      <c r="BP92">
        <v>0.721951219512194</v>
      </c>
      <c r="BQ92">
        <v>0.697560975609756</v>
      </c>
      <c r="BR92">
        <v>0.673170731707316</v>
      </c>
      <c r="BS92">
        <v>0.648780487804878</v>
      </c>
      <c r="BT92">
        <v>0.62439024390244</v>
      </c>
      <c r="BU92">
        <v>0.6</v>
      </c>
      <c r="BV92">
        <v>0.574999999999999</v>
      </c>
      <c r="BW92">
        <v>0.550000000000001</v>
      </c>
      <c r="BX92">
        <v>0.525</v>
      </c>
      <c r="BY92">
        <v>0.5</v>
      </c>
      <c r="BZ92">
        <v>0.475</v>
      </c>
      <c r="CA92">
        <v>0.449999999999999</v>
      </c>
      <c r="CB92">
        <v>0.425000000000001</v>
      </c>
      <c r="CC92">
        <v>0.4</v>
      </c>
      <c r="CD92" t="e">
        <v>#VALUE!</v>
      </c>
      <c r="CE92" t="e">
        <v>#VALUE!</v>
      </c>
      <c r="CF92" t="e">
        <v>#VALUE!</v>
      </c>
      <c r="CG92" t="e">
        <v>#VALUE!</v>
      </c>
      <c r="CH92" t="e">
        <v>#VALUE!</v>
      </c>
      <c r="CI92" t="e">
        <v>#VALUE!</v>
      </c>
      <c r="CJ92" t="e">
        <v>#VALUE!</v>
      </c>
      <c r="CK92" t="e">
        <v>#VALUE!</v>
      </c>
    </row>
    <row r="93" spans="1:89">
      <c r="A93" s="34" t="s">
        <v>11</v>
      </c>
      <c r="B93" s="34" t="s">
        <v>445</v>
      </c>
      <c r="C93" s="34" t="s">
        <v>445</v>
      </c>
      <c r="D93" s="34">
        <v>1604.309</v>
      </c>
      <c r="E93" s="34">
        <v>1604.73418519603</v>
      </c>
      <c r="F93" s="34"/>
      <c r="G93" s="34">
        <v>1606.79475804532</v>
      </c>
      <c r="H93" s="34">
        <v>1598.30512648533</v>
      </c>
      <c r="I93" s="34">
        <v>1584.11499631451</v>
      </c>
      <c r="J93" s="34">
        <v>1565.82495876353</v>
      </c>
      <c r="K93" s="34">
        <v>1542.5492553052</v>
      </c>
      <c r="L93" s="34">
        <v>1513.31501966419</v>
      </c>
      <c r="M93" s="34">
        <v>1478.27435603251</v>
      </c>
      <c r="N93" s="34">
        <v>1439.9230005318</v>
      </c>
      <c r="O93" s="34">
        <v>1401.06754765522</v>
      </c>
      <c r="P93" s="34">
        <v>1364.0480345869</v>
      </c>
      <c r="Q93" s="34">
        <v>1329.3130573773</v>
      </c>
      <c r="R93" s="34">
        <v>1295.99924107868</v>
      </c>
      <c r="S93" s="34">
        <v>1264.15245247344</v>
      </c>
      <c r="T93" s="34">
        <v>1234.84805743446</v>
      </c>
      <c r="U93" s="34">
        <v>1208.45701594855</v>
      </c>
      <c r="V93" s="34">
        <v>1184.041969554</v>
      </c>
      <c r="W93" s="34">
        <v>3</v>
      </c>
      <c r="AG93" s="232" t="s">
        <v>442</v>
      </c>
      <c r="AI93">
        <v>1</v>
      </c>
      <c r="AJ93">
        <v>1.00033331616148</v>
      </c>
      <c r="AK93">
        <v>1.0019998969689</v>
      </c>
      <c r="AL93">
        <v>0.994906430115937</v>
      </c>
      <c r="AM93">
        <v>0.98267151190847</v>
      </c>
      <c r="AN93">
        <v>0.966406511398471</v>
      </c>
      <c r="AO93">
        <v>0.945066520676171</v>
      </c>
      <c r="AP93">
        <v>0.917459642340542</v>
      </c>
      <c r="AQ93">
        <v>0.883436545527019</v>
      </c>
      <c r="AR93">
        <v>0.84523773973525</v>
      </c>
      <c r="AS93">
        <v>0.805571252552421</v>
      </c>
      <c r="AT93">
        <v>0.766871080268876</v>
      </c>
      <c r="AU93">
        <v>0.729674722955349</v>
      </c>
      <c r="AV93">
        <v>0.693102074332999</v>
      </c>
      <c r="AW93">
        <v>0.65724585573511</v>
      </c>
      <c r="AX93">
        <v>0.623388841880121</v>
      </c>
      <c r="AY93">
        <v>0.592040606359808</v>
      </c>
      <c r="AZ93">
        <v>0.562137393665917</v>
      </c>
      <c r="BA93">
        <v>0</v>
      </c>
      <c r="BB93">
        <v>0</v>
      </c>
      <c r="BC93">
        <v>0</v>
      </c>
      <c r="BD93">
        <v>0</v>
      </c>
      <c r="BE93">
        <v>0</v>
      </c>
      <c r="BF93">
        <v>0</v>
      </c>
      <c r="BG93">
        <v>0</v>
      </c>
      <c r="BH93">
        <v>0</v>
      </c>
      <c r="BJ93" t="s">
        <v>453</v>
      </c>
      <c r="BL93">
        <v>0.799999999999999</v>
      </c>
      <c r="BM93">
        <v>0.795121951219512</v>
      </c>
      <c r="BN93">
        <v>0.770731707317072</v>
      </c>
      <c r="BO93">
        <v>0.746341463414634</v>
      </c>
      <c r="BP93">
        <v>0.721951219512194</v>
      </c>
      <c r="BQ93">
        <v>0.697560975609756</v>
      </c>
      <c r="BR93">
        <v>0.673170731707316</v>
      </c>
      <c r="BS93">
        <v>0.648780487804878</v>
      </c>
      <c r="BT93">
        <v>0.62439024390244</v>
      </c>
      <c r="BU93">
        <v>0.6</v>
      </c>
      <c r="BV93">
        <v>0.574999999999999</v>
      </c>
      <c r="BW93">
        <v>0.550000000000001</v>
      </c>
      <c r="BX93">
        <v>0.525</v>
      </c>
      <c r="BY93">
        <v>0.5</v>
      </c>
      <c r="BZ93">
        <v>0.475</v>
      </c>
      <c r="CA93">
        <v>0.449999999999999</v>
      </c>
      <c r="CB93">
        <v>0.425000000000001</v>
      </c>
      <c r="CC93">
        <v>0.4</v>
      </c>
      <c r="CD93" t="e">
        <v>#VALUE!</v>
      </c>
      <c r="CE93" t="e">
        <v>#VALUE!</v>
      </c>
      <c r="CF93" t="e">
        <v>#VALUE!</v>
      </c>
      <c r="CG93" t="e">
        <v>#VALUE!</v>
      </c>
      <c r="CH93" t="e">
        <v>#VALUE!</v>
      </c>
      <c r="CI93" t="e">
        <v>#VALUE!</v>
      </c>
      <c r="CJ93" t="e">
        <v>#VALUE!</v>
      </c>
      <c r="CK93" t="e">
        <v>#VALUE!</v>
      </c>
    </row>
    <row r="94" spans="1:89">
      <c r="A94" s="34" t="s">
        <v>11</v>
      </c>
      <c r="B94" s="34" t="s">
        <v>446</v>
      </c>
      <c r="C94" s="34" t="s">
        <v>446</v>
      </c>
      <c r="D94" s="34">
        <v>138.03</v>
      </c>
      <c r="E94" s="34">
        <v>138.066581676353</v>
      </c>
      <c r="F94" s="34"/>
      <c r="G94" s="34">
        <v>138.243867268086</v>
      </c>
      <c r="H94" s="34">
        <v>137.513444485302</v>
      </c>
      <c r="I94" s="34">
        <v>136.292567667009</v>
      </c>
      <c r="J94" s="34">
        <v>134.718946947334</v>
      </c>
      <c r="K94" s="34">
        <v>132.716374283119</v>
      </c>
      <c r="L94" s="34">
        <v>130.201147138268</v>
      </c>
      <c r="M94" s="34">
        <v>127.18635210746</v>
      </c>
      <c r="N94" s="34">
        <v>123.886714942947</v>
      </c>
      <c r="O94" s="34">
        <v>120.54370673159</v>
      </c>
      <c r="P94" s="34">
        <v>117.358657349694</v>
      </c>
      <c r="Q94" s="34">
        <v>114.370162674266</v>
      </c>
      <c r="R94" s="34">
        <v>111.503940479104</v>
      </c>
      <c r="S94" s="34">
        <v>108.763937006468</v>
      </c>
      <c r="T94" s="34">
        <v>106.242673554582</v>
      </c>
      <c r="U94" s="34">
        <v>103.972066423226</v>
      </c>
      <c r="V94" s="34">
        <v>101.871468063533</v>
      </c>
      <c r="W94" s="34">
        <v>3</v>
      </c>
      <c r="AG94" s="232" t="s">
        <v>442</v>
      </c>
      <c r="AI94">
        <v>1</v>
      </c>
      <c r="AJ94">
        <v>1.00033331616148</v>
      </c>
      <c r="AK94">
        <v>1.0019998969689</v>
      </c>
      <c r="AL94">
        <v>0.994906430115937</v>
      </c>
      <c r="AM94">
        <v>0.98267151190847</v>
      </c>
      <c r="AN94">
        <v>0.966406511398471</v>
      </c>
      <c r="AO94">
        <v>0.945066520676171</v>
      </c>
      <c r="AP94">
        <v>0.917459642340542</v>
      </c>
      <c r="AQ94">
        <v>0.883436545527019</v>
      </c>
      <c r="AR94">
        <v>0.84523773973525</v>
      </c>
      <c r="AS94">
        <v>0.805571252552421</v>
      </c>
      <c r="AT94">
        <v>0.766871080268876</v>
      </c>
      <c r="AU94">
        <v>0.729674722955349</v>
      </c>
      <c r="AV94">
        <v>0.693102074332999</v>
      </c>
      <c r="AW94">
        <v>0.65724585573511</v>
      </c>
      <c r="AX94">
        <v>0.623388841880121</v>
      </c>
      <c r="AY94">
        <v>0.592040606359808</v>
      </c>
      <c r="AZ94">
        <v>0.562137393665917</v>
      </c>
      <c r="BA94">
        <v>0</v>
      </c>
      <c r="BB94">
        <v>0</v>
      </c>
      <c r="BC94">
        <v>0</v>
      </c>
      <c r="BD94">
        <v>0</v>
      </c>
      <c r="BE94">
        <v>0</v>
      </c>
      <c r="BF94">
        <v>0</v>
      </c>
      <c r="BG94">
        <v>0</v>
      </c>
      <c r="BH94">
        <v>0</v>
      </c>
      <c r="BJ94" t="s">
        <v>453</v>
      </c>
      <c r="BL94">
        <v>0.799999999999999</v>
      </c>
      <c r="BM94">
        <v>0.795121951219512</v>
      </c>
      <c r="BN94">
        <v>0.770731707317072</v>
      </c>
      <c r="BO94">
        <v>0.746341463414634</v>
      </c>
      <c r="BP94">
        <v>0.721951219512194</v>
      </c>
      <c r="BQ94">
        <v>0.697560975609756</v>
      </c>
      <c r="BR94">
        <v>0.673170731707316</v>
      </c>
      <c r="BS94">
        <v>0.648780487804878</v>
      </c>
      <c r="BT94">
        <v>0.62439024390244</v>
      </c>
      <c r="BU94">
        <v>0.6</v>
      </c>
      <c r="BV94">
        <v>0.574999999999999</v>
      </c>
      <c r="BW94">
        <v>0.550000000000001</v>
      </c>
      <c r="BX94">
        <v>0.525</v>
      </c>
      <c r="BY94">
        <v>0.5</v>
      </c>
      <c r="BZ94">
        <v>0.475</v>
      </c>
      <c r="CA94">
        <v>0.449999999999999</v>
      </c>
      <c r="CB94">
        <v>0.425000000000001</v>
      </c>
      <c r="CC94">
        <v>0.4</v>
      </c>
      <c r="CD94" t="e">
        <v>#VALUE!</v>
      </c>
      <c r="CE94" t="e">
        <v>#VALUE!</v>
      </c>
      <c r="CF94" t="e">
        <v>#VALUE!</v>
      </c>
      <c r="CG94" t="e">
        <v>#VALUE!</v>
      </c>
      <c r="CH94" t="e">
        <v>#VALUE!</v>
      </c>
      <c r="CI94" t="e">
        <v>#VALUE!</v>
      </c>
      <c r="CJ94" t="e">
        <v>#VALUE!</v>
      </c>
      <c r="CK94" t="e">
        <v>#VALUE!</v>
      </c>
    </row>
    <row r="95" spans="1:89">
      <c r="A95" s="34" t="s">
        <v>11</v>
      </c>
      <c r="B95" s="34" t="s">
        <v>447</v>
      </c>
      <c r="C95" s="34" t="s">
        <v>447</v>
      </c>
      <c r="D95" s="34">
        <v>134.54</v>
      </c>
      <c r="E95" s="34">
        <v>134.575656732135</v>
      </c>
      <c r="F95" s="34"/>
      <c r="G95" s="34">
        <v>134.748459771414</v>
      </c>
      <c r="H95" s="34">
        <v>134.036505260107</v>
      </c>
      <c r="I95" s="34">
        <v>132.846497528939</v>
      </c>
      <c r="J95" s="34">
        <v>131.31266479964</v>
      </c>
      <c r="K95" s="34">
        <v>129.360725900535</v>
      </c>
      <c r="L95" s="34">
        <v>126.909094660455</v>
      </c>
      <c r="M95" s="34">
        <v>123.970526787928</v>
      </c>
      <c r="N95" s="34">
        <v>120.754318832312</v>
      </c>
      <c r="O95" s="34">
        <v>117.495836438948</v>
      </c>
      <c r="P95" s="34">
        <v>114.391318987378</v>
      </c>
      <c r="Q95" s="34">
        <v>111.478386482618</v>
      </c>
      <c r="R95" s="34">
        <v>108.684634876901</v>
      </c>
      <c r="S95" s="34">
        <v>106.013910634283</v>
      </c>
      <c r="T95" s="34">
        <v>103.55639571132</v>
      </c>
      <c r="U95" s="34">
        <v>101.343199424624</v>
      </c>
      <c r="V95" s="34">
        <v>99.2957133468648</v>
      </c>
      <c r="W95" s="34">
        <v>3</v>
      </c>
      <c r="AG95" s="232" t="s">
        <v>442</v>
      </c>
      <c r="AI95">
        <v>1</v>
      </c>
      <c r="AJ95">
        <v>1.00033331616148</v>
      </c>
      <c r="AK95">
        <v>1.0019998969689</v>
      </c>
      <c r="AL95">
        <v>0.994906430115937</v>
      </c>
      <c r="AM95">
        <v>0.98267151190847</v>
      </c>
      <c r="AN95">
        <v>0.966406511398471</v>
      </c>
      <c r="AO95">
        <v>0.945066520676171</v>
      </c>
      <c r="AP95">
        <v>0.917459642340542</v>
      </c>
      <c r="AQ95">
        <v>0.883436545527019</v>
      </c>
      <c r="AR95">
        <v>0.84523773973525</v>
      </c>
      <c r="AS95">
        <v>0.805571252552421</v>
      </c>
      <c r="AT95">
        <v>0.766871080268876</v>
      </c>
      <c r="AU95">
        <v>0.729674722955349</v>
      </c>
      <c r="AV95">
        <v>0.693102074332999</v>
      </c>
      <c r="AW95">
        <v>0.65724585573511</v>
      </c>
      <c r="AX95">
        <v>0.623388841880121</v>
      </c>
      <c r="AY95">
        <v>0.592040606359808</v>
      </c>
      <c r="AZ95">
        <v>0.562137393665917</v>
      </c>
      <c r="BA95">
        <v>0</v>
      </c>
      <c r="BB95">
        <v>0</v>
      </c>
      <c r="BC95">
        <v>0</v>
      </c>
      <c r="BD95">
        <v>0</v>
      </c>
      <c r="BE95">
        <v>0</v>
      </c>
      <c r="BF95">
        <v>0</v>
      </c>
      <c r="BG95">
        <v>0</v>
      </c>
      <c r="BH95">
        <v>0</v>
      </c>
      <c r="BJ95" t="s">
        <v>453</v>
      </c>
      <c r="BL95">
        <v>0.799999999999999</v>
      </c>
      <c r="BM95">
        <v>0.795121951219512</v>
      </c>
      <c r="BN95">
        <v>0.770731707317072</v>
      </c>
      <c r="BO95">
        <v>0.746341463414634</v>
      </c>
      <c r="BP95">
        <v>0.721951219512194</v>
      </c>
      <c r="BQ95">
        <v>0.697560975609756</v>
      </c>
      <c r="BR95">
        <v>0.673170731707316</v>
      </c>
      <c r="BS95">
        <v>0.648780487804878</v>
      </c>
      <c r="BT95">
        <v>0.62439024390244</v>
      </c>
      <c r="BU95">
        <v>0.6</v>
      </c>
      <c r="BV95">
        <v>0.574999999999999</v>
      </c>
      <c r="BW95">
        <v>0.550000000000001</v>
      </c>
      <c r="BX95">
        <v>0.525</v>
      </c>
      <c r="BY95">
        <v>0.5</v>
      </c>
      <c r="BZ95">
        <v>0.475</v>
      </c>
      <c r="CA95">
        <v>0.449999999999999</v>
      </c>
      <c r="CB95">
        <v>0.425000000000001</v>
      </c>
      <c r="CC95">
        <v>0.4</v>
      </c>
      <c r="CD95" t="e">
        <v>#VALUE!</v>
      </c>
      <c r="CE95" t="e">
        <v>#VALUE!</v>
      </c>
      <c r="CF95" t="e">
        <v>#VALUE!</v>
      </c>
      <c r="CG95" t="e">
        <v>#VALUE!</v>
      </c>
      <c r="CH95" t="e">
        <v>#VALUE!</v>
      </c>
      <c r="CI95" t="e">
        <v>#VALUE!</v>
      </c>
      <c r="CJ95" t="e">
        <v>#VALUE!</v>
      </c>
      <c r="CK95" t="e">
        <v>#VALUE!</v>
      </c>
    </row>
    <row r="96" spans="1:89">
      <c r="A96" s="34" t="s">
        <v>11</v>
      </c>
      <c r="B96" s="34" t="s">
        <v>448</v>
      </c>
      <c r="C96" s="34" t="s">
        <v>448</v>
      </c>
      <c r="D96" s="34">
        <v>2265.18</v>
      </c>
      <c r="E96" s="34">
        <v>2356.63650889439</v>
      </c>
      <c r="F96" s="34"/>
      <c r="G96" s="34">
        <v>2864.85882333747</v>
      </c>
      <c r="H96" s="34">
        <v>3314.63945189034</v>
      </c>
      <c r="I96" s="34">
        <v>3713.94593218176</v>
      </c>
      <c r="J96" s="34">
        <v>4036.94777009022</v>
      </c>
      <c r="K96" s="34">
        <v>4353.41328289509</v>
      </c>
      <c r="L96" s="34">
        <v>4666.81138811138</v>
      </c>
      <c r="M96" s="34">
        <v>4970.20494638726</v>
      </c>
      <c r="N96" s="34">
        <v>5283.513293256</v>
      </c>
      <c r="O96" s="34">
        <v>5596.60354725042</v>
      </c>
      <c r="P96" s="34">
        <v>5878.8513563106</v>
      </c>
      <c r="Q96" s="34">
        <v>6127.36800440491</v>
      </c>
      <c r="R96" s="34">
        <v>6353.87416532668</v>
      </c>
      <c r="S96" s="34">
        <v>6564.71540805506</v>
      </c>
      <c r="T96" s="34">
        <v>6761.20706420262</v>
      </c>
      <c r="U96" s="34">
        <v>6941.50440837993</v>
      </c>
      <c r="V96" s="34">
        <v>7104.483325142</v>
      </c>
      <c r="W96" s="34">
        <v>3</v>
      </c>
      <c r="AG96" s="232" t="s">
        <v>449</v>
      </c>
      <c r="AI96">
        <v>1</v>
      </c>
      <c r="AJ96">
        <v>1.05077830005289</v>
      </c>
      <c r="AK96">
        <v>1.34479296832689</v>
      </c>
      <c r="AL96">
        <v>1.62768152607821</v>
      </c>
      <c r="AM96">
        <v>1.89928270028984</v>
      </c>
      <c r="AN96">
        <v>2.13608005831229</v>
      </c>
      <c r="AO96">
        <v>2.38483147275921</v>
      </c>
      <c r="AP96">
        <v>2.6494537380984</v>
      </c>
      <c r="AQ96">
        <v>2.92531221796271</v>
      </c>
      <c r="AR96">
        <v>3.2326519034724</v>
      </c>
      <c r="AS96">
        <v>3.56580038757922</v>
      </c>
      <c r="AT96">
        <v>3.89276471625825</v>
      </c>
      <c r="AU96">
        <v>4.20621008670005</v>
      </c>
      <c r="AV96">
        <v>4.51718618543737</v>
      </c>
      <c r="AW96">
        <v>4.83275300977214</v>
      </c>
      <c r="AX96">
        <v>5.15420068998928</v>
      </c>
      <c r="AY96">
        <v>5.47759880756265</v>
      </c>
      <c r="AZ96">
        <v>5.79911885119902</v>
      </c>
      <c r="BA96">
        <v>0</v>
      </c>
      <c r="BB96">
        <v>0</v>
      </c>
      <c r="BC96">
        <v>0</v>
      </c>
      <c r="BD96">
        <v>0</v>
      </c>
      <c r="BE96">
        <v>0</v>
      </c>
      <c r="BF96">
        <v>0</v>
      </c>
      <c r="BG96">
        <v>0</v>
      </c>
      <c r="BH96">
        <v>0</v>
      </c>
      <c r="BJ96" t="s">
        <v>453</v>
      </c>
      <c r="BL96">
        <v>0.799999999999999</v>
      </c>
      <c r="BM96">
        <v>0.795121951219512</v>
      </c>
      <c r="BN96">
        <v>0.770731707317072</v>
      </c>
      <c r="BO96">
        <v>0.746341463414634</v>
      </c>
      <c r="BP96">
        <v>0.721951219512194</v>
      </c>
      <c r="BQ96">
        <v>0.697560975609756</v>
      </c>
      <c r="BR96">
        <v>0.673170731707316</v>
      </c>
      <c r="BS96">
        <v>0.648780487804878</v>
      </c>
      <c r="BT96">
        <v>0.62439024390244</v>
      </c>
      <c r="BU96">
        <v>0.6</v>
      </c>
      <c r="BV96">
        <v>0.574999999999999</v>
      </c>
      <c r="BW96">
        <v>0.550000000000001</v>
      </c>
      <c r="BX96">
        <v>0.525</v>
      </c>
      <c r="BY96">
        <v>0.5</v>
      </c>
      <c r="BZ96">
        <v>0.475</v>
      </c>
      <c r="CA96">
        <v>0.449999999999999</v>
      </c>
      <c r="CB96">
        <v>0.425000000000001</v>
      </c>
      <c r="CC96">
        <v>0.4</v>
      </c>
      <c r="CD96" t="e">
        <v>#VALUE!</v>
      </c>
      <c r="CE96" t="e">
        <v>#VALUE!</v>
      </c>
      <c r="CF96" t="e">
        <v>#VALUE!</v>
      </c>
      <c r="CG96" t="e">
        <v>#VALUE!</v>
      </c>
      <c r="CH96" t="e">
        <v>#VALUE!</v>
      </c>
      <c r="CI96" t="e">
        <v>#VALUE!</v>
      </c>
      <c r="CJ96" t="e">
        <v>#VALUE!</v>
      </c>
      <c r="CK96" t="e">
        <v>#VALUE!</v>
      </c>
    </row>
    <row r="97" spans="1:89">
      <c r="A97" s="34" t="s">
        <v>11</v>
      </c>
      <c r="B97" s="34" t="s">
        <v>450</v>
      </c>
      <c r="C97" s="34" t="s">
        <v>450</v>
      </c>
      <c r="D97" s="34">
        <v>278.8</v>
      </c>
      <c r="E97" s="34">
        <v>290.134175066958</v>
      </c>
      <c r="F97" s="34"/>
      <c r="G97" s="34">
        <v>353.180081627416</v>
      </c>
      <c r="H97" s="34">
        <v>406.370485935307</v>
      </c>
      <c r="I97" s="34">
        <v>451.115067820531</v>
      </c>
      <c r="J97" s="34">
        <v>484.490624453264</v>
      </c>
      <c r="K97" s="34">
        <v>514.430407117449</v>
      </c>
      <c r="L97" s="34">
        <v>540.632530590456</v>
      </c>
      <c r="M97" s="34">
        <v>561.957845641691</v>
      </c>
      <c r="N97" s="34">
        <v>581.271392404899</v>
      </c>
      <c r="O97" s="34">
        <v>598.414614707802</v>
      </c>
      <c r="P97" s="34">
        <v>611.332492264778</v>
      </c>
      <c r="Q97" s="34">
        <v>620.354508639497</v>
      </c>
      <c r="R97" s="34">
        <v>626.590659693518</v>
      </c>
      <c r="S97" s="34">
        <v>630.909928668568</v>
      </c>
      <c r="T97" s="34">
        <v>634.196051981442</v>
      </c>
      <c r="U97" s="34">
        <v>636.703396250273</v>
      </c>
      <c r="V97" s="34">
        <v>638.033805277575</v>
      </c>
      <c r="W97" s="34">
        <v>3</v>
      </c>
      <c r="AG97" s="232" t="s">
        <v>437</v>
      </c>
      <c r="AI97">
        <v>1</v>
      </c>
      <c r="AJ97">
        <v>1.05112854144243</v>
      </c>
      <c r="AK97">
        <v>1.34748241570804</v>
      </c>
      <c r="AL97">
        <v>1.61939081647613</v>
      </c>
      <c r="AM97">
        <v>1.86637100263541</v>
      </c>
      <c r="AN97">
        <v>2.06432167722141</v>
      </c>
      <c r="AO97">
        <v>2.25382438235957</v>
      </c>
      <c r="AP97">
        <v>2.43076687895356</v>
      </c>
      <c r="AQ97">
        <v>2.58432772042495</v>
      </c>
      <c r="AR97">
        <v>2.73235938824186</v>
      </c>
      <c r="AS97">
        <v>2.8725062845741</v>
      </c>
      <c r="AT97">
        <v>2.98524868318952</v>
      </c>
      <c r="AU97">
        <v>3.06916517970485</v>
      </c>
      <c r="AV97">
        <v>3.130871115275</v>
      </c>
      <c r="AW97">
        <v>3.17630688746411</v>
      </c>
      <c r="AX97">
        <v>3.21307119895013</v>
      </c>
      <c r="AY97">
        <v>3.24296091942514</v>
      </c>
      <c r="AZ97">
        <v>3.25990155657189</v>
      </c>
      <c r="BA97">
        <v>0</v>
      </c>
      <c r="BB97">
        <v>0</v>
      </c>
      <c r="BC97">
        <v>0</v>
      </c>
      <c r="BD97">
        <v>0</v>
      </c>
      <c r="BE97">
        <v>0</v>
      </c>
      <c r="BF97">
        <v>0</v>
      </c>
      <c r="BG97">
        <v>0</v>
      </c>
      <c r="BH97">
        <v>0</v>
      </c>
      <c r="BJ97" t="s">
        <v>453</v>
      </c>
      <c r="BL97">
        <v>0.799999999999999</v>
      </c>
      <c r="BM97">
        <v>0.795121951219512</v>
      </c>
      <c r="BN97">
        <v>0.770731707317072</v>
      </c>
      <c r="BO97">
        <v>0.746341463414634</v>
      </c>
      <c r="BP97">
        <v>0.721951219512194</v>
      </c>
      <c r="BQ97">
        <v>0.697560975609756</v>
      </c>
      <c r="BR97">
        <v>0.673170731707316</v>
      </c>
      <c r="BS97">
        <v>0.648780487804878</v>
      </c>
      <c r="BT97">
        <v>0.62439024390244</v>
      </c>
      <c r="BU97">
        <v>0.6</v>
      </c>
      <c r="BV97">
        <v>0.574999999999999</v>
      </c>
      <c r="BW97">
        <v>0.550000000000001</v>
      </c>
      <c r="BX97">
        <v>0.525</v>
      </c>
      <c r="BY97">
        <v>0.5</v>
      </c>
      <c r="BZ97">
        <v>0.475</v>
      </c>
      <c r="CA97">
        <v>0.449999999999999</v>
      </c>
      <c r="CB97">
        <v>0.425000000000001</v>
      </c>
      <c r="CC97">
        <v>0.4</v>
      </c>
      <c r="CD97" t="e">
        <v>#VALUE!</v>
      </c>
      <c r="CE97" t="e">
        <v>#VALUE!</v>
      </c>
      <c r="CF97" t="e">
        <v>#VALUE!</v>
      </c>
      <c r="CG97" t="e">
        <v>#VALUE!</v>
      </c>
      <c r="CH97" t="e">
        <v>#VALUE!</v>
      </c>
      <c r="CI97" t="e">
        <v>#VALUE!</v>
      </c>
      <c r="CJ97" t="e">
        <v>#VALUE!</v>
      </c>
      <c r="CK97" t="e">
        <v>#VALUE!</v>
      </c>
    </row>
    <row r="98" spans="1:89">
      <c r="A98" s="34" t="s">
        <v>11</v>
      </c>
      <c r="B98" s="34" t="s">
        <v>451</v>
      </c>
      <c r="C98" s="34" t="s">
        <v>451</v>
      </c>
      <c r="D98" s="34">
        <v>375.92</v>
      </c>
      <c r="E98" s="34">
        <v>391.202435764601</v>
      </c>
      <c r="F98" s="34"/>
      <c r="G98" s="34">
        <v>476.210388398057</v>
      </c>
      <c r="H98" s="34">
        <v>547.92967386227</v>
      </c>
      <c r="I98" s="34">
        <v>608.261034057009</v>
      </c>
      <c r="J98" s="34">
        <v>653.262968236984</v>
      </c>
      <c r="K98" s="34">
        <v>693.632276339998</v>
      </c>
      <c r="L98" s="34">
        <v>728.961911404462</v>
      </c>
      <c r="M98" s="34">
        <v>757.715901483588</v>
      </c>
      <c r="N98" s="34">
        <v>783.757323647237</v>
      </c>
      <c r="O98" s="34">
        <v>806.872388669142</v>
      </c>
      <c r="P98" s="34">
        <v>824.290209799768</v>
      </c>
      <c r="Q98" s="34">
        <v>836.455046225824</v>
      </c>
      <c r="R98" s="34">
        <v>844.86356094687</v>
      </c>
      <c r="S98" s="34">
        <v>850.687447579226</v>
      </c>
      <c r="T98" s="34">
        <v>855.118292183872</v>
      </c>
      <c r="U98" s="34">
        <v>858.499070008618</v>
      </c>
      <c r="V98" s="34">
        <v>860.292927116019</v>
      </c>
      <c r="W98" s="34">
        <v>3</v>
      </c>
      <c r="AG98" s="232" t="s">
        <v>437</v>
      </c>
      <c r="AI98">
        <v>1</v>
      </c>
      <c r="AJ98">
        <v>1.05112854144243</v>
      </c>
      <c r="AK98">
        <v>1.34748241570804</v>
      </c>
      <c r="AL98">
        <v>1.61939081647613</v>
      </c>
      <c r="AM98">
        <v>1.86637100263541</v>
      </c>
      <c r="AN98">
        <v>2.06432167722141</v>
      </c>
      <c r="AO98">
        <v>2.25382438235957</v>
      </c>
      <c r="AP98">
        <v>2.43076687895356</v>
      </c>
      <c r="AQ98">
        <v>2.58432772042495</v>
      </c>
      <c r="AR98">
        <v>2.73235938824186</v>
      </c>
      <c r="AS98">
        <v>2.8725062845741</v>
      </c>
      <c r="AT98">
        <v>2.98524868318952</v>
      </c>
      <c r="AU98">
        <v>3.06916517970485</v>
      </c>
      <c r="AV98">
        <v>3.130871115275</v>
      </c>
      <c r="AW98">
        <v>3.17630688746411</v>
      </c>
      <c r="AX98">
        <v>3.21307119895013</v>
      </c>
      <c r="AY98">
        <v>3.24296091942514</v>
      </c>
      <c r="AZ98">
        <v>3.25990155657189</v>
      </c>
      <c r="BA98">
        <v>0</v>
      </c>
      <c r="BB98">
        <v>0</v>
      </c>
      <c r="BC98">
        <v>0</v>
      </c>
      <c r="BD98">
        <v>0</v>
      </c>
      <c r="BE98">
        <v>0</v>
      </c>
      <c r="BF98">
        <v>0</v>
      </c>
      <c r="BG98">
        <v>0</v>
      </c>
      <c r="BH98">
        <v>0</v>
      </c>
      <c r="BJ98" t="s">
        <v>453</v>
      </c>
      <c r="BL98">
        <v>0.799999999999999</v>
      </c>
      <c r="BM98">
        <v>0.795121951219512</v>
      </c>
      <c r="BN98">
        <v>0.770731707317072</v>
      </c>
      <c r="BO98">
        <v>0.746341463414634</v>
      </c>
      <c r="BP98">
        <v>0.721951219512194</v>
      </c>
      <c r="BQ98">
        <v>0.697560975609756</v>
      </c>
      <c r="BR98">
        <v>0.673170731707316</v>
      </c>
      <c r="BS98">
        <v>0.648780487804878</v>
      </c>
      <c r="BT98">
        <v>0.62439024390244</v>
      </c>
      <c r="BU98">
        <v>0.6</v>
      </c>
      <c r="BV98">
        <v>0.574999999999999</v>
      </c>
      <c r="BW98">
        <v>0.550000000000001</v>
      </c>
      <c r="BX98">
        <v>0.525</v>
      </c>
      <c r="BY98">
        <v>0.5</v>
      </c>
      <c r="BZ98">
        <v>0.475</v>
      </c>
      <c r="CA98">
        <v>0.449999999999999</v>
      </c>
      <c r="CB98">
        <v>0.425000000000001</v>
      </c>
      <c r="CC98">
        <v>0.4</v>
      </c>
      <c r="CD98" t="e">
        <v>#VALUE!</v>
      </c>
      <c r="CE98" t="e">
        <v>#VALUE!</v>
      </c>
      <c r="CF98" t="e">
        <v>#VALUE!</v>
      </c>
      <c r="CG98" t="e">
        <v>#VALUE!</v>
      </c>
      <c r="CH98" t="e">
        <v>#VALUE!</v>
      </c>
      <c r="CI98" t="e">
        <v>#VALUE!</v>
      </c>
      <c r="CJ98" t="e">
        <v>#VALUE!</v>
      </c>
      <c r="CK98" t="e">
        <v>#VALUE!</v>
      </c>
    </row>
    <row r="99" spans="1:89">
      <c r="A99" s="34" t="s">
        <v>12</v>
      </c>
      <c r="B99" s="34" t="s">
        <v>436</v>
      </c>
      <c r="C99" s="34" t="s">
        <v>436</v>
      </c>
      <c r="D99" s="34"/>
      <c r="E99" s="34">
        <v>0.474749727627687</v>
      </c>
      <c r="F99" s="34">
        <f xml:space="preserve">E99</f>
        <v>0.474749727627687</v>
      </c>
      <c r="G99" s="34"/>
      <c r="H99" s="34"/>
      <c r="I99" s="34">
        <f xml:space="preserve">F99</f>
        <v>0.474749727627687</v>
      </c>
      <c r="J99" s="34">
        <f xml:space="preserve">I99</f>
        <v>0.474749727627687</v>
      </c>
      <c r="K99" s="34"/>
      <c r="L99" s="34">
        <f xml:space="preserve">J99</f>
        <v>0.474749727627687</v>
      </c>
      <c r="M99" s="34"/>
      <c r="N99" s="34"/>
      <c r="O99" s="34"/>
      <c r="P99" s="34"/>
      <c r="Q99" s="34"/>
      <c r="R99" s="34"/>
      <c r="S99" s="34"/>
      <c r="T99" s="34"/>
      <c r="U99" s="34"/>
      <c r="V99" s="34">
        <f xml:space="preserve">L99</f>
        <v>0.474749727627687</v>
      </c>
      <c r="W99" s="34">
        <v>3</v>
      </c>
      <c r="AG99" s="232" t="s">
        <v>437</v>
      </c>
      <c r="AI99">
        <v>1</v>
      </c>
      <c r="AJ99">
        <v>1.01354665343015</v>
      </c>
      <c r="AK99">
        <v>1.26651860911973</v>
      </c>
      <c r="AL99">
        <v>1.43442777575904</v>
      </c>
      <c r="AM99">
        <v>1.55582290744437</v>
      </c>
      <c r="AN99">
        <v>1.64075103127405</v>
      </c>
      <c r="AO99">
        <v>1.70006493979853</v>
      </c>
      <c r="AP99">
        <v>1.74856667792587</v>
      </c>
      <c r="AQ99">
        <v>1.79128115037486</v>
      </c>
      <c r="AR99">
        <v>1.83354488386238</v>
      </c>
      <c r="AS99">
        <v>1.87489601006984</v>
      </c>
      <c r="AT99">
        <v>1.91374859561425</v>
      </c>
      <c r="AU99">
        <v>1.949028657538</v>
      </c>
      <c r="AV99">
        <v>1.98059151419911</v>
      </c>
      <c r="AW99">
        <v>2.01060739022698</v>
      </c>
      <c r="AX99">
        <v>2.04092932357437</v>
      </c>
      <c r="AY99">
        <v>2.07188563027497</v>
      </c>
      <c r="AZ99">
        <v>2.10205175262333</v>
      </c>
      <c r="BA99">
        <v>0</v>
      </c>
      <c r="BB99">
        <v>0</v>
      </c>
      <c r="BC99">
        <v>0</v>
      </c>
      <c r="BD99">
        <v>0</v>
      </c>
      <c r="BE99">
        <v>0</v>
      </c>
      <c r="BF99">
        <v>0</v>
      </c>
      <c r="BG99">
        <v>0</v>
      </c>
      <c r="BH99">
        <v>0</v>
      </c>
      <c r="BJ99" t="s">
        <v>452</v>
      </c>
      <c r="BL99">
        <v>0.8</v>
      </c>
      <c r="BM99">
        <v>0.797560975609756</v>
      </c>
      <c r="BN99">
        <v>0.785365853658536</v>
      </c>
      <c r="BO99">
        <v>0.773170731707317</v>
      </c>
      <c r="BP99">
        <v>0.760975609756097</v>
      </c>
      <c r="BQ99">
        <v>0.748780487804878</v>
      </c>
      <c r="BR99">
        <v>0.736585365853658</v>
      </c>
      <c r="BS99">
        <v>0.724390243902439</v>
      </c>
      <c r="BT99">
        <v>0.71219512195122</v>
      </c>
      <c r="BU99">
        <v>0.699999999999999</v>
      </c>
      <c r="BV99">
        <v>0.687499999999999</v>
      </c>
      <c r="BW99">
        <v>0.675</v>
      </c>
      <c r="BX99">
        <v>0.6625</v>
      </c>
      <c r="BY99">
        <v>0.649999999999999</v>
      </c>
      <c r="BZ99">
        <v>0.637499999999999</v>
      </c>
      <c r="CA99">
        <v>0.625</v>
      </c>
      <c r="CB99">
        <v>0.6125</v>
      </c>
      <c r="CC99">
        <v>0.6</v>
      </c>
      <c r="CD99" t="e">
        <v>#VALUE!</v>
      </c>
      <c r="CE99" t="e">
        <v>#VALUE!</v>
      </c>
      <c r="CF99" t="e">
        <v>#VALUE!</v>
      </c>
      <c r="CG99" t="e">
        <v>#VALUE!</v>
      </c>
      <c r="CH99" t="e">
        <v>#VALUE!</v>
      </c>
      <c r="CI99" t="e">
        <v>#VALUE!</v>
      </c>
      <c r="CJ99" t="e">
        <v>#VALUE!</v>
      </c>
      <c r="CK99" t="e">
        <v>#VALUE!</v>
      </c>
    </row>
    <row r="100" spans="1:89">
      <c r="A100" s="34" t="s">
        <v>12</v>
      </c>
      <c r="B100" s="34" t="s">
        <v>439</v>
      </c>
      <c r="C100" s="34" t="s">
        <v>439</v>
      </c>
      <c r="D100" s="34"/>
      <c r="E100" s="34">
        <v>9.59652531307715</v>
      </c>
      <c r="F100" s="34">
        <f xml:space="preserve">E100</f>
        <v>9.59652531307715</v>
      </c>
      <c r="G100" s="34"/>
      <c r="H100" s="34"/>
      <c r="I100" s="34">
        <f xml:space="preserve">F100</f>
        <v>9.59652531307715</v>
      </c>
      <c r="J100" s="34">
        <f xml:space="preserve">I100</f>
        <v>9.59652531307715</v>
      </c>
      <c r="K100" s="34"/>
      <c r="L100" s="34">
        <f xml:space="preserve">J100</f>
        <v>9.59652531307715</v>
      </c>
      <c r="M100" s="34"/>
      <c r="N100" s="34"/>
      <c r="O100" s="34"/>
      <c r="P100" s="34"/>
      <c r="Q100" s="34"/>
      <c r="R100" s="34"/>
      <c r="S100" s="34"/>
      <c r="T100" s="34"/>
      <c r="U100" s="34"/>
      <c r="V100" s="34">
        <f xml:space="preserve">L100</f>
        <v>9.59652531307715</v>
      </c>
      <c r="W100" s="34">
        <v>3</v>
      </c>
      <c r="AG100" s="232" t="s">
        <v>437</v>
      </c>
      <c r="AI100">
        <v>1</v>
      </c>
      <c r="AJ100">
        <v>1.01354665343015</v>
      </c>
      <c r="AK100">
        <v>1.26651860911973</v>
      </c>
      <c r="AL100">
        <v>1.43442777575904</v>
      </c>
      <c r="AM100">
        <v>1.55582290744437</v>
      </c>
      <c r="AN100">
        <v>1.64075103127405</v>
      </c>
      <c r="AO100">
        <v>1.70006493979853</v>
      </c>
      <c r="AP100">
        <v>1.74856667792587</v>
      </c>
      <c r="AQ100">
        <v>1.79128115037486</v>
      </c>
      <c r="AR100">
        <v>1.83354488386238</v>
      </c>
      <c r="AS100">
        <v>1.87489601006984</v>
      </c>
      <c r="AT100">
        <v>1.91374859561425</v>
      </c>
      <c r="AU100">
        <v>1.949028657538</v>
      </c>
      <c r="AV100">
        <v>1.98059151419911</v>
      </c>
      <c r="AW100">
        <v>2.01060739022698</v>
      </c>
      <c r="AX100">
        <v>2.04092932357437</v>
      </c>
      <c r="AY100">
        <v>2.07188563027497</v>
      </c>
      <c r="AZ100">
        <v>2.10205175262333</v>
      </c>
      <c r="BA100">
        <v>0</v>
      </c>
      <c r="BB100">
        <v>0</v>
      </c>
      <c r="BC100">
        <v>0</v>
      </c>
      <c r="BD100">
        <v>0</v>
      </c>
      <c r="BE100">
        <v>0</v>
      </c>
      <c r="BF100">
        <v>0</v>
      </c>
      <c r="BG100">
        <v>0</v>
      </c>
      <c r="BH100">
        <v>0</v>
      </c>
      <c r="BJ100" t="s">
        <v>452</v>
      </c>
      <c r="BL100">
        <v>0.8</v>
      </c>
      <c r="BM100">
        <v>0.797560975609756</v>
      </c>
      <c r="BN100">
        <v>0.785365853658536</v>
      </c>
      <c r="BO100">
        <v>0.773170731707317</v>
      </c>
      <c r="BP100">
        <v>0.760975609756097</v>
      </c>
      <c r="BQ100">
        <v>0.748780487804878</v>
      </c>
      <c r="BR100">
        <v>0.736585365853658</v>
      </c>
      <c r="BS100">
        <v>0.724390243902439</v>
      </c>
      <c r="BT100">
        <v>0.71219512195122</v>
      </c>
      <c r="BU100">
        <v>0.699999999999999</v>
      </c>
      <c r="BV100">
        <v>0.687499999999999</v>
      </c>
      <c r="BW100">
        <v>0.675</v>
      </c>
      <c r="BX100">
        <v>0.6625</v>
      </c>
      <c r="BY100">
        <v>0.649999999999999</v>
      </c>
      <c r="BZ100">
        <v>0.637499999999999</v>
      </c>
      <c r="CA100">
        <v>0.625</v>
      </c>
      <c r="CB100">
        <v>0.6125</v>
      </c>
      <c r="CC100">
        <v>0.6</v>
      </c>
      <c r="CD100" t="e">
        <v>#VALUE!</v>
      </c>
      <c r="CE100" t="e">
        <v>#VALUE!</v>
      </c>
      <c r="CF100" t="e">
        <v>#VALUE!</v>
      </c>
      <c r="CG100" t="e">
        <v>#VALUE!</v>
      </c>
      <c r="CH100" t="e">
        <v>#VALUE!</v>
      </c>
      <c r="CI100" t="e">
        <v>#VALUE!</v>
      </c>
      <c r="CJ100" t="e">
        <v>#VALUE!</v>
      </c>
      <c r="CK100" t="e">
        <v>#VALUE!</v>
      </c>
    </row>
    <row r="101" spans="1:89">
      <c r="A101" s="34" t="s">
        <v>12</v>
      </c>
      <c r="B101" s="34" t="s">
        <v>440</v>
      </c>
      <c r="C101" s="34" t="s">
        <v>440</v>
      </c>
      <c r="D101" s="34"/>
      <c r="E101" s="34">
        <v>1.00929896141801</v>
      </c>
      <c r="F101" s="34"/>
      <c r="G101" s="34"/>
      <c r="H101" s="34"/>
      <c r="I101" s="34">
        <v>1.41658801405982</v>
      </c>
      <c r="J101" s="34">
        <v>1.47448946544171</v>
      </c>
      <c r="K101" s="34"/>
      <c r="L101" s="34">
        <v>1.54503579850711</v>
      </c>
      <c r="M101" s="34"/>
      <c r="N101" s="34"/>
      <c r="O101" s="34"/>
      <c r="P101" s="34"/>
      <c r="Q101" s="34"/>
      <c r="R101" s="34"/>
      <c r="S101" s="34"/>
      <c r="T101" s="34"/>
      <c r="U101" s="34"/>
      <c r="V101" s="34">
        <v>1.74630995498665</v>
      </c>
      <c r="W101" s="34">
        <v>3</v>
      </c>
      <c r="AG101" s="232" t="s">
        <v>437</v>
      </c>
      <c r="AI101">
        <v>1</v>
      </c>
      <c r="AJ101">
        <v>1.01354665343015</v>
      </c>
      <c r="AK101">
        <v>1.26651860911973</v>
      </c>
      <c r="AL101">
        <v>1.43442777575904</v>
      </c>
      <c r="AM101">
        <v>1.55582290744437</v>
      </c>
      <c r="AN101">
        <v>1.64075103127405</v>
      </c>
      <c r="AO101">
        <v>1.70006493979853</v>
      </c>
      <c r="AP101">
        <v>1.74856667792587</v>
      </c>
      <c r="AQ101">
        <v>1.79128115037486</v>
      </c>
      <c r="AR101">
        <v>1.83354488386238</v>
      </c>
      <c r="AS101">
        <v>1.87489601006984</v>
      </c>
      <c r="AT101">
        <v>1.91374859561425</v>
      </c>
      <c r="AU101">
        <v>1.949028657538</v>
      </c>
      <c r="AV101">
        <v>1.98059151419911</v>
      </c>
      <c r="AW101">
        <v>2.01060739022698</v>
      </c>
      <c r="AX101">
        <v>2.04092932357437</v>
      </c>
      <c r="AY101">
        <v>2.07188563027497</v>
      </c>
      <c r="AZ101">
        <v>2.10205175262333</v>
      </c>
      <c r="BA101">
        <v>0</v>
      </c>
      <c r="BB101">
        <v>0</v>
      </c>
      <c r="BC101">
        <v>0</v>
      </c>
      <c r="BD101">
        <v>0</v>
      </c>
      <c r="BE101">
        <v>0</v>
      </c>
      <c r="BF101">
        <v>0</v>
      </c>
      <c r="BG101">
        <v>0</v>
      </c>
      <c r="BH101">
        <v>0</v>
      </c>
      <c r="BJ101" t="s">
        <v>452</v>
      </c>
      <c r="BL101">
        <v>0.8</v>
      </c>
      <c r="BM101">
        <v>0.797560975609756</v>
      </c>
      <c r="BN101">
        <v>0.785365853658536</v>
      </c>
      <c r="BO101">
        <v>0.773170731707317</v>
      </c>
      <c r="BP101">
        <v>0.760975609756097</v>
      </c>
      <c r="BQ101">
        <v>0.748780487804878</v>
      </c>
      <c r="BR101">
        <v>0.736585365853658</v>
      </c>
      <c r="BS101">
        <v>0.724390243902439</v>
      </c>
      <c r="BT101">
        <v>0.71219512195122</v>
      </c>
      <c r="BU101">
        <v>0.699999999999999</v>
      </c>
      <c r="BV101">
        <v>0.687499999999999</v>
      </c>
      <c r="BW101">
        <v>0.675</v>
      </c>
      <c r="BX101">
        <v>0.6625</v>
      </c>
      <c r="BY101">
        <v>0.649999999999999</v>
      </c>
      <c r="BZ101">
        <v>0.637499999999999</v>
      </c>
      <c r="CA101">
        <v>0.625</v>
      </c>
      <c r="CB101">
        <v>0.6125</v>
      </c>
      <c r="CC101">
        <v>0.6</v>
      </c>
      <c r="CD101" t="e">
        <v>#VALUE!</v>
      </c>
      <c r="CE101" t="e">
        <v>#VALUE!</v>
      </c>
      <c r="CF101" t="e">
        <v>#VALUE!</v>
      </c>
      <c r="CG101" t="e">
        <v>#VALUE!</v>
      </c>
      <c r="CH101" t="e">
        <v>#VALUE!</v>
      </c>
      <c r="CI101" t="e">
        <v>#VALUE!</v>
      </c>
      <c r="CJ101" t="e">
        <v>#VALUE!</v>
      </c>
      <c r="CK101" t="e">
        <v>#VALUE!</v>
      </c>
    </row>
    <row r="102" spans="1:89">
      <c r="A102" s="34" t="s">
        <v>12</v>
      </c>
      <c r="B102" s="34" t="s">
        <v>441</v>
      </c>
      <c r="C102" s="34" t="s">
        <v>441</v>
      </c>
      <c r="D102" s="34"/>
      <c r="E102" s="34">
        <v>1.58463004706926</v>
      </c>
      <c r="F102" s="34"/>
      <c r="G102" s="34"/>
      <c r="H102" s="34"/>
      <c r="I102" s="34">
        <v>1.50167208679505</v>
      </c>
      <c r="J102" s="34">
        <v>1.47566951737528</v>
      </c>
      <c r="K102" s="34"/>
      <c r="L102" s="34">
        <v>1.42900847026344</v>
      </c>
      <c r="M102" s="34"/>
      <c r="N102" s="34"/>
      <c r="O102" s="34"/>
      <c r="P102" s="34"/>
      <c r="Q102" s="34"/>
      <c r="R102" s="34"/>
      <c r="S102" s="34"/>
      <c r="T102" s="34"/>
      <c r="U102" s="34"/>
      <c r="V102" s="34">
        <v>1.25848141112579</v>
      </c>
      <c r="W102" s="34">
        <v>3</v>
      </c>
      <c r="AG102" s="232" t="s">
        <v>442</v>
      </c>
      <c r="AI102">
        <v>1</v>
      </c>
      <c r="AJ102">
        <v>0.99565414200688</v>
      </c>
      <c r="AK102">
        <v>0.973924852041279</v>
      </c>
      <c r="AL102">
        <v>0.950941027310412</v>
      </c>
      <c r="AM102">
        <v>0.928564735527901</v>
      </c>
      <c r="AN102">
        <v>0.907091433932438</v>
      </c>
      <c r="AO102">
        <v>0.886901270047469</v>
      </c>
      <c r="AP102">
        <v>0.867949661628756</v>
      </c>
      <c r="AQ102">
        <v>0.849906636151745</v>
      </c>
      <c r="AR102">
        <v>0.8329067393141</v>
      </c>
      <c r="AS102">
        <v>0.816590277095107</v>
      </c>
      <c r="AT102">
        <v>0.800877512792707</v>
      </c>
      <c r="AU102">
        <v>0.785529076507733</v>
      </c>
      <c r="AV102">
        <v>0.770612241089016</v>
      </c>
      <c r="AW102">
        <v>0.756245093556239</v>
      </c>
      <c r="AX102">
        <v>0.7424405771416</v>
      </c>
      <c r="AY102">
        <v>0.72884395140708</v>
      </c>
      <c r="AZ102">
        <v>0.714934291204956</v>
      </c>
      <c r="BA102">
        <v>0</v>
      </c>
      <c r="BB102">
        <v>0</v>
      </c>
      <c r="BC102">
        <v>0</v>
      </c>
      <c r="BD102">
        <v>0</v>
      </c>
      <c r="BE102">
        <v>0</v>
      </c>
      <c r="BF102">
        <v>0</v>
      </c>
      <c r="BG102">
        <v>0</v>
      </c>
      <c r="BH102">
        <v>0</v>
      </c>
      <c r="BJ102" t="s">
        <v>452</v>
      </c>
      <c r="BL102">
        <v>0.8</v>
      </c>
      <c r="BM102">
        <v>0.797560975609756</v>
      </c>
      <c r="BN102">
        <v>0.785365853658536</v>
      </c>
      <c r="BO102">
        <v>0.773170731707317</v>
      </c>
      <c r="BP102">
        <v>0.760975609756097</v>
      </c>
      <c r="BQ102">
        <v>0.748780487804878</v>
      </c>
      <c r="BR102">
        <v>0.736585365853658</v>
      </c>
      <c r="BS102">
        <v>0.724390243902439</v>
      </c>
      <c r="BT102">
        <v>0.71219512195122</v>
      </c>
      <c r="BU102">
        <v>0.699999999999999</v>
      </c>
      <c r="BV102">
        <v>0.687499999999999</v>
      </c>
      <c r="BW102">
        <v>0.675</v>
      </c>
      <c r="BX102">
        <v>0.6625</v>
      </c>
      <c r="BY102">
        <v>0.649999999999999</v>
      </c>
      <c r="BZ102">
        <v>0.637499999999999</v>
      </c>
      <c r="CA102">
        <v>0.625</v>
      </c>
      <c r="CB102">
        <v>0.6125</v>
      </c>
      <c r="CC102">
        <v>0.6</v>
      </c>
      <c r="CD102" t="e">
        <v>#VALUE!</v>
      </c>
      <c r="CE102" t="e">
        <v>#VALUE!</v>
      </c>
      <c r="CF102" t="e">
        <v>#VALUE!</v>
      </c>
      <c r="CG102" t="e">
        <v>#VALUE!</v>
      </c>
      <c r="CH102" t="e">
        <v>#VALUE!</v>
      </c>
      <c r="CI102" t="e">
        <v>#VALUE!</v>
      </c>
      <c r="CJ102" t="e">
        <v>#VALUE!</v>
      </c>
      <c r="CK102" t="e">
        <v>#VALUE!</v>
      </c>
    </row>
    <row r="103" spans="1:89">
      <c r="A103" s="34" t="s">
        <v>12</v>
      </c>
      <c r="B103" s="34" t="s">
        <v>443</v>
      </c>
      <c r="C103" s="34" t="s">
        <v>443</v>
      </c>
      <c r="D103" s="34"/>
      <c r="E103" s="34">
        <v>2.11971648311455</v>
      </c>
      <c r="F103" s="34">
        <f xml:space="preserve">E103</f>
        <v>2.11971648311455</v>
      </c>
      <c r="G103" s="34"/>
      <c r="H103" s="34"/>
      <c r="I103" s="34">
        <f xml:space="preserve">F103</f>
        <v>2.11971648311455</v>
      </c>
      <c r="J103" s="34">
        <f xml:space="preserve">I103</f>
        <v>2.11971648311455</v>
      </c>
      <c r="K103" s="34"/>
      <c r="L103" s="34">
        <f xml:space="preserve">J103</f>
        <v>2.11971648311455</v>
      </c>
      <c r="M103" s="34"/>
      <c r="N103" s="34"/>
      <c r="O103" s="34"/>
      <c r="P103" s="34"/>
      <c r="Q103" s="34"/>
      <c r="R103" s="34"/>
      <c r="S103" s="34"/>
      <c r="T103" s="34"/>
      <c r="U103" s="34"/>
      <c r="V103" s="34">
        <f xml:space="preserve">L103</f>
        <v>2.11971648311455</v>
      </c>
      <c r="W103" s="34">
        <v>3</v>
      </c>
      <c r="AG103" s="232" t="s">
        <v>437</v>
      </c>
      <c r="AI103">
        <v>1</v>
      </c>
      <c r="AJ103">
        <v>1.01354665343015</v>
      </c>
      <c r="AK103">
        <v>1.26651860911973</v>
      </c>
      <c r="AL103">
        <v>1.43442777575904</v>
      </c>
      <c r="AM103">
        <v>1.55582290744437</v>
      </c>
      <c r="AN103">
        <v>1.64075103127405</v>
      </c>
      <c r="AO103">
        <v>1.70006493979853</v>
      </c>
      <c r="AP103">
        <v>1.74856667792587</v>
      </c>
      <c r="AQ103">
        <v>1.79128115037486</v>
      </c>
      <c r="AR103">
        <v>1.83354488386238</v>
      </c>
      <c r="AS103">
        <v>1.87489601006984</v>
      </c>
      <c r="AT103">
        <v>1.91374859561425</v>
      </c>
      <c r="AU103">
        <v>1.949028657538</v>
      </c>
      <c r="AV103">
        <v>1.98059151419911</v>
      </c>
      <c r="AW103">
        <v>2.01060739022698</v>
      </c>
      <c r="AX103">
        <v>2.04092932357437</v>
      </c>
      <c r="AY103">
        <v>2.07188563027497</v>
      </c>
      <c r="AZ103">
        <v>2.10205175262333</v>
      </c>
      <c r="BA103">
        <v>0</v>
      </c>
      <c r="BB103">
        <v>0</v>
      </c>
      <c r="BC103">
        <v>0</v>
      </c>
      <c r="BD103">
        <v>0</v>
      </c>
      <c r="BE103">
        <v>0</v>
      </c>
      <c r="BF103">
        <v>0</v>
      </c>
      <c r="BG103">
        <v>0</v>
      </c>
      <c r="BH103">
        <v>0</v>
      </c>
      <c r="BJ103" t="s">
        <v>452</v>
      </c>
      <c r="BL103">
        <v>0.8</v>
      </c>
      <c r="BM103">
        <v>0.797560975609756</v>
      </c>
      <c r="BN103">
        <v>0.785365853658536</v>
      </c>
      <c r="BO103">
        <v>0.773170731707317</v>
      </c>
      <c r="BP103">
        <v>0.760975609756097</v>
      </c>
      <c r="BQ103">
        <v>0.748780487804878</v>
      </c>
      <c r="BR103">
        <v>0.736585365853658</v>
      </c>
      <c r="BS103">
        <v>0.724390243902439</v>
      </c>
      <c r="BT103">
        <v>0.71219512195122</v>
      </c>
      <c r="BU103">
        <v>0.699999999999999</v>
      </c>
      <c r="BV103">
        <v>0.687499999999999</v>
      </c>
      <c r="BW103">
        <v>0.675</v>
      </c>
      <c r="BX103">
        <v>0.6625</v>
      </c>
      <c r="BY103">
        <v>0.649999999999999</v>
      </c>
      <c r="BZ103">
        <v>0.637499999999999</v>
      </c>
      <c r="CA103">
        <v>0.625</v>
      </c>
      <c r="CB103">
        <v>0.6125</v>
      </c>
      <c r="CC103">
        <v>0.6</v>
      </c>
      <c r="CD103" t="e">
        <v>#VALUE!</v>
      </c>
      <c r="CE103" t="e">
        <v>#VALUE!</v>
      </c>
      <c r="CF103" t="e">
        <v>#VALUE!</v>
      </c>
      <c r="CG103" t="e">
        <v>#VALUE!</v>
      </c>
      <c r="CH103" t="e">
        <v>#VALUE!</v>
      </c>
      <c r="CI103" t="e">
        <v>#VALUE!</v>
      </c>
      <c r="CJ103" t="e">
        <v>#VALUE!</v>
      </c>
      <c r="CK103" t="e">
        <v>#VALUE!</v>
      </c>
    </row>
    <row r="104" spans="1:89">
      <c r="A104" s="34" t="s">
        <v>12</v>
      </c>
      <c r="B104" s="34" t="s">
        <v>444</v>
      </c>
      <c r="C104" s="34" t="s">
        <v>444</v>
      </c>
      <c r="D104" s="34"/>
      <c r="E104" s="34">
        <v>8.94049211840846</v>
      </c>
      <c r="F104" s="34">
        <f xml:space="preserve">E104</f>
        <v>8.94049211840846</v>
      </c>
      <c r="G104" s="34"/>
      <c r="H104" s="34"/>
      <c r="I104" s="34">
        <f xml:space="preserve">F104</f>
        <v>8.94049211840846</v>
      </c>
      <c r="J104" s="34">
        <f xml:space="preserve">I104</f>
        <v>8.94049211840846</v>
      </c>
      <c r="K104" s="34"/>
      <c r="L104" s="34">
        <f xml:space="preserve">J104</f>
        <v>8.94049211840846</v>
      </c>
      <c r="M104" s="34"/>
      <c r="N104" s="34"/>
      <c r="O104" s="34"/>
      <c r="P104" s="34"/>
      <c r="Q104" s="34"/>
      <c r="R104" s="34"/>
      <c r="S104" s="34"/>
      <c r="T104" s="34"/>
      <c r="U104" s="34"/>
      <c r="V104" s="34">
        <f xml:space="preserve">L104</f>
        <v>8.94049211840846</v>
      </c>
      <c r="W104" s="34">
        <v>3</v>
      </c>
      <c r="AG104" s="232" t="s">
        <v>437</v>
      </c>
      <c r="AI104">
        <v>1</v>
      </c>
      <c r="AJ104">
        <v>1.01354665343015</v>
      </c>
      <c r="AK104">
        <v>1.26651860911973</v>
      </c>
      <c r="AL104">
        <v>1.43442777575904</v>
      </c>
      <c r="AM104">
        <v>1.55582290744437</v>
      </c>
      <c r="AN104">
        <v>1.64075103127405</v>
      </c>
      <c r="AO104">
        <v>1.70006493979853</v>
      </c>
      <c r="AP104">
        <v>1.74856667792587</v>
      </c>
      <c r="AQ104">
        <v>1.79128115037486</v>
      </c>
      <c r="AR104">
        <v>1.83354488386238</v>
      </c>
      <c r="AS104">
        <v>1.87489601006984</v>
      </c>
      <c r="AT104">
        <v>1.91374859561425</v>
      </c>
      <c r="AU104">
        <v>1.949028657538</v>
      </c>
      <c r="AV104">
        <v>1.98059151419911</v>
      </c>
      <c r="AW104">
        <v>2.01060739022698</v>
      </c>
      <c r="AX104">
        <v>2.04092932357437</v>
      </c>
      <c r="AY104">
        <v>2.07188563027497</v>
      </c>
      <c r="AZ104">
        <v>2.10205175262333</v>
      </c>
      <c r="BA104">
        <v>0</v>
      </c>
      <c r="BB104">
        <v>0</v>
      </c>
      <c r="BC104">
        <v>0</v>
      </c>
      <c r="BD104">
        <v>0</v>
      </c>
      <c r="BE104">
        <v>0</v>
      </c>
      <c r="BF104">
        <v>0</v>
      </c>
      <c r="BG104">
        <v>0</v>
      </c>
      <c r="BH104">
        <v>0</v>
      </c>
      <c r="BJ104" t="s">
        <v>452</v>
      </c>
      <c r="BL104">
        <v>0.8</v>
      </c>
      <c r="BM104">
        <v>0.797560975609756</v>
      </c>
      <c r="BN104">
        <v>0.785365853658536</v>
      </c>
      <c r="BO104">
        <v>0.773170731707317</v>
      </c>
      <c r="BP104">
        <v>0.760975609756097</v>
      </c>
      <c r="BQ104">
        <v>0.748780487804878</v>
      </c>
      <c r="BR104">
        <v>0.736585365853658</v>
      </c>
      <c r="BS104">
        <v>0.724390243902439</v>
      </c>
      <c r="BT104">
        <v>0.71219512195122</v>
      </c>
      <c r="BU104">
        <v>0.699999999999999</v>
      </c>
      <c r="BV104">
        <v>0.687499999999999</v>
      </c>
      <c r="BW104">
        <v>0.675</v>
      </c>
      <c r="BX104">
        <v>0.6625</v>
      </c>
      <c r="BY104">
        <v>0.649999999999999</v>
      </c>
      <c r="BZ104">
        <v>0.637499999999999</v>
      </c>
      <c r="CA104">
        <v>0.625</v>
      </c>
      <c r="CB104">
        <v>0.6125</v>
      </c>
      <c r="CC104">
        <v>0.6</v>
      </c>
      <c r="CD104" t="e">
        <v>#VALUE!</v>
      </c>
      <c r="CE104" t="e">
        <v>#VALUE!</v>
      </c>
      <c r="CF104" t="e">
        <v>#VALUE!</v>
      </c>
      <c r="CG104" t="e">
        <v>#VALUE!</v>
      </c>
      <c r="CH104" t="e">
        <v>#VALUE!</v>
      </c>
      <c r="CI104" t="e">
        <v>#VALUE!</v>
      </c>
      <c r="CJ104" t="e">
        <v>#VALUE!</v>
      </c>
      <c r="CK104" t="e">
        <v>#VALUE!</v>
      </c>
    </row>
    <row r="105" spans="1:89">
      <c r="A105" s="34" t="s">
        <v>12</v>
      </c>
      <c r="B105" s="34" t="s">
        <v>445</v>
      </c>
      <c r="C105" s="34" t="s">
        <v>445</v>
      </c>
      <c r="D105" s="34">
        <v>0.504</v>
      </c>
      <c r="E105" s="34">
        <v>0.50225309228261</v>
      </c>
      <c r="F105" s="34"/>
      <c r="G105" s="34">
        <v>0.493644509405803</v>
      </c>
      <c r="H105" s="34">
        <v>0.484637376532017</v>
      </c>
      <c r="I105" s="34">
        <v>0.475959326015691</v>
      </c>
      <c r="J105" s="34">
        <v>0.467717736174244</v>
      </c>
      <c r="K105" s="34">
        <v>0.460049496056039</v>
      </c>
      <c r="L105" s="34">
        <v>0.452928381873909</v>
      </c>
      <c r="M105" s="34">
        <v>0.446222693691771</v>
      </c>
      <c r="N105" s="34">
        <v>0.439974927636424</v>
      </c>
      <c r="O105" s="34">
        <v>0.434049355975938</v>
      </c>
      <c r="P105" s="34">
        <v>0.428411794634936</v>
      </c>
      <c r="Q105" s="34">
        <v>0.422972465515959</v>
      </c>
      <c r="R105" s="34">
        <v>0.417751631496905</v>
      </c>
      <c r="S105" s="34">
        <v>0.412786474426179</v>
      </c>
      <c r="T105" s="34">
        <v>0.408077090432723</v>
      </c>
      <c r="U105" s="34">
        <v>0.403499702181505</v>
      </c>
      <c r="V105" s="34">
        <v>0.398879335581905</v>
      </c>
      <c r="W105" s="34">
        <v>3</v>
      </c>
      <c r="AG105" s="232" t="s">
        <v>442</v>
      </c>
      <c r="AI105">
        <v>1</v>
      </c>
      <c r="AJ105">
        <v>0.99565414200688</v>
      </c>
      <c r="AK105">
        <v>0.973924852041279</v>
      </c>
      <c r="AL105">
        <v>0.950941027310412</v>
      </c>
      <c r="AM105">
        <v>0.928564735527901</v>
      </c>
      <c r="AN105">
        <v>0.907091433932438</v>
      </c>
      <c r="AO105">
        <v>0.886901270047469</v>
      </c>
      <c r="AP105">
        <v>0.867949661628756</v>
      </c>
      <c r="AQ105">
        <v>0.849906636151745</v>
      </c>
      <c r="AR105">
        <v>0.8329067393141</v>
      </c>
      <c r="AS105">
        <v>0.816590277095107</v>
      </c>
      <c r="AT105">
        <v>0.800877512792707</v>
      </c>
      <c r="AU105">
        <v>0.785529076507733</v>
      </c>
      <c r="AV105">
        <v>0.770612241089016</v>
      </c>
      <c r="AW105">
        <v>0.756245093556239</v>
      </c>
      <c r="AX105">
        <v>0.7424405771416</v>
      </c>
      <c r="AY105">
        <v>0.72884395140708</v>
      </c>
      <c r="AZ105">
        <v>0.714934291204956</v>
      </c>
      <c r="BA105">
        <v>0</v>
      </c>
      <c r="BB105">
        <v>0</v>
      </c>
      <c r="BC105">
        <v>0</v>
      </c>
      <c r="BD105">
        <v>0</v>
      </c>
      <c r="BE105">
        <v>0</v>
      </c>
      <c r="BF105">
        <v>0</v>
      </c>
      <c r="BG105">
        <v>0</v>
      </c>
      <c r="BH105">
        <v>0</v>
      </c>
      <c r="BJ105" t="s">
        <v>452</v>
      </c>
      <c r="BL105">
        <v>0.8</v>
      </c>
      <c r="BM105">
        <v>0.797560975609756</v>
      </c>
      <c r="BN105">
        <v>0.785365853658536</v>
      </c>
      <c r="BO105">
        <v>0.773170731707317</v>
      </c>
      <c r="BP105">
        <v>0.760975609756097</v>
      </c>
      <c r="BQ105">
        <v>0.748780487804878</v>
      </c>
      <c r="BR105">
        <v>0.736585365853658</v>
      </c>
      <c r="BS105">
        <v>0.724390243902439</v>
      </c>
      <c r="BT105">
        <v>0.71219512195122</v>
      </c>
      <c r="BU105">
        <v>0.699999999999999</v>
      </c>
      <c r="BV105">
        <v>0.687499999999999</v>
      </c>
      <c r="BW105">
        <v>0.675</v>
      </c>
      <c r="BX105">
        <v>0.6625</v>
      </c>
      <c r="BY105">
        <v>0.649999999999999</v>
      </c>
      <c r="BZ105">
        <v>0.637499999999999</v>
      </c>
      <c r="CA105">
        <v>0.625</v>
      </c>
      <c r="CB105">
        <v>0.6125</v>
      </c>
      <c r="CC105">
        <v>0.6</v>
      </c>
      <c r="CD105" t="e">
        <v>#VALUE!</v>
      </c>
      <c r="CE105" t="e">
        <v>#VALUE!</v>
      </c>
      <c r="CF105" t="e">
        <v>#VALUE!</v>
      </c>
      <c r="CG105" t="e">
        <v>#VALUE!</v>
      </c>
      <c r="CH105" t="e">
        <v>#VALUE!</v>
      </c>
      <c r="CI105" t="e">
        <v>#VALUE!</v>
      </c>
      <c r="CJ105" t="e">
        <v>#VALUE!</v>
      </c>
      <c r="CK105" t="e">
        <v>#VALUE!</v>
      </c>
    </row>
    <row r="106" spans="1:89">
      <c r="A106" s="34" t="s">
        <v>12</v>
      </c>
      <c r="B106" s="34" t="s">
        <v>446</v>
      </c>
      <c r="C106" s="34" t="s">
        <v>446</v>
      </c>
      <c r="D106" s="34">
        <v>0.105</v>
      </c>
      <c r="E106" s="34">
        <v>0.10463606089221</v>
      </c>
      <c r="F106" s="34"/>
      <c r="G106" s="34">
        <v>0.102842606126209</v>
      </c>
      <c r="H106" s="34">
        <v>0.100966120110837</v>
      </c>
      <c r="I106" s="34">
        <v>0.0991581929199356</v>
      </c>
      <c r="J106" s="34">
        <v>0.0974411950363009</v>
      </c>
      <c r="K106" s="34">
        <v>0.0958436450116748</v>
      </c>
      <c r="L106" s="34">
        <v>0.0943600795570643</v>
      </c>
      <c r="M106" s="34">
        <v>0.0929630611857857</v>
      </c>
      <c r="N106" s="34">
        <v>0.0916614432575883</v>
      </c>
      <c r="O106" s="34">
        <v>0.0904269491616537</v>
      </c>
      <c r="P106" s="34">
        <v>0.0892524572156116</v>
      </c>
      <c r="Q106" s="34">
        <v>0.0881192636491582</v>
      </c>
      <c r="R106" s="34">
        <v>0.0870315898951886</v>
      </c>
      <c r="S106" s="34">
        <v>0.0859971821721206</v>
      </c>
      <c r="T106" s="34">
        <v>0.0850160605068174</v>
      </c>
      <c r="U106" s="34">
        <v>0.0840624379544803</v>
      </c>
      <c r="V106" s="34">
        <v>0.0830998615795636</v>
      </c>
      <c r="W106" s="34">
        <v>3</v>
      </c>
      <c r="AG106" s="232" t="s">
        <v>442</v>
      </c>
      <c r="AI106">
        <v>1</v>
      </c>
      <c r="AJ106">
        <v>0.99565414200688</v>
      </c>
      <c r="AK106">
        <v>0.973924852041279</v>
      </c>
      <c r="AL106">
        <v>0.950941027310412</v>
      </c>
      <c r="AM106">
        <v>0.928564735527901</v>
      </c>
      <c r="AN106">
        <v>0.907091433932438</v>
      </c>
      <c r="AO106">
        <v>0.886901270047469</v>
      </c>
      <c r="AP106">
        <v>0.867949661628756</v>
      </c>
      <c r="AQ106">
        <v>0.849906636151745</v>
      </c>
      <c r="AR106">
        <v>0.8329067393141</v>
      </c>
      <c r="AS106">
        <v>0.816590277095107</v>
      </c>
      <c r="AT106">
        <v>0.800877512792707</v>
      </c>
      <c r="AU106">
        <v>0.785529076507733</v>
      </c>
      <c r="AV106">
        <v>0.770612241089016</v>
      </c>
      <c r="AW106">
        <v>0.756245093556239</v>
      </c>
      <c r="AX106">
        <v>0.7424405771416</v>
      </c>
      <c r="AY106">
        <v>0.72884395140708</v>
      </c>
      <c r="AZ106">
        <v>0.714934291204956</v>
      </c>
      <c r="BA106">
        <v>0</v>
      </c>
      <c r="BB106">
        <v>0</v>
      </c>
      <c r="BC106">
        <v>0</v>
      </c>
      <c r="BD106">
        <v>0</v>
      </c>
      <c r="BE106">
        <v>0</v>
      </c>
      <c r="BF106">
        <v>0</v>
      </c>
      <c r="BG106">
        <v>0</v>
      </c>
      <c r="BH106">
        <v>0</v>
      </c>
      <c r="BJ106" t="s">
        <v>452</v>
      </c>
      <c r="BL106">
        <v>0.8</v>
      </c>
      <c r="BM106">
        <v>0.797560975609756</v>
      </c>
      <c r="BN106">
        <v>0.785365853658536</v>
      </c>
      <c r="BO106">
        <v>0.773170731707317</v>
      </c>
      <c r="BP106">
        <v>0.760975609756097</v>
      </c>
      <c r="BQ106">
        <v>0.748780487804878</v>
      </c>
      <c r="BR106">
        <v>0.736585365853658</v>
      </c>
      <c r="BS106">
        <v>0.724390243902439</v>
      </c>
      <c r="BT106">
        <v>0.71219512195122</v>
      </c>
      <c r="BU106">
        <v>0.699999999999999</v>
      </c>
      <c r="BV106">
        <v>0.687499999999999</v>
      </c>
      <c r="BW106">
        <v>0.675</v>
      </c>
      <c r="BX106">
        <v>0.6625</v>
      </c>
      <c r="BY106">
        <v>0.649999999999999</v>
      </c>
      <c r="BZ106">
        <v>0.637499999999999</v>
      </c>
      <c r="CA106">
        <v>0.625</v>
      </c>
      <c r="CB106">
        <v>0.6125</v>
      </c>
      <c r="CC106">
        <v>0.6</v>
      </c>
      <c r="CD106" t="e">
        <v>#VALUE!</v>
      </c>
      <c r="CE106" t="e">
        <v>#VALUE!</v>
      </c>
      <c r="CF106" t="e">
        <v>#VALUE!</v>
      </c>
      <c r="CG106" t="e">
        <v>#VALUE!</v>
      </c>
      <c r="CH106" t="e">
        <v>#VALUE!</v>
      </c>
      <c r="CI106" t="e">
        <v>#VALUE!</v>
      </c>
      <c r="CJ106" t="e">
        <v>#VALUE!</v>
      </c>
      <c r="CK106" t="e">
        <v>#VALUE!</v>
      </c>
    </row>
    <row r="107" spans="1:89">
      <c r="A107" s="34" t="s">
        <v>12</v>
      </c>
      <c r="B107" s="34" t="s">
        <v>447</v>
      </c>
      <c r="C107" s="34" t="s">
        <v>447</v>
      </c>
      <c r="D107" s="34">
        <v>0.805</v>
      </c>
      <c r="E107" s="34">
        <v>0.802209800173612</v>
      </c>
      <c r="F107" s="34"/>
      <c r="G107" s="34">
        <v>0.788459980300935</v>
      </c>
      <c r="H107" s="34">
        <v>0.774073587516416</v>
      </c>
      <c r="I107" s="34">
        <v>0.760212812386173</v>
      </c>
      <c r="J107" s="34">
        <v>0.747049161944973</v>
      </c>
      <c r="K107" s="34">
        <v>0.73480127842284</v>
      </c>
      <c r="L107" s="34">
        <v>0.72342727660416</v>
      </c>
      <c r="M107" s="34">
        <v>0.712716802424357</v>
      </c>
      <c r="N107" s="34">
        <v>0.702737731641511</v>
      </c>
      <c r="O107" s="34">
        <v>0.693273276906012</v>
      </c>
      <c r="P107" s="34">
        <v>0.684268838653022</v>
      </c>
      <c r="Q107" s="34">
        <v>0.675581021310213</v>
      </c>
      <c r="R107" s="34">
        <v>0.667242189196446</v>
      </c>
      <c r="S107" s="34">
        <v>0.659311729986258</v>
      </c>
      <c r="T107" s="34">
        <v>0.651789797218933</v>
      </c>
      <c r="U107" s="34">
        <v>0.644478690984349</v>
      </c>
      <c r="V107" s="34">
        <v>0.637098938776654</v>
      </c>
      <c r="W107" s="34">
        <v>3</v>
      </c>
      <c r="AG107" s="232" t="s">
        <v>442</v>
      </c>
      <c r="AI107">
        <v>1</v>
      </c>
      <c r="AJ107">
        <v>0.99565414200688</v>
      </c>
      <c r="AK107">
        <v>0.973924852041279</v>
      </c>
      <c r="AL107">
        <v>0.950941027310412</v>
      </c>
      <c r="AM107">
        <v>0.928564735527901</v>
      </c>
      <c r="AN107">
        <v>0.907091433932438</v>
      </c>
      <c r="AO107">
        <v>0.886901270047469</v>
      </c>
      <c r="AP107">
        <v>0.867949661628756</v>
      </c>
      <c r="AQ107">
        <v>0.849906636151745</v>
      </c>
      <c r="AR107">
        <v>0.8329067393141</v>
      </c>
      <c r="AS107">
        <v>0.816590277095107</v>
      </c>
      <c r="AT107">
        <v>0.800877512792707</v>
      </c>
      <c r="AU107">
        <v>0.785529076507733</v>
      </c>
      <c r="AV107">
        <v>0.770612241089016</v>
      </c>
      <c r="AW107">
        <v>0.756245093556239</v>
      </c>
      <c r="AX107">
        <v>0.7424405771416</v>
      </c>
      <c r="AY107">
        <v>0.72884395140708</v>
      </c>
      <c r="AZ107">
        <v>0.714934291204956</v>
      </c>
      <c r="BA107">
        <v>0</v>
      </c>
      <c r="BB107">
        <v>0</v>
      </c>
      <c r="BC107">
        <v>0</v>
      </c>
      <c r="BD107">
        <v>0</v>
      </c>
      <c r="BE107">
        <v>0</v>
      </c>
      <c r="BF107">
        <v>0</v>
      </c>
      <c r="BG107">
        <v>0</v>
      </c>
      <c r="BH107">
        <v>0</v>
      </c>
      <c r="BJ107" t="s">
        <v>452</v>
      </c>
      <c r="BL107">
        <v>0.8</v>
      </c>
      <c r="BM107">
        <v>0.797560975609756</v>
      </c>
      <c r="BN107">
        <v>0.785365853658536</v>
      </c>
      <c r="BO107">
        <v>0.773170731707317</v>
      </c>
      <c r="BP107">
        <v>0.760975609756097</v>
      </c>
      <c r="BQ107">
        <v>0.748780487804878</v>
      </c>
      <c r="BR107">
        <v>0.736585365853658</v>
      </c>
      <c r="BS107">
        <v>0.724390243902439</v>
      </c>
      <c r="BT107">
        <v>0.71219512195122</v>
      </c>
      <c r="BU107">
        <v>0.699999999999999</v>
      </c>
      <c r="BV107">
        <v>0.687499999999999</v>
      </c>
      <c r="BW107">
        <v>0.675</v>
      </c>
      <c r="BX107">
        <v>0.6625</v>
      </c>
      <c r="BY107">
        <v>0.649999999999999</v>
      </c>
      <c r="BZ107">
        <v>0.637499999999999</v>
      </c>
      <c r="CA107">
        <v>0.625</v>
      </c>
      <c r="CB107">
        <v>0.6125</v>
      </c>
      <c r="CC107">
        <v>0.6</v>
      </c>
      <c r="CD107" t="e">
        <v>#VALUE!</v>
      </c>
      <c r="CE107" t="e">
        <v>#VALUE!</v>
      </c>
      <c r="CF107" t="e">
        <v>#VALUE!</v>
      </c>
      <c r="CG107" t="e">
        <v>#VALUE!</v>
      </c>
      <c r="CH107" t="e">
        <v>#VALUE!</v>
      </c>
      <c r="CI107" t="e">
        <v>#VALUE!</v>
      </c>
      <c r="CJ107" t="e">
        <v>#VALUE!</v>
      </c>
      <c r="CK107" t="e">
        <v>#VALUE!</v>
      </c>
    </row>
    <row r="108" spans="1:89">
      <c r="A108" s="34" t="s">
        <v>12</v>
      </c>
      <c r="B108" s="34" t="s">
        <v>448</v>
      </c>
      <c r="C108" s="34" t="s">
        <v>448</v>
      </c>
      <c r="D108" s="34">
        <v>29.832</v>
      </c>
      <c r="E108" s="34">
        <v>30.2595718104059</v>
      </c>
      <c r="F108" s="34"/>
      <c r="G108" s="34">
        <v>36.8536128709613</v>
      </c>
      <c r="H108" s="34">
        <v>41.4112272628376</v>
      </c>
      <c r="I108" s="34">
        <v>44.9018127908655</v>
      </c>
      <c r="J108" s="34">
        <v>47.5764849769605</v>
      </c>
      <c r="K108" s="34">
        <v>49.669961079823</v>
      </c>
      <c r="L108" s="34">
        <v>51.504502610094</v>
      </c>
      <c r="M108" s="34">
        <v>53.1983071427684</v>
      </c>
      <c r="N108" s="34">
        <v>54.8549140297763</v>
      </c>
      <c r="O108" s="34">
        <v>56.4759739288029</v>
      </c>
      <c r="P108" s="34">
        <v>58.0293600549186</v>
      </c>
      <c r="Q108" s="34">
        <v>59.5030987542138</v>
      </c>
      <c r="R108" s="34">
        <v>60.8902398682705</v>
      </c>
      <c r="S108" s="34">
        <v>62.2271514370812</v>
      </c>
      <c r="T108" s="34">
        <v>63.5477211982189</v>
      </c>
      <c r="U108" s="34">
        <v>64.8752191072002</v>
      </c>
      <c r="V108" s="34">
        <v>66.2103072685237</v>
      </c>
      <c r="W108" s="34">
        <v>3</v>
      </c>
      <c r="AG108" s="232" t="s">
        <v>449</v>
      </c>
      <c r="AI108">
        <v>1</v>
      </c>
      <c r="AJ108">
        <v>1.01797060913864</v>
      </c>
      <c r="AK108">
        <v>1.30042744721546</v>
      </c>
      <c r="AL108">
        <v>1.50842979171494</v>
      </c>
      <c r="AM108">
        <v>1.6755136695557</v>
      </c>
      <c r="AN108">
        <v>1.80880445994407</v>
      </c>
      <c r="AO108">
        <v>1.91685929112215</v>
      </c>
      <c r="AP108">
        <v>2.01459457296704</v>
      </c>
      <c r="AQ108">
        <v>2.10762108940051</v>
      </c>
      <c r="AR108">
        <v>2.20138077568241</v>
      </c>
      <c r="AS108">
        <v>2.29600579710488</v>
      </c>
      <c r="AT108">
        <v>2.38956465257828</v>
      </c>
      <c r="AU108">
        <v>2.4811667904171</v>
      </c>
      <c r="AV108">
        <v>2.57015319585396</v>
      </c>
      <c r="AW108">
        <v>2.65867164938831</v>
      </c>
      <c r="AX108">
        <v>2.7489463620536</v>
      </c>
      <c r="AY108">
        <v>2.8427012754583</v>
      </c>
      <c r="AZ108">
        <v>2.9402027269954</v>
      </c>
      <c r="BA108">
        <v>0</v>
      </c>
      <c r="BB108">
        <v>0</v>
      </c>
      <c r="BC108">
        <v>0</v>
      </c>
      <c r="BD108">
        <v>0</v>
      </c>
      <c r="BE108">
        <v>0</v>
      </c>
      <c r="BF108">
        <v>0</v>
      </c>
      <c r="BG108">
        <v>0</v>
      </c>
      <c r="BH108">
        <v>0</v>
      </c>
      <c r="BJ108" t="s">
        <v>452</v>
      </c>
      <c r="BL108">
        <v>0.8</v>
      </c>
      <c r="BM108">
        <v>0.797560975609756</v>
      </c>
      <c r="BN108">
        <v>0.785365853658536</v>
      </c>
      <c r="BO108">
        <v>0.773170731707317</v>
      </c>
      <c r="BP108">
        <v>0.760975609756097</v>
      </c>
      <c r="BQ108">
        <v>0.748780487804878</v>
      </c>
      <c r="BR108">
        <v>0.736585365853658</v>
      </c>
      <c r="BS108">
        <v>0.724390243902439</v>
      </c>
      <c r="BT108">
        <v>0.71219512195122</v>
      </c>
      <c r="BU108">
        <v>0.699999999999999</v>
      </c>
      <c r="BV108">
        <v>0.687499999999999</v>
      </c>
      <c r="BW108">
        <v>0.675</v>
      </c>
      <c r="BX108">
        <v>0.6625</v>
      </c>
      <c r="BY108">
        <v>0.649999999999999</v>
      </c>
      <c r="BZ108">
        <v>0.637499999999999</v>
      </c>
      <c r="CA108">
        <v>0.625</v>
      </c>
      <c r="CB108">
        <v>0.6125</v>
      </c>
      <c r="CC108">
        <v>0.6</v>
      </c>
      <c r="CD108" t="e">
        <v>#VALUE!</v>
      </c>
      <c r="CE108" t="e">
        <v>#VALUE!</v>
      </c>
      <c r="CF108" t="e">
        <v>#VALUE!</v>
      </c>
      <c r="CG108" t="e">
        <v>#VALUE!</v>
      </c>
      <c r="CH108" t="e">
        <v>#VALUE!</v>
      </c>
      <c r="CI108" t="e">
        <v>#VALUE!</v>
      </c>
      <c r="CJ108" t="e">
        <v>#VALUE!</v>
      </c>
      <c r="CK108" t="e">
        <v>#VALUE!</v>
      </c>
    </row>
    <row r="109" spans="1:89">
      <c r="A109" s="34" t="s">
        <v>12</v>
      </c>
      <c r="B109" s="34" t="s">
        <v>450</v>
      </c>
      <c r="C109" s="34" t="s">
        <v>450</v>
      </c>
      <c r="D109" s="34">
        <v>10.8</v>
      </c>
      <c r="E109" s="34">
        <v>10.9166862469608</v>
      </c>
      <c r="F109" s="34"/>
      <c r="G109" s="34">
        <v>13.0565763875619</v>
      </c>
      <c r="H109" s="34">
        <v>14.3949197527713</v>
      </c>
      <c r="I109" s="34">
        <v>15.3219684967966</v>
      </c>
      <c r="J109" s="34">
        <v>15.9482368297112</v>
      </c>
      <c r="K109" s="34">
        <v>16.3729049107048</v>
      </c>
      <c r="L109" s="34">
        <v>16.7112735645025</v>
      </c>
      <c r="M109" s="34">
        <v>17.002011292632</v>
      </c>
      <c r="N109" s="34">
        <v>17.2828147453514</v>
      </c>
      <c r="O109" s="34">
        <v>17.5507827693584</v>
      </c>
      <c r="P109" s="34">
        <v>17.7962779688508</v>
      </c>
      <c r="Q109" s="34">
        <v>18.013627904993</v>
      </c>
      <c r="R109" s="34">
        <v>18.2032428753288</v>
      </c>
      <c r="S109" s="34">
        <v>18.3791101614037</v>
      </c>
      <c r="T109" s="34">
        <v>18.5523445519189</v>
      </c>
      <c r="U109" s="34">
        <v>18.7247004182221</v>
      </c>
      <c r="V109" s="34">
        <v>18.8882765139772</v>
      </c>
      <c r="W109" s="34">
        <v>3</v>
      </c>
      <c r="AG109" s="232" t="s">
        <v>437</v>
      </c>
      <c r="AI109">
        <v>1</v>
      </c>
      <c r="AJ109">
        <v>1.01354665343015</v>
      </c>
      <c r="AK109">
        <v>1.26651860911973</v>
      </c>
      <c r="AL109">
        <v>1.43442777575904</v>
      </c>
      <c r="AM109">
        <v>1.55582290744437</v>
      </c>
      <c r="AN109">
        <v>1.64075103127405</v>
      </c>
      <c r="AO109">
        <v>1.70006493979853</v>
      </c>
      <c r="AP109">
        <v>1.74856667792587</v>
      </c>
      <c r="AQ109">
        <v>1.79128115037486</v>
      </c>
      <c r="AR109">
        <v>1.83354488386238</v>
      </c>
      <c r="AS109">
        <v>1.87489601006984</v>
      </c>
      <c r="AT109">
        <v>1.91374859561425</v>
      </c>
      <c r="AU109">
        <v>1.949028657538</v>
      </c>
      <c r="AV109">
        <v>1.98059151419911</v>
      </c>
      <c r="AW109">
        <v>2.01060739022698</v>
      </c>
      <c r="AX109">
        <v>2.04092932357437</v>
      </c>
      <c r="AY109">
        <v>2.07188563027497</v>
      </c>
      <c r="AZ109">
        <v>2.10205175262333</v>
      </c>
      <c r="BA109">
        <v>0</v>
      </c>
      <c r="BB109">
        <v>0</v>
      </c>
      <c r="BC109">
        <v>0</v>
      </c>
      <c r="BD109">
        <v>0</v>
      </c>
      <c r="BE109">
        <v>0</v>
      </c>
      <c r="BF109">
        <v>0</v>
      </c>
      <c r="BG109">
        <v>0</v>
      </c>
      <c r="BH109">
        <v>0</v>
      </c>
      <c r="BJ109" t="s">
        <v>452</v>
      </c>
      <c r="BL109">
        <v>0.8</v>
      </c>
      <c r="BM109">
        <v>0.797560975609756</v>
      </c>
      <c r="BN109">
        <v>0.785365853658536</v>
      </c>
      <c r="BO109">
        <v>0.773170731707317</v>
      </c>
      <c r="BP109">
        <v>0.760975609756097</v>
      </c>
      <c r="BQ109">
        <v>0.748780487804878</v>
      </c>
      <c r="BR109">
        <v>0.736585365853658</v>
      </c>
      <c r="BS109">
        <v>0.724390243902439</v>
      </c>
      <c r="BT109">
        <v>0.71219512195122</v>
      </c>
      <c r="BU109">
        <v>0.699999999999999</v>
      </c>
      <c r="BV109">
        <v>0.687499999999999</v>
      </c>
      <c r="BW109">
        <v>0.675</v>
      </c>
      <c r="BX109">
        <v>0.6625</v>
      </c>
      <c r="BY109">
        <v>0.649999999999999</v>
      </c>
      <c r="BZ109">
        <v>0.637499999999999</v>
      </c>
      <c r="CA109">
        <v>0.625</v>
      </c>
      <c r="CB109">
        <v>0.6125</v>
      </c>
      <c r="CC109">
        <v>0.6</v>
      </c>
      <c r="CD109" t="e">
        <v>#VALUE!</v>
      </c>
      <c r="CE109" t="e">
        <v>#VALUE!</v>
      </c>
      <c r="CF109" t="e">
        <v>#VALUE!</v>
      </c>
      <c r="CG109" t="e">
        <v>#VALUE!</v>
      </c>
      <c r="CH109" t="e">
        <v>#VALUE!</v>
      </c>
      <c r="CI109" t="e">
        <v>#VALUE!</v>
      </c>
      <c r="CJ109" t="e">
        <v>#VALUE!</v>
      </c>
      <c r="CK109" t="e">
        <v>#VALUE!</v>
      </c>
    </row>
    <row r="110" spans="1:89">
      <c r="A110" s="34" t="s">
        <v>12</v>
      </c>
      <c r="B110" s="34" t="s">
        <v>451</v>
      </c>
      <c r="C110" s="34" t="s">
        <v>451</v>
      </c>
      <c r="D110" s="34">
        <v>7.16</v>
      </c>
      <c r="E110" s="34">
        <v>7.23735866002214</v>
      </c>
      <c r="F110" s="34"/>
      <c r="G110" s="34">
        <v>8.65602656805028</v>
      </c>
      <c r="H110" s="34">
        <v>9.54329865091136</v>
      </c>
      <c r="I110" s="34">
        <v>10.1578976330614</v>
      </c>
      <c r="J110" s="34">
        <v>10.5730903426604</v>
      </c>
      <c r="K110" s="34">
        <v>10.8546295519117</v>
      </c>
      <c r="L110" s="34">
        <v>11.0789554372072</v>
      </c>
      <c r="M110" s="34">
        <v>11.271703782893</v>
      </c>
      <c r="N110" s="34">
        <v>11.4578660719182</v>
      </c>
      <c r="O110" s="34">
        <v>11.6355189470931</v>
      </c>
      <c r="P110" s="34">
        <v>11.7982731719418</v>
      </c>
      <c r="Q110" s="34">
        <v>11.9423681296065</v>
      </c>
      <c r="R110" s="34">
        <v>12.0680758321624</v>
      </c>
      <c r="S110" s="34">
        <v>12.1846693292269</v>
      </c>
      <c r="T110" s="34">
        <v>12.29951731405</v>
      </c>
      <c r="U110" s="34">
        <v>12.4137828698584</v>
      </c>
      <c r="V110" s="34">
        <v>12.5222277629701</v>
      </c>
      <c r="W110" s="34">
        <v>3</v>
      </c>
      <c r="AG110" s="232" t="s">
        <v>437</v>
      </c>
      <c r="AI110">
        <v>1</v>
      </c>
      <c r="AJ110">
        <v>1.01354665343015</v>
      </c>
      <c r="AK110">
        <v>1.26651860911973</v>
      </c>
      <c r="AL110">
        <v>1.43442777575904</v>
      </c>
      <c r="AM110">
        <v>1.55582290744437</v>
      </c>
      <c r="AN110">
        <v>1.64075103127405</v>
      </c>
      <c r="AO110">
        <v>1.70006493979853</v>
      </c>
      <c r="AP110">
        <v>1.74856667792587</v>
      </c>
      <c r="AQ110">
        <v>1.79128115037486</v>
      </c>
      <c r="AR110">
        <v>1.83354488386238</v>
      </c>
      <c r="AS110">
        <v>1.87489601006984</v>
      </c>
      <c r="AT110">
        <v>1.91374859561425</v>
      </c>
      <c r="AU110">
        <v>1.949028657538</v>
      </c>
      <c r="AV110">
        <v>1.98059151419911</v>
      </c>
      <c r="AW110">
        <v>2.01060739022698</v>
      </c>
      <c r="AX110">
        <v>2.04092932357437</v>
      </c>
      <c r="AY110">
        <v>2.07188563027497</v>
      </c>
      <c r="AZ110">
        <v>2.10205175262333</v>
      </c>
      <c r="BA110">
        <v>0</v>
      </c>
      <c r="BB110">
        <v>0</v>
      </c>
      <c r="BC110">
        <v>0</v>
      </c>
      <c r="BD110">
        <v>0</v>
      </c>
      <c r="BE110">
        <v>0</v>
      </c>
      <c r="BF110">
        <v>0</v>
      </c>
      <c r="BG110">
        <v>0</v>
      </c>
      <c r="BH110">
        <v>0</v>
      </c>
      <c r="BJ110" t="s">
        <v>452</v>
      </c>
      <c r="BL110">
        <v>0.8</v>
      </c>
      <c r="BM110">
        <v>0.797560975609756</v>
      </c>
      <c r="BN110">
        <v>0.785365853658536</v>
      </c>
      <c r="BO110">
        <v>0.773170731707317</v>
      </c>
      <c r="BP110">
        <v>0.760975609756097</v>
      </c>
      <c r="BQ110">
        <v>0.748780487804878</v>
      </c>
      <c r="BR110">
        <v>0.736585365853658</v>
      </c>
      <c r="BS110">
        <v>0.724390243902439</v>
      </c>
      <c r="BT110">
        <v>0.71219512195122</v>
      </c>
      <c r="BU110">
        <v>0.699999999999999</v>
      </c>
      <c r="BV110">
        <v>0.687499999999999</v>
      </c>
      <c r="BW110">
        <v>0.675</v>
      </c>
      <c r="BX110">
        <v>0.6625</v>
      </c>
      <c r="BY110">
        <v>0.649999999999999</v>
      </c>
      <c r="BZ110">
        <v>0.637499999999999</v>
      </c>
      <c r="CA110">
        <v>0.625</v>
      </c>
      <c r="CB110">
        <v>0.6125</v>
      </c>
      <c r="CC110">
        <v>0.6</v>
      </c>
      <c r="CD110" t="e">
        <v>#VALUE!</v>
      </c>
      <c r="CE110" t="e">
        <v>#VALUE!</v>
      </c>
      <c r="CF110" t="e">
        <v>#VALUE!</v>
      </c>
      <c r="CG110" t="e">
        <v>#VALUE!</v>
      </c>
      <c r="CH110" t="e">
        <v>#VALUE!</v>
      </c>
      <c r="CI110" t="e">
        <v>#VALUE!</v>
      </c>
      <c r="CJ110" t="e">
        <v>#VALUE!</v>
      </c>
      <c r="CK110" t="e">
        <v>#VALUE!</v>
      </c>
    </row>
    <row r="111" spans="1:89">
      <c r="A111" s="34" t="s">
        <v>13</v>
      </c>
      <c r="B111" s="34" t="s">
        <v>436</v>
      </c>
      <c r="C111" s="34" t="s">
        <v>436</v>
      </c>
      <c r="D111" s="34"/>
      <c r="E111" s="34">
        <v>2.00560851222116</v>
      </c>
      <c r="F111" s="34">
        <f xml:space="preserve">E111</f>
        <v>2.00560851222116</v>
      </c>
      <c r="G111" s="34"/>
      <c r="H111" s="34"/>
      <c r="I111" s="34">
        <f xml:space="preserve">F111</f>
        <v>2.00560851222116</v>
      </c>
      <c r="J111" s="34">
        <f xml:space="preserve">I111</f>
        <v>2.00560851222116</v>
      </c>
      <c r="K111" s="34"/>
      <c r="L111" s="34">
        <f xml:space="preserve">J111</f>
        <v>2.00560851222116</v>
      </c>
      <c r="M111" s="34"/>
      <c r="N111" s="34"/>
      <c r="O111" s="34"/>
      <c r="P111" s="34"/>
      <c r="Q111" s="34"/>
      <c r="R111" s="34"/>
      <c r="S111" s="34"/>
      <c r="T111" s="34"/>
      <c r="U111" s="34"/>
      <c r="V111" s="34">
        <f xml:space="preserve">L111</f>
        <v>2.00560851222116</v>
      </c>
      <c r="W111" s="34">
        <v>3</v>
      </c>
      <c r="AG111" s="232" t="s">
        <v>437</v>
      </c>
      <c r="AI111">
        <v>1</v>
      </c>
      <c r="AJ111">
        <v>1.01557457237373</v>
      </c>
      <c r="AK111">
        <v>1.1213267076235</v>
      </c>
      <c r="AL111">
        <v>1.22487803718389</v>
      </c>
      <c r="AM111">
        <v>1.32470492634685</v>
      </c>
      <c r="AN111">
        <v>1.42191318091703</v>
      </c>
      <c r="AO111">
        <v>1.51143122248092</v>
      </c>
      <c r="AP111">
        <v>1.59657286647917</v>
      </c>
      <c r="AQ111">
        <v>1.68239348244542</v>
      </c>
      <c r="AR111">
        <v>1.76604390949538</v>
      </c>
      <c r="AS111">
        <v>1.84866957514004</v>
      </c>
      <c r="AT111">
        <v>1.92596972325319</v>
      </c>
      <c r="AU111">
        <v>1.99499974065792</v>
      </c>
      <c r="AV111">
        <v>2.05665111574725</v>
      </c>
      <c r="AW111">
        <v>2.1131498680237</v>
      </c>
      <c r="AX111">
        <v>2.16633120288619</v>
      </c>
      <c r="AY111">
        <v>2.21680385382328</v>
      </c>
      <c r="AZ111">
        <v>2.26184833098965</v>
      </c>
      <c r="BA111">
        <v>0</v>
      </c>
      <c r="BB111">
        <v>0</v>
      </c>
      <c r="BC111">
        <v>0</v>
      </c>
      <c r="BD111">
        <v>0</v>
      </c>
      <c r="BE111">
        <v>0</v>
      </c>
      <c r="BF111">
        <v>0</v>
      </c>
      <c r="BG111">
        <v>0</v>
      </c>
      <c r="BH111">
        <v>0</v>
      </c>
      <c r="BJ111" t="s">
        <v>452</v>
      </c>
      <c r="BL111">
        <v>0.8</v>
      </c>
      <c r="BM111">
        <v>0.797560975609756</v>
      </c>
      <c r="BN111">
        <v>0.785365853658536</v>
      </c>
      <c r="BO111">
        <v>0.773170731707317</v>
      </c>
      <c r="BP111">
        <v>0.760975609756097</v>
      </c>
      <c r="BQ111">
        <v>0.748780487804878</v>
      </c>
      <c r="BR111">
        <v>0.736585365853658</v>
      </c>
      <c r="BS111">
        <v>0.724390243902439</v>
      </c>
      <c r="BT111">
        <v>0.71219512195122</v>
      </c>
      <c r="BU111">
        <v>0.699999999999999</v>
      </c>
      <c r="BV111">
        <v>0.687499999999999</v>
      </c>
      <c r="BW111">
        <v>0.675</v>
      </c>
      <c r="BX111">
        <v>0.6625</v>
      </c>
      <c r="BY111">
        <v>0.649999999999999</v>
      </c>
      <c r="BZ111">
        <v>0.637499999999999</v>
      </c>
      <c r="CA111">
        <v>0.625</v>
      </c>
      <c r="CB111">
        <v>0.6125</v>
      </c>
      <c r="CC111">
        <v>0.6</v>
      </c>
      <c r="CD111" t="e">
        <v>#VALUE!</v>
      </c>
      <c r="CE111" t="e">
        <v>#VALUE!</v>
      </c>
      <c r="CF111" t="e">
        <v>#VALUE!</v>
      </c>
      <c r="CG111" t="e">
        <v>#VALUE!</v>
      </c>
      <c r="CH111" t="e">
        <v>#VALUE!</v>
      </c>
      <c r="CI111" t="e">
        <v>#VALUE!</v>
      </c>
      <c r="CJ111" t="e">
        <v>#VALUE!</v>
      </c>
      <c r="CK111" t="e">
        <v>#VALUE!</v>
      </c>
    </row>
    <row r="112" spans="1:89">
      <c r="A112" s="34" t="s">
        <v>13</v>
      </c>
      <c r="B112" s="34" t="s">
        <v>439</v>
      </c>
      <c r="C112" s="34" t="s">
        <v>439</v>
      </c>
      <c r="D112" s="34"/>
      <c r="E112" s="34">
        <v>19.5468221264771</v>
      </c>
      <c r="F112" s="34">
        <f xml:space="preserve">E112</f>
        <v>19.5468221264771</v>
      </c>
      <c r="G112" s="34"/>
      <c r="H112" s="34"/>
      <c r="I112" s="34">
        <f xml:space="preserve">F112</f>
        <v>19.5468221264771</v>
      </c>
      <c r="J112" s="34">
        <f xml:space="preserve">I112</f>
        <v>19.5468221264771</v>
      </c>
      <c r="K112" s="34"/>
      <c r="L112" s="34">
        <f xml:space="preserve">J112</f>
        <v>19.5468221264771</v>
      </c>
      <c r="M112" s="34"/>
      <c r="N112" s="34"/>
      <c r="O112" s="34"/>
      <c r="P112" s="34"/>
      <c r="Q112" s="34"/>
      <c r="R112" s="34"/>
      <c r="S112" s="34"/>
      <c r="T112" s="34"/>
      <c r="U112" s="34"/>
      <c r="V112" s="34">
        <f xml:space="preserve">L112</f>
        <v>19.5468221264771</v>
      </c>
      <c r="W112" s="34">
        <v>3</v>
      </c>
      <c r="AG112" s="232" t="s">
        <v>437</v>
      </c>
      <c r="AI112">
        <v>1</v>
      </c>
      <c r="AJ112">
        <v>1.01557457237373</v>
      </c>
      <c r="AK112">
        <v>1.1213267076235</v>
      </c>
      <c r="AL112">
        <v>1.22487803718389</v>
      </c>
      <c r="AM112">
        <v>1.32470492634685</v>
      </c>
      <c r="AN112">
        <v>1.42191318091703</v>
      </c>
      <c r="AO112">
        <v>1.51143122248092</v>
      </c>
      <c r="AP112">
        <v>1.59657286647917</v>
      </c>
      <c r="AQ112">
        <v>1.68239348244542</v>
      </c>
      <c r="AR112">
        <v>1.76604390949538</v>
      </c>
      <c r="AS112">
        <v>1.84866957514004</v>
      </c>
      <c r="AT112">
        <v>1.92596972325319</v>
      </c>
      <c r="AU112">
        <v>1.99499974065792</v>
      </c>
      <c r="AV112">
        <v>2.05665111574725</v>
      </c>
      <c r="AW112">
        <v>2.1131498680237</v>
      </c>
      <c r="AX112">
        <v>2.16633120288619</v>
      </c>
      <c r="AY112">
        <v>2.21680385382328</v>
      </c>
      <c r="AZ112">
        <v>2.26184833098965</v>
      </c>
      <c r="BA112">
        <v>0</v>
      </c>
      <c r="BB112">
        <v>0</v>
      </c>
      <c r="BC112">
        <v>0</v>
      </c>
      <c r="BD112">
        <v>0</v>
      </c>
      <c r="BE112">
        <v>0</v>
      </c>
      <c r="BF112">
        <v>0</v>
      </c>
      <c r="BG112">
        <v>0</v>
      </c>
      <c r="BH112">
        <v>0</v>
      </c>
      <c r="BJ112" t="s">
        <v>452</v>
      </c>
      <c r="BL112">
        <v>0.8</v>
      </c>
      <c r="BM112">
        <v>0.797560975609756</v>
      </c>
      <c r="BN112">
        <v>0.785365853658536</v>
      </c>
      <c r="BO112">
        <v>0.773170731707317</v>
      </c>
      <c r="BP112">
        <v>0.760975609756097</v>
      </c>
      <c r="BQ112">
        <v>0.748780487804878</v>
      </c>
      <c r="BR112">
        <v>0.736585365853658</v>
      </c>
      <c r="BS112">
        <v>0.724390243902439</v>
      </c>
      <c r="BT112">
        <v>0.71219512195122</v>
      </c>
      <c r="BU112">
        <v>0.699999999999999</v>
      </c>
      <c r="BV112">
        <v>0.687499999999999</v>
      </c>
      <c r="BW112">
        <v>0.675</v>
      </c>
      <c r="BX112">
        <v>0.6625</v>
      </c>
      <c r="BY112">
        <v>0.649999999999999</v>
      </c>
      <c r="BZ112">
        <v>0.637499999999999</v>
      </c>
      <c r="CA112">
        <v>0.625</v>
      </c>
      <c r="CB112">
        <v>0.6125</v>
      </c>
      <c r="CC112">
        <v>0.6</v>
      </c>
      <c r="CD112" t="e">
        <v>#VALUE!</v>
      </c>
      <c r="CE112" t="e">
        <v>#VALUE!</v>
      </c>
      <c r="CF112" t="e">
        <v>#VALUE!</v>
      </c>
      <c r="CG112" t="e">
        <v>#VALUE!</v>
      </c>
      <c r="CH112" t="e">
        <v>#VALUE!</v>
      </c>
      <c r="CI112" t="e">
        <v>#VALUE!</v>
      </c>
      <c r="CJ112" t="e">
        <v>#VALUE!</v>
      </c>
      <c r="CK112" t="e">
        <v>#VALUE!</v>
      </c>
    </row>
    <row r="113" spans="1:89">
      <c r="A113" s="34" t="s">
        <v>13</v>
      </c>
      <c r="B113" s="34" t="s">
        <v>440</v>
      </c>
      <c r="C113" s="34" t="s">
        <v>440</v>
      </c>
      <c r="D113" s="34"/>
      <c r="E113" s="34">
        <v>3.92497340838634</v>
      </c>
      <c r="F113" s="34"/>
      <c r="G113" s="34"/>
      <c r="H113" s="34"/>
      <c r="I113" s="34">
        <v>4.83125377216984</v>
      </c>
      <c r="J113" s="34">
        <v>5.09671332771343</v>
      </c>
      <c r="K113" s="34"/>
      <c r="L113" s="34">
        <v>5.5506826861402</v>
      </c>
      <c r="M113" s="34"/>
      <c r="N113" s="34"/>
      <c r="O113" s="34"/>
      <c r="P113" s="34"/>
      <c r="Q113" s="34"/>
      <c r="R113" s="34"/>
      <c r="S113" s="34"/>
      <c r="T113" s="34"/>
      <c r="U113" s="34"/>
      <c r="V113" s="34">
        <v>7.01327729505485</v>
      </c>
      <c r="W113" s="34">
        <v>3</v>
      </c>
      <c r="AG113" s="232" t="s">
        <v>437</v>
      </c>
      <c r="AI113">
        <v>1</v>
      </c>
      <c r="AJ113">
        <v>1.01557457237373</v>
      </c>
      <c r="AK113">
        <v>1.1213267076235</v>
      </c>
      <c r="AL113">
        <v>1.22487803718389</v>
      </c>
      <c r="AM113">
        <v>1.32470492634685</v>
      </c>
      <c r="AN113">
        <v>1.42191318091703</v>
      </c>
      <c r="AO113">
        <v>1.51143122248092</v>
      </c>
      <c r="AP113">
        <v>1.59657286647917</v>
      </c>
      <c r="AQ113">
        <v>1.68239348244542</v>
      </c>
      <c r="AR113">
        <v>1.76604390949538</v>
      </c>
      <c r="AS113">
        <v>1.84866957514004</v>
      </c>
      <c r="AT113">
        <v>1.92596972325319</v>
      </c>
      <c r="AU113">
        <v>1.99499974065792</v>
      </c>
      <c r="AV113">
        <v>2.05665111574725</v>
      </c>
      <c r="AW113">
        <v>2.1131498680237</v>
      </c>
      <c r="AX113">
        <v>2.16633120288619</v>
      </c>
      <c r="AY113">
        <v>2.21680385382328</v>
      </c>
      <c r="AZ113">
        <v>2.26184833098965</v>
      </c>
      <c r="BA113">
        <v>0</v>
      </c>
      <c r="BB113">
        <v>0</v>
      </c>
      <c r="BC113">
        <v>0</v>
      </c>
      <c r="BD113">
        <v>0</v>
      </c>
      <c r="BE113">
        <v>0</v>
      </c>
      <c r="BF113">
        <v>0</v>
      </c>
      <c r="BG113">
        <v>0</v>
      </c>
      <c r="BH113">
        <v>0</v>
      </c>
      <c r="BJ113" t="s">
        <v>452</v>
      </c>
      <c r="BL113">
        <v>0.8</v>
      </c>
      <c r="BM113">
        <v>0.797560975609756</v>
      </c>
      <c r="BN113">
        <v>0.785365853658536</v>
      </c>
      <c r="BO113">
        <v>0.773170731707317</v>
      </c>
      <c r="BP113">
        <v>0.760975609756097</v>
      </c>
      <c r="BQ113">
        <v>0.748780487804878</v>
      </c>
      <c r="BR113">
        <v>0.736585365853658</v>
      </c>
      <c r="BS113">
        <v>0.724390243902439</v>
      </c>
      <c r="BT113">
        <v>0.71219512195122</v>
      </c>
      <c r="BU113">
        <v>0.699999999999999</v>
      </c>
      <c r="BV113">
        <v>0.687499999999999</v>
      </c>
      <c r="BW113">
        <v>0.675</v>
      </c>
      <c r="BX113">
        <v>0.6625</v>
      </c>
      <c r="BY113">
        <v>0.649999999999999</v>
      </c>
      <c r="BZ113">
        <v>0.637499999999999</v>
      </c>
      <c r="CA113">
        <v>0.625</v>
      </c>
      <c r="CB113">
        <v>0.6125</v>
      </c>
      <c r="CC113">
        <v>0.6</v>
      </c>
      <c r="CD113" t="e">
        <v>#VALUE!</v>
      </c>
      <c r="CE113" t="e">
        <v>#VALUE!</v>
      </c>
      <c r="CF113" t="e">
        <v>#VALUE!</v>
      </c>
      <c r="CG113" t="e">
        <v>#VALUE!</v>
      </c>
      <c r="CH113" t="e">
        <v>#VALUE!</v>
      </c>
      <c r="CI113" t="e">
        <v>#VALUE!</v>
      </c>
      <c r="CJ113" t="e">
        <v>#VALUE!</v>
      </c>
      <c r="CK113" t="e">
        <v>#VALUE!</v>
      </c>
    </row>
    <row r="114" spans="1:89">
      <c r="A114" s="34" t="s">
        <v>13</v>
      </c>
      <c r="B114" s="34" t="s">
        <v>441</v>
      </c>
      <c r="C114" s="34" t="s">
        <v>441</v>
      </c>
      <c r="D114" s="34"/>
      <c r="E114" s="34">
        <v>7.10295902802551</v>
      </c>
      <c r="F114" s="34"/>
      <c r="G114" s="34"/>
      <c r="H114" s="34"/>
      <c r="I114" s="34">
        <v>7.09434671357223</v>
      </c>
      <c r="J114" s="34">
        <v>7.02400495859201</v>
      </c>
      <c r="K114" s="34"/>
      <c r="L114" s="34">
        <v>6.91840009341947</v>
      </c>
      <c r="M114" s="34"/>
      <c r="N114" s="34"/>
      <c r="O114" s="34"/>
      <c r="P114" s="34"/>
      <c r="Q114" s="34"/>
      <c r="R114" s="34"/>
      <c r="S114" s="34"/>
      <c r="T114" s="34"/>
      <c r="U114" s="34"/>
      <c r="V114" s="34">
        <v>6.28230153212521</v>
      </c>
      <c r="W114" s="34">
        <v>3</v>
      </c>
      <c r="AG114" s="232" t="s">
        <v>442</v>
      </c>
      <c r="AI114">
        <v>1</v>
      </c>
      <c r="AJ114">
        <v>1.00448613053112</v>
      </c>
      <c r="AK114">
        <v>1.02691678318671</v>
      </c>
      <c r="AL114">
        <v>1.01584972350688</v>
      </c>
      <c r="AM114">
        <v>1.00226106324155</v>
      </c>
      <c r="AN114">
        <v>0.988989345700601</v>
      </c>
      <c r="AO114">
        <v>0.977884104689994</v>
      </c>
      <c r="AP114">
        <v>0.968677191718912</v>
      </c>
      <c r="AQ114">
        <v>0.959605608958064</v>
      </c>
      <c r="AR114">
        <v>0.948653909647699</v>
      </c>
      <c r="AS114">
        <v>0.93423317268371</v>
      </c>
      <c r="AT114">
        <v>0.917044289238451</v>
      </c>
      <c r="AU114">
        <v>0.899321369548259</v>
      </c>
      <c r="AV114">
        <v>0.88318944330414</v>
      </c>
      <c r="AW114">
        <v>0.869375086159187</v>
      </c>
      <c r="AX114">
        <v>0.857400529092767</v>
      </c>
      <c r="AY114">
        <v>0.846582778431326</v>
      </c>
      <c r="AZ114">
        <v>0.835770240023922</v>
      </c>
      <c r="BA114">
        <v>0</v>
      </c>
      <c r="BB114">
        <v>0</v>
      </c>
      <c r="BC114">
        <v>0</v>
      </c>
      <c r="BD114">
        <v>0</v>
      </c>
      <c r="BE114">
        <v>0</v>
      </c>
      <c r="BF114">
        <v>0</v>
      </c>
      <c r="BG114">
        <v>0</v>
      </c>
      <c r="BH114">
        <v>0</v>
      </c>
      <c r="BJ114" t="s">
        <v>452</v>
      </c>
      <c r="BL114">
        <v>0.8</v>
      </c>
      <c r="BM114">
        <v>0.797560975609756</v>
      </c>
      <c r="BN114">
        <v>0.785365853658536</v>
      </c>
      <c r="BO114">
        <v>0.773170731707317</v>
      </c>
      <c r="BP114">
        <v>0.760975609756097</v>
      </c>
      <c r="BQ114">
        <v>0.748780487804878</v>
      </c>
      <c r="BR114">
        <v>0.736585365853658</v>
      </c>
      <c r="BS114">
        <v>0.724390243902439</v>
      </c>
      <c r="BT114">
        <v>0.71219512195122</v>
      </c>
      <c r="BU114">
        <v>0.699999999999999</v>
      </c>
      <c r="BV114">
        <v>0.687499999999999</v>
      </c>
      <c r="BW114">
        <v>0.675</v>
      </c>
      <c r="BX114">
        <v>0.6625</v>
      </c>
      <c r="BY114">
        <v>0.649999999999999</v>
      </c>
      <c r="BZ114">
        <v>0.637499999999999</v>
      </c>
      <c r="CA114">
        <v>0.625</v>
      </c>
      <c r="CB114">
        <v>0.6125</v>
      </c>
      <c r="CC114">
        <v>0.6</v>
      </c>
      <c r="CD114" t="e">
        <v>#VALUE!</v>
      </c>
      <c r="CE114" t="e">
        <v>#VALUE!</v>
      </c>
      <c r="CF114" t="e">
        <v>#VALUE!</v>
      </c>
      <c r="CG114" t="e">
        <v>#VALUE!</v>
      </c>
      <c r="CH114" t="e">
        <v>#VALUE!</v>
      </c>
      <c r="CI114" t="e">
        <v>#VALUE!</v>
      </c>
      <c r="CJ114" t="e">
        <v>#VALUE!</v>
      </c>
      <c r="CK114" t="e">
        <v>#VALUE!</v>
      </c>
    </row>
    <row r="115" spans="1:89">
      <c r="A115" s="34" t="s">
        <v>13</v>
      </c>
      <c r="B115" s="34" t="s">
        <v>443</v>
      </c>
      <c r="C115" s="34" t="s">
        <v>443</v>
      </c>
      <c r="D115" s="34"/>
      <c r="E115" s="34">
        <v>0.215645069999914</v>
      </c>
      <c r="F115" s="34">
        <f xml:space="preserve">E115</f>
        <v>0.215645069999914</v>
      </c>
      <c r="G115" s="34"/>
      <c r="H115" s="34"/>
      <c r="I115" s="34">
        <f xml:space="preserve">F115</f>
        <v>0.215645069999914</v>
      </c>
      <c r="J115" s="34">
        <f xml:space="preserve">I115</f>
        <v>0.215645069999914</v>
      </c>
      <c r="K115" s="34"/>
      <c r="L115" s="34">
        <f xml:space="preserve">J115</f>
        <v>0.215645069999914</v>
      </c>
      <c r="M115" s="34"/>
      <c r="N115" s="34"/>
      <c r="O115" s="34"/>
      <c r="P115" s="34"/>
      <c r="Q115" s="34"/>
      <c r="R115" s="34"/>
      <c r="S115" s="34"/>
      <c r="T115" s="34"/>
      <c r="U115" s="34"/>
      <c r="V115" s="34">
        <f xml:space="preserve">L115</f>
        <v>0.215645069999914</v>
      </c>
      <c r="W115" s="34">
        <v>3</v>
      </c>
      <c r="AG115" s="232" t="s">
        <v>437</v>
      </c>
      <c r="AI115">
        <v>1</v>
      </c>
      <c r="AJ115">
        <v>1.01557457237373</v>
      </c>
      <c r="AK115">
        <v>1.1213267076235</v>
      </c>
      <c r="AL115">
        <v>1.22487803718389</v>
      </c>
      <c r="AM115">
        <v>1.32470492634685</v>
      </c>
      <c r="AN115">
        <v>1.42191318091703</v>
      </c>
      <c r="AO115">
        <v>1.51143122248092</v>
      </c>
      <c r="AP115">
        <v>1.59657286647917</v>
      </c>
      <c r="AQ115">
        <v>1.68239348244542</v>
      </c>
      <c r="AR115">
        <v>1.76604390949538</v>
      </c>
      <c r="AS115">
        <v>1.84866957514004</v>
      </c>
      <c r="AT115">
        <v>1.92596972325319</v>
      </c>
      <c r="AU115">
        <v>1.99499974065792</v>
      </c>
      <c r="AV115">
        <v>2.05665111574725</v>
      </c>
      <c r="AW115">
        <v>2.1131498680237</v>
      </c>
      <c r="AX115">
        <v>2.16633120288619</v>
      </c>
      <c r="AY115">
        <v>2.21680385382328</v>
      </c>
      <c r="AZ115">
        <v>2.26184833098965</v>
      </c>
      <c r="BA115">
        <v>0</v>
      </c>
      <c r="BB115">
        <v>0</v>
      </c>
      <c r="BC115">
        <v>0</v>
      </c>
      <c r="BD115">
        <v>0</v>
      </c>
      <c r="BE115">
        <v>0</v>
      </c>
      <c r="BF115">
        <v>0</v>
      </c>
      <c r="BG115">
        <v>0</v>
      </c>
      <c r="BH115">
        <v>0</v>
      </c>
      <c r="BJ115" t="s">
        <v>452</v>
      </c>
      <c r="BL115">
        <v>0.8</v>
      </c>
      <c r="BM115">
        <v>0.797560975609756</v>
      </c>
      <c r="BN115">
        <v>0.785365853658536</v>
      </c>
      <c r="BO115">
        <v>0.773170731707317</v>
      </c>
      <c r="BP115">
        <v>0.760975609756097</v>
      </c>
      <c r="BQ115">
        <v>0.748780487804878</v>
      </c>
      <c r="BR115">
        <v>0.736585365853658</v>
      </c>
      <c r="BS115">
        <v>0.724390243902439</v>
      </c>
      <c r="BT115">
        <v>0.71219512195122</v>
      </c>
      <c r="BU115">
        <v>0.699999999999999</v>
      </c>
      <c r="BV115">
        <v>0.687499999999999</v>
      </c>
      <c r="BW115">
        <v>0.675</v>
      </c>
      <c r="BX115">
        <v>0.6625</v>
      </c>
      <c r="BY115">
        <v>0.649999999999999</v>
      </c>
      <c r="BZ115">
        <v>0.637499999999999</v>
      </c>
      <c r="CA115">
        <v>0.625</v>
      </c>
      <c r="CB115">
        <v>0.6125</v>
      </c>
      <c r="CC115">
        <v>0.6</v>
      </c>
      <c r="CD115" t="e">
        <v>#VALUE!</v>
      </c>
      <c r="CE115" t="e">
        <v>#VALUE!</v>
      </c>
      <c r="CF115" t="e">
        <v>#VALUE!</v>
      </c>
      <c r="CG115" t="e">
        <v>#VALUE!</v>
      </c>
      <c r="CH115" t="e">
        <v>#VALUE!</v>
      </c>
      <c r="CI115" t="e">
        <v>#VALUE!</v>
      </c>
      <c r="CJ115" t="e">
        <v>#VALUE!</v>
      </c>
      <c r="CK115" t="e">
        <v>#VALUE!</v>
      </c>
    </row>
    <row r="116" spans="1:89">
      <c r="A116" s="34" t="s">
        <v>13</v>
      </c>
      <c r="B116" s="34" t="s">
        <v>444</v>
      </c>
      <c r="C116" s="34" t="s">
        <v>444</v>
      </c>
      <c r="D116" s="34"/>
      <c r="E116" s="34">
        <v>0</v>
      </c>
      <c r="F116" s="34">
        <f xml:space="preserve">E116</f>
        <v>0</v>
      </c>
      <c r="G116" s="34"/>
      <c r="H116" s="34"/>
      <c r="I116" s="34">
        <f xml:space="preserve">F116</f>
        <v>0</v>
      </c>
      <c r="J116" s="34">
        <f xml:space="preserve">I116</f>
        <v>0</v>
      </c>
      <c r="K116" s="34"/>
      <c r="L116" s="34">
        <f xml:space="preserve">J116</f>
        <v>0</v>
      </c>
      <c r="M116" s="34"/>
      <c r="N116" s="34"/>
      <c r="O116" s="34"/>
      <c r="P116" s="34"/>
      <c r="Q116" s="34"/>
      <c r="R116" s="34"/>
      <c r="S116" s="34"/>
      <c r="T116" s="34"/>
      <c r="U116" s="34"/>
      <c r="V116" s="34">
        <f xml:space="preserve">L116</f>
        <v>0</v>
      </c>
      <c r="W116" s="34">
        <v>3</v>
      </c>
      <c r="AG116" s="232" t="s">
        <v>437</v>
      </c>
      <c r="AI116">
        <v>1</v>
      </c>
      <c r="AJ116">
        <v>1.01557457237373</v>
      </c>
      <c r="AK116">
        <v>1.1213267076235</v>
      </c>
      <c r="AL116">
        <v>1.22487803718389</v>
      </c>
      <c r="AM116">
        <v>1.32470492634685</v>
      </c>
      <c r="AN116">
        <v>1.42191318091703</v>
      </c>
      <c r="AO116">
        <v>1.51143122248092</v>
      </c>
      <c r="AP116">
        <v>1.59657286647917</v>
      </c>
      <c r="AQ116">
        <v>1.68239348244542</v>
      </c>
      <c r="AR116">
        <v>1.76604390949538</v>
      </c>
      <c r="AS116">
        <v>1.84866957514004</v>
      </c>
      <c r="AT116">
        <v>1.92596972325319</v>
      </c>
      <c r="AU116">
        <v>1.99499974065792</v>
      </c>
      <c r="AV116">
        <v>2.05665111574725</v>
      </c>
      <c r="AW116">
        <v>2.1131498680237</v>
      </c>
      <c r="AX116">
        <v>2.16633120288619</v>
      </c>
      <c r="AY116">
        <v>2.21680385382328</v>
      </c>
      <c r="AZ116">
        <v>2.26184833098965</v>
      </c>
      <c r="BA116">
        <v>0</v>
      </c>
      <c r="BB116">
        <v>0</v>
      </c>
      <c r="BC116">
        <v>0</v>
      </c>
      <c r="BD116">
        <v>0</v>
      </c>
      <c r="BE116">
        <v>0</v>
      </c>
      <c r="BF116">
        <v>0</v>
      </c>
      <c r="BG116">
        <v>0</v>
      </c>
      <c r="BH116">
        <v>0</v>
      </c>
      <c r="BJ116" t="s">
        <v>452</v>
      </c>
      <c r="BL116">
        <v>0.8</v>
      </c>
      <c r="BM116">
        <v>0.797560975609756</v>
      </c>
      <c r="BN116">
        <v>0.785365853658536</v>
      </c>
      <c r="BO116">
        <v>0.773170731707317</v>
      </c>
      <c r="BP116">
        <v>0.760975609756097</v>
      </c>
      <c r="BQ116">
        <v>0.748780487804878</v>
      </c>
      <c r="BR116">
        <v>0.736585365853658</v>
      </c>
      <c r="BS116">
        <v>0.724390243902439</v>
      </c>
      <c r="BT116">
        <v>0.71219512195122</v>
      </c>
      <c r="BU116">
        <v>0.699999999999999</v>
      </c>
      <c r="BV116">
        <v>0.687499999999999</v>
      </c>
      <c r="BW116">
        <v>0.675</v>
      </c>
      <c r="BX116">
        <v>0.6625</v>
      </c>
      <c r="BY116">
        <v>0.649999999999999</v>
      </c>
      <c r="BZ116">
        <v>0.637499999999999</v>
      </c>
      <c r="CA116">
        <v>0.625</v>
      </c>
      <c r="CB116">
        <v>0.6125</v>
      </c>
      <c r="CC116">
        <v>0.6</v>
      </c>
      <c r="CD116" t="e">
        <v>#VALUE!</v>
      </c>
      <c r="CE116" t="e">
        <v>#VALUE!</v>
      </c>
      <c r="CF116" t="e">
        <v>#VALUE!</v>
      </c>
      <c r="CG116" t="e">
        <v>#VALUE!</v>
      </c>
      <c r="CH116" t="e">
        <v>#VALUE!</v>
      </c>
      <c r="CI116" t="e">
        <v>#VALUE!</v>
      </c>
      <c r="CJ116" t="e">
        <v>#VALUE!</v>
      </c>
      <c r="CK116" t="e">
        <v>#VALUE!</v>
      </c>
    </row>
    <row r="117" spans="1:89">
      <c r="A117" s="34" t="s">
        <v>13</v>
      </c>
      <c r="B117" s="34" t="s">
        <v>445</v>
      </c>
      <c r="C117" s="34" t="s">
        <v>445</v>
      </c>
      <c r="D117" s="34">
        <v>1.19</v>
      </c>
      <c r="E117" s="34">
        <v>1.1942577755453</v>
      </c>
      <c r="F117" s="34"/>
      <c r="G117" s="34">
        <v>1.21520218204028</v>
      </c>
      <c r="H117" s="34">
        <v>1.20507657786012</v>
      </c>
      <c r="I117" s="34">
        <v>1.19280974192147</v>
      </c>
      <c r="J117" s="34">
        <v>1.18098281352457</v>
      </c>
      <c r="K117" s="34">
        <v>1.17121487227188</v>
      </c>
      <c r="L117" s="34">
        <v>1.16322691336097</v>
      </c>
      <c r="M117" s="34">
        <v>1.15546859798829</v>
      </c>
      <c r="N117" s="34">
        <v>1.14623767939974</v>
      </c>
      <c r="O117" s="34">
        <v>1.13425850086634</v>
      </c>
      <c r="P117" s="34">
        <v>1.12017183548844</v>
      </c>
      <c r="Q117" s="34">
        <v>1.10582964486629</v>
      </c>
      <c r="R117" s="34">
        <v>1.09293608326769</v>
      </c>
      <c r="S117" s="34">
        <v>1.08203795879434</v>
      </c>
      <c r="T117" s="34">
        <v>1.0727231320499</v>
      </c>
      <c r="U117" s="34">
        <v>1.06443327658127</v>
      </c>
      <c r="V117" s="34">
        <v>1.05627632419926</v>
      </c>
      <c r="W117" s="34">
        <v>3</v>
      </c>
      <c r="AG117" s="232" t="s">
        <v>442</v>
      </c>
      <c r="AI117">
        <v>1</v>
      </c>
      <c r="AJ117">
        <v>1.00448613053112</v>
      </c>
      <c r="AK117">
        <v>1.02691678318671</v>
      </c>
      <c r="AL117">
        <v>1.01584972350688</v>
      </c>
      <c r="AM117">
        <v>1.00226106324155</v>
      </c>
      <c r="AN117">
        <v>0.988989345700601</v>
      </c>
      <c r="AO117">
        <v>0.977884104689994</v>
      </c>
      <c r="AP117">
        <v>0.968677191718912</v>
      </c>
      <c r="AQ117">
        <v>0.959605608958064</v>
      </c>
      <c r="AR117">
        <v>0.948653909647699</v>
      </c>
      <c r="AS117">
        <v>0.93423317268371</v>
      </c>
      <c r="AT117">
        <v>0.917044289238451</v>
      </c>
      <c r="AU117">
        <v>0.899321369548259</v>
      </c>
      <c r="AV117">
        <v>0.88318944330414</v>
      </c>
      <c r="AW117">
        <v>0.869375086159187</v>
      </c>
      <c r="AX117">
        <v>0.857400529092767</v>
      </c>
      <c r="AY117">
        <v>0.846582778431326</v>
      </c>
      <c r="AZ117">
        <v>0.835770240023922</v>
      </c>
      <c r="BA117">
        <v>0</v>
      </c>
      <c r="BB117">
        <v>0</v>
      </c>
      <c r="BC117">
        <v>0</v>
      </c>
      <c r="BD117">
        <v>0</v>
      </c>
      <c r="BE117">
        <v>0</v>
      </c>
      <c r="BF117">
        <v>0</v>
      </c>
      <c r="BG117">
        <v>0</v>
      </c>
      <c r="BH117">
        <v>0</v>
      </c>
      <c r="BJ117" t="s">
        <v>452</v>
      </c>
      <c r="BL117">
        <v>0.8</v>
      </c>
      <c r="BM117">
        <v>0.797560975609756</v>
      </c>
      <c r="BN117">
        <v>0.785365853658536</v>
      </c>
      <c r="BO117">
        <v>0.773170731707317</v>
      </c>
      <c r="BP117">
        <v>0.760975609756097</v>
      </c>
      <c r="BQ117">
        <v>0.748780487804878</v>
      </c>
      <c r="BR117">
        <v>0.736585365853658</v>
      </c>
      <c r="BS117">
        <v>0.724390243902439</v>
      </c>
      <c r="BT117">
        <v>0.71219512195122</v>
      </c>
      <c r="BU117">
        <v>0.699999999999999</v>
      </c>
      <c r="BV117">
        <v>0.687499999999999</v>
      </c>
      <c r="BW117">
        <v>0.675</v>
      </c>
      <c r="BX117">
        <v>0.6625</v>
      </c>
      <c r="BY117">
        <v>0.649999999999999</v>
      </c>
      <c r="BZ117">
        <v>0.637499999999999</v>
      </c>
      <c r="CA117">
        <v>0.625</v>
      </c>
      <c r="CB117">
        <v>0.6125</v>
      </c>
      <c r="CC117">
        <v>0.6</v>
      </c>
      <c r="CD117" t="e">
        <v>#VALUE!</v>
      </c>
      <c r="CE117" t="e">
        <v>#VALUE!</v>
      </c>
      <c r="CF117" t="e">
        <v>#VALUE!</v>
      </c>
      <c r="CG117" t="e">
        <v>#VALUE!</v>
      </c>
      <c r="CH117" t="e">
        <v>#VALUE!</v>
      </c>
      <c r="CI117" t="e">
        <v>#VALUE!</v>
      </c>
      <c r="CJ117" t="e">
        <v>#VALUE!</v>
      </c>
      <c r="CK117" t="e">
        <v>#VALUE!</v>
      </c>
    </row>
    <row r="118" spans="1:89">
      <c r="A118" s="34" t="s">
        <v>13</v>
      </c>
      <c r="B118" s="34" t="s">
        <v>446</v>
      </c>
      <c r="C118" s="34" t="s">
        <v>446</v>
      </c>
      <c r="D118" s="34">
        <v>0.24</v>
      </c>
      <c r="E118" s="34">
        <v>0.240858711034347</v>
      </c>
      <c r="F118" s="34"/>
      <c r="G118" s="34">
        <v>0.245082793016527</v>
      </c>
      <c r="H118" s="34">
        <v>0.243040654358344</v>
      </c>
      <c r="I118" s="34">
        <v>0.240566670639625</v>
      </c>
      <c r="J118" s="34">
        <v>0.23818140776966</v>
      </c>
      <c r="K118" s="34">
        <v>0.236211402811135</v>
      </c>
      <c r="L118" s="34">
        <v>0.234600385887927</v>
      </c>
      <c r="M118" s="34">
        <v>0.233035683627891</v>
      </c>
      <c r="N118" s="34">
        <v>0.231173985761291</v>
      </c>
      <c r="O118" s="34">
        <v>0.228758016981447</v>
      </c>
      <c r="P118" s="34">
        <v>0.225917008838005</v>
      </c>
      <c r="Q118" s="34">
        <v>0.22302446619152</v>
      </c>
      <c r="R118" s="34">
        <v>0.220424084020375</v>
      </c>
      <c r="S118" s="34">
        <v>0.218226142950119</v>
      </c>
      <c r="T118" s="34">
        <v>0.216347522430231</v>
      </c>
      <c r="U118" s="34">
        <v>0.214675618806306</v>
      </c>
      <c r="V118" s="34">
        <v>0.213030519166237</v>
      </c>
      <c r="W118" s="34">
        <v>3</v>
      </c>
      <c r="AG118" s="232" t="s">
        <v>442</v>
      </c>
      <c r="AI118">
        <v>1</v>
      </c>
      <c r="AJ118">
        <v>1.00448613053112</v>
      </c>
      <c r="AK118">
        <v>1.02691678318671</v>
      </c>
      <c r="AL118">
        <v>1.01584972350688</v>
      </c>
      <c r="AM118">
        <v>1.00226106324155</v>
      </c>
      <c r="AN118">
        <v>0.988989345700601</v>
      </c>
      <c r="AO118">
        <v>0.977884104689994</v>
      </c>
      <c r="AP118">
        <v>0.968677191718912</v>
      </c>
      <c r="AQ118">
        <v>0.959605608958064</v>
      </c>
      <c r="AR118">
        <v>0.948653909647699</v>
      </c>
      <c r="AS118">
        <v>0.93423317268371</v>
      </c>
      <c r="AT118">
        <v>0.917044289238451</v>
      </c>
      <c r="AU118">
        <v>0.899321369548259</v>
      </c>
      <c r="AV118">
        <v>0.88318944330414</v>
      </c>
      <c r="AW118">
        <v>0.869375086159187</v>
      </c>
      <c r="AX118">
        <v>0.857400529092767</v>
      </c>
      <c r="AY118">
        <v>0.846582778431326</v>
      </c>
      <c r="AZ118">
        <v>0.835770240023922</v>
      </c>
      <c r="BA118">
        <v>0</v>
      </c>
      <c r="BB118">
        <v>0</v>
      </c>
      <c r="BC118">
        <v>0</v>
      </c>
      <c r="BD118">
        <v>0</v>
      </c>
      <c r="BE118">
        <v>0</v>
      </c>
      <c r="BF118">
        <v>0</v>
      </c>
      <c r="BG118">
        <v>0</v>
      </c>
      <c r="BH118">
        <v>0</v>
      </c>
      <c r="BJ118" t="s">
        <v>452</v>
      </c>
      <c r="BL118">
        <v>0.8</v>
      </c>
      <c r="BM118">
        <v>0.797560975609756</v>
      </c>
      <c r="BN118">
        <v>0.785365853658536</v>
      </c>
      <c r="BO118">
        <v>0.773170731707317</v>
      </c>
      <c r="BP118">
        <v>0.760975609756097</v>
      </c>
      <c r="BQ118">
        <v>0.748780487804878</v>
      </c>
      <c r="BR118">
        <v>0.736585365853658</v>
      </c>
      <c r="BS118">
        <v>0.724390243902439</v>
      </c>
      <c r="BT118">
        <v>0.71219512195122</v>
      </c>
      <c r="BU118">
        <v>0.699999999999999</v>
      </c>
      <c r="BV118">
        <v>0.687499999999999</v>
      </c>
      <c r="BW118">
        <v>0.675</v>
      </c>
      <c r="BX118">
        <v>0.6625</v>
      </c>
      <c r="BY118">
        <v>0.649999999999999</v>
      </c>
      <c r="BZ118">
        <v>0.637499999999999</v>
      </c>
      <c r="CA118">
        <v>0.625</v>
      </c>
      <c r="CB118">
        <v>0.6125</v>
      </c>
      <c r="CC118">
        <v>0.6</v>
      </c>
      <c r="CD118" t="e">
        <v>#VALUE!</v>
      </c>
      <c r="CE118" t="e">
        <v>#VALUE!</v>
      </c>
      <c r="CF118" t="e">
        <v>#VALUE!</v>
      </c>
      <c r="CG118" t="e">
        <v>#VALUE!</v>
      </c>
      <c r="CH118" t="e">
        <v>#VALUE!</v>
      </c>
      <c r="CI118" t="e">
        <v>#VALUE!</v>
      </c>
      <c r="CJ118" t="e">
        <v>#VALUE!</v>
      </c>
      <c r="CK118" t="e">
        <v>#VALUE!</v>
      </c>
    </row>
    <row r="119" spans="1:89">
      <c r="A119" s="34" t="s">
        <v>13</v>
      </c>
      <c r="B119" s="34" t="s">
        <v>447</v>
      </c>
      <c r="C119" s="34" t="s">
        <v>447</v>
      </c>
      <c r="D119" s="34">
        <v>1.995</v>
      </c>
      <c r="E119" s="34">
        <v>2.00213803547301</v>
      </c>
      <c r="F119" s="34"/>
      <c r="G119" s="34">
        <v>2.03725071694988</v>
      </c>
      <c r="H119" s="34">
        <v>2.02027543935373</v>
      </c>
      <c r="I119" s="34">
        <v>1.99971044969188</v>
      </c>
      <c r="J119" s="34">
        <v>1.9798829520853</v>
      </c>
      <c r="K119" s="34">
        <v>1.96350728586756</v>
      </c>
      <c r="L119" s="34">
        <v>1.95011570769339</v>
      </c>
      <c r="M119" s="34">
        <v>1.93710912015685</v>
      </c>
      <c r="N119" s="34">
        <v>1.92163375664073</v>
      </c>
      <c r="O119" s="34">
        <v>1.90155101615827</v>
      </c>
      <c r="P119" s="34">
        <v>1.87793513596592</v>
      </c>
      <c r="Q119" s="34">
        <v>1.85389087521701</v>
      </c>
      <c r="R119" s="34">
        <v>1.83227519841936</v>
      </c>
      <c r="S119" s="34">
        <v>1.81400481327287</v>
      </c>
      <c r="T119" s="34">
        <v>1.7983887802013</v>
      </c>
      <c r="U119" s="34">
        <v>1.78449108132742</v>
      </c>
      <c r="V119" s="34">
        <v>1.77081619056934</v>
      </c>
      <c r="W119" s="34">
        <v>3</v>
      </c>
      <c r="AG119" s="232" t="s">
        <v>442</v>
      </c>
      <c r="AI119">
        <v>1</v>
      </c>
      <c r="AJ119">
        <v>1.00448613053112</v>
      </c>
      <c r="AK119">
        <v>1.02691678318671</v>
      </c>
      <c r="AL119">
        <v>1.01584972350688</v>
      </c>
      <c r="AM119">
        <v>1.00226106324155</v>
      </c>
      <c r="AN119">
        <v>0.988989345700601</v>
      </c>
      <c r="AO119">
        <v>0.977884104689994</v>
      </c>
      <c r="AP119">
        <v>0.968677191718912</v>
      </c>
      <c r="AQ119">
        <v>0.959605608958064</v>
      </c>
      <c r="AR119">
        <v>0.948653909647699</v>
      </c>
      <c r="AS119">
        <v>0.93423317268371</v>
      </c>
      <c r="AT119">
        <v>0.917044289238451</v>
      </c>
      <c r="AU119">
        <v>0.899321369548259</v>
      </c>
      <c r="AV119">
        <v>0.88318944330414</v>
      </c>
      <c r="AW119">
        <v>0.869375086159187</v>
      </c>
      <c r="AX119">
        <v>0.857400529092767</v>
      </c>
      <c r="AY119">
        <v>0.846582778431326</v>
      </c>
      <c r="AZ119">
        <v>0.835770240023922</v>
      </c>
      <c r="BA119">
        <v>0</v>
      </c>
      <c r="BB119">
        <v>0</v>
      </c>
      <c r="BC119">
        <v>0</v>
      </c>
      <c r="BD119">
        <v>0</v>
      </c>
      <c r="BE119">
        <v>0</v>
      </c>
      <c r="BF119">
        <v>0</v>
      </c>
      <c r="BG119">
        <v>0</v>
      </c>
      <c r="BH119">
        <v>0</v>
      </c>
      <c r="BJ119" t="s">
        <v>452</v>
      </c>
      <c r="BL119">
        <v>0.8</v>
      </c>
      <c r="BM119">
        <v>0.797560975609756</v>
      </c>
      <c r="BN119">
        <v>0.785365853658536</v>
      </c>
      <c r="BO119">
        <v>0.773170731707317</v>
      </c>
      <c r="BP119">
        <v>0.760975609756097</v>
      </c>
      <c r="BQ119">
        <v>0.748780487804878</v>
      </c>
      <c r="BR119">
        <v>0.736585365853658</v>
      </c>
      <c r="BS119">
        <v>0.724390243902439</v>
      </c>
      <c r="BT119">
        <v>0.71219512195122</v>
      </c>
      <c r="BU119">
        <v>0.699999999999999</v>
      </c>
      <c r="BV119">
        <v>0.687499999999999</v>
      </c>
      <c r="BW119">
        <v>0.675</v>
      </c>
      <c r="BX119">
        <v>0.6625</v>
      </c>
      <c r="BY119">
        <v>0.649999999999999</v>
      </c>
      <c r="BZ119">
        <v>0.637499999999999</v>
      </c>
      <c r="CA119">
        <v>0.625</v>
      </c>
      <c r="CB119">
        <v>0.6125</v>
      </c>
      <c r="CC119">
        <v>0.6</v>
      </c>
      <c r="CD119" t="e">
        <v>#VALUE!</v>
      </c>
      <c r="CE119" t="e">
        <v>#VALUE!</v>
      </c>
      <c r="CF119" t="e">
        <v>#VALUE!</v>
      </c>
      <c r="CG119" t="e">
        <v>#VALUE!</v>
      </c>
      <c r="CH119" t="e">
        <v>#VALUE!</v>
      </c>
      <c r="CI119" t="e">
        <v>#VALUE!</v>
      </c>
      <c r="CJ119" t="e">
        <v>#VALUE!</v>
      </c>
      <c r="CK119" t="e">
        <v>#VALUE!</v>
      </c>
    </row>
    <row r="120" spans="1:89">
      <c r="A120" s="34" t="s">
        <v>13</v>
      </c>
      <c r="B120" s="34" t="s">
        <v>448</v>
      </c>
      <c r="C120" s="34" t="s">
        <v>448</v>
      </c>
      <c r="D120" s="34">
        <v>66.732</v>
      </c>
      <c r="E120" s="34">
        <v>67.319522651914</v>
      </c>
      <c r="F120" s="34"/>
      <c r="G120" s="34">
        <v>71.5498538704285</v>
      </c>
      <c r="H120" s="34">
        <v>77.3168577806685</v>
      </c>
      <c r="I120" s="34">
        <v>82.9746937037038</v>
      </c>
      <c r="J120" s="34">
        <v>88.4287778865639</v>
      </c>
      <c r="K120" s="34">
        <v>93.3157136922764</v>
      </c>
      <c r="L120" s="34">
        <v>97.8022503943406</v>
      </c>
      <c r="M120" s="34">
        <v>102.240246892509</v>
      </c>
      <c r="N120" s="34">
        <v>106.66599043192</v>
      </c>
      <c r="O120" s="34">
        <v>111.281841655096</v>
      </c>
      <c r="P120" s="34">
        <v>115.88952134692</v>
      </c>
      <c r="Q120" s="34">
        <v>120.208602110223</v>
      </c>
      <c r="R120" s="34">
        <v>124.094514876352</v>
      </c>
      <c r="S120" s="34">
        <v>127.559365229034</v>
      </c>
      <c r="T120" s="34">
        <v>130.707247794221</v>
      </c>
      <c r="U120" s="34">
        <v>133.619326609121</v>
      </c>
      <c r="V120" s="34">
        <v>136.306650577676</v>
      </c>
      <c r="W120" s="34">
        <v>3</v>
      </c>
      <c r="AG120" s="232" t="s">
        <v>449</v>
      </c>
      <c r="AI120">
        <v>1</v>
      </c>
      <c r="AJ120">
        <v>1.01103891980743</v>
      </c>
      <c r="AK120">
        <v>1.09193532132548</v>
      </c>
      <c r="AL120">
        <v>1.20576696418779</v>
      </c>
      <c r="AM120">
        <v>1.32171644188436</v>
      </c>
      <c r="AN120">
        <v>1.43774367954364</v>
      </c>
      <c r="AO120">
        <v>1.54561385672597</v>
      </c>
      <c r="AP120">
        <v>1.6481990906032</v>
      </c>
      <c r="AQ120">
        <v>1.75321347305604</v>
      </c>
      <c r="AR120">
        <v>1.86163140375528</v>
      </c>
      <c r="AS120">
        <v>1.97880960470446</v>
      </c>
      <c r="AT120">
        <v>2.10019270154617</v>
      </c>
      <c r="AU120">
        <v>2.21833908123415</v>
      </c>
      <c r="AV120">
        <v>2.32866360817564</v>
      </c>
      <c r="AW120">
        <v>2.4306538129122</v>
      </c>
      <c r="AX120">
        <v>2.52662685568719</v>
      </c>
      <c r="AY120">
        <v>2.61853171397002</v>
      </c>
      <c r="AZ120">
        <v>2.70630398484266</v>
      </c>
      <c r="BA120">
        <v>0</v>
      </c>
      <c r="BB120">
        <v>0</v>
      </c>
      <c r="BC120">
        <v>0</v>
      </c>
      <c r="BD120">
        <v>0</v>
      </c>
      <c r="BE120">
        <v>0</v>
      </c>
      <c r="BF120">
        <v>0</v>
      </c>
      <c r="BG120">
        <v>0</v>
      </c>
      <c r="BH120">
        <v>0</v>
      </c>
      <c r="BJ120" t="s">
        <v>452</v>
      </c>
      <c r="BL120">
        <v>0.8</v>
      </c>
      <c r="BM120">
        <v>0.797560975609756</v>
      </c>
      <c r="BN120">
        <v>0.785365853658536</v>
      </c>
      <c r="BO120">
        <v>0.773170731707317</v>
      </c>
      <c r="BP120">
        <v>0.760975609756097</v>
      </c>
      <c r="BQ120">
        <v>0.748780487804878</v>
      </c>
      <c r="BR120">
        <v>0.736585365853658</v>
      </c>
      <c r="BS120">
        <v>0.724390243902439</v>
      </c>
      <c r="BT120">
        <v>0.71219512195122</v>
      </c>
      <c r="BU120">
        <v>0.699999999999999</v>
      </c>
      <c r="BV120">
        <v>0.687499999999999</v>
      </c>
      <c r="BW120">
        <v>0.675</v>
      </c>
      <c r="BX120">
        <v>0.6625</v>
      </c>
      <c r="BY120">
        <v>0.649999999999999</v>
      </c>
      <c r="BZ120">
        <v>0.637499999999999</v>
      </c>
      <c r="CA120">
        <v>0.625</v>
      </c>
      <c r="CB120">
        <v>0.6125</v>
      </c>
      <c r="CC120">
        <v>0.6</v>
      </c>
      <c r="CD120" t="e">
        <v>#VALUE!</v>
      </c>
      <c r="CE120" t="e">
        <v>#VALUE!</v>
      </c>
      <c r="CF120" t="e">
        <v>#VALUE!</v>
      </c>
      <c r="CG120" t="e">
        <v>#VALUE!</v>
      </c>
      <c r="CH120" t="e">
        <v>#VALUE!</v>
      </c>
      <c r="CI120" t="e">
        <v>#VALUE!</v>
      </c>
      <c r="CJ120" t="e">
        <v>#VALUE!</v>
      </c>
      <c r="CK120" t="e">
        <v>#VALUE!</v>
      </c>
    </row>
    <row r="121" spans="1:89">
      <c r="A121" s="34" t="s">
        <v>13</v>
      </c>
      <c r="B121" s="34" t="s">
        <v>450</v>
      </c>
      <c r="C121" s="34" t="s">
        <v>450</v>
      </c>
      <c r="D121" s="34">
        <v>23.5</v>
      </c>
      <c r="E121" s="34">
        <v>23.7919092717218</v>
      </c>
      <c r="F121" s="34"/>
      <c r="G121" s="34">
        <v>25.7376216258041</v>
      </c>
      <c r="H121" s="34">
        <v>27.5752908011259</v>
      </c>
      <c r="I121" s="34">
        <v>29.2854853922145</v>
      </c>
      <c r="J121" s="34">
        <v>30.8946146788766</v>
      </c>
      <c r="K121" s="34">
        <v>32.3272754243379</v>
      </c>
      <c r="L121" s="34">
        <v>33.6464289369692</v>
      </c>
      <c r="M121" s="34">
        <v>34.9345030584611</v>
      </c>
      <c r="N121" s="34">
        <v>36.1503900023166</v>
      </c>
      <c r="O121" s="34">
        <v>37.3131743133816</v>
      </c>
      <c r="P121" s="34">
        <v>38.3663164807832</v>
      </c>
      <c r="Q121" s="34">
        <v>39.2773293559452</v>
      </c>
      <c r="R121" s="34">
        <v>40.0662898028728</v>
      </c>
      <c r="S121" s="34">
        <v>40.7679672994149</v>
      </c>
      <c r="T121" s="34">
        <v>41.4092182328618</v>
      </c>
      <c r="U121" s="34">
        <v>42.0001459827273</v>
      </c>
      <c r="V121" s="34">
        <v>42.5122006546209</v>
      </c>
      <c r="W121" s="34">
        <v>3</v>
      </c>
      <c r="AG121" s="232" t="s">
        <v>437</v>
      </c>
      <c r="AI121">
        <v>1</v>
      </c>
      <c r="AJ121">
        <v>1.01557457237373</v>
      </c>
      <c r="AK121">
        <v>1.1213267076235</v>
      </c>
      <c r="AL121">
        <v>1.22487803718389</v>
      </c>
      <c r="AM121">
        <v>1.32470492634685</v>
      </c>
      <c r="AN121">
        <v>1.42191318091703</v>
      </c>
      <c r="AO121">
        <v>1.51143122248092</v>
      </c>
      <c r="AP121">
        <v>1.59657286647917</v>
      </c>
      <c r="AQ121">
        <v>1.68239348244542</v>
      </c>
      <c r="AR121">
        <v>1.76604390949538</v>
      </c>
      <c r="AS121">
        <v>1.84866957514004</v>
      </c>
      <c r="AT121">
        <v>1.92596972325319</v>
      </c>
      <c r="AU121">
        <v>1.99499974065792</v>
      </c>
      <c r="AV121">
        <v>2.05665111574725</v>
      </c>
      <c r="AW121">
        <v>2.1131498680237</v>
      </c>
      <c r="AX121">
        <v>2.16633120288619</v>
      </c>
      <c r="AY121">
        <v>2.21680385382328</v>
      </c>
      <c r="AZ121">
        <v>2.26184833098965</v>
      </c>
      <c r="BA121">
        <v>0</v>
      </c>
      <c r="BB121">
        <v>0</v>
      </c>
      <c r="BC121">
        <v>0</v>
      </c>
      <c r="BD121">
        <v>0</v>
      </c>
      <c r="BE121">
        <v>0</v>
      </c>
      <c r="BF121">
        <v>0</v>
      </c>
      <c r="BG121">
        <v>0</v>
      </c>
      <c r="BH121">
        <v>0</v>
      </c>
      <c r="BJ121" t="s">
        <v>452</v>
      </c>
      <c r="BL121">
        <v>0.8</v>
      </c>
      <c r="BM121">
        <v>0.797560975609756</v>
      </c>
      <c r="BN121">
        <v>0.785365853658536</v>
      </c>
      <c r="BO121">
        <v>0.773170731707317</v>
      </c>
      <c r="BP121">
        <v>0.760975609756097</v>
      </c>
      <c r="BQ121">
        <v>0.748780487804878</v>
      </c>
      <c r="BR121">
        <v>0.736585365853658</v>
      </c>
      <c r="BS121">
        <v>0.724390243902439</v>
      </c>
      <c r="BT121">
        <v>0.71219512195122</v>
      </c>
      <c r="BU121">
        <v>0.699999999999999</v>
      </c>
      <c r="BV121">
        <v>0.687499999999999</v>
      </c>
      <c r="BW121">
        <v>0.675</v>
      </c>
      <c r="BX121">
        <v>0.6625</v>
      </c>
      <c r="BY121">
        <v>0.649999999999999</v>
      </c>
      <c r="BZ121">
        <v>0.637499999999999</v>
      </c>
      <c r="CA121">
        <v>0.625</v>
      </c>
      <c r="CB121">
        <v>0.6125</v>
      </c>
      <c r="CC121">
        <v>0.6</v>
      </c>
      <c r="CD121" t="e">
        <v>#VALUE!</v>
      </c>
      <c r="CE121" t="e">
        <v>#VALUE!</v>
      </c>
      <c r="CF121" t="e">
        <v>#VALUE!</v>
      </c>
      <c r="CG121" t="e">
        <v>#VALUE!</v>
      </c>
      <c r="CH121" t="e">
        <v>#VALUE!</v>
      </c>
      <c r="CI121" t="e">
        <v>#VALUE!</v>
      </c>
      <c r="CJ121" t="e">
        <v>#VALUE!</v>
      </c>
      <c r="CK121" t="e">
        <v>#VALUE!</v>
      </c>
    </row>
    <row r="122" spans="1:89">
      <c r="A122" s="34" t="s">
        <v>13</v>
      </c>
      <c r="B122" s="34" t="s">
        <v>451</v>
      </c>
      <c r="C122" s="34" t="s">
        <v>451</v>
      </c>
      <c r="D122" s="34">
        <v>14.96</v>
      </c>
      <c r="E122" s="34">
        <v>15.145828200211</v>
      </c>
      <c r="F122" s="34"/>
      <c r="G122" s="34">
        <v>16.3844604051928</v>
      </c>
      <c r="H122" s="34">
        <v>17.5543127823338</v>
      </c>
      <c r="I122" s="34">
        <v>18.643015381597</v>
      </c>
      <c r="J122" s="34">
        <v>19.6673802381274</v>
      </c>
      <c r="K122" s="34">
        <v>20.5794059722594</v>
      </c>
      <c r="L122" s="34">
        <v>21.4191734849812</v>
      </c>
      <c r="M122" s="34">
        <v>22.2391559895565</v>
      </c>
      <c r="N122" s="34">
        <v>23.0131844440279</v>
      </c>
      <c r="O122" s="34">
        <v>23.7534079884336</v>
      </c>
      <c r="P122" s="34">
        <v>24.4238338107454</v>
      </c>
      <c r="Q122" s="34">
        <v>25.003780730423</v>
      </c>
      <c r="R122" s="34">
        <v>25.5060295936586</v>
      </c>
      <c r="S122" s="34">
        <v>25.9527145020956</v>
      </c>
      <c r="T122" s="34">
        <v>26.3609321176005</v>
      </c>
      <c r="U122" s="34">
        <v>26.7371142085788</v>
      </c>
      <c r="V122" s="34">
        <v>27.0630860337502</v>
      </c>
      <c r="W122" s="34">
        <v>3</v>
      </c>
      <c r="AG122" s="232" t="s">
        <v>437</v>
      </c>
      <c r="AI122">
        <v>1</v>
      </c>
      <c r="AJ122">
        <v>1.01557457237373</v>
      </c>
      <c r="AK122">
        <v>1.1213267076235</v>
      </c>
      <c r="AL122">
        <v>1.22487803718389</v>
      </c>
      <c r="AM122">
        <v>1.32470492634685</v>
      </c>
      <c r="AN122">
        <v>1.42191318091703</v>
      </c>
      <c r="AO122">
        <v>1.51143122248092</v>
      </c>
      <c r="AP122">
        <v>1.59657286647917</v>
      </c>
      <c r="AQ122">
        <v>1.68239348244542</v>
      </c>
      <c r="AR122">
        <v>1.76604390949538</v>
      </c>
      <c r="AS122">
        <v>1.84866957514004</v>
      </c>
      <c r="AT122">
        <v>1.92596972325319</v>
      </c>
      <c r="AU122">
        <v>1.99499974065792</v>
      </c>
      <c r="AV122">
        <v>2.05665111574725</v>
      </c>
      <c r="AW122">
        <v>2.1131498680237</v>
      </c>
      <c r="AX122">
        <v>2.16633120288619</v>
      </c>
      <c r="AY122">
        <v>2.21680385382328</v>
      </c>
      <c r="AZ122">
        <v>2.26184833098965</v>
      </c>
      <c r="BA122">
        <v>0</v>
      </c>
      <c r="BB122">
        <v>0</v>
      </c>
      <c r="BC122">
        <v>0</v>
      </c>
      <c r="BD122">
        <v>0</v>
      </c>
      <c r="BE122">
        <v>0</v>
      </c>
      <c r="BF122">
        <v>0</v>
      </c>
      <c r="BG122">
        <v>0</v>
      </c>
      <c r="BH122">
        <v>0</v>
      </c>
      <c r="BJ122" t="s">
        <v>452</v>
      </c>
      <c r="BL122">
        <v>0.8</v>
      </c>
      <c r="BM122">
        <v>0.797560975609756</v>
      </c>
      <c r="BN122">
        <v>0.785365853658536</v>
      </c>
      <c r="BO122">
        <v>0.773170731707317</v>
      </c>
      <c r="BP122">
        <v>0.760975609756097</v>
      </c>
      <c r="BQ122">
        <v>0.748780487804878</v>
      </c>
      <c r="BR122">
        <v>0.736585365853658</v>
      </c>
      <c r="BS122">
        <v>0.724390243902439</v>
      </c>
      <c r="BT122">
        <v>0.71219512195122</v>
      </c>
      <c r="BU122">
        <v>0.699999999999999</v>
      </c>
      <c r="BV122">
        <v>0.687499999999999</v>
      </c>
      <c r="BW122">
        <v>0.675</v>
      </c>
      <c r="BX122">
        <v>0.6625</v>
      </c>
      <c r="BY122">
        <v>0.649999999999999</v>
      </c>
      <c r="BZ122">
        <v>0.637499999999999</v>
      </c>
      <c r="CA122">
        <v>0.625</v>
      </c>
      <c r="CB122">
        <v>0.6125</v>
      </c>
      <c r="CC122">
        <v>0.6</v>
      </c>
      <c r="CD122" t="e">
        <v>#VALUE!</v>
      </c>
      <c r="CE122" t="e">
        <v>#VALUE!</v>
      </c>
      <c r="CF122" t="e">
        <v>#VALUE!</v>
      </c>
      <c r="CG122" t="e">
        <v>#VALUE!</v>
      </c>
      <c r="CH122" t="e">
        <v>#VALUE!</v>
      </c>
      <c r="CI122" t="e">
        <v>#VALUE!</v>
      </c>
      <c r="CJ122" t="e">
        <v>#VALUE!</v>
      </c>
      <c r="CK122" t="e">
        <v>#VALUE!</v>
      </c>
    </row>
    <row r="123" spans="1:89">
      <c r="A123" s="34" t="s">
        <v>14</v>
      </c>
      <c r="B123" s="34" t="s">
        <v>436</v>
      </c>
      <c r="C123" s="34" t="s">
        <v>436</v>
      </c>
      <c r="D123" s="34"/>
      <c r="E123" s="34">
        <v>67.7006244221446</v>
      </c>
      <c r="F123" s="34">
        <f xml:space="preserve">E123</f>
        <v>67.7006244221446</v>
      </c>
      <c r="G123" s="34"/>
      <c r="H123" s="34"/>
      <c r="I123" s="34">
        <f xml:space="preserve">F123</f>
        <v>67.7006244221446</v>
      </c>
      <c r="J123" s="34">
        <f xml:space="preserve">I123</f>
        <v>67.7006244221446</v>
      </c>
      <c r="K123" s="34"/>
      <c r="L123" s="34">
        <f xml:space="preserve">J123</f>
        <v>67.7006244221446</v>
      </c>
      <c r="M123" s="34"/>
      <c r="N123" s="34"/>
      <c r="O123" s="34"/>
      <c r="P123" s="34"/>
      <c r="Q123" s="34"/>
      <c r="R123" s="34"/>
      <c r="S123" s="34"/>
      <c r="T123" s="34"/>
      <c r="U123" s="34"/>
      <c r="V123" s="34">
        <f xml:space="preserve">L123</f>
        <v>67.7006244221446</v>
      </c>
      <c r="W123" s="34">
        <v>3</v>
      </c>
      <c r="AG123" s="232" t="s">
        <v>437</v>
      </c>
      <c r="AI123">
        <v>1</v>
      </c>
      <c r="AJ123">
        <v>0.998176461090183</v>
      </c>
      <c r="AK123">
        <v>1.11944327994063</v>
      </c>
      <c r="AL123">
        <v>1.20942774060418</v>
      </c>
      <c r="AM123">
        <v>1.29112776475015</v>
      </c>
      <c r="AN123">
        <v>1.37440542410241</v>
      </c>
      <c r="AO123">
        <v>1.45940515005311</v>
      </c>
      <c r="AP123">
        <v>1.5476119935828</v>
      </c>
      <c r="AQ123">
        <v>1.64020732941171</v>
      </c>
      <c r="AR123">
        <v>1.73809848295191</v>
      </c>
      <c r="AS123">
        <v>1.83991891103174</v>
      </c>
      <c r="AT123">
        <v>1.94201338841971</v>
      </c>
      <c r="AU123">
        <v>2.04517813945703</v>
      </c>
      <c r="AV123">
        <v>2.15073897025602</v>
      </c>
      <c r="AW123">
        <v>2.25902177729124</v>
      </c>
      <c r="AX123">
        <v>2.36949327542252</v>
      </c>
      <c r="AY123">
        <v>2.4799647735538</v>
      </c>
      <c r="AZ123">
        <v>2.58602926254072</v>
      </c>
      <c r="BA123">
        <v>0</v>
      </c>
      <c r="BB123">
        <v>0</v>
      </c>
      <c r="BC123">
        <v>0</v>
      </c>
      <c r="BD123">
        <v>0</v>
      </c>
      <c r="BE123">
        <v>0</v>
      </c>
      <c r="BF123">
        <v>0</v>
      </c>
      <c r="BG123">
        <v>0</v>
      </c>
      <c r="BH123">
        <v>0</v>
      </c>
      <c r="BJ123" t="s">
        <v>452</v>
      </c>
      <c r="BL123">
        <v>0.8</v>
      </c>
      <c r="BM123">
        <v>0.797560975609756</v>
      </c>
      <c r="BN123">
        <v>0.785365853658536</v>
      </c>
      <c r="BO123">
        <v>0.773170731707317</v>
      </c>
      <c r="BP123">
        <v>0.760975609756097</v>
      </c>
      <c r="BQ123">
        <v>0.748780487804878</v>
      </c>
      <c r="BR123">
        <v>0.736585365853658</v>
      </c>
      <c r="BS123">
        <v>0.724390243902439</v>
      </c>
      <c r="BT123">
        <v>0.71219512195122</v>
      </c>
      <c r="BU123">
        <v>0.699999999999999</v>
      </c>
      <c r="BV123">
        <v>0.687499999999999</v>
      </c>
      <c r="BW123">
        <v>0.675</v>
      </c>
      <c r="BX123">
        <v>0.6625</v>
      </c>
      <c r="BY123">
        <v>0.649999999999999</v>
      </c>
      <c r="BZ123">
        <v>0.637499999999999</v>
      </c>
      <c r="CA123">
        <v>0.625</v>
      </c>
      <c r="CB123">
        <v>0.6125</v>
      </c>
      <c r="CC123">
        <v>0.6</v>
      </c>
      <c r="CD123" t="e">
        <v>#VALUE!</v>
      </c>
      <c r="CE123" t="e">
        <v>#VALUE!</v>
      </c>
      <c r="CF123" t="e">
        <v>#VALUE!</v>
      </c>
      <c r="CG123" t="e">
        <v>#VALUE!</v>
      </c>
      <c r="CH123" t="e">
        <v>#VALUE!</v>
      </c>
      <c r="CI123" t="e">
        <v>#VALUE!</v>
      </c>
      <c r="CJ123" t="e">
        <v>#VALUE!</v>
      </c>
      <c r="CK123" t="e">
        <v>#VALUE!</v>
      </c>
    </row>
    <row r="124" spans="1:89">
      <c r="A124" s="34" t="s">
        <v>14</v>
      </c>
      <c r="B124" s="34" t="s">
        <v>439</v>
      </c>
      <c r="C124" s="34" t="s">
        <v>439</v>
      </c>
      <c r="D124" s="34"/>
      <c r="E124" s="34">
        <v>259.667818336121</v>
      </c>
      <c r="F124" s="34">
        <f xml:space="preserve">E124</f>
        <v>259.667818336121</v>
      </c>
      <c r="G124" s="34"/>
      <c r="H124" s="34"/>
      <c r="I124" s="34">
        <f xml:space="preserve">F124</f>
        <v>259.667818336121</v>
      </c>
      <c r="J124" s="34">
        <f xml:space="preserve">I124</f>
        <v>259.667818336121</v>
      </c>
      <c r="K124" s="34"/>
      <c r="L124" s="34">
        <f xml:space="preserve">J124</f>
        <v>259.667818336121</v>
      </c>
      <c r="M124" s="34"/>
      <c r="N124" s="34"/>
      <c r="O124" s="34"/>
      <c r="P124" s="34"/>
      <c r="Q124" s="34"/>
      <c r="R124" s="34"/>
      <c r="S124" s="34"/>
      <c r="T124" s="34"/>
      <c r="U124" s="34"/>
      <c r="V124" s="34">
        <f xml:space="preserve">L124</f>
        <v>259.667818336121</v>
      </c>
      <c r="W124" s="34">
        <v>3</v>
      </c>
      <c r="AG124" s="232" t="s">
        <v>437</v>
      </c>
      <c r="AI124">
        <v>1</v>
      </c>
      <c r="AJ124">
        <v>0.998176461090183</v>
      </c>
      <c r="AK124">
        <v>1.11944327994063</v>
      </c>
      <c r="AL124">
        <v>1.20942774060418</v>
      </c>
      <c r="AM124">
        <v>1.29112776475015</v>
      </c>
      <c r="AN124">
        <v>1.37440542410241</v>
      </c>
      <c r="AO124">
        <v>1.45940515005311</v>
      </c>
      <c r="AP124">
        <v>1.5476119935828</v>
      </c>
      <c r="AQ124">
        <v>1.64020732941171</v>
      </c>
      <c r="AR124">
        <v>1.73809848295191</v>
      </c>
      <c r="AS124">
        <v>1.83991891103174</v>
      </c>
      <c r="AT124">
        <v>1.94201338841971</v>
      </c>
      <c r="AU124">
        <v>2.04517813945703</v>
      </c>
      <c r="AV124">
        <v>2.15073897025602</v>
      </c>
      <c r="AW124">
        <v>2.25902177729124</v>
      </c>
      <c r="AX124">
        <v>2.36949327542252</v>
      </c>
      <c r="AY124">
        <v>2.4799647735538</v>
      </c>
      <c r="AZ124">
        <v>2.58602926254072</v>
      </c>
      <c r="BA124">
        <v>0</v>
      </c>
      <c r="BB124">
        <v>0</v>
      </c>
      <c r="BC124">
        <v>0</v>
      </c>
      <c r="BD124">
        <v>0</v>
      </c>
      <c r="BE124">
        <v>0</v>
      </c>
      <c r="BF124">
        <v>0</v>
      </c>
      <c r="BG124">
        <v>0</v>
      </c>
      <c r="BH124">
        <v>0</v>
      </c>
      <c r="BJ124" t="s">
        <v>452</v>
      </c>
      <c r="BL124">
        <v>0.8</v>
      </c>
      <c r="BM124">
        <v>0.797560975609756</v>
      </c>
      <c r="BN124">
        <v>0.785365853658536</v>
      </c>
      <c r="BO124">
        <v>0.773170731707317</v>
      </c>
      <c r="BP124">
        <v>0.760975609756097</v>
      </c>
      <c r="BQ124">
        <v>0.748780487804878</v>
      </c>
      <c r="BR124">
        <v>0.736585365853658</v>
      </c>
      <c r="BS124">
        <v>0.724390243902439</v>
      </c>
      <c r="BT124">
        <v>0.71219512195122</v>
      </c>
      <c r="BU124">
        <v>0.699999999999999</v>
      </c>
      <c r="BV124">
        <v>0.687499999999999</v>
      </c>
      <c r="BW124">
        <v>0.675</v>
      </c>
      <c r="BX124">
        <v>0.6625</v>
      </c>
      <c r="BY124">
        <v>0.649999999999999</v>
      </c>
      <c r="BZ124">
        <v>0.637499999999999</v>
      </c>
      <c r="CA124">
        <v>0.625</v>
      </c>
      <c r="CB124">
        <v>0.6125</v>
      </c>
      <c r="CC124">
        <v>0.6</v>
      </c>
      <c r="CD124" t="e">
        <v>#VALUE!</v>
      </c>
      <c r="CE124" t="e">
        <v>#VALUE!</v>
      </c>
      <c r="CF124" t="e">
        <v>#VALUE!</v>
      </c>
      <c r="CG124" t="e">
        <v>#VALUE!</v>
      </c>
      <c r="CH124" t="e">
        <v>#VALUE!</v>
      </c>
      <c r="CI124" t="e">
        <v>#VALUE!</v>
      </c>
      <c r="CJ124" t="e">
        <v>#VALUE!</v>
      </c>
      <c r="CK124" t="e">
        <v>#VALUE!</v>
      </c>
    </row>
    <row r="125" spans="1:89">
      <c r="A125" s="34" t="s">
        <v>14</v>
      </c>
      <c r="B125" s="34" t="s">
        <v>440</v>
      </c>
      <c r="C125" s="34" t="s">
        <v>440</v>
      </c>
      <c r="D125" s="34"/>
      <c r="E125" s="34">
        <v>4.72257563891638</v>
      </c>
      <c r="F125" s="34"/>
      <c r="G125" s="34"/>
      <c r="H125" s="34"/>
      <c r="I125" s="34">
        <v>5.77714122000144</v>
      </c>
      <c r="J125" s="34">
        <v>6.05615573207307</v>
      </c>
      <c r="K125" s="34"/>
      <c r="L125" s="34">
        <v>6.60926879552228</v>
      </c>
      <c r="M125" s="34"/>
      <c r="N125" s="34"/>
      <c r="O125" s="34"/>
      <c r="P125" s="34"/>
      <c r="Q125" s="34"/>
      <c r="R125" s="34"/>
      <c r="S125" s="34"/>
      <c r="T125" s="34"/>
      <c r="U125" s="34"/>
      <c r="V125" s="34">
        <v>9.30139354906975</v>
      </c>
      <c r="W125" s="34">
        <v>3</v>
      </c>
      <c r="AG125" s="232" t="s">
        <v>437</v>
      </c>
      <c r="AI125">
        <v>1</v>
      </c>
      <c r="AJ125">
        <v>0.998176461090183</v>
      </c>
      <c r="AK125">
        <v>1.11944327994063</v>
      </c>
      <c r="AL125">
        <v>1.20942774060418</v>
      </c>
      <c r="AM125">
        <v>1.29112776475015</v>
      </c>
      <c r="AN125">
        <v>1.37440542410241</v>
      </c>
      <c r="AO125">
        <v>1.45940515005311</v>
      </c>
      <c r="AP125">
        <v>1.5476119935828</v>
      </c>
      <c r="AQ125">
        <v>1.64020732941171</v>
      </c>
      <c r="AR125">
        <v>1.73809848295191</v>
      </c>
      <c r="AS125">
        <v>1.83991891103174</v>
      </c>
      <c r="AT125">
        <v>1.94201338841971</v>
      </c>
      <c r="AU125">
        <v>2.04517813945703</v>
      </c>
      <c r="AV125">
        <v>2.15073897025602</v>
      </c>
      <c r="AW125">
        <v>2.25902177729124</v>
      </c>
      <c r="AX125">
        <v>2.36949327542252</v>
      </c>
      <c r="AY125">
        <v>2.4799647735538</v>
      </c>
      <c r="AZ125">
        <v>2.58602926254072</v>
      </c>
      <c r="BA125">
        <v>0</v>
      </c>
      <c r="BB125">
        <v>0</v>
      </c>
      <c r="BC125">
        <v>0</v>
      </c>
      <c r="BD125">
        <v>0</v>
      </c>
      <c r="BE125">
        <v>0</v>
      </c>
      <c r="BF125">
        <v>0</v>
      </c>
      <c r="BG125">
        <v>0</v>
      </c>
      <c r="BH125">
        <v>0</v>
      </c>
      <c r="BJ125" t="s">
        <v>452</v>
      </c>
      <c r="BL125">
        <v>0.8</v>
      </c>
      <c r="BM125">
        <v>0.797560975609756</v>
      </c>
      <c r="BN125">
        <v>0.785365853658536</v>
      </c>
      <c r="BO125">
        <v>0.773170731707317</v>
      </c>
      <c r="BP125">
        <v>0.760975609756097</v>
      </c>
      <c r="BQ125">
        <v>0.748780487804878</v>
      </c>
      <c r="BR125">
        <v>0.736585365853658</v>
      </c>
      <c r="BS125">
        <v>0.724390243902439</v>
      </c>
      <c r="BT125">
        <v>0.71219512195122</v>
      </c>
      <c r="BU125">
        <v>0.699999999999999</v>
      </c>
      <c r="BV125">
        <v>0.687499999999999</v>
      </c>
      <c r="BW125">
        <v>0.675</v>
      </c>
      <c r="BX125">
        <v>0.6625</v>
      </c>
      <c r="BY125">
        <v>0.649999999999999</v>
      </c>
      <c r="BZ125">
        <v>0.637499999999999</v>
      </c>
      <c r="CA125">
        <v>0.625</v>
      </c>
      <c r="CB125">
        <v>0.6125</v>
      </c>
      <c r="CC125">
        <v>0.6</v>
      </c>
      <c r="CD125" t="e">
        <v>#VALUE!</v>
      </c>
      <c r="CE125" t="e">
        <v>#VALUE!</v>
      </c>
      <c r="CF125" t="e">
        <v>#VALUE!</v>
      </c>
      <c r="CG125" t="e">
        <v>#VALUE!</v>
      </c>
      <c r="CH125" t="e">
        <v>#VALUE!</v>
      </c>
      <c r="CI125" t="e">
        <v>#VALUE!</v>
      </c>
      <c r="CJ125" t="e">
        <v>#VALUE!</v>
      </c>
      <c r="CK125" t="e">
        <v>#VALUE!</v>
      </c>
    </row>
    <row r="126" spans="1:89">
      <c r="A126" s="34" t="s">
        <v>14</v>
      </c>
      <c r="B126" s="34" t="s">
        <v>441</v>
      </c>
      <c r="C126" s="34" t="s">
        <v>441</v>
      </c>
      <c r="D126" s="34"/>
      <c r="E126" s="34">
        <v>31.0685582966778</v>
      </c>
      <c r="F126" s="34"/>
      <c r="G126" s="34"/>
      <c r="H126" s="34"/>
      <c r="I126" s="34">
        <v>31.8370089157593</v>
      </c>
      <c r="J126" s="34">
        <v>32.1180186747229</v>
      </c>
      <c r="K126" s="34"/>
      <c r="L126" s="34">
        <v>32.5692744879249</v>
      </c>
      <c r="M126" s="34"/>
      <c r="N126" s="34"/>
      <c r="O126" s="34"/>
      <c r="P126" s="34"/>
      <c r="Q126" s="34"/>
      <c r="R126" s="34"/>
      <c r="S126" s="34"/>
      <c r="T126" s="34"/>
      <c r="U126" s="34"/>
      <c r="V126" s="34">
        <v>33.9075290194786</v>
      </c>
      <c r="W126" s="34">
        <v>3</v>
      </c>
      <c r="AG126" s="232" t="s">
        <v>442</v>
      </c>
      <c r="AI126">
        <v>1</v>
      </c>
      <c r="AJ126">
        <v>1.00202736815179</v>
      </c>
      <c r="AK126">
        <v>1.01216420891075</v>
      </c>
      <c r="AL126">
        <v>1.02252167125991</v>
      </c>
      <c r="AM126">
        <v>1.03417984027998</v>
      </c>
      <c r="AN126">
        <v>1.04637059777809</v>
      </c>
      <c r="AO126">
        <v>1.05726032214999</v>
      </c>
      <c r="AP126">
        <v>1.06650726134955</v>
      </c>
      <c r="AQ126">
        <v>1.07398212353871</v>
      </c>
      <c r="AR126">
        <v>1.08106946775996</v>
      </c>
      <c r="AS126">
        <v>1.0881444222259</v>
      </c>
      <c r="AT126">
        <v>1.09547632809153</v>
      </c>
      <c r="AU126">
        <v>1.10335114464037</v>
      </c>
      <c r="AV126">
        <v>1.11132114622281</v>
      </c>
      <c r="AW126">
        <v>1.11851014240138</v>
      </c>
      <c r="AX126">
        <v>1.12475745499428</v>
      </c>
      <c r="AY126">
        <v>1.13000258095548</v>
      </c>
      <c r="AZ126">
        <v>1.13332968884872</v>
      </c>
      <c r="BA126">
        <v>0</v>
      </c>
      <c r="BB126">
        <v>0</v>
      </c>
      <c r="BC126">
        <v>0</v>
      </c>
      <c r="BD126">
        <v>0</v>
      </c>
      <c r="BE126">
        <v>0</v>
      </c>
      <c r="BF126">
        <v>0</v>
      </c>
      <c r="BG126">
        <v>0</v>
      </c>
      <c r="BH126">
        <v>0</v>
      </c>
      <c r="BJ126" t="s">
        <v>452</v>
      </c>
      <c r="BL126">
        <v>0.8</v>
      </c>
      <c r="BM126">
        <v>0.797560975609756</v>
      </c>
      <c r="BN126">
        <v>0.785365853658536</v>
      </c>
      <c r="BO126">
        <v>0.773170731707317</v>
      </c>
      <c r="BP126">
        <v>0.760975609756097</v>
      </c>
      <c r="BQ126">
        <v>0.748780487804878</v>
      </c>
      <c r="BR126">
        <v>0.736585365853658</v>
      </c>
      <c r="BS126">
        <v>0.724390243902439</v>
      </c>
      <c r="BT126">
        <v>0.71219512195122</v>
      </c>
      <c r="BU126">
        <v>0.699999999999999</v>
      </c>
      <c r="BV126">
        <v>0.687499999999999</v>
      </c>
      <c r="BW126">
        <v>0.675</v>
      </c>
      <c r="BX126">
        <v>0.6625</v>
      </c>
      <c r="BY126">
        <v>0.649999999999999</v>
      </c>
      <c r="BZ126">
        <v>0.637499999999999</v>
      </c>
      <c r="CA126">
        <v>0.625</v>
      </c>
      <c r="CB126">
        <v>0.6125</v>
      </c>
      <c r="CC126">
        <v>0.6</v>
      </c>
      <c r="CD126" t="e">
        <v>#VALUE!</v>
      </c>
      <c r="CE126" t="e">
        <v>#VALUE!</v>
      </c>
      <c r="CF126" t="e">
        <v>#VALUE!</v>
      </c>
      <c r="CG126" t="e">
        <v>#VALUE!</v>
      </c>
      <c r="CH126" t="e">
        <v>#VALUE!</v>
      </c>
      <c r="CI126" t="e">
        <v>#VALUE!</v>
      </c>
      <c r="CJ126" t="e">
        <v>#VALUE!</v>
      </c>
      <c r="CK126" t="e">
        <v>#VALUE!</v>
      </c>
    </row>
    <row r="127" spans="1:89">
      <c r="A127" s="34" t="s">
        <v>14</v>
      </c>
      <c r="B127" s="34" t="s">
        <v>443</v>
      </c>
      <c r="C127" s="34" t="s">
        <v>443</v>
      </c>
      <c r="D127" s="34"/>
      <c r="E127" s="34">
        <v>21.0626926925154</v>
      </c>
      <c r="F127" s="34">
        <f xml:space="preserve">E127</f>
        <v>21.0626926925154</v>
      </c>
      <c r="G127" s="34"/>
      <c r="H127" s="34"/>
      <c r="I127" s="34">
        <f xml:space="preserve">F127</f>
        <v>21.0626926925154</v>
      </c>
      <c r="J127" s="34">
        <f xml:space="preserve">I127</f>
        <v>21.0626926925154</v>
      </c>
      <c r="K127" s="34"/>
      <c r="L127" s="34">
        <f xml:space="preserve">J127</f>
        <v>21.0626926925154</v>
      </c>
      <c r="M127" s="34"/>
      <c r="N127" s="34"/>
      <c r="O127" s="34"/>
      <c r="P127" s="34"/>
      <c r="Q127" s="34"/>
      <c r="R127" s="34"/>
      <c r="S127" s="34"/>
      <c r="T127" s="34"/>
      <c r="U127" s="34"/>
      <c r="V127" s="34">
        <f xml:space="preserve">L127</f>
        <v>21.0626926925154</v>
      </c>
      <c r="W127" s="34">
        <v>3</v>
      </c>
      <c r="AG127" s="232" t="s">
        <v>437</v>
      </c>
      <c r="AI127">
        <v>1</v>
      </c>
      <c r="AJ127">
        <v>0.998176461090183</v>
      </c>
      <c r="AK127">
        <v>1.11944327994063</v>
      </c>
      <c r="AL127">
        <v>1.20942774060418</v>
      </c>
      <c r="AM127">
        <v>1.29112776475015</v>
      </c>
      <c r="AN127">
        <v>1.37440542410241</v>
      </c>
      <c r="AO127">
        <v>1.45940515005311</v>
      </c>
      <c r="AP127">
        <v>1.5476119935828</v>
      </c>
      <c r="AQ127">
        <v>1.64020732941171</v>
      </c>
      <c r="AR127">
        <v>1.73809848295191</v>
      </c>
      <c r="AS127">
        <v>1.83991891103174</v>
      </c>
      <c r="AT127">
        <v>1.94201338841971</v>
      </c>
      <c r="AU127">
        <v>2.04517813945703</v>
      </c>
      <c r="AV127">
        <v>2.15073897025602</v>
      </c>
      <c r="AW127">
        <v>2.25902177729124</v>
      </c>
      <c r="AX127">
        <v>2.36949327542252</v>
      </c>
      <c r="AY127">
        <v>2.4799647735538</v>
      </c>
      <c r="AZ127">
        <v>2.58602926254072</v>
      </c>
      <c r="BA127">
        <v>0</v>
      </c>
      <c r="BB127">
        <v>0</v>
      </c>
      <c r="BC127">
        <v>0</v>
      </c>
      <c r="BD127">
        <v>0</v>
      </c>
      <c r="BE127">
        <v>0</v>
      </c>
      <c r="BF127">
        <v>0</v>
      </c>
      <c r="BG127">
        <v>0</v>
      </c>
      <c r="BH127">
        <v>0</v>
      </c>
      <c r="BJ127" t="s">
        <v>452</v>
      </c>
      <c r="BL127">
        <v>0.8</v>
      </c>
      <c r="BM127">
        <v>0.797560975609756</v>
      </c>
      <c r="BN127">
        <v>0.785365853658536</v>
      </c>
      <c r="BO127">
        <v>0.773170731707317</v>
      </c>
      <c r="BP127">
        <v>0.760975609756097</v>
      </c>
      <c r="BQ127">
        <v>0.748780487804878</v>
      </c>
      <c r="BR127">
        <v>0.736585365853658</v>
      </c>
      <c r="BS127">
        <v>0.724390243902439</v>
      </c>
      <c r="BT127">
        <v>0.71219512195122</v>
      </c>
      <c r="BU127">
        <v>0.699999999999999</v>
      </c>
      <c r="BV127">
        <v>0.687499999999999</v>
      </c>
      <c r="BW127">
        <v>0.675</v>
      </c>
      <c r="BX127">
        <v>0.6625</v>
      </c>
      <c r="BY127">
        <v>0.649999999999999</v>
      </c>
      <c r="BZ127">
        <v>0.637499999999999</v>
      </c>
      <c r="CA127">
        <v>0.625</v>
      </c>
      <c r="CB127">
        <v>0.6125</v>
      </c>
      <c r="CC127">
        <v>0.6</v>
      </c>
      <c r="CD127" t="e">
        <v>#VALUE!</v>
      </c>
      <c r="CE127" t="e">
        <v>#VALUE!</v>
      </c>
      <c r="CF127" t="e">
        <v>#VALUE!</v>
      </c>
      <c r="CG127" t="e">
        <v>#VALUE!</v>
      </c>
      <c r="CH127" t="e">
        <v>#VALUE!</v>
      </c>
      <c r="CI127" t="e">
        <v>#VALUE!</v>
      </c>
      <c r="CJ127" t="e">
        <v>#VALUE!</v>
      </c>
      <c r="CK127" t="e">
        <v>#VALUE!</v>
      </c>
    </row>
    <row r="128" spans="1:89">
      <c r="A128" s="34" t="s">
        <v>14</v>
      </c>
      <c r="B128" s="34" t="s">
        <v>444</v>
      </c>
      <c r="C128" s="34" t="s">
        <v>444</v>
      </c>
      <c r="D128" s="34"/>
      <c r="E128" s="34">
        <v>70.9847274318518</v>
      </c>
      <c r="F128" s="34">
        <f xml:space="preserve">E128</f>
        <v>70.9847274318518</v>
      </c>
      <c r="G128" s="34"/>
      <c r="H128" s="34"/>
      <c r="I128" s="34">
        <f xml:space="preserve">F128</f>
        <v>70.9847274318518</v>
      </c>
      <c r="J128" s="34">
        <f xml:space="preserve">I128</f>
        <v>70.9847274318518</v>
      </c>
      <c r="K128" s="34"/>
      <c r="L128" s="34">
        <f xml:space="preserve">J128</f>
        <v>70.9847274318518</v>
      </c>
      <c r="M128" s="34"/>
      <c r="N128" s="34"/>
      <c r="O128" s="34"/>
      <c r="P128" s="34"/>
      <c r="Q128" s="34"/>
      <c r="R128" s="34"/>
      <c r="S128" s="34"/>
      <c r="T128" s="34"/>
      <c r="U128" s="34"/>
      <c r="V128" s="34">
        <f xml:space="preserve">L128</f>
        <v>70.9847274318518</v>
      </c>
      <c r="W128" s="34">
        <v>3</v>
      </c>
      <c r="AG128" s="232" t="s">
        <v>437</v>
      </c>
      <c r="AI128">
        <v>1</v>
      </c>
      <c r="AJ128">
        <v>0.998176461090183</v>
      </c>
      <c r="AK128">
        <v>1.11944327994063</v>
      </c>
      <c r="AL128">
        <v>1.20942774060418</v>
      </c>
      <c r="AM128">
        <v>1.29112776475015</v>
      </c>
      <c r="AN128">
        <v>1.37440542410241</v>
      </c>
      <c r="AO128">
        <v>1.45940515005311</v>
      </c>
      <c r="AP128">
        <v>1.5476119935828</v>
      </c>
      <c r="AQ128">
        <v>1.64020732941171</v>
      </c>
      <c r="AR128">
        <v>1.73809848295191</v>
      </c>
      <c r="AS128">
        <v>1.83991891103174</v>
      </c>
      <c r="AT128">
        <v>1.94201338841971</v>
      </c>
      <c r="AU128">
        <v>2.04517813945703</v>
      </c>
      <c r="AV128">
        <v>2.15073897025602</v>
      </c>
      <c r="AW128">
        <v>2.25902177729124</v>
      </c>
      <c r="AX128">
        <v>2.36949327542252</v>
      </c>
      <c r="AY128">
        <v>2.4799647735538</v>
      </c>
      <c r="AZ128">
        <v>2.58602926254072</v>
      </c>
      <c r="BA128">
        <v>0</v>
      </c>
      <c r="BB128">
        <v>0</v>
      </c>
      <c r="BC128">
        <v>0</v>
      </c>
      <c r="BD128">
        <v>0</v>
      </c>
      <c r="BE128">
        <v>0</v>
      </c>
      <c r="BF128">
        <v>0</v>
      </c>
      <c r="BG128">
        <v>0</v>
      </c>
      <c r="BH128">
        <v>0</v>
      </c>
      <c r="BJ128" t="s">
        <v>452</v>
      </c>
      <c r="BL128">
        <v>0.8</v>
      </c>
      <c r="BM128">
        <v>0.797560975609756</v>
      </c>
      <c r="BN128">
        <v>0.785365853658536</v>
      </c>
      <c r="BO128">
        <v>0.773170731707317</v>
      </c>
      <c r="BP128">
        <v>0.760975609756097</v>
      </c>
      <c r="BQ128">
        <v>0.748780487804878</v>
      </c>
      <c r="BR128">
        <v>0.736585365853658</v>
      </c>
      <c r="BS128">
        <v>0.724390243902439</v>
      </c>
      <c r="BT128">
        <v>0.71219512195122</v>
      </c>
      <c r="BU128">
        <v>0.699999999999999</v>
      </c>
      <c r="BV128">
        <v>0.687499999999999</v>
      </c>
      <c r="BW128">
        <v>0.675</v>
      </c>
      <c r="BX128">
        <v>0.6625</v>
      </c>
      <c r="BY128">
        <v>0.649999999999999</v>
      </c>
      <c r="BZ128">
        <v>0.637499999999999</v>
      </c>
      <c r="CA128">
        <v>0.625</v>
      </c>
      <c r="CB128">
        <v>0.6125</v>
      </c>
      <c r="CC128">
        <v>0.6</v>
      </c>
      <c r="CD128" t="e">
        <v>#VALUE!</v>
      </c>
      <c r="CE128" t="e">
        <v>#VALUE!</v>
      </c>
      <c r="CF128" t="e">
        <v>#VALUE!</v>
      </c>
      <c r="CG128" t="e">
        <v>#VALUE!</v>
      </c>
      <c r="CH128" t="e">
        <v>#VALUE!</v>
      </c>
      <c r="CI128" t="e">
        <v>#VALUE!</v>
      </c>
      <c r="CJ128" t="e">
        <v>#VALUE!</v>
      </c>
      <c r="CK128" t="e">
        <v>#VALUE!</v>
      </c>
    </row>
    <row r="129" spans="1:89">
      <c r="A129" s="34" t="s">
        <v>14</v>
      </c>
      <c r="B129" s="34" t="s">
        <v>445</v>
      </c>
      <c r="C129" s="34" t="s">
        <v>445</v>
      </c>
      <c r="D129" s="34">
        <v>1.582</v>
      </c>
      <c r="E129" s="34">
        <v>1.58455801445872</v>
      </c>
      <c r="F129" s="34"/>
      <c r="G129" s="34">
        <v>1.59714736133883</v>
      </c>
      <c r="H129" s="34">
        <v>1.6097837443472</v>
      </c>
      <c r="I129" s="34">
        <v>1.62375051819687</v>
      </c>
      <c r="J129" s="34">
        <v>1.63808257253473</v>
      </c>
      <c r="K129" s="34">
        <v>1.65063969806722</v>
      </c>
      <c r="L129" s="34">
        <v>1.66109751286611</v>
      </c>
      <c r="M129" s="34">
        <v>1.66938902033277</v>
      </c>
      <c r="N129" s="34">
        <v>1.67710057721707</v>
      </c>
      <c r="O129" s="34">
        <v>1.68464631758674</v>
      </c>
      <c r="P129" s="34">
        <v>1.69230832997817</v>
      </c>
      <c r="Q129" s="34">
        <v>1.70036773205</v>
      </c>
      <c r="R129" s="34">
        <v>1.70835137064742</v>
      </c>
      <c r="S129" s="34">
        <v>1.71539645283818</v>
      </c>
      <c r="T129" s="34">
        <v>1.72138467405282</v>
      </c>
      <c r="U129" s="34">
        <v>1.72630145734182</v>
      </c>
      <c r="V129" s="34">
        <v>1.72935114482128</v>
      </c>
      <c r="W129" s="34">
        <v>3</v>
      </c>
      <c r="AG129" s="232" t="s">
        <v>442</v>
      </c>
      <c r="AI129">
        <v>1</v>
      </c>
      <c r="AJ129">
        <v>1.00202736815179</v>
      </c>
      <c r="AK129">
        <v>1.01216420891075</v>
      </c>
      <c r="AL129">
        <v>1.02252167125991</v>
      </c>
      <c r="AM129">
        <v>1.03417984027998</v>
      </c>
      <c r="AN129">
        <v>1.04637059777809</v>
      </c>
      <c r="AO129">
        <v>1.05726032214999</v>
      </c>
      <c r="AP129">
        <v>1.06650726134955</v>
      </c>
      <c r="AQ129">
        <v>1.07398212353871</v>
      </c>
      <c r="AR129">
        <v>1.08106946775996</v>
      </c>
      <c r="AS129">
        <v>1.0881444222259</v>
      </c>
      <c r="AT129">
        <v>1.09547632809153</v>
      </c>
      <c r="AU129">
        <v>1.10335114464037</v>
      </c>
      <c r="AV129">
        <v>1.11132114622281</v>
      </c>
      <c r="AW129">
        <v>1.11851014240138</v>
      </c>
      <c r="AX129">
        <v>1.12475745499428</v>
      </c>
      <c r="AY129">
        <v>1.13000258095548</v>
      </c>
      <c r="AZ129">
        <v>1.13332968884872</v>
      </c>
      <c r="BA129">
        <v>0</v>
      </c>
      <c r="BB129">
        <v>0</v>
      </c>
      <c r="BC129">
        <v>0</v>
      </c>
      <c r="BD129">
        <v>0</v>
      </c>
      <c r="BE129">
        <v>0</v>
      </c>
      <c r="BF129">
        <v>0</v>
      </c>
      <c r="BG129">
        <v>0</v>
      </c>
      <c r="BH129">
        <v>0</v>
      </c>
      <c r="BJ129" t="s">
        <v>452</v>
      </c>
      <c r="BL129">
        <v>0.8</v>
      </c>
      <c r="BM129">
        <v>0.797560975609756</v>
      </c>
      <c r="BN129">
        <v>0.785365853658536</v>
      </c>
      <c r="BO129">
        <v>0.773170731707317</v>
      </c>
      <c r="BP129">
        <v>0.760975609756097</v>
      </c>
      <c r="BQ129">
        <v>0.748780487804878</v>
      </c>
      <c r="BR129">
        <v>0.736585365853658</v>
      </c>
      <c r="BS129">
        <v>0.724390243902439</v>
      </c>
      <c r="BT129">
        <v>0.71219512195122</v>
      </c>
      <c r="BU129">
        <v>0.699999999999999</v>
      </c>
      <c r="BV129">
        <v>0.687499999999999</v>
      </c>
      <c r="BW129">
        <v>0.675</v>
      </c>
      <c r="BX129">
        <v>0.6625</v>
      </c>
      <c r="BY129">
        <v>0.649999999999999</v>
      </c>
      <c r="BZ129">
        <v>0.637499999999999</v>
      </c>
      <c r="CA129">
        <v>0.625</v>
      </c>
      <c r="CB129">
        <v>0.6125</v>
      </c>
      <c r="CC129">
        <v>0.6</v>
      </c>
      <c r="CD129" t="e">
        <v>#VALUE!</v>
      </c>
      <c r="CE129" t="e">
        <v>#VALUE!</v>
      </c>
      <c r="CF129" t="e">
        <v>#VALUE!</v>
      </c>
      <c r="CG129" t="e">
        <v>#VALUE!</v>
      </c>
      <c r="CH129" t="e">
        <v>#VALUE!</v>
      </c>
      <c r="CI129" t="e">
        <v>#VALUE!</v>
      </c>
      <c r="CJ129" t="e">
        <v>#VALUE!</v>
      </c>
      <c r="CK129" t="e">
        <v>#VALUE!</v>
      </c>
    </row>
    <row r="130" spans="1:89">
      <c r="A130" s="34" t="s">
        <v>14</v>
      </c>
      <c r="B130" s="34" t="s">
        <v>446</v>
      </c>
      <c r="C130" s="34" t="s">
        <v>446</v>
      </c>
      <c r="D130" s="34">
        <v>0.93</v>
      </c>
      <c r="E130" s="34">
        <v>0.931503763240587</v>
      </c>
      <c r="F130" s="34"/>
      <c r="G130" s="34">
        <v>0.938904580306644</v>
      </c>
      <c r="H130" s="34">
        <v>0.946333048193994</v>
      </c>
      <c r="I130" s="34">
        <v>0.954543604249739</v>
      </c>
      <c r="J130" s="34">
        <v>0.962968895358594</v>
      </c>
      <c r="K130" s="34">
        <v>0.970350770671626</v>
      </c>
      <c r="L130" s="34">
        <v>0.976498537904856</v>
      </c>
      <c r="M130" s="34">
        <v>0.981372812205736</v>
      </c>
      <c r="N130" s="34">
        <v>0.985906154748341</v>
      </c>
      <c r="O130" s="34">
        <v>0.990342019820272</v>
      </c>
      <c r="P130" s="34">
        <v>0.994846236965678</v>
      </c>
      <c r="Q130" s="34">
        <v>0.999584064985146</v>
      </c>
      <c r="R130" s="34">
        <v>1.00427735442611</v>
      </c>
      <c r="S130" s="34">
        <v>1.00841890084672</v>
      </c>
      <c r="T130" s="34">
        <v>1.01193915731297</v>
      </c>
      <c r="U130" s="34">
        <v>1.01482955456883</v>
      </c>
      <c r="V130" s="34">
        <v>1.01662235441453</v>
      </c>
      <c r="W130" s="34">
        <v>3</v>
      </c>
      <c r="AG130" s="232" t="s">
        <v>442</v>
      </c>
      <c r="AI130">
        <v>1</v>
      </c>
      <c r="AJ130">
        <v>1.00202736815179</v>
      </c>
      <c r="AK130">
        <v>1.01216420891075</v>
      </c>
      <c r="AL130">
        <v>1.02252167125991</v>
      </c>
      <c r="AM130">
        <v>1.03417984027998</v>
      </c>
      <c r="AN130">
        <v>1.04637059777809</v>
      </c>
      <c r="AO130">
        <v>1.05726032214999</v>
      </c>
      <c r="AP130">
        <v>1.06650726134955</v>
      </c>
      <c r="AQ130">
        <v>1.07398212353871</v>
      </c>
      <c r="AR130">
        <v>1.08106946775996</v>
      </c>
      <c r="AS130">
        <v>1.0881444222259</v>
      </c>
      <c r="AT130">
        <v>1.09547632809153</v>
      </c>
      <c r="AU130">
        <v>1.10335114464037</v>
      </c>
      <c r="AV130">
        <v>1.11132114622281</v>
      </c>
      <c r="AW130">
        <v>1.11851014240138</v>
      </c>
      <c r="AX130">
        <v>1.12475745499428</v>
      </c>
      <c r="AY130">
        <v>1.13000258095548</v>
      </c>
      <c r="AZ130">
        <v>1.13332968884872</v>
      </c>
      <c r="BA130">
        <v>0</v>
      </c>
      <c r="BB130">
        <v>0</v>
      </c>
      <c r="BC130">
        <v>0</v>
      </c>
      <c r="BD130">
        <v>0</v>
      </c>
      <c r="BE130">
        <v>0</v>
      </c>
      <c r="BF130">
        <v>0</v>
      </c>
      <c r="BG130">
        <v>0</v>
      </c>
      <c r="BH130">
        <v>0</v>
      </c>
      <c r="BJ130" t="s">
        <v>452</v>
      </c>
      <c r="BL130">
        <v>0.8</v>
      </c>
      <c r="BM130">
        <v>0.797560975609756</v>
      </c>
      <c r="BN130">
        <v>0.785365853658536</v>
      </c>
      <c r="BO130">
        <v>0.773170731707317</v>
      </c>
      <c r="BP130">
        <v>0.760975609756097</v>
      </c>
      <c r="BQ130">
        <v>0.748780487804878</v>
      </c>
      <c r="BR130">
        <v>0.736585365853658</v>
      </c>
      <c r="BS130">
        <v>0.724390243902439</v>
      </c>
      <c r="BT130">
        <v>0.71219512195122</v>
      </c>
      <c r="BU130">
        <v>0.699999999999999</v>
      </c>
      <c r="BV130">
        <v>0.687499999999999</v>
      </c>
      <c r="BW130">
        <v>0.675</v>
      </c>
      <c r="BX130">
        <v>0.6625</v>
      </c>
      <c r="BY130">
        <v>0.649999999999999</v>
      </c>
      <c r="BZ130">
        <v>0.637499999999999</v>
      </c>
      <c r="CA130">
        <v>0.625</v>
      </c>
      <c r="CB130">
        <v>0.6125</v>
      </c>
      <c r="CC130">
        <v>0.6</v>
      </c>
      <c r="CD130" t="e">
        <v>#VALUE!</v>
      </c>
      <c r="CE130" t="e">
        <v>#VALUE!</v>
      </c>
      <c r="CF130" t="e">
        <v>#VALUE!</v>
      </c>
      <c r="CG130" t="e">
        <v>#VALUE!</v>
      </c>
      <c r="CH130" t="e">
        <v>#VALUE!</v>
      </c>
      <c r="CI130" t="e">
        <v>#VALUE!</v>
      </c>
      <c r="CJ130" t="e">
        <v>#VALUE!</v>
      </c>
      <c r="CK130" t="e">
        <v>#VALUE!</v>
      </c>
    </row>
    <row r="131" spans="1:89">
      <c r="A131" s="34" t="s">
        <v>14</v>
      </c>
      <c r="B131" s="34" t="s">
        <v>447</v>
      </c>
      <c r="C131" s="34" t="s">
        <v>447</v>
      </c>
      <c r="D131" s="34">
        <v>4.2</v>
      </c>
      <c r="E131" s="34">
        <v>4.20679118882846</v>
      </c>
      <c r="F131" s="34"/>
      <c r="G131" s="34">
        <v>4.24021423364291</v>
      </c>
      <c r="H131" s="34">
        <v>4.27376215313417</v>
      </c>
      <c r="I131" s="34">
        <v>4.3108420837085</v>
      </c>
      <c r="J131" s="34">
        <v>4.34889178549042</v>
      </c>
      <c r="K131" s="34">
        <v>4.38222928690412</v>
      </c>
      <c r="L131" s="34">
        <v>4.40999339698967</v>
      </c>
      <c r="M131" s="34">
        <v>4.43200624867107</v>
      </c>
      <c r="N131" s="34">
        <v>4.4524794085409</v>
      </c>
      <c r="O131" s="34">
        <v>4.47251234757542</v>
      </c>
      <c r="P131" s="34">
        <v>4.49285397339339</v>
      </c>
      <c r="Q131" s="34">
        <v>4.51425061606195</v>
      </c>
      <c r="R131" s="34">
        <v>4.53544611676307</v>
      </c>
      <c r="S131" s="34">
        <v>4.55414987479162</v>
      </c>
      <c r="T131" s="34">
        <v>4.57004780721988</v>
      </c>
      <c r="U131" s="34">
        <v>4.58310121418181</v>
      </c>
      <c r="V131" s="34">
        <v>4.59119772961402</v>
      </c>
      <c r="W131" s="34">
        <v>3</v>
      </c>
      <c r="AG131" s="232" t="s">
        <v>442</v>
      </c>
      <c r="AI131">
        <v>1</v>
      </c>
      <c r="AJ131">
        <v>1.00202736815179</v>
      </c>
      <c r="AK131">
        <v>1.01216420891075</v>
      </c>
      <c r="AL131">
        <v>1.02252167125991</v>
      </c>
      <c r="AM131">
        <v>1.03417984027998</v>
      </c>
      <c r="AN131">
        <v>1.04637059777809</v>
      </c>
      <c r="AO131">
        <v>1.05726032214999</v>
      </c>
      <c r="AP131">
        <v>1.06650726134955</v>
      </c>
      <c r="AQ131">
        <v>1.07398212353871</v>
      </c>
      <c r="AR131">
        <v>1.08106946775996</v>
      </c>
      <c r="AS131">
        <v>1.0881444222259</v>
      </c>
      <c r="AT131">
        <v>1.09547632809153</v>
      </c>
      <c r="AU131">
        <v>1.10335114464037</v>
      </c>
      <c r="AV131">
        <v>1.11132114622281</v>
      </c>
      <c r="AW131">
        <v>1.11851014240138</v>
      </c>
      <c r="AX131">
        <v>1.12475745499428</v>
      </c>
      <c r="AY131">
        <v>1.13000258095548</v>
      </c>
      <c r="AZ131">
        <v>1.13332968884872</v>
      </c>
      <c r="BA131">
        <v>0</v>
      </c>
      <c r="BB131">
        <v>0</v>
      </c>
      <c r="BC131">
        <v>0</v>
      </c>
      <c r="BD131">
        <v>0</v>
      </c>
      <c r="BE131">
        <v>0</v>
      </c>
      <c r="BF131">
        <v>0</v>
      </c>
      <c r="BG131">
        <v>0</v>
      </c>
      <c r="BH131">
        <v>0</v>
      </c>
      <c r="BJ131" t="s">
        <v>452</v>
      </c>
      <c r="BL131">
        <v>0.8</v>
      </c>
      <c r="BM131">
        <v>0.797560975609756</v>
      </c>
      <c r="BN131">
        <v>0.785365853658536</v>
      </c>
      <c r="BO131">
        <v>0.773170731707317</v>
      </c>
      <c r="BP131">
        <v>0.760975609756097</v>
      </c>
      <c r="BQ131">
        <v>0.748780487804878</v>
      </c>
      <c r="BR131">
        <v>0.736585365853658</v>
      </c>
      <c r="BS131">
        <v>0.724390243902439</v>
      </c>
      <c r="BT131">
        <v>0.71219512195122</v>
      </c>
      <c r="BU131">
        <v>0.699999999999999</v>
      </c>
      <c r="BV131">
        <v>0.687499999999999</v>
      </c>
      <c r="BW131">
        <v>0.675</v>
      </c>
      <c r="BX131">
        <v>0.6625</v>
      </c>
      <c r="BY131">
        <v>0.649999999999999</v>
      </c>
      <c r="BZ131">
        <v>0.637499999999999</v>
      </c>
      <c r="CA131">
        <v>0.625</v>
      </c>
      <c r="CB131">
        <v>0.6125</v>
      </c>
      <c r="CC131">
        <v>0.6</v>
      </c>
      <c r="CD131" t="e">
        <v>#VALUE!</v>
      </c>
      <c r="CE131" t="e">
        <v>#VALUE!</v>
      </c>
      <c r="CF131" t="e">
        <v>#VALUE!</v>
      </c>
      <c r="CG131" t="e">
        <v>#VALUE!</v>
      </c>
      <c r="CH131" t="e">
        <v>#VALUE!</v>
      </c>
      <c r="CI131" t="e">
        <v>#VALUE!</v>
      </c>
      <c r="CJ131" t="e">
        <v>#VALUE!</v>
      </c>
      <c r="CK131" t="e">
        <v>#VALUE!</v>
      </c>
    </row>
    <row r="132" spans="1:89">
      <c r="A132" s="34" t="s">
        <v>14</v>
      </c>
      <c r="B132" s="34" t="s">
        <v>448</v>
      </c>
      <c r="C132" s="34" t="s">
        <v>448</v>
      </c>
      <c r="D132" s="34">
        <v>298.44</v>
      </c>
      <c r="E132" s="34">
        <v>297.525245865269</v>
      </c>
      <c r="F132" s="34"/>
      <c r="G132" s="34">
        <v>323.288491045269</v>
      </c>
      <c r="H132" s="34">
        <v>340.645434814256</v>
      </c>
      <c r="I132" s="34">
        <v>355.037035714167</v>
      </c>
      <c r="J132" s="34">
        <v>368.887008582106</v>
      </c>
      <c r="K132" s="34">
        <v>382.719506746578</v>
      </c>
      <c r="L132" s="34">
        <v>396.926841447533</v>
      </c>
      <c r="M132" s="34">
        <v>411.755236442612</v>
      </c>
      <c r="N132" s="34">
        <v>426.954989711792</v>
      </c>
      <c r="O132" s="34">
        <v>442.130208920396</v>
      </c>
      <c r="P132" s="34">
        <v>456.58185557105</v>
      </c>
      <c r="Q132" s="34">
        <v>470.377083478719</v>
      </c>
      <c r="R132" s="34">
        <v>483.852091280731</v>
      </c>
      <c r="S132" s="34">
        <v>497.299495990273</v>
      </c>
      <c r="T132" s="34">
        <v>510.688158251854</v>
      </c>
      <c r="U132" s="34">
        <v>523.751889350563</v>
      </c>
      <c r="V132" s="34">
        <v>536.229952887879</v>
      </c>
      <c r="W132" s="34">
        <v>3</v>
      </c>
      <c r="AG132" s="232" t="s">
        <v>449</v>
      </c>
      <c r="AI132">
        <v>1</v>
      </c>
      <c r="AJ132">
        <v>0.996156884348667</v>
      </c>
      <c r="AK132">
        <v>1.10598978909294</v>
      </c>
      <c r="AL132">
        <v>1.18278934774456</v>
      </c>
      <c r="AM132">
        <v>1.24845574673029</v>
      </c>
      <c r="AN132">
        <v>1.31349774833209</v>
      </c>
      <c r="AO132">
        <v>1.38036500517236</v>
      </c>
      <c r="AP132">
        <v>1.4511031004369</v>
      </c>
      <c r="AQ132">
        <v>1.52722032654261</v>
      </c>
      <c r="AR132">
        <v>1.60775836778866</v>
      </c>
      <c r="AS132">
        <v>1.69087749148962</v>
      </c>
      <c r="AT132">
        <v>1.77275705427882</v>
      </c>
      <c r="AU132">
        <v>1.85360585285262</v>
      </c>
      <c r="AV132">
        <v>1.93529924051749</v>
      </c>
      <c r="AW132">
        <v>2.01967035581925</v>
      </c>
      <c r="AX132">
        <v>2.10667043361324</v>
      </c>
      <c r="AY132">
        <v>2.19465407898171</v>
      </c>
      <c r="AZ132">
        <v>2.28179786339816</v>
      </c>
      <c r="BA132">
        <v>0</v>
      </c>
      <c r="BB132">
        <v>0</v>
      </c>
      <c r="BC132">
        <v>0</v>
      </c>
      <c r="BD132">
        <v>0</v>
      </c>
      <c r="BE132">
        <v>0</v>
      </c>
      <c r="BF132">
        <v>0</v>
      </c>
      <c r="BG132">
        <v>0</v>
      </c>
      <c r="BH132">
        <v>0</v>
      </c>
      <c r="BJ132" t="s">
        <v>452</v>
      </c>
      <c r="BL132">
        <v>0.8</v>
      </c>
      <c r="BM132">
        <v>0.797560975609756</v>
      </c>
      <c r="BN132">
        <v>0.785365853658536</v>
      </c>
      <c r="BO132">
        <v>0.773170731707317</v>
      </c>
      <c r="BP132">
        <v>0.760975609756097</v>
      </c>
      <c r="BQ132">
        <v>0.748780487804878</v>
      </c>
      <c r="BR132">
        <v>0.736585365853658</v>
      </c>
      <c r="BS132">
        <v>0.724390243902439</v>
      </c>
      <c r="BT132">
        <v>0.71219512195122</v>
      </c>
      <c r="BU132">
        <v>0.699999999999999</v>
      </c>
      <c r="BV132">
        <v>0.687499999999999</v>
      </c>
      <c r="BW132">
        <v>0.675</v>
      </c>
      <c r="BX132">
        <v>0.6625</v>
      </c>
      <c r="BY132">
        <v>0.649999999999999</v>
      </c>
      <c r="BZ132">
        <v>0.637499999999999</v>
      </c>
      <c r="CA132">
        <v>0.625</v>
      </c>
      <c r="CB132">
        <v>0.6125</v>
      </c>
      <c r="CC132">
        <v>0.6</v>
      </c>
      <c r="CD132" t="e">
        <v>#VALUE!</v>
      </c>
      <c r="CE132" t="e">
        <v>#VALUE!</v>
      </c>
      <c r="CF132" t="e">
        <v>#VALUE!</v>
      </c>
      <c r="CG132" t="e">
        <v>#VALUE!</v>
      </c>
      <c r="CH132" t="e">
        <v>#VALUE!</v>
      </c>
      <c r="CI132" t="e">
        <v>#VALUE!</v>
      </c>
      <c r="CJ132" t="e">
        <v>#VALUE!</v>
      </c>
      <c r="CK132" t="e">
        <v>#VALUE!</v>
      </c>
    </row>
    <row r="133" spans="1:89">
      <c r="A133" s="34" t="s">
        <v>14</v>
      </c>
      <c r="B133" s="34" t="s">
        <v>450</v>
      </c>
      <c r="C133" s="34" t="s">
        <v>450</v>
      </c>
      <c r="D133" s="34">
        <v>124.1</v>
      </c>
      <c r="E133" s="34">
        <v>123.919511011128</v>
      </c>
      <c r="F133" s="34"/>
      <c r="G133" s="34">
        <v>135.743019482317</v>
      </c>
      <c r="H133" s="34">
        <v>144.179442255418</v>
      </c>
      <c r="I133" s="34">
        <v>151.591116746851</v>
      </c>
      <c r="J133" s="34">
        <v>158.912405921345</v>
      </c>
      <c r="K133" s="34">
        <v>166.15148888985</v>
      </c>
      <c r="L133" s="34">
        <v>173.425990371253</v>
      </c>
      <c r="M133" s="34">
        <v>180.815918291755</v>
      </c>
      <c r="N133" s="34">
        <v>188.36996036426</v>
      </c>
      <c r="O133" s="34">
        <v>195.956520191269</v>
      </c>
      <c r="P133" s="34">
        <v>203.296030057614</v>
      </c>
      <c r="Q133" s="34">
        <v>210.450770699466</v>
      </c>
      <c r="R133" s="34">
        <v>217.511271958341</v>
      </c>
      <c r="S133" s="34">
        <v>224.492531087029</v>
      </c>
      <c r="T133" s="34">
        <v>231.353915314753</v>
      </c>
      <c r="U133" s="34">
        <v>237.960510702332</v>
      </c>
      <c r="V133" s="34">
        <v>244.066845817054</v>
      </c>
      <c r="W133" s="34">
        <v>3</v>
      </c>
      <c r="AG133" s="232" t="s">
        <v>437</v>
      </c>
      <c r="AI133">
        <v>1</v>
      </c>
      <c r="AJ133">
        <v>0.998176461090183</v>
      </c>
      <c r="AK133">
        <v>1.11944327994063</v>
      </c>
      <c r="AL133">
        <v>1.20942774060418</v>
      </c>
      <c r="AM133">
        <v>1.29112776475015</v>
      </c>
      <c r="AN133">
        <v>1.37440542410241</v>
      </c>
      <c r="AO133">
        <v>1.45940515005311</v>
      </c>
      <c r="AP133">
        <v>1.5476119935828</v>
      </c>
      <c r="AQ133">
        <v>1.64020732941171</v>
      </c>
      <c r="AR133">
        <v>1.73809848295191</v>
      </c>
      <c r="AS133">
        <v>1.83991891103174</v>
      </c>
      <c r="AT133">
        <v>1.94201338841971</v>
      </c>
      <c r="AU133">
        <v>2.04517813945703</v>
      </c>
      <c r="AV133">
        <v>2.15073897025602</v>
      </c>
      <c r="AW133">
        <v>2.25902177729124</v>
      </c>
      <c r="AX133">
        <v>2.36949327542252</v>
      </c>
      <c r="AY133">
        <v>2.4799647735538</v>
      </c>
      <c r="AZ133">
        <v>2.58602926254072</v>
      </c>
      <c r="BA133">
        <v>0</v>
      </c>
      <c r="BB133">
        <v>0</v>
      </c>
      <c r="BC133">
        <v>0</v>
      </c>
      <c r="BD133">
        <v>0</v>
      </c>
      <c r="BE133">
        <v>0</v>
      </c>
      <c r="BF133">
        <v>0</v>
      </c>
      <c r="BG133">
        <v>0</v>
      </c>
      <c r="BH133">
        <v>0</v>
      </c>
      <c r="BJ133" t="s">
        <v>452</v>
      </c>
      <c r="BL133">
        <v>0.8</v>
      </c>
      <c r="BM133">
        <v>0.797560975609756</v>
      </c>
      <c r="BN133">
        <v>0.785365853658536</v>
      </c>
      <c r="BO133">
        <v>0.773170731707317</v>
      </c>
      <c r="BP133">
        <v>0.760975609756097</v>
      </c>
      <c r="BQ133">
        <v>0.748780487804878</v>
      </c>
      <c r="BR133">
        <v>0.736585365853658</v>
      </c>
      <c r="BS133">
        <v>0.724390243902439</v>
      </c>
      <c r="BT133">
        <v>0.71219512195122</v>
      </c>
      <c r="BU133">
        <v>0.699999999999999</v>
      </c>
      <c r="BV133">
        <v>0.687499999999999</v>
      </c>
      <c r="BW133">
        <v>0.675</v>
      </c>
      <c r="BX133">
        <v>0.6625</v>
      </c>
      <c r="BY133">
        <v>0.649999999999999</v>
      </c>
      <c r="BZ133">
        <v>0.637499999999999</v>
      </c>
      <c r="CA133">
        <v>0.625</v>
      </c>
      <c r="CB133">
        <v>0.6125</v>
      </c>
      <c r="CC133">
        <v>0.6</v>
      </c>
      <c r="CD133" t="e">
        <v>#VALUE!</v>
      </c>
      <c r="CE133" t="e">
        <v>#VALUE!</v>
      </c>
      <c r="CF133" t="e">
        <v>#VALUE!</v>
      </c>
      <c r="CG133" t="e">
        <v>#VALUE!</v>
      </c>
      <c r="CH133" t="e">
        <v>#VALUE!</v>
      </c>
      <c r="CI133" t="e">
        <v>#VALUE!</v>
      </c>
      <c r="CJ133" t="e">
        <v>#VALUE!</v>
      </c>
      <c r="CK133" t="e">
        <v>#VALUE!</v>
      </c>
    </row>
    <row r="134" spans="1:89">
      <c r="A134" s="34" t="s">
        <v>14</v>
      </c>
      <c r="B134" s="34" t="s">
        <v>451</v>
      </c>
      <c r="C134" s="34" t="s">
        <v>451</v>
      </c>
      <c r="D134" s="34">
        <v>67.16</v>
      </c>
      <c r="E134" s="34">
        <v>67.0623236060221</v>
      </c>
      <c r="F134" s="34"/>
      <c r="G134" s="34">
        <v>73.4609281904301</v>
      </c>
      <c r="H134" s="34">
        <v>78.0265216911676</v>
      </c>
      <c r="I134" s="34">
        <v>82.03754553359</v>
      </c>
      <c r="J134" s="34">
        <v>85.9996549691982</v>
      </c>
      <c r="K134" s="34">
        <v>89.9172763403896</v>
      </c>
      <c r="L134" s="34">
        <v>93.854065377384</v>
      </c>
      <c r="M134" s="34">
        <v>97.8533204873026</v>
      </c>
      <c r="N134" s="34">
        <v>101.941390314776</v>
      </c>
      <c r="O134" s="34">
        <v>106.047057985863</v>
      </c>
      <c r="P134" s="34">
        <v>110.019028031179</v>
      </c>
      <c r="Q134" s="34">
        <v>113.891005319711</v>
      </c>
      <c r="R134" s="34">
        <v>117.711982471573</v>
      </c>
      <c r="S134" s="34">
        <v>121.490075647098</v>
      </c>
      <c r="T134" s="34">
        <v>125.203295346807</v>
      </c>
      <c r="U134" s="34">
        <v>128.778629321262</v>
      </c>
      <c r="V134" s="34">
        <v>132.083234206877</v>
      </c>
      <c r="W134" s="34">
        <v>3</v>
      </c>
      <c r="AG134" s="232" t="s">
        <v>437</v>
      </c>
      <c r="AI134">
        <v>1</v>
      </c>
      <c r="AJ134">
        <v>0.998176461090183</v>
      </c>
      <c r="AK134">
        <v>1.11944327994063</v>
      </c>
      <c r="AL134">
        <v>1.20942774060418</v>
      </c>
      <c r="AM134">
        <v>1.29112776475015</v>
      </c>
      <c r="AN134">
        <v>1.37440542410241</v>
      </c>
      <c r="AO134">
        <v>1.45940515005311</v>
      </c>
      <c r="AP134">
        <v>1.5476119935828</v>
      </c>
      <c r="AQ134">
        <v>1.64020732941171</v>
      </c>
      <c r="AR134">
        <v>1.73809848295191</v>
      </c>
      <c r="AS134">
        <v>1.83991891103174</v>
      </c>
      <c r="AT134">
        <v>1.94201338841971</v>
      </c>
      <c r="AU134">
        <v>2.04517813945703</v>
      </c>
      <c r="AV134">
        <v>2.15073897025602</v>
      </c>
      <c r="AW134">
        <v>2.25902177729124</v>
      </c>
      <c r="AX134">
        <v>2.36949327542252</v>
      </c>
      <c r="AY134">
        <v>2.4799647735538</v>
      </c>
      <c r="AZ134">
        <v>2.58602926254072</v>
      </c>
      <c r="BA134">
        <v>0</v>
      </c>
      <c r="BB134">
        <v>0</v>
      </c>
      <c r="BC134">
        <v>0</v>
      </c>
      <c r="BD134">
        <v>0</v>
      </c>
      <c r="BE134">
        <v>0</v>
      </c>
      <c r="BF134">
        <v>0</v>
      </c>
      <c r="BG134">
        <v>0</v>
      </c>
      <c r="BH134">
        <v>0</v>
      </c>
      <c r="BJ134" t="s">
        <v>452</v>
      </c>
      <c r="BL134">
        <v>0.8</v>
      </c>
      <c r="BM134">
        <v>0.797560975609756</v>
      </c>
      <c r="BN134">
        <v>0.785365853658536</v>
      </c>
      <c r="BO134">
        <v>0.773170731707317</v>
      </c>
      <c r="BP134">
        <v>0.760975609756097</v>
      </c>
      <c r="BQ134">
        <v>0.748780487804878</v>
      </c>
      <c r="BR134">
        <v>0.736585365853658</v>
      </c>
      <c r="BS134">
        <v>0.724390243902439</v>
      </c>
      <c r="BT134">
        <v>0.71219512195122</v>
      </c>
      <c r="BU134">
        <v>0.699999999999999</v>
      </c>
      <c r="BV134">
        <v>0.687499999999999</v>
      </c>
      <c r="BW134">
        <v>0.675</v>
      </c>
      <c r="BX134">
        <v>0.6625</v>
      </c>
      <c r="BY134">
        <v>0.649999999999999</v>
      </c>
      <c r="BZ134">
        <v>0.637499999999999</v>
      </c>
      <c r="CA134">
        <v>0.625</v>
      </c>
      <c r="CB134">
        <v>0.6125</v>
      </c>
      <c r="CC134">
        <v>0.6</v>
      </c>
      <c r="CD134" t="e">
        <v>#VALUE!</v>
      </c>
      <c r="CE134" t="e">
        <v>#VALUE!</v>
      </c>
      <c r="CF134" t="e">
        <v>#VALUE!</v>
      </c>
      <c r="CG134" t="e">
        <v>#VALUE!</v>
      </c>
      <c r="CH134" t="e">
        <v>#VALUE!</v>
      </c>
      <c r="CI134" t="e">
        <v>#VALUE!</v>
      </c>
      <c r="CJ134" t="e">
        <v>#VALUE!</v>
      </c>
      <c r="CK134" t="e">
        <v>#VALUE!</v>
      </c>
    </row>
    <row r="135" spans="1:89">
      <c r="A135" s="34" t="s">
        <v>15</v>
      </c>
      <c r="B135" s="34" t="s">
        <v>436</v>
      </c>
      <c r="C135" s="34" t="s">
        <v>436</v>
      </c>
      <c r="D135" s="34"/>
      <c r="E135" s="34">
        <v>30.8925002060472</v>
      </c>
      <c r="F135" s="34">
        <f xml:space="preserve">E135</f>
        <v>30.8925002060472</v>
      </c>
      <c r="G135" s="34"/>
      <c r="H135" s="34"/>
      <c r="I135" s="34">
        <f xml:space="preserve">F135</f>
        <v>30.8925002060472</v>
      </c>
      <c r="J135" s="34">
        <f xml:space="preserve">I135</f>
        <v>30.8925002060472</v>
      </c>
      <c r="K135" s="34"/>
      <c r="L135" s="34">
        <f xml:space="preserve">J135</f>
        <v>30.8925002060472</v>
      </c>
      <c r="M135" s="34"/>
      <c r="N135" s="34"/>
      <c r="O135" s="34"/>
      <c r="P135" s="34"/>
      <c r="Q135" s="34"/>
      <c r="R135" s="34"/>
      <c r="S135" s="34"/>
      <c r="T135" s="34"/>
      <c r="U135" s="34"/>
      <c r="V135" s="34">
        <f xml:space="preserve">L135</f>
        <v>30.8925002060472</v>
      </c>
      <c r="W135" s="34">
        <v>3</v>
      </c>
      <c r="AG135" s="232" t="s">
        <v>437</v>
      </c>
      <c r="AI135">
        <v>1</v>
      </c>
      <c r="AJ135">
        <v>1.0056875027351</v>
      </c>
      <c r="AK135">
        <v>1.07548227075571</v>
      </c>
      <c r="AL135">
        <v>1.13218376061282</v>
      </c>
      <c r="AM135">
        <v>1.19257480849257</v>
      </c>
      <c r="AN135">
        <v>1.26334038046461</v>
      </c>
      <c r="AO135">
        <v>1.33842175445903</v>
      </c>
      <c r="AP135">
        <v>1.41064604739435</v>
      </c>
      <c r="AQ135">
        <v>1.47946498139125</v>
      </c>
      <c r="AR135">
        <v>1.54708424314766</v>
      </c>
      <c r="AS135">
        <v>1.61544795560257</v>
      </c>
      <c r="AT135">
        <v>1.68343692767209</v>
      </c>
      <c r="AU135">
        <v>1.74911458152565</v>
      </c>
      <c r="AV135">
        <v>1.80784570555063</v>
      </c>
      <c r="AW135">
        <v>1.85660974133859</v>
      </c>
      <c r="AX135">
        <v>1.89568334286532</v>
      </c>
      <c r="AY135">
        <v>1.92675158434702</v>
      </c>
      <c r="AZ135">
        <v>1.95063688260264</v>
      </c>
      <c r="BA135">
        <v>0</v>
      </c>
      <c r="BB135">
        <v>0</v>
      </c>
      <c r="BC135">
        <v>0</v>
      </c>
      <c r="BD135">
        <v>0</v>
      </c>
      <c r="BE135">
        <v>0</v>
      </c>
      <c r="BF135">
        <v>0</v>
      </c>
      <c r="BG135">
        <v>0</v>
      </c>
      <c r="BH135">
        <v>0</v>
      </c>
      <c r="BJ135" t="s">
        <v>452</v>
      </c>
      <c r="BL135">
        <v>0.8</v>
      </c>
      <c r="BM135">
        <v>0.797560975609756</v>
      </c>
      <c r="BN135">
        <v>0.785365853658536</v>
      </c>
      <c r="BO135">
        <v>0.773170731707317</v>
      </c>
      <c r="BP135">
        <v>0.760975609756097</v>
      </c>
      <c r="BQ135">
        <v>0.748780487804878</v>
      </c>
      <c r="BR135">
        <v>0.736585365853658</v>
      </c>
      <c r="BS135">
        <v>0.724390243902439</v>
      </c>
      <c r="BT135">
        <v>0.71219512195122</v>
      </c>
      <c r="BU135">
        <v>0.699999999999999</v>
      </c>
      <c r="BV135">
        <v>0.687499999999999</v>
      </c>
      <c r="BW135">
        <v>0.675</v>
      </c>
      <c r="BX135">
        <v>0.6625</v>
      </c>
      <c r="BY135">
        <v>0.649999999999999</v>
      </c>
      <c r="BZ135">
        <v>0.637499999999999</v>
      </c>
      <c r="CA135">
        <v>0.625</v>
      </c>
      <c r="CB135">
        <v>0.6125</v>
      </c>
      <c r="CC135">
        <v>0.6</v>
      </c>
      <c r="CD135" t="e">
        <v>#VALUE!</v>
      </c>
      <c r="CE135" t="e">
        <v>#VALUE!</v>
      </c>
      <c r="CF135" t="e">
        <v>#VALUE!</v>
      </c>
      <c r="CG135" t="e">
        <v>#VALUE!</v>
      </c>
      <c r="CH135" t="e">
        <v>#VALUE!</v>
      </c>
      <c r="CI135" t="e">
        <v>#VALUE!</v>
      </c>
      <c r="CJ135" t="e">
        <v>#VALUE!</v>
      </c>
      <c r="CK135" t="e">
        <v>#VALUE!</v>
      </c>
    </row>
    <row r="136" spans="1:89">
      <c r="A136" s="34" t="s">
        <v>15</v>
      </c>
      <c r="B136" s="34" t="s">
        <v>439</v>
      </c>
      <c r="C136" s="34" t="s">
        <v>439</v>
      </c>
      <c r="D136" s="34"/>
      <c r="E136" s="34">
        <v>411.735252066231</v>
      </c>
      <c r="F136" s="34">
        <f xml:space="preserve">E136</f>
        <v>411.735252066231</v>
      </c>
      <c r="G136" s="34"/>
      <c r="H136" s="34"/>
      <c r="I136" s="34">
        <f xml:space="preserve">F136</f>
        <v>411.735252066231</v>
      </c>
      <c r="J136" s="34">
        <f xml:space="preserve">I136</f>
        <v>411.735252066231</v>
      </c>
      <c r="K136" s="34"/>
      <c r="L136" s="34">
        <f xml:space="preserve">J136</f>
        <v>411.735252066231</v>
      </c>
      <c r="M136" s="34"/>
      <c r="N136" s="34"/>
      <c r="O136" s="34"/>
      <c r="P136" s="34"/>
      <c r="Q136" s="34"/>
      <c r="R136" s="34"/>
      <c r="S136" s="34"/>
      <c r="T136" s="34"/>
      <c r="U136" s="34"/>
      <c r="V136" s="34">
        <f xml:space="preserve">L136</f>
        <v>411.735252066231</v>
      </c>
      <c r="W136" s="34">
        <v>3</v>
      </c>
      <c r="AG136" s="232" t="s">
        <v>437</v>
      </c>
      <c r="AI136">
        <v>1</v>
      </c>
      <c r="AJ136">
        <v>1.0056875027351</v>
      </c>
      <c r="AK136">
        <v>1.07548227075571</v>
      </c>
      <c r="AL136">
        <v>1.13218376061282</v>
      </c>
      <c r="AM136">
        <v>1.19257480849257</v>
      </c>
      <c r="AN136">
        <v>1.26334038046461</v>
      </c>
      <c r="AO136">
        <v>1.33842175445903</v>
      </c>
      <c r="AP136">
        <v>1.41064604739435</v>
      </c>
      <c r="AQ136">
        <v>1.47946498139125</v>
      </c>
      <c r="AR136">
        <v>1.54708424314766</v>
      </c>
      <c r="AS136">
        <v>1.61544795560257</v>
      </c>
      <c r="AT136">
        <v>1.68343692767209</v>
      </c>
      <c r="AU136">
        <v>1.74911458152565</v>
      </c>
      <c r="AV136">
        <v>1.80784570555063</v>
      </c>
      <c r="AW136">
        <v>1.85660974133859</v>
      </c>
      <c r="AX136">
        <v>1.89568334286532</v>
      </c>
      <c r="AY136">
        <v>1.92675158434702</v>
      </c>
      <c r="AZ136">
        <v>1.95063688260264</v>
      </c>
      <c r="BA136">
        <v>0</v>
      </c>
      <c r="BB136">
        <v>0</v>
      </c>
      <c r="BC136">
        <v>0</v>
      </c>
      <c r="BD136">
        <v>0</v>
      </c>
      <c r="BE136">
        <v>0</v>
      </c>
      <c r="BF136">
        <v>0</v>
      </c>
      <c r="BG136">
        <v>0</v>
      </c>
      <c r="BH136">
        <v>0</v>
      </c>
      <c r="BJ136" t="s">
        <v>452</v>
      </c>
      <c r="BL136">
        <v>0.8</v>
      </c>
      <c r="BM136">
        <v>0.797560975609756</v>
      </c>
      <c r="BN136">
        <v>0.785365853658536</v>
      </c>
      <c r="BO136">
        <v>0.773170731707317</v>
      </c>
      <c r="BP136">
        <v>0.760975609756097</v>
      </c>
      <c r="BQ136">
        <v>0.748780487804878</v>
      </c>
      <c r="BR136">
        <v>0.736585365853658</v>
      </c>
      <c r="BS136">
        <v>0.724390243902439</v>
      </c>
      <c r="BT136">
        <v>0.71219512195122</v>
      </c>
      <c r="BU136">
        <v>0.699999999999999</v>
      </c>
      <c r="BV136">
        <v>0.687499999999999</v>
      </c>
      <c r="BW136">
        <v>0.675</v>
      </c>
      <c r="BX136">
        <v>0.6625</v>
      </c>
      <c r="BY136">
        <v>0.649999999999999</v>
      </c>
      <c r="BZ136">
        <v>0.637499999999999</v>
      </c>
      <c r="CA136">
        <v>0.625</v>
      </c>
      <c r="CB136">
        <v>0.6125</v>
      </c>
      <c r="CC136">
        <v>0.6</v>
      </c>
      <c r="CD136" t="e">
        <v>#VALUE!</v>
      </c>
      <c r="CE136" t="e">
        <v>#VALUE!</v>
      </c>
      <c r="CF136" t="e">
        <v>#VALUE!</v>
      </c>
      <c r="CG136" t="e">
        <v>#VALUE!</v>
      </c>
      <c r="CH136" t="e">
        <v>#VALUE!</v>
      </c>
      <c r="CI136" t="e">
        <v>#VALUE!</v>
      </c>
      <c r="CJ136" t="e">
        <v>#VALUE!</v>
      </c>
      <c r="CK136" t="e">
        <v>#VALUE!</v>
      </c>
    </row>
    <row r="137" spans="1:89">
      <c r="A137" s="34" t="s">
        <v>15</v>
      </c>
      <c r="B137" s="34" t="s">
        <v>440</v>
      </c>
      <c r="C137" s="34" t="s">
        <v>440</v>
      </c>
      <c r="D137" s="34"/>
      <c r="E137" s="34">
        <v>10.2422820870275</v>
      </c>
      <c r="F137" s="34"/>
      <c r="G137" s="34"/>
      <c r="H137" s="34"/>
      <c r="I137" s="34">
        <v>11.6970659852254</v>
      </c>
      <c r="J137" s="34">
        <v>12.2167840930765</v>
      </c>
      <c r="K137" s="34"/>
      <c r="L137" s="34">
        <v>13.2500408782904</v>
      </c>
      <c r="M137" s="34"/>
      <c r="N137" s="34"/>
      <c r="O137" s="34"/>
      <c r="P137" s="34"/>
      <c r="Q137" s="34"/>
      <c r="R137" s="34"/>
      <c r="S137" s="34"/>
      <c r="T137" s="34"/>
      <c r="U137" s="34"/>
      <c r="V137" s="34">
        <v>16.4810771612383</v>
      </c>
      <c r="W137" s="34">
        <v>3</v>
      </c>
      <c r="AG137" s="232" t="s">
        <v>437</v>
      </c>
      <c r="AI137">
        <v>1</v>
      </c>
      <c r="AJ137">
        <v>1.0056875027351</v>
      </c>
      <c r="AK137">
        <v>1.07548227075571</v>
      </c>
      <c r="AL137">
        <v>1.13218376061282</v>
      </c>
      <c r="AM137">
        <v>1.19257480849257</v>
      </c>
      <c r="AN137">
        <v>1.26334038046461</v>
      </c>
      <c r="AO137">
        <v>1.33842175445903</v>
      </c>
      <c r="AP137">
        <v>1.41064604739435</v>
      </c>
      <c r="AQ137">
        <v>1.47946498139125</v>
      </c>
      <c r="AR137">
        <v>1.54708424314766</v>
      </c>
      <c r="AS137">
        <v>1.61544795560257</v>
      </c>
      <c r="AT137">
        <v>1.68343692767209</v>
      </c>
      <c r="AU137">
        <v>1.74911458152565</v>
      </c>
      <c r="AV137">
        <v>1.80784570555063</v>
      </c>
      <c r="AW137">
        <v>1.85660974133859</v>
      </c>
      <c r="AX137">
        <v>1.89568334286532</v>
      </c>
      <c r="AY137">
        <v>1.92675158434702</v>
      </c>
      <c r="AZ137">
        <v>1.95063688260264</v>
      </c>
      <c r="BA137">
        <v>0</v>
      </c>
      <c r="BB137">
        <v>0</v>
      </c>
      <c r="BC137">
        <v>0</v>
      </c>
      <c r="BD137">
        <v>0</v>
      </c>
      <c r="BE137">
        <v>0</v>
      </c>
      <c r="BF137">
        <v>0</v>
      </c>
      <c r="BG137">
        <v>0</v>
      </c>
      <c r="BH137">
        <v>0</v>
      </c>
      <c r="BJ137" t="s">
        <v>452</v>
      </c>
      <c r="BL137">
        <v>0.8</v>
      </c>
      <c r="BM137">
        <v>0.797560975609756</v>
      </c>
      <c r="BN137">
        <v>0.785365853658536</v>
      </c>
      <c r="BO137">
        <v>0.773170731707317</v>
      </c>
      <c r="BP137">
        <v>0.760975609756097</v>
      </c>
      <c r="BQ137">
        <v>0.748780487804878</v>
      </c>
      <c r="BR137">
        <v>0.736585365853658</v>
      </c>
      <c r="BS137">
        <v>0.724390243902439</v>
      </c>
      <c r="BT137">
        <v>0.71219512195122</v>
      </c>
      <c r="BU137">
        <v>0.699999999999999</v>
      </c>
      <c r="BV137">
        <v>0.687499999999999</v>
      </c>
      <c r="BW137">
        <v>0.675</v>
      </c>
      <c r="BX137">
        <v>0.6625</v>
      </c>
      <c r="BY137">
        <v>0.649999999999999</v>
      </c>
      <c r="BZ137">
        <v>0.637499999999999</v>
      </c>
      <c r="CA137">
        <v>0.625</v>
      </c>
      <c r="CB137">
        <v>0.6125</v>
      </c>
      <c r="CC137">
        <v>0.6</v>
      </c>
      <c r="CD137" t="e">
        <v>#VALUE!</v>
      </c>
      <c r="CE137" t="e">
        <v>#VALUE!</v>
      </c>
      <c r="CF137" t="e">
        <v>#VALUE!</v>
      </c>
      <c r="CG137" t="e">
        <v>#VALUE!</v>
      </c>
      <c r="CH137" t="e">
        <v>#VALUE!</v>
      </c>
      <c r="CI137" t="e">
        <v>#VALUE!</v>
      </c>
      <c r="CJ137" t="e">
        <v>#VALUE!</v>
      </c>
      <c r="CK137" t="e">
        <v>#VALUE!</v>
      </c>
    </row>
    <row r="138" spans="1:89">
      <c r="A138" s="34" t="s">
        <v>15</v>
      </c>
      <c r="B138" s="34" t="s">
        <v>441</v>
      </c>
      <c r="C138" s="34" t="s">
        <v>441</v>
      </c>
      <c r="D138" s="34"/>
      <c r="E138" s="34">
        <v>41.728037261455</v>
      </c>
      <c r="F138" s="34"/>
      <c r="G138" s="34"/>
      <c r="H138" s="34"/>
      <c r="I138" s="34">
        <v>41.4076364519895</v>
      </c>
      <c r="J138" s="34">
        <v>41.206691240923</v>
      </c>
      <c r="K138" s="34"/>
      <c r="L138" s="34">
        <v>40.8643391636625</v>
      </c>
      <c r="M138" s="34"/>
      <c r="N138" s="34"/>
      <c r="O138" s="34"/>
      <c r="P138" s="34"/>
      <c r="Q138" s="34"/>
      <c r="R138" s="34"/>
      <c r="S138" s="34"/>
      <c r="T138" s="34"/>
      <c r="U138" s="34"/>
      <c r="V138" s="34">
        <v>38.3848419306435</v>
      </c>
      <c r="W138" s="34">
        <v>3</v>
      </c>
      <c r="AG138" s="232" t="s">
        <v>442</v>
      </c>
      <c r="AI138">
        <v>1</v>
      </c>
      <c r="AJ138">
        <v>1.00080411535718</v>
      </c>
      <c r="AK138">
        <v>1.0048246921431</v>
      </c>
      <c r="AL138">
        <v>0.997803577465389</v>
      </c>
      <c r="AM138">
        <v>0.990688677574286</v>
      </c>
      <c r="AN138">
        <v>0.984268014221844</v>
      </c>
      <c r="AO138">
        <v>0.978671297778821</v>
      </c>
      <c r="AP138">
        <v>0.973081900981446</v>
      </c>
      <c r="AQ138">
        <v>0.966806729107691</v>
      </c>
      <c r="AR138">
        <v>0.960095827983472</v>
      </c>
      <c r="AS138">
        <v>0.952932599200519</v>
      </c>
      <c r="AT138">
        <v>0.946375699093767</v>
      </c>
      <c r="AU138">
        <v>0.939771804217772</v>
      </c>
      <c r="AV138">
        <v>0.931597839341566</v>
      </c>
      <c r="AW138">
        <v>0.921192680609161</v>
      </c>
      <c r="AX138">
        <v>0.909209411083547</v>
      </c>
      <c r="AY138">
        <v>0.896439526043208</v>
      </c>
      <c r="AZ138">
        <v>0.882948649897371</v>
      </c>
      <c r="BA138">
        <v>0</v>
      </c>
      <c r="BB138">
        <v>0</v>
      </c>
      <c r="BC138">
        <v>0</v>
      </c>
      <c r="BD138">
        <v>0</v>
      </c>
      <c r="BE138">
        <v>0</v>
      </c>
      <c r="BF138">
        <v>0</v>
      </c>
      <c r="BG138">
        <v>0</v>
      </c>
      <c r="BH138">
        <v>0</v>
      </c>
      <c r="BJ138" t="s">
        <v>452</v>
      </c>
      <c r="BL138">
        <v>0.8</v>
      </c>
      <c r="BM138">
        <v>0.797560975609756</v>
      </c>
      <c r="BN138">
        <v>0.785365853658536</v>
      </c>
      <c r="BO138">
        <v>0.773170731707317</v>
      </c>
      <c r="BP138">
        <v>0.760975609756097</v>
      </c>
      <c r="BQ138">
        <v>0.748780487804878</v>
      </c>
      <c r="BR138">
        <v>0.736585365853658</v>
      </c>
      <c r="BS138">
        <v>0.724390243902439</v>
      </c>
      <c r="BT138">
        <v>0.71219512195122</v>
      </c>
      <c r="BU138">
        <v>0.699999999999999</v>
      </c>
      <c r="BV138">
        <v>0.687499999999999</v>
      </c>
      <c r="BW138">
        <v>0.675</v>
      </c>
      <c r="BX138">
        <v>0.6625</v>
      </c>
      <c r="BY138">
        <v>0.649999999999999</v>
      </c>
      <c r="BZ138">
        <v>0.637499999999999</v>
      </c>
      <c r="CA138">
        <v>0.625</v>
      </c>
      <c r="CB138">
        <v>0.6125</v>
      </c>
      <c r="CC138">
        <v>0.6</v>
      </c>
      <c r="CD138" t="e">
        <v>#VALUE!</v>
      </c>
      <c r="CE138" t="e">
        <v>#VALUE!</v>
      </c>
      <c r="CF138" t="e">
        <v>#VALUE!</v>
      </c>
      <c r="CG138" t="e">
        <v>#VALUE!</v>
      </c>
      <c r="CH138" t="e">
        <v>#VALUE!</v>
      </c>
      <c r="CI138" t="e">
        <v>#VALUE!</v>
      </c>
      <c r="CJ138" t="e">
        <v>#VALUE!</v>
      </c>
      <c r="CK138" t="e">
        <v>#VALUE!</v>
      </c>
    </row>
    <row r="139" spans="1:89">
      <c r="A139" s="34" t="s">
        <v>15</v>
      </c>
      <c r="B139" s="34" t="s">
        <v>443</v>
      </c>
      <c r="C139" s="34" t="s">
        <v>443</v>
      </c>
      <c r="D139" s="34"/>
      <c r="E139" s="34">
        <v>11.29741306648</v>
      </c>
      <c r="F139" s="34">
        <f xml:space="preserve">E139</f>
        <v>11.29741306648</v>
      </c>
      <c r="G139" s="34"/>
      <c r="H139" s="34"/>
      <c r="I139" s="34">
        <f xml:space="preserve">F139</f>
        <v>11.29741306648</v>
      </c>
      <c r="J139" s="34">
        <f xml:space="preserve">I139</f>
        <v>11.29741306648</v>
      </c>
      <c r="K139" s="34"/>
      <c r="L139" s="34">
        <f xml:space="preserve">J139</f>
        <v>11.29741306648</v>
      </c>
      <c r="M139" s="34"/>
      <c r="N139" s="34"/>
      <c r="O139" s="34"/>
      <c r="P139" s="34"/>
      <c r="Q139" s="34"/>
      <c r="R139" s="34"/>
      <c r="S139" s="34"/>
      <c r="T139" s="34"/>
      <c r="U139" s="34"/>
      <c r="V139" s="34">
        <f xml:space="preserve">L139</f>
        <v>11.29741306648</v>
      </c>
      <c r="W139" s="34">
        <v>3</v>
      </c>
      <c r="AG139" s="232" t="s">
        <v>437</v>
      </c>
      <c r="AI139">
        <v>1</v>
      </c>
      <c r="AJ139">
        <v>1.0056875027351</v>
      </c>
      <c r="AK139">
        <v>1.07548227075571</v>
      </c>
      <c r="AL139">
        <v>1.13218376061282</v>
      </c>
      <c r="AM139">
        <v>1.19257480849257</v>
      </c>
      <c r="AN139">
        <v>1.26334038046461</v>
      </c>
      <c r="AO139">
        <v>1.33842175445903</v>
      </c>
      <c r="AP139">
        <v>1.41064604739435</v>
      </c>
      <c r="AQ139">
        <v>1.47946498139125</v>
      </c>
      <c r="AR139">
        <v>1.54708424314766</v>
      </c>
      <c r="AS139">
        <v>1.61544795560257</v>
      </c>
      <c r="AT139">
        <v>1.68343692767209</v>
      </c>
      <c r="AU139">
        <v>1.74911458152565</v>
      </c>
      <c r="AV139">
        <v>1.80784570555063</v>
      </c>
      <c r="AW139">
        <v>1.85660974133859</v>
      </c>
      <c r="AX139">
        <v>1.89568334286532</v>
      </c>
      <c r="AY139">
        <v>1.92675158434702</v>
      </c>
      <c r="AZ139">
        <v>1.95063688260264</v>
      </c>
      <c r="BA139">
        <v>0</v>
      </c>
      <c r="BB139">
        <v>0</v>
      </c>
      <c r="BC139">
        <v>0</v>
      </c>
      <c r="BD139">
        <v>0</v>
      </c>
      <c r="BE139">
        <v>0</v>
      </c>
      <c r="BF139">
        <v>0</v>
      </c>
      <c r="BG139">
        <v>0</v>
      </c>
      <c r="BH139">
        <v>0</v>
      </c>
      <c r="BJ139" t="s">
        <v>452</v>
      </c>
      <c r="BL139">
        <v>0.8</v>
      </c>
      <c r="BM139">
        <v>0.797560975609756</v>
      </c>
      <c r="BN139">
        <v>0.785365853658536</v>
      </c>
      <c r="BO139">
        <v>0.773170731707317</v>
      </c>
      <c r="BP139">
        <v>0.760975609756097</v>
      </c>
      <c r="BQ139">
        <v>0.748780487804878</v>
      </c>
      <c r="BR139">
        <v>0.736585365853658</v>
      </c>
      <c r="BS139">
        <v>0.724390243902439</v>
      </c>
      <c r="BT139">
        <v>0.71219512195122</v>
      </c>
      <c r="BU139">
        <v>0.699999999999999</v>
      </c>
      <c r="BV139">
        <v>0.687499999999999</v>
      </c>
      <c r="BW139">
        <v>0.675</v>
      </c>
      <c r="BX139">
        <v>0.6625</v>
      </c>
      <c r="BY139">
        <v>0.649999999999999</v>
      </c>
      <c r="BZ139">
        <v>0.637499999999999</v>
      </c>
      <c r="CA139">
        <v>0.625</v>
      </c>
      <c r="CB139">
        <v>0.6125</v>
      </c>
      <c r="CC139">
        <v>0.6</v>
      </c>
      <c r="CD139" t="e">
        <v>#VALUE!</v>
      </c>
      <c r="CE139" t="e">
        <v>#VALUE!</v>
      </c>
      <c r="CF139" t="e">
        <v>#VALUE!</v>
      </c>
      <c r="CG139" t="e">
        <v>#VALUE!</v>
      </c>
      <c r="CH139" t="e">
        <v>#VALUE!</v>
      </c>
      <c r="CI139" t="e">
        <v>#VALUE!</v>
      </c>
      <c r="CJ139" t="e">
        <v>#VALUE!</v>
      </c>
      <c r="CK139" t="e">
        <v>#VALUE!</v>
      </c>
    </row>
    <row r="140" spans="1:89">
      <c r="A140" s="34" t="s">
        <v>15</v>
      </c>
      <c r="B140" s="34" t="s">
        <v>444</v>
      </c>
      <c r="C140" s="34" t="s">
        <v>444</v>
      </c>
      <c r="D140" s="34"/>
      <c r="E140" s="34">
        <v>57.0532322107784</v>
      </c>
      <c r="F140" s="34">
        <f xml:space="preserve">E140</f>
        <v>57.0532322107784</v>
      </c>
      <c r="G140" s="34"/>
      <c r="H140" s="34"/>
      <c r="I140" s="34">
        <f xml:space="preserve">F140</f>
        <v>57.0532322107784</v>
      </c>
      <c r="J140" s="34">
        <f xml:space="preserve">I140</f>
        <v>57.0532322107784</v>
      </c>
      <c r="K140" s="34"/>
      <c r="L140" s="34">
        <f xml:space="preserve">J140</f>
        <v>57.0532322107784</v>
      </c>
      <c r="M140" s="34"/>
      <c r="N140" s="34"/>
      <c r="O140" s="34"/>
      <c r="P140" s="34"/>
      <c r="Q140" s="34"/>
      <c r="R140" s="34"/>
      <c r="S140" s="34"/>
      <c r="T140" s="34"/>
      <c r="U140" s="34"/>
      <c r="V140" s="34">
        <f xml:space="preserve">L140</f>
        <v>57.0532322107784</v>
      </c>
      <c r="W140" s="34">
        <v>3</v>
      </c>
      <c r="AG140" s="232" t="s">
        <v>437</v>
      </c>
      <c r="AI140">
        <v>1</v>
      </c>
      <c r="AJ140">
        <v>1.0056875027351</v>
      </c>
      <c r="AK140">
        <v>1.07548227075571</v>
      </c>
      <c r="AL140">
        <v>1.13218376061282</v>
      </c>
      <c r="AM140">
        <v>1.19257480849257</v>
      </c>
      <c r="AN140">
        <v>1.26334038046461</v>
      </c>
      <c r="AO140">
        <v>1.33842175445903</v>
      </c>
      <c r="AP140">
        <v>1.41064604739435</v>
      </c>
      <c r="AQ140">
        <v>1.47946498139125</v>
      </c>
      <c r="AR140">
        <v>1.54708424314766</v>
      </c>
      <c r="AS140">
        <v>1.61544795560257</v>
      </c>
      <c r="AT140">
        <v>1.68343692767209</v>
      </c>
      <c r="AU140">
        <v>1.74911458152565</v>
      </c>
      <c r="AV140">
        <v>1.80784570555063</v>
      </c>
      <c r="AW140">
        <v>1.85660974133859</v>
      </c>
      <c r="AX140">
        <v>1.89568334286532</v>
      </c>
      <c r="AY140">
        <v>1.92675158434702</v>
      </c>
      <c r="AZ140">
        <v>1.95063688260264</v>
      </c>
      <c r="BA140">
        <v>0</v>
      </c>
      <c r="BB140">
        <v>0</v>
      </c>
      <c r="BC140">
        <v>0</v>
      </c>
      <c r="BD140">
        <v>0</v>
      </c>
      <c r="BE140">
        <v>0</v>
      </c>
      <c r="BF140">
        <v>0</v>
      </c>
      <c r="BG140">
        <v>0</v>
      </c>
      <c r="BH140">
        <v>0</v>
      </c>
      <c r="BJ140" t="s">
        <v>452</v>
      </c>
      <c r="BL140">
        <v>0.8</v>
      </c>
      <c r="BM140">
        <v>0.797560975609756</v>
      </c>
      <c r="BN140">
        <v>0.785365853658536</v>
      </c>
      <c r="BO140">
        <v>0.773170731707317</v>
      </c>
      <c r="BP140">
        <v>0.760975609756097</v>
      </c>
      <c r="BQ140">
        <v>0.748780487804878</v>
      </c>
      <c r="BR140">
        <v>0.736585365853658</v>
      </c>
      <c r="BS140">
        <v>0.724390243902439</v>
      </c>
      <c r="BT140">
        <v>0.71219512195122</v>
      </c>
      <c r="BU140">
        <v>0.699999999999999</v>
      </c>
      <c r="BV140">
        <v>0.687499999999999</v>
      </c>
      <c r="BW140">
        <v>0.675</v>
      </c>
      <c r="BX140">
        <v>0.6625</v>
      </c>
      <c r="BY140">
        <v>0.649999999999999</v>
      </c>
      <c r="BZ140">
        <v>0.637499999999999</v>
      </c>
      <c r="CA140">
        <v>0.625</v>
      </c>
      <c r="CB140">
        <v>0.6125</v>
      </c>
      <c r="CC140">
        <v>0.6</v>
      </c>
      <c r="CD140" t="e">
        <v>#VALUE!</v>
      </c>
      <c r="CE140" t="e">
        <v>#VALUE!</v>
      </c>
      <c r="CF140" t="e">
        <v>#VALUE!</v>
      </c>
      <c r="CG140" t="e">
        <v>#VALUE!</v>
      </c>
      <c r="CH140" t="e">
        <v>#VALUE!</v>
      </c>
      <c r="CI140" t="e">
        <v>#VALUE!</v>
      </c>
      <c r="CJ140" t="e">
        <v>#VALUE!</v>
      </c>
      <c r="CK140" t="e">
        <v>#VALUE!</v>
      </c>
    </row>
    <row r="141" spans="1:89">
      <c r="A141" s="34" t="s">
        <v>15</v>
      </c>
      <c r="B141" s="34" t="s">
        <v>445</v>
      </c>
      <c r="C141" s="34" t="s">
        <v>445</v>
      </c>
      <c r="D141" s="34">
        <v>3.472</v>
      </c>
      <c r="E141" s="34">
        <v>3.47422670133191</v>
      </c>
      <c r="F141" s="34"/>
      <c r="G141" s="34">
        <v>3.48518818767205</v>
      </c>
      <c r="H141" s="34">
        <v>3.46635961466062</v>
      </c>
      <c r="I141" s="34">
        <v>3.44755051140237</v>
      </c>
      <c r="J141" s="34">
        <v>3.43082005237268</v>
      </c>
      <c r="K141" s="34">
        <v>3.41645057549349</v>
      </c>
      <c r="L141" s="34">
        <v>3.40231622602153</v>
      </c>
      <c r="M141" s="34">
        <v>3.3866901511232</v>
      </c>
      <c r="N141" s="34">
        <v>3.37023451480955</v>
      </c>
      <c r="O141" s="34">
        <v>3.35294721897671</v>
      </c>
      <c r="P141" s="34">
        <v>3.33737441299061</v>
      </c>
      <c r="Q141" s="34">
        <v>3.32194578221882</v>
      </c>
      <c r="R141" s="34">
        <v>3.30316488858621</v>
      </c>
      <c r="S141" s="34">
        <v>3.27964524805285</v>
      </c>
      <c r="T141" s="34">
        <v>3.2529808529546</v>
      </c>
      <c r="U141" s="34">
        <v>3.22499679669389</v>
      </c>
      <c r="V141" s="34">
        <v>3.19587623846932</v>
      </c>
      <c r="W141" s="34">
        <v>3</v>
      </c>
      <c r="AG141" s="232" t="s">
        <v>442</v>
      </c>
      <c r="AI141">
        <v>1</v>
      </c>
      <c r="AJ141">
        <v>1.00080411535718</v>
      </c>
      <c r="AK141">
        <v>1.0048246921431</v>
      </c>
      <c r="AL141">
        <v>0.997803577465389</v>
      </c>
      <c r="AM141">
        <v>0.990688677574286</v>
      </c>
      <c r="AN141">
        <v>0.984268014221844</v>
      </c>
      <c r="AO141">
        <v>0.978671297778821</v>
      </c>
      <c r="AP141">
        <v>0.973081900981446</v>
      </c>
      <c r="AQ141">
        <v>0.966806729107691</v>
      </c>
      <c r="AR141">
        <v>0.960095827983472</v>
      </c>
      <c r="AS141">
        <v>0.952932599200519</v>
      </c>
      <c r="AT141">
        <v>0.946375699093767</v>
      </c>
      <c r="AU141">
        <v>0.939771804217772</v>
      </c>
      <c r="AV141">
        <v>0.931597839341566</v>
      </c>
      <c r="AW141">
        <v>0.921192680609161</v>
      </c>
      <c r="AX141">
        <v>0.909209411083547</v>
      </c>
      <c r="AY141">
        <v>0.896439526043208</v>
      </c>
      <c r="AZ141">
        <v>0.882948649897371</v>
      </c>
      <c r="BA141">
        <v>0</v>
      </c>
      <c r="BB141">
        <v>0</v>
      </c>
      <c r="BC141">
        <v>0</v>
      </c>
      <c r="BD141">
        <v>0</v>
      </c>
      <c r="BE141">
        <v>0</v>
      </c>
      <c r="BF141">
        <v>0</v>
      </c>
      <c r="BG141">
        <v>0</v>
      </c>
      <c r="BH141">
        <v>0</v>
      </c>
      <c r="BJ141" t="s">
        <v>452</v>
      </c>
      <c r="BL141">
        <v>0.8</v>
      </c>
      <c r="BM141">
        <v>0.797560975609756</v>
      </c>
      <c r="BN141">
        <v>0.785365853658536</v>
      </c>
      <c r="BO141">
        <v>0.773170731707317</v>
      </c>
      <c r="BP141">
        <v>0.760975609756097</v>
      </c>
      <c r="BQ141">
        <v>0.748780487804878</v>
      </c>
      <c r="BR141">
        <v>0.736585365853658</v>
      </c>
      <c r="BS141">
        <v>0.724390243902439</v>
      </c>
      <c r="BT141">
        <v>0.71219512195122</v>
      </c>
      <c r="BU141">
        <v>0.699999999999999</v>
      </c>
      <c r="BV141">
        <v>0.687499999999999</v>
      </c>
      <c r="BW141">
        <v>0.675</v>
      </c>
      <c r="BX141">
        <v>0.6625</v>
      </c>
      <c r="BY141">
        <v>0.649999999999999</v>
      </c>
      <c r="BZ141">
        <v>0.637499999999999</v>
      </c>
      <c r="CA141">
        <v>0.625</v>
      </c>
      <c r="CB141">
        <v>0.6125</v>
      </c>
      <c r="CC141">
        <v>0.6</v>
      </c>
      <c r="CD141" t="e">
        <v>#VALUE!</v>
      </c>
      <c r="CE141" t="e">
        <v>#VALUE!</v>
      </c>
      <c r="CF141" t="e">
        <v>#VALUE!</v>
      </c>
      <c r="CG141" t="e">
        <v>#VALUE!</v>
      </c>
      <c r="CH141" t="e">
        <v>#VALUE!</v>
      </c>
      <c r="CI141" t="e">
        <v>#VALUE!</v>
      </c>
      <c r="CJ141" t="e">
        <v>#VALUE!</v>
      </c>
      <c r="CK141" t="e">
        <v>#VALUE!</v>
      </c>
    </row>
    <row r="142" spans="1:89">
      <c r="A142" s="34" t="s">
        <v>15</v>
      </c>
      <c r="B142" s="34" t="s">
        <v>446</v>
      </c>
      <c r="C142" s="34" t="s">
        <v>446</v>
      </c>
      <c r="D142" s="34">
        <v>2.055</v>
      </c>
      <c r="E142" s="34">
        <v>2.05631793526413</v>
      </c>
      <c r="F142" s="34"/>
      <c r="G142" s="34">
        <v>2.06280579656281</v>
      </c>
      <c r="H142" s="34">
        <v>2.05166158068191</v>
      </c>
      <c r="I142" s="34">
        <v>2.04052888851724</v>
      </c>
      <c r="J142" s="34">
        <v>2.03062649989224</v>
      </c>
      <c r="K142" s="34">
        <v>2.02212152437763</v>
      </c>
      <c r="L142" s="34">
        <v>2.01375571557438</v>
      </c>
      <c r="M142" s="34">
        <v>2.00450698748795</v>
      </c>
      <c r="N142" s="34">
        <v>1.99476726034955</v>
      </c>
      <c r="O142" s="34">
        <v>1.98453529233788</v>
      </c>
      <c r="P142" s="34">
        <v>1.97531809294231</v>
      </c>
      <c r="Q142" s="34">
        <v>1.96618622766696</v>
      </c>
      <c r="R142" s="34">
        <v>1.95507023215572</v>
      </c>
      <c r="S142" s="34">
        <v>1.94114947717414</v>
      </c>
      <c r="T142" s="34">
        <v>1.92536741152699</v>
      </c>
      <c r="U142" s="34">
        <v>1.90880426762844</v>
      </c>
      <c r="V142" s="34">
        <v>1.89156845335669</v>
      </c>
      <c r="W142" s="34">
        <v>3</v>
      </c>
      <c r="AG142" s="232" t="s">
        <v>442</v>
      </c>
      <c r="AI142">
        <v>1</v>
      </c>
      <c r="AJ142">
        <v>1.00080411535718</v>
      </c>
      <c r="AK142">
        <v>1.0048246921431</v>
      </c>
      <c r="AL142">
        <v>0.997803577465389</v>
      </c>
      <c r="AM142">
        <v>0.990688677574286</v>
      </c>
      <c r="AN142">
        <v>0.984268014221844</v>
      </c>
      <c r="AO142">
        <v>0.978671297778821</v>
      </c>
      <c r="AP142">
        <v>0.973081900981446</v>
      </c>
      <c r="AQ142">
        <v>0.966806729107691</v>
      </c>
      <c r="AR142">
        <v>0.960095827983472</v>
      </c>
      <c r="AS142">
        <v>0.952932599200519</v>
      </c>
      <c r="AT142">
        <v>0.946375699093767</v>
      </c>
      <c r="AU142">
        <v>0.939771804217772</v>
      </c>
      <c r="AV142">
        <v>0.931597839341566</v>
      </c>
      <c r="AW142">
        <v>0.921192680609161</v>
      </c>
      <c r="AX142">
        <v>0.909209411083547</v>
      </c>
      <c r="AY142">
        <v>0.896439526043208</v>
      </c>
      <c r="AZ142">
        <v>0.882948649897371</v>
      </c>
      <c r="BA142">
        <v>0</v>
      </c>
      <c r="BB142">
        <v>0</v>
      </c>
      <c r="BC142">
        <v>0</v>
      </c>
      <c r="BD142">
        <v>0</v>
      </c>
      <c r="BE142">
        <v>0</v>
      </c>
      <c r="BF142">
        <v>0</v>
      </c>
      <c r="BG142">
        <v>0</v>
      </c>
      <c r="BH142">
        <v>0</v>
      </c>
      <c r="BJ142" t="s">
        <v>452</v>
      </c>
      <c r="BL142">
        <v>0.8</v>
      </c>
      <c r="BM142">
        <v>0.797560975609756</v>
      </c>
      <c r="BN142">
        <v>0.785365853658536</v>
      </c>
      <c r="BO142">
        <v>0.773170731707317</v>
      </c>
      <c r="BP142">
        <v>0.760975609756097</v>
      </c>
      <c r="BQ142">
        <v>0.748780487804878</v>
      </c>
      <c r="BR142">
        <v>0.736585365853658</v>
      </c>
      <c r="BS142">
        <v>0.724390243902439</v>
      </c>
      <c r="BT142">
        <v>0.71219512195122</v>
      </c>
      <c r="BU142">
        <v>0.699999999999999</v>
      </c>
      <c r="BV142">
        <v>0.687499999999999</v>
      </c>
      <c r="BW142">
        <v>0.675</v>
      </c>
      <c r="BX142">
        <v>0.6625</v>
      </c>
      <c r="BY142">
        <v>0.649999999999999</v>
      </c>
      <c r="BZ142">
        <v>0.637499999999999</v>
      </c>
      <c r="CA142">
        <v>0.625</v>
      </c>
      <c r="CB142">
        <v>0.6125</v>
      </c>
      <c r="CC142">
        <v>0.6</v>
      </c>
      <c r="CD142" t="e">
        <v>#VALUE!</v>
      </c>
      <c r="CE142" t="e">
        <v>#VALUE!</v>
      </c>
      <c r="CF142" t="e">
        <v>#VALUE!</v>
      </c>
      <c r="CG142" t="e">
        <v>#VALUE!</v>
      </c>
      <c r="CH142" t="e">
        <v>#VALUE!</v>
      </c>
      <c r="CI142" t="e">
        <v>#VALUE!</v>
      </c>
      <c r="CJ142" t="e">
        <v>#VALUE!</v>
      </c>
      <c r="CK142" t="e">
        <v>#VALUE!</v>
      </c>
    </row>
    <row r="143" spans="1:89">
      <c r="A143" s="34" t="s">
        <v>15</v>
      </c>
      <c r="B143" s="34" t="s">
        <v>447</v>
      </c>
      <c r="C143" s="34" t="s">
        <v>447</v>
      </c>
      <c r="D143" s="34">
        <v>4.48</v>
      </c>
      <c r="E143" s="34">
        <v>4.48287316300891</v>
      </c>
      <c r="F143" s="34"/>
      <c r="G143" s="34">
        <v>4.49701701635104</v>
      </c>
      <c r="H143" s="34">
        <v>4.47272208343306</v>
      </c>
      <c r="I143" s="34">
        <v>4.44845227277725</v>
      </c>
      <c r="J143" s="34">
        <v>4.42686458370669</v>
      </c>
      <c r="K143" s="34">
        <v>4.4083233232174</v>
      </c>
      <c r="L143" s="34">
        <v>4.39008545293101</v>
      </c>
      <c r="M143" s="34">
        <v>4.36992277564284</v>
      </c>
      <c r="N143" s="34">
        <v>4.34868969652845</v>
      </c>
      <c r="O143" s="34">
        <v>4.32638350835704</v>
      </c>
      <c r="P143" s="34">
        <v>4.30628956514917</v>
      </c>
      <c r="Q143" s="34">
        <v>4.2863816544759</v>
      </c>
      <c r="R143" s="34">
        <v>4.26214824333705</v>
      </c>
      <c r="S143" s="34">
        <v>4.2318003200682</v>
      </c>
      <c r="T143" s="34">
        <v>4.19739464897367</v>
      </c>
      <c r="U143" s="34">
        <v>4.16128618928244</v>
      </c>
      <c r="V143" s="34">
        <v>4.12371127544428</v>
      </c>
      <c r="W143" s="34">
        <v>3</v>
      </c>
      <c r="AG143" s="232" t="s">
        <v>442</v>
      </c>
      <c r="AI143">
        <v>1</v>
      </c>
      <c r="AJ143">
        <v>1.00080411535718</v>
      </c>
      <c r="AK143">
        <v>1.0048246921431</v>
      </c>
      <c r="AL143">
        <v>0.997803577465389</v>
      </c>
      <c r="AM143">
        <v>0.990688677574286</v>
      </c>
      <c r="AN143">
        <v>0.984268014221844</v>
      </c>
      <c r="AO143">
        <v>0.978671297778821</v>
      </c>
      <c r="AP143">
        <v>0.973081900981446</v>
      </c>
      <c r="AQ143">
        <v>0.966806729107691</v>
      </c>
      <c r="AR143">
        <v>0.960095827983472</v>
      </c>
      <c r="AS143">
        <v>0.952932599200519</v>
      </c>
      <c r="AT143">
        <v>0.946375699093767</v>
      </c>
      <c r="AU143">
        <v>0.939771804217772</v>
      </c>
      <c r="AV143">
        <v>0.931597839341566</v>
      </c>
      <c r="AW143">
        <v>0.921192680609161</v>
      </c>
      <c r="AX143">
        <v>0.909209411083547</v>
      </c>
      <c r="AY143">
        <v>0.896439526043208</v>
      </c>
      <c r="AZ143">
        <v>0.882948649897371</v>
      </c>
      <c r="BA143">
        <v>0</v>
      </c>
      <c r="BB143">
        <v>0</v>
      </c>
      <c r="BC143">
        <v>0</v>
      </c>
      <c r="BD143">
        <v>0</v>
      </c>
      <c r="BE143">
        <v>0</v>
      </c>
      <c r="BF143">
        <v>0</v>
      </c>
      <c r="BG143">
        <v>0</v>
      </c>
      <c r="BH143">
        <v>0</v>
      </c>
      <c r="BJ143" t="s">
        <v>452</v>
      </c>
      <c r="BL143">
        <v>0.8</v>
      </c>
      <c r="BM143">
        <v>0.797560975609756</v>
      </c>
      <c r="BN143">
        <v>0.785365853658536</v>
      </c>
      <c r="BO143">
        <v>0.773170731707317</v>
      </c>
      <c r="BP143">
        <v>0.760975609756097</v>
      </c>
      <c r="BQ143">
        <v>0.748780487804878</v>
      </c>
      <c r="BR143">
        <v>0.736585365853658</v>
      </c>
      <c r="BS143">
        <v>0.724390243902439</v>
      </c>
      <c r="BT143">
        <v>0.71219512195122</v>
      </c>
      <c r="BU143">
        <v>0.699999999999999</v>
      </c>
      <c r="BV143">
        <v>0.687499999999999</v>
      </c>
      <c r="BW143">
        <v>0.675</v>
      </c>
      <c r="BX143">
        <v>0.6625</v>
      </c>
      <c r="BY143">
        <v>0.649999999999999</v>
      </c>
      <c r="BZ143">
        <v>0.637499999999999</v>
      </c>
      <c r="CA143">
        <v>0.625</v>
      </c>
      <c r="CB143">
        <v>0.6125</v>
      </c>
      <c r="CC143">
        <v>0.6</v>
      </c>
      <c r="CD143" t="e">
        <v>#VALUE!</v>
      </c>
      <c r="CE143" t="e">
        <v>#VALUE!</v>
      </c>
      <c r="CF143" t="e">
        <v>#VALUE!</v>
      </c>
      <c r="CG143" t="e">
        <v>#VALUE!</v>
      </c>
      <c r="CH143" t="e">
        <v>#VALUE!</v>
      </c>
      <c r="CI143" t="e">
        <v>#VALUE!</v>
      </c>
      <c r="CJ143" t="e">
        <v>#VALUE!</v>
      </c>
      <c r="CK143" t="e">
        <v>#VALUE!</v>
      </c>
    </row>
    <row r="144" spans="1:89">
      <c r="A144" s="34" t="s">
        <v>15</v>
      </c>
      <c r="B144" s="34" t="s">
        <v>448</v>
      </c>
      <c r="C144" s="34" t="s">
        <v>448</v>
      </c>
      <c r="D144" s="34">
        <v>487.776</v>
      </c>
      <c r="E144" s="34">
        <v>489.674263152715</v>
      </c>
      <c r="F144" s="34"/>
      <c r="G144" s="34">
        <v>514.718106909079</v>
      </c>
      <c r="H144" s="34">
        <v>538.647530384054</v>
      </c>
      <c r="I144" s="34">
        <v>563.612416648886</v>
      </c>
      <c r="J144" s="34">
        <v>591.570885759525</v>
      </c>
      <c r="K144" s="34">
        <v>620.107393628332</v>
      </c>
      <c r="L144" s="34">
        <v>647.066681255765</v>
      </c>
      <c r="M144" s="34">
        <v>672.685879321172</v>
      </c>
      <c r="N144" s="34">
        <v>697.649357183424</v>
      </c>
      <c r="O144" s="34">
        <v>722.608524003204</v>
      </c>
      <c r="P144" s="34">
        <v>746.658440455295</v>
      </c>
      <c r="Q144" s="34">
        <v>769.568827829978</v>
      </c>
      <c r="R144" s="34">
        <v>790.901389022283</v>
      </c>
      <c r="S144" s="34">
        <v>810.350157575089</v>
      </c>
      <c r="T144" s="34">
        <v>827.824817245277</v>
      </c>
      <c r="U144" s="34">
        <v>843.475967361271</v>
      </c>
      <c r="V144" s="34">
        <v>857.578256729381</v>
      </c>
      <c r="W144" s="34">
        <v>3</v>
      </c>
      <c r="AG144" s="232" t="s">
        <v>449</v>
      </c>
      <c r="AI144">
        <v>1</v>
      </c>
      <c r="AJ144">
        <v>1.0048794637262</v>
      </c>
      <c r="AK144">
        <v>1.07031831439365</v>
      </c>
      <c r="AL144">
        <v>1.1346759885235</v>
      </c>
      <c r="AM144">
        <v>1.20378362596473</v>
      </c>
      <c r="AN144">
        <v>1.28353290182187</v>
      </c>
      <c r="AO144">
        <v>1.36759068902572</v>
      </c>
      <c r="AP144">
        <v>1.44966836395947</v>
      </c>
      <c r="AQ144">
        <v>1.53025929262689</v>
      </c>
      <c r="AR144">
        <v>1.61138523682273</v>
      </c>
      <c r="AS144">
        <v>1.69523842185469</v>
      </c>
      <c r="AT144">
        <v>1.7788251846324</v>
      </c>
      <c r="AU144">
        <v>1.86121202368009</v>
      </c>
      <c r="AV144">
        <v>1.9405859794913</v>
      </c>
      <c r="AW144">
        <v>2.01544126480778</v>
      </c>
      <c r="AX144">
        <v>2.08497989545241</v>
      </c>
      <c r="AY144">
        <v>2.14933805167148</v>
      </c>
      <c r="AZ144">
        <v>2.20923026818079</v>
      </c>
      <c r="BA144">
        <v>0</v>
      </c>
      <c r="BB144">
        <v>0</v>
      </c>
      <c r="BC144">
        <v>0</v>
      </c>
      <c r="BD144">
        <v>0</v>
      </c>
      <c r="BE144">
        <v>0</v>
      </c>
      <c r="BF144">
        <v>0</v>
      </c>
      <c r="BG144">
        <v>0</v>
      </c>
      <c r="BH144">
        <v>0</v>
      </c>
      <c r="BJ144" t="s">
        <v>452</v>
      </c>
      <c r="BL144">
        <v>0.8</v>
      </c>
      <c r="BM144">
        <v>0.797560975609756</v>
      </c>
      <c r="BN144">
        <v>0.785365853658536</v>
      </c>
      <c r="BO144">
        <v>0.773170731707317</v>
      </c>
      <c r="BP144">
        <v>0.760975609756097</v>
      </c>
      <c r="BQ144">
        <v>0.748780487804878</v>
      </c>
      <c r="BR144">
        <v>0.736585365853658</v>
      </c>
      <c r="BS144">
        <v>0.724390243902439</v>
      </c>
      <c r="BT144">
        <v>0.71219512195122</v>
      </c>
      <c r="BU144">
        <v>0.699999999999999</v>
      </c>
      <c r="BV144">
        <v>0.687499999999999</v>
      </c>
      <c r="BW144">
        <v>0.675</v>
      </c>
      <c r="BX144">
        <v>0.6625</v>
      </c>
      <c r="BY144">
        <v>0.649999999999999</v>
      </c>
      <c r="BZ144">
        <v>0.637499999999999</v>
      </c>
      <c r="CA144">
        <v>0.625</v>
      </c>
      <c r="CB144">
        <v>0.6125</v>
      </c>
      <c r="CC144">
        <v>0.6</v>
      </c>
      <c r="CD144" t="e">
        <v>#VALUE!</v>
      </c>
      <c r="CE144" t="e">
        <v>#VALUE!</v>
      </c>
      <c r="CF144" t="e">
        <v>#VALUE!</v>
      </c>
      <c r="CG144" t="e">
        <v>#VALUE!</v>
      </c>
      <c r="CH144" t="e">
        <v>#VALUE!</v>
      </c>
      <c r="CI144" t="e">
        <v>#VALUE!</v>
      </c>
      <c r="CJ144" t="e">
        <v>#VALUE!</v>
      </c>
      <c r="CK144" t="e">
        <v>#VALUE!</v>
      </c>
    </row>
    <row r="145" spans="1:89">
      <c r="A145" s="34" t="s">
        <v>15</v>
      </c>
      <c r="B145" s="34" t="s">
        <v>450</v>
      </c>
      <c r="C145" s="34" t="s">
        <v>450</v>
      </c>
      <c r="D145" s="34">
        <v>131</v>
      </c>
      <c r="E145" s="34">
        <v>131.594233060155</v>
      </c>
      <c r="F145" s="34"/>
      <c r="G145" s="34">
        <v>138.766702178789</v>
      </c>
      <c r="H145" s="34">
        <v>144.423255530294</v>
      </c>
      <c r="I145" s="34">
        <v>150.285494414311</v>
      </c>
      <c r="J145" s="34">
        <v>156.96290333832</v>
      </c>
      <c r="K145" s="34">
        <v>163.834093110719</v>
      </c>
      <c r="L145" s="34">
        <v>170.23832702311</v>
      </c>
      <c r="M145" s="34">
        <v>176.153210892228</v>
      </c>
      <c r="N145" s="34">
        <v>181.788994880671</v>
      </c>
      <c r="O145" s="34">
        <v>187.311701421777</v>
      </c>
      <c r="P145" s="34">
        <v>192.632957822927</v>
      </c>
      <c r="Q145" s="34">
        <v>197.61190199501</v>
      </c>
      <c r="R145" s="34">
        <v>201.924872689356</v>
      </c>
      <c r="S145" s="34">
        <v>205.397101099748</v>
      </c>
      <c r="T145" s="34">
        <v>208.09880124182</v>
      </c>
      <c r="U145" s="34">
        <v>210.187744048612</v>
      </c>
      <c r="V145" s="34">
        <v>211.751120561826</v>
      </c>
      <c r="W145" s="34">
        <v>3</v>
      </c>
      <c r="AG145" s="232" t="s">
        <v>437</v>
      </c>
      <c r="AI145">
        <v>1</v>
      </c>
      <c r="AJ145">
        <v>1.0056875027351</v>
      </c>
      <c r="AK145">
        <v>1.07548227075571</v>
      </c>
      <c r="AL145">
        <v>1.13218376061282</v>
      </c>
      <c r="AM145">
        <v>1.19257480849257</v>
      </c>
      <c r="AN145">
        <v>1.26334038046461</v>
      </c>
      <c r="AO145">
        <v>1.33842175445903</v>
      </c>
      <c r="AP145">
        <v>1.41064604739435</v>
      </c>
      <c r="AQ145">
        <v>1.47946498139125</v>
      </c>
      <c r="AR145">
        <v>1.54708424314766</v>
      </c>
      <c r="AS145">
        <v>1.61544795560257</v>
      </c>
      <c r="AT145">
        <v>1.68343692767209</v>
      </c>
      <c r="AU145">
        <v>1.74911458152565</v>
      </c>
      <c r="AV145">
        <v>1.80784570555063</v>
      </c>
      <c r="AW145">
        <v>1.85660974133859</v>
      </c>
      <c r="AX145">
        <v>1.89568334286532</v>
      </c>
      <c r="AY145">
        <v>1.92675158434702</v>
      </c>
      <c r="AZ145">
        <v>1.95063688260264</v>
      </c>
      <c r="BA145">
        <v>0</v>
      </c>
      <c r="BB145">
        <v>0</v>
      </c>
      <c r="BC145">
        <v>0</v>
      </c>
      <c r="BD145">
        <v>0</v>
      </c>
      <c r="BE145">
        <v>0</v>
      </c>
      <c r="BF145">
        <v>0</v>
      </c>
      <c r="BG145">
        <v>0</v>
      </c>
      <c r="BH145">
        <v>0</v>
      </c>
      <c r="BJ145" t="s">
        <v>452</v>
      </c>
      <c r="BL145">
        <v>0.8</v>
      </c>
      <c r="BM145">
        <v>0.797560975609756</v>
      </c>
      <c r="BN145">
        <v>0.785365853658536</v>
      </c>
      <c r="BO145">
        <v>0.773170731707317</v>
      </c>
      <c r="BP145">
        <v>0.760975609756097</v>
      </c>
      <c r="BQ145">
        <v>0.748780487804878</v>
      </c>
      <c r="BR145">
        <v>0.736585365853658</v>
      </c>
      <c r="BS145">
        <v>0.724390243902439</v>
      </c>
      <c r="BT145">
        <v>0.71219512195122</v>
      </c>
      <c r="BU145">
        <v>0.699999999999999</v>
      </c>
      <c r="BV145">
        <v>0.687499999999999</v>
      </c>
      <c r="BW145">
        <v>0.675</v>
      </c>
      <c r="BX145">
        <v>0.6625</v>
      </c>
      <c r="BY145">
        <v>0.649999999999999</v>
      </c>
      <c r="BZ145">
        <v>0.637499999999999</v>
      </c>
      <c r="CA145">
        <v>0.625</v>
      </c>
      <c r="CB145">
        <v>0.6125</v>
      </c>
      <c r="CC145">
        <v>0.6</v>
      </c>
      <c r="CD145" t="e">
        <v>#VALUE!</v>
      </c>
      <c r="CE145" t="e">
        <v>#VALUE!</v>
      </c>
      <c r="CF145" t="e">
        <v>#VALUE!</v>
      </c>
      <c r="CG145" t="e">
        <v>#VALUE!</v>
      </c>
      <c r="CH145" t="e">
        <v>#VALUE!</v>
      </c>
      <c r="CI145" t="e">
        <v>#VALUE!</v>
      </c>
      <c r="CJ145" t="e">
        <v>#VALUE!</v>
      </c>
      <c r="CK145" t="e">
        <v>#VALUE!</v>
      </c>
    </row>
    <row r="146" spans="1:89">
      <c r="A146" s="34" t="s">
        <v>15</v>
      </c>
      <c r="B146" s="34" t="s">
        <v>451</v>
      </c>
      <c r="C146" s="34" t="s">
        <v>451</v>
      </c>
      <c r="D146" s="34">
        <v>76.28</v>
      </c>
      <c r="E146" s="34">
        <v>76.6260160139589</v>
      </c>
      <c r="F146" s="34"/>
      <c r="G146" s="34">
        <v>80.8024736045653</v>
      </c>
      <c r="H146" s="34">
        <v>84.096228487411</v>
      </c>
      <c r="I146" s="34">
        <v>87.5097520146844</v>
      </c>
      <c r="J146" s="34">
        <v>91.3979409667712</v>
      </c>
      <c r="K146" s="34">
        <v>95.3989665838597</v>
      </c>
      <c r="L146" s="34">
        <v>99.1280884375789</v>
      </c>
      <c r="M146" s="34">
        <v>102.572266617245</v>
      </c>
      <c r="N146" s="34">
        <v>105.853927706089</v>
      </c>
      <c r="O146" s="34">
        <v>109.06974491949</v>
      </c>
      <c r="P146" s="34">
        <v>112.168259715518</v>
      </c>
      <c r="Q146" s="34">
        <v>115.067449497552</v>
      </c>
      <c r="R146" s="34">
        <v>117.578849532397</v>
      </c>
      <c r="S146" s="34">
        <v>119.60069367854</v>
      </c>
      <c r="T146" s="34">
        <v>121.173866860504</v>
      </c>
      <c r="U146" s="34">
        <v>122.390237526932</v>
      </c>
      <c r="V146" s="34">
        <v>123.300576156153</v>
      </c>
      <c r="W146" s="34">
        <v>3</v>
      </c>
      <c r="AG146" s="232" t="s">
        <v>437</v>
      </c>
      <c r="AI146">
        <v>1</v>
      </c>
      <c r="AJ146">
        <v>1.0056875027351</v>
      </c>
      <c r="AK146">
        <v>1.07548227075571</v>
      </c>
      <c r="AL146">
        <v>1.13218376061282</v>
      </c>
      <c r="AM146">
        <v>1.19257480849257</v>
      </c>
      <c r="AN146">
        <v>1.26334038046461</v>
      </c>
      <c r="AO146">
        <v>1.33842175445903</v>
      </c>
      <c r="AP146">
        <v>1.41064604739435</v>
      </c>
      <c r="AQ146">
        <v>1.47946498139125</v>
      </c>
      <c r="AR146">
        <v>1.54708424314766</v>
      </c>
      <c r="AS146">
        <v>1.61544795560257</v>
      </c>
      <c r="AT146">
        <v>1.68343692767209</v>
      </c>
      <c r="AU146">
        <v>1.74911458152565</v>
      </c>
      <c r="AV146">
        <v>1.80784570555063</v>
      </c>
      <c r="AW146">
        <v>1.85660974133859</v>
      </c>
      <c r="AX146">
        <v>1.89568334286532</v>
      </c>
      <c r="AY146">
        <v>1.92675158434702</v>
      </c>
      <c r="AZ146">
        <v>1.95063688260264</v>
      </c>
      <c r="BA146">
        <v>0</v>
      </c>
      <c r="BB146">
        <v>0</v>
      </c>
      <c r="BC146">
        <v>0</v>
      </c>
      <c r="BD146">
        <v>0</v>
      </c>
      <c r="BE146">
        <v>0</v>
      </c>
      <c r="BF146">
        <v>0</v>
      </c>
      <c r="BG146">
        <v>0</v>
      </c>
      <c r="BH146">
        <v>0</v>
      </c>
      <c r="BJ146" t="s">
        <v>452</v>
      </c>
      <c r="BL146">
        <v>0.8</v>
      </c>
      <c r="BM146">
        <v>0.797560975609756</v>
      </c>
      <c r="BN146">
        <v>0.785365853658536</v>
      </c>
      <c r="BO146">
        <v>0.773170731707317</v>
      </c>
      <c r="BP146">
        <v>0.760975609756097</v>
      </c>
      <c r="BQ146">
        <v>0.748780487804878</v>
      </c>
      <c r="BR146">
        <v>0.736585365853658</v>
      </c>
      <c r="BS146">
        <v>0.724390243902439</v>
      </c>
      <c r="BT146">
        <v>0.71219512195122</v>
      </c>
      <c r="BU146">
        <v>0.699999999999999</v>
      </c>
      <c r="BV146">
        <v>0.687499999999999</v>
      </c>
      <c r="BW146">
        <v>0.675</v>
      </c>
      <c r="BX146">
        <v>0.6625</v>
      </c>
      <c r="BY146">
        <v>0.649999999999999</v>
      </c>
      <c r="BZ146">
        <v>0.637499999999999</v>
      </c>
      <c r="CA146">
        <v>0.625</v>
      </c>
      <c r="CB146">
        <v>0.6125</v>
      </c>
      <c r="CC146">
        <v>0.6</v>
      </c>
      <c r="CD146" t="e">
        <v>#VALUE!</v>
      </c>
      <c r="CE146" t="e">
        <v>#VALUE!</v>
      </c>
      <c r="CF146" t="e">
        <v>#VALUE!</v>
      </c>
      <c r="CG146" t="e">
        <v>#VALUE!</v>
      </c>
      <c r="CH146" t="e">
        <v>#VALUE!</v>
      </c>
      <c r="CI146" t="e">
        <v>#VALUE!</v>
      </c>
      <c r="CJ146" t="e">
        <v>#VALUE!</v>
      </c>
      <c r="CK146" t="e">
        <v>#VALUE!</v>
      </c>
    </row>
    <row r="147" spans="1:89">
      <c r="A147" s="34" t="s">
        <v>16</v>
      </c>
      <c r="B147" s="34" t="s">
        <v>436</v>
      </c>
      <c r="C147" s="34" t="s">
        <v>436</v>
      </c>
      <c r="D147" s="34"/>
      <c r="E147" s="34">
        <v>9.41801071539259</v>
      </c>
      <c r="F147" s="34">
        <f xml:space="preserve">E147</f>
        <v>9.41801071539259</v>
      </c>
      <c r="G147" s="34"/>
      <c r="H147" s="34"/>
      <c r="I147" s="34">
        <f xml:space="preserve">F147</f>
        <v>9.41801071539259</v>
      </c>
      <c r="J147" s="34">
        <f xml:space="preserve">I147</f>
        <v>9.41801071539259</v>
      </c>
      <c r="K147" s="34"/>
      <c r="L147" s="34">
        <f xml:space="preserve">J147</f>
        <v>9.41801071539259</v>
      </c>
      <c r="M147" s="34"/>
      <c r="N147" s="34"/>
      <c r="O147" s="34"/>
      <c r="P147" s="34"/>
      <c r="Q147" s="34"/>
      <c r="R147" s="34"/>
      <c r="S147" s="34"/>
      <c r="T147" s="34"/>
      <c r="U147" s="34"/>
      <c r="V147" s="34">
        <f xml:space="preserve">L147</f>
        <v>9.41801071539259</v>
      </c>
      <c r="W147" s="34">
        <v>3</v>
      </c>
      <c r="AG147" s="232" t="s">
        <v>437</v>
      </c>
      <c r="AI147">
        <v>1</v>
      </c>
      <c r="AJ147">
        <v>0.993995820811782</v>
      </c>
      <c r="AK147">
        <v>1.21947847748895</v>
      </c>
      <c r="AL147">
        <v>1.35596328130499</v>
      </c>
      <c r="AM147">
        <v>1.47246412572297</v>
      </c>
      <c r="AN147">
        <v>1.59951826814933</v>
      </c>
      <c r="AO147">
        <v>1.72541059727865</v>
      </c>
      <c r="AP147">
        <v>1.84777798871814</v>
      </c>
      <c r="AQ147">
        <v>1.9700814772151</v>
      </c>
      <c r="AR147">
        <v>2.09095469583227</v>
      </c>
      <c r="AS147">
        <v>2.20646103063693</v>
      </c>
      <c r="AT147">
        <v>2.30928214966673</v>
      </c>
      <c r="AU147">
        <v>2.39914124721075</v>
      </c>
      <c r="AV147">
        <v>2.47820427978879</v>
      </c>
      <c r="AW147">
        <v>2.55041781606331</v>
      </c>
      <c r="AX147">
        <v>2.61759297460683</v>
      </c>
      <c r="AY147">
        <v>2.67827186919254</v>
      </c>
      <c r="AZ147">
        <v>2.72810653076512</v>
      </c>
      <c r="BA147">
        <v>0</v>
      </c>
      <c r="BB147">
        <v>0</v>
      </c>
      <c r="BC147">
        <v>0</v>
      </c>
      <c r="BD147">
        <v>0</v>
      </c>
      <c r="BE147">
        <v>0</v>
      </c>
      <c r="BF147">
        <v>0</v>
      </c>
      <c r="BG147">
        <v>0</v>
      </c>
      <c r="BH147">
        <v>0</v>
      </c>
      <c r="BJ147" t="s">
        <v>452</v>
      </c>
      <c r="BL147">
        <v>0.8</v>
      </c>
      <c r="BM147">
        <v>0.797560975609756</v>
      </c>
      <c r="BN147">
        <v>0.785365853658536</v>
      </c>
      <c r="BO147">
        <v>0.773170731707317</v>
      </c>
      <c r="BP147">
        <v>0.760975609756097</v>
      </c>
      <c r="BQ147">
        <v>0.748780487804878</v>
      </c>
      <c r="BR147">
        <v>0.736585365853658</v>
      </c>
      <c r="BS147">
        <v>0.724390243902439</v>
      </c>
      <c r="BT147">
        <v>0.71219512195122</v>
      </c>
      <c r="BU147">
        <v>0.699999999999999</v>
      </c>
      <c r="BV147">
        <v>0.687499999999999</v>
      </c>
      <c r="BW147">
        <v>0.675</v>
      </c>
      <c r="BX147">
        <v>0.6625</v>
      </c>
      <c r="BY147">
        <v>0.649999999999999</v>
      </c>
      <c r="BZ147">
        <v>0.637499999999999</v>
      </c>
      <c r="CA147">
        <v>0.625</v>
      </c>
      <c r="CB147">
        <v>0.6125</v>
      </c>
      <c r="CC147">
        <v>0.6</v>
      </c>
      <c r="CD147" t="e">
        <v>#VALUE!</v>
      </c>
      <c r="CE147" t="e">
        <v>#VALUE!</v>
      </c>
      <c r="CF147" t="e">
        <v>#VALUE!</v>
      </c>
      <c r="CG147" t="e">
        <v>#VALUE!</v>
      </c>
      <c r="CH147" t="e">
        <v>#VALUE!</v>
      </c>
      <c r="CI147" t="e">
        <v>#VALUE!</v>
      </c>
      <c r="CJ147" t="e">
        <v>#VALUE!</v>
      </c>
      <c r="CK147" t="e">
        <v>#VALUE!</v>
      </c>
    </row>
    <row r="148" spans="1:89">
      <c r="A148" s="34" t="s">
        <v>16</v>
      </c>
      <c r="B148" s="34" t="s">
        <v>439</v>
      </c>
      <c r="C148" s="34" t="s">
        <v>439</v>
      </c>
      <c r="D148" s="34"/>
      <c r="E148" s="34">
        <v>60.0666943733252</v>
      </c>
      <c r="F148" s="34">
        <f xml:space="preserve">E148</f>
        <v>60.0666943733252</v>
      </c>
      <c r="G148" s="34"/>
      <c r="H148" s="34"/>
      <c r="I148" s="34">
        <f xml:space="preserve">F148</f>
        <v>60.0666943733252</v>
      </c>
      <c r="J148" s="34">
        <f xml:space="preserve">I148</f>
        <v>60.0666943733252</v>
      </c>
      <c r="K148" s="34"/>
      <c r="L148" s="34">
        <f xml:space="preserve">J148</f>
        <v>60.0666943733252</v>
      </c>
      <c r="M148" s="34"/>
      <c r="N148" s="34"/>
      <c r="O148" s="34"/>
      <c r="P148" s="34"/>
      <c r="Q148" s="34"/>
      <c r="R148" s="34"/>
      <c r="S148" s="34"/>
      <c r="T148" s="34"/>
      <c r="U148" s="34"/>
      <c r="V148" s="34">
        <f xml:space="preserve">L148</f>
        <v>60.0666943733252</v>
      </c>
      <c r="W148" s="34">
        <v>3</v>
      </c>
      <c r="AG148" s="232" t="s">
        <v>437</v>
      </c>
      <c r="AI148">
        <v>1</v>
      </c>
      <c r="AJ148">
        <v>0.993995820811782</v>
      </c>
      <c r="AK148">
        <v>1.21947847748895</v>
      </c>
      <c r="AL148">
        <v>1.35596328130499</v>
      </c>
      <c r="AM148">
        <v>1.47246412572297</v>
      </c>
      <c r="AN148">
        <v>1.59951826814933</v>
      </c>
      <c r="AO148">
        <v>1.72541059727865</v>
      </c>
      <c r="AP148">
        <v>1.84777798871814</v>
      </c>
      <c r="AQ148">
        <v>1.9700814772151</v>
      </c>
      <c r="AR148">
        <v>2.09095469583227</v>
      </c>
      <c r="AS148">
        <v>2.20646103063693</v>
      </c>
      <c r="AT148">
        <v>2.30928214966673</v>
      </c>
      <c r="AU148">
        <v>2.39914124721075</v>
      </c>
      <c r="AV148">
        <v>2.47820427978879</v>
      </c>
      <c r="AW148">
        <v>2.55041781606331</v>
      </c>
      <c r="AX148">
        <v>2.61759297460683</v>
      </c>
      <c r="AY148">
        <v>2.67827186919254</v>
      </c>
      <c r="AZ148">
        <v>2.72810653076512</v>
      </c>
      <c r="BA148">
        <v>0</v>
      </c>
      <c r="BB148">
        <v>0</v>
      </c>
      <c r="BC148">
        <v>0</v>
      </c>
      <c r="BD148">
        <v>0</v>
      </c>
      <c r="BE148">
        <v>0</v>
      </c>
      <c r="BF148">
        <v>0</v>
      </c>
      <c r="BG148">
        <v>0</v>
      </c>
      <c r="BH148">
        <v>0</v>
      </c>
      <c r="BJ148" t="s">
        <v>452</v>
      </c>
      <c r="BL148">
        <v>0.8</v>
      </c>
      <c r="BM148">
        <v>0.797560975609756</v>
      </c>
      <c r="BN148">
        <v>0.785365853658536</v>
      </c>
      <c r="BO148">
        <v>0.773170731707317</v>
      </c>
      <c r="BP148">
        <v>0.760975609756097</v>
      </c>
      <c r="BQ148">
        <v>0.748780487804878</v>
      </c>
      <c r="BR148">
        <v>0.736585365853658</v>
      </c>
      <c r="BS148">
        <v>0.724390243902439</v>
      </c>
      <c r="BT148">
        <v>0.71219512195122</v>
      </c>
      <c r="BU148">
        <v>0.699999999999999</v>
      </c>
      <c r="BV148">
        <v>0.687499999999999</v>
      </c>
      <c r="BW148">
        <v>0.675</v>
      </c>
      <c r="BX148">
        <v>0.6625</v>
      </c>
      <c r="BY148">
        <v>0.649999999999999</v>
      </c>
      <c r="BZ148">
        <v>0.637499999999999</v>
      </c>
      <c r="CA148">
        <v>0.625</v>
      </c>
      <c r="CB148">
        <v>0.6125</v>
      </c>
      <c r="CC148">
        <v>0.6</v>
      </c>
      <c r="CD148" t="e">
        <v>#VALUE!</v>
      </c>
      <c r="CE148" t="e">
        <v>#VALUE!</v>
      </c>
      <c r="CF148" t="e">
        <v>#VALUE!</v>
      </c>
      <c r="CG148" t="e">
        <v>#VALUE!</v>
      </c>
      <c r="CH148" t="e">
        <v>#VALUE!</v>
      </c>
      <c r="CI148" t="e">
        <v>#VALUE!</v>
      </c>
      <c r="CJ148" t="e">
        <v>#VALUE!</v>
      </c>
      <c r="CK148" t="e">
        <v>#VALUE!</v>
      </c>
    </row>
    <row r="149" spans="1:89">
      <c r="A149" s="34" t="s">
        <v>16</v>
      </c>
      <c r="B149" s="34" t="s">
        <v>440</v>
      </c>
      <c r="C149" s="34" t="s">
        <v>440</v>
      </c>
      <c r="D149" s="34"/>
      <c r="E149" s="34">
        <v>0.407881973548625</v>
      </c>
      <c r="F149" s="34"/>
      <c r="G149" s="34"/>
      <c r="H149" s="34"/>
      <c r="I149" s="34">
        <v>0.556269853938886</v>
      </c>
      <c r="J149" s="34">
        <v>0.592210356864755</v>
      </c>
      <c r="K149" s="34"/>
      <c r="L149" s="34">
        <v>0.658731360506297</v>
      </c>
      <c r="M149" s="34"/>
      <c r="N149" s="34"/>
      <c r="O149" s="34"/>
      <c r="P149" s="34"/>
      <c r="Q149" s="34"/>
      <c r="R149" s="34"/>
      <c r="S149" s="34"/>
      <c r="T149" s="34"/>
      <c r="U149" s="34"/>
      <c r="V149" s="34">
        <v>0.856844601589363</v>
      </c>
      <c r="W149" s="34">
        <v>3</v>
      </c>
      <c r="AG149" s="232" t="s">
        <v>437</v>
      </c>
      <c r="AI149">
        <v>1</v>
      </c>
      <c r="AJ149">
        <v>0.993995820811782</v>
      </c>
      <c r="AK149">
        <v>1.21947847748895</v>
      </c>
      <c r="AL149">
        <v>1.35596328130499</v>
      </c>
      <c r="AM149">
        <v>1.47246412572297</v>
      </c>
      <c r="AN149">
        <v>1.59951826814933</v>
      </c>
      <c r="AO149">
        <v>1.72541059727865</v>
      </c>
      <c r="AP149">
        <v>1.84777798871814</v>
      </c>
      <c r="AQ149">
        <v>1.9700814772151</v>
      </c>
      <c r="AR149">
        <v>2.09095469583227</v>
      </c>
      <c r="AS149">
        <v>2.20646103063693</v>
      </c>
      <c r="AT149">
        <v>2.30928214966673</v>
      </c>
      <c r="AU149">
        <v>2.39914124721075</v>
      </c>
      <c r="AV149">
        <v>2.47820427978879</v>
      </c>
      <c r="AW149">
        <v>2.55041781606331</v>
      </c>
      <c r="AX149">
        <v>2.61759297460683</v>
      </c>
      <c r="AY149">
        <v>2.67827186919254</v>
      </c>
      <c r="AZ149">
        <v>2.72810653076512</v>
      </c>
      <c r="BA149">
        <v>0</v>
      </c>
      <c r="BB149">
        <v>0</v>
      </c>
      <c r="BC149">
        <v>0</v>
      </c>
      <c r="BD149">
        <v>0</v>
      </c>
      <c r="BE149">
        <v>0</v>
      </c>
      <c r="BF149">
        <v>0</v>
      </c>
      <c r="BG149">
        <v>0</v>
      </c>
      <c r="BH149">
        <v>0</v>
      </c>
      <c r="BJ149" t="s">
        <v>452</v>
      </c>
      <c r="BL149">
        <v>0.8</v>
      </c>
      <c r="BM149">
        <v>0.797560975609756</v>
      </c>
      <c r="BN149">
        <v>0.785365853658536</v>
      </c>
      <c r="BO149">
        <v>0.773170731707317</v>
      </c>
      <c r="BP149">
        <v>0.760975609756097</v>
      </c>
      <c r="BQ149">
        <v>0.748780487804878</v>
      </c>
      <c r="BR149">
        <v>0.736585365853658</v>
      </c>
      <c r="BS149">
        <v>0.724390243902439</v>
      </c>
      <c r="BT149">
        <v>0.71219512195122</v>
      </c>
      <c r="BU149">
        <v>0.699999999999999</v>
      </c>
      <c r="BV149">
        <v>0.687499999999999</v>
      </c>
      <c r="BW149">
        <v>0.675</v>
      </c>
      <c r="BX149">
        <v>0.6625</v>
      </c>
      <c r="BY149">
        <v>0.649999999999999</v>
      </c>
      <c r="BZ149">
        <v>0.637499999999999</v>
      </c>
      <c r="CA149">
        <v>0.625</v>
      </c>
      <c r="CB149">
        <v>0.6125</v>
      </c>
      <c r="CC149">
        <v>0.6</v>
      </c>
      <c r="CD149" t="e">
        <v>#VALUE!</v>
      </c>
      <c r="CE149" t="e">
        <v>#VALUE!</v>
      </c>
      <c r="CF149" t="e">
        <v>#VALUE!</v>
      </c>
      <c r="CG149" t="e">
        <v>#VALUE!</v>
      </c>
      <c r="CH149" t="e">
        <v>#VALUE!</v>
      </c>
      <c r="CI149" t="e">
        <v>#VALUE!</v>
      </c>
      <c r="CJ149" t="e">
        <v>#VALUE!</v>
      </c>
      <c r="CK149" t="e">
        <v>#VALUE!</v>
      </c>
    </row>
    <row r="150" spans="1:89">
      <c r="A150" s="34" t="s">
        <v>16</v>
      </c>
      <c r="B150" s="34" t="s">
        <v>441</v>
      </c>
      <c r="C150" s="34" t="s">
        <v>441</v>
      </c>
      <c r="D150" s="34"/>
      <c r="E150" s="34">
        <v>0.699362690149308</v>
      </c>
      <c r="F150" s="34"/>
      <c r="G150" s="34"/>
      <c r="H150" s="34"/>
      <c r="I150" s="34">
        <v>0.682703126816235</v>
      </c>
      <c r="J150" s="34">
        <v>0.678924584296357</v>
      </c>
      <c r="K150" s="34"/>
      <c r="L150" s="34">
        <v>0.673124624068275</v>
      </c>
      <c r="M150" s="34"/>
      <c r="N150" s="34"/>
      <c r="O150" s="34"/>
      <c r="P150" s="34"/>
      <c r="Q150" s="34"/>
      <c r="R150" s="34"/>
      <c r="S150" s="34"/>
      <c r="T150" s="34"/>
      <c r="U150" s="34"/>
      <c r="V150" s="34">
        <v>0.613005347160796</v>
      </c>
      <c r="W150" s="34">
        <v>3</v>
      </c>
      <c r="AG150" s="232" t="s">
        <v>442</v>
      </c>
      <c r="AI150">
        <v>1</v>
      </c>
      <c r="AJ150">
        <v>0.997831549885011</v>
      </c>
      <c r="AK150">
        <v>0.986989299310067</v>
      </c>
      <c r="AL150">
        <v>0.976305741027938</v>
      </c>
      <c r="AM150">
        <v>0.967184619783603</v>
      </c>
      <c r="AN150">
        <v>0.960035587064387</v>
      </c>
      <c r="AO150">
        <v>0.954118558952653</v>
      </c>
      <c r="AP150">
        <v>0.94882198127353</v>
      </c>
      <c r="AQ150">
        <v>0.941337178369357</v>
      </c>
      <c r="AR150">
        <v>0.931743792928468</v>
      </c>
      <c r="AS150">
        <v>0.919779512436951</v>
      </c>
      <c r="AT150">
        <v>0.906486639396784</v>
      </c>
      <c r="AU150">
        <v>0.892687526928125</v>
      </c>
      <c r="AV150">
        <v>0.879075998408366</v>
      </c>
      <c r="AW150">
        <v>0.865765587031513</v>
      </c>
      <c r="AX150">
        <v>0.852277250499876</v>
      </c>
      <c r="AY150">
        <v>0.837699080032056</v>
      </c>
      <c r="AZ150">
        <v>0.821073160485202</v>
      </c>
      <c r="BA150">
        <v>0</v>
      </c>
      <c r="BB150">
        <v>0</v>
      </c>
      <c r="BC150">
        <v>0</v>
      </c>
      <c r="BD150">
        <v>0</v>
      </c>
      <c r="BE150">
        <v>0</v>
      </c>
      <c r="BF150">
        <v>0</v>
      </c>
      <c r="BG150">
        <v>0</v>
      </c>
      <c r="BH150">
        <v>0</v>
      </c>
      <c r="BJ150" t="s">
        <v>452</v>
      </c>
      <c r="BL150">
        <v>0.8</v>
      </c>
      <c r="BM150">
        <v>0.797560975609756</v>
      </c>
      <c r="BN150">
        <v>0.785365853658536</v>
      </c>
      <c r="BO150">
        <v>0.773170731707317</v>
      </c>
      <c r="BP150">
        <v>0.760975609756097</v>
      </c>
      <c r="BQ150">
        <v>0.748780487804878</v>
      </c>
      <c r="BR150">
        <v>0.736585365853658</v>
      </c>
      <c r="BS150">
        <v>0.724390243902439</v>
      </c>
      <c r="BT150">
        <v>0.71219512195122</v>
      </c>
      <c r="BU150">
        <v>0.699999999999999</v>
      </c>
      <c r="BV150">
        <v>0.687499999999999</v>
      </c>
      <c r="BW150">
        <v>0.675</v>
      </c>
      <c r="BX150">
        <v>0.6625</v>
      </c>
      <c r="BY150">
        <v>0.649999999999999</v>
      </c>
      <c r="BZ150">
        <v>0.637499999999999</v>
      </c>
      <c r="CA150">
        <v>0.625</v>
      </c>
      <c r="CB150">
        <v>0.6125</v>
      </c>
      <c r="CC150">
        <v>0.6</v>
      </c>
      <c r="CD150" t="e">
        <v>#VALUE!</v>
      </c>
      <c r="CE150" t="e">
        <v>#VALUE!</v>
      </c>
      <c r="CF150" t="e">
        <v>#VALUE!</v>
      </c>
      <c r="CG150" t="e">
        <v>#VALUE!</v>
      </c>
      <c r="CH150" t="e">
        <v>#VALUE!</v>
      </c>
      <c r="CI150" t="e">
        <v>#VALUE!</v>
      </c>
      <c r="CJ150" t="e">
        <v>#VALUE!</v>
      </c>
      <c r="CK150" t="e">
        <v>#VALUE!</v>
      </c>
    </row>
    <row r="151" spans="1:89">
      <c r="A151" s="34" t="s">
        <v>16</v>
      </c>
      <c r="B151" s="34" t="s">
        <v>443</v>
      </c>
      <c r="C151" s="34" t="s">
        <v>443</v>
      </c>
      <c r="D151" s="34"/>
      <c r="E151" s="34">
        <v>26.7348015160745</v>
      </c>
      <c r="F151" s="34">
        <f xml:space="preserve">E151</f>
        <v>26.7348015160745</v>
      </c>
      <c r="G151" s="34"/>
      <c r="H151" s="34"/>
      <c r="I151" s="34">
        <f xml:space="preserve">F151</f>
        <v>26.7348015160745</v>
      </c>
      <c r="J151" s="34">
        <f xml:space="preserve">I151</f>
        <v>26.7348015160745</v>
      </c>
      <c r="K151" s="34"/>
      <c r="L151" s="34">
        <f xml:space="preserve">J151</f>
        <v>26.7348015160745</v>
      </c>
      <c r="M151" s="34"/>
      <c r="N151" s="34"/>
      <c r="O151" s="34"/>
      <c r="P151" s="34"/>
      <c r="Q151" s="34"/>
      <c r="R151" s="34"/>
      <c r="S151" s="34"/>
      <c r="T151" s="34"/>
      <c r="U151" s="34"/>
      <c r="V151" s="34">
        <f xml:space="preserve">L151</f>
        <v>26.7348015160745</v>
      </c>
      <c r="W151" s="34">
        <v>3</v>
      </c>
      <c r="AG151" s="232" t="s">
        <v>437</v>
      </c>
      <c r="AI151">
        <v>1</v>
      </c>
      <c r="AJ151">
        <v>0.993995820811782</v>
      </c>
      <c r="AK151">
        <v>1.21947847748895</v>
      </c>
      <c r="AL151">
        <v>1.35596328130499</v>
      </c>
      <c r="AM151">
        <v>1.47246412572297</v>
      </c>
      <c r="AN151">
        <v>1.59951826814933</v>
      </c>
      <c r="AO151">
        <v>1.72541059727865</v>
      </c>
      <c r="AP151">
        <v>1.84777798871814</v>
      </c>
      <c r="AQ151">
        <v>1.9700814772151</v>
      </c>
      <c r="AR151">
        <v>2.09095469583227</v>
      </c>
      <c r="AS151">
        <v>2.20646103063693</v>
      </c>
      <c r="AT151">
        <v>2.30928214966673</v>
      </c>
      <c r="AU151">
        <v>2.39914124721075</v>
      </c>
      <c r="AV151">
        <v>2.47820427978879</v>
      </c>
      <c r="AW151">
        <v>2.55041781606331</v>
      </c>
      <c r="AX151">
        <v>2.61759297460683</v>
      </c>
      <c r="AY151">
        <v>2.67827186919254</v>
      </c>
      <c r="AZ151">
        <v>2.72810653076512</v>
      </c>
      <c r="BA151">
        <v>0</v>
      </c>
      <c r="BB151">
        <v>0</v>
      </c>
      <c r="BC151">
        <v>0</v>
      </c>
      <c r="BD151">
        <v>0</v>
      </c>
      <c r="BE151">
        <v>0</v>
      </c>
      <c r="BF151">
        <v>0</v>
      </c>
      <c r="BG151">
        <v>0</v>
      </c>
      <c r="BH151">
        <v>0</v>
      </c>
      <c r="BJ151" t="s">
        <v>452</v>
      </c>
      <c r="BL151">
        <v>0.8</v>
      </c>
      <c r="BM151">
        <v>0.797560975609756</v>
      </c>
      <c r="BN151">
        <v>0.785365853658536</v>
      </c>
      <c r="BO151">
        <v>0.773170731707317</v>
      </c>
      <c r="BP151">
        <v>0.760975609756097</v>
      </c>
      <c r="BQ151">
        <v>0.748780487804878</v>
      </c>
      <c r="BR151">
        <v>0.736585365853658</v>
      </c>
      <c r="BS151">
        <v>0.724390243902439</v>
      </c>
      <c r="BT151">
        <v>0.71219512195122</v>
      </c>
      <c r="BU151">
        <v>0.699999999999999</v>
      </c>
      <c r="BV151">
        <v>0.687499999999999</v>
      </c>
      <c r="BW151">
        <v>0.675</v>
      </c>
      <c r="BX151">
        <v>0.6625</v>
      </c>
      <c r="BY151">
        <v>0.649999999999999</v>
      </c>
      <c r="BZ151">
        <v>0.637499999999999</v>
      </c>
      <c r="CA151">
        <v>0.625</v>
      </c>
      <c r="CB151">
        <v>0.6125</v>
      </c>
      <c r="CC151">
        <v>0.6</v>
      </c>
      <c r="CD151" t="e">
        <v>#VALUE!</v>
      </c>
      <c r="CE151" t="e">
        <v>#VALUE!</v>
      </c>
      <c r="CF151" t="e">
        <v>#VALUE!</v>
      </c>
      <c r="CG151" t="e">
        <v>#VALUE!</v>
      </c>
      <c r="CH151" t="e">
        <v>#VALUE!</v>
      </c>
      <c r="CI151" t="e">
        <v>#VALUE!</v>
      </c>
      <c r="CJ151" t="e">
        <v>#VALUE!</v>
      </c>
      <c r="CK151" t="e">
        <v>#VALUE!</v>
      </c>
    </row>
    <row r="152" spans="1:89">
      <c r="A152" s="34" t="s">
        <v>16</v>
      </c>
      <c r="B152" s="34" t="s">
        <v>444</v>
      </c>
      <c r="C152" s="34" t="s">
        <v>444</v>
      </c>
      <c r="D152" s="34"/>
      <c r="E152" s="34">
        <v>116.52376180417</v>
      </c>
      <c r="F152" s="34">
        <f xml:space="preserve">E152</f>
        <v>116.52376180417</v>
      </c>
      <c r="G152" s="34"/>
      <c r="H152" s="34"/>
      <c r="I152" s="34">
        <f xml:space="preserve">F152</f>
        <v>116.52376180417</v>
      </c>
      <c r="J152" s="34">
        <f xml:space="preserve">I152</f>
        <v>116.52376180417</v>
      </c>
      <c r="K152" s="34"/>
      <c r="L152" s="34">
        <f xml:space="preserve">J152</f>
        <v>116.52376180417</v>
      </c>
      <c r="M152" s="34"/>
      <c r="N152" s="34"/>
      <c r="O152" s="34"/>
      <c r="P152" s="34"/>
      <c r="Q152" s="34"/>
      <c r="R152" s="34"/>
      <c r="S152" s="34"/>
      <c r="T152" s="34"/>
      <c r="U152" s="34"/>
      <c r="V152" s="34">
        <f xml:space="preserve">L152</f>
        <v>116.52376180417</v>
      </c>
      <c r="W152" s="34">
        <v>3</v>
      </c>
      <c r="AG152" s="232" t="s">
        <v>437</v>
      </c>
      <c r="AI152">
        <v>1</v>
      </c>
      <c r="AJ152">
        <v>0.993995820811782</v>
      </c>
      <c r="AK152">
        <v>1.21947847748895</v>
      </c>
      <c r="AL152">
        <v>1.35596328130499</v>
      </c>
      <c r="AM152">
        <v>1.47246412572297</v>
      </c>
      <c r="AN152">
        <v>1.59951826814933</v>
      </c>
      <c r="AO152">
        <v>1.72541059727865</v>
      </c>
      <c r="AP152">
        <v>1.84777798871814</v>
      </c>
      <c r="AQ152">
        <v>1.9700814772151</v>
      </c>
      <c r="AR152">
        <v>2.09095469583227</v>
      </c>
      <c r="AS152">
        <v>2.20646103063693</v>
      </c>
      <c r="AT152">
        <v>2.30928214966673</v>
      </c>
      <c r="AU152">
        <v>2.39914124721075</v>
      </c>
      <c r="AV152">
        <v>2.47820427978879</v>
      </c>
      <c r="AW152">
        <v>2.55041781606331</v>
      </c>
      <c r="AX152">
        <v>2.61759297460683</v>
      </c>
      <c r="AY152">
        <v>2.67827186919254</v>
      </c>
      <c r="AZ152">
        <v>2.72810653076512</v>
      </c>
      <c r="BA152">
        <v>0</v>
      </c>
      <c r="BB152">
        <v>0</v>
      </c>
      <c r="BC152">
        <v>0</v>
      </c>
      <c r="BD152">
        <v>0</v>
      </c>
      <c r="BE152">
        <v>0</v>
      </c>
      <c r="BF152">
        <v>0</v>
      </c>
      <c r="BG152">
        <v>0</v>
      </c>
      <c r="BH152">
        <v>0</v>
      </c>
      <c r="BJ152" t="s">
        <v>452</v>
      </c>
      <c r="BL152">
        <v>0.8</v>
      </c>
      <c r="BM152">
        <v>0.797560975609756</v>
      </c>
      <c r="BN152">
        <v>0.785365853658536</v>
      </c>
      <c r="BO152">
        <v>0.773170731707317</v>
      </c>
      <c r="BP152">
        <v>0.760975609756097</v>
      </c>
      <c r="BQ152">
        <v>0.748780487804878</v>
      </c>
      <c r="BR152">
        <v>0.736585365853658</v>
      </c>
      <c r="BS152">
        <v>0.724390243902439</v>
      </c>
      <c r="BT152">
        <v>0.71219512195122</v>
      </c>
      <c r="BU152">
        <v>0.699999999999999</v>
      </c>
      <c r="BV152">
        <v>0.687499999999999</v>
      </c>
      <c r="BW152">
        <v>0.675</v>
      </c>
      <c r="BX152">
        <v>0.6625</v>
      </c>
      <c r="BY152">
        <v>0.649999999999999</v>
      </c>
      <c r="BZ152">
        <v>0.637499999999999</v>
      </c>
      <c r="CA152">
        <v>0.625</v>
      </c>
      <c r="CB152">
        <v>0.6125</v>
      </c>
      <c r="CC152">
        <v>0.6</v>
      </c>
      <c r="CD152" t="e">
        <v>#VALUE!</v>
      </c>
      <c r="CE152" t="e">
        <v>#VALUE!</v>
      </c>
      <c r="CF152" t="e">
        <v>#VALUE!</v>
      </c>
      <c r="CG152" t="e">
        <v>#VALUE!</v>
      </c>
      <c r="CH152" t="e">
        <v>#VALUE!</v>
      </c>
      <c r="CI152" t="e">
        <v>#VALUE!</v>
      </c>
      <c r="CJ152" t="e">
        <v>#VALUE!</v>
      </c>
      <c r="CK152" t="e">
        <v>#VALUE!</v>
      </c>
    </row>
    <row r="153" spans="1:89">
      <c r="A153" s="34" t="s">
        <v>16</v>
      </c>
      <c r="B153" s="34" t="s">
        <v>445</v>
      </c>
      <c r="C153" s="34" t="s">
        <v>445</v>
      </c>
      <c r="D153" s="34">
        <v>0.546</v>
      </c>
      <c r="E153" s="34">
        <v>0.545055708730658</v>
      </c>
      <c r="F153" s="34"/>
      <c r="G153" s="34">
        <v>0.540404400542398</v>
      </c>
      <c r="H153" s="34">
        <v>0.535881700743667</v>
      </c>
      <c r="I153" s="34">
        <v>0.532071901862561</v>
      </c>
      <c r="J153" s="34">
        <v>0.529127054789433</v>
      </c>
      <c r="K153" s="34">
        <v>0.526724909038171</v>
      </c>
      <c r="L153" s="34">
        <v>0.524606794447761</v>
      </c>
      <c r="M153" s="34">
        <v>0.521659465992699</v>
      </c>
      <c r="N153" s="34">
        <v>0.517938019194669</v>
      </c>
      <c r="O153" s="34">
        <v>0.513365657561778</v>
      </c>
      <c r="P153" s="34">
        <v>0.508357641530336</v>
      </c>
      <c r="Q153" s="34">
        <v>0.503230857938885</v>
      </c>
      <c r="R153" s="34">
        <v>0.498243298877789</v>
      </c>
      <c r="S153" s="34">
        <v>0.493433945255671</v>
      </c>
      <c r="T153" s="34">
        <v>0.48862923598344</v>
      </c>
      <c r="U153" s="34">
        <v>0.483509970298712</v>
      </c>
      <c r="V153" s="34">
        <v>0.477752200193977</v>
      </c>
      <c r="W153" s="34">
        <v>3</v>
      </c>
      <c r="AG153" s="232" t="s">
        <v>442</v>
      </c>
      <c r="AI153">
        <v>1</v>
      </c>
      <c r="AJ153">
        <v>0.997831549885011</v>
      </c>
      <c r="AK153">
        <v>0.986989299310067</v>
      </c>
      <c r="AL153">
        <v>0.976305741027938</v>
      </c>
      <c r="AM153">
        <v>0.967184619783603</v>
      </c>
      <c r="AN153">
        <v>0.960035587064387</v>
      </c>
      <c r="AO153">
        <v>0.954118558952653</v>
      </c>
      <c r="AP153">
        <v>0.94882198127353</v>
      </c>
      <c r="AQ153">
        <v>0.941337178369357</v>
      </c>
      <c r="AR153">
        <v>0.931743792928468</v>
      </c>
      <c r="AS153">
        <v>0.919779512436951</v>
      </c>
      <c r="AT153">
        <v>0.906486639396784</v>
      </c>
      <c r="AU153">
        <v>0.892687526928125</v>
      </c>
      <c r="AV153">
        <v>0.879075998408366</v>
      </c>
      <c r="AW153">
        <v>0.865765587031513</v>
      </c>
      <c r="AX153">
        <v>0.852277250499876</v>
      </c>
      <c r="AY153">
        <v>0.837699080032056</v>
      </c>
      <c r="AZ153">
        <v>0.821073160485202</v>
      </c>
      <c r="BA153">
        <v>0</v>
      </c>
      <c r="BB153">
        <v>0</v>
      </c>
      <c r="BC153">
        <v>0</v>
      </c>
      <c r="BD153">
        <v>0</v>
      </c>
      <c r="BE153">
        <v>0</v>
      </c>
      <c r="BF153">
        <v>0</v>
      </c>
      <c r="BG153">
        <v>0</v>
      </c>
      <c r="BH153">
        <v>0</v>
      </c>
      <c r="BJ153" t="s">
        <v>452</v>
      </c>
      <c r="BL153">
        <v>0.8</v>
      </c>
      <c r="BM153">
        <v>0.797560975609756</v>
      </c>
      <c r="BN153">
        <v>0.785365853658536</v>
      </c>
      <c r="BO153">
        <v>0.773170731707317</v>
      </c>
      <c r="BP153">
        <v>0.760975609756097</v>
      </c>
      <c r="BQ153">
        <v>0.748780487804878</v>
      </c>
      <c r="BR153">
        <v>0.736585365853658</v>
      </c>
      <c r="BS153">
        <v>0.724390243902439</v>
      </c>
      <c r="BT153">
        <v>0.71219512195122</v>
      </c>
      <c r="BU153">
        <v>0.699999999999999</v>
      </c>
      <c r="BV153">
        <v>0.687499999999999</v>
      </c>
      <c r="BW153">
        <v>0.675</v>
      </c>
      <c r="BX153">
        <v>0.6625</v>
      </c>
      <c r="BY153">
        <v>0.649999999999999</v>
      </c>
      <c r="BZ153">
        <v>0.637499999999999</v>
      </c>
      <c r="CA153">
        <v>0.625</v>
      </c>
      <c r="CB153">
        <v>0.6125</v>
      </c>
      <c r="CC153">
        <v>0.6</v>
      </c>
      <c r="CD153" t="e">
        <v>#VALUE!</v>
      </c>
      <c r="CE153" t="e">
        <v>#VALUE!</v>
      </c>
      <c r="CF153" t="e">
        <v>#VALUE!</v>
      </c>
      <c r="CG153" t="e">
        <v>#VALUE!</v>
      </c>
      <c r="CH153" t="e">
        <v>#VALUE!</v>
      </c>
      <c r="CI153" t="e">
        <v>#VALUE!</v>
      </c>
      <c r="CJ153" t="e">
        <v>#VALUE!</v>
      </c>
      <c r="CK153" t="e">
        <v>#VALUE!</v>
      </c>
    </row>
    <row r="154" spans="1:89">
      <c r="A154" s="34" t="s">
        <v>16</v>
      </c>
      <c r="B154" s="34" t="s">
        <v>446</v>
      </c>
      <c r="C154" s="34" t="s">
        <v>446</v>
      </c>
      <c r="D154" s="34">
        <v>0.315</v>
      </c>
      <c r="E154" s="34">
        <v>0.314455216575379</v>
      </c>
      <c r="F154" s="34"/>
      <c r="G154" s="34">
        <v>0.311771769543691</v>
      </c>
      <c r="H154" s="34">
        <v>0.309162519659808</v>
      </c>
      <c r="I154" s="34">
        <v>0.306964558766862</v>
      </c>
      <c r="J154" s="34">
        <v>0.305265608532365</v>
      </c>
      <c r="K154" s="34">
        <v>0.303879755214329</v>
      </c>
      <c r="L154" s="34">
        <v>0.302657766027555</v>
      </c>
      <c r="M154" s="34">
        <v>0.300957384226557</v>
      </c>
      <c r="N154" s="34">
        <v>0.298810395689232</v>
      </c>
      <c r="O154" s="34">
        <v>0.29617249474718</v>
      </c>
      <c r="P154" s="34">
        <v>0.29328325472904</v>
      </c>
      <c r="Q154" s="34">
        <v>0.290325494964741</v>
      </c>
      <c r="R154" s="34">
        <v>0.287448057044878</v>
      </c>
      <c r="S154" s="34">
        <v>0.284673429955195</v>
      </c>
      <c r="T154" s="34">
        <v>0.281901482298138</v>
      </c>
      <c r="U154" s="34">
        <v>0.278948059787719</v>
      </c>
      <c r="V154" s="34">
        <v>0.275626269342679</v>
      </c>
      <c r="W154" s="34">
        <v>3</v>
      </c>
      <c r="AG154" s="232" t="s">
        <v>442</v>
      </c>
      <c r="AI154">
        <v>1</v>
      </c>
      <c r="AJ154">
        <v>0.997831549885011</v>
      </c>
      <c r="AK154">
        <v>0.986989299310067</v>
      </c>
      <c r="AL154">
        <v>0.976305741027938</v>
      </c>
      <c r="AM154">
        <v>0.967184619783603</v>
      </c>
      <c r="AN154">
        <v>0.960035587064387</v>
      </c>
      <c r="AO154">
        <v>0.954118558952653</v>
      </c>
      <c r="AP154">
        <v>0.94882198127353</v>
      </c>
      <c r="AQ154">
        <v>0.941337178369357</v>
      </c>
      <c r="AR154">
        <v>0.931743792928468</v>
      </c>
      <c r="AS154">
        <v>0.919779512436951</v>
      </c>
      <c r="AT154">
        <v>0.906486639396784</v>
      </c>
      <c r="AU154">
        <v>0.892687526928125</v>
      </c>
      <c r="AV154">
        <v>0.879075998408366</v>
      </c>
      <c r="AW154">
        <v>0.865765587031513</v>
      </c>
      <c r="AX154">
        <v>0.852277250499876</v>
      </c>
      <c r="AY154">
        <v>0.837699080032056</v>
      </c>
      <c r="AZ154">
        <v>0.821073160485202</v>
      </c>
      <c r="BA154">
        <v>0</v>
      </c>
      <c r="BB154">
        <v>0</v>
      </c>
      <c r="BC154">
        <v>0</v>
      </c>
      <c r="BD154">
        <v>0</v>
      </c>
      <c r="BE154">
        <v>0</v>
      </c>
      <c r="BF154">
        <v>0</v>
      </c>
      <c r="BG154">
        <v>0</v>
      </c>
      <c r="BH154">
        <v>0</v>
      </c>
      <c r="BJ154" t="s">
        <v>452</v>
      </c>
      <c r="BL154">
        <v>0.8</v>
      </c>
      <c r="BM154">
        <v>0.797560975609756</v>
      </c>
      <c r="BN154">
        <v>0.785365853658536</v>
      </c>
      <c r="BO154">
        <v>0.773170731707317</v>
      </c>
      <c r="BP154">
        <v>0.760975609756097</v>
      </c>
      <c r="BQ154">
        <v>0.748780487804878</v>
      </c>
      <c r="BR154">
        <v>0.736585365853658</v>
      </c>
      <c r="BS154">
        <v>0.724390243902439</v>
      </c>
      <c r="BT154">
        <v>0.71219512195122</v>
      </c>
      <c r="BU154">
        <v>0.699999999999999</v>
      </c>
      <c r="BV154">
        <v>0.687499999999999</v>
      </c>
      <c r="BW154">
        <v>0.675</v>
      </c>
      <c r="BX154">
        <v>0.6625</v>
      </c>
      <c r="BY154">
        <v>0.649999999999999</v>
      </c>
      <c r="BZ154">
        <v>0.637499999999999</v>
      </c>
      <c r="CA154">
        <v>0.625</v>
      </c>
      <c r="CB154">
        <v>0.6125</v>
      </c>
      <c r="CC154">
        <v>0.6</v>
      </c>
      <c r="CD154" t="e">
        <v>#VALUE!</v>
      </c>
      <c r="CE154" t="e">
        <v>#VALUE!</v>
      </c>
      <c r="CF154" t="e">
        <v>#VALUE!</v>
      </c>
      <c r="CG154" t="e">
        <v>#VALUE!</v>
      </c>
      <c r="CH154" t="e">
        <v>#VALUE!</v>
      </c>
      <c r="CI154" t="e">
        <v>#VALUE!</v>
      </c>
      <c r="CJ154" t="e">
        <v>#VALUE!</v>
      </c>
      <c r="CK154" t="e">
        <v>#VALUE!</v>
      </c>
    </row>
    <row r="155" spans="1:89">
      <c r="A155" s="34" t="s">
        <v>16</v>
      </c>
      <c r="B155" s="34" t="s">
        <v>447</v>
      </c>
      <c r="C155" s="34" t="s">
        <v>447</v>
      </c>
      <c r="D155" s="34">
        <v>0.35</v>
      </c>
      <c r="E155" s="34">
        <v>0.349394685083755</v>
      </c>
      <c r="F155" s="34"/>
      <c r="G155" s="34">
        <v>0.346413077270768</v>
      </c>
      <c r="H155" s="34">
        <v>0.34351391073312</v>
      </c>
      <c r="I155" s="34">
        <v>0.34107173196318</v>
      </c>
      <c r="J155" s="34">
        <v>0.339184009480406</v>
      </c>
      <c r="K155" s="34">
        <v>0.337644172460366</v>
      </c>
      <c r="L155" s="34">
        <v>0.336286406697283</v>
      </c>
      <c r="M155" s="34">
        <v>0.334397093585064</v>
      </c>
      <c r="N155" s="34">
        <v>0.332011550765813</v>
      </c>
      <c r="O155" s="34">
        <v>0.329080549719089</v>
      </c>
      <c r="P155" s="34">
        <v>0.325870283032267</v>
      </c>
      <c r="Q155" s="34">
        <v>0.322583883294157</v>
      </c>
      <c r="R155" s="34">
        <v>0.319386730049865</v>
      </c>
      <c r="S155" s="34">
        <v>0.316303811061327</v>
      </c>
      <c r="T155" s="34">
        <v>0.313223869220154</v>
      </c>
      <c r="U155" s="34">
        <v>0.309942288653021</v>
      </c>
      <c r="V155" s="34">
        <v>0.306251410380755</v>
      </c>
      <c r="W155" s="34">
        <v>3</v>
      </c>
      <c r="AG155" s="232" t="s">
        <v>442</v>
      </c>
      <c r="AI155">
        <v>1</v>
      </c>
      <c r="AJ155">
        <v>0.997831549885011</v>
      </c>
      <c r="AK155">
        <v>0.986989299310067</v>
      </c>
      <c r="AL155">
        <v>0.976305741027938</v>
      </c>
      <c r="AM155">
        <v>0.967184619783603</v>
      </c>
      <c r="AN155">
        <v>0.960035587064387</v>
      </c>
      <c r="AO155">
        <v>0.954118558952653</v>
      </c>
      <c r="AP155">
        <v>0.94882198127353</v>
      </c>
      <c r="AQ155">
        <v>0.941337178369357</v>
      </c>
      <c r="AR155">
        <v>0.931743792928468</v>
      </c>
      <c r="AS155">
        <v>0.919779512436951</v>
      </c>
      <c r="AT155">
        <v>0.906486639396784</v>
      </c>
      <c r="AU155">
        <v>0.892687526928125</v>
      </c>
      <c r="AV155">
        <v>0.879075998408366</v>
      </c>
      <c r="AW155">
        <v>0.865765587031513</v>
      </c>
      <c r="AX155">
        <v>0.852277250499876</v>
      </c>
      <c r="AY155">
        <v>0.837699080032056</v>
      </c>
      <c r="AZ155">
        <v>0.821073160485202</v>
      </c>
      <c r="BA155">
        <v>0</v>
      </c>
      <c r="BB155">
        <v>0</v>
      </c>
      <c r="BC155">
        <v>0</v>
      </c>
      <c r="BD155">
        <v>0</v>
      </c>
      <c r="BE155">
        <v>0</v>
      </c>
      <c r="BF155">
        <v>0</v>
      </c>
      <c r="BG155">
        <v>0</v>
      </c>
      <c r="BH155">
        <v>0</v>
      </c>
      <c r="BJ155" t="s">
        <v>452</v>
      </c>
      <c r="BL155">
        <v>0.8</v>
      </c>
      <c r="BM155">
        <v>0.797560975609756</v>
      </c>
      <c r="BN155">
        <v>0.785365853658536</v>
      </c>
      <c r="BO155">
        <v>0.773170731707317</v>
      </c>
      <c r="BP155">
        <v>0.760975609756097</v>
      </c>
      <c r="BQ155">
        <v>0.748780487804878</v>
      </c>
      <c r="BR155">
        <v>0.736585365853658</v>
      </c>
      <c r="BS155">
        <v>0.724390243902439</v>
      </c>
      <c r="BT155">
        <v>0.71219512195122</v>
      </c>
      <c r="BU155">
        <v>0.699999999999999</v>
      </c>
      <c r="BV155">
        <v>0.687499999999999</v>
      </c>
      <c r="BW155">
        <v>0.675</v>
      </c>
      <c r="BX155">
        <v>0.6625</v>
      </c>
      <c r="BY155">
        <v>0.649999999999999</v>
      </c>
      <c r="BZ155">
        <v>0.637499999999999</v>
      </c>
      <c r="CA155">
        <v>0.625</v>
      </c>
      <c r="CB155">
        <v>0.6125</v>
      </c>
      <c r="CC155">
        <v>0.6</v>
      </c>
      <c r="CD155" t="e">
        <v>#VALUE!</v>
      </c>
      <c r="CE155" t="e">
        <v>#VALUE!</v>
      </c>
      <c r="CF155" t="e">
        <v>#VALUE!</v>
      </c>
      <c r="CG155" t="e">
        <v>#VALUE!</v>
      </c>
      <c r="CH155" t="e">
        <v>#VALUE!</v>
      </c>
      <c r="CI155" t="e">
        <v>#VALUE!</v>
      </c>
      <c r="CJ155" t="e">
        <v>#VALUE!</v>
      </c>
      <c r="CK155" t="e">
        <v>#VALUE!</v>
      </c>
    </row>
    <row r="156" spans="1:89">
      <c r="A156" s="34" t="s">
        <v>16</v>
      </c>
      <c r="B156" s="34" t="s">
        <v>448</v>
      </c>
      <c r="C156" s="34" t="s">
        <v>448</v>
      </c>
      <c r="D156" s="34">
        <v>67.092</v>
      </c>
      <c r="E156" s="34">
        <v>66.886304245997</v>
      </c>
      <c r="F156" s="34"/>
      <c r="G156" s="34">
        <v>79.5104599084931</v>
      </c>
      <c r="H156" s="34">
        <v>87.138802162632</v>
      </c>
      <c r="I156" s="34">
        <v>93.5151037625579</v>
      </c>
      <c r="J156" s="34">
        <v>100.123521876701</v>
      </c>
      <c r="K156" s="34">
        <v>106.421441172394</v>
      </c>
      <c r="L156" s="34">
        <v>112.34962785145</v>
      </c>
      <c r="M156" s="34">
        <v>118.324099367125</v>
      </c>
      <c r="N156" s="34">
        <v>124.311016313788</v>
      </c>
      <c r="O156" s="34">
        <v>130.2052243777</v>
      </c>
      <c r="P156" s="34">
        <v>135.649701955049</v>
      </c>
      <c r="Q156" s="34">
        <v>140.589883790382</v>
      </c>
      <c r="R156" s="34">
        <v>145.063001331268</v>
      </c>
      <c r="S156" s="34">
        <v>149.220945668528</v>
      </c>
      <c r="T156" s="34">
        <v>153.192270875538</v>
      </c>
      <c r="U156" s="34">
        <v>157.038113361228</v>
      </c>
      <c r="V156" s="34">
        <v>160.734740875473</v>
      </c>
      <c r="W156" s="34">
        <v>3</v>
      </c>
      <c r="AG156" s="232" t="s">
        <v>449</v>
      </c>
      <c r="AI156">
        <v>1</v>
      </c>
      <c r="AJ156">
        <v>0.996155935264151</v>
      </c>
      <c r="AK156">
        <v>1.23555389946112</v>
      </c>
      <c r="AL156">
        <v>1.38887156381701</v>
      </c>
      <c r="AM156">
        <v>1.52242301583788</v>
      </c>
      <c r="AN156">
        <v>1.66610310044898</v>
      </c>
      <c r="AO156">
        <v>1.80838175831382</v>
      </c>
      <c r="AP156">
        <v>1.94744433116738</v>
      </c>
      <c r="AQ156">
        <v>2.09285421046239</v>
      </c>
      <c r="AR156">
        <v>2.24413053427531</v>
      </c>
      <c r="AS156">
        <v>2.39890212904496</v>
      </c>
      <c r="AT156">
        <v>2.54750820288253</v>
      </c>
      <c r="AU156">
        <v>2.68754875008343</v>
      </c>
      <c r="AV156">
        <v>2.81910128848446</v>
      </c>
      <c r="AW156">
        <v>2.94585261214647</v>
      </c>
      <c r="AX156">
        <v>3.0712927900769</v>
      </c>
      <c r="AY156">
        <v>3.19717656737793</v>
      </c>
      <c r="AZ156">
        <v>3.32261077582049</v>
      </c>
      <c r="BA156">
        <v>0</v>
      </c>
      <c r="BB156">
        <v>0</v>
      </c>
      <c r="BC156">
        <v>0</v>
      </c>
      <c r="BD156">
        <v>0</v>
      </c>
      <c r="BE156">
        <v>0</v>
      </c>
      <c r="BF156">
        <v>0</v>
      </c>
      <c r="BG156">
        <v>0</v>
      </c>
      <c r="BH156">
        <v>0</v>
      </c>
      <c r="BJ156" t="s">
        <v>452</v>
      </c>
      <c r="BL156">
        <v>0.8</v>
      </c>
      <c r="BM156">
        <v>0.797560975609756</v>
      </c>
      <c r="BN156">
        <v>0.785365853658536</v>
      </c>
      <c r="BO156">
        <v>0.773170731707317</v>
      </c>
      <c r="BP156">
        <v>0.760975609756097</v>
      </c>
      <c r="BQ156">
        <v>0.748780487804878</v>
      </c>
      <c r="BR156">
        <v>0.736585365853658</v>
      </c>
      <c r="BS156">
        <v>0.724390243902439</v>
      </c>
      <c r="BT156">
        <v>0.71219512195122</v>
      </c>
      <c r="BU156">
        <v>0.699999999999999</v>
      </c>
      <c r="BV156">
        <v>0.687499999999999</v>
      </c>
      <c r="BW156">
        <v>0.675</v>
      </c>
      <c r="BX156">
        <v>0.6625</v>
      </c>
      <c r="BY156">
        <v>0.649999999999999</v>
      </c>
      <c r="BZ156">
        <v>0.637499999999999</v>
      </c>
      <c r="CA156">
        <v>0.625</v>
      </c>
      <c r="CB156">
        <v>0.6125</v>
      </c>
      <c r="CC156">
        <v>0.6</v>
      </c>
      <c r="CD156" t="e">
        <v>#VALUE!</v>
      </c>
      <c r="CE156" t="e">
        <v>#VALUE!</v>
      </c>
      <c r="CF156" t="e">
        <v>#VALUE!</v>
      </c>
      <c r="CG156" t="e">
        <v>#VALUE!</v>
      </c>
      <c r="CH156" t="e">
        <v>#VALUE!</v>
      </c>
      <c r="CI156" t="e">
        <v>#VALUE!</v>
      </c>
      <c r="CJ156" t="e">
        <v>#VALUE!</v>
      </c>
      <c r="CK156" t="e">
        <v>#VALUE!</v>
      </c>
    </row>
    <row r="157" spans="1:89">
      <c r="A157" s="34" t="s">
        <v>16</v>
      </c>
      <c r="B157" s="34" t="s">
        <v>450</v>
      </c>
      <c r="C157" s="34" t="s">
        <v>450</v>
      </c>
      <c r="D157" s="34">
        <v>10.6</v>
      </c>
      <c r="E157" s="34">
        <v>10.5492397904824</v>
      </c>
      <c r="F157" s="34"/>
      <c r="G157" s="34">
        <v>12.4286507881249</v>
      </c>
      <c r="H157" s="34">
        <v>13.5041486494862</v>
      </c>
      <c r="I157" s="34">
        <v>14.3870640478755</v>
      </c>
      <c r="J157" s="34">
        <v>15.3166098678511</v>
      </c>
      <c r="K157" s="34">
        <v>16.2045747711593</v>
      </c>
      <c r="L157" s="34">
        <v>17.0370732960652</v>
      </c>
      <c r="M157" s="34">
        <v>17.8401981053753</v>
      </c>
      <c r="N157" s="34">
        <v>18.6064006881076</v>
      </c>
      <c r="O157" s="34">
        <v>19.3130374898403</v>
      </c>
      <c r="P157" s="34">
        <v>19.9205292908841</v>
      </c>
      <c r="Q157" s="34">
        <v>20.4340663742675</v>
      </c>
      <c r="R157" s="34">
        <v>20.8717757076649</v>
      </c>
      <c r="S157" s="34">
        <v>21.2594982915538</v>
      </c>
      <c r="T157" s="34">
        <v>21.6094679512543</v>
      </c>
      <c r="U157" s="34">
        <v>21.9162893965133</v>
      </c>
      <c r="V157" s="34">
        <v>22.1609675139737</v>
      </c>
      <c r="W157" s="34">
        <v>3</v>
      </c>
      <c r="AG157" s="232" t="s">
        <v>437</v>
      </c>
      <c r="AI157">
        <v>1</v>
      </c>
      <c r="AJ157">
        <v>0.993995820811782</v>
      </c>
      <c r="AK157">
        <v>1.21947847748895</v>
      </c>
      <c r="AL157">
        <v>1.35596328130499</v>
      </c>
      <c r="AM157">
        <v>1.47246412572297</v>
      </c>
      <c r="AN157">
        <v>1.59951826814933</v>
      </c>
      <c r="AO157">
        <v>1.72541059727865</v>
      </c>
      <c r="AP157">
        <v>1.84777798871814</v>
      </c>
      <c r="AQ157">
        <v>1.9700814772151</v>
      </c>
      <c r="AR157">
        <v>2.09095469583227</v>
      </c>
      <c r="AS157">
        <v>2.20646103063693</v>
      </c>
      <c r="AT157">
        <v>2.30928214966673</v>
      </c>
      <c r="AU157">
        <v>2.39914124721075</v>
      </c>
      <c r="AV157">
        <v>2.47820427978879</v>
      </c>
      <c r="AW157">
        <v>2.55041781606331</v>
      </c>
      <c r="AX157">
        <v>2.61759297460683</v>
      </c>
      <c r="AY157">
        <v>2.67827186919254</v>
      </c>
      <c r="AZ157">
        <v>2.72810653076512</v>
      </c>
      <c r="BA157">
        <v>0</v>
      </c>
      <c r="BB157">
        <v>0</v>
      </c>
      <c r="BC157">
        <v>0</v>
      </c>
      <c r="BD157">
        <v>0</v>
      </c>
      <c r="BE157">
        <v>0</v>
      </c>
      <c r="BF157">
        <v>0</v>
      </c>
      <c r="BG157">
        <v>0</v>
      </c>
      <c r="BH157">
        <v>0</v>
      </c>
      <c r="BJ157" t="s">
        <v>452</v>
      </c>
      <c r="BL157">
        <v>0.8</v>
      </c>
      <c r="BM157">
        <v>0.797560975609756</v>
      </c>
      <c r="BN157">
        <v>0.785365853658536</v>
      </c>
      <c r="BO157">
        <v>0.773170731707317</v>
      </c>
      <c r="BP157">
        <v>0.760975609756097</v>
      </c>
      <c r="BQ157">
        <v>0.748780487804878</v>
      </c>
      <c r="BR157">
        <v>0.736585365853658</v>
      </c>
      <c r="BS157">
        <v>0.724390243902439</v>
      </c>
      <c r="BT157">
        <v>0.71219512195122</v>
      </c>
      <c r="BU157">
        <v>0.699999999999999</v>
      </c>
      <c r="BV157">
        <v>0.687499999999999</v>
      </c>
      <c r="BW157">
        <v>0.675</v>
      </c>
      <c r="BX157">
        <v>0.6625</v>
      </c>
      <c r="BY157">
        <v>0.649999999999999</v>
      </c>
      <c r="BZ157">
        <v>0.637499999999999</v>
      </c>
      <c r="CA157">
        <v>0.625</v>
      </c>
      <c r="CB157">
        <v>0.6125</v>
      </c>
      <c r="CC157">
        <v>0.6</v>
      </c>
      <c r="CD157" t="e">
        <v>#VALUE!</v>
      </c>
      <c r="CE157" t="e">
        <v>#VALUE!</v>
      </c>
      <c r="CF157" t="e">
        <v>#VALUE!</v>
      </c>
      <c r="CG157" t="e">
        <v>#VALUE!</v>
      </c>
      <c r="CH157" t="e">
        <v>#VALUE!</v>
      </c>
      <c r="CI157" t="e">
        <v>#VALUE!</v>
      </c>
      <c r="CJ157" t="e">
        <v>#VALUE!</v>
      </c>
      <c r="CK157" t="e">
        <v>#VALUE!</v>
      </c>
    </row>
    <row r="158" spans="1:89">
      <c r="A158" s="34" t="s">
        <v>16</v>
      </c>
      <c r="B158" s="34" t="s">
        <v>451</v>
      </c>
      <c r="C158" s="34" t="s">
        <v>451</v>
      </c>
      <c r="D158" s="34">
        <v>7.76</v>
      </c>
      <c r="E158" s="34">
        <v>7.72283969567393</v>
      </c>
      <c r="F158" s="34"/>
      <c r="G158" s="34">
        <v>9.09871038828764</v>
      </c>
      <c r="H158" s="34">
        <v>9.88605599245401</v>
      </c>
      <c r="I158" s="34">
        <v>10.5324166991994</v>
      </c>
      <c r="J158" s="34">
        <v>11.2129143938231</v>
      </c>
      <c r="K158" s="34">
        <v>11.8629717192638</v>
      </c>
      <c r="L158" s="34">
        <v>12.4724234695723</v>
      </c>
      <c r="M158" s="34">
        <v>13.0603714431804</v>
      </c>
      <c r="N158" s="34">
        <v>13.6212895603505</v>
      </c>
      <c r="O158" s="34">
        <v>14.1386010302982</v>
      </c>
      <c r="P158" s="34">
        <v>14.5833308771001</v>
      </c>
      <c r="Q158" s="34">
        <v>14.9592787796524</v>
      </c>
      <c r="R158" s="34">
        <v>15.279715046366</v>
      </c>
      <c r="S158" s="34">
        <v>15.5635572398545</v>
      </c>
      <c r="T158" s="34">
        <v>15.8197614435597</v>
      </c>
      <c r="U158" s="34">
        <v>16.0443778978249</v>
      </c>
      <c r="V158" s="34">
        <v>16.2235007460789</v>
      </c>
      <c r="W158" s="34">
        <v>3</v>
      </c>
      <c r="AG158" s="232" t="s">
        <v>437</v>
      </c>
      <c r="AI158">
        <v>1</v>
      </c>
      <c r="AJ158">
        <v>0.993995820811782</v>
      </c>
      <c r="AK158">
        <v>1.21947847748895</v>
      </c>
      <c r="AL158">
        <v>1.35596328130499</v>
      </c>
      <c r="AM158">
        <v>1.47246412572297</v>
      </c>
      <c r="AN158">
        <v>1.59951826814933</v>
      </c>
      <c r="AO158">
        <v>1.72541059727865</v>
      </c>
      <c r="AP158">
        <v>1.84777798871814</v>
      </c>
      <c r="AQ158">
        <v>1.9700814772151</v>
      </c>
      <c r="AR158">
        <v>2.09095469583227</v>
      </c>
      <c r="AS158">
        <v>2.20646103063693</v>
      </c>
      <c r="AT158">
        <v>2.30928214966673</v>
      </c>
      <c r="AU158">
        <v>2.39914124721075</v>
      </c>
      <c r="AV158">
        <v>2.47820427978879</v>
      </c>
      <c r="AW158">
        <v>2.55041781606331</v>
      </c>
      <c r="AX158">
        <v>2.61759297460683</v>
      </c>
      <c r="AY158">
        <v>2.67827186919254</v>
      </c>
      <c r="AZ158">
        <v>2.72810653076512</v>
      </c>
      <c r="BA158">
        <v>0</v>
      </c>
      <c r="BB158">
        <v>0</v>
      </c>
      <c r="BC158">
        <v>0</v>
      </c>
      <c r="BD158">
        <v>0</v>
      </c>
      <c r="BE158">
        <v>0</v>
      </c>
      <c r="BF158">
        <v>0</v>
      </c>
      <c r="BG158">
        <v>0</v>
      </c>
      <c r="BH158">
        <v>0</v>
      </c>
      <c r="BJ158" t="s">
        <v>452</v>
      </c>
      <c r="BL158">
        <v>0.8</v>
      </c>
      <c r="BM158">
        <v>0.797560975609756</v>
      </c>
      <c r="BN158">
        <v>0.785365853658536</v>
      </c>
      <c r="BO158">
        <v>0.773170731707317</v>
      </c>
      <c r="BP158">
        <v>0.760975609756097</v>
      </c>
      <c r="BQ158">
        <v>0.748780487804878</v>
      </c>
      <c r="BR158">
        <v>0.736585365853658</v>
      </c>
      <c r="BS158">
        <v>0.724390243902439</v>
      </c>
      <c r="BT158">
        <v>0.71219512195122</v>
      </c>
      <c r="BU158">
        <v>0.699999999999999</v>
      </c>
      <c r="BV158">
        <v>0.687499999999999</v>
      </c>
      <c r="BW158">
        <v>0.675</v>
      </c>
      <c r="BX158">
        <v>0.6625</v>
      </c>
      <c r="BY158">
        <v>0.649999999999999</v>
      </c>
      <c r="BZ158">
        <v>0.637499999999999</v>
      </c>
      <c r="CA158">
        <v>0.625</v>
      </c>
      <c r="CB158">
        <v>0.6125</v>
      </c>
      <c r="CC158">
        <v>0.6</v>
      </c>
      <c r="CD158" t="e">
        <v>#VALUE!</v>
      </c>
      <c r="CE158" t="e">
        <v>#VALUE!</v>
      </c>
      <c r="CF158" t="e">
        <v>#VALUE!</v>
      </c>
      <c r="CG158" t="e">
        <v>#VALUE!</v>
      </c>
      <c r="CH158" t="e">
        <v>#VALUE!</v>
      </c>
      <c r="CI158" t="e">
        <v>#VALUE!</v>
      </c>
      <c r="CJ158" t="e">
        <v>#VALUE!</v>
      </c>
      <c r="CK158" t="e">
        <v>#VALUE!</v>
      </c>
    </row>
    <row r="159" spans="1:89">
      <c r="A159" s="34" t="s">
        <v>17</v>
      </c>
      <c r="B159" s="34" t="s">
        <v>436</v>
      </c>
      <c r="C159" s="34" t="s">
        <v>436</v>
      </c>
      <c r="D159" s="34"/>
      <c r="E159" s="34">
        <v>3.26516627111412</v>
      </c>
      <c r="F159" s="34">
        <f xml:space="preserve">E159</f>
        <v>3.26516627111412</v>
      </c>
      <c r="G159" s="34"/>
      <c r="H159" s="34"/>
      <c r="I159" s="34">
        <f xml:space="preserve">F159</f>
        <v>3.26516627111412</v>
      </c>
      <c r="J159" s="34">
        <f xml:space="preserve">I159</f>
        <v>3.26516627111412</v>
      </c>
      <c r="K159" s="34"/>
      <c r="L159" s="34">
        <f xml:space="preserve">J159</f>
        <v>3.26516627111412</v>
      </c>
      <c r="M159" s="34"/>
      <c r="N159" s="34"/>
      <c r="O159" s="34"/>
      <c r="P159" s="34"/>
      <c r="Q159" s="34"/>
      <c r="R159" s="34"/>
      <c r="S159" s="34"/>
      <c r="T159" s="34"/>
      <c r="U159" s="34"/>
      <c r="V159" s="34">
        <f xml:space="preserve">L159</f>
        <v>3.26516627111412</v>
      </c>
      <c r="W159" s="34">
        <v>3</v>
      </c>
      <c r="AG159" s="232" t="s">
        <v>437</v>
      </c>
      <c r="AI159">
        <v>1</v>
      </c>
      <c r="AJ159">
        <v>1.02621483239062</v>
      </c>
      <c r="AK159">
        <v>1.22119565054484</v>
      </c>
      <c r="AL159">
        <v>1.38784904257775</v>
      </c>
      <c r="AM159">
        <v>1.5285762184508</v>
      </c>
      <c r="AN159">
        <v>1.63888949552538</v>
      </c>
      <c r="AO159">
        <v>1.72357630623467</v>
      </c>
      <c r="AP159">
        <v>1.79283349626876</v>
      </c>
      <c r="AQ159">
        <v>1.85482924752953</v>
      </c>
      <c r="AR159">
        <v>1.91218851178937</v>
      </c>
      <c r="AS159">
        <v>1.96545083867851</v>
      </c>
      <c r="AT159">
        <v>2.01132968580655</v>
      </c>
      <c r="AU159">
        <v>2.05220699350528</v>
      </c>
      <c r="AV159">
        <v>2.08953761881332</v>
      </c>
      <c r="AW159">
        <v>2.12524424255582</v>
      </c>
      <c r="AX159">
        <v>2.16064148168893</v>
      </c>
      <c r="AY159">
        <v>2.19610937613075</v>
      </c>
      <c r="AZ159">
        <v>2.22905937229824</v>
      </c>
      <c r="BA159">
        <v>0</v>
      </c>
      <c r="BB159">
        <v>0</v>
      </c>
      <c r="BC159">
        <v>0</v>
      </c>
      <c r="BD159">
        <v>0</v>
      </c>
      <c r="BE159">
        <v>0</v>
      </c>
      <c r="BF159">
        <v>0</v>
      </c>
      <c r="BG159">
        <v>0</v>
      </c>
      <c r="BH159">
        <v>0</v>
      </c>
      <c r="BJ159" t="s">
        <v>452</v>
      </c>
      <c r="BL159">
        <v>0.8</v>
      </c>
      <c r="BM159">
        <v>0.797560975609756</v>
      </c>
      <c r="BN159">
        <v>0.785365853658536</v>
      </c>
      <c r="BO159">
        <v>0.773170731707317</v>
      </c>
      <c r="BP159">
        <v>0.760975609756097</v>
      </c>
      <c r="BQ159">
        <v>0.748780487804878</v>
      </c>
      <c r="BR159">
        <v>0.736585365853658</v>
      </c>
      <c r="BS159">
        <v>0.724390243902439</v>
      </c>
      <c r="BT159">
        <v>0.71219512195122</v>
      </c>
      <c r="BU159">
        <v>0.699999999999999</v>
      </c>
      <c r="BV159">
        <v>0.687499999999999</v>
      </c>
      <c r="BW159">
        <v>0.675</v>
      </c>
      <c r="BX159">
        <v>0.6625</v>
      </c>
      <c r="BY159">
        <v>0.649999999999999</v>
      </c>
      <c r="BZ159">
        <v>0.637499999999999</v>
      </c>
      <c r="CA159">
        <v>0.625</v>
      </c>
      <c r="CB159">
        <v>0.6125</v>
      </c>
      <c r="CC159">
        <v>0.6</v>
      </c>
      <c r="CD159" t="e">
        <v>#VALUE!</v>
      </c>
      <c r="CE159" t="e">
        <v>#VALUE!</v>
      </c>
      <c r="CF159" t="e">
        <v>#VALUE!</v>
      </c>
      <c r="CG159" t="e">
        <v>#VALUE!</v>
      </c>
      <c r="CH159" t="e">
        <v>#VALUE!</v>
      </c>
      <c r="CI159" t="e">
        <v>#VALUE!</v>
      </c>
      <c r="CJ159" t="e">
        <v>#VALUE!</v>
      </c>
      <c r="CK159" t="e">
        <v>#VALUE!</v>
      </c>
    </row>
    <row r="160" spans="1:89">
      <c r="A160" s="34" t="s">
        <v>17</v>
      </c>
      <c r="B160" s="34" t="s">
        <v>439</v>
      </c>
      <c r="C160" s="34" t="s">
        <v>439</v>
      </c>
      <c r="D160" s="34"/>
      <c r="E160" s="34">
        <v>28.7692351147517</v>
      </c>
      <c r="F160" s="34">
        <f xml:space="preserve">E160</f>
        <v>28.7692351147517</v>
      </c>
      <c r="G160" s="34"/>
      <c r="H160" s="34"/>
      <c r="I160" s="34">
        <f xml:space="preserve">F160</f>
        <v>28.7692351147517</v>
      </c>
      <c r="J160" s="34">
        <f xml:space="preserve">I160</f>
        <v>28.7692351147517</v>
      </c>
      <c r="K160" s="34"/>
      <c r="L160" s="34">
        <f xml:space="preserve">J160</f>
        <v>28.7692351147517</v>
      </c>
      <c r="M160" s="34"/>
      <c r="N160" s="34"/>
      <c r="O160" s="34"/>
      <c r="P160" s="34"/>
      <c r="Q160" s="34"/>
      <c r="R160" s="34"/>
      <c r="S160" s="34"/>
      <c r="T160" s="34"/>
      <c r="U160" s="34"/>
      <c r="V160" s="34">
        <f xml:space="preserve">L160</f>
        <v>28.7692351147517</v>
      </c>
      <c r="W160" s="34">
        <v>3</v>
      </c>
      <c r="AG160" s="232" t="s">
        <v>437</v>
      </c>
      <c r="AI160">
        <v>1</v>
      </c>
      <c r="AJ160">
        <v>1.02621483239062</v>
      </c>
      <c r="AK160">
        <v>1.22119565054484</v>
      </c>
      <c r="AL160">
        <v>1.38784904257775</v>
      </c>
      <c r="AM160">
        <v>1.5285762184508</v>
      </c>
      <c r="AN160">
        <v>1.63888949552538</v>
      </c>
      <c r="AO160">
        <v>1.72357630623467</v>
      </c>
      <c r="AP160">
        <v>1.79283349626876</v>
      </c>
      <c r="AQ160">
        <v>1.85482924752953</v>
      </c>
      <c r="AR160">
        <v>1.91218851178937</v>
      </c>
      <c r="AS160">
        <v>1.96545083867851</v>
      </c>
      <c r="AT160">
        <v>2.01132968580655</v>
      </c>
      <c r="AU160">
        <v>2.05220699350528</v>
      </c>
      <c r="AV160">
        <v>2.08953761881332</v>
      </c>
      <c r="AW160">
        <v>2.12524424255582</v>
      </c>
      <c r="AX160">
        <v>2.16064148168893</v>
      </c>
      <c r="AY160">
        <v>2.19610937613075</v>
      </c>
      <c r="AZ160">
        <v>2.22905937229824</v>
      </c>
      <c r="BA160">
        <v>0</v>
      </c>
      <c r="BB160">
        <v>0</v>
      </c>
      <c r="BC160">
        <v>0</v>
      </c>
      <c r="BD160">
        <v>0</v>
      </c>
      <c r="BE160">
        <v>0</v>
      </c>
      <c r="BF160">
        <v>0</v>
      </c>
      <c r="BG160">
        <v>0</v>
      </c>
      <c r="BH160">
        <v>0</v>
      </c>
      <c r="BJ160" t="s">
        <v>452</v>
      </c>
      <c r="BL160">
        <v>0.8</v>
      </c>
      <c r="BM160">
        <v>0.797560975609756</v>
      </c>
      <c r="BN160">
        <v>0.785365853658536</v>
      </c>
      <c r="BO160">
        <v>0.773170731707317</v>
      </c>
      <c r="BP160">
        <v>0.760975609756097</v>
      </c>
      <c r="BQ160">
        <v>0.748780487804878</v>
      </c>
      <c r="BR160">
        <v>0.736585365853658</v>
      </c>
      <c r="BS160">
        <v>0.724390243902439</v>
      </c>
      <c r="BT160">
        <v>0.71219512195122</v>
      </c>
      <c r="BU160">
        <v>0.699999999999999</v>
      </c>
      <c r="BV160">
        <v>0.687499999999999</v>
      </c>
      <c r="BW160">
        <v>0.675</v>
      </c>
      <c r="BX160">
        <v>0.6625</v>
      </c>
      <c r="BY160">
        <v>0.649999999999999</v>
      </c>
      <c r="BZ160">
        <v>0.637499999999999</v>
      </c>
      <c r="CA160">
        <v>0.625</v>
      </c>
      <c r="CB160">
        <v>0.6125</v>
      </c>
      <c r="CC160">
        <v>0.6</v>
      </c>
      <c r="CD160" t="e">
        <v>#VALUE!</v>
      </c>
      <c r="CE160" t="e">
        <v>#VALUE!</v>
      </c>
      <c r="CF160" t="e">
        <v>#VALUE!</v>
      </c>
      <c r="CG160" t="e">
        <v>#VALUE!</v>
      </c>
      <c r="CH160" t="e">
        <v>#VALUE!</v>
      </c>
      <c r="CI160" t="e">
        <v>#VALUE!</v>
      </c>
      <c r="CJ160" t="e">
        <v>#VALUE!</v>
      </c>
      <c r="CK160" t="e">
        <v>#VALUE!</v>
      </c>
    </row>
    <row r="161" spans="1:89">
      <c r="A161" s="34" t="s">
        <v>17</v>
      </c>
      <c r="B161" s="34" t="s">
        <v>440</v>
      </c>
      <c r="C161" s="34" t="s">
        <v>440</v>
      </c>
      <c r="D161" s="34"/>
      <c r="E161" s="34">
        <v>7.75342561481203</v>
      </c>
      <c r="F161" s="34"/>
      <c r="G161" s="34"/>
      <c r="H161" s="34"/>
      <c r="I161" s="34">
        <v>10.6106392868222</v>
      </c>
      <c r="J161" s="34">
        <v>11.184011651854</v>
      </c>
      <c r="K161" s="34"/>
      <c r="L161" s="34">
        <v>11.9476259257563</v>
      </c>
      <c r="M161" s="34"/>
      <c r="N161" s="34"/>
      <c r="O161" s="34"/>
      <c r="P161" s="34"/>
      <c r="Q161" s="34"/>
      <c r="R161" s="34"/>
      <c r="S161" s="34"/>
      <c r="T161" s="34"/>
      <c r="U161" s="34"/>
      <c r="V161" s="34">
        <v>13.8206787126309</v>
      </c>
      <c r="W161" s="34">
        <v>3</v>
      </c>
      <c r="AG161" s="232" t="s">
        <v>437</v>
      </c>
      <c r="AI161">
        <v>1</v>
      </c>
      <c r="AJ161">
        <v>1.02621483239062</v>
      </c>
      <c r="AK161">
        <v>1.22119565054484</v>
      </c>
      <c r="AL161">
        <v>1.38784904257775</v>
      </c>
      <c r="AM161">
        <v>1.5285762184508</v>
      </c>
      <c r="AN161">
        <v>1.63888949552538</v>
      </c>
      <c r="AO161">
        <v>1.72357630623467</v>
      </c>
      <c r="AP161">
        <v>1.79283349626876</v>
      </c>
      <c r="AQ161">
        <v>1.85482924752953</v>
      </c>
      <c r="AR161">
        <v>1.91218851178937</v>
      </c>
      <c r="AS161">
        <v>1.96545083867851</v>
      </c>
      <c r="AT161">
        <v>2.01132968580655</v>
      </c>
      <c r="AU161">
        <v>2.05220699350528</v>
      </c>
      <c r="AV161">
        <v>2.08953761881332</v>
      </c>
      <c r="AW161">
        <v>2.12524424255582</v>
      </c>
      <c r="AX161">
        <v>2.16064148168893</v>
      </c>
      <c r="AY161">
        <v>2.19610937613075</v>
      </c>
      <c r="AZ161">
        <v>2.22905937229824</v>
      </c>
      <c r="BA161">
        <v>0</v>
      </c>
      <c r="BB161">
        <v>0</v>
      </c>
      <c r="BC161">
        <v>0</v>
      </c>
      <c r="BD161">
        <v>0</v>
      </c>
      <c r="BE161">
        <v>0</v>
      </c>
      <c r="BF161">
        <v>0</v>
      </c>
      <c r="BG161">
        <v>0</v>
      </c>
      <c r="BH161">
        <v>0</v>
      </c>
      <c r="BJ161" t="s">
        <v>452</v>
      </c>
      <c r="BL161">
        <v>0.8</v>
      </c>
      <c r="BM161">
        <v>0.797560975609756</v>
      </c>
      <c r="BN161">
        <v>0.785365853658536</v>
      </c>
      <c r="BO161">
        <v>0.773170731707317</v>
      </c>
      <c r="BP161">
        <v>0.760975609756097</v>
      </c>
      <c r="BQ161">
        <v>0.748780487804878</v>
      </c>
      <c r="BR161">
        <v>0.736585365853658</v>
      </c>
      <c r="BS161">
        <v>0.724390243902439</v>
      </c>
      <c r="BT161">
        <v>0.71219512195122</v>
      </c>
      <c r="BU161">
        <v>0.699999999999999</v>
      </c>
      <c r="BV161">
        <v>0.687499999999999</v>
      </c>
      <c r="BW161">
        <v>0.675</v>
      </c>
      <c r="BX161">
        <v>0.6625</v>
      </c>
      <c r="BY161">
        <v>0.649999999999999</v>
      </c>
      <c r="BZ161">
        <v>0.637499999999999</v>
      </c>
      <c r="CA161">
        <v>0.625</v>
      </c>
      <c r="CB161">
        <v>0.6125</v>
      </c>
      <c r="CC161">
        <v>0.6</v>
      </c>
      <c r="CD161" t="e">
        <v>#VALUE!</v>
      </c>
      <c r="CE161" t="e">
        <v>#VALUE!</v>
      </c>
      <c r="CF161" t="e">
        <v>#VALUE!</v>
      </c>
      <c r="CG161" t="e">
        <v>#VALUE!</v>
      </c>
      <c r="CH161" t="e">
        <v>#VALUE!</v>
      </c>
      <c r="CI161" t="e">
        <v>#VALUE!</v>
      </c>
      <c r="CJ161" t="e">
        <v>#VALUE!</v>
      </c>
      <c r="CK161" t="e">
        <v>#VALUE!</v>
      </c>
    </row>
    <row r="162" spans="1:89">
      <c r="A162" s="34" t="s">
        <v>17</v>
      </c>
      <c r="B162" s="34" t="s">
        <v>441</v>
      </c>
      <c r="C162" s="34" t="s">
        <v>441</v>
      </c>
      <c r="D162" s="34"/>
      <c r="E162" s="34">
        <v>8.67473913168791</v>
      </c>
      <c r="F162" s="34"/>
      <c r="G162" s="34"/>
      <c r="H162" s="34"/>
      <c r="I162" s="34">
        <v>8.08336435165592</v>
      </c>
      <c r="J162" s="34">
        <v>7.89625828842359</v>
      </c>
      <c r="K162" s="34"/>
      <c r="L162" s="34">
        <v>7.54541790110384</v>
      </c>
      <c r="M162" s="34"/>
      <c r="N162" s="34"/>
      <c r="O162" s="34"/>
      <c r="P162" s="34"/>
      <c r="Q162" s="34"/>
      <c r="R162" s="34"/>
      <c r="S162" s="34"/>
      <c r="T162" s="34"/>
      <c r="U162" s="34"/>
      <c r="V162" s="34">
        <v>6.17662652933353</v>
      </c>
      <c r="W162" s="34">
        <v>3</v>
      </c>
      <c r="AG162" s="232" t="s">
        <v>442</v>
      </c>
      <c r="AI162">
        <v>1</v>
      </c>
      <c r="AJ162">
        <v>0.993839655291651</v>
      </c>
      <c r="AK162">
        <v>0.963037931749907</v>
      </c>
      <c r="AL162">
        <v>0.935448209186594</v>
      </c>
      <c r="AM162">
        <v>0.906817669447105</v>
      </c>
      <c r="AN162">
        <v>0.878785212650304</v>
      </c>
      <c r="AO162">
        <v>0.851574726117705</v>
      </c>
      <c r="AP162">
        <v>0.825561062915208</v>
      </c>
      <c r="AQ162">
        <v>0.80022969036693</v>
      </c>
      <c r="AR162">
        <v>0.774550748708733</v>
      </c>
      <c r="AS162">
        <v>0.74830418571332</v>
      </c>
      <c r="AT162">
        <v>0.722575771339761</v>
      </c>
      <c r="AU162">
        <v>0.698620759317864</v>
      </c>
      <c r="AV162">
        <v>0.677055093171943</v>
      </c>
      <c r="AW162">
        <v>0.657833573577332</v>
      </c>
      <c r="AX162">
        <v>0.640476320673726</v>
      </c>
      <c r="AY162">
        <v>0.624349283813413</v>
      </c>
      <c r="AZ162">
        <v>0.608459584497894</v>
      </c>
      <c r="BA162">
        <v>0</v>
      </c>
      <c r="BB162">
        <v>0</v>
      </c>
      <c r="BC162">
        <v>0</v>
      </c>
      <c r="BD162">
        <v>0</v>
      </c>
      <c r="BE162">
        <v>0</v>
      </c>
      <c r="BF162">
        <v>0</v>
      </c>
      <c r="BG162">
        <v>0</v>
      </c>
      <c r="BH162">
        <v>0</v>
      </c>
      <c r="BJ162" t="s">
        <v>452</v>
      </c>
      <c r="BL162">
        <v>0.8</v>
      </c>
      <c r="BM162">
        <v>0.797560975609756</v>
      </c>
      <c r="BN162">
        <v>0.785365853658536</v>
      </c>
      <c r="BO162">
        <v>0.773170731707317</v>
      </c>
      <c r="BP162">
        <v>0.760975609756097</v>
      </c>
      <c r="BQ162">
        <v>0.748780487804878</v>
      </c>
      <c r="BR162">
        <v>0.736585365853658</v>
      </c>
      <c r="BS162">
        <v>0.724390243902439</v>
      </c>
      <c r="BT162">
        <v>0.71219512195122</v>
      </c>
      <c r="BU162">
        <v>0.699999999999999</v>
      </c>
      <c r="BV162">
        <v>0.687499999999999</v>
      </c>
      <c r="BW162">
        <v>0.675</v>
      </c>
      <c r="BX162">
        <v>0.6625</v>
      </c>
      <c r="BY162">
        <v>0.649999999999999</v>
      </c>
      <c r="BZ162">
        <v>0.637499999999999</v>
      </c>
      <c r="CA162">
        <v>0.625</v>
      </c>
      <c r="CB162">
        <v>0.6125</v>
      </c>
      <c r="CC162">
        <v>0.6</v>
      </c>
      <c r="CD162" t="e">
        <v>#VALUE!</v>
      </c>
      <c r="CE162" t="e">
        <v>#VALUE!</v>
      </c>
      <c r="CF162" t="e">
        <v>#VALUE!</v>
      </c>
      <c r="CG162" t="e">
        <v>#VALUE!</v>
      </c>
      <c r="CH162" t="e">
        <v>#VALUE!</v>
      </c>
      <c r="CI162" t="e">
        <v>#VALUE!</v>
      </c>
      <c r="CJ162" t="e">
        <v>#VALUE!</v>
      </c>
      <c r="CK162" t="e">
        <v>#VALUE!</v>
      </c>
    </row>
    <row r="163" spans="1:89">
      <c r="A163" s="34" t="s">
        <v>17</v>
      </c>
      <c r="B163" s="34" t="s">
        <v>443</v>
      </c>
      <c r="C163" s="34" t="s">
        <v>443</v>
      </c>
      <c r="D163" s="34"/>
      <c r="E163" s="34">
        <v>2.08057642901886</v>
      </c>
      <c r="F163" s="34">
        <f xml:space="preserve">E163</f>
        <v>2.08057642901886</v>
      </c>
      <c r="G163" s="34"/>
      <c r="H163" s="34"/>
      <c r="I163" s="34">
        <f xml:space="preserve">F163</f>
        <v>2.08057642901886</v>
      </c>
      <c r="J163" s="34">
        <f xml:space="preserve">I163</f>
        <v>2.08057642901886</v>
      </c>
      <c r="K163" s="34"/>
      <c r="L163" s="34">
        <f xml:space="preserve">J163</f>
        <v>2.08057642901886</v>
      </c>
      <c r="M163" s="34"/>
      <c r="N163" s="34"/>
      <c r="O163" s="34"/>
      <c r="P163" s="34"/>
      <c r="Q163" s="34"/>
      <c r="R163" s="34"/>
      <c r="S163" s="34"/>
      <c r="T163" s="34"/>
      <c r="U163" s="34"/>
      <c r="V163" s="34">
        <f xml:space="preserve">L163</f>
        <v>2.08057642901886</v>
      </c>
      <c r="W163" s="34">
        <v>3</v>
      </c>
      <c r="AG163" s="232" t="s">
        <v>437</v>
      </c>
      <c r="AI163">
        <v>1</v>
      </c>
      <c r="AJ163">
        <v>1.02621483239062</v>
      </c>
      <c r="AK163">
        <v>1.22119565054484</v>
      </c>
      <c r="AL163">
        <v>1.38784904257775</v>
      </c>
      <c r="AM163">
        <v>1.5285762184508</v>
      </c>
      <c r="AN163">
        <v>1.63888949552538</v>
      </c>
      <c r="AO163">
        <v>1.72357630623467</v>
      </c>
      <c r="AP163">
        <v>1.79283349626876</v>
      </c>
      <c r="AQ163">
        <v>1.85482924752953</v>
      </c>
      <c r="AR163">
        <v>1.91218851178937</v>
      </c>
      <c r="AS163">
        <v>1.96545083867851</v>
      </c>
      <c r="AT163">
        <v>2.01132968580655</v>
      </c>
      <c r="AU163">
        <v>2.05220699350528</v>
      </c>
      <c r="AV163">
        <v>2.08953761881332</v>
      </c>
      <c r="AW163">
        <v>2.12524424255582</v>
      </c>
      <c r="AX163">
        <v>2.16064148168893</v>
      </c>
      <c r="AY163">
        <v>2.19610937613075</v>
      </c>
      <c r="AZ163">
        <v>2.22905937229824</v>
      </c>
      <c r="BA163">
        <v>0</v>
      </c>
      <c r="BB163">
        <v>0</v>
      </c>
      <c r="BC163">
        <v>0</v>
      </c>
      <c r="BD163">
        <v>0</v>
      </c>
      <c r="BE163">
        <v>0</v>
      </c>
      <c r="BF163">
        <v>0</v>
      </c>
      <c r="BG163">
        <v>0</v>
      </c>
      <c r="BH163">
        <v>0</v>
      </c>
      <c r="BJ163" t="s">
        <v>452</v>
      </c>
      <c r="BL163">
        <v>0.8</v>
      </c>
      <c r="BM163">
        <v>0.797560975609756</v>
      </c>
      <c r="BN163">
        <v>0.785365853658536</v>
      </c>
      <c r="BO163">
        <v>0.773170731707317</v>
      </c>
      <c r="BP163">
        <v>0.760975609756097</v>
      </c>
      <c r="BQ163">
        <v>0.748780487804878</v>
      </c>
      <c r="BR163">
        <v>0.736585365853658</v>
      </c>
      <c r="BS163">
        <v>0.724390243902439</v>
      </c>
      <c r="BT163">
        <v>0.71219512195122</v>
      </c>
      <c r="BU163">
        <v>0.699999999999999</v>
      </c>
      <c r="BV163">
        <v>0.687499999999999</v>
      </c>
      <c r="BW163">
        <v>0.675</v>
      </c>
      <c r="BX163">
        <v>0.6625</v>
      </c>
      <c r="BY163">
        <v>0.649999999999999</v>
      </c>
      <c r="BZ163">
        <v>0.637499999999999</v>
      </c>
      <c r="CA163">
        <v>0.625</v>
      </c>
      <c r="CB163">
        <v>0.6125</v>
      </c>
      <c r="CC163">
        <v>0.6</v>
      </c>
      <c r="CD163" t="e">
        <v>#VALUE!</v>
      </c>
      <c r="CE163" t="e">
        <v>#VALUE!</v>
      </c>
      <c r="CF163" t="e">
        <v>#VALUE!</v>
      </c>
      <c r="CG163" t="e">
        <v>#VALUE!</v>
      </c>
      <c r="CH163" t="e">
        <v>#VALUE!</v>
      </c>
      <c r="CI163" t="e">
        <v>#VALUE!</v>
      </c>
      <c r="CJ163" t="e">
        <v>#VALUE!</v>
      </c>
      <c r="CK163" t="e">
        <v>#VALUE!</v>
      </c>
    </row>
    <row r="164" spans="1:89">
      <c r="A164" s="34" t="s">
        <v>17</v>
      </c>
      <c r="B164" s="34" t="s">
        <v>444</v>
      </c>
      <c r="C164" s="34" t="s">
        <v>444</v>
      </c>
      <c r="D164" s="34"/>
      <c r="E164" s="34">
        <v>4.70380562556693</v>
      </c>
      <c r="F164" s="34">
        <f xml:space="preserve">E164</f>
        <v>4.70380562556693</v>
      </c>
      <c r="G164" s="34"/>
      <c r="H164" s="34"/>
      <c r="I164" s="34">
        <f xml:space="preserve">F164</f>
        <v>4.70380562556693</v>
      </c>
      <c r="J164" s="34">
        <f xml:space="preserve">I164</f>
        <v>4.70380562556693</v>
      </c>
      <c r="K164" s="34"/>
      <c r="L164" s="34">
        <f xml:space="preserve">J164</f>
        <v>4.70380562556693</v>
      </c>
      <c r="M164" s="34"/>
      <c r="N164" s="34"/>
      <c r="O164" s="34"/>
      <c r="P164" s="34"/>
      <c r="Q164" s="34"/>
      <c r="R164" s="34"/>
      <c r="S164" s="34"/>
      <c r="T164" s="34"/>
      <c r="U164" s="34"/>
      <c r="V164" s="34">
        <f xml:space="preserve">L164</f>
        <v>4.70380562556693</v>
      </c>
      <c r="W164" s="34">
        <v>3</v>
      </c>
      <c r="AG164" s="232" t="s">
        <v>437</v>
      </c>
      <c r="AI164">
        <v>1</v>
      </c>
      <c r="AJ164">
        <v>1.02621483239062</v>
      </c>
      <c r="AK164">
        <v>1.22119565054484</v>
      </c>
      <c r="AL164">
        <v>1.38784904257775</v>
      </c>
      <c r="AM164">
        <v>1.5285762184508</v>
      </c>
      <c r="AN164">
        <v>1.63888949552538</v>
      </c>
      <c r="AO164">
        <v>1.72357630623467</v>
      </c>
      <c r="AP164">
        <v>1.79283349626876</v>
      </c>
      <c r="AQ164">
        <v>1.85482924752953</v>
      </c>
      <c r="AR164">
        <v>1.91218851178937</v>
      </c>
      <c r="AS164">
        <v>1.96545083867851</v>
      </c>
      <c r="AT164">
        <v>2.01132968580655</v>
      </c>
      <c r="AU164">
        <v>2.05220699350528</v>
      </c>
      <c r="AV164">
        <v>2.08953761881332</v>
      </c>
      <c r="AW164">
        <v>2.12524424255582</v>
      </c>
      <c r="AX164">
        <v>2.16064148168893</v>
      </c>
      <c r="AY164">
        <v>2.19610937613075</v>
      </c>
      <c r="AZ164">
        <v>2.22905937229824</v>
      </c>
      <c r="BA164">
        <v>0</v>
      </c>
      <c r="BB164">
        <v>0</v>
      </c>
      <c r="BC164">
        <v>0</v>
      </c>
      <c r="BD164">
        <v>0</v>
      </c>
      <c r="BE164">
        <v>0</v>
      </c>
      <c r="BF164">
        <v>0</v>
      </c>
      <c r="BG164">
        <v>0</v>
      </c>
      <c r="BH164">
        <v>0</v>
      </c>
      <c r="BJ164" t="s">
        <v>452</v>
      </c>
      <c r="BL164">
        <v>0.8</v>
      </c>
      <c r="BM164">
        <v>0.797560975609756</v>
      </c>
      <c r="BN164">
        <v>0.785365853658536</v>
      </c>
      <c r="BO164">
        <v>0.773170731707317</v>
      </c>
      <c r="BP164">
        <v>0.760975609756097</v>
      </c>
      <c r="BQ164">
        <v>0.748780487804878</v>
      </c>
      <c r="BR164">
        <v>0.736585365853658</v>
      </c>
      <c r="BS164">
        <v>0.724390243902439</v>
      </c>
      <c r="BT164">
        <v>0.71219512195122</v>
      </c>
      <c r="BU164">
        <v>0.699999999999999</v>
      </c>
      <c r="BV164">
        <v>0.687499999999999</v>
      </c>
      <c r="BW164">
        <v>0.675</v>
      </c>
      <c r="BX164">
        <v>0.6625</v>
      </c>
      <c r="BY164">
        <v>0.649999999999999</v>
      </c>
      <c r="BZ164">
        <v>0.637499999999999</v>
      </c>
      <c r="CA164">
        <v>0.625</v>
      </c>
      <c r="CB164">
        <v>0.6125</v>
      </c>
      <c r="CC164">
        <v>0.6</v>
      </c>
      <c r="CD164" t="e">
        <v>#VALUE!</v>
      </c>
      <c r="CE164" t="e">
        <v>#VALUE!</v>
      </c>
      <c r="CF164" t="e">
        <v>#VALUE!</v>
      </c>
      <c r="CG164" t="e">
        <v>#VALUE!</v>
      </c>
      <c r="CH164" t="e">
        <v>#VALUE!</v>
      </c>
      <c r="CI164" t="e">
        <v>#VALUE!</v>
      </c>
      <c r="CJ164" t="e">
        <v>#VALUE!</v>
      </c>
      <c r="CK164" t="e">
        <v>#VALUE!</v>
      </c>
    </row>
    <row r="165" spans="1:89">
      <c r="A165" s="34" t="s">
        <v>17</v>
      </c>
      <c r="B165" s="34" t="s">
        <v>445</v>
      </c>
      <c r="C165" s="34" t="s">
        <v>445</v>
      </c>
      <c r="D165" s="34">
        <v>1.855</v>
      </c>
      <c r="E165" s="34">
        <v>1.84588592025631</v>
      </c>
      <c r="F165" s="34"/>
      <c r="G165" s="34">
        <v>1.80095600813599</v>
      </c>
      <c r="H165" s="34">
        <v>1.76106431680021</v>
      </c>
      <c r="I165" s="34">
        <v>1.72004808657804</v>
      </c>
      <c r="J165" s="34">
        <v>1.68023404232009</v>
      </c>
      <c r="K165" s="34">
        <v>1.64191219533414</v>
      </c>
      <c r="L165" s="34">
        <v>1.6055791943322</v>
      </c>
      <c r="M165" s="34">
        <v>1.57049267824715</v>
      </c>
      <c r="N165" s="34">
        <v>1.53521529071534</v>
      </c>
      <c r="O165" s="34">
        <v>1.49944977002713</v>
      </c>
      <c r="P165" s="34">
        <v>1.46465046730681</v>
      </c>
      <c r="Q165" s="34">
        <v>1.43248181437752</v>
      </c>
      <c r="R165" s="34">
        <v>1.4037393590439</v>
      </c>
      <c r="S165" s="34">
        <v>1.37833370525641</v>
      </c>
      <c r="T165" s="34">
        <v>1.35560370971818</v>
      </c>
      <c r="U165" s="34">
        <v>1.3346967760003</v>
      </c>
      <c r="V165" s="34">
        <v>1.31431594334986</v>
      </c>
      <c r="W165" s="34">
        <v>3</v>
      </c>
      <c r="AG165" s="232" t="s">
        <v>442</v>
      </c>
      <c r="AI165">
        <v>1</v>
      </c>
      <c r="AJ165">
        <v>0.993839655291651</v>
      </c>
      <c r="AK165">
        <v>0.963037931749907</v>
      </c>
      <c r="AL165">
        <v>0.935448209186594</v>
      </c>
      <c r="AM165">
        <v>0.906817669447105</v>
      </c>
      <c r="AN165">
        <v>0.878785212650304</v>
      </c>
      <c r="AO165">
        <v>0.851574726117705</v>
      </c>
      <c r="AP165">
        <v>0.825561062915208</v>
      </c>
      <c r="AQ165">
        <v>0.80022969036693</v>
      </c>
      <c r="AR165">
        <v>0.774550748708733</v>
      </c>
      <c r="AS165">
        <v>0.74830418571332</v>
      </c>
      <c r="AT165">
        <v>0.722575771339761</v>
      </c>
      <c r="AU165">
        <v>0.698620759317864</v>
      </c>
      <c r="AV165">
        <v>0.677055093171943</v>
      </c>
      <c r="AW165">
        <v>0.657833573577332</v>
      </c>
      <c r="AX165">
        <v>0.640476320673726</v>
      </c>
      <c r="AY165">
        <v>0.624349283813413</v>
      </c>
      <c r="AZ165">
        <v>0.608459584497894</v>
      </c>
      <c r="BA165">
        <v>0</v>
      </c>
      <c r="BB165">
        <v>0</v>
      </c>
      <c r="BC165">
        <v>0</v>
      </c>
      <c r="BD165">
        <v>0</v>
      </c>
      <c r="BE165">
        <v>0</v>
      </c>
      <c r="BF165">
        <v>0</v>
      </c>
      <c r="BG165">
        <v>0</v>
      </c>
      <c r="BH165">
        <v>0</v>
      </c>
      <c r="BJ165" t="s">
        <v>452</v>
      </c>
      <c r="BL165">
        <v>0.8</v>
      </c>
      <c r="BM165">
        <v>0.797560975609756</v>
      </c>
      <c r="BN165">
        <v>0.785365853658536</v>
      </c>
      <c r="BO165">
        <v>0.773170731707317</v>
      </c>
      <c r="BP165">
        <v>0.760975609756097</v>
      </c>
      <c r="BQ165">
        <v>0.748780487804878</v>
      </c>
      <c r="BR165">
        <v>0.736585365853658</v>
      </c>
      <c r="BS165">
        <v>0.724390243902439</v>
      </c>
      <c r="BT165">
        <v>0.71219512195122</v>
      </c>
      <c r="BU165">
        <v>0.699999999999999</v>
      </c>
      <c r="BV165">
        <v>0.687499999999999</v>
      </c>
      <c r="BW165">
        <v>0.675</v>
      </c>
      <c r="BX165">
        <v>0.6625</v>
      </c>
      <c r="BY165">
        <v>0.649999999999999</v>
      </c>
      <c r="BZ165">
        <v>0.637499999999999</v>
      </c>
      <c r="CA165">
        <v>0.625</v>
      </c>
      <c r="CB165">
        <v>0.6125</v>
      </c>
      <c r="CC165">
        <v>0.6</v>
      </c>
      <c r="CD165" t="e">
        <v>#VALUE!</v>
      </c>
      <c r="CE165" t="e">
        <v>#VALUE!</v>
      </c>
      <c r="CF165" t="e">
        <v>#VALUE!</v>
      </c>
      <c r="CG165" t="e">
        <v>#VALUE!</v>
      </c>
      <c r="CH165" t="e">
        <v>#VALUE!</v>
      </c>
      <c r="CI165" t="e">
        <v>#VALUE!</v>
      </c>
      <c r="CJ165" t="e">
        <v>#VALUE!</v>
      </c>
      <c r="CK165" t="e">
        <v>#VALUE!</v>
      </c>
    </row>
    <row r="166" spans="1:89">
      <c r="A166" s="34" t="s">
        <v>17</v>
      </c>
      <c r="B166" s="34" t="s">
        <v>446</v>
      </c>
      <c r="C166" s="34" t="s">
        <v>446</v>
      </c>
      <c r="D166" s="34">
        <v>0.36</v>
      </c>
      <c r="E166" s="34">
        <v>0.358231229807154</v>
      </c>
      <c r="F166" s="34"/>
      <c r="G166" s="34">
        <v>0.349511678128817</v>
      </c>
      <c r="H166" s="34">
        <v>0.341769894365539</v>
      </c>
      <c r="I166" s="34">
        <v>0.333809871249646</v>
      </c>
      <c r="J166" s="34">
        <v>0.326083156461043</v>
      </c>
      <c r="K166" s="34">
        <v>0.318646032517676</v>
      </c>
      <c r="L166" s="34">
        <v>0.311594884075252</v>
      </c>
      <c r="M166" s="34">
        <v>0.304785641061441</v>
      </c>
      <c r="N166" s="34">
        <v>0.297939355610524</v>
      </c>
      <c r="O166" s="34">
        <v>0.290998338118474</v>
      </c>
      <c r="P166" s="34">
        <v>0.28424483462558</v>
      </c>
      <c r="Q166" s="34">
        <v>0.278001861550354</v>
      </c>
      <c r="R166" s="34">
        <v>0.272423810919572</v>
      </c>
      <c r="S166" s="34">
        <v>0.267493333634667</v>
      </c>
      <c r="T166" s="34">
        <v>0.263082121562557</v>
      </c>
      <c r="U166" s="34">
        <v>0.259024711245341</v>
      </c>
      <c r="V166" s="34">
        <v>0.255069401404825</v>
      </c>
      <c r="W166" s="34">
        <v>3</v>
      </c>
      <c r="AG166" s="232" t="s">
        <v>442</v>
      </c>
      <c r="AI166">
        <v>1</v>
      </c>
      <c r="AJ166">
        <v>0.993839655291651</v>
      </c>
      <c r="AK166">
        <v>0.963037931749907</v>
      </c>
      <c r="AL166">
        <v>0.935448209186594</v>
      </c>
      <c r="AM166">
        <v>0.906817669447105</v>
      </c>
      <c r="AN166">
        <v>0.878785212650304</v>
      </c>
      <c r="AO166">
        <v>0.851574726117705</v>
      </c>
      <c r="AP166">
        <v>0.825561062915208</v>
      </c>
      <c r="AQ166">
        <v>0.80022969036693</v>
      </c>
      <c r="AR166">
        <v>0.774550748708733</v>
      </c>
      <c r="AS166">
        <v>0.74830418571332</v>
      </c>
      <c r="AT166">
        <v>0.722575771339761</v>
      </c>
      <c r="AU166">
        <v>0.698620759317864</v>
      </c>
      <c r="AV166">
        <v>0.677055093171943</v>
      </c>
      <c r="AW166">
        <v>0.657833573577332</v>
      </c>
      <c r="AX166">
        <v>0.640476320673726</v>
      </c>
      <c r="AY166">
        <v>0.624349283813413</v>
      </c>
      <c r="AZ166">
        <v>0.608459584497894</v>
      </c>
      <c r="BA166">
        <v>0</v>
      </c>
      <c r="BB166">
        <v>0</v>
      </c>
      <c r="BC166">
        <v>0</v>
      </c>
      <c r="BD166">
        <v>0</v>
      </c>
      <c r="BE166">
        <v>0</v>
      </c>
      <c r="BF166">
        <v>0</v>
      </c>
      <c r="BG166">
        <v>0</v>
      </c>
      <c r="BH166">
        <v>0</v>
      </c>
      <c r="BJ166" t="s">
        <v>452</v>
      </c>
      <c r="BL166">
        <v>0.8</v>
      </c>
      <c r="BM166">
        <v>0.797560975609756</v>
      </c>
      <c r="BN166">
        <v>0.785365853658536</v>
      </c>
      <c r="BO166">
        <v>0.773170731707317</v>
      </c>
      <c r="BP166">
        <v>0.760975609756097</v>
      </c>
      <c r="BQ166">
        <v>0.748780487804878</v>
      </c>
      <c r="BR166">
        <v>0.736585365853658</v>
      </c>
      <c r="BS166">
        <v>0.724390243902439</v>
      </c>
      <c r="BT166">
        <v>0.71219512195122</v>
      </c>
      <c r="BU166">
        <v>0.699999999999999</v>
      </c>
      <c r="BV166">
        <v>0.687499999999999</v>
      </c>
      <c r="BW166">
        <v>0.675</v>
      </c>
      <c r="BX166">
        <v>0.6625</v>
      </c>
      <c r="BY166">
        <v>0.649999999999999</v>
      </c>
      <c r="BZ166">
        <v>0.637499999999999</v>
      </c>
      <c r="CA166">
        <v>0.625</v>
      </c>
      <c r="CB166">
        <v>0.6125</v>
      </c>
      <c r="CC166">
        <v>0.6</v>
      </c>
      <c r="CD166" t="e">
        <v>#VALUE!</v>
      </c>
      <c r="CE166" t="e">
        <v>#VALUE!</v>
      </c>
      <c r="CF166" t="e">
        <v>#VALUE!</v>
      </c>
      <c r="CG166" t="e">
        <v>#VALUE!</v>
      </c>
      <c r="CH166" t="e">
        <v>#VALUE!</v>
      </c>
      <c r="CI166" t="e">
        <v>#VALUE!</v>
      </c>
      <c r="CJ166" t="e">
        <v>#VALUE!</v>
      </c>
      <c r="CK166" t="e">
        <v>#VALUE!</v>
      </c>
    </row>
    <row r="167" spans="1:89">
      <c r="A167" s="34" t="s">
        <v>17</v>
      </c>
      <c r="B167" s="34" t="s">
        <v>447</v>
      </c>
      <c r="C167" s="34" t="s">
        <v>447</v>
      </c>
      <c r="D167" s="34">
        <v>2.94</v>
      </c>
      <c r="E167" s="34">
        <v>2.92555504342509</v>
      </c>
      <c r="F167" s="34"/>
      <c r="G167" s="34">
        <v>2.85434537138534</v>
      </c>
      <c r="H167" s="34">
        <v>2.79112080398524</v>
      </c>
      <c r="I167" s="34">
        <v>2.72611394853878</v>
      </c>
      <c r="J167" s="34">
        <v>2.66301244443185</v>
      </c>
      <c r="K167" s="34">
        <v>2.60227593222769</v>
      </c>
      <c r="L167" s="34">
        <v>2.54469155328122</v>
      </c>
      <c r="M167" s="34">
        <v>2.4890827353351</v>
      </c>
      <c r="N167" s="34">
        <v>2.43317140415261</v>
      </c>
      <c r="O167" s="34">
        <v>2.37648642796753</v>
      </c>
      <c r="P167" s="34">
        <v>2.3213328161089</v>
      </c>
      <c r="Q167" s="34">
        <v>2.27034853599456</v>
      </c>
      <c r="R167" s="34">
        <v>2.22479445584317</v>
      </c>
      <c r="S167" s="34">
        <v>2.18452889134978</v>
      </c>
      <c r="T167" s="34">
        <v>2.14850399276088</v>
      </c>
      <c r="U167" s="34">
        <v>2.11536847517029</v>
      </c>
      <c r="V167" s="34">
        <v>2.0830667781394</v>
      </c>
      <c r="W167" s="34">
        <v>3</v>
      </c>
      <c r="AG167" s="232" t="s">
        <v>442</v>
      </c>
      <c r="AI167">
        <v>1</v>
      </c>
      <c r="AJ167">
        <v>0.993839655291651</v>
      </c>
      <c r="AK167">
        <v>0.963037931749907</v>
      </c>
      <c r="AL167">
        <v>0.935448209186594</v>
      </c>
      <c r="AM167">
        <v>0.906817669447105</v>
      </c>
      <c r="AN167">
        <v>0.878785212650304</v>
      </c>
      <c r="AO167">
        <v>0.851574726117705</v>
      </c>
      <c r="AP167">
        <v>0.825561062915208</v>
      </c>
      <c r="AQ167">
        <v>0.80022969036693</v>
      </c>
      <c r="AR167">
        <v>0.774550748708733</v>
      </c>
      <c r="AS167">
        <v>0.74830418571332</v>
      </c>
      <c r="AT167">
        <v>0.722575771339761</v>
      </c>
      <c r="AU167">
        <v>0.698620759317864</v>
      </c>
      <c r="AV167">
        <v>0.677055093171943</v>
      </c>
      <c r="AW167">
        <v>0.657833573577332</v>
      </c>
      <c r="AX167">
        <v>0.640476320673726</v>
      </c>
      <c r="AY167">
        <v>0.624349283813413</v>
      </c>
      <c r="AZ167">
        <v>0.608459584497894</v>
      </c>
      <c r="BA167">
        <v>0</v>
      </c>
      <c r="BB167">
        <v>0</v>
      </c>
      <c r="BC167">
        <v>0</v>
      </c>
      <c r="BD167">
        <v>0</v>
      </c>
      <c r="BE167">
        <v>0</v>
      </c>
      <c r="BF167">
        <v>0</v>
      </c>
      <c r="BG167">
        <v>0</v>
      </c>
      <c r="BH167">
        <v>0</v>
      </c>
      <c r="BJ167" t="s">
        <v>452</v>
      </c>
      <c r="BL167">
        <v>0.8</v>
      </c>
      <c r="BM167">
        <v>0.797560975609756</v>
      </c>
      <c r="BN167">
        <v>0.785365853658536</v>
      </c>
      <c r="BO167">
        <v>0.773170731707317</v>
      </c>
      <c r="BP167">
        <v>0.760975609756097</v>
      </c>
      <c r="BQ167">
        <v>0.748780487804878</v>
      </c>
      <c r="BR167">
        <v>0.736585365853658</v>
      </c>
      <c r="BS167">
        <v>0.724390243902439</v>
      </c>
      <c r="BT167">
        <v>0.71219512195122</v>
      </c>
      <c r="BU167">
        <v>0.699999999999999</v>
      </c>
      <c r="BV167">
        <v>0.687499999999999</v>
      </c>
      <c r="BW167">
        <v>0.675</v>
      </c>
      <c r="BX167">
        <v>0.6625</v>
      </c>
      <c r="BY167">
        <v>0.649999999999999</v>
      </c>
      <c r="BZ167">
        <v>0.637499999999999</v>
      </c>
      <c r="CA167">
        <v>0.625</v>
      </c>
      <c r="CB167">
        <v>0.6125</v>
      </c>
      <c r="CC167">
        <v>0.6</v>
      </c>
      <c r="CD167" t="e">
        <v>#VALUE!</v>
      </c>
      <c r="CE167" t="e">
        <v>#VALUE!</v>
      </c>
      <c r="CF167" t="e">
        <v>#VALUE!</v>
      </c>
      <c r="CG167" t="e">
        <v>#VALUE!</v>
      </c>
      <c r="CH167" t="e">
        <v>#VALUE!</v>
      </c>
      <c r="CI167" t="e">
        <v>#VALUE!</v>
      </c>
      <c r="CJ167" t="e">
        <v>#VALUE!</v>
      </c>
      <c r="CK167" t="e">
        <v>#VALUE!</v>
      </c>
    </row>
    <row r="168" spans="1:89">
      <c r="A168" s="34" t="s">
        <v>17</v>
      </c>
      <c r="B168" s="34" t="s">
        <v>448</v>
      </c>
      <c r="C168" s="34" t="s">
        <v>448</v>
      </c>
      <c r="D168" s="34">
        <v>108.66</v>
      </c>
      <c r="E168" s="34">
        <v>111.483120579211</v>
      </c>
      <c r="F168" s="34"/>
      <c r="G168" s="34">
        <v>131.450997343658</v>
      </c>
      <c r="H168" s="34">
        <v>148.727354809864</v>
      </c>
      <c r="I168" s="34">
        <v>164.139180270184</v>
      </c>
      <c r="J168" s="34">
        <v>177.212318632682</v>
      </c>
      <c r="K168" s="34">
        <v>188.343768234989</v>
      </c>
      <c r="L168" s="34">
        <v>198.297843458347</v>
      </c>
      <c r="M168" s="34">
        <v>207.806572265739</v>
      </c>
      <c r="N168" s="34">
        <v>217.276734164386</v>
      </c>
      <c r="O168" s="34">
        <v>226.82284193878</v>
      </c>
      <c r="P168" s="34">
        <v>235.975535460544</v>
      </c>
      <c r="Q168" s="34">
        <v>244.622264431406</v>
      </c>
      <c r="R168" s="34">
        <v>252.671395495324</v>
      </c>
      <c r="S168" s="34">
        <v>260.210978277129</v>
      </c>
      <c r="T168" s="34">
        <v>267.400530192511</v>
      </c>
      <c r="U168" s="34">
        <v>274.389079745819</v>
      </c>
      <c r="V168" s="34">
        <v>281.223056559144</v>
      </c>
      <c r="W168" s="34">
        <v>3</v>
      </c>
      <c r="AG168" s="232" t="s">
        <v>449</v>
      </c>
      <c r="AI168">
        <v>1</v>
      </c>
      <c r="AJ168">
        <v>1.03257585559863</v>
      </c>
      <c r="AK168">
        <v>1.26806599229777</v>
      </c>
      <c r="AL168">
        <v>1.48361932702242</v>
      </c>
      <c r="AM168">
        <v>1.68564891262296</v>
      </c>
      <c r="AN168">
        <v>1.8649488770785</v>
      </c>
      <c r="AO168">
        <v>2.02398715388417</v>
      </c>
      <c r="AP168">
        <v>2.17165461987503</v>
      </c>
      <c r="AQ168">
        <v>2.31787106859161</v>
      </c>
      <c r="AR168">
        <v>2.46877111019157</v>
      </c>
      <c r="AS168">
        <v>2.6265399502008</v>
      </c>
      <c r="AT168">
        <v>2.78355539388934</v>
      </c>
      <c r="AU168">
        <v>2.93751218545103</v>
      </c>
      <c r="AV168">
        <v>3.08621505086687</v>
      </c>
      <c r="AW168">
        <v>3.23067159828684</v>
      </c>
      <c r="AX168">
        <v>3.37349159047147</v>
      </c>
      <c r="AY168">
        <v>3.51743716708908</v>
      </c>
      <c r="AZ168">
        <v>3.66344688963635</v>
      </c>
      <c r="BA168">
        <v>0</v>
      </c>
      <c r="BB168">
        <v>0</v>
      </c>
      <c r="BC168">
        <v>0</v>
      </c>
      <c r="BD168">
        <v>0</v>
      </c>
      <c r="BE168">
        <v>0</v>
      </c>
      <c r="BF168">
        <v>0</v>
      </c>
      <c r="BG168">
        <v>0</v>
      </c>
      <c r="BH168">
        <v>0</v>
      </c>
      <c r="BJ168" t="s">
        <v>452</v>
      </c>
      <c r="BL168">
        <v>0.8</v>
      </c>
      <c r="BM168">
        <v>0.797560975609756</v>
      </c>
      <c r="BN168">
        <v>0.785365853658536</v>
      </c>
      <c r="BO168">
        <v>0.773170731707317</v>
      </c>
      <c r="BP168">
        <v>0.760975609756097</v>
      </c>
      <c r="BQ168">
        <v>0.748780487804878</v>
      </c>
      <c r="BR168">
        <v>0.736585365853658</v>
      </c>
      <c r="BS168">
        <v>0.724390243902439</v>
      </c>
      <c r="BT168">
        <v>0.71219512195122</v>
      </c>
      <c r="BU168">
        <v>0.699999999999999</v>
      </c>
      <c r="BV168">
        <v>0.687499999999999</v>
      </c>
      <c r="BW168">
        <v>0.675</v>
      </c>
      <c r="BX168">
        <v>0.6625</v>
      </c>
      <c r="BY168">
        <v>0.649999999999999</v>
      </c>
      <c r="BZ168">
        <v>0.637499999999999</v>
      </c>
      <c r="CA168">
        <v>0.625</v>
      </c>
      <c r="CB168">
        <v>0.6125</v>
      </c>
      <c r="CC168">
        <v>0.6</v>
      </c>
      <c r="CD168" t="e">
        <v>#VALUE!</v>
      </c>
      <c r="CE168" t="e">
        <v>#VALUE!</v>
      </c>
      <c r="CF168" t="e">
        <v>#VALUE!</v>
      </c>
      <c r="CG168" t="e">
        <v>#VALUE!</v>
      </c>
      <c r="CH168" t="e">
        <v>#VALUE!</v>
      </c>
      <c r="CI168" t="e">
        <v>#VALUE!</v>
      </c>
      <c r="CJ168" t="e">
        <v>#VALUE!</v>
      </c>
      <c r="CK168" t="e">
        <v>#VALUE!</v>
      </c>
    </row>
    <row r="169" spans="1:89">
      <c r="A169" s="34" t="s">
        <v>17</v>
      </c>
      <c r="B169" s="34" t="s">
        <v>450</v>
      </c>
      <c r="C169" s="34" t="s">
        <v>450</v>
      </c>
      <c r="D169" s="34">
        <v>36.7</v>
      </c>
      <c r="E169" s="34">
        <v>37.4673209317966</v>
      </c>
      <c r="F169" s="34"/>
      <c r="G169" s="34">
        <v>43.0581762844974</v>
      </c>
      <c r="H169" s="34">
        <v>47.6013563048872</v>
      </c>
      <c r="I169" s="34">
        <v>51.2743975632423</v>
      </c>
      <c r="J169" s="34">
        <v>54.0451375537087</v>
      </c>
      <c r="K169" s="34">
        <v>56.102192151888</v>
      </c>
      <c r="L169" s="34">
        <v>57.7351943737215</v>
      </c>
      <c r="M169" s="34">
        <v>59.1570699567237</v>
      </c>
      <c r="N169" s="34">
        <v>60.4376429308147</v>
      </c>
      <c r="O169" s="34">
        <v>61.5950060849238</v>
      </c>
      <c r="P169" s="34">
        <v>62.5655151271122</v>
      </c>
      <c r="Q169" s="34">
        <v>63.4079181718187</v>
      </c>
      <c r="R169" s="34">
        <v>64.1576413759166</v>
      </c>
      <c r="S169" s="34">
        <v>64.8565608985283</v>
      </c>
      <c r="T169" s="34">
        <v>65.5317018862988</v>
      </c>
      <c r="U169" s="34">
        <v>66.1905878221129</v>
      </c>
      <c r="V169" s="34">
        <v>66.7864542134959</v>
      </c>
      <c r="W169" s="34">
        <v>3</v>
      </c>
      <c r="AG169" s="232" t="s">
        <v>437</v>
      </c>
      <c r="AI169">
        <v>1</v>
      </c>
      <c r="AJ169">
        <v>1.02621483239062</v>
      </c>
      <c r="AK169">
        <v>1.22119565054484</v>
      </c>
      <c r="AL169">
        <v>1.38784904257775</v>
      </c>
      <c r="AM169">
        <v>1.5285762184508</v>
      </c>
      <c r="AN169">
        <v>1.63888949552538</v>
      </c>
      <c r="AO169">
        <v>1.72357630623467</v>
      </c>
      <c r="AP169">
        <v>1.79283349626876</v>
      </c>
      <c r="AQ169">
        <v>1.85482924752953</v>
      </c>
      <c r="AR169">
        <v>1.91218851178937</v>
      </c>
      <c r="AS169">
        <v>1.96545083867851</v>
      </c>
      <c r="AT169">
        <v>2.01132968580655</v>
      </c>
      <c r="AU169">
        <v>2.05220699350528</v>
      </c>
      <c r="AV169">
        <v>2.08953761881332</v>
      </c>
      <c r="AW169">
        <v>2.12524424255582</v>
      </c>
      <c r="AX169">
        <v>2.16064148168893</v>
      </c>
      <c r="AY169">
        <v>2.19610937613075</v>
      </c>
      <c r="AZ169">
        <v>2.22905937229824</v>
      </c>
      <c r="BA169">
        <v>0</v>
      </c>
      <c r="BB169">
        <v>0</v>
      </c>
      <c r="BC169">
        <v>0</v>
      </c>
      <c r="BD169">
        <v>0</v>
      </c>
      <c r="BE169">
        <v>0</v>
      </c>
      <c r="BF169">
        <v>0</v>
      </c>
      <c r="BG169">
        <v>0</v>
      </c>
      <c r="BH169">
        <v>0</v>
      </c>
      <c r="BJ169" t="s">
        <v>452</v>
      </c>
      <c r="BL169">
        <v>0.8</v>
      </c>
      <c r="BM169">
        <v>0.797560975609756</v>
      </c>
      <c r="BN169">
        <v>0.785365853658536</v>
      </c>
      <c r="BO169">
        <v>0.773170731707317</v>
      </c>
      <c r="BP169">
        <v>0.760975609756097</v>
      </c>
      <c r="BQ169">
        <v>0.748780487804878</v>
      </c>
      <c r="BR169">
        <v>0.736585365853658</v>
      </c>
      <c r="BS169">
        <v>0.724390243902439</v>
      </c>
      <c r="BT169">
        <v>0.71219512195122</v>
      </c>
      <c r="BU169">
        <v>0.699999999999999</v>
      </c>
      <c r="BV169">
        <v>0.687499999999999</v>
      </c>
      <c r="BW169">
        <v>0.675</v>
      </c>
      <c r="BX169">
        <v>0.6625</v>
      </c>
      <c r="BY169">
        <v>0.649999999999999</v>
      </c>
      <c r="BZ169">
        <v>0.637499999999999</v>
      </c>
      <c r="CA169">
        <v>0.625</v>
      </c>
      <c r="CB169">
        <v>0.6125</v>
      </c>
      <c r="CC169">
        <v>0.6</v>
      </c>
      <c r="CD169" t="e">
        <v>#VALUE!</v>
      </c>
      <c r="CE169" t="e">
        <v>#VALUE!</v>
      </c>
      <c r="CF169" t="e">
        <v>#VALUE!</v>
      </c>
      <c r="CG169" t="e">
        <v>#VALUE!</v>
      </c>
      <c r="CH169" t="e">
        <v>#VALUE!</v>
      </c>
      <c r="CI169" t="e">
        <v>#VALUE!</v>
      </c>
      <c r="CJ169" t="e">
        <v>#VALUE!</v>
      </c>
      <c r="CK169" t="e">
        <v>#VALUE!</v>
      </c>
    </row>
    <row r="170" spans="1:89">
      <c r="A170" s="34" t="s">
        <v>17</v>
      </c>
      <c r="B170" s="34" t="s">
        <v>451</v>
      </c>
      <c r="C170" s="34" t="s">
        <v>451</v>
      </c>
      <c r="D170" s="34">
        <v>26.56</v>
      </c>
      <c r="E170" s="34">
        <v>27.1153145490059</v>
      </c>
      <c r="F170" s="34"/>
      <c r="G170" s="34">
        <v>31.1614485590259</v>
      </c>
      <c r="H170" s="34">
        <v>34.4493739361799</v>
      </c>
      <c r="I170" s="34">
        <v>37.1075749122538</v>
      </c>
      <c r="J170" s="34">
        <v>39.1127752977249</v>
      </c>
      <c r="K170" s="34">
        <v>40.6014774810394</v>
      </c>
      <c r="L170" s="34">
        <v>41.7832905331347</v>
      </c>
      <c r="M170" s="34">
        <v>42.8123100286262</v>
      </c>
      <c r="N170" s="34">
        <v>43.7390680175052</v>
      </c>
      <c r="O170" s="34">
        <v>44.5766583546479</v>
      </c>
      <c r="P170" s="34">
        <v>45.2790213018011</v>
      </c>
      <c r="Q170" s="34">
        <v>45.8886732055451</v>
      </c>
      <c r="R170" s="34">
        <v>46.43125217832</v>
      </c>
      <c r="S170" s="34">
        <v>46.9370642361011</v>
      </c>
      <c r="T170" s="34">
        <v>47.4256676321552</v>
      </c>
      <c r="U170" s="34">
        <v>47.9025071540959</v>
      </c>
      <c r="V170" s="34">
        <v>48.3337390711295</v>
      </c>
      <c r="W170" s="34">
        <v>3</v>
      </c>
      <c r="AG170" s="232" t="s">
        <v>437</v>
      </c>
      <c r="AI170">
        <v>1</v>
      </c>
      <c r="AJ170">
        <v>1.02621483239062</v>
      </c>
      <c r="AK170">
        <v>1.22119565054484</v>
      </c>
      <c r="AL170">
        <v>1.38784904257775</v>
      </c>
      <c r="AM170">
        <v>1.5285762184508</v>
      </c>
      <c r="AN170">
        <v>1.63888949552538</v>
      </c>
      <c r="AO170">
        <v>1.72357630623467</v>
      </c>
      <c r="AP170">
        <v>1.79283349626876</v>
      </c>
      <c r="AQ170">
        <v>1.85482924752953</v>
      </c>
      <c r="AR170">
        <v>1.91218851178937</v>
      </c>
      <c r="AS170">
        <v>1.96545083867851</v>
      </c>
      <c r="AT170">
        <v>2.01132968580655</v>
      </c>
      <c r="AU170">
        <v>2.05220699350528</v>
      </c>
      <c r="AV170">
        <v>2.08953761881332</v>
      </c>
      <c r="AW170">
        <v>2.12524424255582</v>
      </c>
      <c r="AX170">
        <v>2.16064148168893</v>
      </c>
      <c r="AY170">
        <v>2.19610937613075</v>
      </c>
      <c r="AZ170">
        <v>2.22905937229824</v>
      </c>
      <c r="BA170">
        <v>0</v>
      </c>
      <c r="BB170">
        <v>0</v>
      </c>
      <c r="BC170">
        <v>0</v>
      </c>
      <c r="BD170">
        <v>0</v>
      </c>
      <c r="BE170">
        <v>0</v>
      </c>
      <c r="BF170">
        <v>0</v>
      </c>
      <c r="BG170">
        <v>0</v>
      </c>
      <c r="BH170">
        <v>0</v>
      </c>
      <c r="BJ170" t="s">
        <v>452</v>
      </c>
      <c r="BL170">
        <v>0.8</v>
      </c>
      <c r="BM170">
        <v>0.797560975609756</v>
      </c>
      <c r="BN170">
        <v>0.785365853658536</v>
      </c>
      <c r="BO170">
        <v>0.773170731707317</v>
      </c>
      <c r="BP170">
        <v>0.760975609756097</v>
      </c>
      <c r="BQ170">
        <v>0.748780487804878</v>
      </c>
      <c r="BR170">
        <v>0.736585365853658</v>
      </c>
      <c r="BS170">
        <v>0.724390243902439</v>
      </c>
      <c r="BT170">
        <v>0.71219512195122</v>
      </c>
      <c r="BU170">
        <v>0.699999999999999</v>
      </c>
      <c r="BV170">
        <v>0.687499999999999</v>
      </c>
      <c r="BW170">
        <v>0.675</v>
      </c>
      <c r="BX170">
        <v>0.6625</v>
      </c>
      <c r="BY170">
        <v>0.649999999999999</v>
      </c>
      <c r="BZ170">
        <v>0.637499999999999</v>
      </c>
      <c r="CA170">
        <v>0.625</v>
      </c>
      <c r="CB170">
        <v>0.6125</v>
      </c>
      <c r="CC170">
        <v>0.6</v>
      </c>
      <c r="CD170" t="e">
        <v>#VALUE!</v>
      </c>
      <c r="CE170" t="e">
        <v>#VALUE!</v>
      </c>
      <c r="CF170" t="e">
        <v>#VALUE!</v>
      </c>
      <c r="CG170" t="e">
        <v>#VALUE!</v>
      </c>
      <c r="CH170" t="e">
        <v>#VALUE!</v>
      </c>
      <c r="CI170" t="e">
        <v>#VALUE!</v>
      </c>
      <c r="CJ170" t="e">
        <v>#VALUE!</v>
      </c>
      <c r="CK170" t="e">
        <v>#VALUE!</v>
      </c>
    </row>
    <row r="171" spans="1:89">
      <c r="A171" s="34" t="s">
        <v>18</v>
      </c>
      <c r="B171" s="34" t="s">
        <v>436</v>
      </c>
      <c r="C171" s="34" t="s">
        <v>436</v>
      </c>
      <c r="D171" s="34"/>
      <c r="E171" s="34">
        <v>0.385231112178535</v>
      </c>
      <c r="F171" s="34">
        <f xml:space="preserve">E171</f>
        <v>0.385231112178535</v>
      </c>
      <c r="G171" s="34"/>
      <c r="H171" s="34"/>
      <c r="I171" s="34">
        <f xml:space="preserve">F171</f>
        <v>0.385231112178535</v>
      </c>
      <c r="J171" s="34">
        <f xml:space="preserve">I171</f>
        <v>0.385231112178535</v>
      </c>
      <c r="K171" s="34"/>
      <c r="L171" s="34">
        <f xml:space="preserve">J171</f>
        <v>0.385231112178535</v>
      </c>
      <c r="M171" s="34"/>
      <c r="N171" s="34"/>
      <c r="O171" s="34"/>
      <c r="P171" s="34"/>
      <c r="Q171" s="34"/>
      <c r="R171" s="34"/>
      <c r="S171" s="34"/>
      <c r="T171" s="34"/>
      <c r="U171" s="34"/>
      <c r="V171" s="34">
        <f xml:space="preserve">L171</f>
        <v>0.385231112178535</v>
      </c>
      <c r="W171" s="34">
        <v>3</v>
      </c>
      <c r="AG171" s="232" t="s">
        <v>437</v>
      </c>
      <c r="AI171">
        <v>1</v>
      </c>
      <c r="AJ171">
        <v>1.01817736459544</v>
      </c>
      <c r="AK171">
        <v>1.24931642627657</v>
      </c>
      <c r="AL171">
        <v>1.427108255292</v>
      </c>
      <c r="AM171">
        <v>1.60429626085173</v>
      </c>
      <c r="AN171">
        <v>1.78178048169162</v>
      </c>
      <c r="AO171">
        <v>1.95254859069884</v>
      </c>
      <c r="AP171">
        <v>2.10878506163556</v>
      </c>
      <c r="AQ171">
        <v>2.24936199785814</v>
      </c>
      <c r="AR171">
        <v>2.38084170711145</v>
      </c>
      <c r="AS171">
        <v>2.50725727436371</v>
      </c>
      <c r="AT171">
        <v>2.62275275138424</v>
      </c>
      <c r="AU171">
        <v>2.72462232551781</v>
      </c>
      <c r="AV171">
        <v>2.81146467063139</v>
      </c>
      <c r="AW171">
        <v>2.88243671246611</v>
      </c>
      <c r="AX171">
        <v>2.93886002688723</v>
      </c>
      <c r="AY171">
        <v>2.98358853419008</v>
      </c>
      <c r="AZ171">
        <v>3.01980654863627</v>
      </c>
      <c r="BA171">
        <v>0</v>
      </c>
      <c r="BB171">
        <v>0</v>
      </c>
      <c r="BC171">
        <v>0</v>
      </c>
      <c r="BD171">
        <v>0</v>
      </c>
      <c r="BE171">
        <v>0</v>
      </c>
      <c r="BF171">
        <v>0</v>
      </c>
      <c r="BG171">
        <v>0</v>
      </c>
      <c r="BH171">
        <v>0</v>
      </c>
      <c r="BJ171" t="s">
        <v>452</v>
      </c>
      <c r="BL171">
        <v>0.8</v>
      </c>
      <c r="BM171">
        <v>0.797560975609756</v>
      </c>
      <c r="BN171">
        <v>0.785365853658536</v>
      </c>
      <c r="BO171">
        <v>0.773170731707317</v>
      </c>
      <c r="BP171">
        <v>0.760975609756097</v>
      </c>
      <c r="BQ171">
        <v>0.748780487804878</v>
      </c>
      <c r="BR171">
        <v>0.736585365853658</v>
      </c>
      <c r="BS171">
        <v>0.724390243902439</v>
      </c>
      <c r="BT171">
        <v>0.71219512195122</v>
      </c>
      <c r="BU171">
        <v>0.699999999999999</v>
      </c>
      <c r="BV171">
        <v>0.687499999999999</v>
      </c>
      <c r="BW171">
        <v>0.675</v>
      </c>
      <c r="BX171">
        <v>0.6625</v>
      </c>
      <c r="BY171">
        <v>0.649999999999999</v>
      </c>
      <c r="BZ171">
        <v>0.637499999999999</v>
      </c>
      <c r="CA171">
        <v>0.625</v>
      </c>
      <c r="CB171">
        <v>0.6125</v>
      </c>
      <c r="CC171">
        <v>0.6</v>
      </c>
      <c r="CD171" t="e">
        <v>#VALUE!</v>
      </c>
      <c r="CE171" t="e">
        <v>#VALUE!</v>
      </c>
      <c r="CF171" t="e">
        <v>#VALUE!</v>
      </c>
      <c r="CG171" t="e">
        <v>#VALUE!</v>
      </c>
      <c r="CH171" t="e">
        <v>#VALUE!</v>
      </c>
      <c r="CI171" t="e">
        <v>#VALUE!</v>
      </c>
      <c r="CJ171" t="e">
        <v>#VALUE!</v>
      </c>
      <c r="CK171" t="e">
        <v>#VALUE!</v>
      </c>
    </row>
    <row r="172" spans="1:89">
      <c r="A172" s="34" t="s">
        <v>18</v>
      </c>
      <c r="B172" s="34" t="s">
        <v>439</v>
      </c>
      <c r="C172" s="34" t="s">
        <v>439</v>
      </c>
      <c r="D172" s="34"/>
      <c r="E172" s="34">
        <v>13.2313227078569</v>
      </c>
      <c r="F172" s="34">
        <f xml:space="preserve">E172</f>
        <v>13.2313227078569</v>
      </c>
      <c r="G172" s="34"/>
      <c r="H172" s="34"/>
      <c r="I172" s="34">
        <f xml:space="preserve">F172</f>
        <v>13.2313227078569</v>
      </c>
      <c r="J172" s="34">
        <f xml:space="preserve">I172</f>
        <v>13.2313227078569</v>
      </c>
      <c r="K172" s="34"/>
      <c r="L172" s="34">
        <f xml:space="preserve">J172</f>
        <v>13.2313227078569</v>
      </c>
      <c r="M172" s="34"/>
      <c r="N172" s="34"/>
      <c r="O172" s="34"/>
      <c r="P172" s="34"/>
      <c r="Q172" s="34"/>
      <c r="R172" s="34"/>
      <c r="S172" s="34"/>
      <c r="T172" s="34"/>
      <c r="U172" s="34"/>
      <c r="V172" s="34">
        <f xml:space="preserve">L172</f>
        <v>13.2313227078569</v>
      </c>
      <c r="W172" s="34">
        <v>3</v>
      </c>
      <c r="AG172" s="232" t="s">
        <v>437</v>
      </c>
      <c r="AI172">
        <v>1</v>
      </c>
      <c r="AJ172">
        <v>1.01817736459544</v>
      </c>
      <c r="AK172">
        <v>1.24931642627657</v>
      </c>
      <c r="AL172">
        <v>1.427108255292</v>
      </c>
      <c r="AM172">
        <v>1.60429626085173</v>
      </c>
      <c r="AN172">
        <v>1.78178048169162</v>
      </c>
      <c r="AO172">
        <v>1.95254859069884</v>
      </c>
      <c r="AP172">
        <v>2.10878506163556</v>
      </c>
      <c r="AQ172">
        <v>2.24936199785814</v>
      </c>
      <c r="AR172">
        <v>2.38084170711145</v>
      </c>
      <c r="AS172">
        <v>2.50725727436371</v>
      </c>
      <c r="AT172">
        <v>2.62275275138424</v>
      </c>
      <c r="AU172">
        <v>2.72462232551781</v>
      </c>
      <c r="AV172">
        <v>2.81146467063139</v>
      </c>
      <c r="AW172">
        <v>2.88243671246611</v>
      </c>
      <c r="AX172">
        <v>2.93886002688723</v>
      </c>
      <c r="AY172">
        <v>2.98358853419008</v>
      </c>
      <c r="AZ172">
        <v>3.01980654863627</v>
      </c>
      <c r="BA172">
        <v>0</v>
      </c>
      <c r="BB172">
        <v>0</v>
      </c>
      <c r="BC172">
        <v>0</v>
      </c>
      <c r="BD172">
        <v>0</v>
      </c>
      <c r="BE172">
        <v>0</v>
      </c>
      <c r="BF172">
        <v>0</v>
      </c>
      <c r="BG172">
        <v>0</v>
      </c>
      <c r="BH172">
        <v>0</v>
      </c>
      <c r="BJ172" t="s">
        <v>452</v>
      </c>
      <c r="BL172">
        <v>0.8</v>
      </c>
      <c r="BM172">
        <v>0.797560975609756</v>
      </c>
      <c r="BN172">
        <v>0.785365853658536</v>
      </c>
      <c r="BO172">
        <v>0.773170731707317</v>
      </c>
      <c r="BP172">
        <v>0.760975609756097</v>
      </c>
      <c r="BQ172">
        <v>0.748780487804878</v>
      </c>
      <c r="BR172">
        <v>0.736585365853658</v>
      </c>
      <c r="BS172">
        <v>0.724390243902439</v>
      </c>
      <c r="BT172">
        <v>0.71219512195122</v>
      </c>
      <c r="BU172">
        <v>0.699999999999999</v>
      </c>
      <c r="BV172">
        <v>0.687499999999999</v>
      </c>
      <c r="BW172">
        <v>0.675</v>
      </c>
      <c r="BX172">
        <v>0.6625</v>
      </c>
      <c r="BY172">
        <v>0.649999999999999</v>
      </c>
      <c r="BZ172">
        <v>0.637499999999999</v>
      </c>
      <c r="CA172">
        <v>0.625</v>
      </c>
      <c r="CB172">
        <v>0.6125</v>
      </c>
      <c r="CC172">
        <v>0.6</v>
      </c>
      <c r="CD172" t="e">
        <v>#VALUE!</v>
      </c>
      <c r="CE172" t="e">
        <v>#VALUE!</v>
      </c>
      <c r="CF172" t="e">
        <v>#VALUE!</v>
      </c>
      <c r="CG172" t="e">
        <v>#VALUE!</v>
      </c>
      <c r="CH172" t="e">
        <v>#VALUE!</v>
      </c>
      <c r="CI172" t="e">
        <v>#VALUE!</v>
      </c>
      <c r="CJ172" t="e">
        <v>#VALUE!</v>
      </c>
      <c r="CK172" t="e">
        <v>#VALUE!</v>
      </c>
    </row>
    <row r="173" spans="1:89">
      <c r="A173" s="34" t="s">
        <v>18</v>
      </c>
      <c r="B173" s="34" t="s">
        <v>440</v>
      </c>
      <c r="C173" s="34" t="s">
        <v>440</v>
      </c>
      <c r="D173" s="34"/>
      <c r="E173" s="34">
        <v>0</v>
      </c>
      <c r="F173" s="34"/>
      <c r="G173" s="34"/>
      <c r="H173" s="34"/>
      <c r="I173" s="34">
        <v>0</v>
      </c>
      <c r="J173" s="34">
        <v>0</v>
      </c>
      <c r="K173" s="34"/>
      <c r="L173" s="34">
        <v>0</v>
      </c>
      <c r="M173" s="34"/>
      <c r="N173" s="34"/>
      <c r="O173" s="34"/>
      <c r="P173" s="34"/>
      <c r="Q173" s="34"/>
      <c r="R173" s="34"/>
      <c r="S173" s="34"/>
      <c r="T173" s="34"/>
      <c r="U173" s="34"/>
      <c r="V173" s="34">
        <v>0</v>
      </c>
      <c r="W173" s="34">
        <v>3</v>
      </c>
      <c r="AG173" s="232" t="s">
        <v>437</v>
      </c>
      <c r="AI173">
        <v>1</v>
      </c>
      <c r="AJ173">
        <v>1.01817736459544</v>
      </c>
      <c r="AK173">
        <v>1.24931642627657</v>
      </c>
      <c r="AL173">
        <v>1.427108255292</v>
      </c>
      <c r="AM173">
        <v>1.60429626085173</v>
      </c>
      <c r="AN173">
        <v>1.78178048169162</v>
      </c>
      <c r="AO173">
        <v>1.95254859069884</v>
      </c>
      <c r="AP173">
        <v>2.10878506163556</v>
      </c>
      <c r="AQ173">
        <v>2.24936199785814</v>
      </c>
      <c r="AR173">
        <v>2.38084170711145</v>
      </c>
      <c r="AS173">
        <v>2.50725727436371</v>
      </c>
      <c r="AT173">
        <v>2.62275275138424</v>
      </c>
      <c r="AU173">
        <v>2.72462232551781</v>
      </c>
      <c r="AV173">
        <v>2.81146467063139</v>
      </c>
      <c r="AW173">
        <v>2.88243671246611</v>
      </c>
      <c r="AX173">
        <v>2.93886002688723</v>
      </c>
      <c r="AY173">
        <v>2.98358853419008</v>
      </c>
      <c r="AZ173">
        <v>3.01980654863627</v>
      </c>
      <c r="BA173">
        <v>0</v>
      </c>
      <c r="BB173">
        <v>0</v>
      </c>
      <c r="BC173">
        <v>0</v>
      </c>
      <c r="BD173">
        <v>0</v>
      </c>
      <c r="BE173">
        <v>0</v>
      </c>
      <c r="BF173">
        <v>0</v>
      </c>
      <c r="BG173">
        <v>0</v>
      </c>
      <c r="BH173">
        <v>0</v>
      </c>
      <c r="BJ173" t="s">
        <v>452</v>
      </c>
      <c r="BL173">
        <v>0.8</v>
      </c>
      <c r="BM173">
        <v>0.797560975609756</v>
      </c>
      <c r="BN173">
        <v>0.785365853658536</v>
      </c>
      <c r="BO173">
        <v>0.773170731707317</v>
      </c>
      <c r="BP173">
        <v>0.760975609756097</v>
      </c>
      <c r="BQ173">
        <v>0.748780487804878</v>
      </c>
      <c r="BR173">
        <v>0.736585365853658</v>
      </c>
      <c r="BS173">
        <v>0.724390243902439</v>
      </c>
      <c r="BT173">
        <v>0.71219512195122</v>
      </c>
      <c r="BU173">
        <v>0.699999999999999</v>
      </c>
      <c r="BV173">
        <v>0.687499999999999</v>
      </c>
      <c r="BW173">
        <v>0.675</v>
      </c>
      <c r="BX173">
        <v>0.6625</v>
      </c>
      <c r="BY173">
        <v>0.649999999999999</v>
      </c>
      <c r="BZ173">
        <v>0.637499999999999</v>
      </c>
      <c r="CA173">
        <v>0.625</v>
      </c>
      <c r="CB173">
        <v>0.6125</v>
      </c>
      <c r="CC173">
        <v>0.6</v>
      </c>
      <c r="CD173" t="e">
        <v>#VALUE!</v>
      </c>
      <c r="CE173" t="e">
        <v>#VALUE!</v>
      </c>
      <c r="CF173" t="e">
        <v>#VALUE!</v>
      </c>
      <c r="CG173" t="e">
        <v>#VALUE!</v>
      </c>
      <c r="CH173" t="e">
        <v>#VALUE!</v>
      </c>
      <c r="CI173" t="e">
        <v>#VALUE!</v>
      </c>
      <c r="CJ173" t="e">
        <v>#VALUE!</v>
      </c>
      <c r="CK173" t="e">
        <v>#VALUE!</v>
      </c>
    </row>
    <row r="174" spans="1:89">
      <c r="A174" s="34" t="s">
        <v>18</v>
      </c>
      <c r="B174" s="34" t="s">
        <v>441</v>
      </c>
      <c r="C174" s="34" t="s">
        <v>441</v>
      </c>
      <c r="D174" s="34"/>
      <c r="E174" s="34">
        <v>0</v>
      </c>
      <c r="F174" s="34"/>
      <c r="G174" s="34"/>
      <c r="H174" s="34"/>
      <c r="I174" s="34">
        <v>0</v>
      </c>
      <c r="J174" s="34">
        <v>0</v>
      </c>
      <c r="K174" s="34"/>
      <c r="L174" s="34">
        <v>0</v>
      </c>
      <c r="M174" s="34"/>
      <c r="N174" s="34"/>
      <c r="O174" s="34"/>
      <c r="P174" s="34"/>
      <c r="Q174" s="34"/>
      <c r="R174" s="34"/>
      <c r="S174" s="34"/>
      <c r="T174" s="34"/>
      <c r="U174" s="34"/>
      <c r="V174" s="34">
        <v>0</v>
      </c>
      <c r="W174" s="34">
        <v>3</v>
      </c>
      <c r="AG174" s="232" t="s">
        <v>442</v>
      </c>
      <c r="AI174">
        <v>1</v>
      </c>
      <c r="AJ174">
        <v>1.00675128244523</v>
      </c>
      <c r="AK174">
        <v>1.04050769467137</v>
      </c>
      <c r="AL174">
        <v>1.06963558770311</v>
      </c>
      <c r="AM174">
        <v>1.09619914293641</v>
      </c>
      <c r="AN174">
        <v>1.11979768259025</v>
      </c>
      <c r="AO174">
        <v>1.14095070613241</v>
      </c>
      <c r="AP174">
        <v>1.16120289549108</v>
      </c>
      <c r="AQ174">
        <v>1.17864757708764</v>
      </c>
      <c r="AR174">
        <v>1.19442599177422</v>
      </c>
      <c r="AS174">
        <v>1.20867354100785</v>
      </c>
      <c r="AT174">
        <v>1.22107797244884</v>
      </c>
      <c r="AU174">
        <v>1.23124966149636</v>
      </c>
      <c r="AV174">
        <v>1.23865805550244</v>
      </c>
      <c r="AW174">
        <v>1.24298261224228</v>
      </c>
      <c r="AX174">
        <v>1.24450795110515</v>
      </c>
      <c r="AY174">
        <v>1.24472072482334</v>
      </c>
      <c r="AZ174">
        <v>1.24555247663081</v>
      </c>
      <c r="BA174">
        <v>0</v>
      </c>
      <c r="BB174">
        <v>0</v>
      </c>
      <c r="BC174">
        <v>0</v>
      </c>
      <c r="BD174">
        <v>0</v>
      </c>
      <c r="BE174">
        <v>0</v>
      </c>
      <c r="BF174">
        <v>0</v>
      </c>
      <c r="BG174">
        <v>0</v>
      </c>
      <c r="BH174">
        <v>0</v>
      </c>
      <c r="BJ174" t="s">
        <v>452</v>
      </c>
      <c r="BL174">
        <v>0.8</v>
      </c>
      <c r="BM174">
        <v>0.797560975609756</v>
      </c>
      <c r="BN174">
        <v>0.785365853658536</v>
      </c>
      <c r="BO174">
        <v>0.773170731707317</v>
      </c>
      <c r="BP174">
        <v>0.760975609756097</v>
      </c>
      <c r="BQ174">
        <v>0.748780487804878</v>
      </c>
      <c r="BR174">
        <v>0.736585365853658</v>
      </c>
      <c r="BS174">
        <v>0.724390243902439</v>
      </c>
      <c r="BT174">
        <v>0.71219512195122</v>
      </c>
      <c r="BU174">
        <v>0.699999999999999</v>
      </c>
      <c r="BV174">
        <v>0.687499999999999</v>
      </c>
      <c r="BW174">
        <v>0.675</v>
      </c>
      <c r="BX174">
        <v>0.6625</v>
      </c>
      <c r="BY174">
        <v>0.649999999999999</v>
      </c>
      <c r="BZ174">
        <v>0.637499999999999</v>
      </c>
      <c r="CA174">
        <v>0.625</v>
      </c>
      <c r="CB174">
        <v>0.6125</v>
      </c>
      <c r="CC174">
        <v>0.6</v>
      </c>
      <c r="CD174" t="e">
        <v>#VALUE!</v>
      </c>
      <c r="CE174" t="e">
        <v>#VALUE!</v>
      </c>
      <c r="CF174" t="e">
        <v>#VALUE!</v>
      </c>
      <c r="CG174" t="e">
        <v>#VALUE!</v>
      </c>
      <c r="CH174" t="e">
        <v>#VALUE!</v>
      </c>
      <c r="CI174" t="e">
        <v>#VALUE!</v>
      </c>
      <c r="CJ174" t="e">
        <v>#VALUE!</v>
      </c>
      <c r="CK174" t="e">
        <v>#VALUE!</v>
      </c>
    </row>
    <row r="175" spans="1:89">
      <c r="A175" s="34" t="s">
        <v>18</v>
      </c>
      <c r="B175" s="34" t="s">
        <v>443</v>
      </c>
      <c r="C175" s="34" t="s">
        <v>443</v>
      </c>
      <c r="D175" s="34"/>
      <c r="E175" s="34">
        <v>0.709145337885679</v>
      </c>
      <c r="F175" s="34">
        <f xml:space="preserve">E175</f>
        <v>0.709145337885679</v>
      </c>
      <c r="G175" s="34"/>
      <c r="H175" s="34"/>
      <c r="I175" s="34">
        <f xml:space="preserve">F175</f>
        <v>0.709145337885679</v>
      </c>
      <c r="J175" s="34">
        <f xml:space="preserve">I175</f>
        <v>0.709145337885679</v>
      </c>
      <c r="K175" s="34"/>
      <c r="L175" s="34">
        <f xml:space="preserve">J175</f>
        <v>0.709145337885679</v>
      </c>
      <c r="M175" s="34"/>
      <c r="N175" s="34"/>
      <c r="O175" s="34"/>
      <c r="P175" s="34"/>
      <c r="Q175" s="34"/>
      <c r="R175" s="34"/>
      <c r="S175" s="34"/>
      <c r="T175" s="34"/>
      <c r="U175" s="34"/>
      <c r="V175" s="34">
        <f xml:space="preserve">L175</f>
        <v>0.709145337885679</v>
      </c>
      <c r="W175" s="34">
        <v>3</v>
      </c>
      <c r="AG175" s="232" t="s">
        <v>437</v>
      </c>
      <c r="AI175">
        <v>1</v>
      </c>
      <c r="AJ175">
        <v>1.01817736459544</v>
      </c>
      <c r="AK175">
        <v>1.24931642627657</v>
      </c>
      <c r="AL175">
        <v>1.427108255292</v>
      </c>
      <c r="AM175">
        <v>1.60429626085173</v>
      </c>
      <c r="AN175">
        <v>1.78178048169162</v>
      </c>
      <c r="AO175">
        <v>1.95254859069884</v>
      </c>
      <c r="AP175">
        <v>2.10878506163556</v>
      </c>
      <c r="AQ175">
        <v>2.24936199785814</v>
      </c>
      <c r="AR175">
        <v>2.38084170711145</v>
      </c>
      <c r="AS175">
        <v>2.50725727436371</v>
      </c>
      <c r="AT175">
        <v>2.62275275138424</v>
      </c>
      <c r="AU175">
        <v>2.72462232551781</v>
      </c>
      <c r="AV175">
        <v>2.81146467063139</v>
      </c>
      <c r="AW175">
        <v>2.88243671246611</v>
      </c>
      <c r="AX175">
        <v>2.93886002688723</v>
      </c>
      <c r="AY175">
        <v>2.98358853419008</v>
      </c>
      <c r="AZ175">
        <v>3.01980654863627</v>
      </c>
      <c r="BA175">
        <v>0</v>
      </c>
      <c r="BB175">
        <v>0</v>
      </c>
      <c r="BC175">
        <v>0</v>
      </c>
      <c r="BD175">
        <v>0</v>
      </c>
      <c r="BE175">
        <v>0</v>
      </c>
      <c r="BF175">
        <v>0</v>
      </c>
      <c r="BG175">
        <v>0</v>
      </c>
      <c r="BH175">
        <v>0</v>
      </c>
      <c r="BJ175" t="s">
        <v>452</v>
      </c>
      <c r="BL175">
        <v>0.8</v>
      </c>
      <c r="BM175">
        <v>0.797560975609756</v>
      </c>
      <c r="BN175">
        <v>0.785365853658536</v>
      </c>
      <c r="BO175">
        <v>0.773170731707317</v>
      </c>
      <c r="BP175">
        <v>0.760975609756097</v>
      </c>
      <c r="BQ175">
        <v>0.748780487804878</v>
      </c>
      <c r="BR175">
        <v>0.736585365853658</v>
      </c>
      <c r="BS175">
        <v>0.724390243902439</v>
      </c>
      <c r="BT175">
        <v>0.71219512195122</v>
      </c>
      <c r="BU175">
        <v>0.699999999999999</v>
      </c>
      <c r="BV175">
        <v>0.687499999999999</v>
      </c>
      <c r="BW175">
        <v>0.675</v>
      </c>
      <c r="BX175">
        <v>0.6625</v>
      </c>
      <c r="BY175">
        <v>0.649999999999999</v>
      </c>
      <c r="BZ175">
        <v>0.637499999999999</v>
      </c>
      <c r="CA175">
        <v>0.625</v>
      </c>
      <c r="CB175">
        <v>0.6125</v>
      </c>
      <c r="CC175">
        <v>0.6</v>
      </c>
      <c r="CD175" t="e">
        <v>#VALUE!</v>
      </c>
      <c r="CE175" t="e">
        <v>#VALUE!</v>
      </c>
      <c r="CF175" t="e">
        <v>#VALUE!</v>
      </c>
      <c r="CG175" t="e">
        <v>#VALUE!</v>
      </c>
      <c r="CH175" t="e">
        <v>#VALUE!</v>
      </c>
      <c r="CI175" t="e">
        <v>#VALUE!</v>
      </c>
      <c r="CJ175" t="e">
        <v>#VALUE!</v>
      </c>
      <c r="CK175" t="e">
        <v>#VALUE!</v>
      </c>
    </row>
    <row r="176" spans="1:89">
      <c r="A176" s="34" t="s">
        <v>18</v>
      </c>
      <c r="B176" s="34" t="s">
        <v>444</v>
      </c>
      <c r="C176" s="34" t="s">
        <v>444</v>
      </c>
      <c r="D176" s="34"/>
      <c r="E176" s="34">
        <v>2.73749995706238</v>
      </c>
      <c r="F176" s="34">
        <f xml:space="preserve">E176</f>
        <v>2.73749995706238</v>
      </c>
      <c r="G176" s="34"/>
      <c r="H176" s="34"/>
      <c r="I176" s="34">
        <f xml:space="preserve">F176</f>
        <v>2.73749995706238</v>
      </c>
      <c r="J176" s="34">
        <f xml:space="preserve">I176</f>
        <v>2.73749995706238</v>
      </c>
      <c r="K176" s="34"/>
      <c r="L176" s="34">
        <f xml:space="preserve">J176</f>
        <v>2.73749995706238</v>
      </c>
      <c r="M176" s="34"/>
      <c r="N176" s="34"/>
      <c r="O176" s="34"/>
      <c r="P176" s="34"/>
      <c r="Q176" s="34"/>
      <c r="R176" s="34"/>
      <c r="S176" s="34"/>
      <c r="T176" s="34"/>
      <c r="U176" s="34"/>
      <c r="V176" s="34">
        <f xml:space="preserve">L176</f>
        <v>2.73749995706238</v>
      </c>
      <c r="W176" s="34">
        <v>3</v>
      </c>
      <c r="AG176" s="232" t="s">
        <v>437</v>
      </c>
      <c r="AI176">
        <v>1</v>
      </c>
      <c r="AJ176">
        <v>1.01817736459544</v>
      </c>
      <c r="AK176">
        <v>1.24931642627657</v>
      </c>
      <c r="AL176">
        <v>1.427108255292</v>
      </c>
      <c r="AM176">
        <v>1.60429626085173</v>
      </c>
      <c r="AN176">
        <v>1.78178048169162</v>
      </c>
      <c r="AO176">
        <v>1.95254859069884</v>
      </c>
      <c r="AP176">
        <v>2.10878506163556</v>
      </c>
      <c r="AQ176">
        <v>2.24936199785814</v>
      </c>
      <c r="AR176">
        <v>2.38084170711145</v>
      </c>
      <c r="AS176">
        <v>2.50725727436371</v>
      </c>
      <c r="AT176">
        <v>2.62275275138424</v>
      </c>
      <c r="AU176">
        <v>2.72462232551781</v>
      </c>
      <c r="AV176">
        <v>2.81146467063139</v>
      </c>
      <c r="AW176">
        <v>2.88243671246611</v>
      </c>
      <c r="AX176">
        <v>2.93886002688723</v>
      </c>
      <c r="AY176">
        <v>2.98358853419008</v>
      </c>
      <c r="AZ176">
        <v>3.01980654863627</v>
      </c>
      <c r="BA176">
        <v>0</v>
      </c>
      <c r="BB176">
        <v>0</v>
      </c>
      <c r="BC176">
        <v>0</v>
      </c>
      <c r="BD176">
        <v>0</v>
      </c>
      <c r="BE176">
        <v>0</v>
      </c>
      <c r="BF176">
        <v>0</v>
      </c>
      <c r="BG176">
        <v>0</v>
      </c>
      <c r="BH176">
        <v>0</v>
      </c>
      <c r="BJ176" t="s">
        <v>452</v>
      </c>
      <c r="BL176">
        <v>0.8</v>
      </c>
      <c r="BM176">
        <v>0.797560975609756</v>
      </c>
      <c r="BN176">
        <v>0.785365853658536</v>
      </c>
      <c r="BO176">
        <v>0.773170731707317</v>
      </c>
      <c r="BP176">
        <v>0.760975609756097</v>
      </c>
      <c r="BQ176">
        <v>0.748780487804878</v>
      </c>
      <c r="BR176">
        <v>0.736585365853658</v>
      </c>
      <c r="BS176">
        <v>0.724390243902439</v>
      </c>
      <c r="BT176">
        <v>0.71219512195122</v>
      </c>
      <c r="BU176">
        <v>0.699999999999999</v>
      </c>
      <c r="BV176">
        <v>0.687499999999999</v>
      </c>
      <c r="BW176">
        <v>0.675</v>
      </c>
      <c r="BX176">
        <v>0.6625</v>
      </c>
      <c r="BY176">
        <v>0.649999999999999</v>
      </c>
      <c r="BZ176">
        <v>0.637499999999999</v>
      </c>
      <c r="CA176">
        <v>0.625</v>
      </c>
      <c r="CB176">
        <v>0.6125</v>
      </c>
      <c r="CC176">
        <v>0.6</v>
      </c>
      <c r="CD176" t="e">
        <v>#VALUE!</v>
      </c>
      <c r="CE176" t="e">
        <v>#VALUE!</v>
      </c>
      <c r="CF176" t="e">
        <v>#VALUE!</v>
      </c>
      <c r="CG176" t="e">
        <v>#VALUE!</v>
      </c>
      <c r="CH176" t="e">
        <v>#VALUE!</v>
      </c>
      <c r="CI176" t="e">
        <v>#VALUE!</v>
      </c>
      <c r="CJ176" t="e">
        <v>#VALUE!</v>
      </c>
      <c r="CK176" t="e">
        <v>#VALUE!</v>
      </c>
    </row>
    <row r="177" spans="1:89">
      <c r="A177" s="34" t="s">
        <v>18</v>
      </c>
      <c r="B177" s="34" t="s">
        <v>445</v>
      </c>
      <c r="C177" s="34" t="s">
        <v>445</v>
      </c>
      <c r="D177" s="34">
        <v>0.028</v>
      </c>
      <c r="E177" s="34">
        <v>0.0281507676635818</v>
      </c>
      <c r="F177" s="34"/>
      <c r="G177" s="34">
        <v>0.0288920716706338</v>
      </c>
      <c r="H177" s="34">
        <v>0.0295174140529994</v>
      </c>
      <c r="I177" s="34">
        <v>0.030075240885544</v>
      </c>
      <c r="J177" s="34">
        <v>0.0305600371931852</v>
      </c>
      <c r="K177" s="34">
        <v>0.0309852534431373</v>
      </c>
      <c r="L177" s="34">
        <v>0.0313836657482678</v>
      </c>
      <c r="M177" s="34">
        <v>0.031719447895035</v>
      </c>
      <c r="N177" s="34">
        <v>0.0320166850239041</v>
      </c>
      <c r="O177" s="34">
        <v>0.0322792458843346</v>
      </c>
      <c r="P177" s="34">
        <v>0.0325028578302356</v>
      </c>
      <c r="Q177" s="34">
        <v>0.0326822308456635</v>
      </c>
      <c r="R177" s="34">
        <v>0.0328100520771636</v>
      </c>
      <c r="S177" s="34">
        <v>0.0328830780375158</v>
      </c>
      <c r="T177" s="34">
        <v>0.0329082985415918</v>
      </c>
      <c r="U177" s="34">
        <v>0.0329117446729589</v>
      </c>
      <c r="V177" s="34">
        <v>0.0329249401163573</v>
      </c>
      <c r="W177" s="34">
        <v>3</v>
      </c>
      <c r="AG177" s="232" t="s">
        <v>442</v>
      </c>
      <c r="AI177">
        <v>1</v>
      </c>
      <c r="AJ177">
        <v>1.00675128244523</v>
      </c>
      <c r="AK177">
        <v>1.04050769467137</v>
      </c>
      <c r="AL177">
        <v>1.06963558770311</v>
      </c>
      <c r="AM177">
        <v>1.09619914293641</v>
      </c>
      <c r="AN177">
        <v>1.11979768259025</v>
      </c>
      <c r="AO177">
        <v>1.14095070613241</v>
      </c>
      <c r="AP177">
        <v>1.16120289549108</v>
      </c>
      <c r="AQ177">
        <v>1.17864757708764</v>
      </c>
      <c r="AR177">
        <v>1.19442599177422</v>
      </c>
      <c r="AS177">
        <v>1.20867354100785</v>
      </c>
      <c r="AT177">
        <v>1.22107797244884</v>
      </c>
      <c r="AU177">
        <v>1.23124966149636</v>
      </c>
      <c r="AV177">
        <v>1.23865805550244</v>
      </c>
      <c r="AW177">
        <v>1.24298261224228</v>
      </c>
      <c r="AX177">
        <v>1.24450795110515</v>
      </c>
      <c r="AY177">
        <v>1.24472072482334</v>
      </c>
      <c r="AZ177">
        <v>1.24555247663081</v>
      </c>
      <c r="BA177">
        <v>0</v>
      </c>
      <c r="BB177">
        <v>0</v>
      </c>
      <c r="BC177">
        <v>0</v>
      </c>
      <c r="BD177">
        <v>0</v>
      </c>
      <c r="BE177">
        <v>0</v>
      </c>
      <c r="BF177">
        <v>0</v>
      </c>
      <c r="BG177">
        <v>0</v>
      </c>
      <c r="BH177">
        <v>0</v>
      </c>
      <c r="BJ177" t="s">
        <v>452</v>
      </c>
      <c r="BL177">
        <v>0.8</v>
      </c>
      <c r="BM177">
        <v>0.797560975609756</v>
      </c>
      <c r="BN177">
        <v>0.785365853658536</v>
      </c>
      <c r="BO177">
        <v>0.773170731707317</v>
      </c>
      <c r="BP177">
        <v>0.760975609756097</v>
      </c>
      <c r="BQ177">
        <v>0.748780487804878</v>
      </c>
      <c r="BR177">
        <v>0.736585365853658</v>
      </c>
      <c r="BS177">
        <v>0.724390243902439</v>
      </c>
      <c r="BT177">
        <v>0.71219512195122</v>
      </c>
      <c r="BU177">
        <v>0.699999999999999</v>
      </c>
      <c r="BV177">
        <v>0.687499999999999</v>
      </c>
      <c r="BW177">
        <v>0.675</v>
      </c>
      <c r="BX177">
        <v>0.6625</v>
      </c>
      <c r="BY177">
        <v>0.649999999999999</v>
      </c>
      <c r="BZ177">
        <v>0.637499999999999</v>
      </c>
      <c r="CA177">
        <v>0.625</v>
      </c>
      <c r="CB177">
        <v>0.6125</v>
      </c>
      <c r="CC177">
        <v>0.6</v>
      </c>
      <c r="CD177" t="e">
        <v>#VALUE!</v>
      </c>
      <c r="CE177" t="e">
        <v>#VALUE!</v>
      </c>
      <c r="CF177" t="e">
        <v>#VALUE!</v>
      </c>
      <c r="CG177" t="e">
        <v>#VALUE!</v>
      </c>
      <c r="CH177" t="e">
        <v>#VALUE!</v>
      </c>
      <c r="CI177" t="e">
        <v>#VALUE!</v>
      </c>
      <c r="CJ177" t="e">
        <v>#VALUE!</v>
      </c>
      <c r="CK177" t="e">
        <v>#VALUE!</v>
      </c>
    </row>
    <row r="178" spans="1:89">
      <c r="A178" s="34" t="s">
        <v>18</v>
      </c>
      <c r="B178" s="34" t="s">
        <v>446</v>
      </c>
      <c r="C178" s="34" t="s">
        <v>446</v>
      </c>
      <c r="D178" s="34">
        <v>0.015</v>
      </c>
      <c r="E178" s="34">
        <v>0.0150807683912045</v>
      </c>
      <c r="F178" s="34"/>
      <c r="G178" s="34">
        <v>0.0154778955378396</v>
      </c>
      <c r="H178" s="34">
        <v>0.0158129003855354</v>
      </c>
      <c r="I178" s="34">
        <v>0.0161117361886843</v>
      </c>
      <c r="J178" s="34">
        <v>0.0163714484963492</v>
      </c>
      <c r="K178" s="34">
        <v>0.0165992429159664</v>
      </c>
      <c r="L178" s="34">
        <v>0.0168126780794292</v>
      </c>
      <c r="M178" s="34">
        <v>0.0169925613723402</v>
      </c>
      <c r="N178" s="34">
        <v>0.01715179554852</v>
      </c>
      <c r="O178" s="34">
        <v>0.0172924531523221</v>
      </c>
      <c r="P178" s="34">
        <v>0.0174122452661977</v>
      </c>
      <c r="Q178" s="34">
        <v>0.017508337953034</v>
      </c>
      <c r="R178" s="34">
        <v>0.0175768136127662</v>
      </c>
      <c r="S178" s="34">
        <v>0.0176159346629549</v>
      </c>
      <c r="T178" s="34">
        <v>0.0176294456472813</v>
      </c>
      <c r="U178" s="34">
        <v>0.0176312917890851</v>
      </c>
      <c r="V178" s="34">
        <v>0.01763836077662</v>
      </c>
      <c r="W178" s="34">
        <v>3</v>
      </c>
      <c r="AG178" s="232" t="s">
        <v>442</v>
      </c>
      <c r="AI178">
        <v>1</v>
      </c>
      <c r="AJ178">
        <v>1.00675128244523</v>
      </c>
      <c r="AK178">
        <v>1.04050769467137</v>
      </c>
      <c r="AL178">
        <v>1.06963558770311</v>
      </c>
      <c r="AM178">
        <v>1.09619914293641</v>
      </c>
      <c r="AN178">
        <v>1.11979768259025</v>
      </c>
      <c r="AO178">
        <v>1.14095070613241</v>
      </c>
      <c r="AP178">
        <v>1.16120289549108</v>
      </c>
      <c r="AQ178">
        <v>1.17864757708764</v>
      </c>
      <c r="AR178">
        <v>1.19442599177422</v>
      </c>
      <c r="AS178">
        <v>1.20867354100785</v>
      </c>
      <c r="AT178">
        <v>1.22107797244884</v>
      </c>
      <c r="AU178">
        <v>1.23124966149636</v>
      </c>
      <c r="AV178">
        <v>1.23865805550244</v>
      </c>
      <c r="AW178">
        <v>1.24298261224228</v>
      </c>
      <c r="AX178">
        <v>1.24450795110515</v>
      </c>
      <c r="AY178">
        <v>1.24472072482334</v>
      </c>
      <c r="AZ178">
        <v>1.24555247663081</v>
      </c>
      <c r="BA178">
        <v>0</v>
      </c>
      <c r="BB178">
        <v>0</v>
      </c>
      <c r="BC178">
        <v>0</v>
      </c>
      <c r="BD178">
        <v>0</v>
      </c>
      <c r="BE178">
        <v>0</v>
      </c>
      <c r="BF178">
        <v>0</v>
      </c>
      <c r="BG178">
        <v>0</v>
      </c>
      <c r="BH178">
        <v>0</v>
      </c>
      <c r="BJ178" t="s">
        <v>452</v>
      </c>
      <c r="BL178">
        <v>0.8</v>
      </c>
      <c r="BM178">
        <v>0.797560975609756</v>
      </c>
      <c r="BN178">
        <v>0.785365853658536</v>
      </c>
      <c r="BO178">
        <v>0.773170731707317</v>
      </c>
      <c r="BP178">
        <v>0.760975609756097</v>
      </c>
      <c r="BQ178">
        <v>0.748780487804878</v>
      </c>
      <c r="BR178">
        <v>0.736585365853658</v>
      </c>
      <c r="BS178">
        <v>0.724390243902439</v>
      </c>
      <c r="BT178">
        <v>0.71219512195122</v>
      </c>
      <c r="BU178">
        <v>0.699999999999999</v>
      </c>
      <c r="BV178">
        <v>0.687499999999999</v>
      </c>
      <c r="BW178">
        <v>0.675</v>
      </c>
      <c r="BX178">
        <v>0.6625</v>
      </c>
      <c r="BY178">
        <v>0.649999999999999</v>
      </c>
      <c r="BZ178">
        <v>0.637499999999999</v>
      </c>
      <c r="CA178">
        <v>0.625</v>
      </c>
      <c r="CB178">
        <v>0.6125</v>
      </c>
      <c r="CC178">
        <v>0.6</v>
      </c>
      <c r="CD178" t="e">
        <v>#VALUE!</v>
      </c>
      <c r="CE178" t="e">
        <v>#VALUE!</v>
      </c>
      <c r="CF178" t="e">
        <v>#VALUE!</v>
      </c>
      <c r="CG178" t="e">
        <v>#VALUE!</v>
      </c>
      <c r="CH178" t="e">
        <v>#VALUE!</v>
      </c>
      <c r="CI178" t="e">
        <v>#VALUE!</v>
      </c>
      <c r="CJ178" t="e">
        <v>#VALUE!</v>
      </c>
      <c r="CK178" t="e">
        <v>#VALUE!</v>
      </c>
    </row>
    <row r="179" spans="1:89">
      <c r="A179" s="34" t="s">
        <v>18</v>
      </c>
      <c r="B179" s="34" t="s">
        <v>447</v>
      </c>
      <c r="C179" s="34" t="s">
        <v>447</v>
      </c>
      <c r="D179" s="34">
        <v>0.035</v>
      </c>
      <c r="E179" s="34">
        <v>0.0351884595794772</v>
      </c>
      <c r="F179" s="34"/>
      <c r="G179" s="34">
        <v>0.0361150895882923</v>
      </c>
      <c r="H179" s="34">
        <v>0.0368967675662493</v>
      </c>
      <c r="I179" s="34">
        <v>0.03759405110693</v>
      </c>
      <c r="J179" s="34">
        <v>0.0382000464914815</v>
      </c>
      <c r="K179" s="34">
        <v>0.0387315668039216</v>
      </c>
      <c r="L179" s="34">
        <v>0.0392295821853347</v>
      </c>
      <c r="M179" s="34">
        <v>0.0396493098687937</v>
      </c>
      <c r="N179" s="34">
        <v>0.0400208562798801</v>
      </c>
      <c r="O179" s="34">
        <v>0.0403490573554182</v>
      </c>
      <c r="P179" s="34">
        <v>0.0406285722877945</v>
      </c>
      <c r="Q179" s="34">
        <v>0.0408527885570794</v>
      </c>
      <c r="R179" s="34">
        <v>0.0410125650964545</v>
      </c>
      <c r="S179" s="34">
        <v>0.0411038475468948</v>
      </c>
      <c r="T179" s="34">
        <v>0.0411353731769897</v>
      </c>
      <c r="U179" s="34">
        <v>0.0411396808411987</v>
      </c>
      <c r="V179" s="34">
        <v>0.0411561751454467</v>
      </c>
      <c r="W179" s="34">
        <v>3</v>
      </c>
      <c r="AG179" s="232" t="s">
        <v>442</v>
      </c>
      <c r="AI179">
        <v>1</v>
      </c>
      <c r="AJ179">
        <v>1.00675128244523</v>
      </c>
      <c r="AK179">
        <v>1.04050769467137</v>
      </c>
      <c r="AL179">
        <v>1.06963558770311</v>
      </c>
      <c r="AM179">
        <v>1.09619914293641</v>
      </c>
      <c r="AN179">
        <v>1.11979768259025</v>
      </c>
      <c r="AO179">
        <v>1.14095070613241</v>
      </c>
      <c r="AP179">
        <v>1.16120289549108</v>
      </c>
      <c r="AQ179">
        <v>1.17864757708764</v>
      </c>
      <c r="AR179">
        <v>1.19442599177422</v>
      </c>
      <c r="AS179">
        <v>1.20867354100785</v>
      </c>
      <c r="AT179">
        <v>1.22107797244884</v>
      </c>
      <c r="AU179">
        <v>1.23124966149636</v>
      </c>
      <c r="AV179">
        <v>1.23865805550244</v>
      </c>
      <c r="AW179">
        <v>1.24298261224228</v>
      </c>
      <c r="AX179">
        <v>1.24450795110515</v>
      </c>
      <c r="AY179">
        <v>1.24472072482334</v>
      </c>
      <c r="AZ179">
        <v>1.24555247663081</v>
      </c>
      <c r="BA179">
        <v>0</v>
      </c>
      <c r="BB179">
        <v>0</v>
      </c>
      <c r="BC179">
        <v>0</v>
      </c>
      <c r="BD179">
        <v>0</v>
      </c>
      <c r="BE179">
        <v>0</v>
      </c>
      <c r="BF179">
        <v>0</v>
      </c>
      <c r="BG179">
        <v>0</v>
      </c>
      <c r="BH179">
        <v>0</v>
      </c>
      <c r="BJ179" t="s">
        <v>452</v>
      </c>
      <c r="BL179">
        <v>0.8</v>
      </c>
      <c r="BM179">
        <v>0.797560975609756</v>
      </c>
      <c r="BN179">
        <v>0.785365853658536</v>
      </c>
      <c r="BO179">
        <v>0.773170731707317</v>
      </c>
      <c r="BP179">
        <v>0.760975609756097</v>
      </c>
      <c r="BQ179">
        <v>0.748780487804878</v>
      </c>
      <c r="BR179">
        <v>0.736585365853658</v>
      </c>
      <c r="BS179">
        <v>0.724390243902439</v>
      </c>
      <c r="BT179">
        <v>0.71219512195122</v>
      </c>
      <c r="BU179">
        <v>0.699999999999999</v>
      </c>
      <c r="BV179">
        <v>0.687499999999999</v>
      </c>
      <c r="BW179">
        <v>0.675</v>
      </c>
      <c r="BX179">
        <v>0.6625</v>
      </c>
      <c r="BY179">
        <v>0.649999999999999</v>
      </c>
      <c r="BZ179">
        <v>0.637499999999999</v>
      </c>
      <c r="CA179">
        <v>0.625</v>
      </c>
      <c r="CB179">
        <v>0.6125</v>
      </c>
      <c r="CC179">
        <v>0.6</v>
      </c>
      <c r="CD179" t="e">
        <v>#VALUE!</v>
      </c>
      <c r="CE179" t="e">
        <v>#VALUE!</v>
      </c>
      <c r="CF179" t="e">
        <v>#VALUE!</v>
      </c>
      <c r="CG179" t="e">
        <v>#VALUE!</v>
      </c>
      <c r="CH179" t="e">
        <v>#VALUE!</v>
      </c>
      <c r="CI179" t="e">
        <v>#VALUE!</v>
      </c>
      <c r="CJ179" t="e">
        <v>#VALUE!</v>
      </c>
      <c r="CK179" t="e">
        <v>#VALUE!</v>
      </c>
    </row>
    <row r="180" spans="1:89">
      <c r="A180" s="34" t="s">
        <v>18</v>
      </c>
      <c r="B180" s="34" t="s">
        <v>448</v>
      </c>
      <c r="C180" s="34" t="s">
        <v>448</v>
      </c>
      <c r="D180" s="34">
        <v>3.348</v>
      </c>
      <c r="E180" s="34">
        <v>3.37830571229301</v>
      </c>
      <c r="F180" s="34"/>
      <c r="G180" s="34">
        <v>3.87500051462122</v>
      </c>
      <c r="H180" s="34">
        <v>4.20817276551987</v>
      </c>
      <c r="I180" s="34">
        <v>4.5185339010783</v>
      </c>
      <c r="J180" s="34">
        <v>4.81365085398528</v>
      </c>
      <c r="K180" s="34">
        <v>5.08143566161218</v>
      </c>
      <c r="L180" s="34">
        <v>5.30663734782078</v>
      </c>
      <c r="M180" s="34">
        <v>5.4989134394951</v>
      </c>
      <c r="N180" s="34">
        <v>5.67008837652624</v>
      </c>
      <c r="O180" s="34">
        <v>5.82867965320323</v>
      </c>
      <c r="P180" s="34">
        <v>5.96810517951262</v>
      </c>
      <c r="Q180" s="34">
        <v>6.08774359000258</v>
      </c>
      <c r="R180" s="34">
        <v>6.18944548440854</v>
      </c>
      <c r="S180" s="34">
        <v>6.27497715089905</v>
      </c>
      <c r="T180" s="34">
        <v>6.34684610536415</v>
      </c>
      <c r="U180" s="34">
        <v>6.40533710802108</v>
      </c>
      <c r="V180" s="34">
        <v>6.44939248330905</v>
      </c>
      <c r="W180" s="34">
        <v>3</v>
      </c>
      <c r="AG180" s="232" t="s">
        <v>449</v>
      </c>
      <c r="AI180">
        <v>1</v>
      </c>
      <c r="AJ180">
        <v>1.0113494587486</v>
      </c>
      <c r="AK180">
        <v>1.20067966116402</v>
      </c>
      <c r="AL180">
        <v>1.33420042461051</v>
      </c>
      <c r="AM180">
        <v>1.46350804157197</v>
      </c>
      <c r="AN180">
        <v>1.59116285860685</v>
      </c>
      <c r="AO180">
        <v>1.71133474934914</v>
      </c>
      <c r="AP180">
        <v>1.81603496669181</v>
      </c>
      <c r="AQ180">
        <v>1.90842626887349</v>
      </c>
      <c r="AR180">
        <v>1.99329361844755</v>
      </c>
      <c r="AS180">
        <v>2.07438749116079</v>
      </c>
      <c r="AT180">
        <v>2.14789948763416</v>
      </c>
      <c r="AU180">
        <v>2.21289183723026</v>
      </c>
      <c r="AV180">
        <v>2.26976658985274</v>
      </c>
      <c r="AW180">
        <v>2.3189678472383</v>
      </c>
      <c r="AX180">
        <v>2.36146343964895</v>
      </c>
      <c r="AY180">
        <v>2.39699434153274</v>
      </c>
      <c r="AZ180">
        <v>2.42447155402458</v>
      </c>
      <c r="BA180">
        <v>0</v>
      </c>
      <c r="BB180">
        <v>0</v>
      </c>
      <c r="BC180">
        <v>0</v>
      </c>
      <c r="BD180">
        <v>0</v>
      </c>
      <c r="BE180">
        <v>0</v>
      </c>
      <c r="BF180">
        <v>0</v>
      </c>
      <c r="BG180">
        <v>0</v>
      </c>
      <c r="BH180">
        <v>0</v>
      </c>
      <c r="BJ180" t="s">
        <v>452</v>
      </c>
      <c r="BL180">
        <v>0.8</v>
      </c>
      <c r="BM180">
        <v>0.797560975609756</v>
      </c>
      <c r="BN180">
        <v>0.785365853658536</v>
      </c>
      <c r="BO180">
        <v>0.773170731707317</v>
      </c>
      <c r="BP180">
        <v>0.760975609756097</v>
      </c>
      <c r="BQ180">
        <v>0.748780487804878</v>
      </c>
      <c r="BR180">
        <v>0.736585365853658</v>
      </c>
      <c r="BS180">
        <v>0.724390243902439</v>
      </c>
      <c r="BT180">
        <v>0.71219512195122</v>
      </c>
      <c r="BU180">
        <v>0.699999999999999</v>
      </c>
      <c r="BV180">
        <v>0.687499999999999</v>
      </c>
      <c r="BW180">
        <v>0.675</v>
      </c>
      <c r="BX180">
        <v>0.6625</v>
      </c>
      <c r="BY180">
        <v>0.649999999999999</v>
      </c>
      <c r="BZ180">
        <v>0.637499999999999</v>
      </c>
      <c r="CA180">
        <v>0.625</v>
      </c>
      <c r="CB180">
        <v>0.6125</v>
      </c>
      <c r="CC180">
        <v>0.6</v>
      </c>
      <c r="CD180" t="e">
        <v>#VALUE!</v>
      </c>
      <c r="CE180" t="e">
        <v>#VALUE!</v>
      </c>
      <c r="CF180" t="e">
        <v>#VALUE!</v>
      </c>
      <c r="CG180" t="e">
        <v>#VALUE!</v>
      </c>
      <c r="CH180" t="e">
        <v>#VALUE!</v>
      </c>
      <c r="CI180" t="e">
        <v>#VALUE!</v>
      </c>
      <c r="CJ180" t="e">
        <v>#VALUE!</v>
      </c>
      <c r="CK180" t="e">
        <v>#VALUE!</v>
      </c>
    </row>
    <row r="181" spans="1:89">
      <c r="A181" s="34" t="s">
        <v>18</v>
      </c>
      <c r="B181" s="34" t="s">
        <v>450</v>
      </c>
      <c r="C181" s="34" t="s">
        <v>450</v>
      </c>
      <c r="D181" s="34">
        <v>0.8</v>
      </c>
      <c r="E181" s="34">
        <v>0.811598045312603</v>
      </c>
      <c r="F181" s="34"/>
      <c r="G181" s="34">
        <v>0.956296174254752</v>
      </c>
      <c r="H181" s="34">
        <v>1.06151832422624</v>
      </c>
      <c r="I181" s="34">
        <v>1.16181248163338</v>
      </c>
      <c r="J181" s="34">
        <v>1.25805472412061</v>
      </c>
      <c r="K181" s="34">
        <v>1.34686744824534</v>
      </c>
      <c r="L181" s="34">
        <v>1.42493634094222</v>
      </c>
      <c r="M181" s="34">
        <v>1.49258765159579</v>
      </c>
      <c r="N181" s="34">
        <v>1.5536589657985</v>
      </c>
      <c r="O181" s="34">
        <v>1.61037403078488</v>
      </c>
      <c r="P181" s="34">
        <v>1.66044622328338</v>
      </c>
      <c r="Q181" s="34">
        <v>1.70317277426145</v>
      </c>
      <c r="R181" s="34">
        <v>1.73845835703833</v>
      </c>
      <c r="S181" s="34">
        <v>1.76643522869867</v>
      </c>
      <c r="T181" s="34">
        <v>1.78804631253495</v>
      </c>
      <c r="U181" s="34">
        <v>1.8047145761176</v>
      </c>
      <c r="V181" s="34">
        <v>1.81785911890695</v>
      </c>
      <c r="W181" s="34">
        <v>3</v>
      </c>
      <c r="AG181" s="232" t="s">
        <v>437</v>
      </c>
      <c r="AI181">
        <v>1</v>
      </c>
      <c r="AJ181">
        <v>1.01817736459544</v>
      </c>
      <c r="AK181">
        <v>1.24931642627657</v>
      </c>
      <c r="AL181">
        <v>1.427108255292</v>
      </c>
      <c r="AM181">
        <v>1.60429626085173</v>
      </c>
      <c r="AN181">
        <v>1.78178048169162</v>
      </c>
      <c r="AO181">
        <v>1.95254859069884</v>
      </c>
      <c r="AP181">
        <v>2.10878506163556</v>
      </c>
      <c r="AQ181">
        <v>2.24936199785814</v>
      </c>
      <c r="AR181">
        <v>2.38084170711145</v>
      </c>
      <c r="AS181">
        <v>2.50725727436371</v>
      </c>
      <c r="AT181">
        <v>2.62275275138424</v>
      </c>
      <c r="AU181">
        <v>2.72462232551781</v>
      </c>
      <c r="AV181">
        <v>2.81146467063139</v>
      </c>
      <c r="AW181">
        <v>2.88243671246611</v>
      </c>
      <c r="AX181">
        <v>2.93886002688723</v>
      </c>
      <c r="AY181">
        <v>2.98358853419008</v>
      </c>
      <c r="AZ181">
        <v>3.01980654863627</v>
      </c>
      <c r="BA181">
        <v>0</v>
      </c>
      <c r="BB181">
        <v>0</v>
      </c>
      <c r="BC181">
        <v>0</v>
      </c>
      <c r="BD181">
        <v>0</v>
      </c>
      <c r="BE181">
        <v>0</v>
      </c>
      <c r="BF181">
        <v>0</v>
      </c>
      <c r="BG181">
        <v>0</v>
      </c>
      <c r="BH181">
        <v>0</v>
      </c>
      <c r="BJ181" t="s">
        <v>452</v>
      </c>
      <c r="BL181">
        <v>0.8</v>
      </c>
      <c r="BM181">
        <v>0.797560975609756</v>
      </c>
      <c r="BN181">
        <v>0.785365853658536</v>
      </c>
      <c r="BO181">
        <v>0.773170731707317</v>
      </c>
      <c r="BP181">
        <v>0.760975609756097</v>
      </c>
      <c r="BQ181">
        <v>0.748780487804878</v>
      </c>
      <c r="BR181">
        <v>0.736585365853658</v>
      </c>
      <c r="BS181">
        <v>0.724390243902439</v>
      </c>
      <c r="BT181">
        <v>0.71219512195122</v>
      </c>
      <c r="BU181">
        <v>0.699999999999999</v>
      </c>
      <c r="BV181">
        <v>0.687499999999999</v>
      </c>
      <c r="BW181">
        <v>0.675</v>
      </c>
      <c r="BX181">
        <v>0.6625</v>
      </c>
      <c r="BY181">
        <v>0.649999999999999</v>
      </c>
      <c r="BZ181">
        <v>0.637499999999999</v>
      </c>
      <c r="CA181">
        <v>0.625</v>
      </c>
      <c r="CB181">
        <v>0.6125</v>
      </c>
      <c r="CC181">
        <v>0.6</v>
      </c>
      <c r="CD181" t="e">
        <v>#VALUE!</v>
      </c>
      <c r="CE181" t="e">
        <v>#VALUE!</v>
      </c>
      <c r="CF181" t="e">
        <v>#VALUE!</v>
      </c>
      <c r="CG181" t="e">
        <v>#VALUE!</v>
      </c>
      <c r="CH181" t="e">
        <v>#VALUE!</v>
      </c>
      <c r="CI181" t="e">
        <v>#VALUE!</v>
      </c>
      <c r="CJ181" t="e">
        <v>#VALUE!</v>
      </c>
      <c r="CK181" t="e">
        <v>#VALUE!</v>
      </c>
    </row>
    <row r="182" spans="1:89">
      <c r="A182" s="34" t="s">
        <v>18</v>
      </c>
      <c r="B182" s="34" t="s">
        <v>451</v>
      </c>
      <c r="C182" s="34" t="s">
        <v>451</v>
      </c>
      <c r="D182" s="34">
        <v>0.44</v>
      </c>
      <c r="E182" s="34">
        <v>0.446378924921931</v>
      </c>
      <c r="F182" s="34"/>
      <c r="G182" s="34">
        <v>0.525962895840114</v>
      </c>
      <c r="H182" s="34">
        <v>0.583835078324434</v>
      </c>
      <c r="I182" s="34">
        <v>0.638996864898358</v>
      </c>
      <c r="J182" s="34">
        <v>0.691930098266334</v>
      </c>
      <c r="K182" s="34">
        <v>0.740777096534935</v>
      </c>
      <c r="L182" s="34">
        <v>0.783714987518223</v>
      </c>
      <c r="M182" s="34">
        <v>0.820923208377685</v>
      </c>
      <c r="N182" s="34">
        <v>0.854512431189175</v>
      </c>
      <c r="O182" s="34">
        <v>0.885705716931683</v>
      </c>
      <c r="P182" s="34">
        <v>0.913245422805859</v>
      </c>
      <c r="Q182" s="34">
        <v>0.936745025843797</v>
      </c>
      <c r="R182" s="34">
        <v>0.956152096371083</v>
      </c>
      <c r="S182" s="34">
        <v>0.971539375784268</v>
      </c>
      <c r="T182" s="34">
        <v>0.983425471894223</v>
      </c>
      <c r="U182" s="34">
        <v>0.992593016864682</v>
      </c>
      <c r="V182" s="34">
        <v>0.99982251539882</v>
      </c>
      <c r="W182" s="34">
        <v>3</v>
      </c>
      <c r="AG182" s="232" t="s">
        <v>437</v>
      </c>
      <c r="AI182">
        <v>1</v>
      </c>
      <c r="AJ182">
        <v>1.01817736459544</v>
      </c>
      <c r="AK182">
        <v>1.24931642627657</v>
      </c>
      <c r="AL182">
        <v>1.427108255292</v>
      </c>
      <c r="AM182">
        <v>1.60429626085173</v>
      </c>
      <c r="AN182">
        <v>1.78178048169162</v>
      </c>
      <c r="AO182">
        <v>1.95254859069884</v>
      </c>
      <c r="AP182">
        <v>2.10878506163556</v>
      </c>
      <c r="AQ182">
        <v>2.24936199785814</v>
      </c>
      <c r="AR182">
        <v>2.38084170711145</v>
      </c>
      <c r="AS182">
        <v>2.50725727436371</v>
      </c>
      <c r="AT182">
        <v>2.62275275138424</v>
      </c>
      <c r="AU182">
        <v>2.72462232551781</v>
      </c>
      <c r="AV182">
        <v>2.81146467063139</v>
      </c>
      <c r="AW182">
        <v>2.88243671246611</v>
      </c>
      <c r="AX182">
        <v>2.93886002688723</v>
      </c>
      <c r="AY182">
        <v>2.98358853419008</v>
      </c>
      <c r="AZ182">
        <v>3.01980654863627</v>
      </c>
      <c r="BA182">
        <v>0</v>
      </c>
      <c r="BB182">
        <v>0</v>
      </c>
      <c r="BC182">
        <v>0</v>
      </c>
      <c r="BD182">
        <v>0</v>
      </c>
      <c r="BE182">
        <v>0</v>
      </c>
      <c r="BF182">
        <v>0</v>
      </c>
      <c r="BG182">
        <v>0</v>
      </c>
      <c r="BH182">
        <v>0</v>
      </c>
      <c r="BJ182" t="s">
        <v>452</v>
      </c>
      <c r="BL182">
        <v>0.8</v>
      </c>
      <c r="BM182">
        <v>0.797560975609756</v>
      </c>
      <c r="BN182">
        <v>0.785365853658536</v>
      </c>
      <c r="BO182">
        <v>0.773170731707317</v>
      </c>
      <c r="BP182">
        <v>0.760975609756097</v>
      </c>
      <c r="BQ182">
        <v>0.748780487804878</v>
      </c>
      <c r="BR182">
        <v>0.736585365853658</v>
      </c>
      <c r="BS182">
        <v>0.724390243902439</v>
      </c>
      <c r="BT182">
        <v>0.71219512195122</v>
      </c>
      <c r="BU182">
        <v>0.699999999999999</v>
      </c>
      <c r="BV182">
        <v>0.687499999999999</v>
      </c>
      <c r="BW182">
        <v>0.675</v>
      </c>
      <c r="BX182">
        <v>0.6625</v>
      </c>
      <c r="BY182">
        <v>0.649999999999999</v>
      </c>
      <c r="BZ182">
        <v>0.637499999999999</v>
      </c>
      <c r="CA182">
        <v>0.625</v>
      </c>
      <c r="CB182">
        <v>0.6125</v>
      </c>
      <c r="CC182">
        <v>0.6</v>
      </c>
      <c r="CD182" t="e">
        <v>#VALUE!</v>
      </c>
      <c r="CE182" t="e">
        <v>#VALUE!</v>
      </c>
      <c r="CF182" t="e">
        <v>#VALUE!</v>
      </c>
      <c r="CG182" t="e">
        <v>#VALUE!</v>
      </c>
      <c r="CH182" t="e">
        <v>#VALUE!</v>
      </c>
      <c r="CI182" t="e">
        <v>#VALUE!</v>
      </c>
      <c r="CJ182" t="e">
        <v>#VALUE!</v>
      </c>
      <c r="CK182" t="e">
        <v>#VALUE!</v>
      </c>
    </row>
    <row r="183" spans="1:89">
      <c r="A183" s="34" t="s">
        <v>19</v>
      </c>
      <c r="B183" s="34" t="s">
        <v>436</v>
      </c>
      <c r="C183" s="34" t="s">
        <v>436</v>
      </c>
      <c r="D183" s="34"/>
      <c r="E183" s="34">
        <v>186.015286947819</v>
      </c>
      <c r="F183" s="34">
        <f xml:space="preserve">E183</f>
        <v>186.015286947819</v>
      </c>
      <c r="G183" s="34"/>
      <c r="H183" s="34"/>
      <c r="I183" s="34">
        <f xml:space="preserve">F183</f>
        <v>186.015286947819</v>
      </c>
      <c r="J183" s="34">
        <f xml:space="preserve">I183</f>
        <v>186.015286947819</v>
      </c>
      <c r="K183" s="34"/>
      <c r="L183" s="34">
        <f xml:space="preserve">J183</f>
        <v>186.015286947819</v>
      </c>
      <c r="M183" s="34"/>
      <c r="N183" s="34"/>
      <c r="O183" s="34"/>
      <c r="P183" s="34"/>
      <c r="Q183" s="34"/>
      <c r="R183" s="34"/>
      <c r="S183" s="34"/>
      <c r="T183" s="34"/>
      <c r="U183" s="34"/>
      <c r="V183" s="34">
        <f xml:space="preserve">L183</f>
        <v>186.015286947819</v>
      </c>
      <c r="W183" s="34">
        <v>3</v>
      </c>
      <c r="AG183" s="232" t="s">
        <v>437</v>
      </c>
      <c r="AI183">
        <v>1</v>
      </c>
      <c r="AJ183">
        <v>1.03762389140165</v>
      </c>
      <c r="AK183">
        <v>1.44627211766871</v>
      </c>
      <c r="AL183">
        <v>1.91684835209244</v>
      </c>
      <c r="AM183">
        <v>2.4175631359905</v>
      </c>
      <c r="AN183">
        <v>2.95866601655253</v>
      </c>
      <c r="AO183">
        <v>3.54077928771504</v>
      </c>
      <c r="AP183">
        <v>4.16520854656052</v>
      </c>
      <c r="AQ183">
        <v>4.83649287827296</v>
      </c>
      <c r="AR183">
        <v>5.54875099506021</v>
      </c>
      <c r="AS183">
        <v>6.28934178872169</v>
      </c>
      <c r="AT183">
        <v>7.03156762919676</v>
      </c>
      <c r="AU183">
        <v>7.7696570452703</v>
      </c>
      <c r="AV183">
        <v>8.48146369390752</v>
      </c>
      <c r="AW183">
        <v>9.16122830573521</v>
      </c>
      <c r="AX183">
        <v>9.80792592603439</v>
      </c>
      <c r="AY183">
        <v>10.422581509524</v>
      </c>
      <c r="AZ183">
        <v>11.0107224905814</v>
      </c>
      <c r="BA183">
        <v>0</v>
      </c>
      <c r="BB183">
        <v>0</v>
      </c>
      <c r="BC183">
        <v>0</v>
      </c>
      <c r="BD183">
        <v>0</v>
      </c>
      <c r="BE183">
        <v>0</v>
      </c>
      <c r="BF183">
        <v>0</v>
      </c>
      <c r="BG183">
        <v>0</v>
      </c>
      <c r="BH183">
        <v>0</v>
      </c>
      <c r="BJ183" t="s">
        <v>438</v>
      </c>
      <c r="BL183">
        <v>1</v>
      </c>
      <c r="BM183">
        <v>0.997560975609757</v>
      </c>
      <c r="BN183">
        <v>0.985365853658537</v>
      </c>
      <c r="BO183">
        <v>0.973170731707317</v>
      </c>
      <c r="BP183">
        <v>0.960975609756098</v>
      </c>
      <c r="BQ183">
        <v>0.948780487804878</v>
      </c>
      <c r="BR183">
        <v>0.936585365853658</v>
      </c>
      <c r="BS183">
        <v>0.924390243902439</v>
      </c>
      <c r="BT183">
        <v>0.91219512195122</v>
      </c>
      <c r="BU183">
        <v>0.9</v>
      </c>
      <c r="BV183">
        <v>0.8875</v>
      </c>
      <c r="BW183">
        <v>0.875000000000001</v>
      </c>
      <c r="BX183">
        <v>0.862500000000001</v>
      </c>
      <c r="BY183">
        <v>0.850000000000001</v>
      </c>
      <c r="BZ183">
        <v>0.8375</v>
      </c>
      <c r="CA183">
        <v>0.825000000000001</v>
      </c>
      <c r="CB183">
        <v>0.812500000000001</v>
      </c>
      <c r="CC183">
        <v>0.800000000000001</v>
      </c>
      <c r="CD183" t="e">
        <v>#VALUE!</v>
      </c>
      <c r="CE183" t="e">
        <v>#VALUE!</v>
      </c>
      <c r="CF183" t="e">
        <v>#VALUE!</v>
      </c>
      <c r="CG183" t="e">
        <v>#VALUE!</v>
      </c>
      <c r="CH183" t="e">
        <v>#VALUE!</v>
      </c>
      <c r="CI183" t="e">
        <v>#VALUE!</v>
      </c>
      <c r="CJ183" t="e">
        <v>#VALUE!</v>
      </c>
      <c r="CK183" t="e">
        <v>#VALUE!</v>
      </c>
    </row>
    <row r="184" spans="1:89">
      <c r="A184" s="34" t="s">
        <v>19</v>
      </c>
      <c r="B184" s="34" t="s">
        <v>439</v>
      </c>
      <c r="C184" s="34" t="s">
        <v>439</v>
      </c>
      <c r="D184" s="34"/>
      <c r="E184" s="34">
        <v>184.129899916563</v>
      </c>
      <c r="F184" s="34">
        <f xml:space="preserve">E184</f>
        <v>184.129899916563</v>
      </c>
      <c r="G184" s="34"/>
      <c r="H184" s="34"/>
      <c r="I184" s="34">
        <f xml:space="preserve">F184</f>
        <v>184.129899916563</v>
      </c>
      <c r="J184" s="34">
        <f xml:space="preserve">I184</f>
        <v>184.129899916563</v>
      </c>
      <c r="K184" s="34"/>
      <c r="L184" s="34">
        <f xml:space="preserve">J184</f>
        <v>184.129899916563</v>
      </c>
      <c r="M184" s="34"/>
      <c r="N184" s="34"/>
      <c r="O184" s="34"/>
      <c r="P184" s="34"/>
      <c r="Q184" s="34"/>
      <c r="R184" s="34"/>
      <c r="S184" s="34"/>
      <c r="T184" s="34"/>
      <c r="U184" s="34"/>
      <c r="V184" s="34">
        <f xml:space="preserve">L184</f>
        <v>184.129899916563</v>
      </c>
      <c r="W184" s="34">
        <v>3</v>
      </c>
      <c r="AG184" s="232" t="s">
        <v>437</v>
      </c>
      <c r="AI184">
        <v>1</v>
      </c>
      <c r="AJ184">
        <v>1.03762389140165</v>
      </c>
      <c r="AK184">
        <v>1.44627211766871</v>
      </c>
      <c r="AL184">
        <v>1.91684835209244</v>
      </c>
      <c r="AM184">
        <v>2.4175631359905</v>
      </c>
      <c r="AN184">
        <v>2.95866601655253</v>
      </c>
      <c r="AO184">
        <v>3.54077928771504</v>
      </c>
      <c r="AP184">
        <v>4.16520854656052</v>
      </c>
      <c r="AQ184">
        <v>4.83649287827296</v>
      </c>
      <c r="AR184">
        <v>5.54875099506021</v>
      </c>
      <c r="AS184">
        <v>6.28934178872169</v>
      </c>
      <c r="AT184">
        <v>7.03156762919676</v>
      </c>
      <c r="AU184">
        <v>7.7696570452703</v>
      </c>
      <c r="AV184">
        <v>8.48146369390752</v>
      </c>
      <c r="AW184">
        <v>9.16122830573521</v>
      </c>
      <c r="AX184">
        <v>9.80792592603439</v>
      </c>
      <c r="AY184">
        <v>10.422581509524</v>
      </c>
      <c r="AZ184">
        <v>11.0107224905814</v>
      </c>
      <c r="BA184">
        <v>0</v>
      </c>
      <c r="BB184">
        <v>0</v>
      </c>
      <c r="BC184">
        <v>0</v>
      </c>
      <c r="BD184">
        <v>0</v>
      </c>
      <c r="BE184">
        <v>0</v>
      </c>
      <c r="BF184">
        <v>0</v>
      </c>
      <c r="BG184">
        <v>0</v>
      </c>
      <c r="BH184">
        <v>0</v>
      </c>
      <c r="BJ184" t="s">
        <v>438</v>
      </c>
      <c r="BL184">
        <v>1</v>
      </c>
      <c r="BM184">
        <v>0.997560975609757</v>
      </c>
      <c r="BN184">
        <v>0.985365853658537</v>
      </c>
      <c r="BO184">
        <v>0.973170731707317</v>
      </c>
      <c r="BP184">
        <v>0.960975609756098</v>
      </c>
      <c r="BQ184">
        <v>0.948780487804878</v>
      </c>
      <c r="BR184">
        <v>0.936585365853658</v>
      </c>
      <c r="BS184">
        <v>0.924390243902439</v>
      </c>
      <c r="BT184">
        <v>0.91219512195122</v>
      </c>
      <c r="BU184">
        <v>0.9</v>
      </c>
      <c r="BV184">
        <v>0.8875</v>
      </c>
      <c r="BW184">
        <v>0.875000000000001</v>
      </c>
      <c r="BX184">
        <v>0.862500000000001</v>
      </c>
      <c r="BY184">
        <v>0.850000000000001</v>
      </c>
      <c r="BZ184">
        <v>0.8375</v>
      </c>
      <c r="CA184">
        <v>0.825000000000001</v>
      </c>
      <c r="CB184">
        <v>0.812500000000001</v>
      </c>
      <c r="CC184">
        <v>0.800000000000001</v>
      </c>
      <c r="CD184" t="e">
        <v>#VALUE!</v>
      </c>
      <c r="CE184" t="e">
        <v>#VALUE!</v>
      </c>
      <c r="CF184" t="e">
        <v>#VALUE!</v>
      </c>
      <c r="CG184" t="e">
        <v>#VALUE!</v>
      </c>
      <c r="CH184" t="e">
        <v>#VALUE!</v>
      </c>
      <c r="CI184" t="e">
        <v>#VALUE!</v>
      </c>
      <c r="CJ184" t="e">
        <v>#VALUE!</v>
      </c>
      <c r="CK184" t="e">
        <v>#VALUE!</v>
      </c>
    </row>
    <row r="185" spans="1:89">
      <c r="A185" s="34" t="s">
        <v>19</v>
      </c>
      <c r="B185" s="34" t="s">
        <v>440</v>
      </c>
      <c r="C185" s="34" t="s">
        <v>440</v>
      </c>
      <c r="D185" s="34"/>
      <c r="E185" s="34">
        <v>78.4974489885753</v>
      </c>
      <c r="F185" s="34"/>
      <c r="G185" s="34"/>
      <c r="H185" s="34"/>
      <c r="I185" s="34">
        <v>179.473164032869</v>
      </c>
      <c r="J185" s="34">
        <v>217.58565066713</v>
      </c>
      <c r="K185" s="34"/>
      <c r="L185" s="34">
        <v>299.687527515158</v>
      </c>
      <c r="M185" s="34"/>
      <c r="N185" s="34"/>
      <c r="O185" s="34"/>
      <c r="P185" s="34"/>
      <c r="Q185" s="34"/>
      <c r="R185" s="34"/>
      <c r="S185" s="34"/>
      <c r="T185" s="34"/>
      <c r="U185" s="34"/>
      <c r="V185" s="34">
        <v>700.385629999891</v>
      </c>
      <c r="W185" s="34">
        <v>3</v>
      </c>
      <c r="AG185" s="232" t="s">
        <v>437</v>
      </c>
      <c r="AI185">
        <v>1</v>
      </c>
      <c r="AJ185">
        <v>1.03762389140165</v>
      </c>
      <c r="AK185">
        <v>1.44627211766871</v>
      </c>
      <c r="AL185">
        <v>1.91684835209244</v>
      </c>
      <c r="AM185">
        <v>2.4175631359905</v>
      </c>
      <c r="AN185">
        <v>2.95866601655253</v>
      </c>
      <c r="AO185">
        <v>3.54077928771504</v>
      </c>
      <c r="AP185">
        <v>4.16520854656052</v>
      </c>
      <c r="AQ185">
        <v>4.83649287827296</v>
      </c>
      <c r="AR185">
        <v>5.54875099506021</v>
      </c>
      <c r="AS185">
        <v>6.28934178872169</v>
      </c>
      <c r="AT185">
        <v>7.03156762919676</v>
      </c>
      <c r="AU185">
        <v>7.7696570452703</v>
      </c>
      <c r="AV185">
        <v>8.48146369390752</v>
      </c>
      <c r="AW185">
        <v>9.16122830573521</v>
      </c>
      <c r="AX185">
        <v>9.80792592603439</v>
      </c>
      <c r="AY185">
        <v>10.422581509524</v>
      </c>
      <c r="AZ185">
        <v>11.0107224905814</v>
      </c>
      <c r="BA185">
        <v>0</v>
      </c>
      <c r="BB185">
        <v>0</v>
      </c>
      <c r="BC185">
        <v>0</v>
      </c>
      <c r="BD185">
        <v>0</v>
      </c>
      <c r="BE185">
        <v>0</v>
      </c>
      <c r="BF185">
        <v>0</v>
      </c>
      <c r="BG185">
        <v>0</v>
      </c>
      <c r="BH185">
        <v>0</v>
      </c>
      <c r="BJ185" t="s">
        <v>438</v>
      </c>
      <c r="BL185">
        <v>1</v>
      </c>
      <c r="BM185">
        <v>0.997560975609757</v>
      </c>
      <c r="BN185">
        <v>0.985365853658537</v>
      </c>
      <c r="BO185">
        <v>0.973170731707317</v>
      </c>
      <c r="BP185">
        <v>0.960975609756098</v>
      </c>
      <c r="BQ185">
        <v>0.948780487804878</v>
      </c>
      <c r="BR185">
        <v>0.936585365853658</v>
      </c>
      <c r="BS185">
        <v>0.924390243902439</v>
      </c>
      <c r="BT185">
        <v>0.91219512195122</v>
      </c>
      <c r="BU185">
        <v>0.9</v>
      </c>
      <c r="BV185">
        <v>0.8875</v>
      </c>
      <c r="BW185">
        <v>0.875000000000001</v>
      </c>
      <c r="BX185">
        <v>0.862500000000001</v>
      </c>
      <c r="BY185">
        <v>0.850000000000001</v>
      </c>
      <c r="BZ185">
        <v>0.8375</v>
      </c>
      <c r="CA185">
        <v>0.825000000000001</v>
      </c>
      <c r="CB185">
        <v>0.812500000000001</v>
      </c>
      <c r="CC185">
        <v>0.800000000000001</v>
      </c>
      <c r="CD185" t="e">
        <v>#VALUE!</v>
      </c>
      <c r="CE185" t="e">
        <v>#VALUE!</v>
      </c>
      <c r="CF185" t="e">
        <v>#VALUE!</v>
      </c>
      <c r="CG185" t="e">
        <v>#VALUE!</v>
      </c>
      <c r="CH185" t="e">
        <v>#VALUE!</v>
      </c>
      <c r="CI185" t="e">
        <v>#VALUE!</v>
      </c>
      <c r="CJ185" t="e">
        <v>#VALUE!</v>
      </c>
      <c r="CK185" t="e">
        <v>#VALUE!</v>
      </c>
    </row>
    <row r="186" spans="1:89">
      <c r="A186" s="34" t="s">
        <v>19</v>
      </c>
      <c r="B186" s="34" t="s">
        <v>441</v>
      </c>
      <c r="C186" s="34" t="s">
        <v>441</v>
      </c>
      <c r="D186" s="34"/>
      <c r="E186" s="34">
        <v>104.060158429408</v>
      </c>
      <c r="F186" s="34"/>
      <c r="G186" s="34"/>
      <c r="H186" s="34"/>
      <c r="I186" s="34">
        <v>115.579723919514</v>
      </c>
      <c r="J186" s="34">
        <v>118.102884953976</v>
      </c>
      <c r="K186" s="34"/>
      <c r="L186" s="34">
        <v>120.651844860726</v>
      </c>
      <c r="M186" s="34"/>
      <c r="N186" s="34"/>
      <c r="O186" s="34"/>
      <c r="P186" s="34"/>
      <c r="Q186" s="34"/>
      <c r="R186" s="34"/>
      <c r="S186" s="34"/>
      <c r="T186" s="34"/>
      <c r="U186" s="34"/>
      <c r="V186" s="34">
        <v>106.318426449093</v>
      </c>
      <c r="W186" s="34">
        <v>3</v>
      </c>
      <c r="AG186" s="232" t="s">
        <v>442</v>
      </c>
      <c r="AI186">
        <v>1</v>
      </c>
      <c r="AJ186">
        <v>1.00805201609879</v>
      </c>
      <c r="AK186">
        <v>1.04831209659274</v>
      </c>
      <c r="AL186">
        <v>1.08910353632669</v>
      </c>
      <c r="AM186">
        <v>1.12271244267224</v>
      </c>
      <c r="AN186">
        <v>1.14854492301775</v>
      </c>
      <c r="AO186">
        <v>1.16595612395182</v>
      </c>
      <c r="AP186">
        <v>1.17513999066876</v>
      </c>
      <c r="AQ186">
        <v>1.17855152930929</v>
      </c>
      <c r="AR186">
        <v>1.17674547198093</v>
      </c>
      <c r="AS186">
        <v>1.16918188426727</v>
      </c>
      <c r="AT186">
        <v>1.15651440870038</v>
      </c>
      <c r="AU186">
        <v>1.13863586790409</v>
      </c>
      <c r="AV186">
        <v>1.11649393853589</v>
      </c>
      <c r="AW186">
        <v>1.09146440481315</v>
      </c>
      <c r="AX186">
        <v>1.06483421041404</v>
      </c>
      <c r="AY186">
        <v>1.03720659477644</v>
      </c>
      <c r="AZ186">
        <v>1.00924254633584</v>
      </c>
      <c r="BA186">
        <v>0</v>
      </c>
      <c r="BB186">
        <v>0</v>
      </c>
      <c r="BC186">
        <v>0</v>
      </c>
      <c r="BD186">
        <v>0</v>
      </c>
      <c r="BE186">
        <v>0</v>
      </c>
      <c r="BF186">
        <v>0</v>
      </c>
      <c r="BG186">
        <v>0</v>
      </c>
      <c r="BH186">
        <v>0</v>
      </c>
      <c r="BJ186" t="s">
        <v>438</v>
      </c>
      <c r="BL186">
        <v>1</v>
      </c>
      <c r="BM186">
        <v>0.997560975609757</v>
      </c>
      <c r="BN186">
        <v>0.985365853658537</v>
      </c>
      <c r="BO186">
        <v>0.973170731707317</v>
      </c>
      <c r="BP186">
        <v>0.960975609756098</v>
      </c>
      <c r="BQ186">
        <v>0.948780487804878</v>
      </c>
      <c r="BR186">
        <v>0.936585365853658</v>
      </c>
      <c r="BS186">
        <v>0.924390243902439</v>
      </c>
      <c r="BT186">
        <v>0.91219512195122</v>
      </c>
      <c r="BU186">
        <v>0.9</v>
      </c>
      <c r="BV186">
        <v>0.8875</v>
      </c>
      <c r="BW186">
        <v>0.875000000000001</v>
      </c>
      <c r="BX186">
        <v>0.862500000000001</v>
      </c>
      <c r="BY186">
        <v>0.850000000000001</v>
      </c>
      <c r="BZ186">
        <v>0.8375</v>
      </c>
      <c r="CA186">
        <v>0.825000000000001</v>
      </c>
      <c r="CB186">
        <v>0.812500000000001</v>
      </c>
      <c r="CC186">
        <v>0.800000000000001</v>
      </c>
      <c r="CD186" t="e">
        <v>#VALUE!</v>
      </c>
      <c r="CE186" t="e">
        <v>#VALUE!</v>
      </c>
      <c r="CF186" t="e">
        <v>#VALUE!</v>
      </c>
      <c r="CG186" t="e">
        <v>#VALUE!</v>
      </c>
      <c r="CH186" t="e">
        <v>#VALUE!</v>
      </c>
      <c r="CI186" t="e">
        <v>#VALUE!</v>
      </c>
      <c r="CJ186" t="e">
        <v>#VALUE!</v>
      </c>
      <c r="CK186" t="e">
        <v>#VALUE!</v>
      </c>
    </row>
    <row r="187" spans="1:89">
      <c r="A187" s="34" t="s">
        <v>19</v>
      </c>
      <c r="B187" s="34" t="s">
        <v>443</v>
      </c>
      <c r="C187" s="34" t="s">
        <v>443</v>
      </c>
      <c r="D187" s="34"/>
      <c r="E187" s="34">
        <v>66.791549374975</v>
      </c>
      <c r="F187" s="34">
        <f xml:space="preserve">E187</f>
        <v>66.791549374975</v>
      </c>
      <c r="G187" s="34"/>
      <c r="H187" s="34"/>
      <c r="I187" s="34">
        <f xml:space="preserve">F187</f>
        <v>66.791549374975</v>
      </c>
      <c r="J187" s="34">
        <f xml:space="preserve">I187</f>
        <v>66.791549374975</v>
      </c>
      <c r="K187" s="34"/>
      <c r="L187" s="34">
        <f xml:space="preserve">J187</f>
        <v>66.791549374975</v>
      </c>
      <c r="M187" s="34"/>
      <c r="N187" s="34"/>
      <c r="O187" s="34"/>
      <c r="P187" s="34"/>
      <c r="Q187" s="34"/>
      <c r="R187" s="34"/>
      <c r="S187" s="34"/>
      <c r="T187" s="34"/>
      <c r="U187" s="34"/>
      <c r="V187" s="34">
        <f xml:space="preserve">L187</f>
        <v>66.791549374975</v>
      </c>
      <c r="W187" s="34">
        <v>3</v>
      </c>
      <c r="AG187" s="232" t="s">
        <v>437</v>
      </c>
      <c r="AI187">
        <v>1</v>
      </c>
      <c r="AJ187">
        <v>1.03762389140165</v>
      </c>
      <c r="AK187">
        <v>1.44627211766871</v>
      </c>
      <c r="AL187">
        <v>1.91684835209244</v>
      </c>
      <c r="AM187">
        <v>2.4175631359905</v>
      </c>
      <c r="AN187">
        <v>2.95866601655253</v>
      </c>
      <c r="AO187">
        <v>3.54077928771504</v>
      </c>
      <c r="AP187">
        <v>4.16520854656052</v>
      </c>
      <c r="AQ187">
        <v>4.83649287827296</v>
      </c>
      <c r="AR187">
        <v>5.54875099506021</v>
      </c>
      <c r="AS187">
        <v>6.28934178872169</v>
      </c>
      <c r="AT187">
        <v>7.03156762919676</v>
      </c>
      <c r="AU187">
        <v>7.7696570452703</v>
      </c>
      <c r="AV187">
        <v>8.48146369390752</v>
      </c>
      <c r="AW187">
        <v>9.16122830573521</v>
      </c>
      <c r="AX187">
        <v>9.80792592603439</v>
      </c>
      <c r="AY187">
        <v>10.422581509524</v>
      </c>
      <c r="AZ187">
        <v>11.0107224905814</v>
      </c>
      <c r="BA187">
        <v>0</v>
      </c>
      <c r="BB187">
        <v>0</v>
      </c>
      <c r="BC187">
        <v>0</v>
      </c>
      <c r="BD187">
        <v>0</v>
      </c>
      <c r="BE187">
        <v>0</v>
      </c>
      <c r="BF187">
        <v>0</v>
      </c>
      <c r="BG187">
        <v>0</v>
      </c>
      <c r="BH187">
        <v>0</v>
      </c>
      <c r="BJ187" t="s">
        <v>438</v>
      </c>
      <c r="BL187">
        <v>1</v>
      </c>
      <c r="BM187">
        <v>0.997560975609757</v>
      </c>
      <c r="BN187">
        <v>0.985365853658537</v>
      </c>
      <c r="BO187">
        <v>0.973170731707317</v>
      </c>
      <c r="BP187">
        <v>0.960975609756098</v>
      </c>
      <c r="BQ187">
        <v>0.948780487804878</v>
      </c>
      <c r="BR187">
        <v>0.936585365853658</v>
      </c>
      <c r="BS187">
        <v>0.924390243902439</v>
      </c>
      <c r="BT187">
        <v>0.91219512195122</v>
      </c>
      <c r="BU187">
        <v>0.9</v>
      </c>
      <c r="BV187">
        <v>0.8875</v>
      </c>
      <c r="BW187">
        <v>0.875000000000001</v>
      </c>
      <c r="BX187">
        <v>0.862500000000001</v>
      </c>
      <c r="BY187">
        <v>0.850000000000001</v>
      </c>
      <c r="BZ187">
        <v>0.8375</v>
      </c>
      <c r="CA187">
        <v>0.825000000000001</v>
      </c>
      <c r="CB187">
        <v>0.812500000000001</v>
      </c>
      <c r="CC187">
        <v>0.800000000000001</v>
      </c>
      <c r="CD187" t="e">
        <v>#VALUE!</v>
      </c>
      <c r="CE187" t="e">
        <v>#VALUE!</v>
      </c>
      <c r="CF187" t="e">
        <v>#VALUE!</v>
      </c>
      <c r="CG187" t="e">
        <v>#VALUE!</v>
      </c>
      <c r="CH187" t="e">
        <v>#VALUE!</v>
      </c>
      <c r="CI187" t="e">
        <v>#VALUE!</v>
      </c>
      <c r="CJ187" t="e">
        <v>#VALUE!</v>
      </c>
      <c r="CK187" t="e">
        <v>#VALUE!</v>
      </c>
    </row>
    <row r="188" spans="1:89">
      <c r="A188" s="34" t="s">
        <v>19</v>
      </c>
      <c r="B188" s="34" t="s">
        <v>444</v>
      </c>
      <c r="C188" s="34" t="s">
        <v>444</v>
      </c>
      <c r="D188" s="34"/>
      <c r="E188" s="34">
        <v>70.7067159866117</v>
      </c>
      <c r="F188" s="34">
        <f xml:space="preserve">E188</f>
        <v>70.7067159866117</v>
      </c>
      <c r="G188" s="34"/>
      <c r="H188" s="34"/>
      <c r="I188" s="34">
        <f xml:space="preserve">F188</f>
        <v>70.7067159866117</v>
      </c>
      <c r="J188" s="34">
        <f xml:space="preserve">I188</f>
        <v>70.7067159866117</v>
      </c>
      <c r="K188" s="34"/>
      <c r="L188" s="34">
        <f xml:space="preserve">J188</f>
        <v>70.7067159866117</v>
      </c>
      <c r="M188" s="34"/>
      <c r="N188" s="34"/>
      <c r="O188" s="34"/>
      <c r="P188" s="34"/>
      <c r="Q188" s="34"/>
      <c r="R188" s="34"/>
      <c r="S188" s="34"/>
      <c r="T188" s="34"/>
      <c r="U188" s="34"/>
      <c r="V188" s="34">
        <f xml:space="preserve">L188</f>
        <v>70.7067159866117</v>
      </c>
      <c r="W188" s="34">
        <v>3</v>
      </c>
      <c r="AG188" s="232" t="s">
        <v>437</v>
      </c>
      <c r="AI188">
        <v>1</v>
      </c>
      <c r="AJ188">
        <v>1.03762389140165</v>
      </c>
      <c r="AK188">
        <v>1.44627211766871</v>
      </c>
      <c r="AL188">
        <v>1.91684835209244</v>
      </c>
      <c r="AM188">
        <v>2.4175631359905</v>
      </c>
      <c r="AN188">
        <v>2.95866601655253</v>
      </c>
      <c r="AO188">
        <v>3.54077928771504</v>
      </c>
      <c r="AP188">
        <v>4.16520854656052</v>
      </c>
      <c r="AQ188">
        <v>4.83649287827296</v>
      </c>
      <c r="AR188">
        <v>5.54875099506021</v>
      </c>
      <c r="AS188">
        <v>6.28934178872169</v>
      </c>
      <c r="AT188">
        <v>7.03156762919676</v>
      </c>
      <c r="AU188">
        <v>7.7696570452703</v>
      </c>
      <c r="AV188">
        <v>8.48146369390752</v>
      </c>
      <c r="AW188">
        <v>9.16122830573521</v>
      </c>
      <c r="AX188">
        <v>9.80792592603439</v>
      </c>
      <c r="AY188">
        <v>10.422581509524</v>
      </c>
      <c r="AZ188">
        <v>11.0107224905814</v>
      </c>
      <c r="BA188">
        <v>0</v>
      </c>
      <c r="BB188">
        <v>0</v>
      </c>
      <c r="BC188">
        <v>0</v>
      </c>
      <c r="BD188">
        <v>0</v>
      </c>
      <c r="BE188">
        <v>0</v>
      </c>
      <c r="BF188">
        <v>0</v>
      </c>
      <c r="BG188">
        <v>0</v>
      </c>
      <c r="BH188">
        <v>0</v>
      </c>
      <c r="BJ188" t="s">
        <v>438</v>
      </c>
      <c r="BL188">
        <v>1</v>
      </c>
      <c r="BM188">
        <v>0.997560975609757</v>
      </c>
      <c r="BN188">
        <v>0.985365853658537</v>
      </c>
      <c r="BO188">
        <v>0.973170731707317</v>
      </c>
      <c r="BP188">
        <v>0.960975609756098</v>
      </c>
      <c r="BQ188">
        <v>0.948780487804878</v>
      </c>
      <c r="BR188">
        <v>0.936585365853658</v>
      </c>
      <c r="BS188">
        <v>0.924390243902439</v>
      </c>
      <c r="BT188">
        <v>0.91219512195122</v>
      </c>
      <c r="BU188">
        <v>0.9</v>
      </c>
      <c r="BV188">
        <v>0.8875</v>
      </c>
      <c r="BW188">
        <v>0.875000000000001</v>
      </c>
      <c r="BX188">
        <v>0.862500000000001</v>
      </c>
      <c r="BY188">
        <v>0.850000000000001</v>
      </c>
      <c r="BZ188">
        <v>0.8375</v>
      </c>
      <c r="CA188">
        <v>0.825000000000001</v>
      </c>
      <c r="CB188">
        <v>0.812500000000001</v>
      </c>
      <c r="CC188">
        <v>0.800000000000001</v>
      </c>
      <c r="CD188" t="e">
        <v>#VALUE!</v>
      </c>
      <c r="CE188" t="e">
        <v>#VALUE!</v>
      </c>
      <c r="CF188" t="e">
        <v>#VALUE!</v>
      </c>
      <c r="CG188" t="e">
        <v>#VALUE!</v>
      </c>
      <c r="CH188" t="e">
        <v>#VALUE!</v>
      </c>
      <c r="CI188" t="e">
        <v>#VALUE!</v>
      </c>
      <c r="CJ188" t="e">
        <v>#VALUE!</v>
      </c>
      <c r="CK188" t="e">
        <v>#VALUE!</v>
      </c>
    </row>
    <row r="189" spans="1:89">
      <c r="A189" s="34" t="s">
        <v>19</v>
      </c>
      <c r="B189" s="34" t="s">
        <v>445</v>
      </c>
      <c r="C189" s="34" t="s">
        <v>445</v>
      </c>
      <c r="D189" s="34">
        <v>531.783</v>
      </c>
      <c r="E189" s="34">
        <v>536.054481556875</v>
      </c>
      <c r="F189" s="34"/>
      <c r="G189" s="34">
        <v>557.15038533408</v>
      </c>
      <c r="H189" s="34">
        <v>578.248318439949</v>
      </c>
      <c r="I189" s="34">
        <v>595.396258465166</v>
      </c>
      <c r="J189" s="34">
        <v>608.394045520528</v>
      </c>
      <c r="K189" s="34">
        <v>617.032042813859</v>
      </c>
      <c r="L189" s="34">
        <v>621.524732634073</v>
      </c>
      <c r="M189" s="34">
        <v>623.170645536594</v>
      </c>
      <c r="N189" s="34">
        <v>622.311172111054</v>
      </c>
      <c r="O189" s="34">
        <v>618.761229997674</v>
      </c>
      <c r="P189" s="34">
        <v>612.895269354869</v>
      </c>
      <c r="Q189" s="34">
        <v>604.723306292562</v>
      </c>
      <c r="R189" s="34">
        <v>594.727766940813</v>
      </c>
      <c r="S189" s="34">
        <v>583.561720731607</v>
      </c>
      <c r="T189" s="34">
        <v>571.815301289337</v>
      </c>
      <c r="U189" s="34">
        <v>559.761041359256</v>
      </c>
      <c r="V189" s="34">
        <v>547.687701328783</v>
      </c>
      <c r="W189" s="34">
        <v>3</v>
      </c>
      <c r="AG189" s="232" t="s">
        <v>442</v>
      </c>
      <c r="AI189">
        <v>1</v>
      </c>
      <c r="AJ189">
        <v>1.00805201609879</v>
      </c>
      <c r="AK189">
        <v>1.04831209659274</v>
      </c>
      <c r="AL189">
        <v>1.08910353632669</v>
      </c>
      <c r="AM189">
        <v>1.12271244267224</v>
      </c>
      <c r="AN189">
        <v>1.14854492301775</v>
      </c>
      <c r="AO189">
        <v>1.16595612395182</v>
      </c>
      <c r="AP189">
        <v>1.17513999066876</v>
      </c>
      <c r="AQ189">
        <v>1.17855152930929</v>
      </c>
      <c r="AR189">
        <v>1.17674547198093</v>
      </c>
      <c r="AS189">
        <v>1.16918188426727</v>
      </c>
      <c r="AT189">
        <v>1.15651440870038</v>
      </c>
      <c r="AU189">
        <v>1.13863586790409</v>
      </c>
      <c r="AV189">
        <v>1.11649393853589</v>
      </c>
      <c r="AW189">
        <v>1.09146440481315</v>
      </c>
      <c r="AX189">
        <v>1.06483421041404</v>
      </c>
      <c r="AY189">
        <v>1.03720659477644</v>
      </c>
      <c r="AZ189">
        <v>1.00924254633584</v>
      </c>
      <c r="BA189">
        <v>0</v>
      </c>
      <c r="BB189">
        <v>0</v>
      </c>
      <c r="BC189">
        <v>0</v>
      </c>
      <c r="BD189">
        <v>0</v>
      </c>
      <c r="BE189">
        <v>0</v>
      </c>
      <c r="BF189">
        <v>0</v>
      </c>
      <c r="BG189">
        <v>0</v>
      </c>
      <c r="BH189">
        <v>0</v>
      </c>
      <c r="BJ189" t="s">
        <v>438</v>
      </c>
      <c r="BL189">
        <v>1</v>
      </c>
      <c r="BM189">
        <v>0.997560975609757</v>
      </c>
      <c r="BN189">
        <v>0.985365853658537</v>
      </c>
      <c r="BO189">
        <v>0.973170731707317</v>
      </c>
      <c r="BP189">
        <v>0.960975609756098</v>
      </c>
      <c r="BQ189">
        <v>0.948780487804878</v>
      </c>
      <c r="BR189">
        <v>0.936585365853658</v>
      </c>
      <c r="BS189">
        <v>0.924390243902439</v>
      </c>
      <c r="BT189">
        <v>0.91219512195122</v>
      </c>
      <c r="BU189">
        <v>0.9</v>
      </c>
      <c r="BV189">
        <v>0.8875</v>
      </c>
      <c r="BW189">
        <v>0.875000000000001</v>
      </c>
      <c r="BX189">
        <v>0.862500000000001</v>
      </c>
      <c r="BY189">
        <v>0.850000000000001</v>
      </c>
      <c r="BZ189">
        <v>0.8375</v>
      </c>
      <c r="CA189">
        <v>0.825000000000001</v>
      </c>
      <c r="CB189">
        <v>0.812500000000001</v>
      </c>
      <c r="CC189">
        <v>0.800000000000001</v>
      </c>
      <c r="CD189" t="e">
        <v>#VALUE!</v>
      </c>
      <c r="CE189" t="e">
        <v>#VALUE!</v>
      </c>
      <c r="CF189" t="e">
        <v>#VALUE!</v>
      </c>
      <c r="CG189" t="e">
        <v>#VALUE!</v>
      </c>
      <c r="CH189" t="e">
        <v>#VALUE!</v>
      </c>
      <c r="CI189" t="e">
        <v>#VALUE!</v>
      </c>
      <c r="CJ189" t="e">
        <v>#VALUE!</v>
      </c>
      <c r="CK189" t="e">
        <v>#VALUE!</v>
      </c>
    </row>
    <row r="190" spans="1:89">
      <c r="A190" s="34" t="s">
        <v>19</v>
      </c>
      <c r="B190" s="34" t="s">
        <v>446</v>
      </c>
      <c r="C190" s="34" t="s">
        <v>446</v>
      </c>
      <c r="D190" s="34">
        <v>168.165</v>
      </c>
      <c r="E190" s="34">
        <v>169.515764684113</v>
      </c>
      <c r="F190" s="34"/>
      <c r="G190" s="34">
        <v>176.186893055449</v>
      </c>
      <c r="H190" s="34">
        <v>182.85866315857</v>
      </c>
      <c r="I190" s="34">
        <v>188.281332432204</v>
      </c>
      <c r="J190" s="34">
        <v>192.391604592399</v>
      </c>
      <c r="K190" s="34">
        <v>195.123186487331</v>
      </c>
      <c r="L190" s="34">
        <v>196.543903553534</v>
      </c>
      <c r="M190" s="34">
        <v>197.064388306248</v>
      </c>
      <c r="N190" s="34">
        <v>196.792598217798</v>
      </c>
      <c r="O190" s="34">
        <v>195.670004950438</v>
      </c>
      <c r="P190" s="34">
        <v>193.815020358044</v>
      </c>
      <c r="Q190" s="34">
        <v>191.230811821154</v>
      </c>
      <c r="R190" s="34">
        <v>188.069936285293</v>
      </c>
      <c r="S190" s="34">
        <v>184.538912990507</v>
      </c>
      <c r="T190" s="34">
        <v>180.82435907376</v>
      </c>
      <c r="U190" s="34">
        <v>177.012457186821</v>
      </c>
      <c r="V190" s="34">
        <v>173.194521626218</v>
      </c>
      <c r="W190" s="34">
        <v>3</v>
      </c>
      <c r="AG190" s="232" t="s">
        <v>442</v>
      </c>
      <c r="AI190">
        <v>1</v>
      </c>
      <c r="AJ190">
        <v>1.00805201609879</v>
      </c>
      <c r="AK190">
        <v>1.04831209659274</v>
      </c>
      <c r="AL190">
        <v>1.08910353632669</v>
      </c>
      <c r="AM190">
        <v>1.12271244267224</v>
      </c>
      <c r="AN190">
        <v>1.14854492301775</v>
      </c>
      <c r="AO190">
        <v>1.16595612395182</v>
      </c>
      <c r="AP190">
        <v>1.17513999066876</v>
      </c>
      <c r="AQ190">
        <v>1.17855152930929</v>
      </c>
      <c r="AR190">
        <v>1.17674547198093</v>
      </c>
      <c r="AS190">
        <v>1.16918188426727</v>
      </c>
      <c r="AT190">
        <v>1.15651440870038</v>
      </c>
      <c r="AU190">
        <v>1.13863586790409</v>
      </c>
      <c r="AV190">
        <v>1.11649393853589</v>
      </c>
      <c r="AW190">
        <v>1.09146440481315</v>
      </c>
      <c r="AX190">
        <v>1.06483421041404</v>
      </c>
      <c r="AY190">
        <v>1.03720659477644</v>
      </c>
      <c r="AZ190">
        <v>1.00924254633584</v>
      </c>
      <c r="BA190">
        <v>0</v>
      </c>
      <c r="BB190">
        <v>0</v>
      </c>
      <c r="BC190">
        <v>0</v>
      </c>
      <c r="BD190">
        <v>0</v>
      </c>
      <c r="BE190">
        <v>0</v>
      </c>
      <c r="BF190">
        <v>0</v>
      </c>
      <c r="BG190">
        <v>0</v>
      </c>
      <c r="BH190">
        <v>0</v>
      </c>
      <c r="BJ190" t="s">
        <v>438</v>
      </c>
      <c r="BL190">
        <v>1</v>
      </c>
      <c r="BM190">
        <v>0.997560975609757</v>
      </c>
      <c r="BN190">
        <v>0.985365853658537</v>
      </c>
      <c r="BO190">
        <v>0.973170731707317</v>
      </c>
      <c r="BP190">
        <v>0.960975609756098</v>
      </c>
      <c r="BQ190">
        <v>0.948780487804878</v>
      </c>
      <c r="BR190">
        <v>0.936585365853658</v>
      </c>
      <c r="BS190">
        <v>0.924390243902439</v>
      </c>
      <c r="BT190">
        <v>0.91219512195122</v>
      </c>
      <c r="BU190">
        <v>0.9</v>
      </c>
      <c r="BV190">
        <v>0.8875</v>
      </c>
      <c r="BW190">
        <v>0.875000000000001</v>
      </c>
      <c r="BX190">
        <v>0.862500000000001</v>
      </c>
      <c r="BY190">
        <v>0.850000000000001</v>
      </c>
      <c r="BZ190">
        <v>0.8375</v>
      </c>
      <c r="CA190">
        <v>0.825000000000001</v>
      </c>
      <c r="CB190">
        <v>0.812500000000001</v>
      </c>
      <c r="CC190">
        <v>0.800000000000001</v>
      </c>
      <c r="CD190" t="e">
        <v>#VALUE!</v>
      </c>
      <c r="CE190" t="e">
        <v>#VALUE!</v>
      </c>
      <c r="CF190" t="e">
        <v>#VALUE!</v>
      </c>
      <c r="CG190" t="e">
        <v>#VALUE!</v>
      </c>
      <c r="CH190" t="e">
        <v>#VALUE!</v>
      </c>
      <c r="CI190" t="e">
        <v>#VALUE!</v>
      </c>
      <c r="CJ190" t="e">
        <v>#VALUE!</v>
      </c>
      <c r="CK190" t="e">
        <v>#VALUE!</v>
      </c>
    </row>
    <row r="191" spans="1:89">
      <c r="A191" s="34" t="s">
        <v>19</v>
      </c>
      <c r="B191" s="34" t="s">
        <v>447</v>
      </c>
      <c r="C191" s="34" t="s">
        <v>447</v>
      </c>
      <c r="D191" s="34">
        <v>37.835</v>
      </c>
      <c r="E191" s="34">
        <v>38.1389049851243</v>
      </c>
      <c r="F191" s="34"/>
      <c r="G191" s="34">
        <v>39.6398245696363</v>
      </c>
      <c r="H191" s="34">
        <v>41.1408885356912</v>
      </c>
      <c r="I191" s="34">
        <v>42.3609205992474</v>
      </c>
      <c r="J191" s="34">
        <v>43.2856798962531</v>
      </c>
      <c r="K191" s="34">
        <v>43.9002513052549</v>
      </c>
      <c r="L191" s="34">
        <v>44.219894692403</v>
      </c>
      <c r="M191" s="34">
        <v>44.3369971847107</v>
      </c>
      <c r="N191" s="34">
        <v>44.2758478492575</v>
      </c>
      <c r="O191" s="34">
        <v>44.0232785496377</v>
      </c>
      <c r="P191" s="34">
        <v>43.605930456674</v>
      </c>
      <c r="Q191" s="34">
        <v>43.0245161909634</v>
      </c>
      <c r="R191" s="34">
        <v>42.3133591374783</v>
      </c>
      <c r="S191" s="34">
        <v>41.51892351557</v>
      </c>
      <c r="T191" s="34">
        <v>40.6831958228865</v>
      </c>
      <c r="U191" s="34">
        <v>39.8255660670376</v>
      </c>
      <c r="V191" s="34">
        <v>38.966578810858</v>
      </c>
      <c r="W191" s="34">
        <v>3</v>
      </c>
      <c r="AG191" s="232" t="s">
        <v>442</v>
      </c>
      <c r="AI191">
        <v>1</v>
      </c>
      <c r="AJ191">
        <v>1.00805201609879</v>
      </c>
      <c r="AK191">
        <v>1.04831209659274</v>
      </c>
      <c r="AL191">
        <v>1.08910353632669</v>
      </c>
      <c r="AM191">
        <v>1.12271244267224</v>
      </c>
      <c r="AN191">
        <v>1.14854492301775</v>
      </c>
      <c r="AO191">
        <v>1.16595612395182</v>
      </c>
      <c r="AP191">
        <v>1.17513999066876</v>
      </c>
      <c r="AQ191">
        <v>1.17855152930929</v>
      </c>
      <c r="AR191">
        <v>1.17674547198093</v>
      </c>
      <c r="AS191">
        <v>1.16918188426727</v>
      </c>
      <c r="AT191">
        <v>1.15651440870038</v>
      </c>
      <c r="AU191">
        <v>1.13863586790409</v>
      </c>
      <c r="AV191">
        <v>1.11649393853589</v>
      </c>
      <c r="AW191">
        <v>1.09146440481315</v>
      </c>
      <c r="AX191">
        <v>1.06483421041404</v>
      </c>
      <c r="AY191">
        <v>1.03720659477644</v>
      </c>
      <c r="AZ191">
        <v>1.00924254633584</v>
      </c>
      <c r="BA191">
        <v>0</v>
      </c>
      <c r="BB191">
        <v>0</v>
      </c>
      <c r="BC191">
        <v>0</v>
      </c>
      <c r="BD191">
        <v>0</v>
      </c>
      <c r="BE191">
        <v>0</v>
      </c>
      <c r="BF191">
        <v>0</v>
      </c>
      <c r="BG191">
        <v>0</v>
      </c>
      <c r="BH191">
        <v>0</v>
      </c>
      <c r="BJ191" t="s">
        <v>438</v>
      </c>
      <c r="BL191">
        <v>1</v>
      </c>
      <c r="BM191">
        <v>0.997560975609757</v>
      </c>
      <c r="BN191">
        <v>0.985365853658537</v>
      </c>
      <c r="BO191">
        <v>0.973170731707317</v>
      </c>
      <c r="BP191">
        <v>0.960975609756098</v>
      </c>
      <c r="BQ191">
        <v>0.948780487804878</v>
      </c>
      <c r="BR191">
        <v>0.936585365853658</v>
      </c>
      <c r="BS191">
        <v>0.924390243902439</v>
      </c>
      <c r="BT191">
        <v>0.91219512195122</v>
      </c>
      <c r="BU191">
        <v>0.9</v>
      </c>
      <c r="BV191">
        <v>0.8875</v>
      </c>
      <c r="BW191">
        <v>0.875000000000001</v>
      </c>
      <c r="BX191">
        <v>0.862500000000001</v>
      </c>
      <c r="BY191">
        <v>0.850000000000001</v>
      </c>
      <c r="BZ191">
        <v>0.8375</v>
      </c>
      <c r="CA191">
        <v>0.825000000000001</v>
      </c>
      <c r="CB191">
        <v>0.812500000000001</v>
      </c>
      <c r="CC191">
        <v>0.800000000000001</v>
      </c>
      <c r="CD191" t="e">
        <v>#VALUE!</v>
      </c>
      <c r="CE191" t="e">
        <v>#VALUE!</v>
      </c>
      <c r="CF191" t="e">
        <v>#VALUE!</v>
      </c>
      <c r="CG191" t="e">
        <v>#VALUE!</v>
      </c>
      <c r="CH191" t="e">
        <v>#VALUE!</v>
      </c>
      <c r="CI191" t="e">
        <v>#VALUE!</v>
      </c>
      <c r="CJ191" t="e">
        <v>#VALUE!</v>
      </c>
      <c r="CK191" t="e">
        <v>#VALUE!</v>
      </c>
    </row>
    <row r="192" spans="1:89">
      <c r="A192" s="34" t="s">
        <v>19</v>
      </c>
      <c r="B192" s="34" t="s">
        <v>448</v>
      </c>
      <c r="C192" s="34" t="s">
        <v>448</v>
      </c>
      <c r="D192" s="34">
        <v>568.104</v>
      </c>
      <c r="E192" s="34">
        <v>584.729060028635</v>
      </c>
      <c r="F192" s="34"/>
      <c r="G192" s="34">
        <v>780.801081496547</v>
      </c>
      <c r="H192" s="34">
        <v>990.316181829653</v>
      </c>
      <c r="I192" s="34">
        <v>1202.97877553391</v>
      </c>
      <c r="J192" s="34">
        <v>1427.02378057992</v>
      </c>
      <c r="K192" s="34">
        <v>1666.0988974572</v>
      </c>
      <c r="L192" s="34">
        <v>1923.5467067764</v>
      </c>
      <c r="M192" s="34">
        <v>2200.43648297593</v>
      </c>
      <c r="N192" s="34">
        <v>2495.57104956898</v>
      </c>
      <c r="O192" s="34">
        <v>2807.42288199203</v>
      </c>
      <c r="P192" s="34">
        <v>3127.40357717487</v>
      </c>
      <c r="Q192" s="34">
        <v>3457.34204228706</v>
      </c>
      <c r="R192" s="34">
        <v>3790.19017424105</v>
      </c>
      <c r="S192" s="34">
        <v>4123.22684797869</v>
      </c>
      <c r="T192" s="34">
        <v>4454.42923573282</v>
      </c>
      <c r="U192" s="34">
        <v>4783.6885741564</v>
      </c>
      <c r="V192" s="34">
        <v>5111.66206826436</v>
      </c>
      <c r="W192" s="34">
        <v>3</v>
      </c>
      <c r="AG192" s="232" t="s">
        <v>449</v>
      </c>
      <c r="AI192">
        <v>1</v>
      </c>
      <c r="AJ192">
        <v>1.02933566406356</v>
      </c>
      <c r="AK192">
        <v>1.37961979296951</v>
      </c>
      <c r="AL192">
        <v>1.76002399051752</v>
      </c>
      <c r="AM192">
        <v>2.15332354403796</v>
      </c>
      <c r="AN192">
        <v>2.57601244605982</v>
      </c>
      <c r="AO192">
        <v>3.03680319951847</v>
      </c>
      <c r="AP192">
        <v>3.54443604986174</v>
      </c>
      <c r="AQ192">
        <v>4.10376021581973</v>
      </c>
      <c r="AR192">
        <v>4.71533660182219</v>
      </c>
      <c r="AS192">
        <v>5.37926722381884</v>
      </c>
      <c r="AT192">
        <v>6.07996543432466</v>
      </c>
      <c r="AU192">
        <v>6.82365386888092</v>
      </c>
      <c r="AV192">
        <v>7.59651566494815</v>
      </c>
      <c r="AW192">
        <v>8.39351999509641</v>
      </c>
      <c r="AX192">
        <v>9.21075396537155</v>
      </c>
      <c r="AY192">
        <v>10.0487034714338</v>
      </c>
      <c r="AZ192">
        <v>10.909887351219</v>
      </c>
      <c r="BA192">
        <v>0</v>
      </c>
      <c r="BB192">
        <v>0</v>
      </c>
      <c r="BC192">
        <v>0</v>
      </c>
      <c r="BD192">
        <v>0</v>
      </c>
      <c r="BE192">
        <v>0</v>
      </c>
      <c r="BF192">
        <v>0</v>
      </c>
      <c r="BG192">
        <v>0</v>
      </c>
      <c r="BH192">
        <v>0</v>
      </c>
      <c r="BJ192" t="s">
        <v>438</v>
      </c>
      <c r="BL192">
        <v>1</v>
      </c>
      <c r="BM192">
        <v>0.997560975609757</v>
      </c>
      <c r="BN192">
        <v>0.985365853658537</v>
      </c>
      <c r="BO192">
        <v>0.973170731707317</v>
      </c>
      <c r="BP192">
        <v>0.960975609756098</v>
      </c>
      <c r="BQ192">
        <v>0.948780487804878</v>
      </c>
      <c r="BR192">
        <v>0.936585365853658</v>
      </c>
      <c r="BS192">
        <v>0.924390243902439</v>
      </c>
      <c r="BT192">
        <v>0.91219512195122</v>
      </c>
      <c r="BU192">
        <v>0.9</v>
      </c>
      <c r="BV192">
        <v>0.8875</v>
      </c>
      <c r="BW192">
        <v>0.875000000000001</v>
      </c>
      <c r="BX192">
        <v>0.862500000000001</v>
      </c>
      <c r="BY192">
        <v>0.850000000000001</v>
      </c>
      <c r="BZ192">
        <v>0.8375</v>
      </c>
      <c r="CA192">
        <v>0.825000000000001</v>
      </c>
      <c r="CB192">
        <v>0.812500000000001</v>
      </c>
      <c r="CC192">
        <v>0.800000000000001</v>
      </c>
      <c r="CD192" t="e">
        <v>#VALUE!</v>
      </c>
      <c r="CE192" t="e">
        <v>#VALUE!</v>
      </c>
      <c r="CF192" t="e">
        <v>#VALUE!</v>
      </c>
      <c r="CG192" t="e">
        <v>#VALUE!</v>
      </c>
      <c r="CH192" t="e">
        <v>#VALUE!</v>
      </c>
      <c r="CI192" t="e">
        <v>#VALUE!</v>
      </c>
      <c r="CJ192" t="e">
        <v>#VALUE!</v>
      </c>
      <c r="CK192" t="e">
        <v>#VALUE!</v>
      </c>
    </row>
    <row r="193" spans="1:89">
      <c r="A193" s="34" t="s">
        <v>19</v>
      </c>
      <c r="B193" s="34" t="s">
        <v>450</v>
      </c>
      <c r="C193" s="34" t="s">
        <v>450</v>
      </c>
      <c r="D193" s="34">
        <v>127.3</v>
      </c>
      <c r="E193" s="34">
        <v>132.077839615978</v>
      </c>
      <c r="F193" s="34"/>
      <c r="G193" s="34">
        <v>183.332943765281</v>
      </c>
      <c r="H193" s="34">
        <v>241.38391997778</v>
      </c>
      <c r="I193" s="34">
        <v>301.977046132485</v>
      </c>
      <c r="J193" s="34">
        <v>366.10416060443</v>
      </c>
      <c r="K193" s="34">
        <v>433.566840514055</v>
      </c>
      <c r="L193" s="34">
        <v>504.246720168152</v>
      </c>
      <c r="M193" s="34">
        <v>578.377844535246</v>
      </c>
      <c r="N193" s="34">
        <v>655.036467268197</v>
      </c>
      <c r="O193" s="34">
        <v>732.628461416587</v>
      </c>
      <c r="P193" s="34">
        <v>808.280861870122</v>
      </c>
      <c r="Q193" s="34">
        <v>881.45847153819</v>
      </c>
      <c r="R193" s="34">
        <v>950.099055974585</v>
      </c>
      <c r="S193" s="34">
        <v>1013.87273132779</v>
      </c>
      <c r="T193" s="34">
        <v>1072.91797887784</v>
      </c>
      <c r="U193" s="34">
        <v>1127.54965767977</v>
      </c>
      <c r="V193" s="34">
        <v>1178.4513012891</v>
      </c>
      <c r="W193" s="34">
        <v>3</v>
      </c>
      <c r="AG193" s="232" t="s">
        <v>437</v>
      </c>
      <c r="AI193">
        <v>1</v>
      </c>
      <c r="AJ193">
        <v>1.03762389140165</v>
      </c>
      <c r="AK193">
        <v>1.44627211766871</v>
      </c>
      <c r="AL193">
        <v>1.91684835209244</v>
      </c>
      <c r="AM193">
        <v>2.4175631359905</v>
      </c>
      <c r="AN193">
        <v>2.95866601655253</v>
      </c>
      <c r="AO193">
        <v>3.54077928771504</v>
      </c>
      <c r="AP193">
        <v>4.16520854656052</v>
      </c>
      <c r="AQ193">
        <v>4.83649287827296</v>
      </c>
      <c r="AR193">
        <v>5.54875099506021</v>
      </c>
      <c r="AS193">
        <v>6.28934178872169</v>
      </c>
      <c r="AT193">
        <v>7.03156762919676</v>
      </c>
      <c r="AU193">
        <v>7.7696570452703</v>
      </c>
      <c r="AV193">
        <v>8.48146369390752</v>
      </c>
      <c r="AW193">
        <v>9.16122830573521</v>
      </c>
      <c r="AX193">
        <v>9.80792592603439</v>
      </c>
      <c r="AY193">
        <v>10.422581509524</v>
      </c>
      <c r="AZ193">
        <v>11.0107224905814</v>
      </c>
      <c r="BA193">
        <v>0</v>
      </c>
      <c r="BB193">
        <v>0</v>
      </c>
      <c r="BC193">
        <v>0</v>
      </c>
      <c r="BD193">
        <v>0</v>
      </c>
      <c r="BE193">
        <v>0</v>
      </c>
      <c r="BF193">
        <v>0</v>
      </c>
      <c r="BG193">
        <v>0</v>
      </c>
      <c r="BH193">
        <v>0</v>
      </c>
      <c r="BJ193" t="s">
        <v>438</v>
      </c>
      <c r="BL193">
        <v>1</v>
      </c>
      <c r="BM193">
        <v>0.997560975609757</v>
      </c>
      <c r="BN193">
        <v>0.985365853658537</v>
      </c>
      <c r="BO193">
        <v>0.973170731707317</v>
      </c>
      <c r="BP193">
        <v>0.960975609756098</v>
      </c>
      <c r="BQ193">
        <v>0.948780487804878</v>
      </c>
      <c r="BR193">
        <v>0.936585365853658</v>
      </c>
      <c r="BS193">
        <v>0.924390243902439</v>
      </c>
      <c r="BT193">
        <v>0.91219512195122</v>
      </c>
      <c r="BU193">
        <v>0.9</v>
      </c>
      <c r="BV193">
        <v>0.8875</v>
      </c>
      <c r="BW193">
        <v>0.875000000000001</v>
      </c>
      <c r="BX193">
        <v>0.862500000000001</v>
      </c>
      <c r="BY193">
        <v>0.850000000000001</v>
      </c>
      <c r="BZ193">
        <v>0.8375</v>
      </c>
      <c r="CA193">
        <v>0.825000000000001</v>
      </c>
      <c r="CB193">
        <v>0.812500000000001</v>
      </c>
      <c r="CC193">
        <v>0.800000000000001</v>
      </c>
      <c r="CD193" t="e">
        <v>#VALUE!</v>
      </c>
      <c r="CE193" t="e">
        <v>#VALUE!</v>
      </c>
      <c r="CF193" t="e">
        <v>#VALUE!</v>
      </c>
      <c r="CG193" t="e">
        <v>#VALUE!</v>
      </c>
      <c r="CH193" t="e">
        <v>#VALUE!</v>
      </c>
      <c r="CI193" t="e">
        <v>#VALUE!</v>
      </c>
      <c r="CJ193" t="e">
        <v>#VALUE!</v>
      </c>
      <c r="CK193" t="e">
        <v>#VALUE!</v>
      </c>
    </row>
    <row r="194" spans="1:89">
      <c r="A194" s="34" t="s">
        <v>19</v>
      </c>
      <c r="B194" s="34" t="s">
        <v>451</v>
      </c>
      <c r="C194" s="34" t="s">
        <v>451</v>
      </c>
      <c r="D194" s="34">
        <v>179.96</v>
      </c>
      <c r="E194" s="34">
        <v>186.714281361283</v>
      </c>
      <c r="F194" s="34"/>
      <c r="G194" s="34">
        <v>259.172007541241</v>
      </c>
      <c r="H194" s="34">
        <v>341.236843984299</v>
      </c>
      <c r="I194" s="34">
        <v>426.895437721932</v>
      </c>
      <c r="J194" s="34">
        <v>517.549919421628</v>
      </c>
      <c r="K194" s="34">
        <v>612.91978490895</v>
      </c>
      <c r="L194" s="34">
        <v>712.837704331977</v>
      </c>
      <c r="M194" s="34">
        <v>817.634539690204</v>
      </c>
      <c r="N194" s="34">
        <v>926.004419871051</v>
      </c>
      <c r="O194" s="34">
        <v>1035.69377782034</v>
      </c>
      <c r="P194" s="34">
        <v>1142.64119326117</v>
      </c>
      <c r="Q194" s="34">
        <v>1246.09007492547</v>
      </c>
      <c r="R194" s="34">
        <v>1343.12510693783</v>
      </c>
      <c r="S194" s="34">
        <v>1433.27994288884</v>
      </c>
      <c r="T194" s="34">
        <v>1516.75034940185</v>
      </c>
      <c r="U194" s="34">
        <v>1593.9814328048</v>
      </c>
      <c r="V194" s="34">
        <v>1665.93948295354</v>
      </c>
      <c r="W194" s="34">
        <v>3</v>
      </c>
      <c r="AG194" s="232" t="s">
        <v>437</v>
      </c>
      <c r="AI194">
        <v>1</v>
      </c>
      <c r="AJ194">
        <v>1.03762389140165</v>
      </c>
      <c r="AK194">
        <v>1.44627211766871</v>
      </c>
      <c r="AL194">
        <v>1.91684835209244</v>
      </c>
      <c r="AM194">
        <v>2.4175631359905</v>
      </c>
      <c r="AN194">
        <v>2.95866601655253</v>
      </c>
      <c r="AO194">
        <v>3.54077928771504</v>
      </c>
      <c r="AP194">
        <v>4.16520854656052</v>
      </c>
      <c r="AQ194">
        <v>4.83649287827296</v>
      </c>
      <c r="AR194">
        <v>5.54875099506021</v>
      </c>
      <c r="AS194">
        <v>6.28934178872169</v>
      </c>
      <c r="AT194">
        <v>7.03156762919676</v>
      </c>
      <c r="AU194">
        <v>7.7696570452703</v>
      </c>
      <c r="AV194">
        <v>8.48146369390752</v>
      </c>
      <c r="AW194">
        <v>9.16122830573521</v>
      </c>
      <c r="AX194">
        <v>9.80792592603439</v>
      </c>
      <c r="AY194">
        <v>10.422581509524</v>
      </c>
      <c r="AZ194">
        <v>11.0107224905814</v>
      </c>
      <c r="BA194">
        <v>0</v>
      </c>
      <c r="BB194">
        <v>0</v>
      </c>
      <c r="BC194">
        <v>0</v>
      </c>
      <c r="BD194">
        <v>0</v>
      </c>
      <c r="BE194">
        <v>0</v>
      </c>
      <c r="BF194">
        <v>0</v>
      </c>
      <c r="BG194">
        <v>0</v>
      </c>
      <c r="BH194">
        <v>0</v>
      </c>
      <c r="BJ194" t="s">
        <v>438</v>
      </c>
      <c r="BL194">
        <v>1</v>
      </c>
      <c r="BM194">
        <v>0.997560975609757</v>
      </c>
      <c r="BN194">
        <v>0.985365853658537</v>
      </c>
      <c r="BO194">
        <v>0.973170731707317</v>
      </c>
      <c r="BP194">
        <v>0.960975609756098</v>
      </c>
      <c r="BQ194">
        <v>0.948780487804878</v>
      </c>
      <c r="BR194">
        <v>0.936585365853658</v>
      </c>
      <c r="BS194">
        <v>0.924390243902439</v>
      </c>
      <c r="BT194">
        <v>0.91219512195122</v>
      </c>
      <c r="BU194">
        <v>0.9</v>
      </c>
      <c r="BV194">
        <v>0.8875</v>
      </c>
      <c r="BW194">
        <v>0.875000000000001</v>
      </c>
      <c r="BX194">
        <v>0.862500000000001</v>
      </c>
      <c r="BY194">
        <v>0.850000000000001</v>
      </c>
      <c r="BZ194">
        <v>0.8375</v>
      </c>
      <c r="CA194">
        <v>0.825000000000001</v>
      </c>
      <c r="CB194">
        <v>0.812500000000001</v>
      </c>
      <c r="CC194">
        <v>0.800000000000001</v>
      </c>
      <c r="CD194" t="e">
        <v>#VALUE!</v>
      </c>
      <c r="CE194" t="e">
        <v>#VALUE!</v>
      </c>
      <c r="CF194" t="e">
        <v>#VALUE!</v>
      </c>
      <c r="CG194" t="e">
        <v>#VALUE!</v>
      </c>
      <c r="CH194" t="e">
        <v>#VALUE!</v>
      </c>
      <c r="CI194" t="e">
        <v>#VALUE!</v>
      </c>
      <c r="CJ194" t="e">
        <v>#VALUE!</v>
      </c>
      <c r="CK194" t="e">
        <v>#VALUE!</v>
      </c>
    </row>
    <row r="195" spans="1:89">
      <c r="A195" s="34" t="s">
        <v>20</v>
      </c>
      <c r="B195" s="34" t="s">
        <v>436</v>
      </c>
      <c r="C195" s="34" t="s">
        <v>436</v>
      </c>
      <c r="D195" s="34"/>
      <c r="E195" s="34">
        <v>0.256072074981676</v>
      </c>
      <c r="F195" s="34">
        <f xml:space="preserve">E195</f>
        <v>0.256072074981676</v>
      </c>
      <c r="G195" s="34"/>
      <c r="H195" s="34"/>
      <c r="I195" s="34">
        <f xml:space="preserve">F195</f>
        <v>0.256072074981676</v>
      </c>
      <c r="J195" s="34">
        <f xml:space="preserve">I195</f>
        <v>0.256072074981676</v>
      </c>
      <c r="K195" s="34"/>
      <c r="L195" s="34">
        <f xml:space="preserve">J195</f>
        <v>0.256072074981676</v>
      </c>
      <c r="M195" s="34"/>
      <c r="N195" s="34"/>
      <c r="O195" s="34"/>
      <c r="P195" s="34"/>
      <c r="Q195" s="34"/>
      <c r="R195" s="34"/>
      <c r="S195" s="34"/>
      <c r="T195" s="34"/>
      <c r="U195" s="34"/>
      <c r="V195" s="34">
        <f xml:space="preserve">L195</f>
        <v>0.256072074981676</v>
      </c>
      <c r="W195" s="34">
        <v>3</v>
      </c>
      <c r="AG195" s="232" t="s">
        <v>437</v>
      </c>
      <c r="AI195">
        <v>1</v>
      </c>
      <c r="AJ195">
        <v>1.05651166418708</v>
      </c>
      <c r="AK195">
        <v>1.38934575154197</v>
      </c>
      <c r="AL195">
        <v>1.56808500721045</v>
      </c>
      <c r="AM195">
        <v>1.74195387975481</v>
      </c>
      <c r="AN195">
        <v>1.95247666591835</v>
      </c>
      <c r="AO195">
        <v>2.21129186912367</v>
      </c>
      <c r="AP195">
        <v>2.49932937107373</v>
      </c>
      <c r="AQ195">
        <v>2.78080327076667</v>
      </c>
      <c r="AR195">
        <v>3.05129027102921</v>
      </c>
      <c r="AS195">
        <v>3.30434567544223</v>
      </c>
      <c r="AT195">
        <v>3.52586725161997</v>
      </c>
      <c r="AU195">
        <v>3.71383360031657</v>
      </c>
      <c r="AV195">
        <v>3.87506991663274</v>
      </c>
      <c r="AW195">
        <v>4.01942160395414</v>
      </c>
      <c r="AX195">
        <v>4.15150220879485</v>
      </c>
      <c r="AY195">
        <v>4.26753052550673</v>
      </c>
      <c r="AZ195">
        <v>4.35944473827398</v>
      </c>
      <c r="BA195">
        <v>0</v>
      </c>
      <c r="BB195">
        <v>0</v>
      </c>
      <c r="BC195">
        <v>0</v>
      </c>
      <c r="BD195">
        <v>0</v>
      </c>
      <c r="BE195">
        <v>0</v>
      </c>
      <c r="BF195">
        <v>0</v>
      </c>
      <c r="BG195">
        <v>0</v>
      </c>
      <c r="BH195">
        <v>0</v>
      </c>
      <c r="BJ195" t="s">
        <v>452</v>
      </c>
      <c r="BL195">
        <v>0.8</v>
      </c>
      <c r="BM195">
        <v>0.797560975609756</v>
      </c>
      <c r="BN195">
        <v>0.785365853658536</v>
      </c>
      <c r="BO195">
        <v>0.773170731707317</v>
      </c>
      <c r="BP195">
        <v>0.760975609756097</v>
      </c>
      <c r="BQ195">
        <v>0.748780487804878</v>
      </c>
      <c r="BR195">
        <v>0.736585365853658</v>
      </c>
      <c r="BS195">
        <v>0.724390243902439</v>
      </c>
      <c r="BT195">
        <v>0.71219512195122</v>
      </c>
      <c r="BU195">
        <v>0.699999999999999</v>
      </c>
      <c r="BV195">
        <v>0.687499999999999</v>
      </c>
      <c r="BW195">
        <v>0.675</v>
      </c>
      <c r="BX195">
        <v>0.6625</v>
      </c>
      <c r="BY195">
        <v>0.649999999999999</v>
      </c>
      <c r="BZ195">
        <v>0.637499999999999</v>
      </c>
      <c r="CA195">
        <v>0.625</v>
      </c>
      <c r="CB195">
        <v>0.6125</v>
      </c>
      <c r="CC195">
        <v>0.6</v>
      </c>
      <c r="CD195" t="e">
        <v>#VALUE!</v>
      </c>
      <c r="CE195" t="e">
        <v>#VALUE!</v>
      </c>
      <c r="CF195" t="e">
        <v>#VALUE!</v>
      </c>
      <c r="CG195" t="e">
        <v>#VALUE!</v>
      </c>
      <c r="CH195" t="e">
        <v>#VALUE!</v>
      </c>
      <c r="CI195" t="e">
        <v>#VALUE!</v>
      </c>
      <c r="CJ195" t="e">
        <v>#VALUE!</v>
      </c>
      <c r="CK195" t="e">
        <v>#VALUE!</v>
      </c>
    </row>
    <row r="196" spans="1:89">
      <c r="A196" s="34" t="s">
        <v>20</v>
      </c>
      <c r="B196" s="34" t="s">
        <v>439</v>
      </c>
      <c r="C196" s="34" t="s">
        <v>439</v>
      </c>
      <c r="D196" s="34"/>
      <c r="E196" s="34">
        <v>47.3746158946769</v>
      </c>
      <c r="F196" s="34">
        <f xml:space="preserve">E196</f>
        <v>47.3746158946769</v>
      </c>
      <c r="G196" s="34"/>
      <c r="H196" s="34"/>
      <c r="I196" s="34">
        <f xml:space="preserve">F196</f>
        <v>47.3746158946769</v>
      </c>
      <c r="J196" s="34">
        <f xml:space="preserve">I196</f>
        <v>47.3746158946769</v>
      </c>
      <c r="K196" s="34"/>
      <c r="L196" s="34">
        <f xml:space="preserve">J196</f>
        <v>47.3746158946769</v>
      </c>
      <c r="M196" s="34"/>
      <c r="N196" s="34"/>
      <c r="O196" s="34"/>
      <c r="P196" s="34"/>
      <c r="Q196" s="34"/>
      <c r="R196" s="34"/>
      <c r="S196" s="34"/>
      <c r="T196" s="34"/>
      <c r="U196" s="34"/>
      <c r="V196" s="34">
        <f xml:space="preserve">L196</f>
        <v>47.3746158946769</v>
      </c>
      <c r="W196" s="34">
        <v>3</v>
      </c>
      <c r="AG196" s="232" t="s">
        <v>437</v>
      </c>
      <c r="AI196">
        <v>1</v>
      </c>
      <c r="AJ196">
        <v>1.05651166418708</v>
      </c>
      <c r="AK196">
        <v>1.38934575154197</v>
      </c>
      <c r="AL196">
        <v>1.56808500721045</v>
      </c>
      <c r="AM196">
        <v>1.74195387975481</v>
      </c>
      <c r="AN196">
        <v>1.95247666591835</v>
      </c>
      <c r="AO196">
        <v>2.21129186912367</v>
      </c>
      <c r="AP196">
        <v>2.49932937107373</v>
      </c>
      <c r="AQ196">
        <v>2.78080327076667</v>
      </c>
      <c r="AR196">
        <v>3.05129027102921</v>
      </c>
      <c r="AS196">
        <v>3.30434567544223</v>
      </c>
      <c r="AT196">
        <v>3.52586725161997</v>
      </c>
      <c r="AU196">
        <v>3.71383360031657</v>
      </c>
      <c r="AV196">
        <v>3.87506991663274</v>
      </c>
      <c r="AW196">
        <v>4.01942160395414</v>
      </c>
      <c r="AX196">
        <v>4.15150220879485</v>
      </c>
      <c r="AY196">
        <v>4.26753052550673</v>
      </c>
      <c r="AZ196">
        <v>4.35944473827398</v>
      </c>
      <c r="BA196">
        <v>0</v>
      </c>
      <c r="BB196">
        <v>0</v>
      </c>
      <c r="BC196">
        <v>0</v>
      </c>
      <c r="BD196">
        <v>0</v>
      </c>
      <c r="BE196">
        <v>0</v>
      </c>
      <c r="BF196">
        <v>0</v>
      </c>
      <c r="BG196">
        <v>0</v>
      </c>
      <c r="BH196">
        <v>0</v>
      </c>
      <c r="BJ196" t="s">
        <v>452</v>
      </c>
      <c r="BL196">
        <v>0.8</v>
      </c>
      <c r="BM196">
        <v>0.797560975609756</v>
      </c>
      <c r="BN196">
        <v>0.785365853658536</v>
      </c>
      <c r="BO196">
        <v>0.773170731707317</v>
      </c>
      <c r="BP196">
        <v>0.760975609756097</v>
      </c>
      <c r="BQ196">
        <v>0.748780487804878</v>
      </c>
      <c r="BR196">
        <v>0.736585365853658</v>
      </c>
      <c r="BS196">
        <v>0.724390243902439</v>
      </c>
      <c r="BT196">
        <v>0.71219512195122</v>
      </c>
      <c r="BU196">
        <v>0.699999999999999</v>
      </c>
      <c r="BV196">
        <v>0.687499999999999</v>
      </c>
      <c r="BW196">
        <v>0.675</v>
      </c>
      <c r="BX196">
        <v>0.6625</v>
      </c>
      <c r="BY196">
        <v>0.649999999999999</v>
      </c>
      <c r="BZ196">
        <v>0.637499999999999</v>
      </c>
      <c r="CA196">
        <v>0.625</v>
      </c>
      <c r="CB196">
        <v>0.6125</v>
      </c>
      <c r="CC196">
        <v>0.6</v>
      </c>
      <c r="CD196" t="e">
        <v>#VALUE!</v>
      </c>
      <c r="CE196" t="e">
        <v>#VALUE!</v>
      </c>
      <c r="CF196" t="e">
        <v>#VALUE!</v>
      </c>
      <c r="CG196" t="e">
        <v>#VALUE!</v>
      </c>
      <c r="CH196" t="e">
        <v>#VALUE!</v>
      </c>
      <c r="CI196" t="e">
        <v>#VALUE!</v>
      </c>
      <c r="CJ196" t="e">
        <v>#VALUE!</v>
      </c>
      <c r="CK196" t="e">
        <v>#VALUE!</v>
      </c>
    </row>
    <row r="197" spans="1:89">
      <c r="A197" s="34" t="s">
        <v>20</v>
      </c>
      <c r="B197" s="34" t="s">
        <v>440</v>
      </c>
      <c r="C197" s="34" t="s">
        <v>440</v>
      </c>
      <c r="D197" s="34"/>
      <c r="E197" s="34">
        <v>1.54205978731801</v>
      </c>
      <c r="F197" s="34"/>
      <c r="G197" s="34"/>
      <c r="H197" s="34"/>
      <c r="I197" s="34">
        <v>2.2933747443729</v>
      </c>
      <c r="J197" s="34">
        <v>2.50091005576803</v>
      </c>
      <c r="K197" s="34"/>
      <c r="L197" s="34">
        <v>3.00411860431572</v>
      </c>
      <c r="M197" s="34"/>
      <c r="N197" s="34"/>
      <c r="O197" s="34"/>
      <c r="P197" s="34"/>
      <c r="Q197" s="34"/>
      <c r="R197" s="34"/>
      <c r="S197" s="34"/>
      <c r="T197" s="34"/>
      <c r="U197" s="34"/>
      <c r="V197" s="34">
        <v>4.38797476185201</v>
      </c>
      <c r="W197" s="34">
        <v>3</v>
      </c>
      <c r="AG197" s="232" t="s">
        <v>437</v>
      </c>
      <c r="AI197">
        <v>1</v>
      </c>
      <c r="AJ197">
        <v>1.05651166418708</v>
      </c>
      <c r="AK197">
        <v>1.38934575154197</v>
      </c>
      <c r="AL197">
        <v>1.56808500721045</v>
      </c>
      <c r="AM197">
        <v>1.74195387975481</v>
      </c>
      <c r="AN197">
        <v>1.95247666591835</v>
      </c>
      <c r="AO197">
        <v>2.21129186912367</v>
      </c>
      <c r="AP197">
        <v>2.49932937107373</v>
      </c>
      <c r="AQ197">
        <v>2.78080327076667</v>
      </c>
      <c r="AR197">
        <v>3.05129027102921</v>
      </c>
      <c r="AS197">
        <v>3.30434567544223</v>
      </c>
      <c r="AT197">
        <v>3.52586725161997</v>
      </c>
      <c r="AU197">
        <v>3.71383360031657</v>
      </c>
      <c r="AV197">
        <v>3.87506991663274</v>
      </c>
      <c r="AW197">
        <v>4.01942160395414</v>
      </c>
      <c r="AX197">
        <v>4.15150220879485</v>
      </c>
      <c r="AY197">
        <v>4.26753052550673</v>
      </c>
      <c r="AZ197">
        <v>4.35944473827398</v>
      </c>
      <c r="BA197">
        <v>0</v>
      </c>
      <c r="BB197">
        <v>0</v>
      </c>
      <c r="BC197">
        <v>0</v>
      </c>
      <c r="BD197">
        <v>0</v>
      </c>
      <c r="BE197">
        <v>0</v>
      </c>
      <c r="BF197">
        <v>0</v>
      </c>
      <c r="BG197">
        <v>0</v>
      </c>
      <c r="BH197">
        <v>0</v>
      </c>
      <c r="BJ197" t="s">
        <v>452</v>
      </c>
      <c r="BL197">
        <v>0.8</v>
      </c>
      <c r="BM197">
        <v>0.797560975609756</v>
      </c>
      <c r="BN197">
        <v>0.785365853658536</v>
      </c>
      <c r="BO197">
        <v>0.773170731707317</v>
      </c>
      <c r="BP197">
        <v>0.760975609756097</v>
      </c>
      <c r="BQ197">
        <v>0.748780487804878</v>
      </c>
      <c r="BR197">
        <v>0.736585365853658</v>
      </c>
      <c r="BS197">
        <v>0.724390243902439</v>
      </c>
      <c r="BT197">
        <v>0.71219512195122</v>
      </c>
      <c r="BU197">
        <v>0.699999999999999</v>
      </c>
      <c r="BV197">
        <v>0.687499999999999</v>
      </c>
      <c r="BW197">
        <v>0.675</v>
      </c>
      <c r="BX197">
        <v>0.6625</v>
      </c>
      <c r="BY197">
        <v>0.649999999999999</v>
      </c>
      <c r="BZ197">
        <v>0.637499999999999</v>
      </c>
      <c r="CA197">
        <v>0.625</v>
      </c>
      <c r="CB197">
        <v>0.6125</v>
      </c>
      <c r="CC197">
        <v>0.6</v>
      </c>
      <c r="CD197" t="e">
        <v>#VALUE!</v>
      </c>
      <c r="CE197" t="e">
        <v>#VALUE!</v>
      </c>
      <c r="CF197" t="e">
        <v>#VALUE!</v>
      </c>
      <c r="CG197" t="e">
        <v>#VALUE!</v>
      </c>
      <c r="CH197" t="e">
        <v>#VALUE!</v>
      </c>
      <c r="CI197" t="e">
        <v>#VALUE!</v>
      </c>
      <c r="CJ197" t="e">
        <v>#VALUE!</v>
      </c>
      <c r="CK197" t="e">
        <v>#VALUE!</v>
      </c>
    </row>
    <row r="198" spans="1:89">
      <c r="A198" s="34" t="s">
        <v>20</v>
      </c>
      <c r="B198" s="34" t="s">
        <v>441</v>
      </c>
      <c r="C198" s="34" t="s">
        <v>441</v>
      </c>
      <c r="D198" s="34"/>
      <c r="E198" s="34">
        <v>0.352843445576617</v>
      </c>
      <c r="F198" s="34"/>
      <c r="G198" s="34"/>
      <c r="H198" s="34"/>
      <c r="I198" s="34">
        <v>0.380077614067599</v>
      </c>
      <c r="J198" s="34">
        <v>0.388635517829094</v>
      </c>
      <c r="K198" s="34"/>
      <c r="L198" s="34">
        <v>0.405863584509525</v>
      </c>
      <c r="M198" s="34"/>
      <c r="N198" s="34"/>
      <c r="O198" s="34"/>
      <c r="P198" s="34"/>
      <c r="Q198" s="34"/>
      <c r="R198" s="34"/>
      <c r="S198" s="34"/>
      <c r="T198" s="34"/>
      <c r="U198" s="34"/>
      <c r="V198" s="34">
        <v>0.439997486713419</v>
      </c>
      <c r="W198" s="34">
        <v>3</v>
      </c>
      <c r="AG198" s="232" t="s">
        <v>442</v>
      </c>
      <c r="AI198">
        <v>1</v>
      </c>
      <c r="AJ198">
        <v>1.00816579172873</v>
      </c>
      <c r="AK198">
        <v>1.04899475037238</v>
      </c>
      <c r="AL198">
        <v>1.0784349889255</v>
      </c>
      <c r="AM198">
        <v>1.10934026935236</v>
      </c>
      <c r="AN198">
        <v>1.14269868123305</v>
      </c>
      <c r="AO198">
        <v>1.17753196061414</v>
      </c>
      <c r="AP198">
        <v>1.21231160844976</v>
      </c>
      <c r="AQ198">
        <v>1.24158501605037</v>
      </c>
      <c r="AR198">
        <v>1.26536937826259</v>
      </c>
      <c r="AS198">
        <v>1.28413448286069</v>
      </c>
      <c r="AT198">
        <v>1.30005506854337</v>
      </c>
      <c r="AU198">
        <v>1.31457509302719</v>
      </c>
      <c r="AV198">
        <v>1.3286773236778</v>
      </c>
      <c r="AW198">
        <v>1.34245141933838</v>
      </c>
      <c r="AX198">
        <v>1.35458013193606</v>
      </c>
      <c r="AY198">
        <v>1.36304490929575</v>
      </c>
      <c r="AZ198">
        <v>1.36655511441676</v>
      </c>
      <c r="BA198">
        <v>0</v>
      </c>
      <c r="BB198">
        <v>0</v>
      </c>
      <c r="BC198">
        <v>0</v>
      </c>
      <c r="BD198">
        <v>0</v>
      </c>
      <c r="BE198">
        <v>0</v>
      </c>
      <c r="BF198">
        <v>0</v>
      </c>
      <c r="BG198">
        <v>0</v>
      </c>
      <c r="BH198">
        <v>0</v>
      </c>
      <c r="BJ198" t="s">
        <v>452</v>
      </c>
      <c r="BL198">
        <v>0.8</v>
      </c>
      <c r="BM198">
        <v>0.797560975609756</v>
      </c>
      <c r="BN198">
        <v>0.785365853658536</v>
      </c>
      <c r="BO198">
        <v>0.773170731707317</v>
      </c>
      <c r="BP198">
        <v>0.760975609756097</v>
      </c>
      <c r="BQ198">
        <v>0.748780487804878</v>
      </c>
      <c r="BR198">
        <v>0.736585365853658</v>
      </c>
      <c r="BS198">
        <v>0.724390243902439</v>
      </c>
      <c r="BT198">
        <v>0.71219512195122</v>
      </c>
      <c r="BU198">
        <v>0.699999999999999</v>
      </c>
      <c r="BV198">
        <v>0.687499999999999</v>
      </c>
      <c r="BW198">
        <v>0.675</v>
      </c>
      <c r="BX198">
        <v>0.6625</v>
      </c>
      <c r="BY198">
        <v>0.649999999999999</v>
      </c>
      <c r="BZ198">
        <v>0.637499999999999</v>
      </c>
      <c r="CA198">
        <v>0.625</v>
      </c>
      <c r="CB198">
        <v>0.6125</v>
      </c>
      <c r="CC198">
        <v>0.6</v>
      </c>
      <c r="CD198" t="e">
        <v>#VALUE!</v>
      </c>
      <c r="CE198" t="e">
        <v>#VALUE!</v>
      </c>
      <c r="CF198" t="e">
        <v>#VALUE!</v>
      </c>
      <c r="CG198" t="e">
        <v>#VALUE!</v>
      </c>
      <c r="CH198" t="e">
        <v>#VALUE!</v>
      </c>
      <c r="CI198" t="e">
        <v>#VALUE!</v>
      </c>
      <c r="CJ198" t="e">
        <v>#VALUE!</v>
      </c>
      <c r="CK198" t="e">
        <v>#VALUE!</v>
      </c>
    </row>
    <row r="199" spans="1:89">
      <c r="A199" s="34" t="s">
        <v>20</v>
      </c>
      <c r="B199" s="34" t="s">
        <v>443</v>
      </c>
      <c r="C199" s="34" t="s">
        <v>443</v>
      </c>
      <c r="D199" s="34"/>
      <c r="E199" s="34">
        <v>3.84648924933516</v>
      </c>
      <c r="F199" s="34">
        <f xml:space="preserve">E199</f>
        <v>3.84648924933516</v>
      </c>
      <c r="G199" s="34"/>
      <c r="H199" s="34"/>
      <c r="I199" s="34">
        <f xml:space="preserve">F199</f>
        <v>3.84648924933516</v>
      </c>
      <c r="J199" s="34">
        <f xml:space="preserve">I199</f>
        <v>3.84648924933516</v>
      </c>
      <c r="K199" s="34"/>
      <c r="L199" s="34">
        <f xml:space="preserve">J199</f>
        <v>3.84648924933516</v>
      </c>
      <c r="M199" s="34"/>
      <c r="N199" s="34"/>
      <c r="O199" s="34"/>
      <c r="P199" s="34"/>
      <c r="Q199" s="34"/>
      <c r="R199" s="34"/>
      <c r="S199" s="34"/>
      <c r="T199" s="34"/>
      <c r="U199" s="34"/>
      <c r="V199" s="34">
        <f xml:space="preserve">L199</f>
        <v>3.84648924933516</v>
      </c>
      <c r="W199" s="34">
        <v>3</v>
      </c>
      <c r="AG199" s="232" t="s">
        <v>437</v>
      </c>
      <c r="AI199">
        <v>1</v>
      </c>
      <c r="AJ199">
        <v>1.05651166418708</v>
      </c>
      <c r="AK199">
        <v>1.38934575154197</v>
      </c>
      <c r="AL199">
        <v>1.56808500721045</v>
      </c>
      <c r="AM199">
        <v>1.74195387975481</v>
      </c>
      <c r="AN199">
        <v>1.95247666591835</v>
      </c>
      <c r="AO199">
        <v>2.21129186912367</v>
      </c>
      <c r="AP199">
        <v>2.49932937107373</v>
      </c>
      <c r="AQ199">
        <v>2.78080327076667</v>
      </c>
      <c r="AR199">
        <v>3.05129027102921</v>
      </c>
      <c r="AS199">
        <v>3.30434567544223</v>
      </c>
      <c r="AT199">
        <v>3.52586725161997</v>
      </c>
      <c r="AU199">
        <v>3.71383360031657</v>
      </c>
      <c r="AV199">
        <v>3.87506991663274</v>
      </c>
      <c r="AW199">
        <v>4.01942160395414</v>
      </c>
      <c r="AX199">
        <v>4.15150220879485</v>
      </c>
      <c r="AY199">
        <v>4.26753052550673</v>
      </c>
      <c r="AZ199">
        <v>4.35944473827398</v>
      </c>
      <c r="BA199">
        <v>0</v>
      </c>
      <c r="BB199">
        <v>0</v>
      </c>
      <c r="BC199">
        <v>0</v>
      </c>
      <c r="BD199">
        <v>0</v>
      </c>
      <c r="BE199">
        <v>0</v>
      </c>
      <c r="BF199">
        <v>0</v>
      </c>
      <c r="BG199">
        <v>0</v>
      </c>
      <c r="BH199">
        <v>0</v>
      </c>
      <c r="BJ199" t="s">
        <v>452</v>
      </c>
      <c r="BL199">
        <v>0.8</v>
      </c>
      <c r="BM199">
        <v>0.797560975609756</v>
      </c>
      <c r="BN199">
        <v>0.785365853658536</v>
      </c>
      <c r="BO199">
        <v>0.773170731707317</v>
      </c>
      <c r="BP199">
        <v>0.760975609756097</v>
      </c>
      <c r="BQ199">
        <v>0.748780487804878</v>
      </c>
      <c r="BR199">
        <v>0.736585365853658</v>
      </c>
      <c r="BS199">
        <v>0.724390243902439</v>
      </c>
      <c r="BT199">
        <v>0.71219512195122</v>
      </c>
      <c r="BU199">
        <v>0.699999999999999</v>
      </c>
      <c r="BV199">
        <v>0.687499999999999</v>
      </c>
      <c r="BW199">
        <v>0.675</v>
      </c>
      <c r="BX199">
        <v>0.6625</v>
      </c>
      <c r="BY199">
        <v>0.649999999999999</v>
      </c>
      <c r="BZ199">
        <v>0.637499999999999</v>
      </c>
      <c r="CA199">
        <v>0.625</v>
      </c>
      <c r="CB199">
        <v>0.6125</v>
      </c>
      <c r="CC199">
        <v>0.6</v>
      </c>
      <c r="CD199" t="e">
        <v>#VALUE!</v>
      </c>
      <c r="CE199" t="e">
        <v>#VALUE!</v>
      </c>
      <c r="CF199" t="e">
        <v>#VALUE!</v>
      </c>
      <c r="CG199" t="e">
        <v>#VALUE!</v>
      </c>
      <c r="CH199" t="e">
        <v>#VALUE!</v>
      </c>
      <c r="CI199" t="e">
        <v>#VALUE!</v>
      </c>
      <c r="CJ199" t="e">
        <v>#VALUE!</v>
      </c>
      <c r="CK199" t="e">
        <v>#VALUE!</v>
      </c>
    </row>
    <row r="200" spans="1:89">
      <c r="A200" s="34" t="s">
        <v>20</v>
      </c>
      <c r="B200" s="34" t="s">
        <v>444</v>
      </c>
      <c r="C200" s="34" t="s">
        <v>444</v>
      </c>
      <c r="D200" s="34"/>
      <c r="E200" s="34">
        <v>6.11048510398272</v>
      </c>
      <c r="F200" s="34">
        <f xml:space="preserve">E200</f>
        <v>6.11048510398272</v>
      </c>
      <c r="G200" s="34"/>
      <c r="H200" s="34"/>
      <c r="I200" s="34">
        <f xml:space="preserve">F200</f>
        <v>6.11048510398272</v>
      </c>
      <c r="J200" s="34">
        <f xml:space="preserve">I200</f>
        <v>6.11048510398272</v>
      </c>
      <c r="K200" s="34"/>
      <c r="L200" s="34">
        <f xml:space="preserve">J200</f>
        <v>6.11048510398272</v>
      </c>
      <c r="M200" s="34"/>
      <c r="N200" s="34"/>
      <c r="O200" s="34"/>
      <c r="P200" s="34"/>
      <c r="Q200" s="34"/>
      <c r="R200" s="34"/>
      <c r="S200" s="34"/>
      <c r="T200" s="34"/>
      <c r="U200" s="34"/>
      <c r="V200" s="34">
        <f xml:space="preserve">L200</f>
        <v>6.11048510398272</v>
      </c>
      <c r="W200" s="34">
        <v>3</v>
      </c>
      <c r="AG200" s="232" t="s">
        <v>437</v>
      </c>
      <c r="AI200">
        <v>1</v>
      </c>
      <c r="AJ200">
        <v>1.05651166418708</v>
      </c>
      <c r="AK200">
        <v>1.38934575154197</v>
      </c>
      <c r="AL200">
        <v>1.56808500721045</v>
      </c>
      <c r="AM200">
        <v>1.74195387975481</v>
      </c>
      <c r="AN200">
        <v>1.95247666591835</v>
      </c>
      <c r="AO200">
        <v>2.21129186912367</v>
      </c>
      <c r="AP200">
        <v>2.49932937107373</v>
      </c>
      <c r="AQ200">
        <v>2.78080327076667</v>
      </c>
      <c r="AR200">
        <v>3.05129027102921</v>
      </c>
      <c r="AS200">
        <v>3.30434567544223</v>
      </c>
      <c r="AT200">
        <v>3.52586725161997</v>
      </c>
      <c r="AU200">
        <v>3.71383360031657</v>
      </c>
      <c r="AV200">
        <v>3.87506991663274</v>
      </c>
      <c r="AW200">
        <v>4.01942160395414</v>
      </c>
      <c r="AX200">
        <v>4.15150220879485</v>
      </c>
      <c r="AY200">
        <v>4.26753052550673</v>
      </c>
      <c r="AZ200">
        <v>4.35944473827398</v>
      </c>
      <c r="BA200">
        <v>0</v>
      </c>
      <c r="BB200">
        <v>0</v>
      </c>
      <c r="BC200">
        <v>0</v>
      </c>
      <c r="BD200">
        <v>0</v>
      </c>
      <c r="BE200">
        <v>0</v>
      </c>
      <c r="BF200">
        <v>0</v>
      </c>
      <c r="BG200">
        <v>0</v>
      </c>
      <c r="BH200">
        <v>0</v>
      </c>
      <c r="BJ200" t="s">
        <v>452</v>
      </c>
      <c r="BL200">
        <v>0.8</v>
      </c>
      <c r="BM200">
        <v>0.797560975609756</v>
      </c>
      <c r="BN200">
        <v>0.785365853658536</v>
      </c>
      <c r="BO200">
        <v>0.773170731707317</v>
      </c>
      <c r="BP200">
        <v>0.760975609756097</v>
      </c>
      <c r="BQ200">
        <v>0.748780487804878</v>
      </c>
      <c r="BR200">
        <v>0.736585365853658</v>
      </c>
      <c r="BS200">
        <v>0.724390243902439</v>
      </c>
      <c r="BT200">
        <v>0.71219512195122</v>
      </c>
      <c r="BU200">
        <v>0.699999999999999</v>
      </c>
      <c r="BV200">
        <v>0.687499999999999</v>
      </c>
      <c r="BW200">
        <v>0.675</v>
      </c>
      <c r="BX200">
        <v>0.6625</v>
      </c>
      <c r="BY200">
        <v>0.649999999999999</v>
      </c>
      <c r="BZ200">
        <v>0.637499999999999</v>
      </c>
      <c r="CA200">
        <v>0.625</v>
      </c>
      <c r="CB200">
        <v>0.6125</v>
      </c>
      <c r="CC200">
        <v>0.6</v>
      </c>
      <c r="CD200" t="e">
        <v>#VALUE!</v>
      </c>
      <c r="CE200" t="e">
        <v>#VALUE!</v>
      </c>
      <c r="CF200" t="e">
        <v>#VALUE!</v>
      </c>
      <c r="CG200" t="e">
        <v>#VALUE!</v>
      </c>
      <c r="CH200" t="e">
        <v>#VALUE!</v>
      </c>
      <c r="CI200" t="e">
        <v>#VALUE!</v>
      </c>
      <c r="CJ200" t="e">
        <v>#VALUE!</v>
      </c>
      <c r="CK200" t="e">
        <v>#VALUE!</v>
      </c>
    </row>
    <row r="201" spans="1:89">
      <c r="A201" s="34" t="s">
        <v>20</v>
      </c>
      <c r="B201" s="34" t="s">
        <v>445</v>
      </c>
      <c r="C201" s="34" t="s">
        <v>445</v>
      </c>
      <c r="D201" s="34">
        <v>0.154</v>
      </c>
      <c r="E201" s="34">
        <v>0.15500295838994</v>
      </c>
      <c r="F201" s="34"/>
      <c r="G201" s="34">
        <v>0.159932974610687</v>
      </c>
      <c r="H201" s="34">
        <v>0.163403389758166</v>
      </c>
      <c r="I201" s="34">
        <v>0.166966838513868</v>
      </c>
      <c r="J201" s="34">
        <v>0.170726297325638</v>
      </c>
      <c r="K201" s="34">
        <v>0.174559715033517</v>
      </c>
      <c r="L201" s="34">
        <v>0.178294530025673</v>
      </c>
      <c r="M201" s="34">
        <v>0.181360698615104</v>
      </c>
      <c r="N201" s="34">
        <v>0.18379265771884</v>
      </c>
      <c r="O201" s="34">
        <v>0.185666506452397</v>
      </c>
      <c r="P201" s="34">
        <v>0.18722027337135</v>
      </c>
      <c r="Q201" s="34">
        <v>0.188605575040553</v>
      </c>
      <c r="R201" s="34">
        <v>0.189920709921746</v>
      </c>
      <c r="S201" s="34">
        <v>0.191175861238099</v>
      </c>
      <c r="T201" s="34">
        <v>0.192255377525974</v>
      </c>
      <c r="U201" s="34">
        <v>0.192991237918255</v>
      </c>
      <c r="V201" s="34">
        <v>0.193289440344469</v>
      </c>
      <c r="W201" s="34">
        <v>3</v>
      </c>
      <c r="AG201" s="232" t="s">
        <v>442</v>
      </c>
      <c r="AI201">
        <v>1</v>
      </c>
      <c r="AJ201">
        <v>1.00816579172873</v>
      </c>
      <c r="AK201">
        <v>1.04899475037238</v>
      </c>
      <c r="AL201">
        <v>1.0784349889255</v>
      </c>
      <c r="AM201">
        <v>1.10934026935236</v>
      </c>
      <c r="AN201">
        <v>1.14269868123305</v>
      </c>
      <c r="AO201">
        <v>1.17753196061414</v>
      </c>
      <c r="AP201">
        <v>1.21231160844976</v>
      </c>
      <c r="AQ201">
        <v>1.24158501605037</v>
      </c>
      <c r="AR201">
        <v>1.26536937826259</v>
      </c>
      <c r="AS201">
        <v>1.28413448286069</v>
      </c>
      <c r="AT201">
        <v>1.30005506854337</v>
      </c>
      <c r="AU201">
        <v>1.31457509302719</v>
      </c>
      <c r="AV201">
        <v>1.3286773236778</v>
      </c>
      <c r="AW201">
        <v>1.34245141933838</v>
      </c>
      <c r="AX201">
        <v>1.35458013193606</v>
      </c>
      <c r="AY201">
        <v>1.36304490929575</v>
      </c>
      <c r="AZ201">
        <v>1.36655511441676</v>
      </c>
      <c r="BA201">
        <v>0</v>
      </c>
      <c r="BB201">
        <v>0</v>
      </c>
      <c r="BC201">
        <v>0</v>
      </c>
      <c r="BD201">
        <v>0</v>
      </c>
      <c r="BE201">
        <v>0</v>
      </c>
      <c r="BF201">
        <v>0</v>
      </c>
      <c r="BG201">
        <v>0</v>
      </c>
      <c r="BH201">
        <v>0</v>
      </c>
      <c r="BJ201" t="s">
        <v>452</v>
      </c>
      <c r="BL201">
        <v>0.8</v>
      </c>
      <c r="BM201">
        <v>0.797560975609756</v>
      </c>
      <c r="BN201">
        <v>0.785365853658536</v>
      </c>
      <c r="BO201">
        <v>0.773170731707317</v>
      </c>
      <c r="BP201">
        <v>0.760975609756097</v>
      </c>
      <c r="BQ201">
        <v>0.748780487804878</v>
      </c>
      <c r="BR201">
        <v>0.736585365853658</v>
      </c>
      <c r="BS201">
        <v>0.724390243902439</v>
      </c>
      <c r="BT201">
        <v>0.71219512195122</v>
      </c>
      <c r="BU201">
        <v>0.699999999999999</v>
      </c>
      <c r="BV201">
        <v>0.687499999999999</v>
      </c>
      <c r="BW201">
        <v>0.675</v>
      </c>
      <c r="BX201">
        <v>0.6625</v>
      </c>
      <c r="BY201">
        <v>0.649999999999999</v>
      </c>
      <c r="BZ201">
        <v>0.637499999999999</v>
      </c>
      <c r="CA201">
        <v>0.625</v>
      </c>
      <c r="CB201">
        <v>0.6125</v>
      </c>
      <c r="CC201">
        <v>0.6</v>
      </c>
      <c r="CD201" t="e">
        <v>#VALUE!</v>
      </c>
      <c r="CE201" t="e">
        <v>#VALUE!</v>
      </c>
      <c r="CF201" t="e">
        <v>#VALUE!</v>
      </c>
      <c r="CG201" t="e">
        <v>#VALUE!</v>
      </c>
      <c r="CH201" t="e">
        <v>#VALUE!</v>
      </c>
      <c r="CI201" t="e">
        <v>#VALUE!</v>
      </c>
      <c r="CJ201" t="e">
        <v>#VALUE!</v>
      </c>
      <c r="CK201" t="e">
        <v>#VALUE!</v>
      </c>
    </row>
    <row r="202" spans="1:89">
      <c r="A202" s="34" t="s">
        <v>20</v>
      </c>
      <c r="B202" s="34" t="s">
        <v>446</v>
      </c>
      <c r="C202" s="34" t="s">
        <v>446</v>
      </c>
      <c r="D202" s="34">
        <v>0.09</v>
      </c>
      <c r="E202" s="34">
        <v>0.0905861445136013</v>
      </c>
      <c r="F202" s="34"/>
      <c r="G202" s="34">
        <v>0.0934673228244276</v>
      </c>
      <c r="H202" s="34">
        <v>0.0954954875210062</v>
      </c>
      <c r="I202" s="34">
        <v>0.0975780225081048</v>
      </c>
      <c r="J202" s="34">
        <v>0.0997751088266713</v>
      </c>
      <c r="K202" s="34">
        <v>0.102015417876731</v>
      </c>
      <c r="L202" s="34">
        <v>0.104198101963055</v>
      </c>
      <c r="M202" s="34">
        <v>0.105990018671165</v>
      </c>
      <c r="N202" s="34">
        <v>0.107411293472049</v>
      </c>
      <c r="O202" s="34">
        <v>0.108506399874778</v>
      </c>
      <c r="P202" s="34">
        <v>0.109414445476763</v>
      </c>
      <c r="Q202" s="34">
        <v>0.110224037361362</v>
      </c>
      <c r="R202" s="34">
        <v>0.11099262268154</v>
      </c>
      <c r="S202" s="34">
        <v>0.111726152671616</v>
      </c>
      <c r="T202" s="34">
        <v>0.112357038813881</v>
      </c>
      <c r="U202" s="34">
        <v>0.112787087095084</v>
      </c>
      <c r="V202" s="34">
        <v>0.112961361240274</v>
      </c>
      <c r="W202" s="34">
        <v>3</v>
      </c>
      <c r="AG202" s="232" t="s">
        <v>442</v>
      </c>
      <c r="AI202">
        <v>1</v>
      </c>
      <c r="AJ202">
        <v>1.00816579172873</v>
      </c>
      <c r="AK202">
        <v>1.04899475037238</v>
      </c>
      <c r="AL202">
        <v>1.0784349889255</v>
      </c>
      <c r="AM202">
        <v>1.10934026935236</v>
      </c>
      <c r="AN202">
        <v>1.14269868123305</v>
      </c>
      <c r="AO202">
        <v>1.17753196061414</v>
      </c>
      <c r="AP202">
        <v>1.21231160844976</v>
      </c>
      <c r="AQ202">
        <v>1.24158501605037</v>
      </c>
      <c r="AR202">
        <v>1.26536937826259</v>
      </c>
      <c r="AS202">
        <v>1.28413448286069</v>
      </c>
      <c r="AT202">
        <v>1.30005506854337</v>
      </c>
      <c r="AU202">
        <v>1.31457509302719</v>
      </c>
      <c r="AV202">
        <v>1.3286773236778</v>
      </c>
      <c r="AW202">
        <v>1.34245141933838</v>
      </c>
      <c r="AX202">
        <v>1.35458013193606</v>
      </c>
      <c r="AY202">
        <v>1.36304490929575</v>
      </c>
      <c r="AZ202">
        <v>1.36655511441676</v>
      </c>
      <c r="BA202">
        <v>0</v>
      </c>
      <c r="BB202">
        <v>0</v>
      </c>
      <c r="BC202">
        <v>0</v>
      </c>
      <c r="BD202">
        <v>0</v>
      </c>
      <c r="BE202">
        <v>0</v>
      </c>
      <c r="BF202">
        <v>0</v>
      </c>
      <c r="BG202">
        <v>0</v>
      </c>
      <c r="BH202">
        <v>0</v>
      </c>
      <c r="BJ202" t="s">
        <v>452</v>
      </c>
      <c r="BL202">
        <v>0.8</v>
      </c>
      <c r="BM202">
        <v>0.797560975609756</v>
      </c>
      <c r="BN202">
        <v>0.785365853658536</v>
      </c>
      <c r="BO202">
        <v>0.773170731707317</v>
      </c>
      <c r="BP202">
        <v>0.760975609756097</v>
      </c>
      <c r="BQ202">
        <v>0.748780487804878</v>
      </c>
      <c r="BR202">
        <v>0.736585365853658</v>
      </c>
      <c r="BS202">
        <v>0.724390243902439</v>
      </c>
      <c r="BT202">
        <v>0.71219512195122</v>
      </c>
      <c r="BU202">
        <v>0.699999999999999</v>
      </c>
      <c r="BV202">
        <v>0.687499999999999</v>
      </c>
      <c r="BW202">
        <v>0.675</v>
      </c>
      <c r="BX202">
        <v>0.6625</v>
      </c>
      <c r="BY202">
        <v>0.649999999999999</v>
      </c>
      <c r="BZ202">
        <v>0.637499999999999</v>
      </c>
      <c r="CA202">
        <v>0.625</v>
      </c>
      <c r="CB202">
        <v>0.6125</v>
      </c>
      <c r="CC202">
        <v>0.6</v>
      </c>
      <c r="CD202" t="e">
        <v>#VALUE!</v>
      </c>
      <c r="CE202" t="e">
        <v>#VALUE!</v>
      </c>
      <c r="CF202" t="e">
        <v>#VALUE!</v>
      </c>
      <c r="CG202" t="e">
        <v>#VALUE!</v>
      </c>
      <c r="CH202" t="e">
        <v>#VALUE!</v>
      </c>
      <c r="CI202" t="e">
        <v>#VALUE!</v>
      </c>
      <c r="CJ202" t="e">
        <v>#VALUE!</v>
      </c>
      <c r="CK202" t="e">
        <v>#VALUE!</v>
      </c>
    </row>
    <row r="203" spans="1:89">
      <c r="A203" s="34" t="s">
        <v>20</v>
      </c>
      <c r="B203" s="34" t="s">
        <v>447</v>
      </c>
      <c r="C203" s="34" t="s">
        <v>447</v>
      </c>
      <c r="D203" s="34">
        <v>0.385</v>
      </c>
      <c r="E203" s="34">
        <v>0.38750739597485</v>
      </c>
      <c r="F203" s="34"/>
      <c r="G203" s="34">
        <v>0.399832436526718</v>
      </c>
      <c r="H203" s="34">
        <v>0.408508474395415</v>
      </c>
      <c r="I203" s="34">
        <v>0.417417096284671</v>
      </c>
      <c r="J203" s="34">
        <v>0.426815743314094</v>
      </c>
      <c r="K203" s="34">
        <v>0.436399287583793</v>
      </c>
      <c r="L203" s="34">
        <v>0.445736325064182</v>
      </c>
      <c r="M203" s="34">
        <v>0.45340174653776</v>
      </c>
      <c r="N203" s="34">
        <v>0.459481644297101</v>
      </c>
      <c r="O203" s="34">
        <v>0.464166266130993</v>
      </c>
      <c r="P203" s="34">
        <v>0.468050683428376</v>
      </c>
      <c r="Q203" s="34">
        <v>0.471513937601381</v>
      </c>
      <c r="R203" s="34">
        <v>0.474801774804365</v>
      </c>
      <c r="S203" s="34">
        <v>0.477939653095246</v>
      </c>
      <c r="T203" s="34">
        <v>0.480638443814934</v>
      </c>
      <c r="U203" s="34">
        <v>0.482478094795638</v>
      </c>
      <c r="V203" s="34">
        <v>0.483223600861173</v>
      </c>
      <c r="W203" s="34">
        <v>3</v>
      </c>
      <c r="AG203" s="232" t="s">
        <v>442</v>
      </c>
      <c r="AI203">
        <v>1</v>
      </c>
      <c r="AJ203">
        <v>1.00816579172873</v>
      </c>
      <c r="AK203">
        <v>1.04899475037238</v>
      </c>
      <c r="AL203">
        <v>1.0784349889255</v>
      </c>
      <c r="AM203">
        <v>1.10934026935236</v>
      </c>
      <c r="AN203">
        <v>1.14269868123305</v>
      </c>
      <c r="AO203">
        <v>1.17753196061414</v>
      </c>
      <c r="AP203">
        <v>1.21231160844976</v>
      </c>
      <c r="AQ203">
        <v>1.24158501605037</v>
      </c>
      <c r="AR203">
        <v>1.26536937826259</v>
      </c>
      <c r="AS203">
        <v>1.28413448286069</v>
      </c>
      <c r="AT203">
        <v>1.30005506854337</v>
      </c>
      <c r="AU203">
        <v>1.31457509302719</v>
      </c>
      <c r="AV203">
        <v>1.3286773236778</v>
      </c>
      <c r="AW203">
        <v>1.34245141933838</v>
      </c>
      <c r="AX203">
        <v>1.35458013193606</v>
      </c>
      <c r="AY203">
        <v>1.36304490929575</v>
      </c>
      <c r="AZ203">
        <v>1.36655511441676</v>
      </c>
      <c r="BA203">
        <v>0</v>
      </c>
      <c r="BB203">
        <v>0</v>
      </c>
      <c r="BC203">
        <v>0</v>
      </c>
      <c r="BD203">
        <v>0</v>
      </c>
      <c r="BE203">
        <v>0</v>
      </c>
      <c r="BF203">
        <v>0</v>
      </c>
      <c r="BG203">
        <v>0</v>
      </c>
      <c r="BH203">
        <v>0</v>
      </c>
      <c r="BJ203" t="s">
        <v>452</v>
      </c>
      <c r="BL203">
        <v>0.8</v>
      </c>
      <c r="BM203">
        <v>0.797560975609756</v>
      </c>
      <c r="BN203">
        <v>0.785365853658536</v>
      </c>
      <c r="BO203">
        <v>0.773170731707317</v>
      </c>
      <c r="BP203">
        <v>0.760975609756097</v>
      </c>
      <c r="BQ203">
        <v>0.748780487804878</v>
      </c>
      <c r="BR203">
        <v>0.736585365853658</v>
      </c>
      <c r="BS203">
        <v>0.724390243902439</v>
      </c>
      <c r="BT203">
        <v>0.71219512195122</v>
      </c>
      <c r="BU203">
        <v>0.699999999999999</v>
      </c>
      <c r="BV203">
        <v>0.687499999999999</v>
      </c>
      <c r="BW203">
        <v>0.675</v>
      </c>
      <c r="BX203">
        <v>0.6625</v>
      </c>
      <c r="BY203">
        <v>0.649999999999999</v>
      </c>
      <c r="BZ203">
        <v>0.637499999999999</v>
      </c>
      <c r="CA203">
        <v>0.625</v>
      </c>
      <c r="CB203">
        <v>0.6125</v>
      </c>
      <c r="CC203">
        <v>0.6</v>
      </c>
      <c r="CD203" t="e">
        <v>#VALUE!</v>
      </c>
      <c r="CE203" t="e">
        <v>#VALUE!</v>
      </c>
      <c r="CF203" t="e">
        <v>#VALUE!</v>
      </c>
      <c r="CG203" t="e">
        <v>#VALUE!</v>
      </c>
      <c r="CH203" t="e">
        <v>#VALUE!</v>
      </c>
      <c r="CI203" t="e">
        <v>#VALUE!</v>
      </c>
      <c r="CJ203" t="e">
        <v>#VALUE!</v>
      </c>
      <c r="CK203" t="e">
        <v>#VALUE!</v>
      </c>
    </row>
    <row r="204" spans="1:89">
      <c r="A204" s="34" t="s">
        <v>20</v>
      </c>
      <c r="B204" s="34" t="s">
        <v>448</v>
      </c>
      <c r="C204" s="34" t="s">
        <v>448</v>
      </c>
      <c r="D204" s="34">
        <v>28.296</v>
      </c>
      <c r="E204" s="34">
        <v>29.3782220729134</v>
      </c>
      <c r="F204" s="34"/>
      <c r="G204" s="34">
        <v>35.4658844104725</v>
      </c>
      <c r="H204" s="34">
        <v>38.1487425196904</v>
      </c>
      <c r="I204" s="34">
        <v>40.4691772860081</v>
      </c>
      <c r="J204" s="34">
        <v>43.1398507371754</v>
      </c>
      <c r="K204" s="34">
        <v>46.2874254743419</v>
      </c>
      <c r="L204" s="34">
        <v>49.5677461734989</v>
      </c>
      <c r="M204" s="34">
        <v>52.6173732246464</v>
      </c>
      <c r="N204" s="34">
        <v>55.4403626436467</v>
      </c>
      <c r="O204" s="34">
        <v>57.9982369150633</v>
      </c>
      <c r="P204" s="34">
        <v>60.1111925864411</v>
      </c>
      <c r="Q204" s="34">
        <v>61.7709003704825</v>
      </c>
      <c r="R204" s="34">
        <v>63.0694077404931</v>
      </c>
      <c r="S204" s="34">
        <v>64.1392593004524</v>
      </c>
      <c r="T204" s="34">
        <v>65.0858151410128</v>
      </c>
      <c r="U204" s="34">
        <v>65.9454952735247</v>
      </c>
      <c r="V204" s="34">
        <v>66.6938733764835</v>
      </c>
      <c r="W204" s="34">
        <v>3</v>
      </c>
      <c r="AG204" s="232" t="s">
        <v>449</v>
      </c>
      <c r="AI204">
        <v>1</v>
      </c>
      <c r="AJ204">
        <v>1.04795428773223</v>
      </c>
      <c r="AK204">
        <v>1.32445443702056</v>
      </c>
      <c r="AL204">
        <v>1.45403758530945</v>
      </c>
      <c r="AM204">
        <v>1.57026110732623</v>
      </c>
      <c r="AN204">
        <v>1.70865399425464</v>
      </c>
      <c r="AO204">
        <v>1.87790390671891</v>
      </c>
      <c r="AP204">
        <v>2.06162289765561</v>
      </c>
      <c r="AQ204">
        <v>2.23972038548978</v>
      </c>
      <c r="AR204">
        <v>2.41138305023531</v>
      </c>
      <c r="AS204">
        <v>2.57320842913671</v>
      </c>
      <c r="AT204">
        <v>2.71209069287387</v>
      </c>
      <c r="AU204">
        <v>2.82512092311471</v>
      </c>
      <c r="AV204">
        <v>2.91648683060721</v>
      </c>
      <c r="AW204">
        <v>2.99409091908524</v>
      </c>
      <c r="AX204">
        <v>3.06478894154548</v>
      </c>
      <c r="AY204">
        <v>3.13088035207267</v>
      </c>
      <c r="AZ204">
        <v>3.19009800064636</v>
      </c>
      <c r="BA204">
        <v>0</v>
      </c>
      <c r="BB204">
        <v>0</v>
      </c>
      <c r="BC204">
        <v>0</v>
      </c>
      <c r="BD204">
        <v>0</v>
      </c>
      <c r="BE204">
        <v>0</v>
      </c>
      <c r="BF204">
        <v>0</v>
      </c>
      <c r="BG204">
        <v>0</v>
      </c>
      <c r="BH204">
        <v>0</v>
      </c>
      <c r="BJ204" t="s">
        <v>452</v>
      </c>
      <c r="BL204">
        <v>0.8</v>
      </c>
      <c r="BM204">
        <v>0.797560975609756</v>
      </c>
      <c r="BN204">
        <v>0.785365853658536</v>
      </c>
      <c r="BO204">
        <v>0.773170731707317</v>
      </c>
      <c r="BP204">
        <v>0.760975609756097</v>
      </c>
      <c r="BQ204">
        <v>0.748780487804878</v>
      </c>
      <c r="BR204">
        <v>0.736585365853658</v>
      </c>
      <c r="BS204">
        <v>0.724390243902439</v>
      </c>
      <c r="BT204">
        <v>0.71219512195122</v>
      </c>
      <c r="BU204">
        <v>0.699999999999999</v>
      </c>
      <c r="BV204">
        <v>0.687499999999999</v>
      </c>
      <c r="BW204">
        <v>0.675</v>
      </c>
      <c r="BX204">
        <v>0.6625</v>
      </c>
      <c r="BY204">
        <v>0.649999999999999</v>
      </c>
      <c r="BZ204">
        <v>0.637499999999999</v>
      </c>
      <c r="CA204">
        <v>0.625</v>
      </c>
      <c r="CB204">
        <v>0.6125</v>
      </c>
      <c r="CC204">
        <v>0.6</v>
      </c>
      <c r="CD204" t="e">
        <v>#VALUE!</v>
      </c>
      <c r="CE204" t="e">
        <v>#VALUE!</v>
      </c>
      <c r="CF204" t="e">
        <v>#VALUE!</v>
      </c>
      <c r="CG204" t="e">
        <v>#VALUE!</v>
      </c>
      <c r="CH204" t="e">
        <v>#VALUE!</v>
      </c>
      <c r="CI204" t="e">
        <v>#VALUE!</v>
      </c>
      <c r="CJ204" t="e">
        <v>#VALUE!</v>
      </c>
      <c r="CK204" t="e">
        <v>#VALUE!</v>
      </c>
    </row>
    <row r="205" spans="1:89">
      <c r="A205" s="34" t="s">
        <v>20</v>
      </c>
      <c r="B205" s="34" t="s">
        <v>450</v>
      </c>
      <c r="C205" s="34" t="s">
        <v>450</v>
      </c>
      <c r="D205" s="34">
        <v>11.6</v>
      </c>
      <c r="E205" s="34">
        <v>12.1228293770596</v>
      </c>
      <c r="F205" s="34"/>
      <c r="G205" s="34">
        <v>15.122195693321</v>
      </c>
      <c r="H205" s="34">
        <v>16.6263758913102</v>
      </c>
      <c r="I205" s="34">
        <v>18.0292560329613</v>
      </c>
      <c r="J205" s="34">
        <v>19.6607849726621</v>
      </c>
      <c r="K205" s="34">
        <v>21.5804606891795</v>
      </c>
      <c r="L205" s="34">
        <v>23.616734946386</v>
      </c>
      <c r="M205" s="34">
        <v>25.51096833517</v>
      </c>
      <c r="N205" s="34">
        <v>27.2479735235339</v>
      </c>
      <c r="O205" s="34">
        <v>28.801572776158</v>
      </c>
      <c r="P205" s="34">
        <v>30.1048912048269</v>
      </c>
      <c r="Q205" s="34">
        <v>31.1681453700938</v>
      </c>
      <c r="R205" s="34">
        <v>32.0477038981183</v>
      </c>
      <c r="S205" s="34">
        <v>32.8087648332491</v>
      </c>
      <c r="T205" s="34">
        <v>33.4825871406348</v>
      </c>
      <c r="U205" s="34">
        <v>34.0557576264471</v>
      </c>
      <c r="V205" s="34">
        <v>34.4958540429181</v>
      </c>
      <c r="W205" s="34">
        <v>3</v>
      </c>
      <c r="AG205" s="232" t="s">
        <v>437</v>
      </c>
      <c r="AI205">
        <v>1</v>
      </c>
      <c r="AJ205">
        <v>1.05651166418708</v>
      </c>
      <c r="AK205">
        <v>1.38934575154197</v>
      </c>
      <c r="AL205">
        <v>1.56808500721045</v>
      </c>
      <c r="AM205">
        <v>1.74195387975481</v>
      </c>
      <c r="AN205">
        <v>1.95247666591835</v>
      </c>
      <c r="AO205">
        <v>2.21129186912367</v>
      </c>
      <c r="AP205">
        <v>2.49932937107373</v>
      </c>
      <c r="AQ205">
        <v>2.78080327076667</v>
      </c>
      <c r="AR205">
        <v>3.05129027102921</v>
      </c>
      <c r="AS205">
        <v>3.30434567544223</v>
      </c>
      <c r="AT205">
        <v>3.52586725161997</v>
      </c>
      <c r="AU205">
        <v>3.71383360031657</v>
      </c>
      <c r="AV205">
        <v>3.87506991663274</v>
      </c>
      <c r="AW205">
        <v>4.01942160395414</v>
      </c>
      <c r="AX205">
        <v>4.15150220879485</v>
      </c>
      <c r="AY205">
        <v>4.26753052550673</v>
      </c>
      <c r="AZ205">
        <v>4.35944473827398</v>
      </c>
      <c r="BA205">
        <v>0</v>
      </c>
      <c r="BB205">
        <v>0</v>
      </c>
      <c r="BC205">
        <v>0</v>
      </c>
      <c r="BD205">
        <v>0</v>
      </c>
      <c r="BE205">
        <v>0</v>
      </c>
      <c r="BF205">
        <v>0</v>
      </c>
      <c r="BG205">
        <v>0</v>
      </c>
      <c r="BH205">
        <v>0</v>
      </c>
      <c r="BJ205" t="s">
        <v>452</v>
      </c>
      <c r="BL205">
        <v>0.8</v>
      </c>
      <c r="BM205">
        <v>0.797560975609756</v>
      </c>
      <c r="BN205">
        <v>0.785365853658536</v>
      </c>
      <c r="BO205">
        <v>0.773170731707317</v>
      </c>
      <c r="BP205">
        <v>0.760975609756097</v>
      </c>
      <c r="BQ205">
        <v>0.748780487804878</v>
      </c>
      <c r="BR205">
        <v>0.736585365853658</v>
      </c>
      <c r="BS205">
        <v>0.724390243902439</v>
      </c>
      <c r="BT205">
        <v>0.71219512195122</v>
      </c>
      <c r="BU205">
        <v>0.699999999999999</v>
      </c>
      <c r="BV205">
        <v>0.687499999999999</v>
      </c>
      <c r="BW205">
        <v>0.675</v>
      </c>
      <c r="BX205">
        <v>0.6625</v>
      </c>
      <c r="BY205">
        <v>0.649999999999999</v>
      </c>
      <c r="BZ205">
        <v>0.637499999999999</v>
      </c>
      <c r="CA205">
        <v>0.625</v>
      </c>
      <c r="CB205">
        <v>0.6125</v>
      </c>
      <c r="CC205">
        <v>0.6</v>
      </c>
      <c r="CD205" t="e">
        <v>#VALUE!</v>
      </c>
      <c r="CE205" t="e">
        <v>#VALUE!</v>
      </c>
      <c r="CF205" t="e">
        <v>#VALUE!</v>
      </c>
      <c r="CG205" t="e">
        <v>#VALUE!</v>
      </c>
      <c r="CH205" t="e">
        <v>#VALUE!</v>
      </c>
      <c r="CI205" t="e">
        <v>#VALUE!</v>
      </c>
      <c r="CJ205" t="e">
        <v>#VALUE!</v>
      </c>
      <c r="CK205" t="e">
        <v>#VALUE!</v>
      </c>
    </row>
    <row r="206" spans="1:89">
      <c r="A206" s="34" t="s">
        <v>20</v>
      </c>
      <c r="B206" s="34" t="s">
        <v>451</v>
      </c>
      <c r="C206" s="34" t="s">
        <v>451</v>
      </c>
      <c r="D206" s="34">
        <v>6.28</v>
      </c>
      <c r="E206" s="34">
        <v>6.56304900758054</v>
      </c>
      <c r="F206" s="34"/>
      <c r="G206" s="34">
        <v>8.18684387534964</v>
      </c>
      <c r="H206" s="34">
        <v>9.00117591357138</v>
      </c>
      <c r="I206" s="34">
        <v>9.7606661971549</v>
      </c>
      <c r="J206" s="34">
        <v>10.6439422093377</v>
      </c>
      <c r="K206" s="34">
        <v>11.6832149248316</v>
      </c>
      <c r="L206" s="34">
        <v>12.785611677871</v>
      </c>
      <c r="M206" s="34">
        <v>13.8111104435231</v>
      </c>
      <c r="N206" s="34">
        <v>14.7514891144649</v>
      </c>
      <c r="O206" s="34">
        <v>15.5925756064028</v>
      </c>
      <c r="P206" s="34">
        <v>16.2981652384753</v>
      </c>
      <c r="Q206" s="34">
        <v>16.8737890451887</v>
      </c>
      <c r="R206" s="34">
        <v>17.3499638344985</v>
      </c>
      <c r="S206" s="34">
        <v>17.76198647869</v>
      </c>
      <c r="T206" s="34">
        <v>18.1267799347575</v>
      </c>
      <c r="U206" s="34">
        <v>18.4370825770765</v>
      </c>
      <c r="V206" s="34">
        <v>18.6753416715109</v>
      </c>
      <c r="W206" s="34">
        <v>3</v>
      </c>
      <c r="AG206" s="232" t="s">
        <v>437</v>
      </c>
      <c r="AI206">
        <v>1</v>
      </c>
      <c r="AJ206">
        <v>1.05651166418708</v>
      </c>
      <c r="AK206">
        <v>1.38934575154197</v>
      </c>
      <c r="AL206">
        <v>1.56808500721045</v>
      </c>
      <c r="AM206">
        <v>1.74195387975481</v>
      </c>
      <c r="AN206">
        <v>1.95247666591835</v>
      </c>
      <c r="AO206">
        <v>2.21129186912367</v>
      </c>
      <c r="AP206">
        <v>2.49932937107373</v>
      </c>
      <c r="AQ206">
        <v>2.78080327076667</v>
      </c>
      <c r="AR206">
        <v>3.05129027102921</v>
      </c>
      <c r="AS206">
        <v>3.30434567544223</v>
      </c>
      <c r="AT206">
        <v>3.52586725161997</v>
      </c>
      <c r="AU206">
        <v>3.71383360031657</v>
      </c>
      <c r="AV206">
        <v>3.87506991663274</v>
      </c>
      <c r="AW206">
        <v>4.01942160395414</v>
      </c>
      <c r="AX206">
        <v>4.15150220879485</v>
      </c>
      <c r="AY206">
        <v>4.26753052550673</v>
      </c>
      <c r="AZ206">
        <v>4.35944473827398</v>
      </c>
      <c r="BA206">
        <v>0</v>
      </c>
      <c r="BB206">
        <v>0</v>
      </c>
      <c r="BC206">
        <v>0</v>
      </c>
      <c r="BD206">
        <v>0</v>
      </c>
      <c r="BE206">
        <v>0</v>
      </c>
      <c r="BF206">
        <v>0</v>
      </c>
      <c r="BG206">
        <v>0</v>
      </c>
      <c r="BH206">
        <v>0</v>
      </c>
      <c r="BJ206" t="s">
        <v>452</v>
      </c>
      <c r="BL206">
        <v>0.8</v>
      </c>
      <c r="BM206">
        <v>0.797560975609756</v>
      </c>
      <c r="BN206">
        <v>0.785365853658536</v>
      </c>
      <c r="BO206">
        <v>0.773170731707317</v>
      </c>
      <c r="BP206">
        <v>0.760975609756097</v>
      </c>
      <c r="BQ206">
        <v>0.748780487804878</v>
      </c>
      <c r="BR206">
        <v>0.736585365853658</v>
      </c>
      <c r="BS206">
        <v>0.724390243902439</v>
      </c>
      <c r="BT206">
        <v>0.71219512195122</v>
      </c>
      <c r="BU206">
        <v>0.699999999999999</v>
      </c>
      <c r="BV206">
        <v>0.687499999999999</v>
      </c>
      <c r="BW206">
        <v>0.675</v>
      </c>
      <c r="BX206">
        <v>0.6625</v>
      </c>
      <c r="BY206">
        <v>0.649999999999999</v>
      </c>
      <c r="BZ206">
        <v>0.637499999999999</v>
      </c>
      <c r="CA206">
        <v>0.625</v>
      </c>
      <c r="CB206">
        <v>0.6125</v>
      </c>
      <c r="CC206">
        <v>0.6</v>
      </c>
      <c r="CD206" t="e">
        <v>#VALUE!</v>
      </c>
      <c r="CE206" t="e">
        <v>#VALUE!</v>
      </c>
      <c r="CF206" t="e">
        <v>#VALUE!</v>
      </c>
      <c r="CG206" t="e">
        <v>#VALUE!</v>
      </c>
      <c r="CH206" t="e">
        <v>#VALUE!</v>
      </c>
      <c r="CI206" t="e">
        <v>#VALUE!</v>
      </c>
      <c r="CJ206" t="e">
        <v>#VALUE!</v>
      </c>
      <c r="CK206" t="e">
        <v>#VALUE!</v>
      </c>
    </row>
    <row r="207" spans="1:89">
      <c r="A207" s="34" t="s">
        <v>21</v>
      </c>
      <c r="B207" s="34" t="s">
        <v>436</v>
      </c>
      <c r="C207" s="34" t="s">
        <v>436</v>
      </c>
      <c r="D207" s="34"/>
      <c r="E207" s="34">
        <v>37.6862690821027</v>
      </c>
      <c r="F207" s="34">
        <f xml:space="preserve">E207</f>
        <v>37.6862690821027</v>
      </c>
      <c r="G207" s="34"/>
      <c r="H207" s="34"/>
      <c r="I207" s="34">
        <f xml:space="preserve">F207</f>
        <v>37.6862690821027</v>
      </c>
      <c r="J207" s="34">
        <f xml:space="preserve">I207</f>
        <v>37.6862690821027</v>
      </c>
      <c r="K207" s="34"/>
      <c r="L207" s="34">
        <f xml:space="preserve">J207</f>
        <v>37.6862690821027</v>
      </c>
      <c r="M207" s="34"/>
      <c r="N207" s="34"/>
      <c r="O207" s="34"/>
      <c r="P207" s="34"/>
      <c r="Q207" s="34"/>
      <c r="R207" s="34"/>
      <c r="S207" s="34"/>
      <c r="T207" s="34"/>
      <c r="U207" s="34"/>
      <c r="V207" s="34">
        <f xml:space="preserve">L207</f>
        <v>37.6862690821027</v>
      </c>
      <c r="W207" s="34">
        <v>3</v>
      </c>
      <c r="AG207" s="232" t="s">
        <v>437</v>
      </c>
      <c r="AI207">
        <v>1</v>
      </c>
      <c r="AJ207">
        <v>0.99015492820676</v>
      </c>
      <c r="AK207">
        <v>1.14419479487314</v>
      </c>
      <c r="AL207">
        <v>1.2043160297901</v>
      </c>
      <c r="AM207">
        <v>1.28055143077042</v>
      </c>
      <c r="AN207">
        <v>1.3580064173029</v>
      </c>
      <c r="AO207">
        <v>1.43639707786436</v>
      </c>
      <c r="AP207">
        <v>1.51233848353564</v>
      </c>
      <c r="AQ207">
        <v>1.58431705345552</v>
      </c>
      <c r="AR207">
        <v>1.65118632103046</v>
      </c>
      <c r="AS207">
        <v>1.71349946709724</v>
      </c>
      <c r="AT207">
        <v>1.76981137924015</v>
      </c>
      <c r="AU207">
        <v>1.82082248919626</v>
      </c>
      <c r="AV207">
        <v>1.86823700281963</v>
      </c>
      <c r="AW207">
        <v>1.9122383160877</v>
      </c>
      <c r="AX207">
        <v>1.95140645698237</v>
      </c>
      <c r="AY207">
        <v>1.98389917768614</v>
      </c>
      <c r="AZ207">
        <v>2.00724360238581</v>
      </c>
      <c r="BA207">
        <v>0</v>
      </c>
      <c r="BB207">
        <v>0</v>
      </c>
      <c r="BC207">
        <v>0</v>
      </c>
      <c r="BD207">
        <v>0</v>
      </c>
      <c r="BE207">
        <v>0</v>
      </c>
      <c r="BF207">
        <v>0</v>
      </c>
      <c r="BG207">
        <v>0</v>
      </c>
      <c r="BH207">
        <v>0</v>
      </c>
      <c r="BJ207" t="s">
        <v>452</v>
      </c>
      <c r="BL207">
        <v>0.8</v>
      </c>
      <c r="BM207">
        <v>0.797560975609756</v>
      </c>
      <c r="BN207">
        <v>0.785365853658536</v>
      </c>
      <c r="BO207">
        <v>0.773170731707317</v>
      </c>
      <c r="BP207">
        <v>0.760975609756097</v>
      </c>
      <c r="BQ207">
        <v>0.748780487804878</v>
      </c>
      <c r="BR207">
        <v>0.736585365853658</v>
      </c>
      <c r="BS207">
        <v>0.724390243902439</v>
      </c>
      <c r="BT207">
        <v>0.71219512195122</v>
      </c>
      <c r="BU207">
        <v>0.699999999999999</v>
      </c>
      <c r="BV207">
        <v>0.687499999999999</v>
      </c>
      <c r="BW207">
        <v>0.675</v>
      </c>
      <c r="BX207">
        <v>0.6625</v>
      </c>
      <c r="BY207">
        <v>0.649999999999999</v>
      </c>
      <c r="BZ207">
        <v>0.637499999999999</v>
      </c>
      <c r="CA207">
        <v>0.625</v>
      </c>
      <c r="CB207">
        <v>0.6125</v>
      </c>
      <c r="CC207">
        <v>0.6</v>
      </c>
      <c r="CD207" t="e">
        <v>#VALUE!</v>
      </c>
      <c r="CE207" t="e">
        <v>#VALUE!</v>
      </c>
      <c r="CF207" t="e">
        <v>#VALUE!</v>
      </c>
      <c r="CG207" t="e">
        <v>#VALUE!</v>
      </c>
      <c r="CH207" t="e">
        <v>#VALUE!</v>
      </c>
      <c r="CI207" t="e">
        <v>#VALUE!</v>
      </c>
      <c r="CJ207" t="e">
        <v>#VALUE!</v>
      </c>
      <c r="CK207" t="e">
        <v>#VALUE!</v>
      </c>
    </row>
    <row r="208" spans="1:89">
      <c r="A208" s="34" t="s">
        <v>21</v>
      </c>
      <c r="B208" s="34" t="s">
        <v>439</v>
      </c>
      <c r="C208" s="34" t="s">
        <v>439</v>
      </c>
      <c r="D208" s="34"/>
      <c r="E208" s="34">
        <v>171.695546898346</v>
      </c>
      <c r="F208" s="34">
        <f xml:space="preserve">E208</f>
        <v>171.695546898346</v>
      </c>
      <c r="G208" s="34"/>
      <c r="H208" s="34"/>
      <c r="I208" s="34">
        <f xml:space="preserve">F208</f>
        <v>171.695546898346</v>
      </c>
      <c r="J208" s="34">
        <f xml:space="preserve">I208</f>
        <v>171.695546898346</v>
      </c>
      <c r="K208" s="34"/>
      <c r="L208" s="34">
        <f xml:space="preserve">J208</f>
        <v>171.695546898346</v>
      </c>
      <c r="M208" s="34"/>
      <c r="N208" s="34"/>
      <c r="O208" s="34"/>
      <c r="P208" s="34"/>
      <c r="Q208" s="34"/>
      <c r="R208" s="34"/>
      <c r="S208" s="34"/>
      <c r="T208" s="34"/>
      <c r="U208" s="34"/>
      <c r="V208" s="34">
        <f xml:space="preserve">L208</f>
        <v>171.695546898346</v>
      </c>
      <c r="W208" s="34">
        <v>3</v>
      </c>
      <c r="AG208" s="232" t="s">
        <v>437</v>
      </c>
      <c r="AI208">
        <v>1</v>
      </c>
      <c r="AJ208">
        <v>0.99015492820676</v>
      </c>
      <c r="AK208">
        <v>1.14419479487314</v>
      </c>
      <c r="AL208">
        <v>1.2043160297901</v>
      </c>
      <c r="AM208">
        <v>1.28055143077042</v>
      </c>
      <c r="AN208">
        <v>1.3580064173029</v>
      </c>
      <c r="AO208">
        <v>1.43639707786436</v>
      </c>
      <c r="AP208">
        <v>1.51233848353564</v>
      </c>
      <c r="AQ208">
        <v>1.58431705345552</v>
      </c>
      <c r="AR208">
        <v>1.65118632103046</v>
      </c>
      <c r="AS208">
        <v>1.71349946709724</v>
      </c>
      <c r="AT208">
        <v>1.76981137924015</v>
      </c>
      <c r="AU208">
        <v>1.82082248919626</v>
      </c>
      <c r="AV208">
        <v>1.86823700281963</v>
      </c>
      <c r="AW208">
        <v>1.9122383160877</v>
      </c>
      <c r="AX208">
        <v>1.95140645698237</v>
      </c>
      <c r="AY208">
        <v>1.98389917768614</v>
      </c>
      <c r="AZ208">
        <v>2.00724360238581</v>
      </c>
      <c r="BA208">
        <v>0</v>
      </c>
      <c r="BB208">
        <v>0</v>
      </c>
      <c r="BC208">
        <v>0</v>
      </c>
      <c r="BD208">
        <v>0</v>
      </c>
      <c r="BE208">
        <v>0</v>
      </c>
      <c r="BF208">
        <v>0</v>
      </c>
      <c r="BG208">
        <v>0</v>
      </c>
      <c r="BH208">
        <v>0</v>
      </c>
      <c r="BJ208" t="s">
        <v>452</v>
      </c>
      <c r="BL208">
        <v>0.8</v>
      </c>
      <c r="BM208">
        <v>0.797560975609756</v>
      </c>
      <c r="BN208">
        <v>0.785365853658536</v>
      </c>
      <c r="BO208">
        <v>0.773170731707317</v>
      </c>
      <c r="BP208">
        <v>0.760975609756097</v>
      </c>
      <c r="BQ208">
        <v>0.748780487804878</v>
      </c>
      <c r="BR208">
        <v>0.736585365853658</v>
      </c>
      <c r="BS208">
        <v>0.724390243902439</v>
      </c>
      <c r="BT208">
        <v>0.71219512195122</v>
      </c>
      <c r="BU208">
        <v>0.699999999999999</v>
      </c>
      <c r="BV208">
        <v>0.687499999999999</v>
      </c>
      <c r="BW208">
        <v>0.675</v>
      </c>
      <c r="BX208">
        <v>0.6625</v>
      </c>
      <c r="BY208">
        <v>0.649999999999999</v>
      </c>
      <c r="BZ208">
        <v>0.637499999999999</v>
      </c>
      <c r="CA208">
        <v>0.625</v>
      </c>
      <c r="CB208">
        <v>0.6125</v>
      </c>
      <c r="CC208">
        <v>0.6</v>
      </c>
      <c r="CD208" t="e">
        <v>#VALUE!</v>
      </c>
      <c r="CE208" t="e">
        <v>#VALUE!</v>
      </c>
      <c r="CF208" t="e">
        <v>#VALUE!</v>
      </c>
      <c r="CG208" t="e">
        <v>#VALUE!</v>
      </c>
      <c r="CH208" t="e">
        <v>#VALUE!</v>
      </c>
      <c r="CI208" t="e">
        <v>#VALUE!</v>
      </c>
      <c r="CJ208" t="e">
        <v>#VALUE!</v>
      </c>
      <c r="CK208" t="e">
        <v>#VALUE!</v>
      </c>
    </row>
    <row r="209" spans="1:89">
      <c r="A209" s="34" t="s">
        <v>21</v>
      </c>
      <c r="B209" s="34" t="s">
        <v>440</v>
      </c>
      <c r="C209" s="34" t="s">
        <v>440</v>
      </c>
      <c r="D209" s="34"/>
      <c r="E209" s="34">
        <v>1.63567528506496</v>
      </c>
      <c r="F209" s="34"/>
      <c r="G209" s="34"/>
      <c r="H209" s="34"/>
      <c r="I209" s="34">
        <v>2.00210413796029</v>
      </c>
      <c r="J209" s="34">
        <v>2.09278038542612</v>
      </c>
      <c r="K209" s="34"/>
      <c r="L209" s="34">
        <v>2.26532114634834</v>
      </c>
      <c r="M209" s="34"/>
      <c r="N209" s="34"/>
      <c r="O209" s="34"/>
      <c r="P209" s="34"/>
      <c r="Q209" s="34"/>
      <c r="R209" s="34"/>
      <c r="S209" s="34"/>
      <c r="T209" s="34"/>
      <c r="U209" s="34"/>
      <c r="V209" s="34">
        <v>2.74074096644458</v>
      </c>
      <c r="W209" s="34">
        <v>3</v>
      </c>
      <c r="AG209" s="232" t="s">
        <v>437</v>
      </c>
      <c r="AI209">
        <v>1</v>
      </c>
      <c r="AJ209">
        <v>0.99015492820676</v>
      </c>
      <c r="AK209">
        <v>1.14419479487314</v>
      </c>
      <c r="AL209">
        <v>1.2043160297901</v>
      </c>
      <c r="AM209">
        <v>1.28055143077042</v>
      </c>
      <c r="AN209">
        <v>1.3580064173029</v>
      </c>
      <c r="AO209">
        <v>1.43639707786436</v>
      </c>
      <c r="AP209">
        <v>1.51233848353564</v>
      </c>
      <c r="AQ209">
        <v>1.58431705345552</v>
      </c>
      <c r="AR209">
        <v>1.65118632103046</v>
      </c>
      <c r="AS209">
        <v>1.71349946709724</v>
      </c>
      <c r="AT209">
        <v>1.76981137924015</v>
      </c>
      <c r="AU209">
        <v>1.82082248919626</v>
      </c>
      <c r="AV209">
        <v>1.86823700281963</v>
      </c>
      <c r="AW209">
        <v>1.9122383160877</v>
      </c>
      <c r="AX209">
        <v>1.95140645698237</v>
      </c>
      <c r="AY209">
        <v>1.98389917768614</v>
      </c>
      <c r="AZ209">
        <v>2.00724360238581</v>
      </c>
      <c r="BA209">
        <v>0</v>
      </c>
      <c r="BB209">
        <v>0</v>
      </c>
      <c r="BC209">
        <v>0</v>
      </c>
      <c r="BD209">
        <v>0</v>
      </c>
      <c r="BE209">
        <v>0</v>
      </c>
      <c r="BF209">
        <v>0</v>
      </c>
      <c r="BG209">
        <v>0</v>
      </c>
      <c r="BH209">
        <v>0</v>
      </c>
      <c r="BJ209" t="s">
        <v>452</v>
      </c>
      <c r="BL209">
        <v>0.8</v>
      </c>
      <c r="BM209">
        <v>0.797560975609756</v>
      </c>
      <c r="BN209">
        <v>0.785365853658536</v>
      </c>
      <c r="BO209">
        <v>0.773170731707317</v>
      </c>
      <c r="BP209">
        <v>0.760975609756097</v>
      </c>
      <c r="BQ209">
        <v>0.748780487804878</v>
      </c>
      <c r="BR209">
        <v>0.736585365853658</v>
      </c>
      <c r="BS209">
        <v>0.724390243902439</v>
      </c>
      <c r="BT209">
        <v>0.71219512195122</v>
      </c>
      <c r="BU209">
        <v>0.699999999999999</v>
      </c>
      <c r="BV209">
        <v>0.687499999999999</v>
      </c>
      <c r="BW209">
        <v>0.675</v>
      </c>
      <c r="BX209">
        <v>0.6625</v>
      </c>
      <c r="BY209">
        <v>0.649999999999999</v>
      </c>
      <c r="BZ209">
        <v>0.637499999999999</v>
      </c>
      <c r="CA209">
        <v>0.625</v>
      </c>
      <c r="CB209">
        <v>0.6125</v>
      </c>
      <c r="CC209">
        <v>0.6</v>
      </c>
      <c r="CD209" t="e">
        <v>#VALUE!</v>
      </c>
      <c r="CE209" t="e">
        <v>#VALUE!</v>
      </c>
      <c r="CF209" t="e">
        <v>#VALUE!</v>
      </c>
      <c r="CG209" t="e">
        <v>#VALUE!</v>
      </c>
      <c r="CH209" t="e">
        <v>#VALUE!</v>
      </c>
      <c r="CI209" t="e">
        <v>#VALUE!</v>
      </c>
      <c r="CJ209" t="e">
        <v>#VALUE!</v>
      </c>
      <c r="CK209" t="e">
        <v>#VALUE!</v>
      </c>
    </row>
    <row r="210" spans="1:89">
      <c r="A210" s="34" t="s">
        <v>21</v>
      </c>
      <c r="B210" s="34" t="s">
        <v>441</v>
      </c>
      <c r="C210" s="34" t="s">
        <v>441</v>
      </c>
      <c r="D210" s="34"/>
      <c r="E210" s="34">
        <v>20.1251585840136</v>
      </c>
      <c r="F210" s="34"/>
      <c r="G210" s="34"/>
      <c r="H210" s="34"/>
      <c r="I210" s="34">
        <v>19.5799173646443</v>
      </c>
      <c r="J210" s="34">
        <v>19.4340318121154</v>
      </c>
      <c r="K210" s="34"/>
      <c r="L210" s="34">
        <v>19.1689954097244</v>
      </c>
      <c r="M210" s="34"/>
      <c r="N210" s="34"/>
      <c r="O210" s="34"/>
      <c r="P210" s="34"/>
      <c r="Q210" s="34"/>
      <c r="R210" s="34"/>
      <c r="S210" s="34"/>
      <c r="T210" s="34"/>
      <c r="U210" s="34"/>
      <c r="V210" s="34">
        <v>17.2937393473289</v>
      </c>
      <c r="W210" s="34">
        <v>3</v>
      </c>
      <c r="AG210" s="232" t="s">
        <v>442</v>
      </c>
      <c r="AI210">
        <v>1</v>
      </c>
      <c r="AJ210">
        <v>0.997668689508291</v>
      </c>
      <c r="AK210">
        <v>0.986012137049744</v>
      </c>
      <c r="AL210">
        <v>0.97374127083826</v>
      </c>
      <c r="AM210">
        <v>0.962810294293591</v>
      </c>
      <c r="AN210">
        <v>0.953229806181516</v>
      </c>
      <c r="AO210">
        <v>0.944289937992211</v>
      </c>
      <c r="AP210">
        <v>0.935456339430984</v>
      </c>
      <c r="AQ210">
        <v>0.9231460803107</v>
      </c>
      <c r="AR210">
        <v>0.907886312390298</v>
      </c>
      <c r="AS210">
        <v>0.890595329986751</v>
      </c>
      <c r="AT210">
        <v>0.87401194374418</v>
      </c>
      <c r="AU210">
        <v>0.859963702660613</v>
      </c>
      <c r="AV210">
        <v>0.8485952077377</v>
      </c>
      <c r="AW210">
        <v>0.838394816226259</v>
      </c>
      <c r="AX210">
        <v>0.827402486262789</v>
      </c>
      <c r="AY210">
        <v>0.814508150557037</v>
      </c>
      <c r="AZ210">
        <v>0.799364007043897</v>
      </c>
      <c r="BA210">
        <v>0</v>
      </c>
      <c r="BB210">
        <v>0</v>
      </c>
      <c r="BC210">
        <v>0</v>
      </c>
      <c r="BD210">
        <v>0</v>
      </c>
      <c r="BE210">
        <v>0</v>
      </c>
      <c r="BF210">
        <v>0</v>
      </c>
      <c r="BG210">
        <v>0</v>
      </c>
      <c r="BH210">
        <v>0</v>
      </c>
      <c r="BJ210" t="s">
        <v>452</v>
      </c>
      <c r="BL210">
        <v>0.8</v>
      </c>
      <c r="BM210">
        <v>0.797560975609756</v>
      </c>
      <c r="BN210">
        <v>0.785365853658536</v>
      </c>
      <c r="BO210">
        <v>0.773170731707317</v>
      </c>
      <c r="BP210">
        <v>0.760975609756097</v>
      </c>
      <c r="BQ210">
        <v>0.748780487804878</v>
      </c>
      <c r="BR210">
        <v>0.736585365853658</v>
      </c>
      <c r="BS210">
        <v>0.724390243902439</v>
      </c>
      <c r="BT210">
        <v>0.71219512195122</v>
      </c>
      <c r="BU210">
        <v>0.699999999999999</v>
      </c>
      <c r="BV210">
        <v>0.687499999999999</v>
      </c>
      <c r="BW210">
        <v>0.675</v>
      </c>
      <c r="BX210">
        <v>0.6625</v>
      </c>
      <c r="BY210">
        <v>0.649999999999999</v>
      </c>
      <c r="BZ210">
        <v>0.637499999999999</v>
      </c>
      <c r="CA210">
        <v>0.625</v>
      </c>
      <c r="CB210">
        <v>0.6125</v>
      </c>
      <c r="CC210">
        <v>0.6</v>
      </c>
      <c r="CD210" t="e">
        <v>#VALUE!</v>
      </c>
      <c r="CE210" t="e">
        <v>#VALUE!</v>
      </c>
      <c r="CF210" t="e">
        <v>#VALUE!</v>
      </c>
      <c r="CG210" t="e">
        <v>#VALUE!</v>
      </c>
      <c r="CH210" t="e">
        <v>#VALUE!</v>
      </c>
      <c r="CI210" t="e">
        <v>#VALUE!</v>
      </c>
      <c r="CJ210" t="e">
        <v>#VALUE!</v>
      </c>
      <c r="CK210" t="e">
        <v>#VALUE!</v>
      </c>
    </row>
    <row r="211" spans="1:89">
      <c r="A211" s="34" t="s">
        <v>21</v>
      </c>
      <c r="B211" s="34" t="s">
        <v>443</v>
      </c>
      <c r="C211" s="34" t="s">
        <v>443</v>
      </c>
      <c r="D211" s="34"/>
      <c r="E211" s="34">
        <v>25.7362823995911</v>
      </c>
      <c r="F211" s="34">
        <f xml:space="preserve">E211</f>
        <v>25.7362823995911</v>
      </c>
      <c r="G211" s="34"/>
      <c r="H211" s="34"/>
      <c r="I211" s="34">
        <f xml:space="preserve">F211</f>
        <v>25.7362823995911</v>
      </c>
      <c r="J211" s="34">
        <f xml:space="preserve">I211</f>
        <v>25.7362823995911</v>
      </c>
      <c r="K211" s="34"/>
      <c r="L211" s="34">
        <f xml:space="preserve">J211</f>
        <v>25.7362823995911</v>
      </c>
      <c r="M211" s="34"/>
      <c r="N211" s="34"/>
      <c r="O211" s="34"/>
      <c r="P211" s="34"/>
      <c r="Q211" s="34"/>
      <c r="R211" s="34"/>
      <c r="S211" s="34"/>
      <c r="T211" s="34"/>
      <c r="U211" s="34"/>
      <c r="V211" s="34">
        <f xml:space="preserve">L211</f>
        <v>25.7362823995911</v>
      </c>
      <c r="W211" s="34">
        <v>3</v>
      </c>
      <c r="AG211" s="232" t="s">
        <v>437</v>
      </c>
      <c r="AI211">
        <v>1</v>
      </c>
      <c r="AJ211">
        <v>0.99015492820676</v>
      </c>
      <c r="AK211">
        <v>1.14419479487314</v>
      </c>
      <c r="AL211">
        <v>1.2043160297901</v>
      </c>
      <c r="AM211">
        <v>1.28055143077042</v>
      </c>
      <c r="AN211">
        <v>1.3580064173029</v>
      </c>
      <c r="AO211">
        <v>1.43639707786436</v>
      </c>
      <c r="AP211">
        <v>1.51233848353564</v>
      </c>
      <c r="AQ211">
        <v>1.58431705345552</v>
      </c>
      <c r="AR211">
        <v>1.65118632103046</v>
      </c>
      <c r="AS211">
        <v>1.71349946709724</v>
      </c>
      <c r="AT211">
        <v>1.76981137924015</v>
      </c>
      <c r="AU211">
        <v>1.82082248919626</v>
      </c>
      <c r="AV211">
        <v>1.86823700281963</v>
      </c>
      <c r="AW211">
        <v>1.9122383160877</v>
      </c>
      <c r="AX211">
        <v>1.95140645698237</v>
      </c>
      <c r="AY211">
        <v>1.98389917768614</v>
      </c>
      <c r="AZ211">
        <v>2.00724360238581</v>
      </c>
      <c r="BA211">
        <v>0</v>
      </c>
      <c r="BB211">
        <v>0</v>
      </c>
      <c r="BC211">
        <v>0</v>
      </c>
      <c r="BD211">
        <v>0</v>
      </c>
      <c r="BE211">
        <v>0</v>
      </c>
      <c r="BF211">
        <v>0</v>
      </c>
      <c r="BG211">
        <v>0</v>
      </c>
      <c r="BH211">
        <v>0</v>
      </c>
      <c r="BJ211" t="s">
        <v>452</v>
      </c>
      <c r="BL211">
        <v>0.8</v>
      </c>
      <c r="BM211">
        <v>0.797560975609756</v>
      </c>
      <c r="BN211">
        <v>0.785365853658536</v>
      </c>
      <c r="BO211">
        <v>0.773170731707317</v>
      </c>
      <c r="BP211">
        <v>0.760975609756097</v>
      </c>
      <c r="BQ211">
        <v>0.748780487804878</v>
      </c>
      <c r="BR211">
        <v>0.736585365853658</v>
      </c>
      <c r="BS211">
        <v>0.724390243902439</v>
      </c>
      <c r="BT211">
        <v>0.71219512195122</v>
      </c>
      <c r="BU211">
        <v>0.699999999999999</v>
      </c>
      <c r="BV211">
        <v>0.687499999999999</v>
      </c>
      <c r="BW211">
        <v>0.675</v>
      </c>
      <c r="BX211">
        <v>0.6625</v>
      </c>
      <c r="BY211">
        <v>0.649999999999999</v>
      </c>
      <c r="BZ211">
        <v>0.637499999999999</v>
      </c>
      <c r="CA211">
        <v>0.625</v>
      </c>
      <c r="CB211">
        <v>0.6125</v>
      </c>
      <c r="CC211">
        <v>0.6</v>
      </c>
      <c r="CD211" t="e">
        <v>#VALUE!</v>
      </c>
      <c r="CE211" t="e">
        <v>#VALUE!</v>
      </c>
      <c r="CF211" t="e">
        <v>#VALUE!</v>
      </c>
      <c r="CG211" t="e">
        <v>#VALUE!</v>
      </c>
      <c r="CH211" t="e">
        <v>#VALUE!</v>
      </c>
      <c r="CI211" t="e">
        <v>#VALUE!</v>
      </c>
      <c r="CJ211" t="e">
        <v>#VALUE!</v>
      </c>
      <c r="CK211" t="e">
        <v>#VALUE!</v>
      </c>
    </row>
    <row r="212" spans="1:89">
      <c r="A212" s="34" t="s">
        <v>21</v>
      </c>
      <c r="B212" s="34" t="s">
        <v>444</v>
      </c>
      <c r="C212" s="34" t="s">
        <v>444</v>
      </c>
      <c r="D212" s="34"/>
      <c r="E212" s="34">
        <v>204.212343478537</v>
      </c>
      <c r="F212" s="34">
        <f xml:space="preserve">E212</f>
        <v>204.212343478537</v>
      </c>
      <c r="G212" s="34"/>
      <c r="H212" s="34"/>
      <c r="I212" s="34">
        <f xml:space="preserve">F212</f>
        <v>204.212343478537</v>
      </c>
      <c r="J212" s="34">
        <f xml:space="preserve">I212</f>
        <v>204.212343478537</v>
      </c>
      <c r="K212" s="34"/>
      <c r="L212" s="34">
        <f xml:space="preserve">J212</f>
        <v>204.212343478537</v>
      </c>
      <c r="M212" s="34"/>
      <c r="N212" s="34"/>
      <c r="O212" s="34"/>
      <c r="P212" s="34"/>
      <c r="Q212" s="34"/>
      <c r="R212" s="34"/>
      <c r="S212" s="34"/>
      <c r="T212" s="34"/>
      <c r="U212" s="34"/>
      <c r="V212" s="34">
        <f xml:space="preserve">L212</f>
        <v>204.212343478537</v>
      </c>
      <c r="W212" s="34">
        <v>3</v>
      </c>
      <c r="AG212" s="232" t="s">
        <v>437</v>
      </c>
      <c r="AI212">
        <v>1</v>
      </c>
      <c r="AJ212">
        <v>0.99015492820676</v>
      </c>
      <c r="AK212">
        <v>1.14419479487314</v>
      </c>
      <c r="AL212">
        <v>1.2043160297901</v>
      </c>
      <c r="AM212">
        <v>1.28055143077042</v>
      </c>
      <c r="AN212">
        <v>1.3580064173029</v>
      </c>
      <c r="AO212">
        <v>1.43639707786436</v>
      </c>
      <c r="AP212">
        <v>1.51233848353564</v>
      </c>
      <c r="AQ212">
        <v>1.58431705345552</v>
      </c>
      <c r="AR212">
        <v>1.65118632103046</v>
      </c>
      <c r="AS212">
        <v>1.71349946709724</v>
      </c>
      <c r="AT212">
        <v>1.76981137924015</v>
      </c>
      <c r="AU212">
        <v>1.82082248919626</v>
      </c>
      <c r="AV212">
        <v>1.86823700281963</v>
      </c>
      <c r="AW212">
        <v>1.9122383160877</v>
      </c>
      <c r="AX212">
        <v>1.95140645698237</v>
      </c>
      <c r="AY212">
        <v>1.98389917768614</v>
      </c>
      <c r="AZ212">
        <v>2.00724360238581</v>
      </c>
      <c r="BA212">
        <v>0</v>
      </c>
      <c r="BB212">
        <v>0</v>
      </c>
      <c r="BC212">
        <v>0</v>
      </c>
      <c r="BD212">
        <v>0</v>
      </c>
      <c r="BE212">
        <v>0</v>
      </c>
      <c r="BF212">
        <v>0</v>
      </c>
      <c r="BG212">
        <v>0</v>
      </c>
      <c r="BH212">
        <v>0</v>
      </c>
      <c r="BJ212" t="s">
        <v>452</v>
      </c>
      <c r="BL212">
        <v>0.8</v>
      </c>
      <c r="BM212">
        <v>0.797560975609756</v>
      </c>
      <c r="BN212">
        <v>0.785365853658536</v>
      </c>
      <c r="BO212">
        <v>0.773170731707317</v>
      </c>
      <c r="BP212">
        <v>0.760975609756097</v>
      </c>
      <c r="BQ212">
        <v>0.748780487804878</v>
      </c>
      <c r="BR212">
        <v>0.736585365853658</v>
      </c>
      <c r="BS212">
        <v>0.724390243902439</v>
      </c>
      <c r="BT212">
        <v>0.71219512195122</v>
      </c>
      <c r="BU212">
        <v>0.699999999999999</v>
      </c>
      <c r="BV212">
        <v>0.687499999999999</v>
      </c>
      <c r="BW212">
        <v>0.675</v>
      </c>
      <c r="BX212">
        <v>0.6625</v>
      </c>
      <c r="BY212">
        <v>0.649999999999999</v>
      </c>
      <c r="BZ212">
        <v>0.637499999999999</v>
      </c>
      <c r="CA212">
        <v>0.625</v>
      </c>
      <c r="CB212">
        <v>0.6125</v>
      </c>
      <c r="CC212">
        <v>0.6</v>
      </c>
      <c r="CD212" t="e">
        <v>#VALUE!</v>
      </c>
      <c r="CE212" t="e">
        <v>#VALUE!</v>
      </c>
      <c r="CF212" t="e">
        <v>#VALUE!</v>
      </c>
      <c r="CG212" t="e">
        <v>#VALUE!</v>
      </c>
      <c r="CH212" t="e">
        <v>#VALUE!</v>
      </c>
      <c r="CI212" t="e">
        <v>#VALUE!</v>
      </c>
      <c r="CJ212" t="e">
        <v>#VALUE!</v>
      </c>
      <c r="CK212" t="e">
        <v>#VALUE!</v>
      </c>
    </row>
    <row r="213" spans="1:89">
      <c r="A213" s="34" t="s">
        <v>21</v>
      </c>
      <c r="B213" s="34" t="s">
        <v>445</v>
      </c>
      <c r="C213" s="34" t="s">
        <v>445</v>
      </c>
      <c r="D213" s="34">
        <v>1.568</v>
      </c>
      <c r="E213" s="34">
        <v>1.5650845199603</v>
      </c>
      <c r="F213" s="34"/>
      <c r="G213" s="34">
        <v>1.55072322537602</v>
      </c>
      <c r="H213" s="34">
        <v>1.53580206297745</v>
      </c>
      <c r="I213" s="34">
        <v>1.52268243957336</v>
      </c>
      <c r="J213" s="34">
        <v>1.51133727580754</v>
      </c>
      <c r="K213" s="34">
        <v>1.50089685551557</v>
      </c>
      <c r="L213" s="34">
        <v>1.49072604092576</v>
      </c>
      <c r="M213" s="34">
        <v>1.47675462232438</v>
      </c>
      <c r="N213" s="34">
        <v>1.4596669118256</v>
      </c>
      <c r="O213" s="34">
        <v>1.44055453646726</v>
      </c>
      <c r="P213" s="34">
        <v>1.42244837955489</v>
      </c>
      <c r="Q213" s="34">
        <v>1.40730136713245</v>
      </c>
      <c r="R213" s="34">
        <v>1.39520866605851</v>
      </c>
      <c r="S213" s="34">
        <v>1.38451724039829</v>
      </c>
      <c r="T213" s="34">
        <v>1.37317184705554</v>
      </c>
      <c r="U213" s="34">
        <v>1.36006455020624</v>
      </c>
      <c r="V213" s="34">
        <v>1.34489194863949</v>
      </c>
      <c r="W213" s="34">
        <v>3</v>
      </c>
      <c r="AG213" s="232" t="s">
        <v>442</v>
      </c>
      <c r="AI213">
        <v>1</v>
      </c>
      <c r="AJ213">
        <v>0.997668689508291</v>
      </c>
      <c r="AK213">
        <v>0.986012137049744</v>
      </c>
      <c r="AL213">
        <v>0.97374127083826</v>
      </c>
      <c r="AM213">
        <v>0.962810294293591</v>
      </c>
      <c r="AN213">
        <v>0.953229806181516</v>
      </c>
      <c r="AO213">
        <v>0.944289937992211</v>
      </c>
      <c r="AP213">
        <v>0.935456339430984</v>
      </c>
      <c r="AQ213">
        <v>0.9231460803107</v>
      </c>
      <c r="AR213">
        <v>0.907886312390298</v>
      </c>
      <c r="AS213">
        <v>0.890595329986751</v>
      </c>
      <c r="AT213">
        <v>0.87401194374418</v>
      </c>
      <c r="AU213">
        <v>0.859963702660613</v>
      </c>
      <c r="AV213">
        <v>0.8485952077377</v>
      </c>
      <c r="AW213">
        <v>0.838394816226259</v>
      </c>
      <c r="AX213">
        <v>0.827402486262789</v>
      </c>
      <c r="AY213">
        <v>0.814508150557037</v>
      </c>
      <c r="AZ213">
        <v>0.799364007043897</v>
      </c>
      <c r="BA213">
        <v>0</v>
      </c>
      <c r="BB213">
        <v>0</v>
      </c>
      <c r="BC213">
        <v>0</v>
      </c>
      <c r="BD213">
        <v>0</v>
      </c>
      <c r="BE213">
        <v>0</v>
      </c>
      <c r="BF213">
        <v>0</v>
      </c>
      <c r="BG213">
        <v>0</v>
      </c>
      <c r="BH213">
        <v>0</v>
      </c>
      <c r="BJ213" t="s">
        <v>452</v>
      </c>
      <c r="BL213">
        <v>0.8</v>
      </c>
      <c r="BM213">
        <v>0.797560975609756</v>
      </c>
      <c r="BN213">
        <v>0.785365853658536</v>
      </c>
      <c r="BO213">
        <v>0.773170731707317</v>
      </c>
      <c r="BP213">
        <v>0.760975609756097</v>
      </c>
      <c r="BQ213">
        <v>0.748780487804878</v>
      </c>
      <c r="BR213">
        <v>0.736585365853658</v>
      </c>
      <c r="BS213">
        <v>0.724390243902439</v>
      </c>
      <c r="BT213">
        <v>0.71219512195122</v>
      </c>
      <c r="BU213">
        <v>0.699999999999999</v>
      </c>
      <c r="BV213">
        <v>0.687499999999999</v>
      </c>
      <c r="BW213">
        <v>0.675</v>
      </c>
      <c r="BX213">
        <v>0.6625</v>
      </c>
      <c r="BY213">
        <v>0.649999999999999</v>
      </c>
      <c r="BZ213">
        <v>0.637499999999999</v>
      </c>
      <c r="CA213">
        <v>0.625</v>
      </c>
      <c r="CB213">
        <v>0.6125</v>
      </c>
      <c r="CC213">
        <v>0.6</v>
      </c>
      <c r="CD213" t="e">
        <v>#VALUE!</v>
      </c>
      <c r="CE213" t="e">
        <v>#VALUE!</v>
      </c>
      <c r="CF213" t="e">
        <v>#VALUE!</v>
      </c>
      <c r="CG213" t="e">
        <v>#VALUE!</v>
      </c>
      <c r="CH213" t="e">
        <v>#VALUE!</v>
      </c>
      <c r="CI213" t="e">
        <v>#VALUE!</v>
      </c>
      <c r="CJ213" t="e">
        <v>#VALUE!</v>
      </c>
      <c r="CK213" t="e">
        <v>#VALUE!</v>
      </c>
    </row>
    <row r="214" spans="1:89">
      <c r="A214" s="34" t="s">
        <v>21</v>
      </c>
      <c r="B214" s="34" t="s">
        <v>446</v>
      </c>
      <c r="C214" s="34" t="s">
        <v>446</v>
      </c>
      <c r="D214" s="34">
        <v>0.93</v>
      </c>
      <c r="E214" s="34">
        <v>0.928270793088699</v>
      </c>
      <c r="F214" s="34"/>
      <c r="G214" s="34">
        <v>0.919752933418177</v>
      </c>
      <c r="H214" s="34">
        <v>0.910903009291471</v>
      </c>
      <c r="I214" s="34">
        <v>0.903121600002058</v>
      </c>
      <c r="J214" s="34">
        <v>0.896392644452174</v>
      </c>
      <c r="K214" s="34">
        <v>0.890200303335125</v>
      </c>
      <c r="L214" s="34">
        <v>0.884167868661323</v>
      </c>
      <c r="M214" s="34">
        <v>0.875881249210251</v>
      </c>
      <c r="N214" s="34">
        <v>0.865746318876151</v>
      </c>
      <c r="O214" s="34">
        <v>0.854410535022036</v>
      </c>
      <c r="P214" s="34">
        <v>0.843671551649266</v>
      </c>
      <c r="Q214" s="34">
        <v>0.834687673107893</v>
      </c>
      <c r="R214" s="34">
        <v>0.827515344027047</v>
      </c>
      <c r="S214" s="34">
        <v>0.821174128552556</v>
      </c>
      <c r="T214" s="34">
        <v>0.814445036837789</v>
      </c>
      <c r="U214" s="34">
        <v>0.806670938578958</v>
      </c>
      <c r="V214" s="34">
        <v>0.797671882802759</v>
      </c>
      <c r="W214" s="34">
        <v>3</v>
      </c>
      <c r="AG214" s="232" t="s">
        <v>442</v>
      </c>
      <c r="AI214">
        <v>1</v>
      </c>
      <c r="AJ214">
        <v>0.997668689508291</v>
      </c>
      <c r="AK214">
        <v>0.986012137049744</v>
      </c>
      <c r="AL214">
        <v>0.97374127083826</v>
      </c>
      <c r="AM214">
        <v>0.962810294293591</v>
      </c>
      <c r="AN214">
        <v>0.953229806181516</v>
      </c>
      <c r="AO214">
        <v>0.944289937992211</v>
      </c>
      <c r="AP214">
        <v>0.935456339430984</v>
      </c>
      <c r="AQ214">
        <v>0.9231460803107</v>
      </c>
      <c r="AR214">
        <v>0.907886312390298</v>
      </c>
      <c r="AS214">
        <v>0.890595329986751</v>
      </c>
      <c r="AT214">
        <v>0.87401194374418</v>
      </c>
      <c r="AU214">
        <v>0.859963702660613</v>
      </c>
      <c r="AV214">
        <v>0.8485952077377</v>
      </c>
      <c r="AW214">
        <v>0.838394816226259</v>
      </c>
      <c r="AX214">
        <v>0.827402486262789</v>
      </c>
      <c r="AY214">
        <v>0.814508150557037</v>
      </c>
      <c r="AZ214">
        <v>0.799364007043897</v>
      </c>
      <c r="BA214">
        <v>0</v>
      </c>
      <c r="BB214">
        <v>0</v>
      </c>
      <c r="BC214">
        <v>0</v>
      </c>
      <c r="BD214">
        <v>0</v>
      </c>
      <c r="BE214">
        <v>0</v>
      </c>
      <c r="BF214">
        <v>0</v>
      </c>
      <c r="BG214">
        <v>0</v>
      </c>
      <c r="BH214">
        <v>0</v>
      </c>
      <c r="BJ214" t="s">
        <v>452</v>
      </c>
      <c r="BL214">
        <v>0.8</v>
      </c>
      <c r="BM214">
        <v>0.797560975609756</v>
      </c>
      <c r="BN214">
        <v>0.785365853658536</v>
      </c>
      <c r="BO214">
        <v>0.773170731707317</v>
      </c>
      <c r="BP214">
        <v>0.760975609756097</v>
      </c>
      <c r="BQ214">
        <v>0.748780487804878</v>
      </c>
      <c r="BR214">
        <v>0.736585365853658</v>
      </c>
      <c r="BS214">
        <v>0.724390243902439</v>
      </c>
      <c r="BT214">
        <v>0.71219512195122</v>
      </c>
      <c r="BU214">
        <v>0.699999999999999</v>
      </c>
      <c r="BV214">
        <v>0.687499999999999</v>
      </c>
      <c r="BW214">
        <v>0.675</v>
      </c>
      <c r="BX214">
        <v>0.6625</v>
      </c>
      <c r="BY214">
        <v>0.649999999999999</v>
      </c>
      <c r="BZ214">
        <v>0.637499999999999</v>
      </c>
      <c r="CA214">
        <v>0.625</v>
      </c>
      <c r="CB214">
        <v>0.6125</v>
      </c>
      <c r="CC214">
        <v>0.6</v>
      </c>
      <c r="CD214" t="e">
        <v>#VALUE!</v>
      </c>
      <c r="CE214" t="e">
        <v>#VALUE!</v>
      </c>
      <c r="CF214" t="e">
        <v>#VALUE!</v>
      </c>
      <c r="CG214" t="e">
        <v>#VALUE!</v>
      </c>
      <c r="CH214" t="e">
        <v>#VALUE!</v>
      </c>
      <c r="CI214" t="e">
        <v>#VALUE!</v>
      </c>
      <c r="CJ214" t="e">
        <v>#VALUE!</v>
      </c>
      <c r="CK214" t="e">
        <v>#VALUE!</v>
      </c>
    </row>
    <row r="215" spans="1:89">
      <c r="A215" s="34" t="s">
        <v>21</v>
      </c>
      <c r="B215" s="34" t="s">
        <v>447</v>
      </c>
      <c r="C215" s="34" t="s">
        <v>447</v>
      </c>
      <c r="D215" s="34">
        <v>3.535</v>
      </c>
      <c r="E215" s="34">
        <v>3.52842715437478</v>
      </c>
      <c r="F215" s="34"/>
      <c r="G215" s="34">
        <v>3.49605012863791</v>
      </c>
      <c r="H215" s="34">
        <v>3.46241090090898</v>
      </c>
      <c r="I215" s="34">
        <v>3.43283317850244</v>
      </c>
      <c r="J215" s="34">
        <v>3.40725591197681</v>
      </c>
      <c r="K215" s="34">
        <v>3.38371835730072</v>
      </c>
      <c r="L215" s="34">
        <v>3.36078861905137</v>
      </c>
      <c r="M215" s="34">
        <v>3.3292905547938</v>
      </c>
      <c r="N215" s="34">
        <v>3.29076692174967</v>
      </c>
      <c r="O215" s="34">
        <v>3.24767875408914</v>
      </c>
      <c r="P215" s="34">
        <v>3.20685906997866</v>
      </c>
      <c r="Q215" s="34">
        <v>3.17271067143699</v>
      </c>
      <c r="R215" s="34">
        <v>3.14544810874797</v>
      </c>
      <c r="S215" s="34">
        <v>3.12134467143364</v>
      </c>
      <c r="T215" s="34">
        <v>3.09576688733504</v>
      </c>
      <c r="U215" s="34">
        <v>3.06621695470604</v>
      </c>
      <c r="V215" s="34">
        <v>3.03201086635242</v>
      </c>
      <c r="W215" s="34">
        <v>3</v>
      </c>
      <c r="AG215" s="232" t="s">
        <v>442</v>
      </c>
      <c r="AI215">
        <v>1</v>
      </c>
      <c r="AJ215">
        <v>0.997668689508291</v>
      </c>
      <c r="AK215">
        <v>0.986012137049744</v>
      </c>
      <c r="AL215">
        <v>0.97374127083826</v>
      </c>
      <c r="AM215">
        <v>0.962810294293591</v>
      </c>
      <c r="AN215">
        <v>0.953229806181516</v>
      </c>
      <c r="AO215">
        <v>0.944289937992211</v>
      </c>
      <c r="AP215">
        <v>0.935456339430984</v>
      </c>
      <c r="AQ215">
        <v>0.9231460803107</v>
      </c>
      <c r="AR215">
        <v>0.907886312390298</v>
      </c>
      <c r="AS215">
        <v>0.890595329986751</v>
      </c>
      <c r="AT215">
        <v>0.87401194374418</v>
      </c>
      <c r="AU215">
        <v>0.859963702660613</v>
      </c>
      <c r="AV215">
        <v>0.8485952077377</v>
      </c>
      <c r="AW215">
        <v>0.838394816226259</v>
      </c>
      <c r="AX215">
        <v>0.827402486262789</v>
      </c>
      <c r="AY215">
        <v>0.814508150557037</v>
      </c>
      <c r="AZ215">
        <v>0.799364007043897</v>
      </c>
      <c r="BA215">
        <v>0</v>
      </c>
      <c r="BB215">
        <v>0</v>
      </c>
      <c r="BC215">
        <v>0</v>
      </c>
      <c r="BD215">
        <v>0</v>
      </c>
      <c r="BE215">
        <v>0</v>
      </c>
      <c r="BF215">
        <v>0</v>
      </c>
      <c r="BG215">
        <v>0</v>
      </c>
      <c r="BH215">
        <v>0</v>
      </c>
      <c r="BJ215" t="s">
        <v>452</v>
      </c>
      <c r="BL215">
        <v>0.8</v>
      </c>
      <c r="BM215">
        <v>0.797560975609756</v>
      </c>
      <c r="BN215">
        <v>0.785365853658536</v>
      </c>
      <c r="BO215">
        <v>0.773170731707317</v>
      </c>
      <c r="BP215">
        <v>0.760975609756097</v>
      </c>
      <c r="BQ215">
        <v>0.748780487804878</v>
      </c>
      <c r="BR215">
        <v>0.736585365853658</v>
      </c>
      <c r="BS215">
        <v>0.724390243902439</v>
      </c>
      <c r="BT215">
        <v>0.71219512195122</v>
      </c>
      <c r="BU215">
        <v>0.699999999999999</v>
      </c>
      <c r="BV215">
        <v>0.687499999999999</v>
      </c>
      <c r="BW215">
        <v>0.675</v>
      </c>
      <c r="BX215">
        <v>0.6625</v>
      </c>
      <c r="BY215">
        <v>0.649999999999999</v>
      </c>
      <c r="BZ215">
        <v>0.637499999999999</v>
      </c>
      <c r="CA215">
        <v>0.625</v>
      </c>
      <c r="CB215">
        <v>0.6125</v>
      </c>
      <c r="CC215">
        <v>0.6</v>
      </c>
      <c r="CD215" t="e">
        <v>#VALUE!</v>
      </c>
      <c r="CE215" t="e">
        <v>#VALUE!</v>
      </c>
      <c r="CF215" t="e">
        <v>#VALUE!</v>
      </c>
      <c r="CG215" t="e">
        <v>#VALUE!</v>
      </c>
      <c r="CH215" t="e">
        <v>#VALUE!</v>
      </c>
      <c r="CI215" t="e">
        <v>#VALUE!</v>
      </c>
      <c r="CJ215" t="e">
        <v>#VALUE!</v>
      </c>
      <c r="CK215" t="e">
        <v>#VALUE!</v>
      </c>
    </row>
    <row r="216" spans="1:89">
      <c r="A216" s="34" t="s">
        <v>21</v>
      </c>
      <c r="B216" s="34" t="s">
        <v>448</v>
      </c>
      <c r="C216" s="34" t="s">
        <v>448</v>
      </c>
      <c r="D216" s="34">
        <v>286.14</v>
      </c>
      <c r="E216" s="34">
        <v>284.42124679791</v>
      </c>
      <c r="F216" s="34"/>
      <c r="G216" s="34">
        <v>322.223522358212</v>
      </c>
      <c r="H216" s="34">
        <v>338.618645699635</v>
      </c>
      <c r="I216" s="34">
        <v>358.040980828836</v>
      </c>
      <c r="J216" s="34">
        <v>377.114299539649</v>
      </c>
      <c r="K216" s="34">
        <v>395.930515511062</v>
      </c>
      <c r="L216" s="34">
        <v>413.945428692573</v>
      </c>
      <c r="M216" s="34">
        <v>432.09510895213</v>
      </c>
      <c r="N216" s="34">
        <v>450.159753040063</v>
      </c>
      <c r="O216" s="34">
        <v>468.074649904867</v>
      </c>
      <c r="P216" s="34">
        <v>484.649756814105</v>
      </c>
      <c r="Q216" s="34">
        <v>499.300532511694</v>
      </c>
      <c r="R216" s="34">
        <v>512.212847990834</v>
      </c>
      <c r="S216" s="34">
        <v>523.969909995475</v>
      </c>
      <c r="T216" s="34">
        <v>535.11748328382</v>
      </c>
      <c r="U216" s="34">
        <v>545.850080339668</v>
      </c>
      <c r="V216" s="34">
        <v>555.981639472807</v>
      </c>
      <c r="W216" s="34">
        <v>3</v>
      </c>
      <c r="AG216" s="232" t="s">
        <v>449</v>
      </c>
      <c r="AI216">
        <v>1</v>
      </c>
      <c r="AJ216">
        <v>0.992468680855131</v>
      </c>
      <c r="AK216">
        <v>1.16042668429691</v>
      </c>
      <c r="AL216">
        <v>1.23679263255767</v>
      </c>
      <c r="AM216">
        <v>1.33001427005924</v>
      </c>
      <c r="AN216">
        <v>1.42463696424145</v>
      </c>
      <c r="AO216">
        <v>1.5211398746009</v>
      </c>
      <c r="AP216">
        <v>1.61668526877006</v>
      </c>
      <c r="AQ216">
        <v>1.7162148951792</v>
      </c>
      <c r="AR216">
        <v>1.8187148528357</v>
      </c>
      <c r="AS216">
        <v>1.92399332154901</v>
      </c>
      <c r="AT216">
        <v>2.02492813960695</v>
      </c>
      <c r="AU216">
        <v>2.11732481680666</v>
      </c>
      <c r="AV216">
        <v>2.20156440406991</v>
      </c>
      <c r="AW216">
        <v>2.28083270444701</v>
      </c>
      <c r="AX216">
        <v>2.35847303988229</v>
      </c>
      <c r="AY216">
        <v>2.43570205691541</v>
      </c>
      <c r="AZ216">
        <v>2.51105076623193</v>
      </c>
      <c r="BA216">
        <v>0</v>
      </c>
      <c r="BB216">
        <v>0</v>
      </c>
      <c r="BC216">
        <v>0</v>
      </c>
      <c r="BD216">
        <v>0</v>
      </c>
      <c r="BE216">
        <v>0</v>
      </c>
      <c r="BF216">
        <v>0</v>
      </c>
      <c r="BG216">
        <v>0</v>
      </c>
      <c r="BH216">
        <v>0</v>
      </c>
      <c r="BJ216" t="s">
        <v>452</v>
      </c>
      <c r="BL216">
        <v>0.8</v>
      </c>
      <c r="BM216">
        <v>0.797560975609756</v>
      </c>
      <c r="BN216">
        <v>0.785365853658536</v>
      </c>
      <c r="BO216">
        <v>0.773170731707317</v>
      </c>
      <c r="BP216">
        <v>0.760975609756097</v>
      </c>
      <c r="BQ216">
        <v>0.748780487804878</v>
      </c>
      <c r="BR216">
        <v>0.736585365853658</v>
      </c>
      <c r="BS216">
        <v>0.724390243902439</v>
      </c>
      <c r="BT216">
        <v>0.71219512195122</v>
      </c>
      <c r="BU216">
        <v>0.699999999999999</v>
      </c>
      <c r="BV216">
        <v>0.687499999999999</v>
      </c>
      <c r="BW216">
        <v>0.675</v>
      </c>
      <c r="BX216">
        <v>0.6625</v>
      </c>
      <c r="BY216">
        <v>0.649999999999999</v>
      </c>
      <c r="BZ216">
        <v>0.637499999999999</v>
      </c>
      <c r="CA216">
        <v>0.625</v>
      </c>
      <c r="CB216">
        <v>0.6125</v>
      </c>
      <c r="CC216">
        <v>0.6</v>
      </c>
      <c r="CD216" t="e">
        <v>#VALUE!</v>
      </c>
      <c r="CE216" t="e">
        <v>#VALUE!</v>
      </c>
      <c r="CF216" t="e">
        <v>#VALUE!</v>
      </c>
      <c r="CG216" t="e">
        <v>#VALUE!</v>
      </c>
      <c r="CH216" t="e">
        <v>#VALUE!</v>
      </c>
      <c r="CI216" t="e">
        <v>#VALUE!</v>
      </c>
      <c r="CJ216" t="e">
        <v>#VALUE!</v>
      </c>
      <c r="CK216" t="e">
        <v>#VALUE!</v>
      </c>
    </row>
    <row r="217" spans="1:89">
      <c r="A217" s="34" t="s">
        <v>21</v>
      </c>
      <c r="B217" s="34" t="s">
        <v>450</v>
      </c>
      <c r="C217" s="34" t="s">
        <v>450</v>
      </c>
      <c r="D217" s="34">
        <v>85</v>
      </c>
      <c r="E217" s="34">
        <v>84.332576169529</v>
      </c>
      <c r="F217" s="34"/>
      <c r="G217" s="34">
        <v>94.6363748068302</v>
      </c>
      <c r="H217" s="34">
        <v>98.4810656733052</v>
      </c>
      <c r="I217" s="34">
        <v>103.225011257145</v>
      </c>
      <c r="J217" s="34">
        <v>107.90012105186</v>
      </c>
      <c r="K217" s="34">
        <v>112.487953196844</v>
      </c>
      <c r="L217" s="34">
        <v>116.796022943685</v>
      </c>
      <c r="M217" s="34">
        <v>120.754984273842</v>
      </c>
      <c r="N217" s="34">
        <v>124.322678085988</v>
      </c>
      <c r="O217" s="34">
        <v>127.548249456382</v>
      </c>
      <c r="P217" s="34">
        <v>130.37765093553</v>
      </c>
      <c r="Q217" s="34">
        <v>132.867235168787</v>
      </c>
      <c r="R217" s="34">
        <v>135.116160031097</v>
      </c>
      <c r="S217" s="34">
        <v>137.144875554629</v>
      </c>
      <c r="T217" s="34">
        <v>138.90057650581</v>
      </c>
      <c r="U217" s="34">
        <v>140.317180562531</v>
      </c>
      <c r="V217" s="34">
        <v>141.307842958853</v>
      </c>
      <c r="W217" s="34">
        <v>3</v>
      </c>
      <c r="AG217" s="232" t="s">
        <v>437</v>
      </c>
      <c r="AI217">
        <v>1</v>
      </c>
      <c r="AJ217">
        <v>0.99015492820676</v>
      </c>
      <c r="AK217">
        <v>1.14419479487314</v>
      </c>
      <c r="AL217">
        <v>1.2043160297901</v>
      </c>
      <c r="AM217">
        <v>1.28055143077042</v>
      </c>
      <c r="AN217">
        <v>1.3580064173029</v>
      </c>
      <c r="AO217">
        <v>1.43639707786436</v>
      </c>
      <c r="AP217">
        <v>1.51233848353564</v>
      </c>
      <c r="AQ217">
        <v>1.58431705345552</v>
      </c>
      <c r="AR217">
        <v>1.65118632103046</v>
      </c>
      <c r="AS217">
        <v>1.71349946709724</v>
      </c>
      <c r="AT217">
        <v>1.76981137924015</v>
      </c>
      <c r="AU217">
        <v>1.82082248919626</v>
      </c>
      <c r="AV217">
        <v>1.86823700281963</v>
      </c>
      <c r="AW217">
        <v>1.9122383160877</v>
      </c>
      <c r="AX217">
        <v>1.95140645698237</v>
      </c>
      <c r="AY217">
        <v>1.98389917768614</v>
      </c>
      <c r="AZ217">
        <v>2.00724360238581</v>
      </c>
      <c r="BA217">
        <v>0</v>
      </c>
      <c r="BB217">
        <v>0</v>
      </c>
      <c r="BC217">
        <v>0</v>
      </c>
      <c r="BD217">
        <v>0</v>
      </c>
      <c r="BE217">
        <v>0</v>
      </c>
      <c r="BF217">
        <v>0</v>
      </c>
      <c r="BG217">
        <v>0</v>
      </c>
      <c r="BH217">
        <v>0</v>
      </c>
      <c r="BJ217" t="s">
        <v>452</v>
      </c>
      <c r="BL217">
        <v>0.8</v>
      </c>
      <c r="BM217">
        <v>0.797560975609756</v>
      </c>
      <c r="BN217">
        <v>0.785365853658536</v>
      </c>
      <c r="BO217">
        <v>0.773170731707317</v>
      </c>
      <c r="BP217">
        <v>0.760975609756097</v>
      </c>
      <c r="BQ217">
        <v>0.748780487804878</v>
      </c>
      <c r="BR217">
        <v>0.736585365853658</v>
      </c>
      <c r="BS217">
        <v>0.724390243902439</v>
      </c>
      <c r="BT217">
        <v>0.71219512195122</v>
      </c>
      <c r="BU217">
        <v>0.699999999999999</v>
      </c>
      <c r="BV217">
        <v>0.687499999999999</v>
      </c>
      <c r="BW217">
        <v>0.675</v>
      </c>
      <c r="BX217">
        <v>0.6625</v>
      </c>
      <c r="BY217">
        <v>0.649999999999999</v>
      </c>
      <c r="BZ217">
        <v>0.637499999999999</v>
      </c>
      <c r="CA217">
        <v>0.625</v>
      </c>
      <c r="CB217">
        <v>0.6125</v>
      </c>
      <c r="CC217">
        <v>0.6</v>
      </c>
      <c r="CD217" t="e">
        <v>#VALUE!</v>
      </c>
      <c r="CE217" t="e">
        <v>#VALUE!</v>
      </c>
      <c r="CF217" t="e">
        <v>#VALUE!</v>
      </c>
      <c r="CG217" t="e">
        <v>#VALUE!</v>
      </c>
      <c r="CH217" t="e">
        <v>#VALUE!</v>
      </c>
      <c r="CI217" t="e">
        <v>#VALUE!</v>
      </c>
      <c r="CJ217" t="e">
        <v>#VALUE!</v>
      </c>
      <c r="CK217" t="e">
        <v>#VALUE!</v>
      </c>
    </row>
    <row r="218" spans="1:89">
      <c r="A218" s="34" t="s">
        <v>21</v>
      </c>
      <c r="B218" s="34" t="s">
        <v>451</v>
      </c>
      <c r="C218" s="34" t="s">
        <v>451</v>
      </c>
      <c r="D218" s="34">
        <v>55.28</v>
      </c>
      <c r="E218" s="34">
        <v>54.8459389488419</v>
      </c>
      <c r="F218" s="34"/>
      <c r="G218" s="34">
        <v>61.5470446979009</v>
      </c>
      <c r="H218" s="34">
        <v>64.0474507108271</v>
      </c>
      <c r="I218" s="34">
        <v>67.1326896740587</v>
      </c>
      <c r="J218" s="34">
        <v>70.1731610793741</v>
      </c>
      <c r="K218" s="34">
        <v>73.1568712084886</v>
      </c>
      <c r="L218" s="34">
        <v>75.9586370391402</v>
      </c>
      <c r="M218" s="34">
        <v>78.5333591842113</v>
      </c>
      <c r="N218" s="34">
        <v>80.8536193481576</v>
      </c>
      <c r="O218" s="34">
        <v>82.9513791758681</v>
      </c>
      <c r="P218" s="34">
        <v>84.7914887496012</v>
      </c>
      <c r="Q218" s="34">
        <v>86.4105971780066</v>
      </c>
      <c r="R218" s="34">
        <v>87.8731920766948</v>
      </c>
      <c r="S218" s="34">
        <v>89.1925731842337</v>
      </c>
      <c r="T218" s="34">
        <v>90.3343984616609</v>
      </c>
      <c r="U218" s="34">
        <v>91.2556910764319</v>
      </c>
      <c r="V218" s="34">
        <v>91.8999712795926</v>
      </c>
      <c r="W218" s="34">
        <v>3</v>
      </c>
      <c r="AG218" s="232" t="s">
        <v>437</v>
      </c>
      <c r="AI218">
        <v>1</v>
      </c>
      <c r="AJ218">
        <v>0.99015492820676</v>
      </c>
      <c r="AK218">
        <v>1.14419479487314</v>
      </c>
      <c r="AL218">
        <v>1.2043160297901</v>
      </c>
      <c r="AM218">
        <v>1.28055143077042</v>
      </c>
      <c r="AN218">
        <v>1.3580064173029</v>
      </c>
      <c r="AO218">
        <v>1.43639707786436</v>
      </c>
      <c r="AP218">
        <v>1.51233848353564</v>
      </c>
      <c r="AQ218">
        <v>1.58431705345552</v>
      </c>
      <c r="AR218">
        <v>1.65118632103046</v>
      </c>
      <c r="AS218">
        <v>1.71349946709724</v>
      </c>
      <c r="AT218">
        <v>1.76981137924015</v>
      </c>
      <c r="AU218">
        <v>1.82082248919626</v>
      </c>
      <c r="AV218">
        <v>1.86823700281963</v>
      </c>
      <c r="AW218">
        <v>1.9122383160877</v>
      </c>
      <c r="AX218">
        <v>1.95140645698237</v>
      </c>
      <c r="AY218">
        <v>1.98389917768614</v>
      </c>
      <c r="AZ218">
        <v>2.00724360238581</v>
      </c>
      <c r="BA218">
        <v>0</v>
      </c>
      <c r="BB218">
        <v>0</v>
      </c>
      <c r="BC218">
        <v>0</v>
      </c>
      <c r="BD218">
        <v>0</v>
      </c>
      <c r="BE218">
        <v>0</v>
      </c>
      <c r="BF218">
        <v>0</v>
      </c>
      <c r="BG218">
        <v>0</v>
      </c>
      <c r="BH218">
        <v>0</v>
      </c>
      <c r="BJ218" t="s">
        <v>452</v>
      </c>
      <c r="BL218">
        <v>0.8</v>
      </c>
      <c r="BM218">
        <v>0.797560975609756</v>
      </c>
      <c r="BN218">
        <v>0.785365853658536</v>
      </c>
      <c r="BO218">
        <v>0.773170731707317</v>
      </c>
      <c r="BP218">
        <v>0.760975609756097</v>
      </c>
      <c r="BQ218">
        <v>0.748780487804878</v>
      </c>
      <c r="BR218">
        <v>0.736585365853658</v>
      </c>
      <c r="BS218">
        <v>0.724390243902439</v>
      </c>
      <c r="BT218">
        <v>0.71219512195122</v>
      </c>
      <c r="BU218">
        <v>0.699999999999999</v>
      </c>
      <c r="BV218">
        <v>0.687499999999999</v>
      </c>
      <c r="BW218">
        <v>0.675</v>
      </c>
      <c r="BX218">
        <v>0.6625</v>
      </c>
      <c r="BY218">
        <v>0.649999999999999</v>
      </c>
      <c r="BZ218">
        <v>0.637499999999999</v>
      </c>
      <c r="CA218">
        <v>0.625</v>
      </c>
      <c r="CB218">
        <v>0.6125</v>
      </c>
      <c r="CC218">
        <v>0.6</v>
      </c>
      <c r="CD218" t="e">
        <v>#VALUE!</v>
      </c>
      <c r="CE218" t="e">
        <v>#VALUE!</v>
      </c>
      <c r="CF218" t="e">
        <v>#VALUE!</v>
      </c>
      <c r="CG218" t="e">
        <v>#VALUE!</v>
      </c>
      <c r="CH218" t="e">
        <v>#VALUE!</v>
      </c>
      <c r="CI218" t="e">
        <v>#VALUE!</v>
      </c>
      <c r="CJ218" t="e">
        <v>#VALUE!</v>
      </c>
      <c r="CK218" t="e">
        <v>#VALUE!</v>
      </c>
    </row>
    <row r="219" spans="1:89">
      <c r="A219" s="34" t="s">
        <v>22</v>
      </c>
      <c r="B219" s="34" t="s">
        <v>436</v>
      </c>
      <c r="C219" s="34" t="s">
        <v>436</v>
      </c>
      <c r="D219" s="34"/>
      <c r="E219" s="34">
        <v>147.201253049397</v>
      </c>
      <c r="F219" s="34">
        <f xml:space="preserve">E219</f>
        <v>147.201253049397</v>
      </c>
      <c r="G219" s="34"/>
      <c r="H219" s="34"/>
      <c r="I219" s="34">
        <f xml:space="preserve">F219</f>
        <v>147.201253049397</v>
      </c>
      <c r="J219" s="34">
        <f xml:space="preserve">I219</f>
        <v>147.201253049397</v>
      </c>
      <c r="K219" s="34"/>
      <c r="L219" s="34">
        <f xml:space="preserve">J219</f>
        <v>147.201253049397</v>
      </c>
      <c r="M219" s="34"/>
      <c r="N219" s="34"/>
      <c r="O219" s="34"/>
      <c r="P219" s="34"/>
      <c r="Q219" s="34"/>
      <c r="R219" s="34"/>
      <c r="S219" s="34"/>
      <c r="T219" s="34"/>
      <c r="U219" s="34"/>
      <c r="V219" s="34">
        <f xml:space="preserve">L219</f>
        <v>147.201253049397</v>
      </c>
      <c r="W219" s="34">
        <v>3</v>
      </c>
      <c r="AG219" s="232" t="s">
        <v>437</v>
      </c>
      <c r="AI219">
        <v>1</v>
      </c>
      <c r="AJ219">
        <v>0.996614713987383</v>
      </c>
      <c r="AK219">
        <v>1.06924009217147</v>
      </c>
      <c r="AL219">
        <v>1.11202981109995</v>
      </c>
      <c r="AM219">
        <v>1.15950139149913</v>
      </c>
      <c r="AN219">
        <v>1.20010416264654</v>
      </c>
      <c r="AO219">
        <v>1.24188617034257</v>
      </c>
      <c r="AP219">
        <v>1.28616699003087</v>
      </c>
      <c r="AQ219">
        <v>1.32846552282671</v>
      </c>
      <c r="AR219">
        <v>1.3659418552568</v>
      </c>
      <c r="AS219">
        <v>1.39824319093224</v>
      </c>
      <c r="AT219">
        <v>1.42420588651495</v>
      </c>
      <c r="AU219">
        <v>1.44492536504681</v>
      </c>
      <c r="AV219">
        <v>1.46353391269907</v>
      </c>
      <c r="AW219">
        <v>1.48171169790961</v>
      </c>
      <c r="AX219">
        <v>1.49833016206414</v>
      </c>
      <c r="AY219">
        <v>1.51097625582845</v>
      </c>
      <c r="AZ219">
        <v>1.51698354019676</v>
      </c>
      <c r="BA219">
        <v>0</v>
      </c>
      <c r="BB219">
        <v>0</v>
      </c>
      <c r="BC219">
        <v>0</v>
      </c>
      <c r="BD219">
        <v>0</v>
      </c>
      <c r="BE219">
        <v>0</v>
      </c>
      <c r="BF219">
        <v>0</v>
      </c>
      <c r="BG219">
        <v>0</v>
      </c>
      <c r="BH219">
        <v>0</v>
      </c>
      <c r="BJ219" t="s">
        <v>452</v>
      </c>
      <c r="BL219">
        <v>0.8</v>
      </c>
      <c r="BM219">
        <v>0.797560975609756</v>
      </c>
      <c r="BN219">
        <v>0.785365853658536</v>
      </c>
      <c r="BO219">
        <v>0.773170731707317</v>
      </c>
      <c r="BP219">
        <v>0.760975609756097</v>
      </c>
      <c r="BQ219">
        <v>0.748780487804878</v>
      </c>
      <c r="BR219">
        <v>0.736585365853658</v>
      </c>
      <c r="BS219">
        <v>0.724390243902439</v>
      </c>
      <c r="BT219">
        <v>0.71219512195122</v>
      </c>
      <c r="BU219">
        <v>0.699999999999999</v>
      </c>
      <c r="BV219">
        <v>0.687499999999999</v>
      </c>
      <c r="BW219">
        <v>0.675</v>
      </c>
      <c r="BX219">
        <v>0.6625</v>
      </c>
      <c r="BY219">
        <v>0.649999999999999</v>
      </c>
      <c r="BZ219">
        <v>0.637499999999999</v>
      </c>
      <c r="CA219">
        <v>0.625</v>
      </c>
      <c r="CB219">
        <v>0.6125</v>
      </c>
      <c r="CC219">
        <v>0.6</v>
      </c>
      <c r="CD219" t="e">
        <v>#VALUE!</v>
      </c>
      <c r="CE219" t="e">
        <v>#VALUE!</v>
      </c>
      <c r="CF219" t="e">
        <v>#VALUE!</v>
      </c>
      <c r="CG219" t="e">
        <v>#VALUE!</v>
      </c>
      <c r="CH219" t="e">
        <v>#VALUE!</v>
      </c>
      <c r="CI219" t="e">
        <v>#VALUE!</v>
      </c>
      <c r="CJ219" t="e">
        <v>#VALUE!</v>
      </c>
      <c r="CK219" t="e">
        <v>#VALUE!</v>
      </c>
    </row>
    <row r="220" spans="1:89">
      <c r="A220" s="34" t="s">
        <v>22</v>
      </c>
      <c r="B220" s="34" t="s">
        <v>439</v>
      </c>
      <c r="C220" s="34" t="s">
        <v>439</v>
      </c>
      <c r="D220" s="34"/>
      <c r="E220" s="34">
        <v>304.698744172512</v>
      </c>
      <c r="F220" s="34">
        <f xml:space="preserve">E220</f>
        <v>304.698744172512</v>
      </c>
      <c r="G220" s="34"/>
      <c r="H220" s="34"/>
      <c r="I220" s="34">
        <f xml:space="preserve">F220</f>
        <v>304.698744172512</v>
      </c>
      <c r="J220" s="34">
        <f xml:space="preserve">I220</f>
        <v>304.698744172512</v>
      </c>
      <c r="K220" s="34"/>
      <c r="L220" s="34">
        <f xml:space="preserve">J220</f>
        <v>304.698744172512</v>
      </c>
      <c r="M220" s="34"/>
      <c r="N220" s="34"/>
      <c r="O220" s="34"/>
      <c r="P220" s="34"/>
      <c r="Q220" s="34"/>
      <c r="R220" s="34"/>
      <c r="S220" s="34"/>
      <c r="T220" s="34"/>
      <c r="U220" s="34"/>
      <c r="V220" s="34">
        <f xml:space="preserve">L220</f>
        <v>304.698744172512</v>
      </c>
      <c r="W220" s="34">
        <v>3</v>
      </c>
      <c r="AG220" s="232" t="s">
        <v>437</v>
      </c>
      <c r="AI220">
        <v>1</v>
      </c>
      <c r="AJ220">
        <v>0.996614713987383</v>
      </c>
      <c r="AK220">
        <v>1.06924009217147</v>
      </c>
      <c r="AL220">
        <v>1.11202981109995</v>
      </c>
      <c r="AM220">
        <v>1.15950139149913</v>
      </c>
      <c r="AN220">
        <v>1.20010416264654</v>
      </c>
      <c r="AO220">
        <v>1.24188617034257</v>
      </c>
      <c r="AP220">
        <v>1.28616699003087</v>
      </c>
      <c r="AQ220">
        <v>1.32846552282671</v>
      </c>
      <c r="AR220">
        <v>1.3659418552568</v>
      </c>
      <c r="AS220">
        <v>1.39824319093224</v>
      </c>
      <c r="AT220">
        <v>1.42420588651495</v>
      </c>
      <c r="AU220">
        <v>1.44492536504681</v>
      </c>
      <c r="AV220">
        <v>1.46353391269907</v>
      </c>
      <c r="AW220">
        <v>1.48171169790961</v>
      </c>
      <c r="AX220">
        <v>1.49833016206414</v>
      </c>
      <c r="AY220">
        <v>1.51097625582845</v>
      </c>
      <c r="AZ220">
        <v>1.51698354019676</v>
      </c>
      <c r="BA220">
        <v>0</v>
      </c>
      <c r="BB220">
        <v>0</v>
      </c>
      <c r="BC220">
        <v>0</v>
      </c>
      <c r="BD220">
        <v>0</v>
      </c>
      <c r="BE220">
        <v>0</v>
      </c>
      <c r="BF220">
        <v>0</v>
      </c>
      <c r="BG220">
        <v>0</v>
      </c>
      <c r="BH220">
        <v>0</v>
      </c>
      <c r="BJ220" t="s">
        <v>452</v>
      </c>
      <c r="BL220">
        <v>0.8</v>
      </c>
      <c r="BM220">
        <v>0.797560975609756</v>
      </c>
      <c r="BN220">
        <v>0.785365853658536</v>
      </c>
      <c r="BO220">
        <v>0.773170731707317</v>
      </c>
      <c r="BP220">
        <v>0.760975609756097</v>
      </c>
      <c r="BQ220">
        <v>0.748780487804878</v>
      </c>
      <c r="BR220">
        <v>0.736585365853658</v>
      </c>
      <c r="BS220">
        <v>0.724390243902439</v>
      </c>
      <c r="BT220">
        <v>0.71219512195122</v>
      </c>
      <c r="BU220">
        <v>0.699999999999999</v>
      </c>
      <c r="BV220">
        <v>0.687499999999999</v>
      </c>
      <c r="BW220">
        <v>0.675</v>
      </c>
      <c r="BX220">
        <v>0.6625</v>
      </c>
      <c r="BY220">
        <v>0.649999999999999</v>
      </c>
      <c r="BZ220">
        <v>0.637499999999999</v>
      </c>
      <c r="CA220">
        <v>0.625</v>
      </c>
      <c r="CB220">
        <v>0.6125</v>
      </c>
      <c r="CC220">
        <v>0.6</v>
      </c>
      <c r="CD220" t="e">
        <v>#VALUE!</v>
      </c>
      <c r="CE220" t="e">
        <v>#VALUE!</v>
      </c>
      <c r="CF220" t="e">
        <v>#VALUE!</v>
      </c>
      <c r="CG220" t="e">
        <v>#VALUE!</v>
      </c>
      <c r="CH220" t="e">
        <v>#VALUE!</v>
      </c>
      <c r="CI220" t="e">
        <v>#VALUE!</v>
      </c>
      <c r="CJ220" t="e">
        <v>#VALUE!</v>
      </c>
      <c r="CK220" t="e">
        <v>#VALUE!</v>
      </c>
    </row>
    <row r="221" spans="1:89">
      <c r="A221" s="34" t="s">
        <v>22</v>
      </c>
      <c r="B221" s="34" t="s">
        <v>440</v>
      </c>
      <c r="C221" s="34" t="s">
        <v>440</v>
      </c>
      <c r="D221" s="34"/>
      <c r="E221" s="34">
        <v>2.00415370193619</v>
      </c>
      <c r="F221" s="34"/>
      <c r="G221" s="34"/>
      <c r="H221" s="34"/>
      <c r="I221" s="34">
        <v>2.25537567940657</v>
      </c>
      <c r="J221" s="34">
        <v>2.31451247838056</v>
      </c>
      <c r="K221" s="34"/>
      <c r="L221" s="34">
        <v>2.43518133307239</v>
      </c>
      <c r="M221" s="34"/>
      <c r="N221" s="34"/>
      <c r="O221" s="34"/>
      <c r="P221" s="34"/>
      <c r="Q221" s="34"/>
      <c r="R221" s="34"/>
      <c r="S221" s="34"/>
      <c r="T221" s="34"/>
      <c r="U221" s="34"/>
      <c r="V221" s="34">
        <v>2.7227704244893</v>
      </c>
      <c r="W221" s="34">
        <v>3</v>
      </c>
      <c r="AG221" s="232" t="s">
        <v>437</v>
      </c>
      <c r="AI221">
        <v>1</v>
      </c>
      <c r="AJ221">
        <v>0.996614713987383</v>
      </c>
      <c r="AK221">
        <v>1.06924009217147</v>
      </c>
      <c r="AL221">
        <v>1.11202981109995</v>
      </c>
      <c r="AM221">
        <v>1.15950139149913</v>
      </c>
      <c r="AN221">
        <v>1.20010416264654</v>
      </c>
      <c r="AO221">
        <v>1.24188617034257</v>
      </c>
      <c r="AP221">
        <v>1.28616699003087</v>
      </c>
      <c r="AQ221">
        <v>1.32846552282671</v>
      </c>
      <c r="AR221">
        <v>1.3659418552568</v>
      </c>
      <c r="AS221">
        <v>1.39824319093224</v>
      </c>
      <c r="AT221">
        <v>1.42420588651495</v>
      </c>
      <c r="AU221">
        <v>1.44492536504681</v>
      </c>
      <c r="AV221">
        <v>1.46353391269907</v>
      </c>
      <c r="AW221">
        <v>1.48171169790961</v>
      </c>
      <c r="AX221">
        <v>1.49833016206414</v>
      </c>
      <c r="AY221">
        <v>1.51097625582845</v>
      </c>
      <c r="AZ221">
        <v>1.51698354019676</v>
      </c>
      <c r="BA221">
        <v>0</v>
      </c>
      <c r="BB221">
        <v>0</v>
      </c>
      <c r="BC221">
        <v>0</v>
      </c>
      <c r="BD221">
        <v>0</v>
      </c>
      <c r="BE221">
        <v>0</v>
      </c>
      <c r="BF221">
        <v>0</v>
      </c>
      <c r="BG221">
        <v>0</v>
      </c>
      <c r="BH221">
        <v>0</v>
      </c>
      <c r="BJ221" t="s">
        <v>452</v>
      </c>
      <c r="BL221">
        <v>0.8</v>
      </c>
      <c r="BM221">
        <v>0.797560975609756</v>
      </c>
      <c r="BN221">
        <v>0.785365853658536</v>
      </c>
      <c r="BO221">
        <v>0.773170731707317</v>
      </c>
      <c r="BP221">
        <v>0.760975609756097</v>
      </c>
      <c r="BQ221">
        <v>0.748780487804878</v>
      </c>
      <c r="BR221">
        <v>0.736585365853658</v>
      </c>
      <c r="BS221">
        <v>0.724390243902439</v>
      </c>
      <c r="BT221">
        <v>0.71219512195122</v>
      </c>
      <c r="BU221">
        <v>0.699999999999999</v>
      </c>
      <c r="BV221">
        <v>0.687499999999999</v>
      </c>
      <c r="BW221">
        <v>0.675</v>
      </c>
      <c r="BX221">
        <v>0.6625</v>
      </c>
      <c r="BY221">
        <v>0.649999999999999</v>
      </c>
      <c r="BZ221">
        <v>0.637499999999999</v>
      </c>
      <c r="CA221">
        <v>0.625</v>
      </c>
      <c r="CB221">
        <v>0.6125</v>
      </c>
      <c r="CC221">
        <v>0.6</v>
      </c>
      <c r="CD221" t="e">
        <v>#VALUE!</v>
      </c>
      <c r="CE221" t="e">
        <v>#VALUE!</v>
      </c>
      <c r="CF221" t="e">
        <v>#VALUE!</v>
      </c>
      <c r="CG221" t="e">
        <v>#VALUE!</v>
      </c>
      <c r="CH221" t="e">
        <v>#VALUE!</v>
      </c>
      <c r="CI221" t="e">
        <v>#VALUE!</v>
      </c>
      <c r="CJ221" t="e">
        <v>#VALUE!</v>
      </c>
      <c r="CK221" t="e">
        <v>#VALUE!</v>
      </c>
    </row>
    <row r="222" spans="1:89">
      <c r="A222" s="34" t="s">
        <v>22</v>
      </c>
      <c r="B222" s="34" t="s">
        <v>441</v>
      </c>
      <c r="C222" s="34" t="s">
        <v>441</v>
      </c>
      <c r="D222" s="34"/>
      <c r="E222" s="34">
        <v>66.7506994732046</v>
      </c>
      <c r="F222" s="34"/>
      <c r="G222" s="34"/>
      <c r="H222" s="34"/>
      <c r="I222" s="34">
        <v>62.8279897332199</v>
      </c>
      <c r="J222" s="34">
        <v>61.4557974881527</v>
      </c>
      <c r="K222" s="34"/>
      <c r="L222" s="34">
        <v>58.7814507762721</v>
      </c>
      <c r="M222" s="34"/>
      <c r="N222" s="34"/>
      <c r="O222" s="34"/>
      <c r="P222" s="34"/>
      <c r="Q222" s="34"/>
      <c r="R222" s="34"/>
      <c r="S222" s="34"/>
      <c r="T222" s="34"/>
      <c r="U222" s="34"/>
      <c r="V222" s="34">
        <v>46.9474788673513</v>
      </c>
      <c r="W222" s="34">
        <v>3</v>
      </c>
      <c r="AG222" s="232" t="s">
        <v>442</v>
      </c>
      <c r="AI222">
        <v>1</v>
      </c>
      <c r="AJ222">
        <v>0.995133044285661</v>
      </c>
      <c r="AK222">
        <v>0.970798265713964</v>
      </c>
      <c r="AL222">
        <v>0.946027767353842</v>
      </c>
      <c r="AM222">
        <v>0.919892593887119</v>
      </c>
      <c r="AN222">
        <v>0.893061128007311</v>
      </c>
      <c r="AO222">
        <v>0.866088900752858</v>
      </c>
      <c r="AP222">
        <v>0.84007934876746</v>
      </c>
      <c r="AQ222">
        <v>0.815271745778737</v>
      </c>
      <c r="AR222">
        <v>0.790553143168125</v>
      </c>
      <c r="AS222">
        <v>0.7644456416216</v>
      </c>
      <c r="AT222">
        <v>0.736819759381374</v>
      </c>
      <c r="AU222">
        <v>0.708925060804943</v>
      </c>
      <c r="AV222">
        <v>0.682867116647441</v>
      </c>
      <c r="AW222">
        <v>0.659280478678467</v>
      </c>
      <c r="AX222">
        <v>0.637398679890398</v>
      </c>
      <c r="AY222">
        <v>0.616176156079915</v>
      </c>
      <c r="AZ222">
        <v>0.594822628595666</v>
      </c>
      <c r="BA222">
        <v>0</v>
      </c>
      <c r="BB222">
        <v>0</v>
      </c>
      <c r="BC222">
        <v>0</v>
      </c>
      <c r="BD222">
        <v>0</v>
      </c>
      <c r="BE222">
        <v>0</v>
      </c>
      <c r="BF222">
        <v>0</v>
      </c>
      <c r="BG222">
        <v>0</v>
      </c>
      <c r="BH222">
        <v>0</v>
      </c>
      <c r="BJ222" t="s">
        <v>452</v>
      </c>
      <c r="BL222">
        <v>0.8</v>
      </c>
      <c r="BM222">
        <v>0.797560975609756</v>
      </c>
      <c r="BN222">
        <v>0.785365853658536</v>
      </c>
      <c r="BO222">
        <v>0.773170731707317</v>
      </c>
      <c r="BP222">
        <v>0.760975609756097</v>
      </c>
      <c r="BQ222">
        <v>0.748780487804878</v>
      </c>
      <c r="BR222">
        <v>0.736585365853658</v>
      </c>
      <c r="BS222">
        <v>0.724390243902439</v>
      </c>
      <c r="BT222">
        <v>0.71219512195122</v>
      </c>
      <c r="BU222">
        <v>0.699999999999999</v>
      </c>
      <c r="BV222">
        <v>0.687499999999999</v>
      </c>
      <c r="BW222">
        <v>0.675</v>
      </c>
      <c r="BX222">
        <v>0.6625</v>
      </c>
      <c r="BY222">
        <v>0.649999999999999</v>
      </c>
      <c r="BZ222">
        <v>0.637499999999999</v>
      </c>
      <c r="CA222">
        <v>0.625</v>
      </c>
      <c r="CB222">
        <v>0.6125</v>
      </c>
      <c r="CC222">
        <v>0.6</v>
      </c>
      <c r="CD222" t="e">
        <v>#VALUE!</v>
      </c>
      <c r="CE222" t="e">
        <v>#VALUE!</v>
      </c>
      <c r="CF222" t="e">
        <v>#VALUE!</v>
      </c>
      <c r="CG222" t="e">
        <v>#VALUE!</v>
      </c>
      <c r="CH222" t="e">
        <v>#VALUE!</v>
      </c>
      <c r="CI222" t="e">
        <v>#VALUE!</v>
      </c>
      <c r="CJ222" t="e">
        <v>#VALUE!</v>
      </c>
      <c r="CK222" t="e">
        <v>#VALUE!</v>
      </c>
    </row>
    <row r="223" spans="1:89">
      <c r="A223" s="34" t="s">
        <v>22</v>
      </c>
      <c r="B223" s="34" t="s">
        <v>443</v>
      </c>
      <c r="C223" s="34" t="s">
        <v>443</v>
      </c>
      <c r="D223" s="34"/>
      <c r="E223" s="34">
        <v>130.648113917981</v>
      </c>
      <c r="F223" s="34">
        <f xml:space="preserve">E223</f>
        <v>130.648113917981</v>
      </c>
      <c r="G223" s="34"/>
      <c r="H223" s="34"/>
      <c r="I223" s="34">
        <f xml:space="preserve">F223</f>
        <v>130.648113917981</v>
      </c>
      <c r="J223" s="34">
        <f xml:space="preserve">I223</f>
        <v>130.648113917981</v>
      </c>
      <c r="K223" s="34"/>
      <c r="L223" s="34">
        <f xml:space="preserve">J223</f>
        <v>130.648113917981</v>
      </c>
      <c r="M223" s="34"/>
      <c r="N223" s="34"/>
      <c r="O223" s="34"/>
      <c r="P223" s="34"/>
      <c r="Q223" s="34"/>
      <c r="R223" s="34"/>
      <c r="S223" s="34"/>
      <c r="T223" s="34"/>
      <c r="U223" s="34"/>
      <c r="V223" s="34">
        <f xml:space="preserve">L223</f>
        <v>130.648113917981</v>
      </c>
      <c r="W223" s="34">
        <v>3</v>
      </c>
      <c r="AG223" s="232" t="s">
        <v>437</v>
      </c>
      <c r="AI223">
        <v>1</v>
      </c>
      <c r="AJ223">
        <v>0.996614713987383</v>
      </c>
      <c r="AK223">
        <v>1.06924009217147</v>
      </c>
      <c r="AL223">
        <v>1.11202981109995</v>
      </c>
      <c r="AM223">
        <v>1.15950139149913</v>
      </c>
      <c r="AN223">
        <v>1.20010416264654</v>
      </c>
      <c r="AO223">
        <v>1.24188617034257</v>
      </c>
      <c r="AP223">
        <v>1.28616699003087</v>
      </c>
      <c r="AQ223">
        <v>1.32846552282671</v>
      </c>
      <c r="AR223">
        <v>1.3659418552568</v>
      </c>
      <c r="AS223">
        <v>1.39824319093224</v>
      </c>
      <c r="AT223">
        <v>1.42420588651495</v>
      </c>
      <c r="AU223">
        <v>1.44492536504681</v>
      </c>
      <c r="AV223">
        <v>1.46353391269907</v>
      </c>
      <c r="AW223">
        <v>1.48171169790961</v>
      </c>
      <c r="AX223">
        <v>1.49833016206414</v>
      </c>
      <c r="AY223">
        <v>1.51097625582845</v>
      </c>
      <c r="AZ223">
        <v>1.51698354019676</v>
      </c>
      <c r="BA223">
        <v>0</v>
      </c>
      <c r="BB223">
        <v>0</v>
      </c>
      <c r="BC223">
        <v>0</v>
      </c>
      <c r="BD223">
        <v>0</v>
      </c>
      <c r="BE223">
        <v>0</v>
      </c>
      <c r="BF223">
        <v>0</v>
      </c>
      <c r="BG223">
        <v>0</v>
      </c>
      <c r="BH223">
        <v>0</v>
      </c>
      <c r="BJ223" t="s">
        <v>452</v>
      </c>
      <c r="BL223">
        <v>0.8</v>
      </c>
      <c r="BM223">
        <v>0.797560975609756</v>
      </c>
      <c r="BN223">
        <v>0.785365853658536</v>
      </c>
      <c r="BO223">
        <v>0.773170731707317</v>
      </c>
      <c r="BP223">
        <v>0.760975609756097</v>
      </c>
      <c r="BQ223">
        <v>0.748780487804878</v>
      </c>
      <c r="BR223">
        <v>0.736585365853658</v>
      </c>
      <c r="BS223">
        <v>0.724390243902439</v>
      </c>
      <c r="BT223">
        <v>0.71219512195122</v>
      </c>
      <c r="BU223">
        <v>0.699999999999999</v>
      </c>
      <c r="BV223">
        <v>0.687499999999999</v>
      </c>
      <c r="BW223">
        <v>0.675</v>
      </c>
      <c r="BX223">
        <v>0.6625</v>
      </c>
      <c r="BY223">
        <v>0.649999999999999</v>
      </c>
      <c r="BZ223">
        <v>0.637499999999999</v>
      </c>
      <c r="CA223">
        <v>0.625</v>
      </c>
      <c r="CB223">
        <v>0.6125</v>
      </c>
      <c r="CC223">
        <v>0.6</v>
      </c>
      <c r="CD223" t="e">
        <v>#VALUE!</v>
      </c>
      <c r="CE223" t="e">
        <v>#VALUE!</v>
      </c>
      <c r="CF223" t="e">
        <v>#VALUE!</v>
      </c>
      <c r="CG223" t="e">
        <v>#VALUE!</v>
      </c>
      <c r="CH223" t="e">
        <v>#VALUE!</v>
      </c>
      <c r="CI223" t="e">
        <v>#VALUE!</v>
      </c>
      <c r="CJ223" t="e">
        <v>#VALUE!</v>
      </c>
      <c r="CK223" t="e">
        <v>#VALUE!</v>
      </c>
    </row>
    <row r="224" spans="1:89">
      <c r="A224" s="34" t="s">
        <v>22</v>
      </c>
      <c r="B224" s="34" t="s">
        <v>444</v>
      </c>
      <c r="C224" s="34" t="s">
        <v>444</v>
      </c>
      <c r="D224" s="34"/>
      <c r="E224" s="34">
        <v>187.66044154924</v>
      </c>
      <c r="F224" s="34">
        <f xml:space="preserve">E224</f>
        <v>187.66044154924</v>
      </c>
      <c r="G224" s="34"/>
      <c r="H224" s="34"/>
      <c r="I224" s="34">
        <f xml:space="preserve">F224</f>
        <v>187.66044154924</v>
      </c>
      <c r="J224" s="34">
        <f xml:space="preserve">I224</f>
        <v>187.66044154924</v>
      </c>
      <c r="K224" s="34"/>
      <c r="L224" s="34">
        <f xml:space="preserve">J224</f>
        <v>187.66044154924</v>
      </c>
      <c r="M224" s="34"/>
      <c r="N224" s="34"/>
      <c r="O224" s="34"/>
      <c r="P224" s="34"/>
      <c r="Q224" s="34"/>
      <c r="R224" s="34"/>
      <c r="S224" s="34"/>
      <c r="T224" s="34"/>
      <c r="U224" s="34"/>
      <c r="V224" s="34">
        <f xml:space="preserve">L224</f>
        <v>187.66044154924</v>
      </c>
      <c r="W224" s="34">
        <v>3</v>
      </c>
      <c r="AG224" s="232" t="s">
        <v>437</v>
      </c>
      <c r="AI224">
        <v>1</v>
      </c>
      <c r="AJ224">
        <v>0.996614713987383</v>
      </c>
      <c r="AK224">
        <v>1.06924009217147</v>
      </c>
      <c r="AL224">
        <v>1.11202981109995</v>
      </c>
      <c r="AM224">
        <v>1.15950139149913</v>
      </c>
      <c r="AN224">
        <v>1.20010416264654</v>
      </c>
      <c r="AO224">
        <v>1.24188617034257</v>
      </c>
      <c r="AP224">
        <v>1.28616699003087</v>
      </c>
      <c r="AQ224">
        <v>1.32846552282671</v>
      </c>
      <c r="AR224">
        <v>1.3659418552568</v>
      </c>
      <c r="AS224">
        <v>1.39824319093224</v>
      </c>
      <c r="AT224">
        <v>1.42420588651495</v>
      </c>
      <c r="AU224">
        <v>1.44492536504681</v>
      </c>
      <c r="AV224">
        <v>1.46353391269907</v>
      </c>
      <c r="AW224">
        <v>1.48171169790961</v>
      </c>
      <c r="AX224">
        <v>1.49833016206414</v>
      </c>
      <c r="AY224">
        <v>1.51097625582845</v>
      </c>
      <c r="AZ224">
        <v>1.51698354019676</v>
      </c>
      <c r="BA224">
        <v>0</v>
      </c>
      <c r="BB224">
        <v>0</v>
      </c>
      <c r="BC224">
        <v>0</v>
      </c>
      <c r="BD224">
        <v>0</v>
      </c>
      <c r="BE224">
        <v>0</v>
      </c>
      <c r="BF224">
        <v>0</v>
      </c>
      <c r="BG224">
        <v>0</v>
      </c>
      <c r="BH224">
        <v>0</v>
      </c>
      <c r="BJ224" t="s">
        <v>452</v>
      </c>
      <c r="BL224">
        <v>0.8</v>
      </c>
      <c r="BM224">
        <v>0.797560975609756</v>
      </c>
      <c r="BN224">
        <v>0.785365853658536</v>
      </c>
      <c r="BO224">
        <v>0.773170731707317</v>
      </c>
      <c r="BP224">
        <v>0.760975609756097</v>
      </c>
      <c r="BQ224">
        <v>0.748780487804878</v>
      </c>
      <c r="BR224">
        <v>0.736585365853658</v>
      </c>
      <c r="BS224">
        <v>0.724390243902439</v>
      </c>
      <c r="BT224">
        <v>0.71219512195122</v>
      </c>
      <c r="BU224">
        <v>0.699999999999999</v>
      </c>
      <c r="BV224">
        <v>0.687499999999999</v>
      </c>
      <c r="BW224">
        <v>0.675</v>
      </c>
      <c r="BX224">
        <v>0.6625</v>
      </c>
      <c r="BY224">
        <v>0.649999999999999</v>
      </c>
      <c r="BZ224">
        <v>0.637499999999999</v>
      </c>
      <c r="CA224">
        <v>0.625</v>
      </c>
      <c r="CB224">
        <v>0.6125</v>
      </c>
      <c r="CC224">
        <v>0.6</v>
      </c>
      <c r="CD224" t="e">
        <v>#VALUE!</v>
      </c>
      <c r="CE224" t="e">
        <v>#VALUE!</v>
      </c>
      <c r="CF224" t="e">
        <v>#VALUE!</v>
      </c>
      <c r="CG224" t="e">
        <v>#VALUE!</v>
      </c>
      <c r="CH224" t="e">
        <v>#VALUE!</v>
      </c>
      <c r="CI224" t="e">
        <v>#VALUE!</v>
      </c>
      <c r="CJ224" t="e">
        <v>#VALUE!</v>
      </c>
      <c r="CK224" t="e">
        <v>#VALUE!</v>
      </c>
    </row>
    <row r="225" spans="1:89">
      <c r="A225" s="34" t="s">
        <v>22</v>
      </c>
      <c r="B225" s="34" t="s">
        <v>445</v>
      </c>
      <c r="C225" s="34" t="s">
        <v>445</v>
      </c>
      <c r="D225" s="34">
        <v>14.12</v>
      </c>
      <c r="E225" s="34">
        <v>14.0651904814574</v>
      </c>
      <c r="F225" s="34"/>
      <c r="G225" s="34">
        <v>13.7950660385097</v>
      </c>
      <c r="H225" s="34">
        <v>13.5229181671294</v>
      </c>
      <c r="I225" s="34">
        <v>13.2386274621664</v>
      </c>
      <c r="J225" s="34">
        <v>12.9494897384218</v>
      </c>
      <c r="K225" s="34">
        <v>12.6614108942813</v>
      </c>
      <c r="L225" s="34">
        <v>12.3859721091996</v>
      </c>
      <c r="M225" s="34">
        <v>12.1254805911524</v>
      </c>
      <c r="N225" s="34">
        <v>11.868133937815</v>
      </c>
      <c r="O225" s="34">
        <v>11.598676991281</v>
      </c>
      <c r="P225" s="34">
        <v>11.3157451837085</v>
      </c>
      <c r="Q225" s="34">
        <v>11.031934035467</v>
      </c>
      <c r="R225" s="34">
        <v>10.7683586605644</v>
      </c>
      <c r="S225" s="34">
        <v>10.5312433799373</v>
      </c>
      <c r="T225" s="34">
        <v>10.3127831076399</v>
      </c>
      <c r="U225" s="34">
        <v>10.102469270594</v>
      </c>
      <c r="V225" s="34">
        <v>9.89240918978777</v>
      </c>
      <c r="W225" s="34">
        <v>3</v>
      </c>
      <c r="AG225" s="232" t="s">
        <v>442</v>
      </c>
      <c r="AI225">
        <v>1</v>
      </c>
      <c r="AJ225">
        <v>0.995133044285661</v>
      </c>
      <c r="AK225">
        <v>0.970798265713964</v>
      </c>
      <c r="AL225">
        <v>0.946027767353842</v>
      </c>
      <c r="AM225">
        <v>0.919892593887119</v>
      </c>
      <c r="AN225">
        <v>0.893061128007311</v>
      </c>
      <c r="AO225">
        <v>0.866088900752858</v>
      </c>
      <c r="AP225">
        <v>0.84007934876746</v>
      </c>
      <c r="AQ225">
        <v>0.815271745778737</v>
      </c>
      <c r="AR225">
        <v>0.790553143168125</v>
      </c>
      <c r="AS225">
        <v>0.7644456416216</v>
      </c>
      <c r="AT225">
        <v>0.736819759381374</v>
      </c>
      <c r="AU225">
        <v>0.708925060804943</v>
      </c>
      <c r="AV225">
        <v>0.682867116647441</v>
      </c>
      <c r="AW225">
        <v>0.659280478678467</v>
      </c>
      <c r="AX225">
        <v>0.637398679890398</v>
      </c>
      <c r="AY225">
        <v>0.616176156079915</v>
      </c>
      <c r="AZ225">
        <v>0.594822628595666</v>
      </c>
      <c r="BA225">
        <v>0</v>
      </c>
      <c r="BB225">
        <v>0</v>
      </c>
      <c r="BC225">
        <v>0</v>
      </c>
      <c r="BD225">
        <v>0</v>
      </c>
      <c r="BE225">
        <v>0</v>
      </c>
      <c r="BF225">
        <v>0</v>
      </c>
      <c r="BG225">
        <v>0</v>
      </c>
      <c r="BH225">
        <v>0</v>
      </c>
      <c r="BJ225" t="s">
        <v>452</v>
      </c>
      <c r="BL225">
        <v>0.8</v>
      </c>
      <c r="BM225">
        <v>0.797560975609756</v>
      </c>
      <c r="BN225">
        <v>0.785365853658536</v>
      </c>
      <c r="BO225">
        <v>0.773170731707317</v>
      </c>
      <c r="BP225">
        <v>0.760975609756097</v>
      </c>
      <c r="BQ225">
        <v>0.748780487804878</v>
      </c>
      <c r="BR225">
        <v>0.736585365853658</v>
      </c>
      <c r="BS225">
        <v>0.724390243902439</v>
      </c>
      <c r="BT225">
        <v>0.71219512195122</v>
      </c>
      <c r="BU225">
        <v>0.699999999999999</v>
      </c>
      <c r="BV225">
        <v>0.687499999999999</v>
      </c>
      <c r="BW225">
        <v>0.675</v>
      </c>
      <c r="BX225">
        <v>0.6625</v>
      </c>
      <c r="BY225">
        <v>0.649999999999999</v>
      </c>
      <c r="BZ225">
        <v>0.637499999999999</v>
      </c>
      <c r="CA225">
        <v>0.625</v>
      </c>
      <c r="CB225">
        <v>0.6125</v>
      </c>
      <c r="CC225">
        <v>0.6</v>
      </c>
      <c r="CD225" t="e">
        <v>#VALUE!</v>
      </c>
      <c r="CE225" t="e">
        <v>#VALUE!</v>
      </c>
      <c r="CF225" t="e">
        <v>#VALUE!</v>
      </c>
      <c r="CG225" t="e">
        <v>#VALUE!</v>
      </c>
      <c r="CH225" t="e">
        <v>#VALUE!</v>
      </c>
      <c r="CI225" t="e">
        <v>#VALUE!</v>
      </c>
      <c r="CJ225" t="e">
        <v>#VALUE!</v>
      </c>
      <c r="CK225" t="e">
        <v>#VALUE!</v>
      </c>
    </row>
    <row r="226" spans="1:89">
      <c r="A226" s="34" t="s">
        <v>22</v>
      </c>
      <c r="B226" s="34" t="s">
        <v>446</v>
      </c>
      <c r="C226" s="34" t="s">
        <v>446</v>
      </c>
      <c r="D226" s="34">
        <v>4.455</v>
      </c>
      <c r="E226" s="34">
        <v>4.43770705346265</v>
      </c>
      <c r="F226" s="34"/>
      <c r="G226" s="34">
        <v>4.35248011342497</v>
      </c>
      <c r="H226" s="34">
        <v>4.26661476165448</v>
      </c>
      <c r="I226" s="34">
        <v>4.17691822549232</v>
      </c>
      <c r="J226" s="34">
        <v>4.08569240684624</v>
      </c>
      <c r="K226" s="34">
        <v>3.9948006752141</v>
      </c>
      <c r="L226" s="34">
        <v>3.90789700754138</v>
      </c>
      <c r="M226" s="34">
        <v>3.82570935082041</v>
      </c>
      <c r="N226" s="34">
        <v>3.74451393009671</v>
      </c>
      <c r="O226" s="34">
        <v>3.65949759179581</v>
      </c>
      <c r="P226" s="34">
        <v>3.57022980123381</v>
      </c>
      <c r="Q226" s="34">
        <v>3.48068456997207</v>
      </c>
      <c r="R226" s="34">
        <v>3.39752392583671</v>
      </c>
      <c r="S226" s="34">
        <v>3.32271170379751</v>
      </c>
      <c r="T226" s="34">
        <v>3.25378532185098</v>
      </c>
      <c r="U226" s="34">
        <v>3.18742922099833</v>
      </c>
      <c r="V226" s="34">
        <v>3.12115318275528</v>
      </c>
      <c r="W226" s="34">
        <v>3</v>
      </c>
      <c r="AG226" s="232" t="s">
        <v>442</v>
      </c>
      <c r="AI226">
        <v>1</v>
      </c>
      <c r="AJ226">
        <v>0.995133044285661</v>
      </c>
      <c r="AK226">
        <v>0.970798265713964</v>
      </c>
      <c r="AL226">
        <v>0.946027767353842</v>
      </c>
      <c r="AM226">
        <v>0.919892593887119</v>
      </c>
      <c r="AN226">
        <v>0.893061128007311</v>
      </c>
      <c r="AO226">
        <v>0.866088900752858</v>
      </c>
      <c r="AP226">
        <v>0.84007934876746</v>
      </c>
      <c r="AQ226">
        <v>0.815271745778737</v>
      </c>
      <c r="AR226">
        <v>0.790553143168125</v>
      </c>
      <c r="AS226">
        <v>0.7644456416216</v>
      </c>
      <c r="AT226">
        <v>0.736819759381374</v>
      </c>
      <c r="AU226">
        <v>0.708925060804943</v>
      </c>
      <c r="AV226">
        <v>0.682867116647441</v>
      </c>
      <c r="AW226">
        <v>0.659280478678467</v>
      </c>
      <c r="AX226">
        <v>0.637398679890398</v>
      </c>
      <c r="AY226">
        <v>0.616176156079915</v>
      </c>
      <c r="AZ226">
        <v>0.594822628595666</v>
      </c>
      <c r="BA226">
        <v>0</v>
      </c>
      <c r="BB226">
        <v>0</v>
      </c>
      <c r="BC226">
        <v>0</v>
      </c>
      <c r="BD226">
        <v>0</v>
      </c>
      <c r="BE226">
        <v>0</v>
      </c>
      <c r="BF226">
        <v>0</v>
      </c>
      <c r="BG226">
        <v>0</v>
      </c>
      <c r="BH226">
        <v>0</v>
      </c>
      <c r="BJ226" t="s">
        <v>452</v>
      </c>
      <c r="BL226">
        <v>0.8</v>
      </c>
      <c r="BM226">
        <v>0.797560975609756</v>
      </c>
      <c r="BN226">
        <v>0.785365853658536</v>
      </c>
      <c r="BO226">
        <v>0.773170731707317</v>
      </c>
      <c r="BP226">
        <v>0.760975609756097</v>
      </c>
      <c r="BQ226">
        <v>0.748780487804878</v>
      </c>
      <c r="BR226">
        <v>0.736585365853658</v>
      </c>
      <c r="BS226">
        <v>0.724390243902439</v>
      </c>
      <c r="BT226">
        <v>0.71219512195122</v>
      </c>
      <c r="BU226">
        <v>0.699999999999999</v>
      </c>
      <c r="BV226">
        <v>0.687499999999999</v>
      </c>
      <c r="BW226">
        <v>0.675</v>
      </c>
      <c r="BX226">
        <v>0.6625</v>
      </c>
      <c r="BY226">
        <v>0.649999999999999</v>
      </c>
      <c r="BZ226">
        <v>0.637499999999999</v>
      </c>
      <c r="CA226">
        <v>0.625</v>
      </c>
      <c r="CB226">
        <v>0.6125</v>
      </c>
      <c r="CC226">
        <v>0.6</v>
      </c>
      <c r="CD226" t="e">
        <v>#VALUE!</v>
      </c>
      <c r="CE226" t="e">
        <v>#VALUE!</v>
      </c>
      <c r="CF226" t="e">
        <v>#VALUE!</v>
      </c>
      <c r="CG226" t="e">
        <v>#VALUE!</v>
      </c>
      <c r="CH226" t="e">
        <v>#VALUE!</v>
      </c>
      <c r="CI226" t="e">
        <v>#VALUE!</v>
      </c>
      <c r="CJ226" t="e">
        <v>#VALUE!</v>
      </c>
      <c r="CK226" t="e">
        <v>#VALUE!</v>
      </c>
    </row>
    <row r="227" spans="1:89">
      <c r="A227" s="34" t="s">
        <v>22</v>
      </c>
      <c r="B227" s="34" t="s">
        <v>447</v>
      </c>
      <c r="C227" s="34" t="s">
        <v>447</v>
      </c>
      <c r="D227" s="34">
        <v>3.115</v>
      </c>
      <c r="E227" s="34">
        <v>3.10290852335267</v>
      </c>
      <c r="F227" s="34"/>
      <c r="G227" s="34">
        <v>3.04331662251825</v>
      </c>
      <c r="H227" s="34">
        <v>2.98327833502889</v>
      </c>
      <c r="I227" s="34">
        <v>2.92056122837454</v>
      </c>
      <c r="J227" s="34">
        <v>2.85677482543794</v>
      </c>
      <c r="K227" s="34">
        <v>2.79322202094095</v>
      </c>
      <c r="L227" s="34">
        <v>2.73245772805643</v>
      </c>
      <c r="M227" s="34">
        <v>2.67499093777903</v>
      </c>
      <c r="N227" s="34">
        <v>2.61821793316527</v>
      </c>
      <c r="O227" s="34">
        <v>2.55877328809067</v>
      </c>
      <c r="P227" s="34">
        <v>2.49635596651927</v>
      </c>
      <c r="Q227" s="34">
        <v>2.43374465442491</v>
      </c>
      <c r="R227" s="34">
        <v>2.37559753736955</v>
      </c>
      <c r="S227" s="34">
        <v>2.32328775697626</v>
      </c>
      <c r="T227" s="34">
        <v>2.27509344053104</v>
      </c>
      <c r="U227" s="34">
        <v>2.22869630155102</v>
      </c>
      <c r="V227" s="34">
        <v>2.1823551434978</v>
      </c>
      <c r="W227" s="34">
        <v>3</v>
      </c>
      <c r="AG227" s="232" t="s">
        <v>442</v>
      </c>
      <c r="AI227">
        <v>1</v>
      </c>
      <c r="AJ227">
        <v>0.995133044285661</v>
      </c>
      <c r="AK227">
        <v>0.970798265713964</v>
      </c>
      <c r="AL227">
        <v>0.946027767353842</v>
      </c>
      <c r="AM227">
        <v>0.919892593887119</v>
      </c>
      <c r="AN227">
        <v>0.893061128007311</v>
      </c>
      <c r="AO227">
        <v>0.866088900752858</v>
      </c>
      <c r="AP227">
        <v>0.84007934876746</v>
      </c>
      <c r="AQ227">
        <v>0.815271745778737</v>
      </c>
      <c r="AR227">
        <v>0.790553143168125</v>
      </c>
      <c r="AS227">
        <v>0.7644456416216</v>
      </c>
      <c r="AT227">
        <v>0.736819759381374</v>
      </c>
      <c r="AU227">
        <v>0.708925060804943</v>
      </c>
      <c r="AV227">
        <v>0.682867116647441</v>
      </c>
      <c r="AW227">
        <v>0.659280478678467</v>
      </c>
      <c r="AX227">
        <v>0.637398679890398</v>
      </c>
      <c r="AY227">
        <v>0.616176156079915</v>
      </c>
      <c r="AZ227">
        <v>0.594822628595666</v>
      </c>
      <c r="BA227">
        <v>0</v>
      </c>
      <c r="BB227">
        <v>0</v>
      </c>
      <c r="BC227">
        <v>0</v>
      </c>
      <c r="BD227">
        <v>0</v>
      </c>
      <c r="BE227">
        <v>0</v>
      </c>
      <c r="BF227">
        <v>0</v>
      </c>
      <c r="BG227">
        <v>0</v>
      </c>
      <c r="BH227">
        <v>0</v>
      </c>
      <c r="BJ227" t="s">
        <v>452</v>
      </c>
      <c r="BL227">
        <v>0.8</v>
      </c>
      <c r="BM227">
        <v>0.797560975609756</v>
      </c>
      <c r="BN227">
        <v>0.785365853658536</v>
      </c>
      <c r="BO227">
        <v>0.773170731707317</v>
      </c>
      <c r="BP227">
        <v>0.760975609756097</v>
      </c>
      <c r="BQ227">
        <v>0.748780487804878</v>
      </c>
      <c r="BR227">
        <v>0.736585365853658</v>
      </c>
      <c r="BS227">
        <v>0.724390243902439</v>
      </c>
      <c r="BT227">
        <v>0.71219512195122</v>
      </c>
      <c r="BU227">
        <v>0.699999999999999</v>
      </c>
      <c r="BV227">
        <v>0.687499999999999</v>
      </c>
      <c r="BW227">
        <v>0.675</v>
      </c>
      <c r="BX227">
        <v>0.6625</v>
      </c>
      <c r="BY227">
        <v>0.649999999999999</v>
      </c>
      <c r="BZ227">
        <v>0.637499999999999</v>
      </c>
      <c r="CA227">
        <v>0.625</v>
      </c>
      <c r="CB227">
        <v>0.6125</v>
      </c>
      <c r="CC227">
        <v>0.6</v>
      </c>
      <c r="CD227" t="e">
        <v>#VALUE!</v>
      </c>
      <c r="CE227" t="e">
        <v>#VALUE!</v>
      </c>
      <c r="CF227" t="e">
        <v>#VALUE!</v>
      </c>
      <c r="CG227" t="e">
        <v>#VALUE!</v>
      </c>
      <c r="CH227" t="e">
        <v>#VALUE!</v>
      </c>
      <c r="CI227" t="e">
        <v>#VALUE!</v>
      </c>
      <c r="CJ227" t="e">
        <v>#VALUE!</v>
      </c>
      <c r="CK227" t="e">
        <v>#VALUE!</v>
      </c>
    </row>
    <row r="228" spans="1:89">
      <c r="A228" s="34" t="s">
        <v>22</v>
      </c>
      <c r="B228" s="34" t="s">
        <v>448</v>
      </c>
      <c r="C228" s="34" t="s">
        <v>448</v>
      </c>
      <c r="D228" s="34">
        <v>687.192</v>
      </c>
      <c r="E228" s="34">
        <v>688.008041496291</v>
      </c>
      <c r="F228" s="34"/>
      <c r="G228" s="34">
        <v>741.915140100379</v>
      </c>
      <c r="H228" s="34">
        <v>780.491757693345</v>
      </c>
      <c r="I228" s="34">
        <v>823.441043931532</v>
      </c>
      <c r="J228" s="34">
        <v>864.205324003525</v>
      </c>
      <c r="K228" s="34">
        <v>906.881721231787</v>
      </c>
      <c r="L228" s="34">
        <v>951.370018315786</v>
      </c>
      <c r="M228" s="34">
        <v>994.948460502842</v>
      </c>
      <c r="N228" s="34">
        <v>1036.98687065624</v>
      </c>
      <c r="O228" s="34">
        <v>1078.76981652578</v>
      </c>
      <c r="P228" s="34">
        <v>1120.09902746409</v>
      </c>
      <c r="Q228" s="34">
        <v>1160.5181605889</v>
      </c>
      <c r="R228" s="34">
        <v>1199.38883839739</v>
      </c>
      <c r="S228" s="34">
        <v>1236.58037923435</v>
      </c>
      <c r="T228" s="34">
        <v>1272.07842908439</v>
      </c>
      <c r="U228" s="34">
        <v>1305.71668230536</v>
      </c>
      <c r="V228" s="34">
        <v>1337.06757119091</v>
      </c>
      <c r="W228" s="34">
        <v>3</v>
      </c>
      <c r="AG228" s="232" t="s">
        <v>449</v>
      </c>
      <c r="AI228">
        <v>1</v>
      </c>
      <c r="AJ228">
        <v>1.00148891619088</v>
      </c>
      <c r="AK228">
        <v>1.10140296901448</v>
      </c>
      <c r="AL228">
        <v>1.17547269697002</v>
      </c>
      <c r="AM228">
        <v>1.2604747545575</v>
      </c>
      <c r="AN228">
        <v>1.34380965088508</v>
      </c>
      <c r="AO228">
        <v>1.43390149586613</v>
      </c>
      <c r="AP228">
        <v>1.53100655541396</v>
      </c>
      <c r="AQ228">
        <v>1.62947572966333</v>
      </c>
      <c r="AR228">
        <v>1.72783052861294</v>
      </c>
      <c r="AS228">
        <v>1.82909433294194</v>
      </c>
      <c r="AT228">
        <v>1.93290946446754</v>
      </c>
      <c r="AU228">
        <v>2.03819196828248</v>
      </c>
      <c r="AV228">
        <v>2.14321919597526</v>
      </c>
      <c r="AW228">
        <v>2.24746787722233</v>
      </c>
      <c r="AX228">
        <v>2.35069542710973</v>
      </c>
      <c r="AY228">
        <v>2.45218228735304</v>
      </c>
      <c r="AZ228">
        <v>2.55031242469414</v>
      </c>
      <c r="BA228">
        <v>0</v>
      </c>
      <c r="BB228">
        <v>0</v>
      </c>
      <c r="BC228">
        <v>0</v>
      </c>
      <c r="BD228">
        <v>0</v>
      </c>
      <c r="BE228">
        <v>0</v>
      </c>
      <c r="BF228">
        <v>0</v>
      </c>
      <c r="BG228">
        <v>0</v>
      </c>
      <c r="BH228">
        <v>0</v>
      </c>
      <c r="BJ228" t="s">
        <v>452</v>
      </c>
      <c r="BL228">
        <v>0.8</v>
      </c>
      <c r="BM228">
        <v>0.797560975609756</v>
      </c>
      <c r="BN228">
        <v>0.785365853658536</v>
      </c>
      <c r="BO228">
        <v>0.773170731707317</v>
      </c>
      <c r="BP228">
        <v>0.760975609756097</v>
      </c>
      <c r="BQ228">
        <v>0.748780487804878</v>
      </c>
      <c r="BR228">
        <v>0.736585365853658</v>
      </c>
      <c r="BS228">
        <v>0.724390243902439</v>
      </c>
      <c r="BT228">
        <v>0.71219512195122</v>
      </c>
      <c r="BU228">
        <v>0.699999999999999</v>
      </c>
      <c r="BV228">
        <v>0.687499999999999</v>
      </c>
      <c r="BW228">
        <v>0.675</v>
      </c>
      <c r="BX228">
        <v>0.6625</v>
      </c>
      <c r="BY228">
        <v>0.649999999999999</v>
      </c>
      <c r="BZ228">
        <v>0.637499999999999</v>
      </c>
      <c r="CA228">
        <v>0.625</v>
      </c>
      <c r="CB228">
        <v>0.6125</v>
      </c>
      <c r="CC228">
        <v>0.6</v>
      </c>
      <c r="CD228" t="e">
        <v>#VALUE!</v>
      </c>
      <c r="CE228" t="e">
        <v>#VALUE!</v>
      </c>
      <c r="CF228" t="e">
        <v>#VALUE!</v>
      </c>
      <c r="CG228" t="e">
        <v>#VALUE!</v>
      </c>
      <c r="CH228" t="e">
        <v>#VALUE!</v>
      </c>
      <c r="CI228" t="e">
        <v>#VALUE!</v>
      </c>
      <c r="CJ228" t="e">
        <v>#VALUE!</v>
      </c>
      <c r="CK228" t="e">
        <v>#VALUE!</v>
      </c>
    </row>
    <row r="229" spans="1:89">
      <c r="A229" s="34" t="s">
        <v>22</v>
      </c>
      <c r="B229" s="34" t="s">
        <v>450</v>
      </c>
      <c r="C229" s="34" t="s">
        <v>450</v>
      </c>
      <c r="D229" s="34">
        <v>96.8</v>
      </c>
      <c r="E229" s="34">
        <v>96.5386427089537</v>
      </c>
      <c r="F229" s="34"/>
      <c r="G229" s="34">
        <v>102.063668575959</v>
      </c>
      <c r="H229" s="34">
        <v>105.221658784552</v>
      </c>
      <c r="I229" s="34">
        <v>108.639824719206</v>
      </c>
      <c r="J229" s="34">
        <v>111.488401802683</v>
      </c>
      <c r="K229" s="34">
        <v>114.347460941356</v>
      </c>
      <c r="L229" s="34">
        <v>117.300933764647</v>
      </c>
      <c r="M229" s="34">
        <v>120.048374975677</v>
      </c>
      <c r="N229" s="34">
        <v>122.41899048032</v>
      </c>
      <c r="O229" s="34">
        <v>124.409250249737</v>
      </c>
      <c r="P229" s="34">
        <v>125.9685281144</v>
      </c>
      <c r="Q229" s="34">
        <v>127.182626780273</v>
      </c>
      <c r="R229" s="34">
        <v>128.247280096181</v>
      </c>
      <c r="S229" s="34">
        <v>129.262748768029</v>
      </c>
      <c r="T229" s="34">
        <v>130.168858050265</v>
      </c>
      <c r="U229" s="34">
        <v>130.841775922966</v>
      </c>
      <c r="V229" s="34">
        <v>131.153893503448</v>
      </c>
      <c r="W229" s="34">
        <v>3</v>
      </c>
      <c r="AG229" s="232" t="s">
        <v>437</v>
      </c>
      <c r="AI229">
        <v>1</v>
      </c>
      <c r="AJ229">
        <v>0.996614713987383</v>
      </c>
      <c r="AK229">
        <v>1.06924009217147</v>
      </c>
      <c r="AL229">
        <v>1.11202981109995</v>
      </c>
      <c r="AM229">
        <v>1.15950139149913</v>
      </c>
      <c r="AN229">
        <v>1.20010416264654</v>
      </c>
      <c r="AO229">
        <v>1.24188617034257</v>
      </c>
      <c r="AP229">
        <v>1.28616699003087</v>
      </c>
      <c r="AQ229">
        <v>1.32846552282671</v>
      </c>
      <c r="AR229">
        <v>1.3659418552568</v>
      </c>
      <c r="AS229">
        <v>1.39824319093224</v>
      </c>
      <c r="AT229">
        <v>1.42420588651495</v>
      </c>
      <c r="AU229">
        <v>1.44492536504681</v>
      </c>
      <c r="AV229">
        <v>1.46353391269907</v>
      </c>
      <c r="AW229">
        <v>1.48171169790961</v>
      </c>
      <c r="AX229">
        <v>1.49833016206414</v>
      </c>
      <c r="AY229">
        <v>1.51097625582845</v>
      </c>
      <c r="AZ229">
        <v>1.51698354019676</v>
      </c>
      <c r="BA229">
        <v>0</v>
      </c>
      <c r="BB229">
        <v>0</v>
      </c>
      <c r="BC229">
        <v>0</v>
      </c>
      <c r="BD229">
        <v>0</v>
      </c>
      <c r="BE229">
        <v>0</v>
      </c>
      <c r="BF229">
        <v>0</v>
      </c>
      <c r="BG229">
        <v>0</v>
      </c>
      <c r="BH229">
        <v>0</v>
      </c>
      <c r="BJ229" t="s">
        <v>452</v>
      </c>
      <c r="BL229">
        <v>0.8</v>
      </c>
      <c r="BM229">
        <v>0.797560975609756</v>
      </c>
      <c r="BN229">
        <v>0.785365853658536</v>
      </c>
      <c r="BO229">
        <v>0.773170731707317</v>
      </c>
      <c r="BP229">
        <v>0.760975609756097</v>
      </c>
      <c r="BQ229">
        <v>0.748780487804878</v>
      </c>
      <c r="BR229">
        <v>0.736585365853658</v>
      </c>
      <c r="BS229">
        <v>0.724390243902439</v>
      </c>
      <c r="BT229">
        <v>0.71219512195122</v>
      </c>
      <c r="BU229">
        <v>0.699999999999999</v>
      </c>
      <c r="BV229">
        <v>0.687499999999999</v>
      </c>
      <c r="BW229">
        <v>0.675</v>
      </c>
      <c r="BX229">
        <v>0.6625</v>
      </c>
      <c r="BY229">
        <v>0.649999999999999</v>
      </c>
      <c r="BZ229">
        <v>0.637499999999999</v>
      </c>
      <c r="CA229">
        <v>0.625</v>
      </c>
      <c r="CB229">
        <v>0.6125</v>
      </c>
      <c r="CC229">
        <v>0.6</v>
      </c>
      <c r="CD229" t="e">
        <v>#VALUE!</v>
      </c>
      <c r="CE229" t="e">
        <v>#VALUE!</v>
      </c>
      <c r="CF229" t="e">
        <v>#VALUE!</v>
      </c>
      <c r="CG229" t="e">
        <v>#VALUE!</v>
      </c>
      <c r="CH229" t="e">
        <v>#VALUE!</v>
      </c>
      <c r="CI229" t="e">
        <v>#VALUE!</v>
      </c>
      <c r="CJ229" t="e">
        <v>#VALUE!</v>
      </c>
      <c r="CK229" t="e">
        <v>#VALUE!</v>
      </c>
    </row>
    <row r="230" spans="1:89">
      <c r="A230" s="34" t="s">
        <v>22</v>
      </c>
      <c r="B230" s="34" t="s">
        <v>451</v>
      </c>
      <c r="C230" s="34" t="s">
        <v>451</v>
      </c>
      <c r="D230" s="34">
        <v>114.16</v>
      </c>
      <c r="E230" s="34">
        <v>113.851771194774</v>
      </c>
      <c r="F230" s="34"/>
      <c r="G230" s="34">
        <v>120.367648808176</v>
      </c>
      <c r="H230" s="34">
        <v>124.091989326906</v>
      </c>
      <c r="I230" s="34">
        <v>128.123165185377</v>
      </c>
      <c r="J230" s="34">
        <v>131.482602787131</v>
      </c>
      <c r="K230" s="34">
        <v>134.854402283732</v>
      </c>
      <c r="L230" s="34">
        <v>138.337547505911</v>
      </c>
      <c r="M230" s="34">
        <v>141.577711644868</v>
      </c>
      <c r="N230" s="34">
        <v>144.373470591253</v>
      </c>
      <c r="O230" s="34">
        <v>146.720661244937</v>
      </c>
      <c r="P230" s="34">
        <v>148.559578197727</v>
      </c>
      <c r="Q230" s="34">
        <v>149.991411913595</v>
      </c>
      <c r="R230" s="34">
        <v>151.246998923348</v>
      </c>
      <c r="S230" s="34">
        <v>152.444580571883</v>
      </c>
      <c r="T230" s="34">
        <v>153.513190444404</v>
      </c>
      <c r="U230" s="34">
        <v>154.306788629812</v>
      </c>
      <c r="V230" s="34">
        <v>154.674881016049</v>
      </c>
      <c r="W230" s="34">
        <v>3</v>
      </c>
      <c r="AG230" s="232" t="s">
        <v>437</v>
      </c>
      <c r="AI230">
        <v>1</v>
      </c>
      <c r="AJ230">
        <v>0.996614713987383</v>
      </c>
      <c r="AK230">
        <v>1.06924009217147</v>
      </c>
      <c r="AL230">
        <v>1.11202981109995</v>
      </c>
      <c r="AM230">
        <v>1.15950139149913</v>
      </c>
      <c r="AN230">
        <v>1.20010416264654</v>
      </c>
      <c r="AO230">
        <v>1.24188617034257</v>
      </c>
      <c r="AP230">
        <v>1.28616699003087</v>
      </c>
      <c r="AQ230">
        <v>1.32846552282671</v>
      </c>
      <c r="AR230">
        <v>1.3659418552568</v>
      </c>
      <c r="AS230">
        <v>1.39824319093224</v>
      </c>
      <c r="AT230">
        <v>1.42420588651495</v>
      </c>
      <c r="AU230">
        <v>1.44492536504681</v>
      </c>
      <c r="AV230">
        <v>1.46353391269907</v>
      </c>
      <c r="AW230">
        <v>1.48171169790961</v>
      </c>
      <c r="AX230">
        <v>1.49833016206414</v>
      </c>
      <c r="AY230">
        <v>1.51097625582845</v>
      </c>
      <c r="AZ230">
        <v>1.51698354019676</v>
      </c>
      <c r="BA230">
        <v>0</v>
      </c>
      <c r="BB230">
        <v>0</v>
      </c>
      <c r="BC230">
        <v>0</v>
      </c>
      <c r="BD230">
        <v>0</v>
      </c>
      <c r="BE230">
        <v>0</v>
      </c>
      <c r="BF230">
        <v>0</v>
      </c>
      <c r="BG230">
        <v>0</v>
      </c>
      <c r="BH230">
        <v>0</v>
      </c>
      <c r="BJ230" t="s">
        <v>452</v>
      </c>
      <c r="BL230">
        <v>0.8</v>
      </c>
      <c r="BM230">
        <v>0.797560975609756</v>
      </c>
      <c r="BN230">
        <v>0.785365853658536</v>
      </c>
      <c r="BO230">
        <v>0.773170731707317</v>
      </c>
      <c r="BP230">
        <v>0.760975609756097</v>
      </c>
      <c r="BQ230">
        <v>0.748780487804878</v>
      </c>
      <c r="BR230">
        <v>0.736585365853658</v>
      </c>
      <c r="BS230">
        <v>0.724390243902439</v>
      </c>
      <c r="BT230">
        <v>0.71219512195122</v>
      </c>
      <c r="BU230">
        <v>0.699999999999999</v>
      </c>
      <c r="BV230">
        <v>0.687499999999999</v>
      </c>
      <c r="BW230">
        <v>0.675</v>
      </c>
      <c r="BX230">
        <v>0.6625</v>
      </c>
      <c r="BY230">
        <v>0.649999999999999</v>
      </c>
      <c r="BZ230">
        <v>0.637499999999999</v>
      </c>
      <c r="CA230">
        <v>0.625</v>
      </c>
      <c r="CB230">
        <v>0.6125</v>
      </c>
      <c r="CC230">
        <v>0.6</v>
      </c>
      <c r="CD230" t="e">
        <v>#VALUE!</v>
      </c>
      <c r="CE230" t="e">
        <v>#VALUE!</v>
      </c>
      <c r="CF230" t="e">
        <v>#VALUE!</v>
      </c>
      <c r="CG230" t="e">
        <v>#VALUE!</v>
      </c>
      <c r="CH230" t="e">
        <v>#VALUE!</v>
      </c>
      <c r="CI230" t="e">
        <v>#VALUE!</v>
      </c>
      <c r="CJ230" t="e">
        <v>#VALUE!</v>
      </c>
      <c r="CK230" t="e">
        <v>#VALUE!</v>
      </c>
    </row>
    <row r="231" spans="1:89">
      <c r="A231" s="34" t="s">
        <v>23</v>
      </c>
      <c r="B231" s="34" t="s">
        <v>436</v>
      </c>
      <c r="C231" s="34" t="s">
        <v>436</v>
      </c>
      <c r="D231" s="34"/>
      <c r="E231" s="34">
        <v>90.136915586846</v>
      </c>
      <c r="F231" s="34">
        <f xml:space="preserve">E231</f>
        <v>90.136915586846</v>
      </c>
      <c r="G231" s="34"/>
      <c r="H231" s="34"/>
      <c r="I231" s="34">
        <f xml:space="preserve">F231</f>
        <v>90.136915586846</v>
      </c>
      <c r="J231" s="34">
        <f xml:space="preserve">I231</f>
        <v>90.136915586846</v>
      </c>
      <c r="K231" s="34"/>
      <c r="L231" s="34">
        <f xml:space="preserve">J231</f>
        <v>90.136915586846</v>
      </c>
      <c r="M231" s="34"/>
      <c r="N231" s="34"/>
      <c r="O231" s="34"/>
      <c r="P231" s="34"/>
      <c r="Q231" s="34"/>
      <c r="R231" s="34"/>
      <c r="S231" s="34"/>
      <c r="T231" s="34"/>
      <c r="U231" s="34"/>
      <c r="V231" s="34">
        <f xml:space="preserve">L231</f>
        <v>90.136915586846</v>
      </c>
      <c r="W231" s="34">
        <v>3</v>
      </c>
      <c r="AG231" s="232" t="s">
        <v>437</v>
      </c>
      <c r="AI231">
        <v>1</v>
      </c>
      <c r="AJ231">
        <v>1.00078941646338</v>
      </c>
      <c r="AK231">
        <v>1.21581050640933</v>
      </c>
      <c r="AL231">
        <v>1.40669245927961</v>
      </c>
      <c r="AM231">
        <v>1.63133174234812</v>
      </c>
      <c r="AN231">
        <v>1.8882728451538</v>
      </c>
      <c r="AO231">
        <v>2.17187201987731</v>
      </c>
      <c r="AP231">
        <v>2.4767316393066</v>
      </c>
      <c r="AQ231">
        <v>2.80352684491355</v>
      </c>
      <c r="AR231">
        <v>3.15394057256684</v>
      </c>
      <c r="AS231">
        <v>3.53248082243297</v>
      </c>
      <c r="AT231">
        <v>3.93194269688489</v>
      </c>
      <c r="AU231">
        <v>4.34651397012136</v>
      </c>
      <c r="AV231">
        <v>4.7681845383142</v>
      </c>
      <c r="AW231">
        <v>5.19480310825725</v>
      </c>
      <c r="AX231">
        <v>5.62658057118297</v>
      </c>
      <c r="AY231">
        <v>6.06334183892459</v>
      </c>
      <c r="AZ231">
        <v>6.50553932545227</v>
      </c>
      <c r="BA231">
        <v>0</v>
      </c>
      <c r="BB231">
        <v>0</v>
      </c>
      <c r="BC231">
        <v>0</v>
      </c>
      <c r="BD231">
        <v>0</v>
      </c>
      <c r="BE231">
        <v>0</v>
      </c>
      <c r="BF231">
        <v>0</v>
      </c>
      <c r="BG231">
        <v>0</v>
      </c>
      <c r="BH231">
        <v>0</v>
      </c>
      <c r="BJ231" t="s">
        <v>438</v>
      </c>
      <c r="BL231">
        <v>1</v>
      </c>
      <c r="BM231">
        <v>0.997560975609757</v>
      </c>
      <c r="BN231">
        <v>0.985365853658537</v>
      </c>
      <c r="BO231">
        <v>0.973170731707317</v>
      </c>
      <c r="BP231">
        <v>0.960975609756098</v>
      </c>
      <c r="BQ231">
        <v>0.948780487804878</v>
      </c>
      <c r="BR231">
        <v>0.936585365853658</v>
      </c>
      <c r="BS231">
        <v>0.924390243902439</v>
      </c>
      <c r="BT231">
        <v>0.91219512195122</v>
      </c>
      <c r="BU231">
        <v>0.9</v>
      </c>
      <c r="BV231">
        <v>0.8875</v>
      </c>
      <c r="BW231">
        <v>0.875000000000001</v>
      </c>
      <c r="BX231">
        <v>0.862500000000001</v>
      </c>
      <c r="BY231">
        <v>0.850000000000001</v>
      </c>
      <c r="BZ231">
        <v>0.8375</v>
      </c>
      <c r="CA231">
        <v>0.825000000000001</v>
      </c>
      <c r="CB231">
        <v>0.812500000000001</v>
      </c>
      <c r="CC231">
        <v>0.800000000000001</v>
      </c>
      <c r="CD231" t="e">
        <v>#VALUE!</v>
      </c>
      <c r="CE231" t="e">
        <v>#VALUE!</v>
      </c>
      <c r="CF231" t="e">
        <v>#VALUE!</v>
      </c>
      <c r="CG231" t="e">
        <v>#VALUE!</v>
      </c>
      <c r="CH231" t="e">
        <v>#VALUE!</v>
      </c>
      <c r="CI231" t="e">
        <v>#VALUE!</v>
      </c>
      <c r="CJ231" t="e">
        <v>#VALUE!</v>
      </c>
      <c r="CK231" t="e">
        <v>#VALUE!</v>
      </c>
    </row>
    <row r="232" spans="1:89">
      <c r="A232" s="34" t="s">
        <v>23</v>
      </c>
      <c r="B232" s="34" t="s">
        <v>439</v>
      </c>
      <c r="C232" s="34" t="s">
        <v>439</v>
      </c>
      <c r="D232" s="34"/>
      <c r="E232" s="34">
        <v>322.671564831785</v>
      </c>
      <c r="F232" s="34">
        <f xml:space="preserve">E232</f>
        <v>322.671564831785</v>
      </c>
      <c r="G232" s="34"/>
      <c r="H232" s="34"/>
      <c r="I232" s="34">
        <f xml:space="preserve">F232</f>
        <v>322.671564831785</v>
      </c>
      <c r="J232" s="34">
        <f xml:space="preserve">I232</f>
        <v>322.671564831785</v>
      </c>
      <c r="K232" s="34"/>
      <c r="L232" s="34">
        <f xml:space="preserve">J232</f>
        <v>322.671564831785</v>
      </c>
      <c r="M232" s="34"/>
      <c r="N232" s="34"/>
      <c r="O232" s="34"/>
      <c r="P232" s="34"/>
      <c r="Q232" s="34"/>
      <c r="R232" s="34"/>
      <c r="S232" s="34"/>
      <c r="T232" s="34"/>
      <c r="U232" s="34"/>
      <c r="V232" s="34">
        <f xml:space="preserve">L232</f>
        <v>322.671564831785</v>
      </c>
      <c r="W232" s="34">
        <v>3</v>
      </c>
      <c r="AG232" s="232" t="s">
        <v>437</v>
      </c>
      <c r="AI232">
        <v>1</v>
      </c>
      <c r="AJ232">
        <v>1.00078941646338</v>
      </c>
      <c r="AK232">
        <v>1.21581050640933</v>
      </c>
      <c r="AL232">
        <v>1.40669245927961</v>
      </c>
      <c r="AM232">
        <v>1.63133174234812</v>
      </c>
      <c r="AN232">
        <v>1.8882728451538</v>
      </c>
      <c r="AO232">
        <v>2.17187201987731</v>
      </c>
      <c r="AP232">
        <v>2.4767316393066</v>
      </c>
      <c r="AQ232">
        <v>2.80352684491355</v>
      </c>
      <c r="AR232">
        <v>3.15394057256684</v>
      </c>
      <c r="AS232">
        <v>3.53248082243297</v>
      </c>
      <c r="AT232">
        <v>3.93194269688489</v>
      </c>
      <c r="AU232">
        <v>4.34651397012136</v>
      </c>
      <c r="AV232">
        <v>4.7681845383142</v>
      </c>
      <c r="AW232">
        <v>5.19480310825725</v>
      </c>
      <c r="AX232">
        <v>5.62658057118297</v>
      </c>
      <c r="AY232">
        <v>6.06334183892459</v>
      </c>
      <c r="AZ232">
        <v>6.50553932545227</v>
      </c>
      <c r="BA232">
        <v>0</v>
      </c>
      <c r="BB232">
        <v>0</v>
      </c>
      <c r="BC232">
        <v>0</v>
      </c>
      <c r="BD232">
        <v>0</v>
      </c>
      <c r="BE232">
        <v>0</v>
      </c>
      <c r="BF232">
        <v>0</v>
      </c>
      <c r="BG232">
        <v>0</v>
      </c>
      <c r="BH232">
        <v>0</v>
      </c>
      <c r="BJ232" t="s">
        <v>438</v>
      </c>
      <c r="BL232">
        <v>1</v>
      </c>
      <c r="BM232">
        <v>0.997560975609757</v>
      </c>
      <c r="BN232">
        <v>0.985365853658537</v>
      </c>
      <c r="BO232">
        <v>0.973170731707317</v>
      </c>
      <c r="BP232">
        <v>0.960975609756098</v>
      </c>
      <c r="BQ232">
        <v>0.948780487804878</v>
      </c>
      <c r="BR232">
        <v>0.936585365853658</v>
      </c>
      <c r="BS232">
        <v>0.924390243902439</v>
      </c>
      <c r="BT232">
        <v>0.91219512195122</v>
      </c>
      <c r="BU232">
        <v>0.9</v>
      </c>
      <c r="BV232">
        <v>0.8875</v>
      </c>
      <c r="BW232">
        <v>0.875000000000001</v>
      </c>
      <c r="BX232">
        <v>0.862500000000001</v>
      </c>
      <c r="BY232">
        <v>0.850000000000001</v>
      </c>
      <c r="BZ232">
        <v>0.8375</v>
      </c>
      <c r="CA232">
        <v>0.825000000000001</v>
      </c>
      <c r="CB232">
        <v>0.812500000000001</v>
      </c>
      <c r="CC232">
        <v>0.800000000000001</v>
      </c>
      <c r="CD232" t="e">
        <v>#VALUE!</v>
      </c>
      <c r="CE232" t="e">
        <v>#VALUE!</v>
      </c>
      <c r="CF232" t="e">
        <v>#VALUE!</v>
      </c>
      <c r="CG232" t="e">
        <v>#VALUE!</v>
      </c>
      <c r="CH232" t="e">
        <v>#VALUE!</v>
      </c>
      <c r="CI232" t="e">
        <v>#VALUE!</v>
      </c>
      <c r="CJ232" t="e">
        <v>#VALUE!</v>
      </c>
      <c r="CK232" t="e">
        <v>#VALUE!</v>
      </c>
    </row>
    <row r="233" spans="1:89">
      <c r="A233" s="34" t="s">
        <v>23</v>
      </c>
      <c r="B233" s="34" t="s">
        <v>440</v>
      </c>
      <c r="C233" s="34" t="s">
        <v>440</v>
      </c>
      <c r="D233" s="34"/>
      <c r="E233" s="34">
        <v>1.84646348307184</v>
      </c>
      <c r="F233" s="34"/>
      <c r="G233" s="34"/>
      <c r="H233" s="34"/>
      <c r="I233" s="34">
        <v>2.9750260287217</v>
      </c>
      <c r="J233" s="34">
        <v>3.41960386866863</v>
      </c>
      <c r="K233" s="34"/>
      <c r="L233" s="34">
        <v>4.40674604488185</v>
      </c>
      <c r="M233" s="34"/>
      <c r="N233" s="34"/>
      <c r="O233" s="34"/>
      <c r="P233" s="34"/>
      <c r="Q233" s="34"/>
      <c r="R233" s="34"/>
      <c r="S233" s="34"/>
      <c r="T233" s="34"/>
      <c r="U233" s="34"/>
      <c r="V233" s="34">
        <v>10.1928288864832</v>
      </c>
      <c r="W233" s="34">
        <v>3</v>
      </c>
      <c r="AG233" s="232" t="s">
        <v>437</v>
      </c>
      <c r="AI233">
        <v>1</v>
      </c>
      <c r="AJ233">
        <v>1.00078941646338</v>
      </c>
      <c r="AK233">
        <v>1.21581050640933</v>
      </c>
      <c r="AL233">
        <v>1.40669245927961</v>
      </c>
      <c r="AM233">
        <v>1.63133174234812</v>
      </c>
      <c r="AN233">
        <v>1.8882728451538</v>
      </c>
      <c r="AO233">
        <v>2.17187201987731</v>
      </c>
      <c r="AP233">
        <v>2.4767316393066</v>
      </c>
      <c r="AQ233">
        <v>2.80352684491355</v>
      </c>
      <c r="AR233">
        <v>3.15394057256684</v>
      </c>
      <c r="AS233">
        <v>3.53248082243297</v>
      </c>
      <c r="AT233">
        <v>3.93194269688489</v>
      </c>
      <c r="AU233">
        <v>4.34651397012136</v>
      </c>
      <c r="AV233">
        <v>4.7681845383142</v>
      </c>
      <c r="AW233">
        <v>5.19480310825725</v>
      </c>
      <c r="AX233">
        <v>5.62658057118297</v>
      </c>
      <c r="AY233">
        <v>6.06334183892459</v>
      </c>
      <c r="AZ233">
        <v>6.50553932545227</v>
      </c>
      <c r="BA233">
        <v>0</v>
      </c>
      <c r="BB233">
        <v>0</v>
      </c>
      <c r="BC233">
        <v>0</v>
      </c>
      <c r="BD233">
        <v>0</v>
      </c>
      <c r="BE233">
        <v>0</v>
      </c>
      <c r="BF233">
        <v>0</v>
      </c>
      <c r="BG233">
        <v>0</v>
      </c>
      <c r="BH233">
        <v>0</v>
      </c>
      <c r="BJ233" t="s">
        <v>438</v>
      </c>
      <c r="BL233">
        <v>1</v>
      </c>
      <c r="BM233">
        <v>0.997560975609757</v>
      </c>
      <c r="BN233">
        <v>0.985365853658537</v>
      </c>
      <c r="BO233">
        <v>0.973170731707317</v>
      </c>
      <c r="BP233">
        <v>0.960975609756098</v>
      </c>
      <c r="BQ233">
        <v>0.948780487804878</v>
      </c>
      <c r="BR233">
        <v>0.936585365853658</v>
      </c>
      <c r="BS233">
        <v>0.924390243902439</v>
      </c>
      <c r="BT233">
        <v>0.91219512195122</v>
      </c>
      <c r="BU233">
        <v>0.9</v>
      </c>
      <c r="BV233">
        <v>0.8875</v>
      </c>
      <c r="BW233">
        <v>0.875000000000001</v>
      </c>
      <c r="BX233">
        <v>0.862500000000001</v>
      </c>
      <c r="BY233">
        <v>0.850000000000001</v>
      </c>
      <c r="BZ233">
        <v>0.8375</v>
      </c>
      <c r="CA233">
        <v>0.825000000000001</v>
      </c>
      <c r="CB233">
        <v>0.812500000000001</v>
      </c>
      <c r="CC233">
        <v>0.800000000000001</v>
      </c>
      <c r="CD233" t="e">
        <v>#VALUE!</v>
      </c>
      <c r="CE233" t="e">
        <v>#VALUE!</v>
      </c>
      <c r="CF233" t="e">
        <v>#VALUE!</v>
      </c>
      <c r="CG233" t="e">
        <v>#VALUE!</v>
      </c>
      <c r="CH233" t="e">
        <v>#VALUE!</v>
      </c>
      <c r="CI233" t="e">
        <v>#VALUE!</v>
      </c>
      <c r="CJ233" t="e">
        <v>#VALUE!</v>
      </c>
      <c r="CK233" t="e">
        <v>#VALUE!</v>
      </c>
    </row>
    <row r="234" spans="1:89">
      <c r="A234" s="34" t="s">
        <v>23</v>
      </c>
      <c r="B234" s="34" t="s">
        <v>441</v>
      </c>
      <c r="C234" s="34" t="s">
        <v>441</v>
      </c>
      <c r="D234" s="34"/>
      <c r="E234" s="34">
        <v>5.37764191828844</v>
      </c>
      <c r="F234" s="34"/>
      <c r="G234" s="34"/>
      <c r="H234" s="34"/>
      <c r="I234" s="34">
        <v>5.9759908455789</v>
      </c>
      <c r="J234" s="34">
        <v>6.11874641816906</v>
      </c>
      <c r="K234" s="34"/>
      <c r="L234" s="34">
        <v>6.30184396491898</v>
      </c>
      <c r="M234" s="34"/>
      <c r="N234" s="34"/>
      <c r="O234" s="34"/>
      <c r="P234" s="34"/>
      <c r="Q234" s="34"/>
      <c r="R234" s="34"/>
      <c r="S234" s="34"/>
      <c r="T234" s="34"/>
      <c r="U234" s="34"/>
      <c r="V234" s="34">
        <v>5.931543434921</v>
      </c>
      <c r="W234" s="34">
        <v>3</v>
      </c>
      <c r="AG234" s="232" t="s">
        <v>442</v>
      </c>
      <c r="AI234">
        <v>1</v>
      </c>
      <c r="AJ234">
        <v>1.0080441712141</v>
      </c>
      <c r="AK234">
        <v>1.04826224486976</v>
      </c>
      <c r="AL234">
        <v>1.08852385986843</v>
      </c>
      <c r="AM234">
        <v>1.12330523906063</v>
      </c>
      <c r="AN234">
        <v>1.15158756914341</v>
      </c>
      <c r="AO234">
        <v>1.17323383829214</v>
      </c>
      <c r="AP234">
        <v>1.18859875487242</v>
      </c>
      <c r="AQ234">
        <v>1.19815163673558</v>
      </c>
      <c r="AR234">
        <v>1.20231513639837</v>
      </c>
      <c r="AS234">
        <v>1.20193154441986</v>
      </c>
      <c r="AT234">
        <v>1.19737190464594</v>
      </c>
      <c r="AU234">
        <v>1.18889761547766</v>
      </c>
      <c r="AV234">
        <v>1.17658460638582</v>
      </c>
      <c r="AW234">
        <v>1.16115844981834</v>
      </c>
      <c r="AX234">
        <v>1.14334280329392</v>
      </c>
      <c r="AY234">
        <v>1.12380721355103</v>
      </c>
      <c r="AZ234">
        <v>1.10337480273967</v>
      </c>
      <c r="BA234">
        <v>0</v>
      </c>
      <c r="BB234">
        <v>0</v>
      </c>
      <c r="BC234">
        <v>0</v>
      </c>
      <c r="BD234">
        <v>0</v>
      </c>
      <c r="BE234">
        <v>0</v>
      </c>
      <c r="BF234">
        <v>0</v>
      </c>
      <c r="BG234">
        <v>0</v>
      </c>
      <c r="BH234">
        <v>0</v>
      </c>
      <c r="BJ234" t="s">
        <v>438</v>
      </c>
      <c r="BL234">
        <v>1</v>
      </c>
      <c r="BM234">
        <v>0.997560975609757</v>
      </c>
      <c r="BN234">
        <v>0.985365853658537</v>
      </c>
      <c r="BO234">
        <v>0.973170731707317</v>
      </c>
      <c r="BP234">
        <v>0.960975609756098</v>
      </c>
      <c r="BQ234">
        <v>0.948780487804878</v>
      </c>
      <c r="BR234">
        <v>0.936585365853658</v>
      </c>
      <c r="BS234">
        <v>0.924390243902439</v>
      </c>
      <c r="BT234">
        <v>0.91219512195122</v>
      </c>
      <c r="BU234">
        <v>0.9</v>
      </c>
      <c r="BV234">
        <v>0.8875</v>
      </c>
      <c r="BW234">
        <v>0.875000000000001</v>
      </c>
      <c r="BX234">
        <v>0.862500000000001</v>
      </c>
      <c r="BY234">
        <v>0.850000000000001</v>
      </c>
      <c r="BZ234">
        <v>0.8375</v>
      </c>
      <c r="CA234">
        <v>0.825000000000001</v>
      </c>
      <c r="CB234">
        <v>0.812500000000001</v>
      </c>
      <c r="CC234">
        <v>0.800000000000001</v>
      </c>
      <c r="CD234" t="e">
        <v>#VALUE!</v>
      </c>
      <c r="CE234" t="e">
        <v>#VALUE!</v>
      </c>
      <c r="CF234" t="e">
        <v>#VALUE!</v>
      </c>
      <c r="CG234" t="e">
        <v>#VALUE!</v>
      </c>
      <c r="CH234" t="e">
        <v>#VALUE!</v>
      </c>
      <c r="CI234" t="e">
        <v>#VALUE!</v>
      </c>
      <c r="CJ234" t="e">
        <v>#VALUE!</v>
      </c>
      <c r="CK234" t="e">
        <v>#VALUE!</v>
      </c>
    </row>
    <row r="235" spans="1:89">
      <c r="A235" s="34" t="s">
        <v>23</v>
      </c>
      <c r="B235" s="34" t="s">
        <v>443</v>
      </c>
      <c r="C235" s="34" t="s">
        <v>443</v>
      </c>
      <c r="D235" s="34"/>
      <c r="E235" s="34">
        <v>51.9865510775928</v>
      </c>
      <c r="F235" s="34">
        <f xml:space="preserve">E235</f>
        <v>51.9865510775928</v>
      </c>
      <c r="G235" s="34"/>
      <c r="H235" s="34"/>
      <c r="I235" s="34">
        <f xml:space="preserve">F235</f>
        <v>51.9865510775928</v>
      </c>
      <c r="J235" s="34">
        <f xml:space="preserve">I235</f>
        <v>51.9865510775928</v>
      </c>
      <c r="K235" s="34"/>
      <c r="L235" s="34">
        <f xml:space="preserve">J235</f>
        <v>51.9865510775928</v>
      </c>
      <c r="M235" s="34"/>
      <c r="N235" s="34"/>
      <c r="O235" s="34"/>
      <c r="P235" s="34"/>
      <c r="Q235" s="34"/>
      <c r="R235" s="34"/>
      <c r="S235" s="34"/>
      <c r="T235" s="34"/>
      <c r="U235" s="34"/>
      <c r="V235" s="34">
        <f xml:space="preserve">L235</f>
        <v>51.9865510775928</v>
      </c>
      <c r="W235" s="34">
        <v>3</v>
      </c>
      <c r="AG235" s="232" t="s">
        <v>437</v>
      </c>
      <c r="AI235">
        <v>1</v>
      </c>
      <c r="AJ235">
        <v>1.00078941646338</v>
      </c>
      <c r="AK235">
        <v>1.21581050640933</v>
      </c>
      <c r="AL235">
        <v>1.40669245927961</v>
      </c>
      <c r="AM235">
        <v>1.63133174234812</v>
      </c>
      <c r="AN235">
        <v>1.8882728451538</v>
      </c>
      <c r="AO235">
        <v>2.17187201987731</v>
      </c>
      <c r="AP235">
        <v>2.4767316393066</v>
      </c>
      <c r="AQ235">
        <v>2.80352684491355</v>
      </c>
      <c r="AR235">
        <v>3.15394057256684</v>
      </c>
      <c r="AS235">
        <v>3.53248082243297</v>
      </c>
      <c r="AT235">
        <v>3.93194269688489</v>
      </c>
      <c r="AU235">
        <v>4.34651397012136</v>
      </c>
      <c r="AV235">
        <v>4.7681845383142</v>
      </c>
      <c r="AW235">
        <v>5.19480310825725</v>
      </c>
      <c r="AX235">
        <v>5.62658057118297</v>
      </c>
      <c r="AY235">
        <v>6.06334183892459</v>
      </c>
      <c r="AZ235">
        <v>6.50553932545227</v>
      </c>
      <c r="BA235">
        <v>0</v>
      </c>
      <c r="BB235">
        <v>0</v>
      </c>
      <c r="BC235">
        <v>0</v>
      </c>
      <c r="BD235">
        <v>0</v>
      </c>
      <c r="BE235">
        <v>0</v>
      </c>
      <c r="BF235">
        <v>0</v>
      </c>
      <c r="BG235">
        <v>0</v>
      </c>
      <c r="BH235">
        <v>0</v>
      </c>
      <c r="BJ235" t="s">
        <v>438</v>
      </c>
      <c r="BL235">
        <v>1</v>
      </c>
      <c r="BM235">
        <v>0.997560975609757</v>
      </c>
      <c r="BN235">
        <v>0.985365853658537</v>
      </c>
      <c r="BO235">
        <v>0.973170731707317</v>
      </c>
      <c r="BP235">
        <v>0.960975609756098</v>
      </c>
      <c r="BQ235">
        <v>0.948780487804878</v>
      </c>
      <c r="BR235">
        <v>0.936585365853658</v>
      </c>
      <c r="BS235">
        <v>0.924390243902439</v>
      </c>
      <c r="BT235">
        <v>0.91219512195122</v>
      </c>
      <c r="BU235">
        <v>0.9</v>
      </c>
      <c r="BV235">
        <v>0.8875</v>
      </c>
      <c r="BW235">
        <v>0.875000000000001</v>
      </c>
      <c r="BX235">
        <v>0.862500000000001</v>
      </c>
      <c r="BY235">
        <v>0.850000000000001</v>
      </c>
      <c r="BZ235">
        <v>0.8375</v>
      </c>
      <c r="CA235">
        <v>0.825000000000001</v>
      </c>
      <c r="CB235">
        <v>0.812500000000001</v>
      </c>
      <c r="CC235">
        <v>0.800000000000001</v>
      </c>
      <c r="CD235" t="e">
        <v>#VALUE!</v>
      </c>
      <c r="CE235" t="e">
        <v>#VALUE!</v>
      </c>
      <c r="CF235" t="e">
        <v>#VALUE!</v>
      </c>
      <c r="CG235" t="e">
        <v>#VALUE!</v>
      </c>
      <c r="CH235" t="e">
        <v>#VALUE!</v>
      </c>
      <c r="CI235" t="e">
        <v>#VALUE!</v>
      </c>
      <c r="CJ235" t="e">
        <v>#VALUE!</v>
      </c>
      <c r="CK235" t="e">
        <v>#VALUE!</v>
      </c>
    </row>
    <row r="236" spans="1:89">
      <c r="A236" s="34" t="s">
        <v>23</v>
      </c>
      <c r="B236" s="34" t="s">
        <v>444</v>
      </c>
      <c r="C236" s="34" t="s">
        <v>444</v>
      </c>
      <c r="D236" s="34"/>
      <c r="E236" s="34">
        <v>361.380565652376</v>
      </c>
      <c r="F236" s="34">
        <f xml:space="preserve">E236</f>
        <v>361.380565652376</v>
      </c>
      <c r="G236" s="34"/>
      <c r="H236" s="34"/>
      <c r="I236" s="34">
        <f xml:space="preserve">F236</f>
        <v>361.380565652376</v>
      </c>
      <c r="J236" s="34">
        <f xml:space="preserve">I236</f>
        <v>361.380565652376</v>
      </c>
      <c r="K236" s="34"/>
      <c r="L236" s="34">
        <f xml:space="preserve">J236</f>
        <v>361.380565652376</v>
      </c>
      <c r="M236" s="34"/>
      <c r="N236" s="34"/>
      <c r="O236" s="34"/>
      <c r="P236" s="34"/>
      <c r="Q236" s="34"/>
      <c r="R236" s="34"/>
      <c r="S236" s="34"/>
      <c r="T236" s="34"/>
      <c r="U236" s="34"/>
      <c r="V236" s="34">
        <f xml:space="preserve">L236</f>
        <v>361.380565652376</v>
      </c>
      <c r="W236" s="34">
        <v>3</v>
      </c>
      <c r="AG236" s="232" t="s">
        <v>437</v>
      </c>
      <c r="AI236">
        <v>1</v>
      </c>
      <c r="AJ236">
        <v>1.00078941646338</v>
      </c>
      <c r="AK236">
        <v>1.21581050640933</v>
      </c>
      <c r="AL236">
        <v>1.40669245927961</v>
      </c>
      <c r="AM236">
        <v>1.63133174234812</v>
      </c>
      <c r="AN236">
        <v>1.8882728451538</v>
      </c>
      <c r="AO236">
        <v>2.17187201987731</v>
      </c>
      <c r="AP236">
        <v>2.4767316393066</v>
      </c>
      <c r="AQ236">
        <v>2.80352684491355</v>
      </c>
      <c r="AR236">
        <v>3.15394057256684</v>
      </c>
      <c r="AS236">
        <v>3.53248082243297</v>
      </c>
      <c r="AT236">
        <v>3.93194269688489</v>
      </c>
      <c r="AU236">
        <v>4.34651397012136</v>
      </c>
      <c r="AV236">
        <v>4.7681845383142</v>
      </c>
      <c r="AW236">
        <v>5.19480310825725</v>
      </c>
      <c r="AX236">
        <v>5.62658057118297</v>
      </c>
      <c r="AY236">
        <v>6.06334183892459</v>
      </c>
      <c r="AZ236">
        <v>6.50553932545227</v>
      </c>
      <c r="BA236">
        <v>0</v>
      </c>
      <c r="BB236">
        <v>0</v>
      </c>
      <c r="BC236">
        <v>0</v>
      </c>
      <c r="BD236">
        <v>0</v>
      </c>
      <c r="BE236">
        <v>0</v>
      </c>
      <c r="BF236">
        <v>0</v>
      </c>
      <c r="BG236">
        <v>0</v>
      </c>
      <c r="BH236">
        <v>0</v>
      </c>
      <c r="BJ236" t="s">
        <v>438</v>
      </c>
      <c r="BL236">
        <v>1</v>
      </c>
      <c r="BM236">
        <v>0.997560975609757</v>
      </c>
      <c r="BN236">
        <v>0.985365853658537</v>
      </c>
      <c r="BO236">
        <v>0.973170731707317</v>
      </c>
      <c r="BP236">
        <v>0.960975609756098</v>
      </c>
      <c r="BQ236">
        <v>0.948780487804878</v>
      </c>
      <c r="BR236">
        <v>0.936585365853658</v>
      </c>
      <c r="BS236">
        <v>0.924390243902439</v>
      </c>
      <c r="BT236">
        <v>0.91219512195122</v>
      </c>
      <c r="BU236">
        <v>0.9</v>
      </c>
      <c r="BV236">
        <v>0.8875</v>
      </c>
      <c r="BW236">
        <v>0.875000000000001</v>
      </c>
      <c r="BX236">
        <v>0.862500000000001</v>
      </c>
      <c r="BY236">
        <v>0.850000000000001</v>
      </c>
      <c r="BZ236">
        <v>0.8375</v>
      </c>
      <c r="CA236">
        <v>0.825000000000001</v>
      </c>
      <c r="CB236">
        <v>0.812500000000001</v>
      </c>
      <c r="CC236">
        <v>0.800000000000001</v>
      </c>
      <c r="CD236" t="e">
        <v>#VALUE!</v>
      </c>
      <c r="CE236" t="e">
        <v>#VALUE!</v>
      </c>
      <c r="CF236" t="e">
        <v>#VALUE!</v>
      </c>
      <c r="CG236" t="e">
        <v>#VALUE!</v>
      </c>
      <c r="CH236" t="e">
        <v>#VALUE!</v>
      </c>
      <c r="CI236" t="e">
        <v>#VALUE!</v>
      </c>
      <c r="CJ236" t="e">
        <v>#VALUE!</v>
      </c>
      <c r="CK236" t="e">
        <v>#VALUE!</v>
      </c>
    </row>
    <row r="237" spans="1:89">
      <c r="A237" s="34" t="s">
        <v>23</v>
      </c>
      <c r="B237" s="34" t="s">
        <v>445</v>
      </c>
      <c r="C237" s="34" t="s">
        <v>445</v>
      </c>
      <c r="D237" s="34">
        <v>22.827</v>
      </c>
      <c r="E237" s="34">
        <v>23.0101764321669</v>
      </c>
      <c r="F237" s="34"/>
      <c r="G237" s="34">
        <v>23.9147817978553</v>
      </c>
      <c r="H237" s="34">
        <v>24.8086566291136</v>
      </c>
      <c r="I237" s="34">
        <v>25.5704276713073</v>
      </c>
      <c r="J237" s="34">
        <v>26.1812587682614</v>
      </c>
      <c r="K237" s="34">
        <v>26.6421770951213</v>
      </c>
      <c r="L237" s="34">
        <v>26.9647075212705</v>
      </c>
      <c r="M237" s="34">
        <v>27.1623965626716</v>
      </c>
      <c r="N237" s="34">
        <v>27.2473453812649</v>
      </c>
      <c r="O237" s="34">
        <v>27.2396302421622</v>
      </c>
      <c r="P237" s="34">
        <v>27.149211166884</v>
      </c>
      <c r="Q237" s="34">
        <v>26.9834852100969</v>
      </c>
      <c r="R237" s="34">
        <v>26.745945231686</v>
      </c>
      <c r="S237" s="34">
        <v>26.452263224649</v>
      </c>
      <c r="T237" s="34">
        <v>26.1174312803521</v>
      </c>
      <c r="U237" s="34">
        <v>25.7548512390089</v>
      </c>
      <c r="V237" s="34">
        <v>25.3802434275939</v>
      </c>
      <c r="W237" s="34">
        <v>3</v>
      </c>
      <c r="AG237" s="232" t="s">
        <v>442</v>
      </c>
      <c r="AI237">
        <v>1</v>
      </c>
      <c r="AJ237">
        <v>1.0080441712141</v>
      </c>
      <c r="AK237">
        <v>1.04826224486976</v>
      </c>
      <c r="AL237">
        <v>1.08852385986843</v>
      </c>
      <c r="AM237">
        <v>1.12330523906063</v>
      </c>
      <c r="AN237">
        <v>1.15158756914341</v>
      </c>
      <c r="AO237">
        <v>1.17323383829214</v>
      </c>
      <c r="AP237">
        <v>1.18859875487242</v>
      </c>
      <c r="AQ237">
        <v>1.19815163673558</v>
      </c>
      <c r="AR237">
        <v>1.20231513639837</v>
      </c>
      <c r="AS237">
        <v>1.20193154441986</v>
      </c>
      <c r="AT237">
        <v>1.19737190464594</v>
      </c>
      <c r="AU237">
        <v>1.18889761547766</v>
      </c>
      <c r="AV237">
        <v>1.17658460638582</v>
      </c>
      <c r="AW237">
        <v>1.16115844981834</v>
      </c>
      <c r="AX237">
        <v>1.14334280329392</v>
      </c>
      <c r="AY237">
        <v>1.12380721355103</v>
      </c>
      <c r="AZ237">
        <v>1.10337480273967</v>
      </c>
      <c r="BA237">
        <v>0</v>
      </c>
      <c r="BB237">
        <v>0</v>
      </c>
      <c r="BC237">
        <v>0</v>
      </c>
      <c r="BD237">
        <v>0</v>
      </c>
      <c r="BE237">
        <v>0</v>
      </c>
      <c r="BF237">
        <v>0</v>
      </c>
      <c r="BG237">
        <v>0</v>
      </c>
      <c r="BH237">
        <v>0</v>
      </c>
      <c r="BJ237" t="s">
        <v>438</v>
      </c>
      <c r="BL237">
        <v>1</v>
      </c>
      <c r="BM237">
        <v>0.997560975609757</v>
      </c>
      <c r="BN237">
        <v>0.985365853658537</v>
      </c>
      <c r="BO237">
        <v>0.973170731707317</v>
      </c>
      <c r="BP237">
        <v>0.960975609756098</v>
      </c>
      <c r="BQ237">
        <v>0.948780487804878</v>
      </c>
      <c r="BR237">
        <v>0.936585365853658</v>
      </c>
      <c r="BS237">
        <v>0.924390243902439</v>
      </c>
      <c r="BT237">
        <v>0.91219512195122</v>
      </c>
      <c r="BU237">
        <v>0.9</v>
      </c>
      <c r="BV237">
        <v>0.8875</v>
      </c>
      <c r="BW237">
        <v>0.875000000000001</v>
      </c>
      <c r="BX237">
        <v>0.862500000000001</v>
      </c>
      <c r="BY237">
        <v>0.850000000000001</v>
      </c>
      <c r="BZ237">
        <v>0.8375</v>
      </c>
      <c r="CA237">
        <v>0.825000000000001</v>
      </c>
      <c r="CB237">
        <v>0.812500000000001</v>
      </c>
      <c r="CC237">
        <v>0.800000000000001</v>
      </c>
      <c r="CD237" t="e">
        <v>#VALUE!</v>
      </c>
      <c r="CE237" t="e">
        <v>#VALUE!</v>
      </c>
      <c r="CF237" t="e">
        <v>#VALUE!</v>
      </c>
      <c r="CG237" t="e">
        <v>#VALUE!</v>
      </c>
      <c r="CH237" t="e">
        <v>#VALUE!</v>
      </c>
      <c r="CI237" t="e">
        <v>#VALUE!</v>
      </c>
      <c r="CJ237" t="e">
        <v>#VALUE!</v>
      </c>
      <c r="CK237" t="e">
        <v>#VALUE!</v>
      </c>
    </row>
    <row r="238" spans="1:89">
      <c r="A238" s="34" t="s">
        <v>23</v>
      </c>
      <c r="B238" s="34" t="s">
        <v>446</v>
      </c>
      <c r="C238" s="34" t="s">
        <v>446</v>
      </c>
      <c r="D238" s="34">
        <v>5.145</v>
      </c>
      <c r="E238" s="34">
        <v>5.18628631635777</v>
      </c>
      <c r="F238" s="34"/>
      <c r="G238" s="34">
        <v>5.39017621018817</v>
      </c>
      <c r="H238" s="34">
        <v>5.59164753830068</v>
      </c>
      <c r="I238" s="34">
        <v>5.76334386335814</v>
      </c>
      <c r="J238" s="34">
        <v>5.9010196855787</v>
      </c>
      <c r="K238" s="34">
        <v>6.00490652097951</v>
      </c>
      <c r="L238" s="34">
        <v>6.07760197121553</v>
      </c>
      <c r="M238" s="34">
        <v>6.12215929885421</v>
      </c>
      <c r="N238" s="34">
        <v>6.14130599669723</v>
      </c>
      <c r="O238" s="34">
        <v>6.13956707390041</v>
      </c>
      <c r="P238" s="34">
        <v>6.11918742951848</v>
      </c>
      <c r="Q238" s="34">
        <v>6.08183429298411</v>
      </c>
      <c r="R238" s="34">
        <v>6.0282949234251</v>
      </c>
      <c r="S238" s="34">
        <v>5.96210164677002</v>
      </c>
      <c r="T238" s="34">
        <v>5.88663354524954</v>
      </c>
      <c r="U238" s="34">
        <v>5.80491127282168</v>
      </c>
      <c r="V238" s="34">
        <v>5.72047804945768</v>
      </c>
      <c r="W238" s="34">
        <v>3</v>
      </c>
      <c r="AG238" s="232" t="s">
        <v>442</v>
      </c>
      <c r="AI238">
        <v>1</v>
      </c>
      <c r="AJ238">
        <v>1.0080441712141</v>
      </c>
      <c r="AK238">
        <v>1.04826224486976</v>
      </c>
      <c r="AL238">
        <v>1.08852385986843</v>
      </c>
      <c r="AM238">
        <v>1.12330523906063</v>
      </c>
      <c r="AN238">
        <v>1.15158756914341</v>
      </c>
      <c r="AO238">
        <v>1.17323383829214</v>
      </c>
      <c r="AP238">
        <v>1.18859875487242</v>
      </c>
      <c r="AQ238">
        <v>1.19815163673558</v>
      </c>
      <c r="AR238">
        <v>1.20231513639837</v>
      </c>
      <c r="AS238">
        <v>1.20193154441986</v>
      </c>
      <c r="AT238">
        <v>1.19737190464594</v>
      </c>
      <c r="AU238">
        <v>1.18889761547766</v>
      </c>
      <c r="AV238">
        <v>1.17658460638582</v>
      </c>
      <c r="AW238">
        <v>1.16115844981834</v>
      </c>
      <c r="AX238">
        <v>1.14334280329392</v>
      </c>
      <c r="AY238">
        <v>1.12380721355103</v>
      </c>
      <c r="AZ238">
        <v>1.10337480273967</v>
      </c>
      <c r="BA238">
        <v>0</v>
      </c>
      <c r="BB238">
        <v>0</v>
      </c>
      <c r="BC238">
        <v>0</v>
      </c>
      <c r="BD238">
        <v>0</v>
      </c>
      <c r="BE238">
        <v>0</v>
      </c>
      <c r="BF238">
        <v>0</v>
      </c>
      <c r="BG238">
        <v>0</v>
      </c>
      <c r="BH238">
        <v>0</v>
      </c>
      <c r="BJ238" t="s">
        <v>438</v>
      </c>
      <c r="BL238">
        <v>1</v>
      </c>
      <c r="BM238">
        <v>0.997560975609757</v>
      </c>
      <c r="BN238">
        <v>0.985365853658537</v>
      </c>
      <c r="BO238">
        <v>0.973170731707317</v>
      </c>
      <c r="BP238">
        <v>0.960975609756098</v>
      </c>
      <c r="BQ238">
        <v>0.948780487804878</v>
      </c>
      <c r="BR238">
        <v>0.936585365853658</v>
      </c>
      <c r="BS238">
        <v>0.924390243902439</v>
      </c>
      <c r="BT238">
        <v>0.91219512195122</v>
      </c>
      <c r="BU238">
        <v>0.9</v>
      </c>
      <c r="BV238">
        <v>0.8875</v>
      </c>
      <c r="BW238">
        <v>0.875000000000001</v>
      </c>
      <c r="BX238">
        <v>0.862500000000001</v>
      </c>
      <c r="BY238">
        <v>0.850000000000001</v>
      </c>
      <c r="BZ238">
        <v>0.8375</v>
      </c>
      <c r="CA238">
        <v>0.825000000000001</v>
      </c>
      <c r="CB238">
        <v>0.812500000000001</v>
      </c>
      <c r="CC238">
        <v>0.800000000000001</v>
      </c>
      <c r="CD238" t="e">
        <v>#VALUE!</v>
      </c>
      <c r="CE238" t="e">
        <v>#VALUE!</v>
      </c>
      <c r="CF238" t="e">
        <v>#VALUE!</v>
      </c>
      <c r="CG238" t="e">
        <v>#VALUE!</v>
      </c>
      <c r="CH238" t="e">
        <v>#VALUE!</v>
      </c>
      <c r="CI238" t="e">
        <v>#VALUE!</v>
      </c>
      <c r="CJ238" t="e">
        <v>#VALUE!</v>
      </c>
      <c r="CK238" t="e">
        <v>#VALUE!</v>
      </c>
    </row>
    <row r="239" spans="1:89">
      <c r="A239" s="34" t="s">
        <v>23</v>
      </c>
      <c r="B239" s="34" t="s">
        <v>447</v>
      </c>
      <c r="C239" s="34" t="s">
        <v>447</v>
      </c>
      <c r="D239" s="34">
        <v>16.765</v>
      </c>
      <c r="E239" s="34">
        <v>16.8995316022814</v>
      </c>
      <c r="F239" s="34"/>
      <c r="G239" s="34">
        <v>17.5639075148308</v>
      </c>
      <c r="H239" s="34">
        <v>18.2204025227621</v>
      </c>
      <c r="I239" s="34">
        <v>18.7798755819629</v>
      </c>
      <c r="J239" s="34">
        <v>19.2284927169537</v>
      </c>
      <c r="K239" s="34">
        <v>19.5670083234638</v>
      </c>
      <c r="L239" s="34">
        <v>19.8038866953213</v>
      </c>
      <c r="M239" s="34">
        <v>19.9490768989875</v>
      </c>
      <c r="N239" s="34">
        <v>20.0114664790338</v>
      </c>
      <c r="O239" s="34">
        <v>20.0058001931857</v>
      </c>
      <c r="P239" s="34">
        <v>19.9393930526486</v>
      </c>
      <c r="Q239" s="34">
        <v>19.8176777301999</v>
      </c>
      <c r="R239" s="34">
        <v>19.6432195123852</v>
      </c>
      <c r="S239" s="34">
        <v>19.4275284952574</v>
      </c>
      <c r="T239" s="34">
        <v>19.1816154297587</v>
      </c>
      <c r="U239" s="34">
        <v>18.9153231270856</v>
      </c>
      <c r="V239" s="34">
        <v>18.6401971815662</v>
      </c>
      <c r="W239" s="34">
        <v>3</v>
      </c>
      <c r="AG239" s="232" t="s">
        <v>442</v>
      </c>
      <c r="AI239">
        <v>1</v>
      </c>
      <c r="AJ239">
        <v>1.0080441712141</v>
      </c>
      <c r="AK239">
        <v>1.04826224486976</v>
      </c>
      <c r="AL239">
        <v>1.08852385986843</v>
      </c>
      <c r="AM239">
        <v>1.12330523906063</v>
      </c>
      <c r="AN239">
        <v>1.15158756914341</v>
      </c>
      <c r="AO239">
        <v>1.17323383829214</v>
      </c>
      <c r="AP239">
        <v>1.18859875487242</v>
      </c>
      <c r="AQ239">
        <v>1.19815163673558</v>
      </c>
      <c r="AR239">
        <v>1.20231513639837</v>
      </c>
      <c r="AS239">
        <v>1.20193154441986</v>
      </c>
      <c r="AT239">
        <v>1.19737190464594</v>
      </c>
      <c r="AU239">
        <v>1.18889761547766</v>
      </c>
      <c r="AV239">
        <v>1.17658460638582</v>
      </c>
      <c r="AW239">
        <v>1.16115844981834</v>
      </c>
      <c r="AX239">
        <v>1.14334280329392</v>
      </c>
      <c r="AY239">
        <v>1.12380721355103</v>
      </c>
      <c r="AZ239">
        <v>1.10337480273967</v>
      </c>
      <c r="BA239">
        <v>0</v>
      </c>
      <c r="BB239">
        <v>0</v>
      </c>
      <c r="BC239">
        <v>0</v>
      </c>
      <c r="BD239">
        <v>0</v>
      </c>
      <c r="BE239">
        <v>0</v>
      </c>
      <c r="BF239">
        <v>0</v>
      </c>
      <c r="BG239">
        <v>0</v>
      </c>
      <c r="BH239">
        <v>0</v>
      </c>
      <c r="BJ239" t="s">
        <v>438</v>
      </c>
      <c r="BL239">
        <v>1</v>
      </c>
      <c r="BM239">
        <v>0.997560975609757</v>
      </c>
      <c r="BN239">
        <v>0.985365853658537</v>
      </c>
      <c r="BO239">
        <v>0.973170731707317</v>
      </c>
      <c r="BP239">
        <v>0.960975609756098</v>
      </c>
      <c r="BQ239">
        <v>0.948780487804878</v>
      </c>
      <c r="BR239">
        <v>0.936585365853658</v>
      </c>
      <c r="BS239">
        <v>0.924390243902439</v>
      </c>
      <c r="BT239">
        <v>0.91219512195122</v>
      </c>
      <c r="BU239">
        <v>0.9</v>
      </c>
      <c r="BV239">
        <v>0.8875</v>
      </c>
      <c r="BW239">
        <v>0.875000000000001</v>
      </c>
      <c r="BX239">
        <v>0.862500000000001</v>
      </c>
      <c r="BY239">
        <v>0.850000000000001</v>
      </c>
      <c r="BZ239">
        <v>0.8375</v>
      </c>
      <c r="CA239">
        <v>0.825000000000001</v>
      </c>
      <c r="CB239">
        <v>0.812500000000001</v>
      </c>
      <c r="CC239">
        <v>0.800000000000001</v>
      </c>
      <c r="CD239" t="e">
        <v>#VALUE!</v>
      </c>
      <c r="CE239" t="e">
        <v>#VALUE!</v>
      </c>
      <c r="CF239" t="e">
        <v>#VALUE!</v>
      </c>
      <c r="CG239" t="e">
        <v>#VALUE!</v>
      </c>
      <c r="CH239" t="e">
        <v>#VALUE!</v>
      </c>
      <c r="CI239" t="e">
        <v>#VALUE!</v>
      </c>
      <c r="CJ239" t="e">
        <v>#VALUE!</v>
      </c>
      <c r="CK239" t="e">
        <v>#VALUE!</v>
      </c>
    </row>
    <row r="240" spans="1:89">
      <c r="A240" s="34" t="s">
        <v>23</v>
      </c>
      <c r="B240" s="34" t="s">
        <v>448</v>
      </c>
      <c r="C240" s="34" t="s">
        <v>448</v>
      </c>
      <c r="D240" s="34">
        <v>803.328</v>
      </c>
      <c r="E240" s="34">
        <v>797.560660349608</v>
      </c>
      <c r="F240" s="34"/>
      <c r="G240" s="34">
        <v>929.780185258728</v>
      </c>
      <c r="H240" s="34">
        <v>1033.11721180092</v>
      </c>
      <c r="I240" s="34">
        <v>1156.0111815092</v>
      </c>
      <c r="J240" s="34">
        <v>1297.58213678564</v>
      </c>
      <c r="K240" s="34">
        <v>1454.31724085563</v>
      </c>
      <c r="L240" s="34">
        <v>1623.2030962136</v>
      </c>
      <c r="M240" s="34">
        <v>1805.20969663489</v>
      </c>
      <c r="N240" s="34">
        <v>2001.95071552467</v>
      </c>
      <c r="O240" s="34">
        <v>2215.83151876672</v>
      </c>
      <c r="P240" s="34">
        <v>2443.30001861929</v>
      </c>
      <c r="Q240" s="34">
        <v>2682.09637551408</v>
      </c>
      <c r="R240" s="34">
        <v>2929.43858405422</v>
      </c>
      <c r="S240" s="34">
        <v>3184.45946218753</v>
      </c>
      <c r="T240" s="34">
        <v>3447.16266069794</v>
      </c>
      <c r="U240" s="34">
        <v>3717.04240420908</v>
      </c>
      <c r="V240" s="34">
        <v>3992.99054474614</v>
      </c>
      <c r="W240" s="34">
        <v>3</v>
      </c>
      <c r="AG240" s="232" t="s">
        <v>449</v>
      </c>
      <c r="AI240">
        <v>1</v>
      </c>
      <c r="AJ240">
        <v>0.992803138039093</v>
      </c>
      <c r="AK240">
        <v>1.15983429944134</v>
      </c>
      <c r="AL240">
        <v>1.29229363833112</v>
      </c>
      <c r="AM240">
        <v>1.45226042363368</v>
      </c>
      <c r="AN240">
        <v>1.63971277195912</v>
      </c>
      <c r="AO240">
        <v>1.85118426437382</v>
      </c>
      <c r="AP240">
        <v>2.08374073181024</v>
      </c>
      <c r="AQ240">
        <v>2.3398764888824</v>
      </c>
      <c r="AR240">
        <v>2.62322287816713</v>
      </c>
      <c r="AS240">
        <v>2.93900333911114</v>
      </c>
      <c r="AT240">
        <v>3.28381072048585</v>
      </c>
      <c r="AU240">
        <v>3.65591949511571</v>
      </c>
      <c r="AV240">
        <v>4.05256410158288</v>
      </c>
      <c r="AW240">
        <v>4.47381070952889</v>
      </c>
      <c r="AX240">
        <v>4.92116673579703</v>
      </c>
      <c r="AY240">
        <v>5.39535764302982</v>
      </c>
      <c r="AZ240">
        <v>5.89603760145609</v>
      </c>
      <c r="BA240">
        <v>0</v>
      </c>
      <c r="BB240">
        <v>0</v>
      </c>
      <c r="BC240">
        <v>0</v>
      </c>
      <c r="BD240">
        <v>0</v>
      </c>
      <c r="BE240">
        <v>0</v>
      </c>
      <c r="BF240">
        <v>0</v>
      </c>
      <c r="BG240">
        <v>0</v>
      </c>
      <c r="BH240">
        <v>0</v>
      </c>
      <c r="BJ240" t="s">
        <v>438</v>
      </c>
      <c r="BL240">
        <v>1</v>
      </c>
      <c r="BM240">
        <v>0.997560975609757</v>
      </c>
      <c r="BN240">
        <v>0.985365853658537</v>
      </c>
      <c r="BO240">
        <v>0.973170731707317</v>
      </c>
      <c r="BP240">
        <v>0.960975609756098</v>
      </c>
      <c r="BQ240">
        <v>0.948780487804878</v>
      </c>
      <c r="BR240">
        <v>0.936585365853658</v>
      </c>
      <c r="BS240">
        <v>0.924390243902439</v>
      </c>
      <c r="BT240">
        <v>0.91219512195122</v>
      </c>
      <c r="BU240">
        <v>0.9</v>
      </c>
      <c r="BV240">
        <v>0.8875</v>
      </c>
      <c r="BW240">
        <v>0.875000000000001</v>
      </c>
      <c r="BX240">
        <v>0.862500000000001</v>
      </c>
      <c r="BY240">
        <v>0.850000000000001</v>
      </c>
      <c r="BZ240">
        <v>0.8375</v>
      </c>
      <c r="CA240">
        <v>0.825000000000001</v>
      </c>
      <c r="CB240">
        <v>0.812500000000001</v>
      </c>
      <c r="CC240">
        <v>0.800000000000001</v>
      </c>
      <c r="CD240" t="e">
        <v>#VALUE!</v>
      </c>
      <c r="CE240" t="e">
        <v>#VALUE!</v>
      </c>
      <c r="CF240" t="e">
        <v>#VALUE!</v>
      </c>
      <c r="CG240" t="e">
        <v>#VALUE!</v>
      </c>
      <c r="CH240" t="e">
        <v>#VALUE!</v>
      </c>
      <c r="CI240" t="e">
        <v>#VALUE!</v>
      </c>
      <c r="CJ240" t="e">
        <v>#VALUE!</v>
      </c>
      <c r="CK240" t="e">
        <v>#VALUE!</v>
      </c>
    </row>
    <row r="241" spans="1:89">
      <c r="A241" s="34" t="s">
        <v>23</v>
      </c>
      <c r="B241" s="34" t="s">
        <v>450</v>
      </c>
      <c r="C241" s="34" t="s">
        <v>450</v>
      </c>
      <c r="D241" s="34">
        <v>167.7</v>
      </c>
      <c r="E241" s="34">
        <v>167.832062250321</v>
      </c>
      <c r="F241" s="34"/>
      <c r="G241" s="34">
        <v>203.36333745473</v>
      </c>
      <c r="H241" s="34">
        <v>234.434727091288</v>
      </c>
      <c r="I241" s="34">
        <v>270.411388162459</v>
      </c>
      <c r="J241" s="34">
        <v>310.820752546398</v>
      </c>
      <c r="K241" s="34">
        <v>354.542507947354</v>
      </c>
      <c r="L241" s="34">
        <v>400.545845236838</v>
      </c>
      <c r="M241" s="34">
        <v>448.755797451494</v>
      </c>
      <c r="N241" s="34">
        <v>499.236916570675</v>
      </c>
      <c r="O241" s="34">
        <v>552.41511404419</v>
      </c>
      <c r="P241" s="34">
        <v>607.075051216112</v>
      </c>
      <c r="Q241" s="34">
        <v>662.28197069296</v>
      </c>
      <c r="R241" s="34">
        <v>716.894723414988</v>
      </c>
      <c r="S241" s="34">
        <v>770.61359731093</v>
      </c>
      <c r="T241" s="34">
        <v>823.455870835527</v>
      </c>
      <c r="U241" s="34">
        <v>875.391246280586</v>
      </c>
      <c r="V241" s="34">
        <v>926.464838252404</v>
      </c>
      <c r="W241" s="34">
        <v>3</v>
      </c>
      <c r="AG241" s="232" t="s">
        <v>437</v>
      </c>
      <c r="AI241">
        <v>1</v>
      </c>
      <c r="AJ241">
        <v>1.00078941646338</v>
      </c>
      <c r="AK241">
        <v>1.21581050640933</v>
      </c>
      <c r="AL241">
        <v>1.40669245927961</v>
      </c>
      <c r="AM241">
        <v>1.63133174234812</v>
      </c>
      <c r="AN241">
        <v>1.8882728451538</v>
      </c>
      <c r="AO241">
        <v>2.17187201987731</v>
      </c>
      <c r="AP241">
        <v>2.4767316393066</v>
      </c>
      <c r="AQ241">
        <v>2.80352684491355</v>
      </c>
      <c r="AR241">
        <v>3.15394057256684</v>
      </c>
      <c r="AS241">
        <v>3.53248082243297</v>
      </c>
      <c r="AT241">
        <v>3.93194269688489</v>
      </c>
      <c r="AU241">
        <v>4.34651397012136</v>
      </c>
      <c r="AV241">
        <v>4.7681845383142</v>
      </c>
      <c r="AW241">
        <v>5.19480310825725</v>
      </c>
      <c r="AX241">
        <v>5.62658057118297</v>
      </c>
      <c r="AY241">
        <v>6.06334183892459</v>
      </c>
      <c r="AZ241">
        <v>6.50553932545227</v>
      </c>
      <c r="BA241">
        <v>0</v>
      </c>
      <c r="BB241">
        <v>0</v>
      </c>
      <c r="BC241">
        <v>0</v>
      </c>
      <c r="BD241">
        <v>0</v>
      </c>
      <c r="BE241">
        <v>0</v>
      </c>
      <c r="BF241">
        <v>0</v>
      </c>
      <c r="BG241">
        <v>0</v>
      </c>
      <c r="BH241">
        <v>0</v>
      </c>
      <c r="BJ241" t="s">
        <v>438</v>
      </c>
      <c r="BL241">
        <v>1</v>
      </c>
      <c r="BM241">
        <v>0.997560975609757</v>
      </c>
      <c r="BN241">
        <v>0.985365853658537</v>
      </c>
      <c r="BO241">
        <v>0.973170731707317</v>
      </c>
      <c r="BP241">
        <v>0.960975609756098</v>
      </c>
      <c r="BQ241">
        <v>0.948780487804878</v>
      </c>
      <c r="BR241">
        <v>0.936585365853658</v>
      </c>
      <c r="BS241">
        <v>0.924390243902439</v>
      </c>
      <c r="BT241">
        <v>0.91219512195122</v>
      </c>
      <c r="BU241">
        <v>0.9</v>
      </c>
      <c r="BV241">
        <v>0.8875</v>
      </c>
      <c r="BW241">
        <v>0.875000000000001</v>
      </c>
      <c r="BX241">
        <v>0.862500000000001</v>
      </c>
      <c r="BY241">
        <v>0.850000000000001</v>
      </c>
      <c r="BZ241">
        <v>0.8375</v>
      </c>
      <c r="CA241">
        <v>0.825000000000001</v>
      </c>
      <c r="CB241">
        <v>0.812500000000001</v>
      </c>
      <c r="CC241">
        <v>0.800000000000001</v>
      </c>
      <c r="CD241" t="e">
        <v>#VALUE!</v>
      </c>
      <c r="CE241" t="e">
        <v>#VALUE!</v>
      </c>
      <c r="CF241" t="e">
        <v>#VALUE!</v>
      </c>
      <c r="CG241" t="e">
        <v>#VALUE!</v>
      </c>
      <c r="CH241" t="e">
        <v>#VALUE!</v>
      </c>
      <c r="CI241" t="e">
        <v>#VALUE!</v>
      </c>
      <c r="CJ241" t="e">
        <v>#VALUE!</v>
      </c>
      <c r="CK241" t="e">
        <v>#VALUE!</v>
      </c>
    </row>
    <row r="242" spans="1:89">
      <c r="A242" s="34" t="s">
        <v>23</v>
      </c>
      <c r="B242" s="34" t="s">
        <v>451</v>
      </c>
      <c r="C242" s="34" t="s">
        <v>451</v>
      </c>
      <c r="D242" s="34">
        <v>102.28</v>
      </c>
      <c r="E242" s="34">
        <v>102.360544585348</v>
      </c>
      <c r="F242" s="34"/>
      <c r="G242" s="34">
        <v>124.031020601489</v>
      </c>
      <c r="H242" s="34">
        <v>142.981418526517</v>
      </c>
      <c r="I242" s="34">
        <v>164.923534771952</v>
      </c>
      <c r="J242" s="34">
        <v>189.569150688405</v>
      </c>
      <c r="K242" s="34">
        <v>216.234989343204</v>
      </c>
      <c r="L242" s="34">
        <v>244.292361662634</v>
      </c>
      <c r="M242" s="34">
        <v>273.695545398562</v>
      </c>
      <c r="N242" s="34">
        <v>304.483910714661</v>
      </c>
      <c r="O242" s="34">
        <v>336.917220420034</v>
      </c>
      <c r="P242" s="34">
        <v>370.254241135265</v>
      </c>
      <c r="Q242" s="34">
        <v>403.924865608086</v>
      </c>
      <c r="R242" s="34">
        <v>437.233108592039</v>
      </c>
      <c r="S242" s="34">
        <v>469.996176105915</v>
      </c>
      <c r="T242" s="34">
        <v>502.224606255562</v>
      </c>
      <c r="U242" s="34">
        <v>533.899920510307</v>
      </c>
      <c r="V242" s="34">
        <v>565.049634206655</v>
      </c>
      <c r="W242" s="34">
        <v>3</v>
      </c>
      <c r="AG242" s="232" t="s">
        <v>437</v>
      </c>
      <c r="AI242">
        <v>1</v>
      </c>
      <c r="AJ242">
        <v>1.00078941646338</v>
      </c>
      <c r="AK242">
        <v>1.21581050640933</v>
      </c>
      <c r="AL242">
        <v>1.40669245927961</v>
      </c>
      <c r="AM242">
        <v>1.63133174234812</v>
      </c>
      <c r="AN242">
        <v>1.8882728451538</v>
      </c>
      <c r="AO242">
        <v>2.17187201987731</v>
      </c>
      <c r="AP242">
        <v>2.4767316393066</v>
      </c>
      <c r="AQ242">
        <v>2.80352684491355</v>
      </c>
      <c r="AR242">
        <v>3.15394057256684</v>
      </c>
      <c r="AS242">
        <v>3.53248082243297</v>
      </c>
      <c r="AT242">
        <v>3.93194269688489</v>
      </c>
      <c r="AU242">
        <v>4.34651397012136</v>
      </c>
      <c r="AV242">
        <v>4.7681845383142</v>
      </c>
      <c r="AW242">
        <v>5.19480310825725</v>
      </c>
      <c r="AX242">
        <v>5.62658057118297</v>
      </c>
      <c r="AY242">
        <v>6.06334183892459</v>
      </c>
      <c r="AZ242">
        <v>6.50553932545227</v>
      </c>
      <c r="BA242">
        <v>0</v>
      </c>
      <c r="BB242">
        <v>0</v>
      </c>
      <c r="BC242">
        <v>0</v>
      </c>
      <c r="BD242">
        <v>0</v>
      </c>
      <c r="BE242">
        <v>0</v>
      </c>
      <c r="BF242">
        <v>0</v>
      </c>
      <c r="BG242">
        <v>0</v>
      </c>
      <c r="BH242">
        <v>0</v>
      </c>
      <c r="BJ242" t="s">
        <v>438</v>
      </c>
      <c r="BL242">
        <v>1</v>
      </c>
      <c r="BM242">
        <v>0.997560975609757</v>
      </c>
      <c r="BN242">
        <v>0.985365853658537</v>
      </c>
      <c r="BO242">
        <v>0.973170731707317</v>
      </c>
      <c r="BP242">
        <v>0.960975609756098</v>
      </c>
      <c r="BQ242">
        <v>0.948780487804878</v>
      </c>
      <c r="BR242">
        <v>0.936585365853658</v>
      </c>
      <c r="BS242">
        <v>0.924390243902439</v>
      </c>
      <c r="BT242">
        <v>0.91219512195122</v>
      </c>
      <c r="BU242">
        <v>0.9</v>
      </c>
      <c r="BV242">
        <v>0.8875</v>
      </c>
      <c r="BW242">
        <v>0.875000000000001</v>
      </c>
      <c r="BX242">
        <v>0.862500000000001</v>
      </c>
      <c r="BY242">
        <v>0.850000000000001</v>
      </c>
      <c r="BZ242">
        <v>0.8375</v>
      </c>
      <c r="CA242">
        <v>0.825000000000001</v>
      </c>
      <c r="CB242">
        <v>0.812500000000001</v>
      </c>
      <c r="CC242">
        <v>0.800000000000001</v>
      </c>
      <c r="CD242" t="e">
        <v>#VALUE!</v>
      </c>
      <c r="CE242" t="e">
        <v>#VALUE!</v>
      </c>
      <c r="CF242" t="e">
        <v>#VALUE!</v>
      </c>
      <c r="CG242" t="e">
        <v>#VALUE!</v>
      </c>
      <c r="CH242" t="e">
        <v>#VALUE!</v>
      </c>
      <c r="CI242" t="e">
        <v>#VALUE!</v>
      </c>
      <c r="CJ242" t="e">
        <v>#VALUE!</v>
      </c>
      <c r="CK242" t="e">
        <v>#VALUE!</v>
      </c>
    </row>
    <row r="243" spans="1:89">
      <c r="A243" s="34" t="s">
        <v>24</v>
      </c>
      <c r="B243" s="34" t="s">
        <v>436</v>
      </c>
      <c r="C243" s="34" t="s">
        <v>436</v>
      </c>
      <c r="D243" s="34"/>
      <c r="E243" s="34">
        <v>60.7568958307909</v>
      </c>
      <c r="F243" s="34">
        <f xml:space="preserve">E243</f>
        <v>60.7568958307909</v>
      </c>
      <c r="G243" s="34"/>
      <c r="H243" s="34"/>
      <c r="I243" s="34">
        <f xml:space="preserve">F243</f>
        <v>60.7568958307909</v>
      </c>
      <c r="J243" s="34">
        <f xml:space="preserve">I243</f>
        <v>60.7568958307909</v>
      </c>
      <c r="K243" s="34"/>
      <c r="L243" s="34">
        <f xml:space="preserve">J243</f>
        <v>60.7568958307909</v>
      </c>
      <c r="M243" s="34"/>
      <c r="N243" s="34"/>
      <c r="O243" s="34"/>
      <c r="P243" s="34"/>
      <c r="Q243" s="34"/>
      <c r="R243" s="34"/>
      <c r="S243" s="34"/>
      <c r="T243" s="34"/>
      <c r="U243" s="34"/>
      <c r="V243" s="34">
        <f xml:space="preserve">L243</f>
        <v>60.7568958307909</v>
      </c>
      <c r="W243" s="34">
        <v>3</v>
      </c>
      <c r="AG243" s="232" t="s">
        <v>437</v>
      </c>
      <c r="AI243">
        <v>1</v>
      </c>
      <c r="AJ243">
        <v>1.00926204934455</v>
      </c>
      <c r="AK243">
        <v>1.19408534707007</v>
      </c>
      <c r="AL243">
        <v>1.39091045519109</v>
      </c>
      <c r="AM243">
        <v>1.61974613571711</v>
      </c>
      <c r="AN243">
        <v>1.87985703090013</v>
      </c>
      <c r="AO243">
        <v>2.15678013005784</v>
      </c>
      <c r="AP243">
        <v>2.44665686965823</v>
      </c>
      <c r="AQ243">
        <v>2.75644223598284</v>
      </c>
      <c r="AR243">
        <v>3.09330341494414</v>
      </c>
      <c r="AS243">
        <v>3.45321148111724</v>
      </c>
      <c r="AT243">
        <v>3.81847644094604</v>
      </c>
      <c r="AU243">
        <v>4.1852827156616</v>
      </c>
      <c r="AV243">
        <v>4.55373697859188</v>
      </c>
      <c r="AW243">
        <v>4.92750196742035</v>
      </c>
      <c r="AX243">
        <v>5.31300360313253</v>
      </c>
      <c r="AY243">
        <v>5.71361528634754</v>
      </c>
      <c r="AZ243">
        <v>6.12711494282215</v>
      </c>
      <c r="BA243">
        <v>0</v>
      </c>
      <c r="BB243">
        <v>0</v>
      </c>
      <c r="BC243">
        <v>0</v>
      </c>
      <c r="BD243">
        <v>0</v>
      </c>
      <c r="BE243">
        <v>0</v>
      </c>
      <c r="BF243">
        <v>0</v>
      </c>
      <c r="BG243">
        <v>0</v>
      </c>
      <c r="BH243">
        <v>0</v>
      </c>
      <c r="BJ243" t="s">
        <v>438</v>
      </c>
      <c r="BL243">
        <v>1</v>
      </c>
      <c r="BM243">
        <v>0.997560975609757</v>
      </c>
      <c r="BN243">
        <v>0.985365853658537</v>
      </c>
      <c r="BO243">
        <v>0.973170731707317</v>
      </c>
      <c r="BP243">
        <v>0.960975609756098</v>
      </c>
      <c r="BQ243">
        <v>0.948780487804878</v>
      </c>
      <c r="BR243">
        <v>0.936585365853658</v>
      </c>
      <c r="BS243">
        <v>0.924390243902439</v>
      </c>
      <c r="BT243">
        <v>0.91219512195122</v>
      </c>
      <c r="BU243">
        <v>0.9</v>
      </c>
      <c r="BV243">
        <v>0.8875</v>
      </c>
      <c r="BW243">
        <v>0.875000000000001</v>
      </c>
      <c r="BX243">
        <v>0.862500000000001</v>
      </c>
      <c r="BY243">
        <v>0.850000000000001</v>
      </c>
      <c r="BZ243">
        <v>0.8375</v>
      </c>
      <c r="CA243">
        <v>0.825000000000001</v>
      </c>
      <c r="CB243">
        <v>0.812500000000001</v>
      </c>
      <c r="CC243">
        <v>0.800000000000001</v>
      </c>
      <c r="CD243" t="e">
        <v>#VALUE!</v>
      </c>
      <c r="CE243" t="e">
        <v>#VALUE!</v>
      </c>
      <c r="CF243" t="e">
        <v>#VALUE!</v>
      </c>
      <c r="CG243" t="e">
        <v>#VALUE!</v>
      </c>
      <c r="CH243" t="e">
        <v>#VALUE!</v>
      </c>
      <c r="CI243" t="e">
        <v>#VALUE!</v>
      </c>
      <c r="CJ243" t="e">
        <v>#VALUE!</v>
      </c>
      <c r="CK243" t="e">
        <v>#VALUE!</v>
      </c>
    </row>
    <row r="244" spans="1:89">
      <c r="A244" s="34" t="s">
        <v>24</v>
      </c>
      <c r="B244" s="34" t="s">
        <v>439</v>
      </c>
      <c r="C244" s="34" t="s">
        <v>439</v>
      </c>
      <c r="D244" s="34"/>
      <c r="E244" s="34">
        <v>769.872325083212</v>
      </c>
      <c r="F244" s="34">
        <f xml:space="preserve">E244</f>
        <v>769.872325083212</v>
      </c>
      <c r="G244" s="34"/>
      <c r="H244" s="34"/>
      <c r="I244" s="34">
        <f xml:space="preserve">F244</f>
        <v>769.872325083212</v>
      </c>
      <c r="J244" s="34">
        <f xml:space="preserve">I244</f>
        <v>769.872325083212</v>
      </c>
      <c r="K244" s="34"/>
      <c r="L244" s="34">
        <f xml:space="preserve">J244</f>
        <v>769.872325083212</v>
      </c>
      <c r="M244" s="34"/>
      <c r="N244" s="34"/>
      <c r="O244" s="34"/>
      <c r="P244" s="34"/>
      <c r="Q244" s="34"/>
      <c r="R244" s="34"/>
      <c r="S244" s="34"/>
      <c r="T244" s="34"/>
      <c r="U244" s="34"/>
      <c r="V244" s="34">
        <f xml:space="preserve">L244</f>
        <v>769.872325083212</v>
      </c>
      <c r="W244" s="34">
        <v>3</v>
      </c>
      <c r="AG244" s="232" t="s">
        <v>437</v>
      </c>
      <c r="AI244">
        <v>1</v>
      </c>
      <c r="AJ244">
        <v>1.00926204934455</v>
      </c>
      <c r="AK244">
        <v>1.19408534707007</v>
      </c>
      <c r="AL244">
        <v>1.39091045519109</v>
      </c>
      <c r="AM244">
        <v>1.61974613571711</v>
      </c>
      <c r="AN244">
        <v>1.87985703090013</v>
      </c>
      <c r="AO244">
        <v>2.15678013005784</v>
      </c>
      <c r="AP244">
        <v>2.44665686965823</v>
      </c>
      <c r="AQ244">
        <v>2.75644223598284</v>
      </c>
      <c r="AR244">
        <v>3.09330341494414</v>
      </c>
      <c r="AS244">
        <v>3.45321148111724</v>
      </c>
      <c r="AT244">
        <v>3.81847644094604</v>
      </c>
      <c r="AU244">
        <v>4.1852827156616</v>
      </c>
      <c r="AV244">
        <v>4.55373697859188</v>
      </c>
      <c r="AW244">
        <v>4.92750196742035</v>
      </c>
      <c r="AX244">
        <v>5.31300360313253</v>
      </c>
      <c r="AY244">
        <v>5.71361528634754</v>
      </c>
      <c r="AZ244">
        <v>6.12711494282215</v>
      </c>
      <c r="BA244">
        <v>0</v>
      </c>
      <c r="BB244">
        <v>0</v>
      </c>
      <c r="BC244">
        <v>0</v>
      </c>
      <c r="BD244">
        <v>0</v>
      </c>
      <c r="BE244">
        <v>0</v>
      </c>
      <c r="BF244">
        <v>0</v>
      </c>
      <c r="BG244">
        <v>0</v>
      </c>
      <c r="BH244">
        <v>0</v>
      </c>
      <c r="BJ244" t="s">
        <v>438</v>
      </c>
      <c r="BL244">
        <v>1</v>
      </c>
      <c r="BM244">
        <v>0.997560975609757</v>
      </c>
      <c r="BN244">
        <v>0.985365853658537</v>
      </c>
      <c r="BO244">
        <v>0.973170731707317</v>
      </c>
      <c r="BP244">
        <v>0.960975609756098</v>
      </c>
      <c r="BQ244">
        <v>0.948780487804878</v>
      </c>
      <c r="BR244">
        <v>0.936585365853658</v>
      </c>
      <c r="BS244">
        <v>0.924390243902439</v>
      </c>
      <c r="BT244">
        <v>0.91219512195122</v>
      </c>
      <c r="BU244">
        <v>0.9</v>
      </c>
      <c r="BV244">
        <v>0.8875</v>
      </c>
      <c r="BW244">
        <v>0.875000000000001</v>
      </c>
      <c r="BX244">
        <v>0.862500000000001</v>
      </c>
      <c r="BY244">
        <v>0.850000000000001</v>
      </c>
      <c r="BZ244">
        <v>0.8375</v>
      </c>
      <c r="CA244">
        <v>0.825000000000001</v>
      </c>
      <c r="CB244">
        <v>0.812500000000001</v>
      </c>
      <c r="CC244">
        <v>0.800000000000001</v>
      </c>
      <c r="CD244" t="e">
        <v>#VALUE!</v>
      </c>
      <c r="CE244" t="e">
        <v>#VALUE!</v>
      </c>
      <c r="CF244" t="e">
        <v>#VALUE!</v>
      </c>
      <c r="CG244" t="e">
        <v>#VALUE!</v>
      </c>
      <c r="CH244" t="e">
        <v>#VALUE!</v>
      </c>
      <c r="CI244" t="e">
        <v>#VALUE!</v>
      </c>
      <c r="CJ244" t="e">
        <v>#VALUE!</v>
      </c>
      <c r="CK244" t="e">
        <v>#VALUE!</v>
      </c>
    </row>
    <row r="245" spans="1:89">
      <c r="A245" s="34" t="s">
        <v>24</v>
      </c>
      <c r="B245" s="34" t="s">
        <v>440</v>
      </c>
      <c r="C245" s="34" t="s">
        <v>440</v>
      </c>
      <c r="D245" s="34"/>
      <c r="E245" s="34">
        <v>2.42303774855836</v>
      </c>
      <c r="F245" s="34"/>
      <c r="G245" s="34"/>
      <c r="H245" s="34"/>
      <c r="I245" s="34">
        <v>3.84384051393692</v>
      </c>
      <c r="J245" s="34">
        <v>4.4294966471537</v>
      </c>
      <c r="K245" s="34"/>
      <c r="L245" s="34">
        <v>5.66688008820451</v>
      </c>
      <c r="M245" s="34"/>
      <c r="N245" s="34"/>
      <c r="O245" s="34"/>
      <c r="P245" s="34"/>
      <c r="Q245" s="34"/>
      <c r="R245" s="34"/>
      <c r="S245" s="34"/>
      <c r="T245" s="34"/>
      <c r="U245" s="34"/>
      <c r="V245" s="34">
        <v>12.5737312548675</v>
      </c>
      <c r="W245" s="34">
        <v>3</v>
      </c>
      <c r="AG245" s="232" t="s">
        <v>437</v>
      </c>
      <c r="AI245">
        <v>1</v>
      </c>
      <c r="AJ245">
        <v>1.00926204934455</v>
      </c>
      <c r="AK245">
        <v>1.19408534707007</v>
      </c>
      <c r="AL245">
        <v>1.39091045519109</v>
      </c>
      <c r="AM245">
        <v>1.61974613571711</v>
      </c>
      <c r="AN245">
        <v>1.87985703090013</v>
      </c>
      <c r="AO245">
        <v>2.15678013005784</v>
      </c>
      <c r="AP245">
        <v>2.44665686965823</v>
      </c>
      <c r="AQ245">
        <v>2.75644223598284</v>
      </c>
      <c r="AR245">
        <v>3.09330341494414</v>
      </c>
      <c r="AS245">
        <v>3.45321148111724</v>
      </c>
      <c r="AT245">
        <v>3.81847644094604</v>
      </c>
      <c r="AU245">
        <v>4.1852827156616</v>
      </c>
      <c r="AV245">
        <v>4.55373697859188</v>
      </c>
      <c r="AW245">
        <v>4.92750196742035</v>
      </c>
      <c r="AX245">
        <v>5.31300360313253</v>
      </c>
      <c r="AY245">
        <v>5.71361528634754</v>
      </c>
      <c r="AZ245">
        <v>6.12711494282215</v>
      </c>
      <c r="BA245">
        <v>0</v>
      </c>
      <c r="BB245">
        <v>0</v>
      </c>
      <c r="BC245">
        <v>0</v>
      </c>
      <c r="BD245">
        <v>0</v>
      </c>
      <c r="BE245">
        <v>0</v>
      </c>
      <c r="BF245">
        <v>0</v>
      </c>
      <c r="BG245">
        <v>0</v>
      </c>
      <c r="BH245">
        <v>0</v>
      </c>
      <c r="BJ245" t="s">
        <v>438</v>
      </c>
      <c r="BL245">
        <v>1</v>
      </c>
      <c r="BM245">
        <v>0.997560975609757</v>
      </c>
      <c r="BN245">
        <v>0.985365853658537</v>
      </c>
      <c r="BO245">
        <v>0.973170731707317</v>
      </c>
      <c r="BP245">
        <v>0.960975609756098</v>
      </c>
      <c r="BQ245">
        <v>0.948780487804878</v>
      </c>
      <c r="BR245">
        <v>0.936585365853658</v>
      </c>
      <c r="BS245">
        <v>0.924390243902439</v>
      </c>
      <c r="BT245">
        <v>0.91219512195122</v>
      </c>
      <c r="BU245">
        <v>0.9</v>
      </c>
      <c r="BV245">
        <v>0.8875</v>
      </c>
      <c r="BW245">
        <v>0.875000000000001</v>
      </c>
      <c r="BX245">
        <v>0.862500000000001</v>
      </c>
      <c r="BY245">
        <v>0.850000000000001</v>
      </c>
      <c r="BZ245">
        <v>0.8375</v>
      </c>
      <c r="CA245">
        <v>0.825000000000001</v>
      </c>
      <c r="CB245">
        <v>0.812500000000001</v>
      </c>
      <c r="CC245">
        <v>0.800000000000001</v>
      </c>
      <c r="CD245" t="e">
        <v>#VALUE!</v>
      </c>
      <c r="CE245" t="e">
        <v>#VALUE!</v>
      </c>
      <c r="CF245" t="e">
        <v>#VALUE!</v>
      </c>
      <c r="CG245" t="e">
        <v>#VALUE!</v>
      </c>
      <c r="CH245" t="e">
        <v>#VALUE!</v>
      </c>
      <c r="CI245" t="e">
        <v>#VALUE!</v>
      </c>
      <c r="CJ245" t="e">
        <v>#VALUE!</v>
      </c>
      <c r="CK245" t="e">
        <v>#VALUE!</v>
      </c>
    </row>
    <row r="246" spans="1:89">
      <c r="A246" s="34" t="s">
        <v>24</v>
      </c>
      <c r="B246" s="34" t="s">
        <v>441</v>
      </c>
      <c r="C246" s="34" t="s">
        <v>441</v>
      </c>
      <c r="D246" s="34"/>
      <c r="E246" s="34">
        <v>1.04527510225683</v>
      </c>
      <c r="F246" s="34"/>
      <c r="G246" s="34"/>
      <c r="H246" s="34"/>
      <c r="I246" s="34">
        <v>1.28003974811183</v>
      </c>
      <c r="J246" s="34">
        <v>1.34969977903957</v>
      </c>
      <c r="K246" s="34"/>
      <c r="L246" s="34">
        <v>1.46831105505433</v>
      </c>
      <c r="M246" s="34"/>
      <c r="N246" s="34"/>
      <c r="O246" s="34"/>
      <c r="P246" s="34"/>
      <c r="Q246" s="34"/>
      <c r="R246" s="34"/>
      <c r="S246" s="34"/>
      <c r="T246" s="34"/>
      <c r="U246" s="34"/>
      <c r="V246" s="34">
        <v>1.60221331092418</v>
      </c>
      <c r="W246" s="34">
        <v>3</v>
      </c>
      <c r="AG246" s="232" t="s">
        <v>442</v>
      </c>
      <c r="AI246">
        <v>1</v>
      </c>
      <c r="AJ246">
        <v>1.01591653536649</v>
      </c>
      <c r="AK246">
        <v>1.09549921219896</v>
      </c>
      <c r="AL246">
        <v>1.17481554148819</v>
      </c>
      <c r="AM246">
        <v>1.25062993622811</v>
      </c>
      <c r="AN246">
        <v>1.32236364458965</v>
      </c>
      <c r="AO246">
        <v>1.38868171499029</v>
      </c>
      <c r="AP246">
        <v>1.44738070594757</v>
      </c>
      <c r="AQ246">
        <v>1.49769547006135</v>
      </c>
      <c r="AR246">
        <v>1.53858957231577</v>
      </c>
      <c r="AS246">
        <v>1.5694064167895</v>
      </c>
      <c r="AT246">
        <v>1.59070257052599</v>
      </c>
      <c r="AU246">
        <v>1.60375329654095</v>
      </c>
      <c r="AV246">
        <v>1.61005634327467</v>
      </c>
      <c r="AW246">
        <v>1.61132735149569</v>
      </c>
      <c r="AX246">
        <v>1.60900541766864</v>
      </c>
      <c r="AY246">
        <v>1.60342321382187</v>
      </c>
      <c r="AZ246">
        <v>1.59406486453626</v>
      </c>
      <c r="BA246">
        <v>0</v>
      </c>
      <c r="BB246">
        <v>0</v>
      </c>
      <c r="BC246">
        <v>0</v>
      </c>
      <c r="BD246">
        <v>0</v>
      </c>
      <c r="BE246">
        <v>0</v>
      </c>
      <c r="BF246">
        <v>0</v>
      </c>
      <c r="BG246">
        <v>0</v>
      </c>
      <c r="BH246">
        <v>0</v>
      </c>
      <c r="BJ246" t="s">
        <v>438</v>
      </c>
      <c r="BL246">
        <v>1</v>
      </c>
      <c r="BM246">
        <v>0.997560975609757</v>
      </c>
      <c r="BN246">
        <v>0.985365853658537</v>
      </c>
      <c r="BO246">
        <v>0.973170731707317</v>
      </c>
      <c r="BP246">
        <v>0.960975609756098</v>
      </c>
      <c r="BQ246">
        <v>0.948780487804878</v>
      </c>
      <c r="BR246">
        <v>0.936585365853658</v>
      </c>
      <c r="BS246">
        <v>0.924390243902439</v>
      </c>
      <c r="BT246">
        <v>0.91219512195122</v>
      </c>
      <c r="BU246">
        <v>0.9</v>
      </c>
      <c r="BV246">
        <v>0.8875</v>
      </c>
      <c r="BW246">
        <v>0.875000000000001</v>
      </c>
      <c r="BX246">
        <v>0.862500000000001</v>
      </c>
      <c r="BY246">
        <v>0.850000000000001</v>
      </c>
      <c r="BZ246">
        <v>0.8375</v>
      </c>
      <c r="CA246">
        <v>0.825000000000001</v>
      </c>
      <c r="CB246">
        <v>0.812500000000001</v>
      </c>
      <c r="CC246">
        <v>0.800000000000001</v>
      </c>
      <c r="CD246" t="e">
        <v>#VALUE!</v>
      </c>
      <c r="CE246" t="e">
        <v>#VALUE!</v>
      </c>
      <c r="CF246" t="e">
        <v>#VALUE!</v>
      </c>
      <c r="CG246" t="e">
        <v>#VALUE!</v>
      </c>
      <c r="CH246" t="e">
        <v>#VALUE!</v>
      </c>
      <c r="CI246" t="e">
        <v>#VALUE!</v>
      </c>
      <c r="CJ246" t="e">
        <v>#VALUE!</v>
      </c>
      <c r="CK246" t="e">
        <v>#VALUE!</v>
      </c>
    </row>
    <row r="247" spans="1:89">
      <c r="A247" s="34" t="s">
        <v>24</v>
      </c>
      <c r="B247" s="34" t="s">
        <v>443</v>
      </c>
      <c r="C247" s="34" t="s">
        <v>443</v>
      </c>
      <c r="D247" s="34"/>
      <c r="E247" s="34">
        <v>0</v>
      </c>
      <c r="F247" s="34">
        <f xml:space="preserve">E247</f>
        <v>0</v>
      </c>
      <c r="G247" s="34"/>
      <c r="H247" s="34"/>
      <c r="I247" s="34">
        <f xml:space="preserve">F247</f>
        <v>0</v>
      </c>
      <c r="J247" s="34">
        <f xml:space="preserve">I247</f>
        <v>0</v>
      </c>
      <c r="K247" s="34"/>
      <c r="L247" s="34">
        <f xml:space="preserve">J247</f>
        <v>0</v>
      </c>
      <c r="M247" s="34"/>
      <c r="N247" s="34"/>
      <c r="O247" s="34"/>
      <c r="P247" s="34"/>
      <c r="Q247" s="34"/>
      <c r="R247" s="34"/>
      <c r="S247" s="34"/>
      <c r="T247" s="34"/>
      <c r="U247" s="34"/>
      <c r="V247" s="34">
        <f xml:space="preserve">L247</f>
        <v>0</v>
      </c>
      <c r="W247" s="34">
        <v>3</v>
      </c>
      <c r="AG247" s="232" t="s">
        <v>437</v>
      </c>
      <c r="AI247">
        <v>1</v>
      </c>
      <c r="AJ247">
        <v>1.00926204934455</v>
      </c>
      <c r="AK247">
        <v>1.19408534707007</v>
      </c>
      <c r="AL247">
        <v>1.39091045519109</v>
      </c>
      <c r="AM247">
        <v>1.61974613571711</v>
      </c>
      <c r="AN247">
        <v>1.87985703090013</v>
      </c>
      <c r="AO247">
        <v>2.15678013005784</v>
      </c>
      <c r="AP247">
        <v>2.44665686965823</v>
      </c>
      <c r="AQ247">
        <v>2.75644223598284</v>
      </c>
      <c r="AR247">
        <v>3.09330341494414</v>
      </c>
      <c r="AS247">
        <v>3.45321148111724</v>
      </c>
      <c r="AT247">
        <v>3.81847644094604</v>
      </c>
      <c r="AU247">
        <v>4.1852827156616</v>
      </c>
      <c r="AV247">
        <v>4.55373697859188</v>
      </c>
      <c r="AW247">
        <v>4.92750196742035</v>
      </c>
      <c r="AX247">
        <v>5.31300360313253</v>
      </c>
      <c r="AY247">
        <v>5.71361528634754</v>
      </c>
      <c r="AZ247">
        <v>6.12711494282215</v>
      </c>
      <c r="BA247">
        <v>0</v>
      </c>
      <c r="BB247">
        <v>0</v>
      </c>
      <c r="BC247">
        <v>0</v>
      </c>
      <c r="BD247">
        <v>0</v>
      </c>
      <c r="BE247">
        <v>0</v>
      </c>
      <c r="BF247">
        <v>0</v>
      </c>
      <c r="BG247">
        <v>0</v>
      </c>
      <c r="BH247">
        <v>0</v>
      </c>
      <c r="BJ247" t="s">
        <v>438</v>
      </c>
      <c r="BL247">
        <v>1</v>
      </c>
      <c r="BM247">
        <v>0.997560975609757</v>
      </c>
      <c r="BN247">
        <v>0.985365853658537</v>
      </c>
      <c r="BO247">
        <v>0.973170731707317</v>
      </c>
      <c r="BP247">
        <v>0.960975609756098</v>
      </c>
      <c r="BQ247">
        <v>0.948780487804878</v>
      </c>
      <c r="BR247">
        <v>0.936585365853658</v>
      </c>
      <c r="BS247">
        <v>0.924390243902439</v>
      </c>
      <c r="BT247">
        <v>0.91219512195122</v>
      </c>
      <c r="BU247">
        <v>0.9</v>
      </c>
      <c r="BV247">
        <v>0.8875</v>
      </c>
      <c r="BW247">
        <v>0.875000000000001</v>
      </c>
      <c r="BX247">
        <v>0.862500000000001</v>
      </c>
      <c r="BY247">
        <v>0.850000000000001</v>
      </c>
      <c r="BZ247">
        <v>0.8375</v>
      </c>
      <c r="CA247">
        <v>0.825000000000001</v>
      </c>
      <c r="CB247">
        <v>0.812500000000001</v>
      </c>
      <c r="CC247">
        <v>0.800000000000001</v>
      </c>
      <c r="CD247" t="e">
        <v>#VALUE!</v>
      </c>
      <c r="CE247" t="e">
        <v>#VALUE!</v>
      </c>
      <c r="CF247" t="e">
        <v>#VALUE!</v>
      </c>
      <c r="CG247" t="e">
        <v>#VALUE!</v>
      </c>
      <c r="CH247" t="e">
        <v>#VALUE!</v>
      </c>
      <c r="CI247" t="e">
        <v>#VALUE!</v>
      </c>
      <c r="CJ247" t="e">
        <v>#VALUE!</v>
      </c>
      <c r="CK247" t="e">
        <v>#VALUE!</v>
      </c>
    </row>
    <row r="248" spans="1:89">
      <c r="A248" s="34" t="s">
        <v>24</v>
      </c>
      <c r="B248" s="34" t="s">
        <v>444</v>
      </c>
      <c r="C248" s="34" t="s">
        <v>444</v>
      </c>
      <c r="D248" s="34"/>
      <c r="E248" s="34">
        <v>877.340866458265</v>
      </c>
      <c r="F248" s="34">
        <f xml:space="preserve">E248</f>
        <v>877.340866458265</v>
      </c>
      <c r="G248" s="34"/>
      <c r="H248" s="34"/>
      <c r="I248" s="34">
        <f xml:space="preserve">F248</f>
        <v>877.340866458265</v>
      </c>
      <c r="J248" s="34">
        <f xml:space="preserve">I248</f>
        <v>877.340866458265</v>
      </c>
      <c r="K248" s="34"/>
      <c r="L248" s="34">
        <f xml:space="preserve">J248</f>
        <v>877.340866458265</v>
      </c>
      <c r="M248" s="34"/>
      <c r="N248" s="34"/>
      <c r="O248" s="34"/>
      <c r="P248" s="34"/>
      <c r="Q248" s="34"/>
      <c r="R248" s="34"/>
      <c r="S248" s="34"/>
      <c r="T248" s="34"/>
      <c r="U248" s="34"/>
      <c r="V248" s="34">
        <f xml:space="preserve">L248</f>
        <v>877.340866458265</v>
      </c>
      <c r="W248" s="34">
        <v>3</v>
      </c>
      <c r="AG248" s="232" t="s">
        <v>437</v>
      </c>
      <c r="AI248">
        <v>1</v>
      </c>
      <c r="AJ248">
        <v>1.00926204934455</v>
      </c>
      <c r="AK248">
        <v>1.19408534707007</v>
      </c>
      <c r="AL248">
        <v>1.39091045519109</v>
      </c>
      <c r="AM248">
        <v>1.61974613571711</v>
      </c>
      <c r="AN248">
        <v>1.87985703090013</v>
      </c>
      <c r="AO248">
        <v>2.15678013005784</v>
      </c>
      <c r="AP248">
        <v>2.44665686965823</v>
      </c>
      <c r="AQ248">
        <v>2.75644223598284</v>
      </c>
      <c r="AR248">
        <v>3.09330341494414</v>
      </c>
      <c r="AS248">
        <v>3.45321148111724</v>
      </c>
      <c r="AT248">
        <v>3.81847644094604</v>
      </c>
      <c r="AU248">
        <v>4.1852827156616</v>
      </c>
      <c r="AV248">
        <v>4.55373697859188</v>
      </c>
      <c r="AW248">
        <v>4.92750196742035</v>
      </c>
      <c r="AX248">
        <v>5.31300360313253</v>
      </c>
      <c r="AY248">
        <v>5.71361528634754</v>
      </c>
      <c r="AZ248">
        <v>6.12711494282215</v>
      </c>
      <c r="BA248">
        <v>0</v>
      </c>
      <c r="BB248">
        <v>0</v>
      </c>
      <c r="BC248">
        <v>0</v>
      </c>
      <c r="BD248">
        <v>0</v>
      </c>
      <c r="BE248">
        <v>0</v>
      </c>
      <c r="BF248">
        <v>0</v>
      </c>
      <c r="BG248">
        <v>0</v>
      </c>
      <c r="BH248">
        <v>0</v>
      </c>
      <c r="BJ248" t="s">
        <v>438</v>
      </c>
      <c r="BL248">
        <v>1</v>
      </c>
      <c r="BM248">
        <v>0.997560975609757</v>
      </c>
      <c r="BN248">
        <v>0.985365853658537</v>
      </c>
      <c r="BO248">
        <v>0.973170731707317</v>
      </c>
      <c r="BP248">
        <v>0.960975609756098</v>
      </c>
      <c r="BQ248">
        <v>0.948780487804878</v>
      </c>
      <c r="BR248">
        <v>0.936585365853658</v>
      </c>
      <c r="BS248">
        <v>0.924390243902439</v>
      </c>
      <c r="BT248">
        <v>0.91219512195122</v>
      </c>
      <c r="BU248">
        <v>0.9</v>
      </c>
      <c r="BV248">
        <v>0.8875</v>
      </c>
      <c r="BW248">
        <v>0.875000000000001</v>
      </c>
      <c r="BX248">
        <v>0.862500000000001</v>
      </c>
      <c r="BY248">
        <v>0.850000000000001</v>
      </c>
      <c r="BZ248">
        <v>0.8375</v>
      </c>
      <c r="CA248">
        <v>0.825000000000001</v>
      </c>
      <c r="CB248">
        <v>0.812500000000001</v>
      </c>
      <c r="CC248">
        <v>0.800000000000001</v>
      </c>
      <c r="CD248" t="e">
        <v>#VALUE!</v>
      </c>
      <c r="CE248" t="e">
        <v>#VALUE!</v>
      </c>
      <c r="CF248" t="e">
        <v>#VALUE!</v>
      </c>
      <c r="CG248" t="e">
        <v>#VALUE!</v>
      </c>
      <c r="CH248" t="e">
        <v>#VALUE!</v>
      </c>
      <c r="CI248" t="e">
        <v>#VALUE!</v>
      </c>
      <c r="CJ248" t="e">
        <v>#VALUE!</v>
      </c>
      <c r="CK248" t="e">
        <v>#VALUE!</v>
      </c>
    </row>
    <row r="249" spans="1:89">
      <c r="A249" s="34" t="s">
        <v>24</v>
      </c>
      <c r="B249" s="34" t="s">
        <v>445</v>
      </c>
      <c r="C249" s="34" t="s">
        <v>445</v>
      </c>
      <c r="D249" s="34">
        <v>32.705</v>
      </c>
      <c r="E249" s="34">
        <v>33.2242806543094</v>
      </c>
      <c r="F249" s="34"/>
      <c r="G249" s="34">
        <v>35.788845052134</v>
      </c>
      <c r="H249" s="34">
        <v>38.3105092934072</v>
      </c>
      <c r="I249" s="34">
        <v>40.6863224314029</v>
      </c>
      <c r="J249" s="34">
        <v>42.900480611325</v>
      </c>
      <c r="K249" s="34">
        <v>44.9155523212205</v>
      </c>
      <c r="L249" s="34">
        <v>46.6705640224498</v>
      </c>
      <c r="M249" s="34">
        <v>48.1505018018178</v>
      </c>
      <c r="N249" s="34">
        <v>49.3337626350659</v>
      </c>
      <c r="O249" s="34">
        <v>50.2107189979149</v>
      </c>
      <c r="P249" s="34">
        <v>50.8068891690796</v>
      </c>
      <c r="Q249" s="34">
        <v>51.1664127639739</v>
      </c>
      <c r="R249" s="34">
        <v>51.3373422004478</v>
      </c>
      <c r="S249" s="34">
        <v>51.3712832667424</v>
      </c>
      <c r="T249" s="34">
        <v>51.3102115086031</v>
      </c>
      <c r="U249" s="34">
        <v>51.165575855892</v>
      </c>
      <c r="V249" s="34">
        <v>50.9266743226567</v>
      </c>
      <c r="W249" s="34">
        <v>3</v>
      </c>
      <c r="AG249" s="232" t="s">
        <v>442</v>
      </c>
      <c r="AI249">
        <v>1</v>
      </c>
      <c r="AJ249">
        <v>1.01591653536649</v>
      </c>
      <c r="AK249">
        <v>1.09549921219896</v>
      </c>
      <c r="AL249">
        <v>1.17481554148819</v>
      </c>
      <c r="AM249">
        <v>1.25062993622811</v>
      </c>
      <c r="AN249">
        <v>1.32236364458965</v>
      </c>
      <c r="AO249">
        <v>1.38868171499029</v>
      </c>
      <c r="AP249">
        <v>1.44738070594757</v>
      </c>
      <c r="AQ249">
        <v>1.49769547006135</v>
      </c>
      <c r="AR249">
        <v>1.53858957231577</v>
      </c>
      <c r="AS249">
        <v>1.5694064167895</v>
      </c>
      <c r="AT249">
        <v>1.59070257052599</v>
      </c>
      <c r="AU249">
        <v>1.60375329654095</v>
      </c>
      <c r="AV249">
        <v>1.61005634327467</v>
      </c>
      <c r="AW249">
        <v>1.61132735149569</v>
      </c>
      <c r="AX249">
        <v>1.60900541766864</v>
      </c>
      <c r="AY249">
        <v>1.60342321382187</v>
      </c>
      <c r="AZ249">
        <v>1.59406486453626</v>
      </c>
      <c r="BA249">
        <v>0</v>
      </c>
      <c r="BB249">
        <v>0</v>
      </c>
      <c r="BC249">
        <v>0</v>
      </c>
      <c r="BD249">
        <v>0</v>
      </c>
      <c r="BE249">
        <v>0</v>
      </c>
      <c r="BF249">
        <v>0</v>
      </c>
      <c r="BG249">
        <v>0</v>
      </c>
      <c r="BH249">
        <v>0</v>
      </c>
      <c r="BJ249" t="s">
        <v>438</v>
      </c>
      <c r="BL249">
        <v>1</v>
      </c>
      <c r="BM249">
        <v>0.997560975609757</v>
      </c>
      <c r="BN249">
        <v>0.985365853658537</v>
      </c>
      <c r="BO249">
        <v>0.973170731707317</v>
      </c>
      <c r="BP249">
        <v>0.960975609756098</v>
      </c>
      <c r="BQ249">
        <v>0.948780487804878</v>
      </c>
      <c r="BR249">
        <v>0.936585365853658</v>
      </c>
      <c r="BS249">
        <v>0.924390243902439</v>
      </c>
      <c r="BT249">
        <v>0.91219512195122</v>
      </c>
      <c r="BU249">
        <v>0.9</v>
      </c>
      <c r="BV249">
        <v>0.8875</v>
      </c>
      <c r="BW249">
        <v>0.875000000000001</v>
      </c>
      <c r="BX249">
        <v>0.862500000000001</v>
      </c>
      <c r="BY249">
        <v>0.850000000000001</v>
      </c>
      <c r="BZ249">
        <v>0.8375</v>
      </c>
      <c r="CA249">
        <v>0.825000000000001</v>
      </c>
      <c r="CB249">
        <v>0.812500000000001</v>
      </c>
      <c r="CC249">
        <v>0.800000000000001</v>
      </c>
      <c r="CD249" t="e">
        <v>#VALUE!</v>
      </c>
      <c r="CE249" t="e">
        <v>#VALUE!</v>
      </c>
      <c r="CF249" t="e">
        <v>#VALUE!</v>
      </c>
      <c r="CG249" t="e">
        <v>#VALUE!</v>
      </c>
      <c r="CH249" t="e">
        <v>#VALUE!</v>
      </c>
      <c r="CI249" t="e">
        <v>#VALUE!</v>
      </c>
      <c r="CJ249" t="e">
        <v>#VALUE!</v>
      </c>
      <c r="CK249" t="e">
        <v>#VALUE!</v>
      </c>
    </row>
    <row r="250" spans="1:89">
      <c r="A250" s="34" t="s">
        <v>24</v>
      </c>
      <c r="B250" s="34" t="s">
        <v>446</v>
      </c>
      <c r="C250" s="34" t="s">
        <v>446</v>
      </c>
      <c r="D250" s="34">
        <v>9.69</v>
      </c>
      <c r="E250" s="34">
        <v>9.84385505397519</v>
      </c>
      <c r="F250" s="34"/>
      <c r="G250" s="34">
        <v>10.6036969440507</v>
      </c>
      <c r="H250" s="34">
        <v>11.3508281624558</v>
      </c>
      <c r="I250" s="34">
        <v>12.0547458908514</v>
      </c>
      <c r="J250" s="34">
        <v>12.7107676845663</v>
      </c>
      <c r="K250" s="34">
        <v>13.3078031491401</v>
      </c>
      <c r="L250" s="34">
        <v>13.8277867414016</v>
      </c>
      <c r="M250" s="34">
        <v>14.2662700645043</v>
      </c>
      <c r="N250" s="34">
        <v>14.6168524670169</v>
      </c>
      <c r="O250" s="34">
        <v>14.8766814581806</v>
      </c>
      <c r="P250" s="34">
        <v>15.0533177204826</v>
      </c>
      <c r="Q250" s="34">
        <v>15.1598391586274</v>
      </c>
      <c r="R250" s="34">
        <v>15.2104829818786</v>
      </c>
      <c r="S250" s="34">
        <v>15.2205392097457</v>
      </c>
      <c r="T250" s="34">
        <v>15.2024445656127</v>
      </c>
      <c r="U250" s="34">
        <v>15.15959119534</v>
      </c>
      <c r="V250" s="34">
        <v>15.0888082613222</v>
      </c>
      <c r="W250" s="34">
        <v>3</v>
      </c>
      <c r="AG250" s="232" t="s">
        <v>442</v>
      </c>
      <c r="AI250">
        <v>1</v>
      </c>
      <c r="AJ250">
        <v>1.01591653536649</v>
      </c>
      <c r="AK250">
        <v>1.09549921219896</v>
      </c>
      <c r="AL250">
        <v>1.17481554148819</v>
      </c>
      <c r="AM250">
        <v>1.25062993622811</v>
      </c>
      <c r="AN250">
        <v>1.32236364458965</v>
      </c>
      <c r="AO250">
        <v>1.38868171499029</v>
      </c>
      <c r="AP250">
        <v>1.44738070594757</v>
      </c>
      <c r="AQ250">
        <v>1.49769547006135</v>
      </c>
      <c r="AR250">
        <v>1.53858957231577</v>
      </c>
      <c r="AS250">
        <v>1.5694064167895</v>
      </c>
      <c r="AT250">
        <v>1.59070257052599</v>
      </c>
      <c r="AU250">
        <v>1.60375329654095</v>
      </c>
      <c r="AV250">
        <v>1.61005634327467</v>
      </c>
      <c r="AW250">
        <v>1.61132735149569</v>
      </c>
      <c r="AX250">
        <v>1.60900541766864</v>
      </c>
      <c r="AY250">
        <v>1.60342321382187</v>
      </c>
      <c r="AZ250">
        <v>1.59406486453626</v>
      </c>
      <c r="BA250">
        <v>0</v>
      </c>
      <c r="BB250">
        <v>0</v>
      </c>
      <c r="BC250">
        <v>0</v>
      </c>
      <c r="BD250">
        <v>0</v>
      </c>
      <c r="BE250">
        <v>0</v>
      </c>
      <c r="BF250">
        <v>0</v>
      </c>
      <c r="BG250">
        <v>0</v>
      </c>
      <c r="BH250">
        <v>0</v>
      </c>
      <c r="BJ250" t="s">
        <v>438</v>
      </c>
      <c r="BL250">
        <v>1</v>
      </c>
      <c r="BM250">
        <v>0.997560975609757</v>
      </c>
      <c r="BN250">
        <v>0.985365853658537</v>
      </c>
      <c r="BO250">
        <v>0.973170731707317</v>
      </c>
      <c r="BP250">
        <v>0.960975609756098</v>
      </c>
      <c r="BQ250">
        <v>0.948780487804878</v>
      </c>
      <c r="BR250">
        <v>0.936585365853658</v>
      </c>
      <c r="BS250">
        <v>0.924390243902439</v>
      </c>
      <c r="BT250">
        <v>0.91219512195122</v>
      </c>
      <c r="BU250">
        <v>0.9</v>
      </c>
      <c r="BV250">
        <v>0.8875</v>
      </c>
      <c r="BW250">
        <v>0.875000000000001</v>
      </c>
      <c r="BX250">
        <v>0.862500000000001</v>
      </c>
      <c r="BY250">
        <v>0.850000000000001</v>
      </c>
      <c r="BZ250">
        <v>0.8375</v>
      </c>
      <c r="CA250">
        <v>0.825000000000001</v>
      </c>
      <c r="CB250">
        <v>0.812500000000001</v>
      </c>
      <c r="CC250">
        <v>0.800000000000001</v>
      </c>
      <c r="CD250" t="e">
        <v>#VALUE!</v>
      </c>
      <c r="CE250" t="e">
        <v>#VALUE!</v>
      </c>
      <c r="CF250" t="e">
        <v>#VALUE!</v>
      </c>
      <c r="CG250" t="e">
        <v>#VALUE!</v>
      </c>
      <c r="CH250" t="e">
        <v>#VALUE!</v>
      </c>
      <c r="CI250" t="e">
        <v>#VALUE!</v>
      </c>
      <c r="CJ250" t="e">
        <v>#VALUE!</v>
      </c>
      <c r="CK250" t="e">
        <v>#VALUE!</v>
      </c>
    </row>
    <row r="251" spans="1:89">
      <c r="A251" s="34" t="s">
        <v>24</v>
      </c>
      <c r="B251" s="34" t="s">
        <v>447</v>
      </c>
      <c r="C251" s="34" t="s">
        <v>447</v>
      </c>
      <c r="D251" s="34">
        <v>20.86</v>
      </c>
      <c r="E251" s="34">
        <v>21.1912091254822</v>
      </c>
      <c r="F251" s="34"/>
      <c r="G251" s="34">
        <v>22.8269471881215</v>
      </c>
      <c r="H251" s="34">
        <v>24.4353225458026</v>
      </c>
      <c r="I251" s="34">
        <v>25.9506707206563</v>
      </c>
      <c r="J251" s="34">
        <v>27.3629116511922</v>
      </c>
      <c r="K251" s="34">
        <v>28.6481706595524</v>
      </c>
      <c r="L251" s="34">
        <v>29.7675574226664</v>
      </c>
      <c r="M251" s="34">
        <v>30.7114957219361</v>
      </c>
      <c r="N251" s="34">
        <v>31.4662066524224</v>
      </c>
      <c r="O251" s="34">
        <v>32.0255495580647</v>
      </c>
      <c r="P251" s="34">
        <v>32.4058005829996</v>
      </c>
      <c r="Q251" s="34">
        <v>32.6351129875095</v>
      </c>
      <c r="R251" s="34">
        <v>32.7441357071195</v>
      </c>
      <c r="S251" s="34">
        <v>32.7657840985857</v>
      </c>
      <c r="T251" s="34">
        <v>32.7268311288629</v>
      </c>
      <c r="U251" s="34">
        <v>32.634579188317</v>
      </c>
      <c r="V251" s="34">
        <v>32.4822023045595</v>
      </c>
      <c r="W251" s="34">
        <v>3</v>
      </c>
      <c r="AG251" s="232" t="s">
        <v>442</v>
      </c>
      <c r="AI251">
        <v>1</v>
      </c>
      <c r="AJ251">
        <v>1.01591653536649</v>
      </c>
      <c r="AK251">
        <v>1.09549921219896</v>
      </c>
      <c r="AL251">
        <v>1.17481554148819</v>
      </c>
      <c r="AM251">
        <v>1.25062993622811</v>
      </c>
      <c r="AN251">
        <v>1.32236364458965</v>
      </c>
      <c r="AO251">
        <v>1.38868171499029</v>
      </c>
      <c r="AP251">
        <v>1.44738070594757</v>
      </c>
      <c r="AQ251">
        <v>1.49769547006135</v>
      </c>
      <c r="AR251">
        <v>1.53858957231577</v>
      </c>
      <c r="AS251">
        <v>1.5694064167895</v>
      </c>
      <c r="AT251">
        <v>1.59070257052599</v>
      </c>
      <c r="AU251">
        <v>1.60375329654095</v>
      </c>
      <c r="AV251">
        <v>1.61005634327467</v>
      </c>
      <c r="AW251">
        <v>1.61132735149569</v>
      </c>
      <c r="AX251">
        <v>1.60900541766864</v>
      </c>
      <c r="AY251">
        <v>1.60342321382187</v>
      </c>
      <c r="AZ251">
        <v>1.59406486453626</v>
      </c>
      <c r="BA251">
        <v>0</v>
      </c>
      <c r="BB251">
        <v>0</v>
      </c>
      <c r="BC251">
        <v>0</v>
      </c>
      <c r="BD251">
        <v>0</v>
      </c>
      <c r="BE251">
        <v>0</v>
      </c>
      <c r="BF251">
        <v>0</v>
      </c>
      <c r="BG251">
        <v>0</v>
      </c>
      <c r="BH251">
        <v>0</v>
      </c>
      <c r="BJ251" t="s">
        <v>438</v>
      </c>
      <c r="BL251">
        <v>1</v>
      </c>
      <c r="BM251">
        <v>0.997560975609757</v>
      </c>
      <c r="BN251">
        <v>0.985365853658537</v>
      </c>
      <c r="BO251">
        <v>0.973170731707317</v>
      </c>
      <c r="BP251">
        <v>0.960975609756098</v>
      </c>
      <c r="BQ251">
        <v>0.948780487804878</v>
      </c>
      <c r="BR251">
        <v>0.936585365853658</v>
      </c>
      <c r="BS251">
        <v>0.924390243902439</v>
      </c>
      <c r="BT251">
        <v>0.91219512195122</v>
      </c>
      <c r="BU251">
        <v>0.9</v>
      </c>
      <c r="BV251">
        <v>0.8875</v>
      </c>
      <c r="BW251">
        <v>0.875000000000001</v>
      </c>
      <c r="BX251">
        <v>0.862500000000001</v>
      </c>
      <c r="BY251">
        <v>0.850000000000001</v>
      </c>
      <c r="BZ251">
        <v>0.8375</v>
      </c>
      <c r="CA251">
        <v>0.825000000000001</v>
      </c>
      <c r="CB251">
        <v>0.812500000000001</v>
      </c>
      <c r="CC251">
        <v>0.800000000000001</v>
      </c>
      <c r="CD251" t="e">
        <v>#VALUE!</v>
      </c>
      <c r="CE251" t="e">
        <v>#VALUE!</v>
      </c>
      <c r="CF251" t="e">
        <v>#VALUE!</v>
      </c>
      <c r="CG251" t="e">
        <v>#VALUE!</v>
      </c>
      <c r="CH251" t="e">
        <v>#VALUE!</v>
      </c>
      <c r="CI251" t="e">
        <v>#VALUE!</v>
      </c>
      <c r="CJ251" t="e">
        <v>#VALUE!</v>
      </c>
      <c r="CK251" t="e">
        <v>#VALUE!</v>
      </c>
    </row>
    <row r="252" spans="1:89">
      <c r="A252" s="34" t="s">
        <v>24</v>
      </c>
      <c r="B252" s="34" t="s">
        <v>448</v>
      </c>
      <c r="C252" s="34" t="s">
        <v>448</v>
      </c>
      <c r="D252" s="34">
        <v>908.376</v>
      </c>
      <c r="E252" s="34">
        <v>902.440441486943</v>
      </c>
      <c r="F252" s="34"/>
      <c r="G252" s="34">
        <v>988.855084793077</v>
      </c>
      <c r="H252" s="34">
        <v>1071.79879765823</v>
      </c>
      <c r="I252" s="34">
        <v>1168.54180908552</v>
      </c>
      <c r="J252" s="34">
        <v>1276.78267529446</v>
      </c>
      <c r="K252" s="34">
        <v>1387.41908863122</v>
      </c>
      <c r="L252" s="34">
        <v>1500.78905382446</v>
      </c>
      <c r="M252" s="34">
        <v>1622.31267426371</v>
      </c>
      <c r="N252" s="34">
        <v>1757.19725879159</v>
      </c>
      <c r="O252" s="34">
        <v>1904.46213532516</v>
      </c>
      <c r="P252" s="34">
        <v>2056.05733538462</v>
      </c>
      <c r="Q252" s="34">
        <v>2210.58980261323</v>
      </c>
      <c r="R252" s="34">
        <v>2368.00549133872</v>
      </c>
      <c r="S252" s="34">
        <v>2529.09168119291</v>
      </c>
      <c r="T252" s="34">
        <v>2695.57499695125</v>
      </c>
      <c r="U252" s="34">
        <v>2868.91708072059</v>
      </c>
      <c r="V252" s="34">
        <v>3049.46732265809</v>
      </c>
      <c r="W252" s="34">
        <v>3</v>
      </c>
      <c r="AG252" s="232" t="s">
        <v>449</v>
      </c>
      <c r="AI252">
        <v>1</v>
      </c>
      <c r="AJ252">
        <v>0.993449770930694</v>
      </c>
      <c r="AK252">
        <v>1.08999197240245</v>
      </c>
      <c r="AL252">
        <v>1.18393944076461</v>
      </c>
      <c r="AM252">
        <v>1.29514422196086</v>
      </c>
      <c r="AN252">
        <v>1.42158856120358</v>
      </c>
      <c r="AO252">
        <v>1.55311336411808</v>
      </c>
      <c r="AP252">
        <v>1.69040312587037</v>
      </c>
      <c r="AQ252">
        <v>1.84045574756925</v>
      </c>
      <c r="AR252">
        <v>2.01047990354461</v>
      </c>
      <c r="AS252">
        <v>2.20032965596088</v>
      </c>
      <c r="AT252">
        <v>2.40049680669303</v>
      </c>
      <c r="AU252">
        <v>2.60967988323928</v>
      </c>
      <c r="AV252">
        <v>2.8283090822338</v>
      </c>
      <c r="AW252">
        <v>3.05803905261489</v>
      </c>
      <c r="AX252">
        <v>3.30204208437705</v>
      </c>
      <c r="AY252">
        <v>3.56338565956566</v>
      </c>
      <c r="AZ252">
        <v>3.84370490758206</v>
      </c>
      <c r="BA252">
        <v>0</v>
      </c>
      <c r="BB252">
        <v>0</v>
      </c>
      <c r="BC252">
        <v>0</v>
      </c>
      <c r="BD252">
        <v>0</v>
      </c>
      <c r="BE252">
        <v>0</v>
      </c>
      <c r="BF252">
        <v>0</v>
      </c>
      <c r="BG252">
        <v>0</v>
      </c>
      <c r="BH252">
        <v>0</v>
      </c>
      <c r="BJ252" t="s">
        <v>438</v>
      </c>
      <c r="BL252">
        <v>1</v>
      </c>
      <c r="BM252">
        <v>0.997560975609757</v>
      </c>
      <c r="BN252">
        <v>0.985365853658537</v>
      </c>
      <c r="BO252">
        <v>0.973170731707317</v>
      </c>
      <c r="BP252">
        <v>0.960975609756098</v>
      </c>
      <c r="BQ252">
        <v>0.948780487804878</v>
      </c>
      <c r="BR252">
        <v>0.936585365853658</v>
      </c>
      <c r="BS252">
        <v>0.924390243902439</v>
      </c>
      <c r="BT252">
        <v>0.91219512195122</v>
      </c>
      <c r="BU252">
        <v>0.9</v>
      </c>
      <c r="BV252">
        <v>0.8875</v>
      </c>
      <c r="BW252">
        <v>0.875000000000001</v>
      </c>
      <c r="BX252">
        <v>0.862500000000001</v>
      </c>
      <c r="BY252">
        <v>0.850000000000001</v>
      </c>
      <c r="BZ252">
        <v>0.8375</v>
      </c>
      <c r="CA252">
        <v>0.825000000000001</v>
      </c>
      <c r="CB252">
        <v>0.812500000000001</v>
      </c>
      <c r="CC252">
        <v>0.800000000000001</v>
      </c>
      <c r="CD252" t="e">
        <v>#VALUE!</v>
      </c>
      <c r="CE252" t="e">
        <v>#VALUE!</v>
      </c>
      <c r="CF252" t="e">
        <v>#VALUE!</v>
      </c>
      <c r="CG252" t="e">
        <v>#VALUE!</v>
      </c>
      <c r="CH252" t="e">
        <v>#VALUE!</v>
      </c>
      <c r="CI252" t="e">
        <v>#VALUE!</v>
      </c>
      <c r="CJ252" t="e">
        <v>#VALUE!</v>
      </c>
      <c r="CK252" t="e">
        <v>#VALUE!</v>
      </c>
    </row>
    <row r="253" spans="1:89">
      <c r="A253" s="34" t="s">
        <v>24</v>
      </c>
      <c r="B253" s="34" t="s">
        <v>450</v>
      </c>
      <c r="C253" s="34" t="s">
        <v>450</v>
      </c>
      <c r="D253" s="34">
        <v>175.4</v>
      </c>
      <c r="E253" s="34">
        <v>177.020601105144</v>
      </c>
      <c r="F253" s="34"/>
      <c r="G253" s="34">
        <v>208.963482680974</v>
      </c>
      <c r="H253" s="34">
        <v>242.483525630238</v>
      </c>
      <c r="I253" s="34">
        <v>280.820618141117</v>
      </c>
      <c r="J253" s="34">
        <v>323.607075266942</v>
      </c>
      <c r="K253" s="34">
        <v>368.254841772835</v>
      </c>
      <c r="L253" s="34">
        <v>414.006971291133</v>
      </c>
      <c r="M253" s="34">
        <v>461.824071120916</v>
      </c>
      <c r="N253" s="34">
        <v>512.619092012593</v>
      </c>
      <c r="O253" s="34">
        <v>565.552785443223</v>
      </c>
      <c r="P253" s="34">
        <v>617.896680253137</v>
      </c>
      <c r="Q253" s="34">
        <v>669.090979941143</v>
      </c>
      <c r="R253" s="34">
        <v>719.159284642815</v>
      </c>
      <c r="S253" s="34">
        <v>768.594972677784</v>
      </c>
      <c r="T253" s="34">
        <v>818.20287997632</v>
      </c>
      <c r="U253" s="34">
        <v>868.329436755221</v>
      </c>
      <c r="V253" s="34">
        <v>918.602884414608</v>
      </c>
      <c r="W253" s="34">
        <v>3</v>
      </c>
      <c r="AG253" s="232" t="s">
        <v>437</v>
      </c>
      <c r="AI253">
        <v>1</v>
      </c>
      <c r="AJ253">
        <v>1.00926204934455</v>
      </c>
      <c r="AK253">
        <v>1.19408534707007</v>
      </c>
      <c r="AL253">
        <v>1.39091045519109</v>
      </c>
      <c r="AM253">
        <v>1.61974613571711</v>
      </c>
      <c r="AN253">
        <v>1.87985703090013</v>
      </c>
      <c r="AO253">
        <v>2.15678013005784</v>
      </c>
      <c r="AP253">
        <v>2.44665686965823</v>
      </c>
      <c r="AQ253">
        <v>2.75644223598284</v>
      </c>
      <c r="AR253">
        <v>3.09330341494414</v>
      </c>
      <c r="AS253">
        <v>3.45321148111724</v>
      </c>
      <c r="AT253">
        <v>3.81847644094604</v>
      </c>
      <c r="AU253">
        <v>4.1852827156616</v>
      </c>
      <c r="AV253">
        <v>4.55373697859188</v>
      </c>
      <c r="AW253">
        <v>4.92750196742035</v>
      </c>
      <c r="AX253">
        <v>5.31300360313253</v>
      </c>
      <c r="AY253">
        <v>5.71361528634754</v>
      </c>
      <c r="AZ253">
        <v>6.12711494282215</v>
      </c>
      <c r="BA253">
        <v>0</v>
      </c>
      <c r="BB253">
        <v>0</v>
      </c>
      <c r="BC253">
        <v>0</v>
      </c>
      <c r="BD253">
        <v>0</v>
      </c>
      <c r="BE253">
        <v>0</v>
      </c>
      <c r="BF253">
        <v>0</v>
      </c>
      <c r="BG253">
        <v>0</v>
      </c>
      <c r="BH253">
        <v>0</v>
      </c>
      <c r="BJ253" t="s">
        <v>438</v>
      </c>
      <c r="BL253">
        <v>1</v>
      </c>
      <c r="BM253">
        <v>0.997560975609757</v>
      </c>
      <c r="BN253">
        <v>0.985365853658537</v>
      </c>
      <c r="BO253">
        <v>0.973170731707317</v>
      </c>
      <c r="BP253">
        <v>0.960975609756098</v>
      </c>
      <c r="BQ253">
        <v>0.948780487804878</v>
      </c>
      <c r="BR253">
        <v>0.936585365853658</v>
      </c>
      <c r="BS253">
        <v>0.924390243902439</v>
      </c>
      <c r="BT253">
        <v>0.91219512195122</v>
      </c>
      <c r="BU253">
        <v>0.9</v>
      </c>
      <c r="BV253">
        <v>0.8875</v>
      </c>
      <c r="BW253">
        <v>0.875000000000001</v>
      </c>
      <c r="BX253">
        <v>0.862500000000001</v>
      </c>
      <c r="BY253">
        <v>0.850000000000001</v>
      </c>
      <c r="BZ253">
        <v>0.8375</v>
      </c>
      <c r="CA253">
        <v>0.825000000000001</v>
      </c>
      <c r="CB253">
        <v>0.812500000000001</v>
      </c>
      <c r="CC253">
        <v>0.800000000000001</v>
      </c>
      <c r="CD253" t="e">
        <v>#VALUE!</v>
      </c>
      <c r="CE253" t="e">
        <v>#VALUE!</v>
      </c>
      <c r="CF253" t="e">
        <v>#VALUE!</v>
      </c>
      <c r="CG253" t="e">
        <v>#VALUE!</v>
      </c>
      <c r="CH253" t="e">
        <v>#VALUE!</v>
      </c>
      <c r="CI253" t="e">
        <v>#VALUE!</v>
      </c>
      <c r="CJ253" t="e">
        <v>#VALUE!</v>
      </c>
      <c r="CK253" t="e">
        <v>#VALUE!</v>
      </c>
    </row>
    <row r="254" spans="1:89">
      <c r="A254" s="34" t="s">
        <v>24</v>
      </c>
      <c r="B254" s="34" t="s">
        <v>451</v>
      </c>
      <c r="C254" s="34" t="s">
        <v>451</v>
      </c>
      <c r="D254" s="34">
        <v>222.24</v>
      </c>
      <c r="E254" s="34">
        <v>224.293377363781</v>
      </c>
      <c r="F254" s="34"/>
      <c r="G254" s="34">
        <v>264.766501659177</v>
      </c>
      <c r="H254" s="34">
        <v>307.237963147458</v>
      </c>
      <c r="I254" s="34">
        <v>355.812851628745</v>
      </c>
      <c r="J254" s="34">
        <v>410.025293086233</v>
      </c>
      <c r="K254" s="34">
        <v>466.596100545011</v>
      </c>
      <c r="L254" s="34">
        <v>524.566187569792</v>
      </c>
      <c r="M254" s="34">
        <v>585.152688517174</v>
      </c>
      <c r="N254" s="34">
        <v>649.512354668635</v>
      </c>
      <c r="O254" s="34">
        <v>716.581818910501</v>
      </c>
      <c r="P254" s="34">
        <v>782.903980726666</v>
      </c>
      <c r="Q254" s="34">
        <v>847.769551779474</v>
      </c>
      <c r="R254" s="34">
        <v>911.20843454401</v>
      </c>
      <c r="S254" s="34">
        <v>973.845762416824</v>
      </c>
      <c r="T254" s="34">
        <v>1036.70130014788</v>
      </c>
      <c r="U254" s="34">
        <v>1100.21399101756</v>
      </c>
      <c r="V254" s="34">
        <v>1163.91279950001</v>
      </c>
      <c r="W254" s="34">
        <v>3</v>
      </c>
      <c r="AG254" s="232" t="s">
        <v>437</v>
      </c>
      <c r="AI254">
        <v>1</v>
      </c>
      <c r="AJ254">
        <v>1.00926204934455</v>
      </c>
      <c r="AK254">
        <v>1.19408534707007</v>
      </c>
      <c r="AL254">
        <v>1.39091045519109</v>
      </c>
      <c r="AM254">
        <v>1.61974613571711</v>
      </c>
      <c r="AN254">
        <v>1.87985703090013</v>
      </c>
      <c r="AO254">
        <v>2.15678013005784</v>
      </c>
      <c r="AP254">
        <v>2.44665686965823</v>
      </c>
      <c r="AQ254">
        <v>2.75644223598284</v>
      </c>
      <c r="AR254">
        <v>3.09330341494414</v>
      </c>
      <c r="AS254">
        <v>3.45321148111724</v>
      </c>
      <c r="AT254">
        <v>3.81847644094604</v>
      </c>
      <c r="AU254">
        <v>4.1852827156616</v>
      </c>
      <c r="AV254">
        <v>4.55373697859188</v>
      </c>
      <c r="AW254">
        <v>4.92750196742035</v>
      </c>
      <c r="AX254">
        <v>5.31300360313253</v>
      </c>
      <c r="AY254">
        <v>5.71361528634754</v>
      </c>
      <c r="AZ254">
        <v>6.12711494282215</v>
      </c>
      <c r="BA254">
        <v>0</v>
      </c>
      <c r="BB254">
        <v>0</v>
      </c>
      <c r="BC254">
        <v>0</v>
      </c>
      <c r="BD254">
        <v>0</v>
      </c>
      <c r="BE254">
        <v>0</v>
      </c>
      <c r="BF254">
        <v>0</v>
      </c>
      <c r="BG254">
        <v>0</v>
      </c>
      <c r="BH254">
        <v>0</v>
      </c>
      <c r="BJ254" t="s">
        <v>438</v>
      </c>
      <c r="BL254">
        <v>1</v>
      </c>
      <c r="BM254">
        <v>0.997560975609757</v>
      </c>
      <c r="BN254">
        <v>0.985365853658537</v>
      </c>
      <c r="BO254">
        <v>0.973170731707317</v>
      </c>
      <c r="BP254">
        <v>0.960975609756098</v>
      </c>
      <c r="BQ254">
        <v>0.948780487804878</v>
      </c>
      <c r="BR254">
        <v>0.936585365853658</v>
      </c>
      <c r="BS254">
        <v>0.924390243902439</v>
      </c>
      <c r="BT254">
        <v>0.91219512195122</v>
      </c>
      <c r="BU254">
        <v>0.9</v>
      </c>
      <c r="BV254">
        <v>0.8875</v>
      </c>
      <c r="BW254">
        <v>0.875000000000001</v>
      </c>
      <c r="BX254">
        <v>0.862500000000001</v>
      </c>
      <c r="BY254">
        <v>0.850000000000001</v>
      </c>
      <c r="BZ254">
        <v>0.8375</v>
      </c>
      <c r="CA254">
        <v>0.825000000000001</v>
      </c>
      <c r="CB254">
        <v>0.812500000000001</v>
      </c>
      <c r="CC254">
        <v>0.800000000000001</v>
      </c>
      <c r="CD254" t="e">
        <v>#VALUE!</v>
      </c>
      <c r="CE254" t="e">
        <v>#VALUE!</v>
      </c>
      <c r="CF254" t="e">
        <v>#VALUE!</v>
      </c>
      <c r="CG254" t="e">
        <v>#VALUE!</v>
      </c>
      <c r="CH254" t="e">
        <v>#VALUE!</v>
      </c>
      <c r="CI254" t="e">
        <v>#VALUE!</v>
      </c>
      <c r="CJ254" t="e">
        <v>#VALUE!</v>
      </c>
      <c r="CK254" t="e">
        <v>#VALUE!</v>
      </c>
    </row>
    <row r="255" spans="1:89">
      <c r="A255" s="34" t="s">
        <v>25</v>
      </c>
      <c r="B255" s="34" t="s">
        <v>436</v>
      </c>
      <c r="C255" s="34" t="s">
        <v>436</v>
      </c>
      <c r="D255" s="34"/>
      <c r="E255" s="34">
        <v>2841.17573671432</v>
      </c>
      <c r="F255" s="34">
        <f xml:space="preserve">E255</f>
        <v>2841.17573671432</v>
      </c>
      <c r="G255" s="34"/>
      <c r="H255" s="34"/>
      <c r="I255" s="34">
        <f xml:space="preserve">F255</f>
        <v>2841.17573671432</v>
      </c>
      <c r="J255" s="34">
        <f xml:space="preserve">I255</f>
        <v>2841.17573671432</v>
      </c>
      <c r="K255" s="34"/>
      <c r="L255" s="34">
        <f xml:space="preserve">J255</f>
        <v>2841.17573671432</v>
      </c>
      <c r="M255" s="34"/>
      <c r="N255" s="34"/>
      <c r="O255" s="34"/>
      <c r="P255" s="34"/>
      <c r="Q255" s="34"/>
      <c r="R255" s="34"/>
      <c r="S255" s="34"/>
      <c r="T255" s="34"/>
      <c r="U255" s="34"/>
      <c r="V255" s="34">
        <f xml:space="preserve">L255</f>
        <v>2841.17573671432</v>
      </c>
      <c r="W255" s="34">
        <v>3</v>
      </c>
      <c r="AG255" s="232" t="s">
        <v>437</v>
      </c>
      <c r="AI255">
        <v>1</v>
      </c>
      <c r="AJ255">
        <v>1.01172788980591</v>
      </c>
      <c r="AK255">
        <v>1.15773078809578</v>
      </c>
      <c r="AL255">
        <v>1.27632693451747</v>
      </c>
      <c r="AM255">
        <v>1.38914444804718</v>
      </c>
      <c r="AN255">
        <v>1.5000891332334</v>
      </c>
      <c r="AO255">
        <v>1.611556767737</v>
      </c>
      <c r="AP255">
        <v>1.72407631178702</v>
      </c>
      <c r="AQ255">
        <v>1.83912215615181</v>
      </c>
      <c r="AR255">
        <v>1.9568346985545</v>
      </c>
      <c r="AS255">
        <v>2.07756858278502</v>
      </c>
      <c r="AT255">
        <v>2.19762495139749</v>
      </c>
      <c r="AU255">
        <v>2.315262357404</v>
      </c>
      <c r="AV255">
        <v>2.42917428621282</v>
      </c>
      <c r="AW255">
        <v>2.53923751413423</v>
      </c>
      <c r="AX255">
        <v>2.64552717756439</v>
      </c>
      <c r="AY255">
        <v>2.74797200426466</v>
      </c>
      <c r="AZ255">
        <v>2.84539900775305</v>
      </c>
      <c r="BA255">
        <v>0</v>
      </c>
      <c r="BB255">
        <v>0</v>
      </c>
      <c r="BC255">
        <v>0</v>
      </c>
      <c r="BD255">
        <v>0</v>
      </c>
      <c r="BE255">
        <v>0</v>
      </c>
      <c r="BF255">
        <v>0</v>
      </c>
      <c r="BG255">
        <v>0</v>
      </c>
      <c r="BH255">
        <v>0</v>
      </c>
      <c r="BJ255" t="s">
        <v>452</v>
      </c>
      <c r="BL255">
        <v>0.8</v>
      </c>
      <c r="BM255">
        <v>0.797560975609756</v>
      </c>
      <c r="BN255">
        <v>0.785365853658536</v>
      </c>
      <c r="BO255">
        <v>0.773170731707317</v>
      </c>
      <c r="BP255">
        <v>0.760975609756097</v>
      </c>
      <c r="BQ255">
        <v>0.748780487804878</v>
      </c>
      <c r="BR255">
        <v>0.736585365853658</v>
      </c>
      <c r="BS255">
        <v>0.724390243902439</v>
      </c>
      <c r="BT255">
        <v>0.71219512195122</v>
      </c>
      <c r="BU255">
        <v>0.699999999999999</v>
      </c>
      <c r="BV255">
        <v>0.687499999999999</v>
      </c>
      <c r="BW255">
        <v>0.675</v>
      </c>
      <c r="BX255">
        <v>0.6625</v>
      </c>
      <c r="BY255">
        <v>0.649999999999999</v>
      </c>
      <c r="BZ255">
        <v>0.637499999999999</v>
      </c>
      <c r="CA255">
        <v>0.625</v>
      </c>
      <c r="CB255">
        <v>0.6125</v>
      </c>
      <c r="CC255">
        <v>0.6</v>
      </c>
      <c r="CD255" t="e">
        <v>#VALUE!</v>
      </c>
      <c r="CE255" t="e">
        <v>#VALUE!</v>
      </c>
      <c r="CF255" t="e">
        <v>#VALUE!</v>
      </c>
      <c r="CG255" t="e">
        <v>#VALUE!</v>
      </c>
      <c r="CH255" t="e">
        <v>#VALUE!</v>
      </c>
      <c r="CI255" t="e">
        <v>#VALUE!</v>
      </c>
      <c r="CJ255" t="e">
        <v>#VALUE!</v>
      </c>
      <c r="CK255" t="e">
        <v>#VALUE!</v>
      </c>
    </row>
    <row r="256" spans="1:89">
      <c r="A256" s="34" t="s">
        <v>25</v>
      </c>
      <c r="B256" s="34" t="s">
        <v>439</v>
      </c>
      <c r="C256" s="34" t="s">
        <v>439</v>
      </c>
      <c r="D256" s="34"/>
      <c r="E256" s="34">
        <v>1296.87718269106</v>
      </c>
      <c r="F256" s="34">
        <f xml:space="preserve">E256</f>
        <v>1296.87718269106</v>
      </c>
      <c r="G256" s="34"/>
      <c r="H256" s="34"/>
      <c r="I256" s="34">
        <f xml:space="preserve">F256</f>
        <v>1296.87718269106</v>
      </c>
      <c r="J256" s="34">
        <f xml:space="preserve">I256</f>
        <v>1296.87718269106</v>
      </c>
      <c r="K256" s="34"/>
      <c r="L256" s="34">
        <f xml:space="preserve">J256</f>
        <v>1296.87718269106</v>
      </c>
      <c r="M256" s="34"/>
      <c r="N256" s="34"/>
      <c r="O256" s="34"/>
      <c r="P256" s="34"/>
      <c r="Q256" s="34"/>
      <c r="R256" s="34"/>
      <c r="S256" s="34"/>
      <c r="T256" s="34"/>
      <c r="U256" s="34"/>
      <c r="V256" s="34">
        <f xml:space="preserve">L256</f>
        <v>1296.87718269106</v>
      </c>
      <c r="W256" s="34">
        <v>3</v>
      </c>
      <c r="AG256" s="232" t="s">
        <v>437</v>
      </c>
      <c r="AI256">
        <v>1</v>
      </c>
      <c r="AJ256">
        <v>1.01172788980591</v>
      </c>
      <c r="AK256">
        <v>1.15773078809578</v>
      </c>
      <c r="AL256">
        <v>1.27632693451747</v>
      </c>
      <c r="AM256">
        <v>1.38914444804718</v>
      </c>
      <c r="AN256">
        <v>1.5000891332334</v>
      </c>
      <c r="AO256">
        <v>1.611556767737</v>
      </c>
      <c r="AP256">
        <v>1.72407631178702</v>
      </c>
      <c r="AQ256">
        <v>1.83912215615181</v>
      </c>
      <c r="AR256">
        <v>1.9568346985545</v>
      </c>
      <c r="AS256">
        <v>2.07756858278502</v>
      </c>
      <c r="AT256">
        <v>2.19762495139749</v>
      </c>
      <c r="AU256">
        <v>2.315262357404</v>
      </c>
      <c r="AV256">
        <v>2.42917428621282</v>
      </c>
      <c r="AW256">
        <v>2.53923751413423</v>
      </c>
      <c r="AX256">
        <v>2.64552717756439</v>
      </c>
      <c r="AY256">
        <v>2.74797200426466</v>
      </c>
      <c r="AZ256">
        <v>2.84539900775305</v>
      </c>
      <c r="BA256">
        <v>0</v>
      </c>
      <c r="BB256">
        <v>0</v>
      </c>
      <c r="BC256">
        <v>0</v>
      </c>
      <c r="BD256">
        <v>0</v>
      </c>
      <c r="BE256">
        <v>0</v>
      </c>
      <c r="BF256">
        <v>0</v>
      </c>
      <c r="BG256">
        <v>0</v>
      </c>
      <c r="BH256">
        <v>0</v>
      </c>
      <c r="BJ256" t="s">
        <v>452</v>
      </c>
      <c r="BL256">
        <v>0.8</v>
      </c>
      <c r="BM256">
        <v>0.797560975609756</v>
      </c>
      <c r="BN256">
        <v>0.785365853658536</v>
      </c>
      <c r="BO256">
        <v>0.773170731707317</v>
      </c>
      <c r="BP256">
        <v>0.760975609756097</v>
      </c>
      <c r="BQ256">
        <v>0.748780487804878</v>
      </c>
      <c r="BR256">
        <v>0.736585365853658</v>
      </c>
      <c r="BS256">
        <v>0.724390243902439</v>
      </c>
      <c r="BT256">
        <v>0.71219512195122</v>
      </c>
      <c r="BU256">
        <v>0.699999999999999</v>
      </c>
      <c r="BV256">
        <v>0.687499999999999</v>
      </c>
      <c r="BW256">
        <v>0.675</v>
      </c>
      <c r="BX256">
        <v>0.6625</v>
      </c>
      <c r="BY256">
        <v>0.649999999999999</v>
      </c>
      <c r="BZ256">
        <v>0.637499999999999</v>
      </c>
      <c r="CA256">
        <v>0.625</v>
      </c>
      <c r="CB256">
        <v>0.6125</v>
      </c>
      <c r="CC256">
        <v>0.6</v>
      </c>
      <c r="CD256" t="e">
        <v>#VALUE!</v>
      </c>
      <c r="CE256" t="e">
        <v>#VALUE!</v>
      </c>
      <c r="CF256" t="e">
        <v>#VALUE!</v>
      </c>
      <c r="CG256" t="e">
        <v>#VALUE!</v>
      </c>
      <c r="CH256" t="e">
        <v>#VALUE!</v>
      </c>
      <c r="CI256" t="e">
        <v>#VALUE!</v>
      </c>
      <c r="CJ256" t="e">
        <v>#VALUE!</v>
      </c>
      <c r="CK256" t="e">
        <v>#VALUE!</v>
      </c>
    </row>
    <row r="257" spans="1:89">
      <c r="A257" s="34" t="s">
        <v>25</v>
      </c>
      <c r="B257" s="34" t="s">
        <v>440</v>
      </c>
      <c r="C257" s="34" t="s">
        <v>440</v>
      </c>
      <c r="D257" s="34"/>
      <c r="E257" s="34">
        <v>679.575521485568</v>
      </c>
      <c r="F257" s="34"/>
      <c r="G257" s="34"/>
      <c r="H257" s="34"/>
      <c r="I257" s="34">
        <v>871.443239460521</v>
      </c>
      <c r="J257" s="34">
        <v>923.557036642287</v>
      </c>
      <c r="K257" s="34"/>
      <c r="L257" s="34">
        <v>1023.3743399238</v>
      </c>
      <c r="M257" s="34"/>
      <c r="N257" s="34"/>
      <c r="O257" s="34"/>
      <c r="P257" s="34"/>
      <c r="Q257" s="34"/>
      <c r="R257" s="34"/>
      <c r="S257" s="34"/>
      <c r="T257" s="34"/>
      <c r="U257" s="34"/>
      <c r="V257" s="34">
        <v>1430.88134514306</v>
      </c>
      <c r="W257" s="34">
        <v>3</v>
      </c>
      <c r="AG257" s="232" t="s">
        <v>437</v>
      </c>
      <c r="AI257">
        <v>1</v>
      </c>
      <c r="AJ257">
        <v>1.01172788980591</v>
      </c>
      <c r="AK257">
        <v>1.15773078809578</v>
      </c>
      <c r="AL257">
        <v>1.27632693451747</v>
      </c>
      <c r="AM257">
        <v>1.38914444804718</v>
      </c>
      <c r="AN257">
        <v>1.5000891332334</v>
      </c>
      <c r="AO257">
        <v>1.611556767737</v>
      </c>
      <c r="AP257">
        <v>1.72407631178702</v>
      </c>
      <c r="AQ257">
        <v>1.83912215615181</v>
      </c>
      <c r="AR257">
        <v>1.9568346985545</v>
      </c>
      <c r="AS257">
        <v>2.07756858278502</v>
      </c>
      <c r="AT257">
        <v>2.19762495139749</v>
      </c>
      <c r="AU257">
        <v>2.315262357404</v>
      </c>
      <c r="AV257">
        <v>2.42917428621282</v>
      </c>
      <c r="AW257">
        <v>2.53923751413423</v>
      </c>
      <c r="AX257">
        <v>2.64552717756439</v>
      </c>
      <c r="AY257">
        <v>2.74797200426466</v>
      </c>
      <c r="AZ257">
        <v>2.84539900775305</v>
      </c>
      <c r="BA257">
        <v>0</v>
      </c>
      <c r="BB257">
        <v>0</v>
      </c>
      <c r="BC257">
        <v>0</v>
      </c>
      <c r="BD257">
        <v>0</v>
      </c>
      <c r="BE257">
        <v>0</v>
      </c>
      <c r="BF257">
        <v>0</v>
      </c>
      <c r="BG257">
        <v>0</v>
      </c>
      <c r="BH257">
        <v>0</v>
      </c>
      <c r="BJ257" t="s">
        <v>452</v>
      </c>
      <c r="BL257">
        <v>0.8</v>
      </c>
      <c r="BM257">
        <v>0.797560975609756</v>
      </c>
      <c r="BN257">
        <v>0.785365853658536</v>
      </c>
      <c r="BO257">
        <v>0.773170731707317</v>
      </c>
      <c r="BP257">
        <v>0.760975609756097</v>
      </c>
      <c r="BQ257">
        <v>0.748780487804878</v>
      </c>
      <c r="BR257">
        <v>0.736585365853658</v>
      </c>
      <c r="BS257">
        <v>0.724390243902439</v>
      </c>
      <c r="BT257">
        <v>0.71219512195122</v>
      </c>
      <c r="BU257">
        <v>0.699999999999999</v>
      </c>
      <c r="BV257">
        <v>0.687499999999999</v>
      </c>
      <c r="BW257">
        <v>0.675</v>
      </c>
      <c r="BX257">
        <v>0.6625</v>
      </c>
      <c r="BY257">
        <v>0.649999999999999</v>
      </c>
      <c r="BZ257">
        <v>0.637499999999999</v>
      </c>
      <c r="CA257">
        <v>0.625</v>
      </c>
      <c r="CB257">
        <v>0.6125</v>
      </c>
      <c r="CC257">
        <v>0.6</v>
      </c>
      <c r="CD257" t="e">
        <v>#VALUE!</v>
      </c>
      <c r="CE257" t="e">
        <v>#VALUE!</v>
      </c>
      <c r="CF257" t="e">
        <v>#VALUE!</v>
      </c>
      <c r="CG257" t="e">
        <v>#VALUE!</v>
      </c>
      <c r="CH257" t="e">
        <v>#VALUE!</v>
      </c>
      <c r="CI257" t="e">
        <v>#VALUE!</v>
      </c>
      <c r="CJ257" t="e">
        <v>#VALUE!</v>
      </c>
      <c r="CK257" t="e">
        <v>#VALUE!</v>
      </c>
    </row>
    <row r="258" spans="1:89">
      <c r="A258" s="34" t="s">
        <v>25</v>
      </c>
      <c r="B258" s="34" t="s">
        <v>441</v>
      </c>
      <c r="C258" s="34" t="s">
        <v>441</v>
      </c>
      <c r="D258" s="34"/>
      <c r="E258" s="34">
        <v>58.4320094976446</v>
      </c>
      <c r="F258" s="34"/>
      <c r="G258" s="34"/>
      <c r="H258" s="34"/>
      <c r="I258" s="34">
        <v>61.9365902820291</v>
      </c>
      <c r="J258" s="34">
        <v>62.9423237956776</v>
      </c>
      <c r="K258" s="34"/>
      <c r="L258" s="34">
        <v>64.5538136248101</v>
      </c>
      <c r="M258" s="34"/>
      <c r="N258" s="34"/>
      <c r="O258" s="34"/>
      <c r="P258" s="34"/>
      <c r="Q258" s="34"/>
      <c r="R258" s="34"/>
      <c r="S258" s="34"/>
      <c r="T258" s="34"/>
      <c r="U258" s="34"/>
      <c r="V258" s="34">
        <v>66.6913174585817</v>
      </c>
      <c r="W258" s="34">
        <v>3</v>
      </c>
      <c r="AG258" s="232" t="s">
        <v>442</v>
      </c>
      <c r="AI258">
        <v>1</v>
      </c>
      <c r="AJ258">
        <v>1.00495999889878</v>
      </c>
      <c r="AK258">
        <v>1.02975999339271</v>
      </c>
      <c r="AL258">
        <v>1.05737471324628</v>
      </c>
      <c r="AM258">
        <v>1.08336204718507</v>
      </c>
      <c r="AN258">
        <v>1.10685592617762</v>
      </c>
      <c r="AO258">
        <v>1.1274670154964</v>
      </c>
      <c r="AP258">
        <v>1.14571722214685</v>
      </c>
      <c r="AQ258">
        <v>1.16074253232549</v>
      </c>
      <c r="AR258">
        <v>1.17410146972096</v>
      </c>
      <c r="AS258">
        <v>1.18602152993378</v>
      </c>
      <c r="AT258">
        <v>1.1965070712562</v>
      </c>
      <c r="AU258">
        <v>1.20478311558372</v>
      </c>
      <c r="AV258">
        <v>1.20985655258813</v>
      </c>
      <c r="AW258">
        <v>1.21138136650841</v>
      </c>
      <c r="AX258">
        <v>1.20971163886783</v>
      </c>
      <c r="AY258">
        <v>1.20580586955285</v>
      </c>
      <c r="AZ258">
        <v>1.19995082129647</v>
      </c>
      <c r="BA258">
        <v>0</v>
      </c>
      <c r="BB258">
        <v>0</v>
      </c>
      <c r="BC258">
        <v>0</v>
      </c>
      <c r="BD258">
        <v>0</v>
      </c>
      <c r="BE258">
        <v>0</v>
      </c>
      <c r="BF258">
        <v>0</v>
      </c>
      <c r="BG258">
        <v>0</v>
      </c>
      <c r="BH258">
        <v>0</v>
      </c>
      <c r="BJ258" t="s">
        <v>452</v>
      </c>
      <c r="BL258">
        <v>0.8</v>
      </c>
      <c r="BM258">
        <v>0.797560975609756</v>
      </c>
      <c r="BN258">
        <v>0.785365853658536</v>
      </c>
      <c r="BO258">
        <v>0.773170731707317</v>
      </c>
      <c r="BP258">
        <v>0.760975609756097</v>
      </c>
      <c r="BQ258">
        <v>0.748780487804878</v>
      </c>
      <c r="BR258">
        <v>0.736585365853658</v>
      </c>
      <c r="BS258">
        <v>0.724390243902439</v>
      </c>
      <c r="BT258">
        <v>0.71219512195122</v>
      </c>
      <c r="BU258">
        <v>0.699999999999999</v>
      </c>
      <c r="BV258">
        <v>0.687499999999999</v>
      </c>
      <c r="BW258">
        <v>0.675</v>
      </c>
      <c r="BX258">
        <v>0.6625</v>
      </c>
      <c r="BY258">
        <v>0.649999999999999</v>
      </c>
      <c r="BZ258">
        <v>0.637499999999999</v>
      </c>
      <c r="CA258">
        <v>0.625</v>
      </c>
      <c r="CB258">
        <v>0.6125</v>
      </c>
      <c r="CC258">
        <v>0.6</v>
      </c>
      <c r="CD258" t="e">
        <v>#VALUE!</v>
      </c>
      <c r="CE258" t="e">
        <v>#VALUE!</v>
      </c>
      <c r="CF258" t="e">
        <v>#VALUE!</v>
      </c>
      <c r="CG258" t="e">
        <v>#VALUE!</v>
      </c>
      <c r="CH258" t="e">
        <v>#VALUE!</v>
      </c>
      <c r="CI258" t="e">
        <v>#VALUE!</v>
      </c>
      <c r="CJ258" t="e">
        <v>#VALUE!</v>
      </c>
      <c r="CK258" t="e">
        <v>#VALUE!</v>
      </c>
    </row>
    <row r="259" spans="1:89">
      <c r="A259" s="34" t="s">
        <v>25</v>
      </c>
      <c r="B259" s="34" t="s">
        <v>443</v>
      </c>
      <c r="C259" s="34" t="s">
        <v>443</v>
      </c>
      <c r="D259" s="34"/>
      <c r="E259" s="34">
        <v>449.84905940102</v>
      </c>
      <c r="F259" s="34">
        <f xml:space="preserve">E259</f>
        <v>449.84905940102</v>
      </c>
      <c r="G259" s="34"/>
      <c r="H259" s="34"/>
      <c r="I259" s="34">
        <f xml:space="preserve">F259</f>
        <v>449.84905940102</v>
      </c>
      <c r="J259" s="34">
        <f xml:space="preserve">I259</f>
        <v>449.84905940102</v>
      </c>
      <c r="K259" s="34"/>
      <c r="L259" s="34">
        <f xml:space="preserve">J259</f>
        <v>449.84905940102</v>
      </c>
      <c r="M259" s="34"/>
      <c r="N259" s="34"/>
      <c r="O259" s="34"/>
      <c r="P259" s="34"/>
      <c r="Q259" s="34"/>
      <c r="R259" s="34"/>
      <c r="S259" s="34"/>
      <c r="T259" s="34"/>
      <c r="U259" s="34"/>
      <c r="V259" s="34">
        <f xml:space="preserve">L259</f>
        <v>449.84905940102</v>
      </c>
      <c r="W259" s="34">
        <v>3</v>
      </c>
      <c r="AG259" s="232" t="s">
        <v>437</v>
      </c>
      <c r="AI259">
        <v>1</v>
      </c>
      <c r="AJ259">
        <v>1.01172788980591</v>
      </c>
      <c r="AK259">
        <v>1.15773078809578</v>
      </c>
      <c r="AL259">
        <v>1.27632693451747</v>
      </c>
      <c r="AM259">
        <v>1.38914444804718</v>
      </c>
      <c r="AN259">
        <v>1.5000891332334</v>
      </c>
      <c r="AO259">
        <v>1.611556767737</v>
      </c>
      <c r="AP259">
        <v>1.72407631178702</v>
      </c>
      <c r="AQ259">
        <v>1.83912215615181</v>
      </c>
      <c r="AR259">
        <v>1.9568346985545</v>
      </c>
      <c r="AS259">
        <v>2.07756858278502</v>
      </c>
      <c r="AT259">
        <v>2.19762495139749</v>
      </c>
      <c r="AU259">
        <v>2.315262357404</v>
      </c>
      <c r="AV259">
        <v>2.42917428621282</v>
      </c>
      <c r="AW259">
        <v>2.53923751413423</v>
      </c>
      <c r="AX259">
        <v>2.64552717756439</v>
      </c>
      <c r="AY259">
        <v>2.74797200426466</v>
      </c>
      <c r="AZ259">
        <v>2.84539900775305</v>
      </c>
      <c r="BA259">
        <v>0</v>
      </c>
      <c r="BB259">
        <v>0</v>
      </c>
      <c r="BC259">
        <v>0</v>
      </c>
      <c r="BD259">
        <v>0</v>
      </c>
      <c r="BE259">
        <v>0</v>
      </c>
      <c r="BF259">
        <v>0</v>
      </c>
      <c r="BG259">
        <v>0</v>
      </c>
      <c r="BH259">
        <v>0</v>
      </c>
      <c r="BJ259" t="s">
        <v>452</v>
      </c>
      <c r="BL259">
        <v>0.8</v>
      </c>
      <c r="BM259">
        <v>0.797560975609756</v>
      </c>
      <c r="BN259">
        <v>0.785365853658536</v>
      </c>
      <c r="BO259">
        <v>0.773170731707317</v>
      </c>
      <c r="BP259">
        <v>0.760975609756097</v>
      </c>
      <c r="BQ259">
        <v>0.748780487804878</v>
      </c>
      <c r="BR259">
        <v>0.736585365853658</v>
      </c>
      <c r="BS259">
        <v>0.724390243902439</v>
      </c>
      <c r="BT259">
        <v>0.71219512195122</v>
      </c>
      <c r="BU259">
        <v>0.699999999999999</v>
      </c>
      <c r="BV259">
        <v>0.687499999999999</v>
      </c>
      <c r="BW259">
        <v>0.675</v>
      </c>
      <c r="BX259">
        <v>0.6625</v>
      </c>
      <c r="BY259">
        <v>0.649999999999999</v>
      </c>
      <c r="BZ259">
        <v>0.637499999999999</v>
      </c>
      <c r="CA259">
        <v>0.625</v>
      </c>
      <c r="CB259">
        <v>0.6125</v>
      </c>
      <c r="CC259">
        <v>0.6</v>
      </c>
      <c r="CD259" t="e">
        <v>#VALUE!</v>
      </c>
      <c r="CE259" t="e">
        <v>#VALUE!</v>
      </c>
      <c r="CF259" t="e">
        <v>#VALUE!</v>
      </c>
      <c r="CG259" t="e">
        <v>#VALUE!</v>
      </c>
      <c r="CH259" t="e">
        <v>#VALUE!</v>
      </c>
      <c r="CI259" t="e">
        <v>#VALUE!</v>
      </c>
      <c r="CJ259" t="e">
        <v>#VALUE!</v>
      </c>
      <c r="CK259" t="e">
        <v>#VALUE!</v>
      </c>
    </row>
    <row r="260" spans="1:89">
      <c r="A260" s="34" t="s">
        <v>25</v>
      </c>
      <c r="B260" s="34" t="s">
        <v>444</v>
      </c>
      <c r="C260" s="34" t="s">
        <v>444</v>
      </c>
      <c r="D260" s="34"/>
      <c r="E260" s="34">
        <v>1024.60125475921</v>
      </c>
      <c r="F260" s="34">
        <f xml:space="preserve">E260</f>
        <v>1024.60125475921</v>
      </c>
      <c r="G260" s="34"/>
      <c r="H260" s="34"/>
      <c r="I260" s="34">
        <f xml:space="preserve">F260</f>
        <v>1024.60125475921</v>
      </c>
      <c r="J260" s="34">
        <f xml:space="preserve">I260</f>
        <v>1024.60125475921</v>
      </c>
      <c r="K260" s="34"/>
      <c r="L260" s="34">
        <f xml:space="preserve">J260</f>
        <v>1024.60125475921</v>
      </c>
      <c r="M260" s="34"/>
      <c r="N260" s="34"/>
      <c r="O260" s="34"/>
      <c r="P260" s="34"/>
      <c r="Q260" s="34"/>
      <c r="R260" s="34"/>
      <c r="S260" s="34"/>
      <c r="T260" s="34"/>
      <c r="U260" s="34"/>
      <c r="V260" s="34">
        <f xml:space="preserve">L260</f>
        <v>1024.60125475921</v>
      </c>
      <c r="W260" s="34">
        <v>3</v>
      </c>
      <c r="AG260" s="232" t="s">
        <v>437</v>
      </c>
      <c r="AI260">
        <v>1</v>
      </c>
      <c r="AJ260">
        <v>1.01172788980591</v>
      </c>
      <c r="AK260">
        <v>1.15773078809578</v>
      </c>
      <c r="AL260">
        <v>1.27632693451747</v>
      </c>
      <c r="AM260">
        <v>1.38914444804718</v>
      </c>
      <c r="AN260">
        <v>1.5000891332334</v>
      </c>
      <c r="AO260">
        <v>1.611556767737</v>
      </c>
      <c r="AP260">
        <v>1.72407631178702</v>
      </c>
      <c r="AQ260">
        <v>1.83912215615181</v>
      </c>
      <c r="AR260">
        <v>1.9568346985545</v>
      </c>
      <c r="AS260">
        <v>2.07756858278502</v>
      </c>
      <c r="AT260">
        <v>2.19762495139749</v>
      </c>
      <c r="AU260">
        <v>2.315262357404</v>
      </c>
      <c r="AV260">
        <v>2.42917428621282</v>
      </c>
      <c r="AW260">
        <v>2.53923751413423</v>
      </c>
      <c r="AX260">
        <v>2.64552717756439</v>
      </c>
      <c r="AY260">
        <v>2.74797200426466</v>
      </c>
      <c r="AZ260">
        <v>2.84539900775305</v>
      </c>
      <c r="BA260">
        <v>0</v>
      </c>
      <c r="BB260">
        <v>0</v>
      </c>
      <c r="BC260">
        <v>0</v>
      </c>
      <c r="BD260">
        <v>0</v>
      </c>
      <c r="BE260">
        <v>0</v>
      </c>
      <c r="BF260">
        <v>0</v>
      </c>
      <c r="BG260">
        <v>0</v>
      </c>
      <c r="BH260">
        <v>0</v>
      </c>
      <c r="BJ260" t="s">
        <v>452</v>
      </c>
      <c r="BL260">
        <v>0.8</v>
      </c>
      <c r="BM260">
        <v>0.797560975609756</v>
      </c>
      <c r="BN260">
        <v>0.785365853658536</v>
      </c>
      <c r="BO260">
        <v>0.773170731707317</v>
      </c>
      <c r="BP260">
        <v>0.760975609756097</v>
      </c>
      <c r="BQ260">
        <v>0.748780487804878</v>
      </c>
      <c r="BR260">
        <v>0.736585365853658</v>
      </c>
      <c r="BS260">
        <v>0.724390243902439</v>
      </c>
      <c r="BT260">
        <v>0.71219512195122</v>
      </c>
      <c r="BU260">
        <v>0.699999999999999</v>
      </c>
      <c r="BV260">
        <v>0.687499999999999</v>
      </c>
      <c r="BW260">
        <v>0.675</v>
      </c>
      <c r="BX260">
        <v>0.6625</v>
      </c>
      <c r="BY260">
        <v>0.649999999999999</v>
      </c>
      <c r="BZ260">
        <v>0.637499999999999</v>
      </c>
      <c r="CA260">
        <v>0.625</v>
      </c>
      <c r="CB260">
        <v>0.6125</v>
      </c>
      <c r="CC260">
        <v>0.6</v>
      </c>
      <c r="CD260" t="e">
        <v>#VALUE!</v>
      </c>
      <c r="CE260" t="e">
        <v>#VALUE!</v>
      </c>
      <c r="CF260" t="e">
        <v>#VALUE!</v>
      </c>
      <c r="CG260" t="e">
        <v>#VALUE!</v>
      </c>
      <c r="CH260" t="e">
        <v>#VALUE!</v>
      </c>
      <c r="CI260" t="e">
        <v>#VALUE!</v>
      </c>
      <c r="CJ260" t="e">
        <v>#VALUE!</v>
      </c>
      <c r="CK260" t="e">
        <v>#VALUE!</v>
      </c>
    </row>
    <row r="261" spans="1:89">
      <c r="A261" s="34" t="s">
        <v>25</v>
      </c>
      <c r="B261" s="34" t="s">
        <v>445</v>
      </c>
      <c r="C261" s="34" t="s">
        <v>445</v>
      </c>
      <c r="D261" s="34">
        <v>14.532</v>
      </c>
      <c r="E261" s="34">
        <v>14.5894871614806</v>
      </c>
      <c r="F261" s="34"/>
      <c r="G261" s="34">
        <v>14.8722451281558</v>
      </c>
      <c r="H261" s="34">
        <v>15.1806040843639</v>
      </c>
      <c r="I261" s="34">
        <v>15.4645218693356</v>
      </c>
      <c r="J261" s="34">
        <v>15.7156365633431</v>
      </c>
      <c r="K261" s="34">
        <v>15.9311949446892</v>
      </c>
      <c r="L261" s="34">
        <v>16.1179983916477</v>
      </c>
      <c r="M261" s="34">
        <v>16.2685398461219</v>
      </c>
      <c r="N261" s="34">
        <v>16.3996036087457</v>
      </c>
      <c r="O261" s="34">
        <v>16.5140702318807</v>
      </c>
      <c r="P261" s="34">
        <v>16.6126201308303</v>
      </c>
      <c r="Q261" s="34">
        <v>16.6887458757882</v>
      </c>
      <c r="R261" s="34">
        <v>16.7344263346711</v>
      </c>
      <c r="S261" s="34">
        <v>16.7478717426679</v>
      </c>
      <c r="T261" s="34">
        <v>16.7334438005564</v>
      </c>
      <c r="U261" s="34">
        <v>16.7003523235022</v>
      </c>
      <c r="V261" s="34">
        <v>16.651697044296</v>
      </c>
      <c r="W261" s="34">
        <v>3</v>
      </c>
      <c r="AG261" s="232" t="s">
        <v>442</v>
      </c>
      <c r="AI261">
        <v>1</v>
      </c>
      <c r="AJ261">
        <v>1.00495999889878</v>
      </c>
      <c r="AK261">
        <v>1.02975999339271</v>
      </c>
      <c r="AL261">
        <v>1.05737471324628</v>
      </c>
      <c r="AM261">
        <v>1.08336204718507</v>
      </c>
      <c r="AN261">
        <v>1.10685592617762</v>
      </c>
      <c r="AO261">
        <v>1.1274670154964</v>
      </c>
      <c r="AP261">
        <v>1.14571722214685</v>
      </c>
      <c r="AQ261">
        <v>1.16074253232549</v>
      </c>
      <c r="AR261">
        <v>1.17410146972096</v>
      </c>
      <c r="AS261">
        <v>1.18602152993378</v>
      </c>
      <c r="AT261">
        <v>1.1965070712562</v>
      </c>
      <c r="AU261">
        <v>1.20478311558372</v>
      </c>
      <c r="AV261">
        <v>1.20985655258813</v>
      </c>
      <c r="AW261">
        <v>1.21138136650841</v>
      </c>
      <c r="AX261">
        <v>1.20971163886783</v>
      </c>
      <c r="AY261">
        <v>1.20580586955285</v>
      </c>
      <c r="AZ261">
        <v>1.19995082129647</v>
      </c>
      <c r="BA261">
        <v>0</v>
      </c>
      <c r="BB261">
        <v>0</v>
      </c>
      <c r="BC261">
        <v>0</v>
      </c>
      <c r="BD261">
        <v>0</v>
      </c>
      <c r="BE261">
        <v>0</v>
      </c>
      <c r="BF261">
        <v>0</v>
      </c>
      <c r="BG261">
        <v>0</v>
      </c>
      <c r="BH261">
        <v>0</v>
      </c>
      <c r="BJ261" t="s">
        <v>452</v>
      </c>
      <c r="BL261">
        <v>0.8</v>
      </c>
      <c r="BM261">
        <v>0.797560975609756</v>
      </c>
      <c r="BN261">
        <v>0.785365853658536</v>
      </c>
      <c r="BO261">
        <v>0.773170731707317</v>
      </c>
      <c r="BP261">
        <v>0.760975609756097</v>
      </c>
      <c r="BQ261">
        <v>0.748780487804878</v>
      </c>
      <c r="BR261">
        <v>0.736585365853658</v>
      </c>
      <c r="BS261">
        <v>0.724390243902439</v>
      </c>
      <c r="BT261">
        <v>0.71219512195122</v>
      </c>
      <c r="BU261">
        <v>0.699999999999999</v>
      </c>
      <c r="BV261">
        <v>0.687499999999999</v>
      </c>
      <c r="BW261">
        <v>0.675</v>
      </c>
      <c r="BX261">
        <v>0.6625</v>
      </c>
      <c r="BY261">
        <v>0.649999999999999</v>
      </c>
      <c r="BZ261">
        <v>0.637499999999999</v>
      </c>
      <c r="CA261">
        <v>0.625</v>
      </c>
      <c r="CB261">
        <v>0.6125</v>
      </c>
      <c r="CC261">
        <v>0.6</v>
      </c>
      <c r="CD261" t="e">
        <v>#VALUE!</v>
      </c>
      <c r="CE261" t="e">
        <v>#VALUE!</v>
      </c>
      <c r="CF261" t="e">
        <v>#VALUE!</v>
      </c>
      <c r="CG261" t="e">
        <v>#VALUE!</v>
      </c>
      <c r="CH261" t="e">
        <v>#VALUE!</v>
      </c>
      <c r="CI261" t="e">
        <v>#VALUE!</v>
      </c>
      <c r="CJ261" t="e">
        <v>#VALUE!</v>
      </c>
      <c r="CK261" t="e">
        <v>#VALUE!</v>
      </c>
    </row>
    <row r="262" spans="1:89">
      <c r="A262" s="34" t="s">
        <v>25</v>
      </c>
      <c r="B262" s="34" t="s">
        <v>446</v>
      </c>
      <c r="C262" s="34" t="s">
        <v>446</v>
      </c>
      <c r="D262" s="34">
        <v>8.61</v>
      </c>
      <c r="E262" s="34">
        <v>8.64406031243792</v>
      </c>
      <c r="F262" s="34"/>
      <c r="G262" s="34">
        <v>8.81159032159523</v>
      </c>
      <c r="H262" s="34">
        <v>8.99428854709421</v>
      </c>
      <c r="I262" s="34">
        <v>9.16250573183176</v>
      </c>
      <c r="J262" s="34">
        <v>9.31128755920615</v>
      </c>
      <c r="K262" s="34">
        <v>9.43900278514821</v>
      </c>
      <c r="L262" s="34">
        <v>9.54968112799935</v>
      </c>
      <c r="M262" s="34">
        <v>9.6388747643208</v>
      </c>
      <c r="N262" s="34">
        <v>9.71652814969038</v>
      </c>
      <c r="O262" s="34">
        <v>9.78434796975592</v>
      </c>
      <c r="P262" s="34">
        <v>9.84273736075204</v>
      </c>
      <c r="Q262" s="34">
        <v>9.88784076455661</v>
      </c>
      <c r="R262" s="34">
        <v>9.91490577632248</v>
      </c>
      <c r="S262" s="34">
        <v>9.92287198626279</v>
      </c>
      <c r="T262" s="34">
        <v>9.91432363905796</v>
      </c>
      <c r="U262" s="34">
        <v>9.89471741710392</v>
      </c>
      <c r="V262" s="34">
        <v>9.8658898672852</v>
      </c>
      <c r="W262" s="34">
        <v>3</v>
      </c>
      <c r="AG262" s="232" t="s">
        <v>442</v>
      </c>
      <c r="AI262">
        <v>1</v>
      </c>
      <c r="AJ262">
        <v>1.00495999889878</v>
      </c>
      <c r="AK262">
        <v>1.02975999339271</v>
      </c>
      <c r="AL262">
        <v>1.05737471324628</v>
      </c>
      <c r="AM262">
        <v>1.08336204718507</v>
      </c>
      <c r="AN262">
        <v>1.10685592617762</v>
      </c>
      <c r="AO262">
        <v>1.1274670154964</v>
      </c>
      <c r="AP262">
        <v>1.14571722214685</v>
      </c>
      <c r="AQ262">
        <v>1.16074253232549</v>
      </c>
      <c r="AR262">
        <v>1.17410146972096</v>
      </c>
      <c r="AS262">
        <v>1.18602152993378</v>
      </c>
      <c r="AT262">
        <v>1.1965070712562</v>
      </c>
      <c r="AU262">
        <v>1.20478311558372</v>
      </c>
      <c r="AV262">
        <v>1.20985655258813</v>
      </c>
      <c r="AW262">
        <v>1.21138136650841</v>
      </c>
      <c r="AX262">
        <v>1.20971163886783</v>
      </c>
      <c r="AY262">
        <v>1.20580586955285</v>
      </c>
      <c r="AZ262">
        <v>1.19995082129647</v>
      </c>
      <c r="BA262">
        <v>0</v>
      </c>
      <c r="BB262">
        <v>0</v>
      </c>
      <c r="BC262">
        <v>0</v>
      </c>
      <c r="BD262">
        <v>0</v>
      </c>
      <c r="BE262">
        <v>0</v>
      </c>
      <c r="BF262">
        <v>0</v>
      </c>
      <c r="BG262">
        <v>0</v>
      </c>
      <c r="BH262">
        <v>0</v>
      </c>
      <c r="BJ262" t="s">
        <v>452</v>
      </c>
      <c r="BL262">
        <v>0.8</v>
      </c>
      <c r="BM262">
        <v>0.797560975609756</v>
      </c>
      <c r="BN262">
        <v>0.785365853658536</v>
      </c>
      <c r="BO262">
        <v>0.773170731707317</v>
      </c>
      <c r="BP262">
        <v>0.760975609756097</v>
      </c>
      <c r="BQ262">
        <v>0.748780487804878</v>
      </c>
      <c r="BR262">
        <v>0.736585365853658</v>
      </c>
      <c r="BS262">
        <v>0.724390243902439</v>
      </c>
      <c r="BT262">
        <v>0.71219512195122</v>
      </c>
      <c r="BU262">
        <v>0.699999999999999</v>
      </c>
      <c r="BV262">
        <v>0.687499999999999</v>
      </c>
      <c r="BW262">
        <v>0.675</v>
      </c>
      <c r="BX262">
        <v>0.6625</v>
      </c>
      <c r="BY262">
        <v>0.649999999999999</v>
      </c>
      <c r="BZ262">
        <v>0.637499999999999</v>
      </c>
      <c r="CA262">
        <v>0.625</v>
      </c>
      <c r="CB262">
        <v>0.6125</v>
      </c>
      <c r="CC262">
        <v>0.6</v>
      </c>
      <c r="CD262" t="e">
        <v>#VALUE!</v>
      </c>
      <c r="CE262" t="e">
        <v>#VALUE!</v>
      </c>
      <c r="CF262" t="e">
        <v>#VALUE!</v>
      </c>
      <c r="CG262" t="e">
        <v>#VALUE!</v>
      </c>
      <c r="CH262" t="e">
        <v>#VALUE!</v>
      </c>
      <c r="CI262" t="e">
        <v>#VALUE!</v>
      </c>
      <c r="CJ262" t="e">
        <v>#VALUE!</v>
      </c>
      <c r="CK262" t="e">
        <v>#VALUE!</v>
      </c>
    </row>
    <row r="263" spans="1:89">
      <c r="A263" s="34" t="s">
        <v>25</v>
      </c>
      <c r="B263" s="34" t="s">
        <v>447</v>
      </c>
      <c r="C263" s="34" t="s">
        <v>447</v>
      </c>
      <c r="D263" s="34">
        <v>19.775</v>
      </c>
      <c r="E263" s="34">
        <v>19.8532279533635</v>
      </c>
      <c r="F263" s="34"/>
      <c r="G263" s="34">
        <v>20.2380021613874</v>
      </c>
      <c r="H263" s="34">
        <v>20.6576139394644</v>
      </c>
      <c r="I263" s="34">
        <v>21.0439664166055</v>
      </c>
      <c r="J263" s="34">
        <v>21.3856807762255</v>
      </c>
      <c r="K263" s="34">
        <v>21.6790104618242</v>
      </c>
      <c r="L263" s="34">
        <v>21.9332107208115</v>
      </c>
      <c r="M263" s="34">
        <v>22.1380660237449</v>
      </c>
      <c r="N263" s="34">
        <v>22.3164162787604</v>
      </c>
      <c r="O263" s="34">
        <v>22.4721813126508</v>
      </c>
      <c r="P263" s="34">
        <v>22.6062870277435</v>
      </c>
      <c r="Q263" s="34">
        <v>22.7098781787581</v>
      </c>
      <c r="R263" s="34">
        <v>22.7720396895211</v>
      </c>
      <c r="S263" s="34">
        <v>22.7903360660101</v>
      </c>
      <c r="T263" s="34">
        <v>22.7707026669421</v>
      </c>
      <c r="U263" s="34">
        <v>22.7256721165192</v>
      </c>
      <c r="V263" s="34">
        <v>22.6594625000656</v>
      </c>
      <c r="W263" s="34">
        <v>3</v>
      </c>
      <c r="AG263" s="232" t="s">
        <v>442</v>
      </c>
      <c r="AI263">
        <v>1</v>
      </c>
      <c r="AJ263">
        <v>1.00495999889878</v>
      </c>
      <c r="AK263">
        <v>1.02975999339271</v>
      </c>
      <c r="AL263">
        <v>1.05737471324628</v>
      </c>
      <c r="AM263">
        <v>1.08336204718507</v>
      </c>
      <c r="AN263">
        <v>1.10685592617762</v>
      </c>
      <c r="AO263">
        <v>1.1274670154964</v>
      </c>
      <c r="AP263">
        <v>1.14571722214685</v>
      </c>
      <c r="AQ263">
        <v>1.16074253232549</v>
      </c>
      <c r="AR263">
        <v>1.17410146972096</v>
      </c>
      <c r="AS263">
        <v>1.18602152993378</v>
      </c>
      <c r="AT263">
        <v>1.1965070712562</v>
      </c>
      <c r="AU263">
        <v>1.20478311558372</v>
      </c>
      <c r="AV263">
        <v>1.20985655258813</v>
      </c>
      <c r="AW263">
        <v>1.21138136650841</v>
      </c>
      <c r="AX263">
        <v>1.20971163886783</v>
      </c>
      <c r="AY263">
        <v>1.20580586955285</v>
      </c>
      <c r="AZ263">
        <v>1.19995082129647</v>
      </c>
      <c r="BA263">
        <v>0</v>
      </c>
      <c r="BB263">
        <v>0</v>
      </c>
      <c r="BC263">
        <v>0</v>
      </c>
      <c r="BD263">
        <v>0</v>
      </c>
      <c r="BE263">
        <v>0</v>
      </c>
      <c r="BF263">
        <v>0</v>
      </c>
      <c r="BG263">
        <v>0</v>
      </c>
      <c r="BH263">
        <v>0</v>
      </c>
      <c r="BJ263" t="s">
        <v>452</v>
      </c>
      <c r="BL263">
        <v>0.8</v>
      </c>
      <c r="BM263">
        <v>0.797560975609756</v>
      </c>
      <c r="BN263">
        <v>0.785365853658536</v>
      </c>
      <c r="BO263">
        <v>0.773170731707317</v>
      </c>
      <c r="BP263">
        <v>0.760975609756097</v>
      </c>
      <c r="BQ263">
        <v>0.748780487804878</v>
      </c>
      <c r="BR263">
        <v>0.736585365853658</v>
      </c>
      <c r="BS263">
        <v>0.724390243902439</v>
      </c>
      <c r="BT263">
        <v>0.71219512195122</v>
      </c>
      <c r="BU263">
        <v>0.699999999999999</v>
      </c>
      <c r="BV263">
        <v>0.687499999999999</v>
      </c>
      <c r="BW263">
        <v>0.675</v>
      </c>
      <c r="BX263">
        <v>0.6625</v>
      </c>
      <c r="BY263">
        <v>0.649999999999999</v>
      </c>
      <c r="BZ263">
        <v>0.637499999999999</v>
      </c>
      <c r="CA263">
        <v>0.625</v>
      </c>
      <c r="CB263">
        <v>0.6125</v>
      </c>
      <c r="CC263">
        <v>0.6</v>
      </c>
      <c r="CD263" t="e">
        <v>#VALUE!</v>
      </c>
      <c r="CE263" t="e">
        <v>#VALUE!</v>
      </c>
      <c r="CF263" t="e">
        <v>#VALUE!</v>
      </c>
      <c r="CG263" t="e">
        <v>#VALUE!</v>
      </c>
      <c r="CH263" t="e">
        <v>#VALUE!</v>
      </c>
      <c r="CI263" t="e">
        <v>#VALUE!</v>
      </c>
      <c r="CJ263" t="e">
        <v>#VALUE!</v>
      </c>
      <c r="CK263" t="e">
        <v>#VALUE!</v>
      </c>
    </row>
    <row r="264" spans="1:89">
      <c r="A264" s="34" t="s">
        <v>25</v>
      </c>
      <c r="B264" s="34" t="s">
        <v>448</v>
      </c>
      <c r="C264" s="34" t="s">
        <v>448</v>
      </c>
      <c r="D264" s="34">
        <v>6991.488</v>
      </c>
      <c r="E264" s="34">
        <v>7029.04043357187</v>
      </c>
      <c r="F264" s="34"/>
      <c r="G264" s="34">
        <v>7673.55280400293</v>
      </c>
      <c r="H264" s="34">
        <v>8110.49698055852</v>
      </c>
      <c r="I264" s="34">
        <v>8494.90905514773</v>
      </c>
      <c r="J264" s="34">
        <v>8857.12284204686</v>
      </c>
      <c r="K264" s="34">
        <v>9213.77872672289</v>
      </c>
      <c r="L264" s="34">
        <v>9566.04646068256</v>
      </c>
      <c r="M264" s="34">
        <v>9926.58897248749</v>
      </c>
      <c r="N264" s="34">
        <v>10287.2114432892</v>
      </c>
      <c r="O264" s="34">
        <v>10648.1048462169</v>
      </c>
      <c r="P264" s="34">
        <v>10996.8199755773</v>
      </c>
      <c r="Q264" s="34">
        <v>11334.0776099036</v>
      </c>
      <c r="R264" s="34">
        <v>11664.1311253528</v>
      </c>
      <c r="S264" s="34">
        <v>11991.2589448381</v>
      </c>
      <c r="T264" s="34">
        <v>12315.7494232534</v>
      </c>
      <c r="U264" s="34">
        <v>12633.2385596933</v>
      </c>
      <c r="V264" s="34">
        <v>12940.275898444</v>
      </c>
      <c r="W264" s="34">
        <v>3</v>
      </c>
      <c r="AG264" s="232" t="s">
        <v>449</v>
      </c>
      <c r="AI264">
        <v>1</v>
      </c>
      <c r="AJ264">
        <v>1.00673448785478</v>
      </c>
      <c r="AK264">
        <v>1.12427244748697</v>
      </c>
      <c r="AL264">
        <v>1.20707155044305</v>
      </c>
      <c r="AM264">
        <v>1.28225319657139</v>
      </c>
      <c r="AN264">
        <v>1.35527045368385</v>
      </c>
      <c r="AO264">
        <v>1.42936045630343</v>
      </c>
      <c r="AP264">
        <v>1.50480090415019</v>
      </c>
      <c r="AQ264">
        <v>1.58443591488564</v>
      </c>
      <c r="AR264">
        <v>1.66666574314022</v>
      </c>
      <c r="AS264">
        <v>1.75171236807229</v>
      </c>
      <c r="AT264">
        <v>1.83670034569058</v>
      </c>
      <c r="AU264">
        <v>1.92172543543843</v>
      </c>
      <c r="AV264">
        <v>2.00782008496488</v>
      </c>
      <c r="AW264">
        <v>2.09615038198345</v>
      </c>
      <c r="AX264">
        <v>2.18690726993447</v>
      </c>
      <c r="AY264">
        <v>2.27895059532568</v>
      </c>
      <c r="AZ264">
        <v>2.37126301949504</v>
      </c>
      <c r="BA264">
        <v>0</v>
      </c>
      <c r="BB264">
        <v>0</v>
      </c>
      <c r="BC264">
        <v>0</v>
      </c>
      <c r="BD264">
        <v>0</v>
      </c>
      <c r="BE264">
        <v>0</v>
      </c>
      <c r="BF264">
        <v>0</v>
      </c>
      <c r="BG264">
        <v>0</v>
      </c>
      <c r="BH264">
        <v>0</v>
      </c>
      <c r="BJ264" t="s">
        <v>452</v>
      </c>
      <c r="BL264">
        <v>0.8</v>
      </c>
      <c r="BM264">
        <v>0.797560975609756</v>
      </c>
      <c r="BN264">
        <v>0.785365853658536</v>
      </c>
      <c r="BO264">
        <v>0.773170731707317</v>
      </c>
      <c r="BP264">
        <v>0.760975609756097</v>
      </c>
      <c r="BQ264">
        <v>0.748780487804878</v>
      </c>
      <c r="BR264">
        <v>0.736585365853658</v>
      </c>
      <c r="BS264">
        <v>0.724390243902439</v>
      </c>
      <c r="BT264">
        <v>0.71219512195122</v>
      </c>
      <c r="BU264">
        <v>0.699999999999999</v>
      </c>
      <c r="BV264">
        <v>0.687499999999999</v>
      </c>
      <c r="BW264">
        <v>0.675</v>
      </c>
      <c r="BX264">
        <v>0.6625</v>
      </c>
      <c r="BY264">
        <v>0.649999999999999</v>
      </c>
      <c r="BZ264">
        <v>0.637499999999999</v>
      </c>
      <c r="CA264">
        <v>0.625</v>
      </c>
      <c r="CB264">
        <v>0.6125</v>
      </c>
      <c r="CC264">
        <v>0.6</v>
      </c>
      <c r="CD264" t="e">
        <v>#VALUE!</v>
      </c>
      <c r="CE264" t="e">
        <v>#VALUE!</v>
      </c>
      <c r="CF264" t="e">
        <v>#VALUE!</v>
      </c>
      <c r="CG264" t="e">
        <v>#VALUE!</v>
      </c>
      <c r="CH264" t="e">
        <v>#VALUE!</v>
      </c>
      <c r="CI264" t="e">
        <v>#VALUE!</v>
      </c>
      <c r="CJ264" t="e">
        <v>#VALUE!</v>
      </c>
      <c r="CK264" t="e">
        <v>#VALUE!</v>
      </c>
    </row>
    <row r="265" spans="1:89">
      <c r="A265" s="34" t="s">
        <v>25</v>
      </c>
      <c r="B265" s="34" t="s">
        <v>450</v>
      </c>
      <c r="C265" s="34" t="s">
        <v>450</v>
      </c>
      <c r="D265" s="34">
        <v>958.2</v>
      </c>
      <c r="E265" s="34">
        <v>967.162722273004</v>
      </c>
      <c r="F265" s="34"/>
      <c r="G265" s="34">
        <v>1076.77755332906</v>
      </c>
      <c r="H265" s="34">
        <v>1162.06093129176</v>
      </c>
      <c r="I265" s="34">
        <v>1240.2262723363</v>
      </c>
      <c r="J265" s="34">
        <v>1314.39392605066</v>
      </c>
      <c r="K265" s="34">
        <v>1386.33556866191</v>
      </c>
      <c r="L265" s="34">
        <v>1456.45256665716</v>
      </c>
      <c r="M265" s="34">
        <v>1525.66909152133</v>
      </c>
      <c r="N265" s="34">
        <v>1594.02413303895</v>
      </c>
      <c r="O265" s="34">
        <v>1661.63906680457</v>
      </c>
      <c r="P265" s="34">
        <v>1726.45328710121</v>
      </c>
      <c r="Q265" s="34">
        <v>1787.67882041112</v>
      </c>
      <c r="R265" s="34">
        <v>1844.84930142253</v>
      </c>
      <c r="S265" s="34">
        <v>1898.13671674445</v>
      </c>
      <c r="T265" s="34">
        <v>1947.79540159673</v>
      </c>
      <c r="U265" s="34">
        <v>1993.99383341952</v>
      </c>
      <c r="V265" s="34">
        <v>2036.41104375418</v>
      </c>
      <c r="W265" s="34">
        <v>3</v>
      </c>
      <c r="AG265" s="232" t="s">
        <v>437</v>
      </c>
      <c r="AI265">
        <v>1</v>
      </c>
      <c r="AJ265">
        <v>1.01172788980591</v>
      </c>
      <c r="AK265">
        <v>1.15773078809578</v>
      </c>
      <c r="AL265">
        <v>1.27632693451747</v>
      </c>
      <c r="AM265">
        <v>1.38914444804718</v>
      </c>
      <c r="AN265">
        <v>1.5000891332334</v>
      </c>
      <c r="AO265">
        <v>1.611556767737</v>
      </c>
      <c r="AP265">
        <v>1.72407631178702</v>
      </c>
      <c r="AQ265">
        <v>1.83912215615181</v>
      </c>
      <c r="AR265">
        <v>1.9568346985545</v>
      </c>
      <c r="AS265">
        <v>2.07756858278502</v>
      </c>
      <c r="AT265">
        <v>2.19762495139749</v>
      </c>
      <c r="AU265">
        <v>2.315262357404</v>
      </c>
      <c r="AV265">
        <v>2.42917428621282</v>
      </c>
      <c r="AW265">
        <v>2.53923751413423</v>
      </c>
      <c r="AX265">
        <v>2.64552717756439</v>
      </c>
      <c r="AY265">
        <v>2.74797200426466</v>
      </c>
      <c r="AZ265">
        <v>2.84539900775305</v>
      </c>
      <c r="BA265">
        <v>0</v>
      </c>
      <c r="BB265">
        <v>0</v>
      </c>
      <c r="BC265">
        <v>0</v>
      </c>
      <c r="BD265">
        <v>0</v>
      </c>
      <c r="BE265">
        <v>0</v>
      </c>
      <c r="BF265">
        <v>0</v>
      </c>
      <c r="BG265">
        <v>0</v>
      </c>
      <c r="BH265">
        <v>0</v>
      </c>
      <c r="BJ265" t="s">
        <v>452</v>
      </c>
      <c r="BL265">
        <v>0.8</v>
      </c>
      <c r="BM265">
        <v>0.797560975609756</v>
      </c>
      <c r="BN265">
        <v>0.785365853658536</v>
      </c>
      <c r="BO265">
        <v>0.773170731707317</v>
      </c>
      <c r="BP265">
        <v>0.760975609756097</v>
      </c>
      <c r="BQ265">
        <v>0.748780487804878</v>
      </c>
      <c r="BR265">
        <v>0.736585365853658</v>
      </c>
      <c r="BS265">
        <v>0.724390243902439</v>
      </c>
      <c r="BT265">
        <v>0.71219512195122</v>
      </c>
      <c r="BU265">
        <v>0.699999999999999</v>
      </c>
      <c r="BV265">
        <v>0.687499999999999</v>
      </c>
      <c r="BW265">
        <v>0.675</v>
      </c>
      <c r="BX265">
        <v>0.6625</v>
      </c>
      <c r="BY265">
        <v>0.649999999999999</v>
      </c>
      <c r="BZ265">
        <v>0.637499999999999</v>
      </c>
      <c r="CA265">
        <v>0.625</v>
      </c>
      <c r="CB265">
        <v>0.6125</v>
      </c>
      <c r="CC265">
        <v>0.6</v>
      </c>
      <c r="CD265" t="e">
        <v>#VALUE!</v>
      </c>
      <c r="CE265" t="e">
        <v>#VALUE!</v>
      </c>
      <c r="CF265" t="e">
        <v>#VALUE!</v>
      </c>
      <c r="CG265" t="e">
        <v>#VALUE!</v>
      </c>
      <c r="CH265" t="e">
        <v>#VALUE!</v>
      </c>
      <c r="CI265" t="e">
        <v>#VALUE!</v>
      </c>
      <c r="CJ265" t="e">
        <v>#VALUE!</v>
      </c>
      <c r="CK265" t="e">
        <v>#VALUE!</v>
      </c>
    </row>
    <row r="266" spans="1:89">
      <c r="A266" s="34" t="s">
        <v>25</v>
      </c>
      <c r="B266" s="34" t="s">
        <v>451</v>
      </c>
      <c r="C266" s="34" t="s">
        <v>451</v>
      </c>
      <c r="D266" s="34">
        <v>1080.32</v>
      </c>
      <c r="E266" s="34">
        <v>1090.4249970006</v>
      </c>
      <c r="F266" s="34"/>
      <c r="G266" s="34">
        <v>1214.00994198753</v>
      </c>
      <c r="H266" s="34">
        <v>1310.1624559519</v>
      </c>
      <c r="I266" s="34">
        <v>1398.28975843284</v>
      </c>
      <c r="J266" s="34">
        <v>1481.90987913907</v>
      </c>
      <c r="K266" s="34">
        <v>1563.02028964395</v>
      </c>
      <c r="L266" s="34">
        <v>1642.07350950852</v>
      </c>
      <c r="M266" s="34">
        <v>1720.11149337542</v>
      </c>
      <c r="N266" s="34">
        <v>1797.17820017182</v>
      </c>
      <c r="O266" s="34">
        <v>1873.41047448374</v>
      </c>
      <c r="P266" s="34">
        <v>1946.48509196533</v>
      </c>
      <c r="Q266" s="34">
        <v>2015.5136540039</v>
      </c>
      <c r="R266" s="34">
        <v>2079.97035828928</v>
      </c>
      <c r="S266" s="34">
        <v>2140.0491106589</v>
      </c>
      <c r="T266" s="34">
        <v>2196.03666066895</v>
      </c>
      <c r="U266" s="34">
        <v>2248.12295775389</v>
      </c>
      <c r="V266" s="34">
        <v>2295.94612689263</v>
      </c>
      <c r="W266" s="34">
        <v>3</v>
      </c>
      <c r="AG266" s="232" t="s">
        <v>437</v>
      </c>
      <c r="AI266">
        <v>1</v>
      </c>
      <c r="AJ266">
        <v>1.01172788980591</v>
      </c>
      <c r="AK266">
        <v>1.15773078809578</v>
      </c>
      <c r="AL266">
        <v>1.27632693451747</v>
      </c>
      <c r="AM266">
        <v>1.38914444804718</v>
      </c>
      <c r="AN266">
        <v>1.5000891332334</v>
      </c>
      <c r="AO266">
        <v>1.611556767737</v>
      </c>
      <c r="AP266">
        <v>1.72407631178702</v>
      </c>
      <c r="AQ266">
        <v>1.83912215615181</v>
      </c>
      <c r="AR266">
        <v>1.9568346985545</v>
      </c>
      <c r="AS266">
        <v>2.07756858278502</v>
      </c>
      <c r="AT266">
        <v>2.19762495139749</v>
      </c>
      <c r="AU266">
        <v>2.315262357404</v>
      </c>
      <c r="AV266">
        <v>2.42917428621282</v>
      </c>
      <c r="AW266">
        <v>2.53923751413423</v>
      </c>
      <c r="AX266">
        <v>2.64552717756439</v>
      </c>
      <c r="AY266">
        <v>2.74797200426466</v>
      </c>
      <c r="AZ266">
        <v>2.84539900775305</v>
      </c>
      <c r="BA266">
        <v>0</v>
      </c>
      <c r="BB266">
        <v>0</v>
      </c>
      <c r="BC266">
        <v>0</v>
      </c>
      <c r="BD266">
        <v>0</v>
      </c>
      <c r="BE266">
        <v>0</v>
      </c>
      <c r="BF266">
        <v>0</v>
      </c>
      <c r="BG266">
        <v>0</v>
      </c>
      <c r="BH266">
        <v>0</v>
      </c>
      <c r="BJ266" t="s">
        <v>452</v>
      </c>
      <c r="BL266">
        <v>0.8</v>
      </c>
      <c r="BM266">
        <v>0.797560975609756</v>
      </c>
      <c r="BN266">
        <v>0.785365853658536</v>
      </c>
      <c r="BO266">
        <v>0.773170731707317</v>
      </c>
      <c r="BP266">
        <v>0.760975609756097</v>
      </c>
      <c r="BQ266">
        <v>0.748780487804878</v>
      </c>
      <c r="BR266">
        <v>0.736585365853658</v>
      </c>
      <c r="BS266">
        <v>0.724390243902439</v>
      </c>
      <c r="BT266">
        <v>0.71219512195122</v>
      </c>
      <c r="BU266">
        <v>0.699999999999999</v>
      </c>
      <c r="BV266">
        <v>0.687499999999999</v>
      </c>
      <c r="BW266">
        <v>0.675</v>
      </c>
      <c r="BX266">
        <v>0.6625</v>
      </c>
      <c r="BY266">
        <v>0.649999999999999</v>
      </c>
      <c r="BZ266">
        <v>0.637499999999999</v>
      </c>
      <c r="CA266">
        <v>0.625</v>
      </c>
      <c r="CB266">
        <v>0.6125</v>
      </c>
      <c r="CC266">
        <v>0.6</v>
      </c>
      <c r="CD266" t="e">
        <v>#VALUE!</v>
      </c>
      <c r="CE266" t="e">
        <v>#VALUE!</v>
      </c>
      <c r="CF266" t="e">
        <v>#VALUE!</v>
      </c>
      <c r="CG266" t="e">
        <v>#VALUE!</v>
      </c>
      <c r="CH266" t="e">
        <v>#VALUE!</v>
      </c>
      <c r="CI266" t="e">
        <v>#VALUE!</v>
      </c>
      <c r="CJ266" t="e">
        <v>#VALUE!</v>
      </c>
      <c r="CK266" t="e">
        <v>#VALUE!</v>
      </c>
    </row>
    <row r="267" spans="1:89">
      <c r="A267" s="34" t="s">
        <v>26</v>
      </c>
      <c r="B267" s="34" t="s">
        <v>436</v>
      </c>
      <c r="C267" s="34" t="s">
        <v>436</v>
      </c>
      <c r="D267" s="34"/>
      <c r="E267" s="34">
        <v>14.7984681944307</v>
      </c>
      <c r="F267" s="34">
        <f xml:space="preserve">E267</f>
        <v>14.7984681944307</v>
      </c>
      <c r="G267" s="34"/>
      <c r="H267" s="34"/>
      <c r="I267" s="34">
        <f xml:space="preserve">F267</f>
        <v>14.7984681944307</v>
      </c>
      <c r="J267" s="34">
        <f xml:space="preserve">I267</f>
        <v>14.7984681944307</v>
      </c>
      <c r="K267" s="34"/>
      <c r="L267" s="34">
        <f xml:space="preserve">J267</f>
        <v>14.7984681944307</v>
      </c>
      <c r="M267" s="34"/>
      <c r="N267" s="34"/>
      <c r="O267" s="34"/>
      <c r="P267" s="34"/>
      <c r="Q267" s="34"/>
      <c r="R267" s="34"/>
      <c r="S267" s="34"/>
      <c r="T267" s="34"/>
      <c r="U267" s="34"/>
      <c r="V267" s="34">
        <f xml:space="preserve">L267</f>
        <v>14.7984681944307</v>
      </c>
      <c r="W267" s="34">
        <v>3</v>
      </c>
      <c r="AG267" s="232" t="s">
        <v>437</v>
      </c>
      <c r="AI267">
        <v>1</v>
      </c>
      <c r="AJ267">
        <v>1.00838893038991</v>
      </c>
      <c r="AK267">
        <v>1.12064101290293</v>
      </c>
      <c r="AL267">
        <v>1.22327937382933</v>
      </c>
      <c r="AM267">
        <v>1.32530748576188</v>
      </c>
      <c r="AN267">
        <v>1.43089896116608</v>
      </c>
      <c r="AO267">
        <v>1.54065178272437</v>
      </c>
      <c r="AP267">
        <v>1.65384530463998</v>
      </c>
      <c r="AQ267">
        <v>1.7672964190957</v>
      </c>
      <c r="AR267">
        <v>1.88276227520451</v>
      </c>
      <c r="AS267">
        <v>2.00074272515735</v>
      </c>
      <c r="AT267">
        <v>2.1142214388138</v>
      </c>
      <c r="AU267">
        <v>2.22283962656441</v>
      </c>
      <c r="AV267">
        <v>2.3253461246429</v>
      </c>
      <c r="AW267">
        <v>2.4203303072343</v>
      </c>
      <c r="AX267">
        <v>2.50751618233136</v>
      </c>
      <c r="AY267">
        <v>2.58692521597908</v>
      </c>
      <c r="AZ267">
        <v>2.6570517184489</v>
      </c>
      <c r="BA267">
        <v>0</v>
      </c>
      <c r="BB267">
        <v>0</v>
      </c>
      <c r="BC267">
        <v>0</v>
      </c>
      <c r="BD267">
        <v>0</v>
      </c>
      <c r="BE267">
        <v>0</v>
      </c>
      <c r="BF267">
        <v>0</v>
      </c>
      <c r="BG267">
        <v>0</v>
      </c>
      <c r="BH267">
        <v>0</v>
      </c>
      <c r="BJ267" t="s">
        <v>452</v>
      </c>
      <c r="BL267">
        <v>0.8</v>
      </c>
      <c r="BM267">
        <v>0.797560975609756</v>
      </c>
      <c r="BN267">
        <v>0.785365853658536</v>
      </c>
      <c r="BO267">
        <v>0.773170731707317</v>
      </c>
      <c r="BP267">
        <v>0.760975609756097</v>
      </c>
      <c r="BQ267">
        <v>0.748780487804878</v>
      </c>
      <c r="BR267">
        <v>0.736585365853658</v>
      </c>
      <c r="BS267">
        <v>0.724390243902439</v>
      </c>
      <c r="BT267">
        <v>0.71219512195122</v>
      </c>
      <c r="BU267">
        <v>0.699999999999999</v>
      </c>
      <c r="BV267">
        <v>0.687499999999999</v>
      </c>
      <c r="BW267">
        <v>0.675</v>
      </c>
      <c r="BX267">
        <v>0.6625</v>
      </c>
      <c r="BY267">
        <v>0.649999999999999</v>
      </c>
      <c r="BZ267">
        <v>0.637499999999999</v>
      </c>
      <c r="CA267">
        <v>0.625</v>
      </c>
      <c r="CB267">
        <v>0.6125</v>
      </c>
      <c r="CC267">
        <v>0.6</v>
      </c>
      <c r="CD267" t="e">
        <v>#VALUE!</v>
      </c>
      <c r="CE267" t="e">
        <v>#VALUE!</v>
      </c>
      <c r="CF267" t="e">
        <v>#VALUE!</v>
      </c>
      <c r="CG267" t="e">
        <v>#VALUE!</v>
      </c>
      <c r="CH267" t="e">
        <v>#VALUE!</v>
      </c>
      <c r="CI267" t="e">
        <v>#VALUE!</v>
      </c>
      <c r="CJ267" t="e">
        <v>#VALUE!</v>
      </c>
      <c r="CK267" t="e">
        <v>#VALUE!</v>
      </c>
    </row>
    <row r="268" spans="1:89">
      <c r="A268" s="34" t="s">
        <v>26</v>
      </c>
      <c r="B268" s="34" t="s">
        <v>439</v>
      </c>
      <c r="C268" s="34" t="s">
        <v>439</v>
      </c>
      <c r="D268" s="34"/>
      <c r="E268" s="34">
        <v>23.0960305800922</v>
      </c>
      <c r="F268" s="34">
        <f xml:space="preserve">E268</f>
        <v>23.0960305800922</v>
      </c>
      <c r="G268" s="34"/>
      <c r="H268" s="34"/>
      <c r="I268" s="34">
        <f xml:space="preserve">F268</f>
        <v>23.0960305800922</v>
      </c>
      <c r="J268" s="34">
        <f xml:space="preserve">I268</f>
        <v>23.0960305800922</v>
      </c>
      <c r="K268" s="34"/>
      <c r="L268" s="34">
        <f xml:space="preserve">J268</f>
        <v>23.0960305800922</v>
      </c>
      <c r="M268" s="34"/>
      <c r="N268" s="34"/>
      <c r="O268" s="34"/>
      <c r="P268" s="34"/>
      <c r="Q268" s="34"/>
      <c r="R268" s="34"/>
      <c r="S268" s="34"/>
      <c r="T268" s="34"/>
      <c r="U268" s="34"/>
      <c r="V268" s="34">
        <f xml:space="preserve">L268</f>
        <v>23.0960305800922</v>
      </c>
      <c r="W268" s="34">
        <v>3</v>
      </c>
      <c r="AG268" s="232" t="s">
        <v>437</v>
      </c>
      <c r="AI268">
        <v>1</v>
      </c>
      <c r="AJ268">
        <v>1.00838893038991</v>
      </c>
      <c r="AK268">
        <v>1.12064101290293</v>
      </c>
      <c r="AL268">
        <v>1.22327937382933</v>
      </c>
      <c r="AM268">
        <v>1.32530748576188</v>
      </c>
      <c r="AN268">
        <v>1.43089896116608</v>
      </c>
      <c r="AO268">
        <v>1.54065178272437</v>
      </c>
      <c r="AP268">
        <v>1.65384530463998</v>
      </c>
      <c r="AQ268">
        <v>1.7672964190957</v>
      </c>
      <c r="AR268">
        <v>1.88276227520451</v>
      </c>
      <c r="AS268">
        <v>2.00074272515735</v>
      </c>
      <c r="AT268">
        <v>2.1142214388138</v>
      </c>
      <c r="AU268">
        <v>2.22283962656441</v>
      </c>
      <c r="AV268">
        <v>2.3253461246429</v>
      </c>
      <c r="AW268">
        <v>2.4203303072343</v>
      </c>
      <c r="AX268">
        <v>2.50751618233136</v>
      </c>
      <c r="AY268">
        <v>2.58692521597908</v>
      </c>
      <c r="AZ268">
        <v>2.6570517184489</v>
      </c>
      <c r="BA268">
        <v>0</v>
      </c>
      <c r="BB268">
        <v>0</v>
      </c>
      <c r="BC268">
        <v>0</v>
      </c>
      <c r="BD268">
        <v>0</v>
      </c>
      <c r="BE268">
        <v>0</v>
      </c>
      <c r="BF268">
        <v>0</v>
      </c>
      <c r="BG268">
        <v>0</v>
      </c>
      <c r="BH268">
        <v>0</v>
      </c>
      <c r="BJ268" t="s">
        <v>452</v>
      </c>
      <c r="BL268">
        <v>0.8</v>
      </c>
      <c r="BM268">
        <v>0.797560975609756</v>
      </c>
      <c r="BN268">
        <v>0.785365853658536</v>
      </c>
      <c r="BO268">
        <v>0.773170731707317</v>
      </c>
      <c r="BP268">
        <v>0.760975609756097</v>
      </c>
      <c r="BQ268">
        <v>0.748780487804878</v>
      </c>
      <c r="BR268">
        <v>0.736585365853658</v>
      </c>
      <c r="BS268">
        <v>0.724390243902439</v>
      </c>
      <c r="BT268">
        <v>0.71219512195122</v>
      </c>
      <c r="BU268">
        <v>0.699999999999999</v>
      </c>
      <c r="BV268">
        <v>0.687499999999999</v>
      </c>
      <c r="BW268">
        <v>0.675</v>
      </c>
      <c r="BX268">
        <v>0.6625</v>
      </c>
      <c r="BY268">
        <v>0.649999999999999</v>
      </c>
      <c r="BZ268">
        <v>0.637499999999999</v>
      </c>
      <c r="CA268">
        <v>0.625</v>
      </c>
      <c r="CB268">
        <v>0.6125</v>
      </c>
      <c r="CC268">
        <v>0.6</v>
      </c>
      <c r="CD268" t="e">
        <v>#VALUE!</v>
      </c>
      <c r="CE268" t="e">
        <v>#VALUE!</v>
      </c>
      <c r="CF268" t="e">
        <v>#VALUE!</v>
      </c>
      <c r="CG268" t="e">
        <v>#VALUE!</v>
      </c>
      <c r="CH268" t="e">
        <v>#VALUE!</v>
      </c>
      <c r="CI268" t="e">
        <v>#VALUE!</v>
      </c>
      <c r="CJ268" t="e">
        <v>#VALUE!</v>
      </c>
      <c r="CK268" t="e">
        <v>#VALUE!</v>
      </c>
    </row>
    <row r="269" spans="1:89">
      <c r="A269" s="34" t="s">
        <v>26</v>
      </c>
      <c r="B269" s="34" t="s">
        <v>440</v>
      </c>
      <c r="C269" s="34" t="s">
        <v>440</v>
      </c>
      <c r="D269" s="34"/>
      <c r="E269" s="34">
        <v>0.51595754320536</v>
      </c>
      <c r="F269" s="34"/>
      <c r="G269" s="34"/>
      <c r="H269" s="34"/>
      <c r="I269" s="34">
        <v>0.638928901592722</v>
      </c>
      <c r="J269" s="34">
        <v>0.677045949641929</v>
      </c>
      <c r="K269" s="34"/>
      <c r="L269" s="34">
        <v>0.753366829922741</v>
      </c>
      <c r="M269" s="34"/>
      <c r="N269" s="34"/>
      <c r="O269" s="34"/>
      <c r="P269" s="34"/>
      <c r="Q269" s="34"/>
      <c r="R269" s="34"/>
      <c r="S269" s="34"/>
      <c r="T269" s="34"/>
      <c r="U269" s="34"/>
      <c r="V269" s="34">
        <v>1.0359150852844</v>
      </c>
      <c r="W269" s="34">
        <v>3</v>
      </c>
      <c r="AG269" s="232" t="s">
        <v>437</v>
      </c>
      <c r="AI269">
        <v>1</v>
      </c>
      <c r="AJ269">
        <v>1.00838893038991</v>
      </c>
      <c r="AK269">
        <v>1.12064101290293</v>
      </c>
      <c r="AL269">
        <v>1.22327937382933</v>
      </c>
      <c r="AM269">
        <v>1.32530748576188</v>
      </c>
      <c r="AN269">
        <v>1.43089896116608</v>
      </c>
      <c r="AO269">
        <v>1.54065178272437</v>
      </c>
      <c r="AP269">
        <v>1.65384530463998</v>
      </c>
      <c r="AQ269">
        <v>1.7672964190957</v>
      </c>
      <c r="AR269">
        <v>1.88276227520451</v>
      </c>
      <c r="AS269">
        <v>2.00074272515735</v>
      </c>
      <c r="AT269">
        <v>2.1142214388138</v>
      </c>
      <c r="AU269">
        <v>2.22283962656441</v>
      </c>
      <c r="AV269">
        <v>2.3253461246429</v>
      </c>
      <c r="AW269">
        <v>2.4203303072343</v>
      </c>
      <c r="AX269">
        <v>2.50751618233136</v>
      </c>
      <c r="AY269">
        <v>2.58692521597908</v>
      </c>
      <c r="AZ269">
        <v>2.6570517184489</v>
      </c>
      <c r="BA269">
        <v>0</v>
      </c>
      <c r="BB269">
        <v>0</v>
      </c>
      <c r="BC269">
        <v>0</v>
      </c>
      <c r="BD269">
        <v>0</v>
      </c>
      <c r="BE269">
        <v>0</v>
      </c>
      <c r="BF269">
        <v>0</v>
      </c>
      <c r="BG269">
        <v>0</v>
      </c>
      <c r="BH269">
        <v>0</v>
      </c>
      <c r="BJ269" t="s">
        <v>452</v>
      </c>
      <c r="BL269">
        <v>0.8</v>
      </c>
      <c r="BM269">
        <v>0.797560975609756</v>
      </c>
      <c r="BN269">
        <v>0.785365853658536</v>
      </c>
      <c r="BO269">
        <v>0.773170731707317</v>
      </c>
      <c r="BP269">
        <v>0.760975609756097</v>
      </c>
      <c r="BQ269">
        <v>0.748780487804878</v>
      </c>
      <c r="BR269">
        <v>0.736585365853658</v>
      </c>
      <c r="BS269">
        <v>0.724390243902439</v>
      </c>
      <c r="BT269">
        <v>0.71219512195122</v>
      </c>
      <c r="BU269">
        <v>0.699999999999999</v>
      </c>
      <c r="BV269">
        <v>0.687499999999999</v>
      </c>
      <c r="BW269">
        <v>0.675</v>
      </c>
      <c r="BX269">
        <v>0.6625</v>
      </c>
      <c r="BY269">
        <v>0.649999999999999</v>
      </c>
      <c r="BZ269">
        <v>0.637499999999999</v>
      </c>
      <c r="CA269">
        <v>0.625</v>
      </c>
      <c r="CB269">
        <v>0.6125</v>
      </c>
      <c r="CC269">
        <v>0.6</v>
      </c>
      <c r="CD269" t="e">
        <v>#VALUE!</v>
      </c>
      <c r="CE269" t="e">
        <v>#VALUE!</v>
      </c>
      <c r="CF269" t="e">
        <v>#VALUE!</v>
      </c>
      <c r="CG269" t="e">
        <v>#VALUE!</v>
      </c>
      <c r="CH269" t="e">
        <v>#VALUE!</v>
      </c>
      <c r="CI269" t="e">
        <v>#VALUE!</v>
      </c>
      <c r="CJ269" t="e">
        <v>#VALUE!</v>
      </c>
      <c r="CK269" t="e">
        <v>#VALUE!</v>
      </c>
    </row>
    <row r="270" spans="1:89">
      <c r="A270" s="34" t="s">
        <v>26</v>
      </c>
      <c r="B270" s="34" t="s">
        <v>441</v>
      </c>
      <c r="C270" s="34" t="s">
        <v>441</v>
      </c>
      <c r="D270" s="34"/>
      <c r="E270" s="34">
        <v>2.17914793638656</v>
      </c>
      <c r="F270" s="34"/>
      <c r="G270" s="34"/>
      <c r="H270" s="34"/>
      <c r="I270" s="34">
        <v>2.29597042282211</v>
      </c>
      <c r="J270" s="34">
        <v>2.33082853795445</v>
      </c>
      <c r="K270" s="34"/>
      <c r="L270" s="34">
        <v>2.40103698525162</v>
      </c>
      <c r="M270" s="34"/>
      <c r="N270" s="34"/>
      <c r="O270" s="34"/>
      <c r="P270" s="34"/>
      <c r="Q270" s="34"/>
      <c r="R270" s="34"/>
      <c r="S270" s="34"/>
      <c r="T270" s="34"/>
      <c r="U270" s="34"/>
      <c r="V270" s="34">
        <v>2.54308329491963</v>
      </c>
      <c r="W270" s="34">
        <v>3</v>
      </c>
      <c r="AG270" s="232" t="s">
        <v>442</v>
      </c>
      <c r="AI270">
        <v>1</v>
      </c>
      <c r="AJ270">
        <v>1.00520038942529</v>
      </c>
      <c r="AK270">
        <v>1.03120233655177</v>
      </c>
      <c r="AL270">
        <v>1.05326134321016</v>
      </c>
      <c r="AM270">
        <v>1.07517129113885</v>
      </c>
      <c r="AN270">
        <v>1.09697150487709</v>
      </c>
      <c r="AO270">
        <v>1.118929204032</v>
      </c>
      <c r="AP270">
        <v>1.14233722964613</v>
      </c>
      <c r="AQ270">
        <v>1.16196092376713</v>
      </c>
      <c r="AR270">
        <v>1.17906653655862</v>
      </c>
      <c r="AS270">
        <v>1.19378290270154</v>
      </c>
      <c r="AT270">
        <v>1.2076968609842</v>
      </c>
      <c r="AU270">
        <v>1.22116888634965</v>
      </c>
      <c r="AV270">
        <v>1.23264697031578</v>
      </c>
      <c r="AW270">
        <v>1.24010290295621</v>
      </c>
      <c r="AX270">
        <v>1.24332994955036</v>
      </c>
      <c r="AY270">
        <v>1.2438671976603</v>
      </c>
      <c r="AZ270">
        <v>1.24281180193091</v>
      </c>
      <c r="BA270">
        <v>0</v>
      </c>
      <c r="BB270">
        <v>0</v>
      </c>
      <c r="BC270">
        <v>0</v>
      </c>
      <c r="BD270">
        <v>0</v>
      </c>
      <c r="BE270">
        <v>0</v>
      </c>
      <c r="BF270">
        <v>0</v>
      </c>
      <c r="BG270">
        <v>0</v>
      </c>
      <c r="BH270">
        <v>0</v>
      </c>
      <c r="BJ270" t="s">
        <v>452</v>
      </c>
      <c r="BL270">
        <v>0.8</v>
      </c>
      <c r="BM270">
        <v>0.797560975609756</v>
      </c>
      <c r="BN270">
        <v>0.785365853658536</v>
      </c>
      <c r="BO270">
        <v>0.773170731707317</v>
      </c>
      <c r="BP270">
        <v>0.760975609756097</v>
      </c>
      <c r="BQ270">
        <v>0.748780487804878</v>
      </c>
      <c r="BR270">
        <v>0.736585365853658</v>
      </c>
      <c r="BS270">
        <v>0.724390243902439</v>
      </c>
      <c r="BT270">
        <v>0.71219512195122</v>
      </c>
      <c r="BU270">
        <v>0.699999999999999</v>
      </c>
      <c r="BV270">
        <v>0.687499999999999</v>
      </c>
      <c r="BW270">
        <v>0.675</v>
      </c>
      <c r="BX270">
        <v>0.6625</v>
      </c>
      <c r="BY270">
        <v>0.649999999999999</v>
      </c>
      <c r="BZ270">
        <v>0.637499999999999</v>
      </c>
      <c r="CA270">
        <v>0.625</v>
      </c>
      <c r="CB270">
        <v>0.6125</v>
      </c>
      <c r="CC270">
        <v>0.6</v>
      </c>
      <c r="CD270" t="e">
        <v>#VALUE!</v>
      </c>
      <c r="CE270" t="e">
        <v>#VALUE!</v>
      </c>
      <c r="CF270" t="e">
        <v>#VALUE!</v>
      </c>
      <c r="CG270" t="e">
        <v>#VALUE!</v>
      </c>
      <c r="CH270" t="e">
        <v>#VALUE!</v>
      </c>
      <c r="CI270" t="e">
        <v>#VALUE!</v>
      </c>
      <c r="CJ270" t="e">
        <v>#VALUE!</v>
      </c>
      <c r="CK270" t="e">
        <v>#VALUE!</v>
      </c>
    </row>
    <row r="271" spans="1:89">
      <c r="A271" s="34" t="s">
        <v>26</v>
      </c>
      <c r="B271" s="34" t="s">
        <v>443</v>
      </c>
      <c r="C271" s="34" t="s">
        <v>443</v>
      </c>
      <c r="D271" s="34"/>
      <c r="E271" s="34">
        <v>42.2817941023615</v>
      </c>
      <c r="F271" s="34">
        <f xml:space="preserve">E271</f>
        <v>42.2817941023615</v>
      </c>
      <c r="G271" s="34"/>
      <c r="H271" s="34"/>
      <c r="I271" s="34">
        <f xml:space="preserve">F271</f>
        <v>42.2817941023615</v>
      </c>
      <c r="J271" s="34">
        <f xml:space="preserve">I271</f>
        <v>42.2817941023615</v>
      </c>
      <c r="K271" s="34"/>
      <c r="L271" s="34">
        <f xml:space="preserve">J271</f>
        <v>42.2817941023615</v>
      </c>
      <c r="M271" s="34"/>
      <c r="N271" s="34"/>
      <c r="O271" s="34"/>
      <c r="P271" s="34"/>
      <c r="Q271" s="34"/>
      <c r="R271" s="34"/>
      <c r="S271" s="34"/>
      <c r="T271" s="34"/>
      <c r="U271" s="34"/>
      <c r="V271" s="34">
        <f xml:space="preserve">L271</f>
        <v>42.2817941023615</v>
      </c>
      <c r="W271" s="34">
        <v>3</v>
      </c>
      <c r="AG271" s="232" t="s">
        <v>437</v>
      </c>
      <c r="AI271">
        <v>1</v>
      </c>
      <c r="AJ271">
        <v>1.00838893038991</v>
      </c>
      <c r="AK271">
        <v>1.12064101290293</v>
      </c>
      <c r="AL271">
        <v>1.22327937382933</v>
      </c>
      <c r="AM271">
        <v>1.32530748576188</v>
      </c>
      <c r="AN271">
        <v>1.43089896116608</v>
      </c>
      <c r="AO271">
        <v>1.54065178272437</v>
      </c>
      <c r="AP271">
        <v>1.65384530463998</v>
      </c>
      <c r="AQ271">
        <v>1.7672964190957</v>
      </c>
      <c r="AR271">
        <v>1.88276227520451</v>
      </c>
      <c r="AS271">
        <v>2.00074272515735</v>
      </c>
      <c r="AT271">
        <v>2.1142214388138</v>
      </c>
      <c r="AU271">
        <v>2.22283962656441</v>
      </c>
      <c r="AV271">
        <v>2.3253461246429</v>
      </c>
      <c r="AW271">
        <v>2.4203303072343</v>
      </c>
      <c r="AX271">
        <v>2.50751618233136</v>
      </c>
      <c r="AY271">
        <v>2.58692521597908</v>
      </c>
      <c r="AZ271">
        <v>2.6570517184489</v>
      </c>
      <c r="BA271">
        <v>0</v>
      </c>
      <c r="BB271">
        <v>0</v>
      </c>
      <c r="BC271">
        <v>0</v>
      </c>
      <c r="BD271">
        <v>0</v>
      </c>
      <c r="BE271">
        <v>0</v>
      </c>
      <c r="BF271">
        <v>0</v>
      </c>
      <c r="BG271">
        <v>0</v>
      </c>
      <c r="BH271">
        <v>0</v>
      </c>
      <c r="BJ271" t="s">
        <v>452</v>
      </c>
      <c r="BL271">
        <v>0.8</v>
      </c>
      <c r="BM271">
        <v>0.797560975609756</v>
      </c>
      <c r="BN271">
        <v>0.785365853658536</v>
      </c>
      <c r="BO271">
        <v>0.773170731707317</v>
      </c>
      <c r="BP271">
        <v>0.760975609756097</v>
      </c>
      <c r="BQ271">
        <v>0.748780487804878</v>
      </c>
      <c r="BR271">
        <v>0.736585365853658</v>
      </c>
      <c r="BS271">
        <v>0.724390243902439</v>
      </c>
      <c r="BT271">
        <v>0.71219512195122</v>
      </c>
      <c r="BU271">
        <v>0.699999999999999</v>
      </c>
      <c r="BV271">
        <v>0.687499999999999</v>
      </c>
      <c r="BW271">
        <v>0.675</v>
      </c>
      <c r="BX271">
        <v>0.6625</v>
      </c>
      <c r="BY271">
        <v>0.649999999999999</v>
      </c>
      <c r="BZ271">
        <v>0.637499999999999</v>
      </c>
      <c r="CA271">
        <v>0.625</v>
      </c>
      <c r="CB271">
        <v>0.6125</v>
      </c>
      <c r="CC271">
        <v>0.6</v>
      </c>
      <c r="CD271" t="e">
        <v>#VALUE!</v>
      </c>
      <c r="CE271" t="e">
        <v>#VALUE!</v>
      </c>
      <c r="CF271" t="e">
        <v>#VALUE!</v>
      </c>
      <c r="CG271" t="e">
        <v>#VALUE!</v>
      </c>
      <c r="CH271" t="e">
        <v>#VALUE!</v>
      </c>
      <c r="CI271" t="e">
        <v>#VALUE!</v>
      </c>
      <c r="CJ271" t="e">
        <v>#VALUE!</v>
      </c>
      <c r="CK271" t="e">
        <v>#VALUE!</v>
      </c>
    </row>
    <row r="272" spans="1:89">
      <c r="A272" s="34" t="s">
        <v>26</v>
      </c>
      <c r="B272" s="34" t="s">
        <v>444</v>
      </c>
      <c r="C272" s="34" t="s">
        <v>444</v>
      </c>
      <c r="D272" s="34"/>
      <c r="E272" s="34">
        <v>13.8699028407244</v>
      </c>
      <c r="F272" s="34">
        <f xml:space="preserve">E272</f>
        <v>13.8699028407244</v>
      </c>
      <c r="G272" s="34"/>
      <c r="H272" s="34"/>
      <c r="I272" s="34">
        <f xml:space="preserve">F272</f>
        <v>13.8699028407244</v>
      </c>
      <c r="J272" s="34">
        <f xml:space="preserve">I272</f>
        <v>13.8699028407244</v>
      </c>
      <c r="K272" s="34"/>
      <c r="L272" s="34">
        <f xml:space="preserve">J272</f>
        <v>13.8699028407244</v>
      </c>
      <c r="M272" s="34"/>
      <c r="N272" s="34"/>
      <c r="O272" s="34"/>
      <c r="P272" s="34"/>
      <c r="Q272" s="34"/>
      <c r="R272" s="34"/>
      <c r="S272" s="34"/>
      <c r="T272" s="34"/>
      <c r="U272" s="34"/>
      <c r="V272" s="34">
        <f xml:space="preserve">L272</f>
        <v>13.8699028407244</v>
      </c>
      <c r="W272" s="34">
        <v>3</v>
      </c>
      <c r="AG272" s="232" t="s">
        <v>437</v>
      </c>
      <c r="AI272">
        <v>1</v>
      </c>
      <c r="AJ272">
        <v>1.00838893038991</v>
      </c>
      <c r="AK272">
        <v>1.12064101290293</v>
      </c>
      <c r="AL272">
        <v>1.22327937382933</v>
      </c>
      <c r="AM272">
        <v>1.32530748576188</v>
      </c>
      <c r="AN272">
        <v>1.43089896116608</v>
      </c>
      <c r="AO272">
        <v>1.54065178272437</v>
      </c>
      <c r="AP272">
        <v>1.65384530463998</v>
      </c>
      <c r="AQ272">
        <v>1.7672964190957</v>
      </c>
      <c r="AR272">
        <v>1.88276227520451</v>
      </c>
      <c r="AS272">
        <v>2.00074272515735</v>
      </c>
      <c r="AT272">
        <v>2.1142214388138</v>
      </c>
      <c r="AU272">
        <v>2.22283962656441</v>
      </c>
      <c r="AV272">
        <v>2.3253461246429</v>
      </c>
      <c r="AW272">
        <v>2.4203303072343</v>
      </c>
      <c r="AX272">
        <v>2.50751618233136</v>
      </c>
      <c r="AY272">
        <v>2.58692521597908</v>
      </c>
      <c r="AZ272">
        <v>2.6570517184489</v>
      </c>
      <c r="BA272">
        <v>0</v>
      </c>
      <c r="BB272">
        <v>0</v>
      </c>
      <c r="BC272">
        <v>0</v>
      </c>
      <c r="BD272">
        <v>0</v>
      </c>
      <c r="BE272">
        <v>0</v>
      </c>
      <c r="BF272">
        <v>0</v>
      </c>
      <c r="BG272">
        <v>0</v>
      </c>
      <c r="BH272">
        <v>0</v>
      </c>
      <c r="BJ272" t="s">
        <v>452</v>
      </c>
      <c r="BL272">
        <v>0.8</v>
      </c>
      <c r="BM272">
        <v>0.797560975609756</v>
      </c>
      <c r="BN272">
        <v>0.785365853658536</v>
      </c>
      <c r="BO272">
        <v>0.773170731707317</v>
      </c>
      <c r="BP272">
        <v>0.760975609756097</v>
      </c>
      <c r="BQ272">
        <v>0.748780487804878</v>
      </c>
      <c r="BR272">
        <v>0.736585365853658</v>
      </c>
      <c r="BS272">
        <v>0.724390243902439</v>
      </c>
      <c r="BT272">
        <v>0.71219512195122</v>
      </c>
      <c r="BU272">
        <v>0.699999999999999</v>
      </c>
      <c r="BV272">
        <v>0.687499999999999</v>
      </c>
      <c r="BW272">
        <v>0.675</v>
      </c>
      <c r="BX272">
        <v>0.6625</v>
      </c>
      <c r="BY272">
        <v>0.649999999999999</v>
      </c>
      <c r="BZ272">
        <v>0.637499999999999</v>
      </c>
      <c r="CA272">
        <v>0.625</v>
      </c>
      <c r="CB272">
        <v>0.6125</v>
      </c>
      <c r="CC272">
        <v>0.6</v>
      </c>
      <c r="CD272" t="e">
        <v>#VALUE!</v>
      </c>
      <c r="CE272" t="e">
        <v>#VALUE!</v>
      </c>
      <c r="CF272" t="e">
        <v>#VALUE!</v>
      </c>
      <c r="CG272" t="e">
        <v>#VALUE!</v>
      </c>
      <c r="CH272" t="e">
        <v>#VALUE!</v>
      </c>
      <c r="CI272" t="e">
        <v>#VALUE!</v>
      </c>
      <c r="CJ272" t="e">
        <v>#VALUE!</v>
      </c>
      <c r="CK272" t="e">
        <v>#VALUE!</v>
      </c>
    </row>
    <row r="273" spans="1:89">
      <c r="A273" s="34" t="s">
        <v>26</v>
      </c>
      <c r="B273" s="34" t="s">
        <v>445</v>
      </c>
      <c r="C273" s="34" t="s">
        <v>445</v>
      </c>
      <c r="D273" s="34">
        <v>0.132</v>
      </c>
      <c r="E273" s="34">
        <v>0.132547486851593</v>
      </c>
      <c r="F273" s="34"/>
      <c r="G273" s="34">
        <v>0.135240241197067</v>
      </c>
      <c r="H273" s="34">
        <v>0.137477021890617</v>
      </c>
      <c r="I273" s="34">
        <v>0.13965325820664</v>
      </c>
      <c r="J273" s="34">
        <v>0.141773516074418</v>
      </c>
      <c r="K273" s="34">
        <v>0.143863821176342</v>
      </c>
      <c r="L273" s="34">
        <v>0.146043971094752</v>
      </c>
      <c r="M273" s="34">
        <v>0.147830742785155</v>
      </c>
      <c r="N273" s="34">
        <v>0.149354128619503</v>
      </c>
      <c r="O273" s="34">
        <v>0.150635727754776</v>
      </c>
      <c r="P273" s="34">
        <v>0.151820833504157</v>
      </c>
      <c r="Q273" s="34">
        <v>0.152942831828619</v>
      </c>
      <c r="R273" s="34">
        <v>0.153877238973683</v>
      </c>
      <c r="S273" s="34">
        <v>0.154470598388137</v>
      </c>
      <c r="T273" s="34">
        <v>0.15472182946402</v>
      </c>
      <c r="U273" s="34">
        <v>0.154762778736107</v>
      </c>
      <c r="V273" s="34">
        <v>0.154683990915645</v>
      </c>
      <c r="W273" s="34">
        <v>3</v>
      </c>
      <c r="AG273" s="232" t="s">
        <v>442</v>
      </c>
      <c r="AI273">
        <v>1</v>
      </c>
      <c r="AJ273">
        <v>1.00520038942529</v>
      </c>
      <c r="AK273">
        <v>1.03120233655177</v>
      </c>
      <c r="AL273">
        <v>1.05326134321016</v>
      </c>
      <c r="AM273">
        <v>1.07517129113885</v>
      </c>
      <c r="AN273">
        <v>1.09697150487709</v>
      </c>
      <c r="AO273">
        <v>1.118929204032</v>
      </c>
      <c r="AP273">
        <v>1.14233722964613</v>
      </c>
      <c r="AQ273">
        <v>1.16196092376713</v>
      </c>
      <c r="AR273">
        <v>1.17906653655862</v>
      </c>
      <c r="AS273">
        <v>1.19378290270154</v>
      </c>
      <c r="AT273">
        <v>1.2076968609842</v>
      </c>
      <c r="AU273">
        <v>1.22116888634965</v>
      </c>
      <c r="AV273">
        <v>1.23264697031578</v>
      </c>
      <c r="AW273">
        <v>1.24010290295621</v>
      </c>
      <c r="AX273">
        <v>1.24332994955036</v>
      </c>
      <c r="AY273">
        <v>1.2438671976603</v>
      </c>
      <c r="AZ273">
        <v>1.24281180193091</v>
      </c>
      <c r="BA273">
        <v>0</v>
      </c>
      <c r="BB273">
        <v>0</v>
      </c>
      <c r="BC273">
        <v>0</v>
      </c>
      <c r="BD273">
        <v>0</v>
      </c>
      <c r="BE273">
        <v>0</v>
      </c>
      <c r="BF273">
        <v>0</v>
      </c>
      <c r="BG273">
        <v>0</v>
      </c>
      <c r="BH273">
        <v>0</v>
      </c>
      <c r="BJ273" t="s">
        <v>452</v>
      </c>
      <c r="BL273">
        <v>0.8</v>
      </c>
      <c r="BM273">
        <v>0.797560975609756</v>
      </c>
      <c r="BN273">
        <v>0.785365853658536</v>
      </c>
      <c r="BO273">
        <v>0.773170731707317</v>
      </c>
      <c r="BP273">
        <v>0.760975609756097</v>
      </c>
      <c r="BQ273">
        <v>0.748780487804878</v>
      </c>
      <c r="BR273">
        <v>0.736585365853658</v>
      </c>
      <c r="BS273">
        <v>0.724390243902439</v>
      </c>
      <c r="BT273">
        <v>0.71219512195122</v>
      </c>
      <c r="BU273">
        <v>0.699999999999999</v>
      </c>
      <c r="BV273">
        <v>0.687499999999999</v>
      </c>
      <c r="BW273">
        <v>0.675</v>
      </c>
      <c r="BX273">
        <v>0.6625</v>
      </c>
      <c r="BY273">
        <v>0.649999999999999</v>
      </c>
      <c r="BZ273">
        <v>0.637499999999999</v>
      </c>
      <c r="CA273">
        <v>0.625</v>
      </c>
      <c r="CB273">
        <v>0.6125</v>
      </c>
      <c r="CC273">
        <v>0.6</v>
      </c>
      <c r="CD273" t="e">
        <v>#VALUE!</v>
      </c>
      <c r="CE273" t="e">
        <v>#VALUE!</v>
      </c>
      <c r="CF273" t="e">
        <v>#VALUE!</v>
      </c>
      <c r="CG273" t="e">
        <v>#VALUE!</v>
      </c>
      <c r="CH273" t="e">
        <v>#VALUE!</v>
      </c>
      <c r="CI273" t="e">
        <v>#VALUE!</v>
      </c>
      <c r="CJ273" t="e">
        <v>#VALUE!</v>
      </c>
      <c r="CK273" t="e">
        <v>#VALUE!</v>
      </c>
    </row>
    <row r="274" spans="1:89">
      <c r="A274" s="34" t="s">
        <v>26</v>
      </c>
      <c r="B274" s="34" t="s">
        <v>446</v>
      </c>
      <c r="C274" s="34" t="s">
        <v>446</v>
      </c>
      <c r="D274" s="34">
        <v>0.075</v>
      </c>
      <c r="E274" s="34">
        <v>0.0753110720747689</v>
      </c>
      <c r="F274" s="34"/>
      <c r="G274" s="34">
        <v>0.0768410461346973</v>
      </c>
      <c r="H274" s="34">
        <v>0.0781119442560324</v>
      </c>
      <c r="I274" s="34">
        <v>0.0793484421628639</v>
      </c>
      <c r="J274" s="34">
        <v>0.0805531341331923</v>
      </c>
      <c r="K274" s="34">
        <v>0.0817408074865581</v>
      </c>
      <c r="L274" s="34">
        <v>0.0829795290311093</v>
      </c>
      <c r="M274" s="34">
        <v>0.083994740218838</v>
      </c>
      <c r="N274" s="34">
        <v>0.0848603003519903</v>
      </c>
      <c r="O274" s="34">
        <v>0.0855884816788503</v>
      </c>
      <c r="P274" s="34">
        <v>0.0862618372182712</v>
      </c>
      <c r="Q274" s="34">
        <v>0.0868993362662605</v>
      </c>
      <c r="R274" s="34">
        <v>0.0874302494168652</v>
      </c>
      <c r="S274" s="34">
        <v>0.0877673854478052</v>
      </c>
      <c r="T274" s="34">
        <v>0.0879101303772842</v>
      </c>
      <c r="U274" s="34">
        <v>0.0879333970091519</v>
      </c>
      <c r="V274" s="34">
        <v>0.0878886312020712</v>
      </c>
      <c r="W274" s="34">
        <v>3</v>
      </c>
      <c r="AG274" s="232" t="s">
        <v>442</v>
      </c>
      <c r="AI274">
        <v>1</v>
      </c>
      <c r="AJ274">
        <v>1.00520038942529</v>
      </c>
      <c r="AK274">
        <v>1.03120233655177</v>
      </c>
      <c r="AL274">
        <v>1.05326134321016</v>
      </c>
      <c r="AM274">
        <v>1.07517129113885</v>
      </c>
      <c r="AN274">
        <v>1.09697150487709</v>
      </c>
      <c r="AO274">
        <v>1.118929204032</v>
      </c>
      <c r="AP274">
        <v>1.14233722964613</v>
      </c>
      <c r="AQ274">
        <v>1.16196092376713</v>
      </c>
      <c r="AR274">
        <v>1.17906653655862</v>
      </c>
      <c r="AS274">
        <v>1.19378290270154</v>
      </c>
      <c r="AT274">
        <v>1.2076968609842</v>
      </c>
      <c r="AU274">
        <v>1.22116888634965</v>
      </c>
      <c r="AV274">
        <v>1.23264697031578</v>
      </c>
      <c r="AW274">
        <v>1.24010290295621</v>
      </c>
      <c r="AX274">
        <v>1.24332994955036</v>
      </c>
      <c r="AY274">
        <v>1.2438671976603</v>
      </c>
      <c r="AZ274">
        <v>1.24281180193091</v>
      </c>
      <c r="BA274">
        <v>0</v>
      </c>
      <c r="BB274">
        <v>0</v>
      </c>
      <c r="BC274">
        <v>0</v>
      </c>
      <c r="BD274">
        <v>0</v>
      </c>
      <c r="BE274">
        <v>0</v>
      </c>
      <c r="BF274">
        <v>0</v>
      </c>
      <c r="BG274">
        <v>0</v>
      </c>
      <c r="BH274">
        <v>0</v>
      </c>
      <c r="BJ274" t="s">
        <v>452</v>
      </c>
      <c r="BL274">
        <v>0.8</v>
      </c>
      <c r="BM274">
        <v>0.797560975609756</v>
      </c>
      <c r="BN274">
        <v>0.785365853658536</v>
      </c>
      <c r="BO274">
        <v>0.773170731707317</v>
      </c>
      <c r="BP274">
        <v>0.760975609756097</v>
      </c>
      <c r="BQ274">
        <v>0.748780487804878</v>
      </c>
      <c r="BR274">
        <v>0.736585365853658</v>
      </c>
      <c r="BS274">
        <v>0.724390243902439</v>
      </c>
      <c r="BT274">
        <v>0.71219512195122</v>
      </c>
      <c r="BU274">
        <v>0.699999999999999</v>
      </c>
      <c r="BV274">
        <v>0.687499999999999</v>
      </c>
      <c r="BW274">
        <v>0.675</v>
      </c>
      <c r="BX274">
        <v>0.6625</v>
      </c>
      <c r="BY274">
        <v>0.649999999999999</v>
      </c>
      <c r="BZ274">
        <v>0.637499999999999</v>
      </c>
      <c r="CA274">
        <v>0.625</v>
      </c>
      <c r="CB274">
        <v>0.6125</v>
      </c>
      <c r="CC274">
        <v>0.6</v>
      </c>
      <c r="CD274" t="e">
        <v>#VALUE!</v>
      </c>
      <c r="CE274" t="e">
        <v>#VALUE!</v>
      </c>
      <c r="CF274" t="e">
        <v>#VALUE!</v>
      </c>
      <c r="CG274" t="e">
        <v>#VALUE!</v>
      </c>
      <c r="CH274" t="e">
        <v>#VALUE!</v>
      </c>
      <c r="CI274" t="e">
        <v>#VALUE!</v>
      </c>
      <c r="CJ274" t="e">
        <v>#VALUE!</v>
      </c>
      <c r="CK274" t="e">
        <v>#VALUE!</v>
      </c>
    </row>
    <row r="275" spans="1:89">
      <c r="A275" s="34" t="s">
        <v>26</v>
      </c>
      <c r="B275" s="34" t="s">
        <v>447</v>
      </c>
      <c r="C275" s="34" t="s">
        <v>447</v>
      </c>
      <c r="D275" s="34">
        <v>0.315</v>
      </c>
      <c r="E275" s="34">
        <v>0.316306502714029</v>
      </c>
      <c r="F275" s="34"/>
      <c r="G275" s="34">
        <v>0.322732393765729</v>
      </c>
      <c r="H275" s="34">
        <v>0.328070165875336</v>
      </c>
      <c r="I275" s="34">
        <v>0.333263457084028</v>
      </c>
      <c r="J275" s="34">
        <v>0.338323163359408</v>
      </c>
      <c r="K275" s="34">
        <v>0.343311391443544</v>
      </c>
      <c r="L275" s="34">
        <v>0.348514021930659</v>
      </c>
      <c r="M275" s="34">
        <v>0.35277790891912</v>
      </c>
      <c r="N275" s="34">
        <v>0.356413261478359</v>
      </c>
      <c r="O275" s="34">
        <v>0.359471623051171</v>
      </c>
      <c r="P275" s="34">
        <v>0.362299716316739</v>
      </c>
      <c r="Q275" s="34">
        <v>0.364977212318294</v>
      </c>
      <c r="R275" s="34">
        <v>0.367207047550834</v>
      </c>
      <c r="S275" s="34">
        <v>0.368623018880782</v>
      </c>
      <c r="T275" s="34">
        <v>0.369222547584594</v>
      </c>
      <c r="U275" s="34">
        <v>0.369320267438438</v>
      </c>
      <c r="V275" s="34">
        <v>0.369132251048699</v>
      </c>
      <c r="W275" s="34">
        <v>3</v>
      </c>
      <c r="AG275" s="232" t="s">
        <v>442</v>
      </c>
      <c r="AI275">
        <v>1</v>
      </c>
      <c r="AJ275">
        <v>1.00520038942529</v>
      </c>
      <c r="AK275">
        <v>1.03120233655177</v>
      </c>
      <c r="AL275">
        <v>1.05326134321016</v>
      </c>
      <c r="AM275">
        <v>1.07517129113885</v>
      </c>
      <c r="AN275">
        <v>1.09697150487709</v>
      </c>
      <c r="AO275">
        <v>1.118929204032</v>
      </c>
      <c r="AP275">
        <v>1.14233722964613</v>
      </c>
      <c r="AQ275">
        <v>1.16196092376713</v>
      </c>
      <c r="AR275">
        <v>1.17906653655862</v>
      </c>
      <c r="AS275">
        <v>1.19378290270154</v>
      </c>
      <c r="AT275">
        <v>1.2076968609842</v>
      </c>
      <c r="AU275">
        <v>1.22116888634965</v>
      </c>
      <c r="AV275">
        <v>1.23264697031578</v>
      </c>
      <c r="AW275">
        <v>1.24010290295621</v>
      </c>
      <c r="AX275">
        <v>1.24332994955036</v>
      </c>
      <c r="AY275">
        <v>1.2438671976603</v>
      </c>
      <c r="AZ275">
        <v>1.24281180193091</v>
      </c>
      <c r="BA275">
        <v>0</v>
      </c>
      <c r="BB275">
        <v>0</v>
      </c>
      <c r="BC275">
        <v>0</v>
      </c>
      <c r="BD275">
        <v>0</v>
      </c>
      <c r="BE275">
        <v>0</v>
      </c>
      <c r="BF275">
        <v>0</v>
      </c>
      <c r="BG275">
        <v>0</v>
      </c>
      <c r="BH275">
        <v>0</v>
      </c>
      <c r="BJ275" t="s">
        <v>452</v>
      </c>
      <c r="BL275">
        <v>0.8</v>
      </c>
      <c r="BM275">
        <v>0.797560975609756</v>
      </c>
      <c r="BN275">
        <v>0.785365853658536</v>
      </c>
      <c r="BO275">
        <v>0.773170731707317</v>
      </c>
      <c r="BP275">
        <v>0.760975609756097</v>
      </c>
      <c r="BQ275">
        <v>0.748780487804878</v>
      </c>
      <c r="BR275">
        <v>0.736585365853658</v>
      </c>
      <c r="BS275">
        <v>0.724390243902439</v>
      </c>
      <c r="BT275">
        <v>0.71219512195122</v>
      </c>
      <c r="BU275">
        <v>0.699999999999999</v>
      </c>
      <c r="BV275">
        <v>0.687499999999999</v>
      </c>
      <c r="BW275">
        <v>0.675</v>
      </c>
      <c r="BX275">
        <v>0.6625</v>
      </c>
      <c r="BY275">
        <v>0.649999999999999</v>
      </c>
      <c r="BZ275">
        <v>0.637499999999999</v>
      </c>
      <c r="CA275">
        <v>0.625</v>
      </c>
      <c r="CB275">
        <v>0.6125</v>
      </c>
      <c r="CC275">
        <v>0.6</v>
      </c>
      <c r="CD275" t="e">
        <v>#VALUE!</v>
      </c>
      <c r="CE275" t="e">
        <v>#VALUE!</v>
      </c>
      <c r="CF275" t="e">
        <v>#VALUE!</v>
      </c>
      <c r="CG275" t="e">
        <v>#VALUE!</v>
      </c>
      <c r="CH275" t="e">
        <v>#VALUE!</v>
      </c>
      <c r="CI275" t="e">
        <v>#VALUE!</v>
      </c>
      <c r="CJ275" t="e">
        <v>#VALUE!</v>
      </c>
      <c r="CK275" t="e">
        <v>#VALUE!</v>
      </c>
    </row>
    <row r="276" spans="1:89">
      <c r="A276" s="34" t="s">
        <v>26</v>
      </c>
      <c r="B276" s="34" t="s">
        <v>448</v>
      </c>
      <c r="C276" s="34" t="s">
        <v>448</v>
      </c>
      <c r="D276" s="34">
        <v>28.044</v>
      </c>
      <c r="E276" s="34">
        <v>28.1149484982275</v>
      </c>
      <c r="F276" s="34"/>
      <c r="G276" s="34">
        <v>29.9541710217975</v>
      </c>
      <c r="H276" s="34">
        <v>31.5458727550652</v>
      </c>
      <c r="I276" s="34">
        <v>33.0180825098467</v>
      </c>
      <c r="J276" s="34">
        <v>34.4573923848731</v>
      </c>
      <c r="K276" s="34">
        <v>35.8678793719566</v>
      </c>
      <c r="L276" s="34">
        <v>37.205302841814</v>
      </c>
      <c r="M276" s="34">
        <v>38.544786240563</v>
      </c>
      <c r="N276" s="34">
        <v>39.8905923325315</v>
      </c>
      <c r="O276" s="34">
        <v>41.2498604327514</v>
      </c>
      <c r="P276" s="34">
        <v>42.4901218298381</v>
      </c>
      <c r="Q276" s="34">
        <v>43.6098096480853</v>
      </c>
      <c r="R276" s="34">
        <v>44.6408797027853</v>
      </c>
      <c r="S276" s="34">
        <v>45.6252440321448</v>
      </c>
      <c r="T276" s="34">
        <v>46.575769628912</v>
      </c>
      <c r="U276" s="34">
        <v>47.4664832322902</v>
      </c>
      <c r="V276" s="34">
        <v>48.2633582937033</v>
      </c>
      <c r="W276" s="34">
        <v>3</v>
      </c>
      <c r="AG276" s="232" t="s">
        <v>449</v>
      </c>
      <c r="AI276">
        <v>1</v>
      </c>
      <c r="AJ276">
        <v>1.00317204509485</v>
      </c>
      <c r="AK276">
        <v>1.08673242212604</v>
      </c>
      <c r="AL276">
        <v>1.16142055503622</v>
      </c>
      <c r="AM276">
        <v>1.23264776197482</v>
      </c>
      <c r="AN276">
        <v>1.30440850542095</v>
      </c>
      <c r="AO276">
        <v>1.37689835708347</v>
      </c>
      <c r="AP276">
        <v>1.44777326845269</v>
      </c>
      <c r="AQ276">
        <v>1.52096028613944</v>
      </c>
      <c r="AR276">
        <v>1.59682445123054</v>
      </c>
      <c r="AS276">
        <v>1.6759686544594</v>
      </c>
      <c r="AT276">
        <v>1.75062261658181</v>
      </c>
      <c r="AU276">
        <v>1.82025570042895</v>
      </c>
      <c r="AV276">
        <v>1.88646561476331</v>
      </c>
      <c r="AW276">
        <v>1.95171731431691</v>
      </c>
      <c r="AX276">
        <v>2.01677453618662</v>
      </c>
      <c r="AY276">
        <v>2.07974389938496</v>
      </c>
      <c r="AZ276">
        <v>2.13793569896965</v>
      </c>
      <c r="BA276">
        <v>0</v>
      </c>
      <c r="BB276">
        <v>0</v>
      </c>
      <c r="BC276">
        <v>0</v>
      </c>
      <c r="BD276">
        <v>0</v>
      </c>
      <c r="BE276">
        <v>0</v>
      </c>
      <c r="BF276">
        <v>0</v>
      </c>
      <c r="BG276">
        <v>0</v>
      </c>
      <c r="BH276">
        <v>0</v>
      </c>
      <c r="BJ276" t="s">
        <v>452</v>
      </c>
      <c r="BL276">
        <v>0.8</v>
      </c>
      <c r="BM276">
        <v>0.797560975609756</v>
      </c>
      <c r="BN276">
        <v>0.785365853658536</v>
      </c>
      <c r="BO276">
        <v>0.773170731707317</v>
      </c>
      <c r="BP276">
        <v>0.760975609756097</v>
      </c>
      <c r="BQ276">
        <v>0.748780487804878</v>
      </c>
      <c r="BR276">
        <v>0.736585365853658</v>
      </c>
      <c r="BS276">
        <v>0.724390243902439</v>
      </c>
      <c r="BT276">
        <v>0.71219512195122</v>
      </c>
      <c r="BU276">
        <v>0.699999999999999</v>
      </c>
      <c r="BV276">
        <v>0.687499999999999</v>
      </c>
      <c r="BW276">
        <v>0.675</v>
      </c>
      <c r="BX276">
        <v>0.6625</v>
      </c>
      <c r="BY276">
        <v>0.649999999999999</v>
      </c>
      <c r="BZ276">
        <v>0.637499999999999</v>
      </c>
      <c r="CA276">
        <v>0.625</v>
      </c>
      <c r="CB276">
        <v>0.6125</v>
      </c>
      <c r="CC276">
        <v>0.6</v>
      </c>
      <c r="CD276" t="e">
        <v>#VALUE!</v>
      </c>
      <c r="CE276" t="e">
        <v>#VALUE!</v>
      </c>
      <c r="CF276" t="e">
        <v>#VALUE!</v>
      </c>
      <c r="CG276" t="e">
        <v>#VALUE!</v>
      </c>
      <c r="CH276" t="e">
        <v>#VALUE!</v>
      </c>
      <c r="CI276" t="e">
        <v>#VALUE!</v>
      </c>
      <c r="CJ276" t="e">
        <v>#VALUE!</v>
      </c>
      <c r="CK276" t="e">
        <v>#VALUE!</v>
      </c>
    </row>
    <row r="277" spans="1:89">
      <c r="A277" s="34" t="s">
        <v>26</v>
      </c>
      <c r="B277" s="34" t="s">
        <v>450</v>
      </c>
      <c r="C277" s="34" t="s">
        <v>450</v>
      </c>
      <c r="D277" s="34">
        <v>9.5</v>
      </c>
      <c r="E277" s="34">
        <v>9.56356149330794</v>
      </c>
      <c r="F277" s="34"/>
      <c r="G277" s="34">
        <v>10.3996610765552</v>
      </c>
      <c r="H277" s="34">
        <v>11.1361017845004</v>
      </c>
      <c r="I277" s="34">
        <v>11.842904364326</v>
      </c>
      <c r="J277" s="34">
        <v>12.5494251580668</v>
      </c>
      <c r="K277" s="34">
        <v>13.2584372545531</v>
      </c>
      <c r="L277" s="34">
        <v>13.964075338883</v>
      </c>
      <c r="M277" s="34">
        <v>14.6462963013933</v>
      </c>
      <c r="N277" s="34">
        <v>15.316134697541</v>
      </c>
      <c r="O277" s="34">
        <v>15.9759713560398</v>
      </c>
      <c r="P277" s="34">
        <v>16.5876089958359</v>
      </c>
      <c r="Q277" s="34">
        <v>17.1521841376815</v>
      </c>
      <c r="R277" s="34">
        <v>17.6663178165446</v>
      </c>
      <c r="S277" s="34">
        <v>18.1263517965966</v>
      </c>
      <c r="T277" s="34">
        <v>18.5344473979954</v>
      </c>
      <c r="U277" s="34">
        <v>18.8939581650872</v>
      </c>
      <c r="V277" s="34">
        <v>19.2012652018143</v>
      </c>
      <c r="W277" s="34">
        <v>3</v>
      </c>
      <c r="AG277" s="232" t="s">
        <v>437</v>
      </c>
      <c r="AI277">
        <v>1</v>
      </c>
      <c r="AJ277">
        <v>1.00838893038991</v>
      </c>
      <c r="AK277">
        <v>1.12064101290293</v>
      </c>
      <c r="AL277">
        <v>1.22327937382933</v>
      </c>
      <c r="AM277">
        <v>1.32530748576188</v>
      </c>
      <c r="AN277">
        <v>1.43089896116608</v>
      </c>
      <c r="AO277">
        <v>1.54065178272437</v>
      </c>
      <c r="AP277">
        <v>1.65384530463998</v>
      </c>
      <c r="AQ277">
        <v>1.7672964190957</v>
      </c>
      <c r="AR277">
        <v>1.88276227520451</v>
      </c>
      <c r="AS277">
        <v>2.00074272515735</v>
      </c>
      <c r="AT277">
        <v>2.1142214388138</v>
      </c>
      <c r="AU277">
        <v>2.22283962656441</v>
      </c>
      <c r="AV277">
        <v>2.3253461246429</v>
      </c>
      <c r="AW277">
        <v>2.4203303072343</v>
      </c>
      <c r="AX277">
        <v>2.50751618233136</v>
      </c>
      <c r="AY277">
        <v>2.58692521597908</v>
      </c>
      <c r="AZ277">
        <v>2.6570517184489</v>
      </c>
      <c r="BA277">
        <v>0</v>
      </c>
      <c r="BB277">
        <v>0</v>
      </c>
      <c r="BC277">
        <v>0</v>
      </c>
      <c r="BD277">
        <v>0</v>
      </c>
      <c r="BE277">
        <v>0</v>
      </c>
      <c r="BF277">
        <v>0</v>
      </c>
      <c r="BG277">
        <v>0</v>
      </c>
      <c r="BH277">
        <v>0</v>
      </c>
      <c r="BJ277" t="s">
        <v>452</v>
      </c>
      <c r="BL277">
        <v>0.8</v>
      </c>
      <c r="BM277">
        <v>0.797560975609756</v>
      </c>
      <c r="BN277">
        <v>0.785365853658536</v>
      </c>
      <c r="BO277">
        <v>0.773170731707317</v>
      </c>
      <c r="BP277">
        <v>0.760975609756097</v>
      </c>
      <c r="BQ277">
        <v>0.748780487804878</v>
      </c>
      <c r="BR277">
        <v>0.736585365853658</v>
      </c>
      <c r="BS277">
        <v>0.724390243902439</v>
      </c>
      <c r="BT277">
        <v>0.71219512195122</v>
      </c>
      <c r="BU277">
        <v>0.699999999999999</v>
      </c>
      <c r="BV277">
        <v>0.687499999999999</v>
      </c>
      <c r="BW277">
        <v>0.675</v>
      </c>
      <c r="BX277">
        <v>0.6625</v>
      </c>
      <c r="BY277">
        <v>0.649999999999999</v>
      </c>
      <c r="BZ277">
        <v>0.637499999999999</v>
      </c>
      <c r="CA277">
        <v>0.625</v>
      </c>
      <c r="CB277">
        <v>0.6125</v>
      </c>
      <c r="CC277">
        <v>0.6</v>
      </c>
      <c r="CD277" t="e">
        <v>#VALUE!</v>
      </c>
      <c r="CE277" t="e">
        <v>#VALUE!</v>
      </c>
      <c r="CF277" t="e">
        <v>#VALUE!</v>
      </c>
      <c r="CG277" t="e">
        <v>#VALUE!</v>
      </c>
      <c r="CH277" t="e">
        <v>#VALUE!</v>
      </c>
      <c r="CI277" t="e">
        <v>#VALUE!</v>
      </c>
      <c r="CJ277" t="e">
        <v>#VALUE!</v>
      </c>
      <c r="CK277" t="e">
        <v>#VALUE!</v>
      </c>
    </row>
    <row r="278" spans="1:89">
      <c r="A278" s="34" t="s">
        <v>26</v>
      </c>
      <c r="B278" s="34" t="s">
        <v>451</v>
      </c>
      <c r="C278" s="34" t="s">
        <v>451</v>
      </c>
      <c r="D278" s="34">
        <v>5.16</v>
      </c>
      <c r="E278" s="34">
        <v>5.19452392689147</v>
      </c>
      <c r="F278" s="34"/>
      <c r="G278" s="34">
        <v>5.64865801631842</v>
      </c>
      <c r="H278" s="34">
        <v>6.04866160084444</v>
      </c>
      <c r="I278" s="34">
        <v>6.43256700209709</v>
      </c>
      <c r="J278" s="34">
        <v>6.8163193490131</v>
      </c>
      <c r="K278" s="34">
        <v>7.2014248666836</v>
      </c>
      <c r="L278" s="34">
        <v>7.58469776301432</v>
      </c>
      <c r="M278" s="34">
        <v>7.9552514647568</v>
      </c>
      <c r="N278" s="34">
        <v>8.31907947782227</v>
      </c>
      <c r="O278" s="34">
        <v>8.67747496812266</v>
      </c>
      <c r="P278" s="34">
        <v>9.00969078089616</v>
      </c>
      <c r="Q278" s="34">
        <v>9.31634422636175</v>
      </c>
      <c r="R278" s="34">
        <v>9.59559999298634</v>
      </c>
      <c r="S278" s="34">
        <v>9.84547108109876</v>
      </c>
      <c r="T278" s="34">
        <v>10.0671314288059</v>
      </c>
      <c r="U278" s="34">
        <v>10.2624025401947</v>
      </c>
      <c r="V278" s="34">
        <v>10.4293187833012</v>
      </c>
      <c r="W278" s="34">
        <v>3</v>
      </c>
      <c r="AG278" s="232" t="s">
        <v>437</v>
      </c>
      <c r="AI278">
        <v>1</v>
      </c>
      <c r="AJ278">
        <v>1.00838893038991</v>
      </c>
      <c r="AK278">
        <v>1.12064101290293</v>
      </c>
      <c r="AL278">
        <v>1.22327937382933</v>
      </c>
      <c r="AM278">
        <v>1.32530748576188</v>
      </c>
      <c r="AN278">
        <v>1.43089896116608</v>
      </c>
      <c r="AO278">
        <v>1.54065178272437</v>
      </c>
      <c r="AP278">
        <v>1.65384530463998</v>
      </c>
      <c r="AQ278">
        <v>1.7672964190957</v>
      </c>
      <c r="AR278">
        <v>1.88276227520451</v>
      </c>
      <c r="AS278">
        <v>2.00074272515735</v>
      </c>
      <c r="AT278">
        <v>2.1142214388138</v>
      </c>
      <c r="AU278">
        <v>2.22283962656441</v>
      </c>
      <c r="AV278">
        <v>2.3253461246429</v>
      </c>
      <c r="AW278">
        <v>2.4203303072343</v>
      </c>
      <c r="AX278">
        <v>2.50751618233136</v>
      </c>
      <c r="AY278">
        <v>2.58692521597908</v>
      </c>
      <c r="AZ278">
        <v>2.6570517184489</v>
      </c>
      <c r="BA278">
        <v>0</v>
      </c>
      <c r="BB278">
        <v>0</v>
      </c>
      <c r="BC278">
        <v>0</v>
      </c>
      <c r="BD278">
        <v>0</v>
      </c>
      <c r="BE278">
        <v>0</v>
      </c>
      <c r="BF278">
        <v>0</v>
      </c>
      <c r="BG278">
        <v>0</v>
      </c>
      <c r="BH278">
        <v>0</v>
      </c>
      <c r="BJ278" t="s">
        <v>452</v>
      </c>
      <c r="BL278">
        <v>0.8</v>
      </c>
      <c r="BM278">
        <v>0.797560975609756</v>
      </c>
      <c r="BN278">
        <v>0.785365853658536</v>
      </c>
      <c r="BO278">
        <v>0.773170731707317</v>
      </c>
      <c r="BP278">
        <v>0.760975609756097</v>
      </c>
      <c r="BQ278">
        <v>0.748780487804878</v>
      </c>
      <c r="BR278">
        <v>0.736585365853658</v>
      </c>
      <c r="BS278">
        <v>0.724390243902439</v>
      </c>
      <c r="BT278">
        <v>0.71219512195122</v>
      </c>
      <c r="BU278">
        <v>0.699999999999999</v>
      </c>
      <c r="BV278">
        <v>0.687499999999999</v>
      </c>
      <c r="BW278">
        <v>0.675</v>
      </c>
      <c r="BX278">
        <v>0.6625</v>
      </c>
      <c r="BY278">
        <v>0.649999999999999</v>
      </c>
      <c r="BZ278">
        <v>0.637499999999999</v>
      </c>
      <c r="CA278">
        <v>0.625</v>
      </c>
      <c r="CB278">
        <v>0.6125</v>
      </c>
      <c r="CC278">
        <v>0.6</v>
      </c>
      <c r="CD278" t="e">
        <v>#VALUE!</v>
      </c>
      <c r="CE278" t="e">
        <v>#VALUE!</v>
      </c>
      <c r="CF278" t="e">
        <v>#VALUE!</v>
      </c>
      <c r="CG278" t="e">
        <v>#VALUE!</v>
      </c>
      <c r="CH278" t="e">
        <v>#VALUE!</v>
      </c>
      <c r="CI278" t="e">
        <v>#VALUE!</v>
      </c>
      <c r="CJ278" t="e">
        <v>#VALUE!</v>
      </c>
      <c r="CK278" t="e">
        <v>#VALUE!</v>
      </c>
    </row>
    <row r="279" spans="1:89">
      <c r="A279" s="34" t="s">
        <v>27</v>
      </c>
      <c r="B279" s="34" t="s">
        <v>436</v>
      </c>
      <c r="C279" s="34" t="s">
        <v>436</v>
      </c>
      <c r="D279" s="34"/>
      <c r="E279" s="34">
        <v>1.45078903816604</v>
      </c>
      <c r="F279" s="34">
        <f xml:space="preserve">E279</f>
        <v>1.45078903816604</v>
      </c>
      <c r="G279" s="34"/>
      <c r="H279" s="34"/>
      <c r="I279" s="34">
        <f xml:space="preserve">F279</f>
        <v>1.45078903816604</v>
      </c>
      <c r="J279" s="34">
        <f xml:space="preserve">I279</f>
        <v>1.45078903816604</v>
      </c>
      <c r="K279" s="34"/>
      <c r="L279" s="34">
        <f xml:space="preserve">J279</f>
        <v>1.45078903816604</v>
      </c>
      <c r="M279" s="34"/>
      <c r="N279" s="34"/>
      <c r="O279" s="34"/>
      <c r="P279" s="34"/>
      <c r="Q279" s="34"/>
      <c r="R279" s="34"/>
      <c r="S279" s="34"/>
      <c r="T279" s="34"/>
      <c r="U279" s="34"/>
      <c r="V279" s="34">
        <f xml:space="preserve">L279</f>
        <v>1.45078903816604</v>
      </c>
      <c r="W279" s="34">
        <v>3</v>
      </c>
      <c r="AG279" s="232" t="s">
        <v>437</v>
      </c>
      <c r="AI279">
        <v>1</v>
      </c>
      <c r="AJ279">
        <v>1.0306176871124</v>
      </c>
      <c r="AK279">
        <v>1.2321465865568</v>
      </c>
      <c r="AL279">
        <v>1.44752671431604</v>
      </c>
      <c r="AM279">
        <v>1.61456130872964</v>
      </c>
      <c r="AN279">
        <v>1.75255578895043</v>
      </c>
      <c r="AO279">
        <v>1.84476786031748</v>
      </c>
      <c r="AP279">
        <v>1.91652671604205</v>
      </c>
      <c r="AQ279">
        <v>1.97324339671817</v>
      </c>
      <c r="AR279">
        <v>2.02321137923714</v>
      </c>
      <c r="AS279">
        <v>2.06725051823443</v>
      </c>
      <c r="AT279">
        <v>2.0990608780902</v>
      </c>
      <c r="AU279">
        <v>2.11677836826489</v>
      </c>
      <c r="AV279">
        <v>2.12369966739792</v>
      </c>
      <c r="AW279">
        <v>2.12703086623252</v>
      </c>
      <c r="AX279">
        <v>2.13331354175477</v>
      </c>
      <c r="AY279">
        <v>2.1447656165048</v>
      </c>
      <c r="AZ279">
        <v>2.15838383350219</v>
      </c>
      <c r="BA279">
        <v>0</v>
      </c>
      <c r="BB279">
        <v>0</v>
      </c>
      <c r="BC279">
        <v>0</v>
      </c>
      <c r="BD279">
        <v>0</v>
      </c>
      <c r="BE279">
        <v>0</v>
      </c>
      <c r="BF279">
        <v>0</v>
      </c>
      <c r="BG279">
        <v>0</v>
      </c>
      <c r="BH279">
        <v>0</v>
      </c>
      <c r="BJ279" t="s">
        <v>452</v>
      </c>
      <c r="BL279">
        <v>0.8</v>
      </c>
      <c r="BM279">
        <v>0.797560975609756</v>
      </c>
      <c r="BN279">
        <v>0.785365853658536</v>
      </c>
      <c r="BO279">
        <v>0.773170731707317</v>
      </c>
      <c r="BP279">
        <v>0.760975609756097</v>
      </c>
      <c r="BQ279">
        <v>0.748780487804878</v>
      </c>
      <c r="BR279">
        <v>0.736585365853658</v>
      </c>
      <c r="BS279">
        <v>0.724390243902439</v>
      </c>
      <c r="BT279">
        <v>0.71219512195122</v>
      </c>
      <c r="BU279">
        <v>0.699999999999999</v>
      </c>
      <c r="BV279">
        <v>0.687499999999999</v>
      </c>
      <c r="BW279">
        <v>0.675</v>
      </c>
      <c r="BX279">
        <v>0.6625</v>
      </c>
      <c r="BY279">
        <v>0.649999999999999</v>
      </c>
      <c r="BZ279">
        <v>0.637499999999999</v>
      </c>
      <c r="CA279">
        <v>0.625</v>
      </c>
      <c r="CB279">
        <v>0.6125</v>
      </c>
      <c r="CC279">
        <v>0.6</v>
      </c>
      <c r="CD279" t="e">
        <v>#VALUE!</v>
      </c>
      <c r="CE279" t="e">
        <v>#VALUE!</v>
      </c>
      <c r="CF279" t="e">
        <v>#VALUE!</v>
      </c>
      <c r="CG279" t="e">
        <v>#VALUE!</v>
      </c>
      <c r="CH279" t="e">
        <v>#VALUE!</v>
      </c>
      <c r="CI279" t="e">
        <v>#VALUE!</v>
      </c>
      <c r="CJ279" t="e">
        <v>#VALUE!</v>
      </c>
      <c r="CK279" t="e">
        <v>#VALUE!</v>
      </c>
    </row>
    <row r="280" spans="1:89">
      <c r="A280" s="34" t="s">
        <v>27</v>
      </c>
      <c r="B280" s="34" t="s">
        <v>439</v>
      </c>
      <c r="C280" s="34" t="s">
        <v>439</v>
      </c>
      <c r="D280" s="34"/>
      <c r="E280" s="34">
        <v>46.1548724636098</v>
      </c>
      <c r="F280" s="34">
        <f xml:space="preserve">E280</f>
        <v>46.1548724636098</v>
      </c>
      <c r="G280" s="34"/>
      <c r="H280" s="34"/>
      <c r="I280" s="34">
        <f xml:space="preserve">F280</f>
        <v>46.1548724636098</v>
      </c>
      <c r="J280" s="34">
        <f xml:space="preserve">I280</f>
        <v>46.1548724636098</v>
      </c>
      <c r="K280" s="34"/>
      <c r="L280" s="34">
        <f xml:space="preserve">J280</f>
        <v>46.1548724636098</v>
      </c>
      <c r="M280" s="34"/>
      <c r="N280" s="34"/>
      <c r="O280" s="34"/>
      <c r="P280" s="34"/>
      <c r="Q280" s="34"/>
      <c r="R280" s="34"/>
      <c r="S280" s="34"/>
      <c r="T280" s="34"/>
      <c r="U280" s="34"/>
      <c r="V280" s="34">
        <f xml:space="preserve">L280</f>
        <v>46.1548724636098</v>
      </c>
      <c r="W280" s="34">
        <v>3</v>
      </c>
      <c r="AG280" s="232" t="s">
        <v>437</v>
      </c>
      <c r="AI280">
        <v>1</v>
      </c>
      <c r="AJ280">
        <v>1.0306176871124</v>
      </c>
      <c r="AK280">
        <v>1.2321465865568</v>
      </c>
      <c r="AL280">
        <v>1.44752671431604</v>
      </c>
      <c r="AM280">
        <v>1.61456130872964</v>
      </c>
      <c r="AN280">
        <v>1.75255578895043</v>
      </c>
      <c r="AO280">
        <v>1.84476786031748</v>
      </c>
      <c r="AP280">
        <v>1.91652671604205</v>
      </c>
      <c r="AQ280">
        <v>1.97324339671817</v>
      </c>
      <c r="AR280">
        <v>2.02321137923714</v>
      </c>
      <c r="AS280">
        <v>2.06725051823443</v>
      </c>
      <c r="AT280">
        <v>2.0990608780902</v>
      </c>
      <c r="AU280">
        <v>2.11677836826489</v>
      </c>
      <c r="AV280">
        <v>2.12369966739792</v>
      </c>
      <c r="AW280">
        <v>2.12703086623252</v>
      </c>
      <c r="AX280">
        <v>2.13331354175477</v>
      </c>
      <c r="AY280">
        <v>2.1447656165048</v>
      </c>
      <c r="AZ280">
        <v>2.15838383350219</v>
      </c>
      <c r="BA280">
        <v>0</v>
      </c>
      <c r="BB280">
        <v>0</v>
      </c>
      <c r="BC280">
        <v>0</v>
      </c>
      <c r="BD280">
        <v>0</v>
      </c>
      <c r="BE280">
        <v>0</v>
      </c>
      <c r="BF280">
        <v>0</v>
      </c>
      <c r="BG280">
        <v>0</v>
      </c>
      <c r="BH280">
        <v>0</v>
      </c>
      <c r="BJ280" t="s">
        <v>452</v>
      </c>
      <c r="BL280">
        <v>0.8</v>
      </c>
      <c r="BM280">
        <v>0.797560975609756</v>
      </c>
      <c r="BN280">
        <v>0.785365853658536</v>
      </c>
      <c r="BO280">
        <v>0.773170731707317</v>
      </c>
      <c r="BP280">
        <v>0.760975609756097</v>
      </c>
      <c r="BQ280">
        <v>0.748780487804878</v>
      </c>
      <c r="BR280">
        <v>0.736585365853658</v>
      </c>
      <c r="BS280">
        <v>0.724390243902439</v>
      </c>
      <c r="BT280">
        <v>0.71219512195122</v>
      </c>
      <c r="BU280">
        <v>0.699999999999999</v>
      </c>
      <c r="BV280">
        <v>0.687499999999999</v>
      </c>
      <c r="BW280">
        <v>0.675</v>
      </c>
      <c r="BX280">
        <v>0.6625</v>
      </c>
      <c r="BY280">
        <v>0.649999999999999</v>
      </c>
      <c r="BZ280">
        <v>0.637499999999999</v>
      </c>
      <c r="CA280">
        <v>0.625</v>
      </c>
      <c r="CB280">
        <v>0.6125</v>
      </c>
      <c r="CC280">
        <v>0.6</v>
      </c>
      <c r="CD280" t="e">
        <v>#VALUE!</v>
      </c>
      <c r="CE280" t="e">
        <v>#VALUE!</v>
      </c>
      <c r="CF280" t="e">
        <v>#VALUE!</v>
      </c>
      <c r="CG280" t="e">
        <v>#VALUE!</v>
      </c>
      <c r="CH280" t="e">
        <v>#VALUE!</v>
      </c>
      <c r="CI280" t="e">
        <v>#VALUE!</v>
      </c>
      <c r="CJ280" t="e">
        <v>#VALUE!</v>
      </c>
      <c r="CK280" t="e">
        <v>#VALUE!</v>
      </c>
    </row>
    <row r="281" spans="1:89">
      <c r="A281" s="34" t="s">
        <v>27</v>
      </c>
      <c r="B281" s="34" t="s">
        <v>440</v>
      </c>
      <c r="C281" s="34" t="s">
        <v>440</v>
      </c>
      <c r="D281" s="34"/>
      <c r="E281" s="34">
        <v>4.46314013629739</v>
      </c>
      <c r="F281" s="34"/>
      <c r="G281" s="34"/>
      <c r="H281" s="34"/>
      <c r="I281" s="34">
        <v>6.35758734024323</v>
      </c>
      <c r="J281" s="34">
        <v>6.76445580300758</v>
      </c>
      <c r="K281" s="34"/>
      <c r="L281" s="34">
        <v>7.22461343573354</v>
      </c>
      <c r="M281" s="34"/>
      <c r="N281" s="34"/>
      <c r="O281" s="34"/>
      <c r="P281" s="34"/>
      <c r="Q281" s="34"/>
      <c r="R281" s="34"/>
      <c r="S281" s="34"/>
      <c r="T281" s="34"/>
      <c r="U281" s="34"/>
      <c r="V281" s="34">
        <v>7.83606786808991</v>
      </c>
      <c r="W281" s="34">
        <v>3</v>
      </c>
      <c r="AG281" s="232" t="s">
        <v>437</v>
      </c>
      <c r="AI281">
        <v>1</v>
      </c>
      <c r="AJ281">
        <v>1.0306176871124</v>
      </c>
      <c r="AK281">
        <v>1.2321465865568</v>
      </c>
      <c r="AL281">
        <v>1.44752671431604</v>
      </c>
      <c r="AM281">
        <v>1.61456130872964</v>
      </c>
      <c r="AN281">
        <v>1.75255578895043</v>
      </c>
      <c r="AO281">
        <v>1.84476786031748</v>
      </c>
      <c r="AP281">
        <v>1.91652671604205</v>
      </c>
      <c r="AQ281">
        <v>1.97324339671817</v>
      </c>
      <c r="AR281">
        <v>2.02321137923714</v>
      </c>
      <c r="AS281">
        <v>2.06725051823443</v>
      </c>
      <c r="AT281">
        <v>2.0990608780902</v>
      </c>
      <c r="AU281">
        <v>2.11677836826489</v>
      </c>
      <c r="AV281">
        <v>2.12369966739792</v>
      </c>
      <c r="AW281">
        <v>2.12703086623252</v>
      </c>
      <c r="AX281">
        <v>2.13331354175477</v>
      </c>
      <c r="AY281">
        <v>2.1447656165048</v>
      </c>
      <c r="AZ281">
        <v>2.15838383350219</v>
      </c>
      <c r="BA281">
        <v>0</v>
      </c>
      <c r="BB281">
        <v>0</v>
      </c>
      <c r="BC281">
        <v>0</v>
      </c>
      <c r="BD281">
        <v>0</v>
      </c>
      <c r="BE281">
        <v>0</v>
      </c>
      <c r="BF281">
        <v>0</v>
      </c>
      <c r="BG281">
        <v>0</v>
      </c>
      <c r="BH281">
        <v>0</v>
      </c>
      <c r="BJ281" t="s">
        <v>452</v>
      </c>
      <c r="BL281">
        <v>0.8</v>
      </c>
      <c r="BM281">
        <v>0.797560975609756</v>
      </c>
      <c r="BN281">
        <v>0.785365853658536</v>
      </c>
      <c r="BO281">
        <v>0.773170731707317</v>
      </c>
      <c r="BP281">
        <v>0.760975609756097</v>
      </c>
      <c r="BQ281">
        <v>0.748780487804878</v>
      </c>
      <c r="BR281">
        <v>0.736585365853658</v>
      </c>
      <c r="BS281">
        <v>0.724390243902439</v>
      </c>
      <c r="BT281">
        <v>0.71219512195122</v>
      </c>
      <c r="BU281">
        <v>0.699999999999999</v>
      </c>
      <c r="BV281">
        <v>0.687499999999999</v>
      </c>
      <c r="BW281">
        <v>0.675</v>
      </c>
      <c r="BX281">
        <v>0.6625</v>
      </c>
      <c r="BY281">
        <v>0.649999999999999</v>
      </c>
      <c r="BZ281">
        <v>0.637499999999999</v>
      </c>
      <c r="CA281">
        <v>0.625</v>
      </c>
      <c r="CB281">
        <v>0.6125</v>
      </c>
      <c r="CC281">
        <v>0.6</v>
      </c>
      <c r="CD281" t="e">
        <v>#VALUE!</v>
      </c>
      <c r="CE281" t="e">
        <v>#VALUE!</v>
      </c>
      <c r="CF281" t="e">
        <v>#VALUE!</v>
      </c>
      <c r="CG281" t="e">
        <v>#VALUE!</v>
      </c>
      <c r="CH281" t="e">
        <v>#VALUE!</v>
      </c>
      <c r="CI281" t="e">
        <v>#VALUE!</v>
      </c>
      <c r="CJ281" t="e">
        <v>#VALUE!</v>
      </c>
      <c r="CK281" t="e">
        <v>#VALUE!</v>
      </c>
    </row>
    <row r="282" spans="1:89">
      <c r="A282" s="34" t="s">
        <v>27</v>
      </c>
      <c r="B282" s="34" t="s">
        <v>441</v>
      </c>
      <c r="C282" s="34" t="s">
        <v>441</v>
      </c>
      <c r="D282" s="34"/>
      <c r="E282" s="34">
        <v>10.5765290940029</v>
      </c>
      <c r="F282" s="34"/>
      <c r="G282" s="34"/>
      <c r="H282" s="34"/>
      <c r="I282" s="34">
        <v>10.347440240102</v>
      </c>
      <c r="J282" s="34">
        <v>10.1800295633949</v>
      </c>
      <c r="K282" s="34"/>
      <c r="L282" s="34">
        <v>9.87991671494312</v>
      </c>
      <c r="M282" s="34"/>
      <c r="N282" s="34"/>
      <c r="O282" s="34"/>
      <c r="P282" s="34"/>
      <c r="Q282" s="34"/>
      <c r="R282" s="34"/>
      <c r="S282" s="34"/>
      <c r="T282" s="34"/>
      <c r="U282" s="34"/>
      <c r="V282" s="34">
        <v>8.4582264030971</v>
      </c>
      <c r="W282" s="34">
        <v>3</v>
      </c>
      <c r="AG282" s="232" t="s">
        <v>442</v>
      </c>
      <c r="AI282">
        <v>1</v>
      </c>
      <c r="AJ282">
        <v>1.0027699861502</v>
      </c>
      <c r="AK282">
        <v>1.0166199169012</v>
      </c>
      <c r="AL282">
        <v>0.995719654853716</v>
      </c>
      <c r="AM282">
        <v>0.974095890322423</v>
      </c>
      <c r="AN282">
        <v>0.953048540600472</v>
      </c>
      <c r="AO282">
        <v>0.932922104619262</v>
      </c>
      <c r="AP282">
        <v>0.914704628977335</v>
      </c>
      <c r="AQ282">
        <v>0.895973831945608</v>
      </c>
      <c r="AR282">
        <v>0.876447369820111</v>
      </c>
      <c r="AS282">
        <v>0.855690677226679</v>
      </c>
      <c r="AT282">
        <v>0.833400327199711</v>
      </c>
      <c r="AU282">
        <v>0.810280667467396</v>
      </c>
      <c r="AV282">
        <v>0.787788215222939</v>
      </c>
      <c r="AW282">
        <v>0.767252701419943</v>
      </c>
      <c r="AX282">
        <v>0.749525118425906</v>
      </c>
      <c r="AY282">
        <v>0.734541434629171</v>
      </c>
      <c r="AZ282">
        <v>0.721435438101316</v>
      </c>
      <c r="BA282">
        <v>0</v>
      </c>
      <c r="BB282">
        <v>0</v>
      </c>
      <c r="BC282">
        <v>0</v>
      </c>
      <c r="BD282">
        <v>0</v>
      </c>
      <c r="BE282">
        <v>0</v>
      </c>
      <c r="BF282">
        <v>0</v>
      </c>
      <c r="BG282">
        <v>0</v>
      </c>
      <c r="BH282">
        <v>0</v>
      </c>
      <c r="BJ282" t="s">
        <v>452</v>
      </c>
      <c r="BL282">
        <v>0.8</v>
      </c>
      <c r="BM282">
        <v>0.797560975609756</v>
      </c>
      <c r="BN282">
        <v>0.785365853658536</v>
      </c>
      <c r="BO282">
        <v>0.773170731707317</v>
      </c>
      <c r="BP282">
        <v>0.760975609756097</v>
      </c>
      <c r="BQ282">
        <v>0.748780487804878</v>
      </c>
      <c r="BR282">
        <v>0.736585365853658</v>
      </c>
      <c r="BS282">
        <v>0.724390243902439</v>
      </c>
      <c r="BT282">
        <v>0.71219512195122</v>
      </c>
      <c r="BU282">
        <v>0.699999999999999</v>
      </c>
      <c r="BV282">
        <v>0.687499999999999</v>
      </c>
      <c r="BW282">
        <v>0.675</v>
      </c>
      <c r="BX282">
        <v>0.6625</v>
      </c>
      <c r="BY282">
        <v>0.649999999999999</v>
      </c>
      <c r="BZ282">
        <v>0.637499999999999</v>
      </c>
      <c r="CA282">
        <v>0.625</v>
      </c>
      <c r="CB282">
        <v>0.6125</v>
      </c>
      <c r="CC282">
        <v>0.6</v>
      </c>
      <c r="CD282" t="e">
        <v>#VALUE!</v>
      </c>
      <c r="CE282" t="e">
        <v>#VALUE!</v>
      </c>
      <c r="CF282" t="e">
        <v>#VALUE!</v>
      </c>
      <c r="CG282" t="e">
        <v>#VALUE!</v>
      </c>
      <c r="CH282" t="e">
        <v>#VALUE!</v>
      </c>
      <c r="CI282" t="e">
        <v>#VALUE!</v>
      </c>
      <c r="CJ282" t="e">
        <v>#VALUE!</v>
      </c>
      <c r="CK282" t="e">
        <v>#VALUE!</v>
      </c>
    </row>
    <row r="283" spans="1:89">
      <c r="A283" s="34" t="s">
        <v>27</v>
      </c>
      <c r="B283" s="34" t="s">
        <v>443</v>
      </c>
      <c r="C283" s="34" t="s">
        <v>443</v>
      </c>
      <c r="D283" s="34"/>
      <c r="E283" s="34">
        <v>0.0798619145042989</v>
      </c>
      <c r="F283" s="34">
        <f xml:space="preserve">E283</f>
        <v>0.0798619145042989</v>
      </c>
      <c r="G283" s="34"/>
      <c r="H283" s="34"/>
      <c r="I283" s="34">
        <f xml:space="preserve">F283</f>
        <v>0.0798619145042989</v>
      </c>
      <c r="J283" s="34">
        <f xml:space="preserve">I283</f>
        <v>0.0798619145042989</v>
      </c>
      <c r="K283" s="34"/>
      <c r="L283" s="34">
        <f xml:space="preserve">J283</f>
        <v>0.0798619145042989</v>
      </c>
      <c r="M283" s="34"/>
      <c r="N283" s="34"/>
      <c r="O283" s="34"/>
      <c r="P283" s="34"/>
      <c r="Q283" s="34"/>
      <c r="R283" s="34"/>
      <c r="S283" s="34"/>
      <c r="T283" s="34"/>
      <c r="U283" s="34"/>
      <c r="V283" s="34">
        <f xml:space="preserve">L283</f>
        <v>0.0798619145042989</v>
      </c>
      <c r="W283" s="34">
        <v>3</v>
      </c>
      <c r="AG283" s="232" t="s">
        <v>437</v>
      </c>
      <c r="AI283">
        <v>1</v>
      </c>
      <c r="AJ283">
        <v>1.0306176871124</v>
      </c>
      <c r="AK283">
        <v>1.2321465865568</v>
      </c>
      <c r="AL283">
        <v>1.44752671431604</v>
      </c>
      <c r="AM283">
        <v>1.61456130872964</v>
      </c>
      <c r="AN283">
        <v>1.75255578895043</v>
      </c>
      <c r="AO283">
        <v>1.84476786031748</v>
      </c>
      <c r="AP283">
        <v>1.91652671604205</v>
      </c>
      <c r="AQ283">
        <v>1.97324339671817</v>
      </c>
      <c r="AR283">
        <v>2.02321137923714</v>
      </c>
      <c r="AS283">
        <v>2.06725051823443</v>
      </c>
      <c r="AT283">
        <v>2.0990608780902</v>
      </c>
      <c r="AU283">
        <v>2.11677836826489</v>
      </c>
      <c r="AV283">
        <v>2.12369966739792</v>
      </c>
      <c r="AW283">
        <v>2.12703086623252</v>
      </c>
      <c r="AX283">
        <v>2.13331354175477</v>
      </c>
      <c r="AY283">
        <v>2.1447656165048</v>
      </c>
      <c r="AZ283">
        <v>2.15838383350219</v>
      </c>
      <c r="BA283">
        <v>0</v>
      </c>
      <c r="BB283">
        <v>0</v>
      </c>
      <c r="BC283">
        <v>0</v>
      </c>
      <c r="BD283">
        <v>0</v>
      </c>
      <c r="BE283">
        <v>0</v>
      </c>
      <c r="BF283">
        <v>0</v>
      </c>
      <c r="BG283">
        <v>0</v>
      </c>
      <c r="BH283">
        <v>0</v>
      </c>
      <c r="BJ283" t="s">
        <v>452</v>
      </c>
      <c r="BL283">
        <v>0.8</v>
      </c>
      <c r="BM283">
        <v>0.797560975609756</v>
      </c>
      <c r="BN283">
        <v>0.785365853658536</v>
      </c>
      <c r="BO283">
        <v>0.773170731707317</v>
      </c>
      <c r="BP283">
        <v>0.760975609756097</v>
      </c>
      <c r="BQ283">
        <v>0.748780487804878</v>
      </c>
      <c r="BR283">
        <v>0.736585365853658</v>
      </c>
      <c r="BS283">
        <v>0.724390243902439</v>
      </c>
      <c r="BT283">
        <v>0.71219512195122</v>
      </c>
      <c r="BU283">
        <v>0.699999999999999</v>
      </c>
      <c r="BV283">
        <v>0.687499999999999</v>
      </c>
      <c r="BW283">
        <v>0.675</v>
      </c>
      <c r="BX283">
        <v>0.6625</v>
      </c>
      <c r="BY283">
        <v>0.649999999999999</v>
      </c>
      <c r="BZ283">
        <v>0.637499999999999</v>
      </c>
      <c r="CA283">
        <v>0.625</v>
      </c>
      <c r="CB283">
        <v>0.6125</v>
      </c>
      <c r="CC283">
        <v>0.6</v>
      </c>
      <c r="CD283" t="e">
        <v>#VALUE!</v>
      </c>
      <c r="CE283" t="e">
        <v>#VALUE!</v>
      </c>
      <c r="CF283" t="e">
        <v>#VALUE!</v>
      </c>
      <c r="CG283" t="e">
        <v>#VALUE!</v>
      </c>
      <c r="CH283" t="e">
        <v>#VALUE!</v>
      </c>
      <c r="CI283" t="e">
        <v>#VALUE!</v>
      </c>
      <c r="CJ283" t="e">
        <v>#VALUE!</v>
      </c>
      <c r="CK283" t="e">
        <v>#VALUE!</v>
      </c>
    </row>
    <row r="284" spans="1:89">
      <c r="A284" s="34" t="s">
        <v>27</v>
      </c>
      <c r="B284" s="34" t="s">
        <v>444</v>
      </c>
      <c r="C284" s="34" t="s">
        <v>444</v>
      </c>
      <c r="D284" s="34"/>
      <c r="E284" s="34">
        <v>11.6805555781569</v>
      </c>
      <c r="F284" s="34">
        <f xml:space="preserve">E284</f>
        <v>11.6805555781569</v>
      </c>
      <c r="G284" s="34"/>
      <c r="H284" s="34"/>
      <c r="I284" s="34">
        <f xml:space="preserve">F284</f>
        <v>11.6805555781569</v>
      </c>
      <c r="J284" s="34">
        <f xml:space="preserve">I284</f>
        <v>11.6805555781569</v>
      </c>
      <c r="K284" s="34"/>
      <c r="L284" s="34">
        <f xml:space="preserve">J284</f>
        <v>11.6805555781569</v>
      </c>
      <c r="M284" s="34"/>
      <c r="N284" s="34"/>
      <c r="O284" s="34"/>
      <c r="P284" s="34"/>
      <c r="Q284" s="34"/>
      <c r="R284" s="34"/>
      <c r="S284" s="34"/>
      <c r="T284" s="34"/>
      <c r="U284" s="34"/>
      <c r="V284" s="34">
        <f xml:space="preserve">L284</f>
        <v>11.6805555781569</v>
      </c>
      <c r="W284" s="34">
        <v>3</v>
      </c>
      <c r="AG284" s="232" t="s">
        <v>437</v>
      </c>
      <c r="AI284">
        <v>1</v>
      </c>
      <c r="AJ284">
        <v>1.0306176871124</v>
      </c>
      <c r="AK284">
        <v>1.2321465865568</v>
      </c>
      <c r="AL284">
        <v>1.44752671431604</v>
      </c>
      <c r="AM284">
        <v>1.61456130872964</v>
      </c>
      <c r="AN284">
        <v>1.75255578895043</v>
      </c>
      <c r="AO284">
        <v>1.84476786031748</v>
      </c>
      <c r="AP284">
        <v>1.91652671604205</v>
      </c>
      <c r="AQ284">
        <v>1.97324339671817</v>
      </c>
      <c r="AR284">
        <v>2.02321137923714</v>
      </c>
      <c r="AS284">
        <v>2.06725051823443</v>
      </c>
      <c r="AT284">
        <v>2.0990608780902</v>
      </c>
      <c r="AU284">
        <v>2.11677836826489</v>
      </c>
      <c r="AV284">
        <v>2.12369966739792</v>
      </c>
      <c r="AW284">
        <v>2.12703086623252</v>
      </c>
      <c r="AX284">
        <v>2.13331354175477</v>
      </c>
      <c r="AY284">
        <v>2.1447656165048</v>
      </c>
      <c r="AZ284">
        <v>2.15838383350219</v>
      </c>
      <c r="BA284">
        <v>0</v>
      </c>
      <c r="BB284">
        <v>0</v>
      </c>
      <c r="BC284">
        <v>0</v>
      </c>
      <c r="BD284">
        <v>0</v>
      </c>
      <c r="BE284">
        <v>0</v>
      </c>
      <c r="BF284">
        <v>0</v>
      </c>
      <c r="BG284">
        <v>0</v>
      </c>
      <c r="BH284">
        <v>0</v>
      </c>
      <c r="BJ284" t="s">
        <v>452</v>
      </c>
      <c r="BL284">
        <v>0.8</v>
      </c>
      <c r="BM284">
        <v>0.797560975609756</v>
      </c>
      <c r="BN284">
        <v>0.785365853658536</v>
      </c>
      <c r="BO284">
        <v>0.773170731707317</v>
      </c>
      <c r="BP284">
        <v>0.760975609756097</v>
      </c>
      <c r="BQ284">
        <v>0.748780487804878</v>
      </c>
      <c r="BR284">
        <v>0.736585365853658</v>
      </c>
      <c r="BS284">
        <v>0.724390243902439</v>
      </c>
      <c r="BT284">
        <v>0.71219512195122</v>
      </c>
      <c r="BU284">
        <v>0.699999999999999</v>
      </c>
      <c r="BV284">
        <v>0.687499999999999</v>
      </c>
      <c r="BW284">
        <v>0.675</v>
      </c>
      <c r="BX284">
        <v>0.6625</v>
      </c>
      <c r="BY284">
        <v>0.649999999999999</v>
      </c>
      <c r="BZ284">
        <v>0.637499999999999</v>
      </c>
      <c r="CA284">
        <v>0.625</v>
      </c>
      <c r="CB284">
        <v>0.6125</v>
      </c>
      <c r="CC284">
        <v>0.6</v>
      </c>
      <c r="CD284" t="e">
        <v>#VALUE!</v>
      </c>
      <c r="CE284" t="e">
        <v>#VALUE!</v>
      </c>
      <c r="CF284" t="e">
        <v>#VALUE!</v>
      </c>
      <c r="CG284" t="e">
        <v>#VALUE!</v>
      </c>
      <c r="CH284" t="e">
        <v>#VALUE!</v>
      </c>
      <c r="CI284" t="e">
        <v>#VALUE!</v>
      </c>
      <c r="CJ284" t="e">
        <v>#VALUE!</v>
      </c>
      <c r="CK284" t="e">
        <v>#VALUE!</v>
      </c>
    </row>
    <row r="285" spans="1:89">
      <c r="A285" s="34" t="s">
        <v>27</v>
      </c>
      <c r="B285" s="34" t="s">
        <v>445</v>
      </c>
      <c r="C285" s="34" t="s">
        <v>445</v>
      </c>
      <c r="D285" s="34">
        <v>2.597</v>
      </c>
      <c r="E285" s="34">
        <v>2.60273737772802</v>
      </c>
      <c r="F285" s="34"/>
      <c r="G285" s="34">
        <v>2.63096983238342</v>
      </c>
      <c r="H285" s="34">
        <v>2.58914979744341</v>
      </c>
      <c r="I285" s="34">
        <v>2.54636178252382</v>
      </c>
      <c r="J285" s="34">
        <v>2.50516433279116</v>
      </c>
      <c r="K285" s="34">
        <v>2.46619605956861</v>
      </c>
      <c r="L285" s="34">
        <v>2.43131071585696</v>
      </c>
      <c r="M285" s="34">
        <v>2.39585266652593</v>
      </c>
      <c r="N285" s="34">
        <v>2.35930275035849</v>
      </c>
      <c r="O285" s="34">
        <v>2.32088882502527</v>
      </c>
      <c r="P285" s="34">
        <v>2.28007961403265</v>
      </c>
      <c r="Q285" s="34">
        <v>2.23817482432229</v>
      </c>
      <c r="R285" s="34">
        <v>2.19779088386582</v>
      </c>
      <c r="S285" s="34">
        <v>2.16126820283082</v>
      </c>
      <c r="T285" s="34">
        <v>2.13005777065577</v>
      </c>
      <c r="U285" s="34">
        <v>2.10397643170755</v>
      </c>
      <c r="V285" s="34">
        <v>2.08145241344908</v>
      </c>
      <c r="W285" s="34">
        <v>3</v>
      </c>
      <c r="AG285" s="232" t="s">
        <v>442</v>
      </c>
      <c r="AI285">
        <v>1</v>
      </c>
      <c r="AJ285">
        <v>1.0027699861502</v>
      </c>
      <c r="AK285">
        <v>1.0166199169012</v>
      </c>
      <c r="AL285">
        <v>0.995719654853716</v>
      </c>
      <c r="AM285">
        <v>0.974095890322423</v>
      </c>
      <c r="AN285">
        <v>0.953048540600472</v>
      </c>
      <c r="AO285">
        <v>0.932922104619262</v>
      </c>
      <c r="AP285">
        <v>0.914704628977335</v>
      </c>
      <c r="AQ285">
        <v>0.895973831945608</v>
      </c>
      <c r="AR285">
        <v>0.876447369820111</v>
      </c>
      <c r="AS285">
        <v>0.855690677226679</v>
      </c>
      <c r="AT285">
        <v>0.833400327199711</v>
      </c>
      <c r="AU285">
        <v>0.810280667467396</v>
      </c>
      <c r="AV285">
        <v>0.787788215222939</v>
      </c>
      <c r="AW285">
        <v>0.767252701419943</v>
      </c>
      <c r="AX285">
        <v>0.749525118425906</v>
      </c>
      <c r="AY285">
        <v>0.734541434629171</v>
      </c>
      <c r="AZ285">
        <v>0.721435438101316</v>
      </c>
      <c r="BA285">
        <v>0</v>
      </c>
      <c r="BB285">
        <v>0</v>
      </c>
      <c r="BC285">
        <v>0</v>
      </c>
      <c r="BD285">
        <v>0</v>
      </c>
      <c r="BE285">
        <v>0</v>
      </c>
      <c r="BF285">
        <v>0</v>
      </c>
      <c r="BG285">
        <v>0</v>
      </c>
      <c r="BH285">
        <v>0</v>
      </c>
      <c r="BJ285" t="s">
        <v>452</v>
      </c>
      <c r="BL285">
        <v>0.8</v>
      </c>
      <c r="BM285">
        <v>0.797560975609756</v>
      </c>
      <c r="BN285">
        <v>0.785365853658536</v>
      </c>
      <c r="BO285">
        <v>0.773170731707317</v>
      </c>
      <c r="BP285">
        <v>0.760975609756097</v>
      </c>
      <c r="BQ285">
        <v>0.748780487804878</v>
      </c>
      <c r="BR285">
        <v>0.736585365853658</v>
      </c>
      <c r="BS285">
        <v>0.724390243902439</v>
      </c>
      <c r="BT285">
        <v>0.71219512195122</v>
      </c>
      <c r="BU285">
        <v>0.699999999999999</v>
      </c>
      <c r="BV285">
        <v>0.687499999999999</v>
      </c>
      <c r="BW285">
        <v>0.675</v>
      </c>
      <c r="BX285">
        <v>0.6625</v>
      </c>
      <c r="BY285">
        <v>0.649999999999999</v>
      </c>
      <c r="BZ285">
        <v>0.637499999999999</v>
      </c>
      <c r="CA285">
        <v>0.625</v>
      </c>
      <c r="CB285">
        <v>0.6125</v>
      </c>
      <c r="CC285">
        <v>0.6</v>
      </c>
      <c r="CD285" t="e">
        <v>#VALUE!</v>
      </c>
      <c r="CE285" t="e">
        <v>#VALUE!</v>
      </c>
      <c r="CF285" t="e">
        <v>#VALUE!</v>
      </c>
      <c r="CG285" t="e">
        <v>#VALUE!</v>
      </c>
      <c r="CH285" t="e">
        <v>#VALUE!</v>
      </c>
      <c r="CI285" t="e">
        <v>#VALUE!</v>
      </c>
      <c r="CJ285" t="e">
        <v>#VALUE!</v>
      </c>
      <c r="CK285" t="e">
        <v>#VALUE!</v>
      </c>
    </row>
    <row r="286" spans="1:89">
      <c r="A286" s="34" t="s">
        <v>27</v>
      </c>
      <c r="B286" s="34" t="s">
        <v>446</v>
      </c>
      <c r="C286" s="34" t="s">
        <v>446</v>
      </c>
      <c r="D286" s="34">
        <v>0.51</v>
      </c>
      <c r="E286" s="34">
        <v>0.511126708756753</v>
      </c>
      <c r="F286" s="34"/>
      <c r="G286" s="34">
        <v>0.516671010595127</v>
      </c>
      <c r="H286" s="34">
        <v>0.50845837377595</v>
      </c>
      <c r="I286" s="34">
        <v>0.500055644623469</v>
      </c>
      <c r="J286" s="34">
        <v>0.491965271360604</v>
      </c>
      <c r="K286" s="34">
        <v>0.484312664759334</v>
      </c>
      <c r="L286" s="34">
        <v>0.47746186564769</v>
      </c>
      <c r="M286" s="34">
        <v>0.470498598355112</v>
      </c>
      <c r="N286" s="34">
        <v>0.463320909773905</v>
      </c>
      <c r="O286" s="34">
        <v>0.455777166254481</v>
      </c>
      <c r="P286" s="34">
        <v>0.447763035485812</v>
      </c>
      <c r="Q286" s="34">
        <v>0.439533754487627</v>
      </c>
      <c r="R286" s="34">
        <v>0.431603138533527</v>
      </c>
      <c r="S286" s="34">
        <v>0.424430798399583</v>
      </c>
      <c r="T286" s="34">
        <v>0.418301680028665</v>
      </c>
      <c r="U286" s="34">
        <v>0.413179815237139</v>
      </c>
      <c r="V286" s="34">
        <v>0.408756538644217</v>
      </c>
      <c r="W286" s="34">
        <v>3</v>
      </c>
      <c r="AG286" s="232" t="s">
        <v>442</v>
      </c>
      <c r="AI286">
        <v>1</v>
      </c>
      <c r="AJ286">
        <v>1.0027699861502</v>
      </c>
      <c r="AK286">
        <v>1.0166199169012</v>
      </c>
      <c r="AL286">
        <v>0.995719654853716</v>
      </c>
      <c r="AM286">
        <v>0.974095890322423</v>
      </c>
      <c r="AN286">
        <v>0.953048540600472</v>
      </c>
      <c r="AO286">
        <v>0.932922104619262</v>
      </c>
      <c r="AP286">
        <v>0.914704628977335</v>
      </c>
      <c r="AQ286">
        <v>0.895973831945608</v>
      </c>
      <c r="AR286">
        <v>0.876447369820111</v>
      </c>
      <c r="AS286">
        <v>0.855690677226679</v>
      </c>
      <c r="AT286">
        <v>0.833400327199711</v>
      </c>
      <c r="AU286">
        <v>0.810280667467396</v>
      </c>
      <c r="AV286">
        <v>0.787788215222939</v>
      </c>
      <c r="AW286">
        <v>0.767252701419943</v>
      </c>
      <c r="AX286">
        <v>0.749525118425906</v>
      </c>
      <c r="AY286">
        <v>0.734541434629171</v>
      </c>
      <c r="AZ286">
        <v>0.721435438101316</v>
      </c>
      <c r="BA286">
        <v>0</v>
      </c>
      <c r="BB286">
        <v>0</v>
      </c>
      <c r="BC286">
        <v>0</v>
      </c>
      <c r="BD286">
        <v>0</v>
      </c>
      <c r="BE286">
        <v>0</v>
      </c>
      <c r="BF286">
        <v>0</v>
      </c>
      <c r="BG286">
        <v>0</v>
      </c>
      <c r="BH286">
        <v>0</v>
      </c>
      <c r="BJ286" t="s">
        <v>452</v>
      </c>
      <c r="BL286">
        <v>0.8</v>
      </c>
      <c r="BM286">
        <v>0.797560975609756</v>
      </c>
      <c r="BN286">
        <v>0.785365853658536</v>
      </c>
      <c r="BO286">
        <v>0.773170731707317</v>
      </c>
      <c r="BP286">
        <v>0.760975609756097</v>
      </c>
      <c r="BQ286">
        <v>0.748780487804878</v>
      </c>
      <c r="BR286">
        <v>0.736585365853658</v>
      </c>
      <c r="BS286">
        <v>0.724390243902439</v>
      </c>
      <c r="BT286">
        <v>0.71219512195122</v>
      </c>
      <c r="BU286">
        <v>0.699999999999999</v>
      </c>
      <c r="BV286">
        <v>0.687499999999999</v>
      </c>
      <c r="BW286">
        <v>0.675</v>
      </c>
      <c r="BX286">
        <v>0.6625</v>
      </c>
      <c r="BY286">
        <v>0.649999999999999</v>
      </c>
      <c r="BZ286">
        <v>0.637499999999999</v>
      </c>
      <c r="CA286">
        <v>0.625</v>
      </c>
      <c r="CB286">
        <v>0.6125</v>
      </c>
      <c r="CC286">
        <v>0.6</v>
      </c>
      <c r="CD286" t="e">
        <v>#VALUE!</v>
      </c>
      <c r="CE286" t="e">
        <v>#VALUE!</v>
      </c>
      <c r="CF286" t="e">
        <v>#VALUE!</v>
      </c>
      <c r="CG286" t="e">
        <v>#VALUE!</v>
      </c>
      <c r="CH286" t="e">
        <v>#VALUE!</v>
      </c>
      <c r="CI286" t="e">
        <v>#VALUE!</v>
      </c>
      <c r="CJ286" t="e">
        <v>#VALUE!</v>
      </c>
      <c r="CK286" t="e">
        <v>#VALUE!</v>
      </c>
    </row>
    <row r="287" spans="1:89">
      <c r="A287" s="34" t="s">
        <v>27</v>
      </c>
      <c r="B287" s="34" t="s">
        <v>447</v>
      </c>
      <c r="C287" s="34" t="s">
        <v>447</v>
      </c>
      <c r="D287" s="34">
        <v>3.85</v>
      </c>
      <c r="E287" s="34">
        <v>3.85850554649706</v>
      </c>
      <c r="F287" s="34"/>
      <c r="G287" s="34">
        <v>3.90035958978674</v>
      </c>
      <c r="H287" s="34">
        <v>3.83836223340668</v>
      </c>
      <c r="I287" s="34">
        <v>3.7749298662752</v>
      </c>
      <c r="J287" s="34">
        <v>3.71385547987907</v>
      </c>
      <c r="K287" s="34">
        <v>3.65608580259497</v>
      </c>
      <c r="L287" s="34">
        <v>3.60436898577178</v>
      </c>
      <c r="M287" s="34">
        <v>3.55180314444545</v>
      </c>
      <c r="N287" s="34">
        <v>3.49761863260693</v>
      </c>
      <c r="O287" s="34">
        <v>3.44067076486226</v>
      </c>
      <c r="P287" s="34">
        <v>3.38017193454976</v>
      </c>
      <c r="Q287" s="34">
        <v>3.31804893093601</v>
      </c>
      <c r="R287" s="34">
        <v>3.25818055559623</v>
      </c>
      <c r="S287" s="34">
        <v>3.20403641929097</v>
      </c>
      <c r="T287" s="34">
        <v>3.15776758453012</v>
      </c>
      <c r="U287" s="34">
        <v>3.11910252679017</v>
      </c>
      <c r="V287" s="34">
        <v>3.08571112505928</v>
      </c>
      <c r="W287" s="34">
        <v>3</v>
      </c>
      <c r="AG287" s="232" t="s">
        <v>442</v>
      </c>
      <c r="AI287">
        <v>1</v>
      </c>
      <c r="AJ287">
        <v>1.0027699861502</v>
      </c>
      <c r="AK287">
        <v>1.0166199169012</v>
      </c>
      <c r="AL287">
        <v>0.995719654853716</v>
      </c>
      <c r="AM287">
        <v>0.974095890322423</v>
      </c>
      <c r="AN287">
        <v>0.953048540600472</v>
      </c>
      <c r="AO287">
        <v>0.932922104619262</v>
      </c>
      <c r="AP287">
        <v>0.914704628977335</v>
      </c>
      <c r="AQ287">
        <v>0.895973831945608</v>
      </c>
      <c r="AR287">
        <v>0.876447369820111</v>
      </c>
      <c r="AS287">
        <v>0.855690677226679</v>
      </c>
      <c r="AT287">
        <v>0.833400327199711</v>
      </c>
      <c r="AU287">
        <v>0.810280667467396</v>
      </c>
      <c r="AV287">
        <v>0.787788215222939</v>
      </c>
      <c r="AW287">
        <v>0.767252701419943</v>
      </c>
      <c r="AX287">
        <v>0.749525118425906</v>
      </c>
      <c r="AY287">
        <v>0.734541434629171</v>
      </c>
      <c r="AZ287">
        <v>0.721435438101316</v>
      </c>
      <c r="BA287">
        <v>0</v>
      </c>
      <c r="BB287">
        <v>0</v>
      </c>
      <c r="BC287">
        <v>0</v>
      </c>
      <c r="BD287">
        <v>0</v>
      </c>
      <c r="BE287">
        <v>0</v>
      </c>
      <c r="BF287">
        <v>0</v>
      </c>
      <c r="BG287">
        <v>0</v>
      </c>
      <c r="BH287">
        <v>0</v>
      </c>
      <c r="BJ287" t="s">
        <v>452</v>
      </c>
      <c r="BL287">
        <v>0.8</v>
      </c>
      <c r="BM287">
        <v>0.797560975609756</v>
      </c>
      <c r="BN287">
        <v>0.785365853658536</v>
      </c>
      <c r="BO287">
        <v>0.773170731707317</v>
      </c>
      <c r="BP287">
        <v>0.760975609756097</v>
      </c>
      <c r="BQ287">
        <v>0.748780487804878</v>
      </c>
      <c r="BR287">
        <v>0.736585365853658</v>
      </c>
      <c r="BS287">
        <v>0.724390243902439</v>
      </c>
      <c r="BT287">
        <v>0.71219512195122</v>
      </c>
      <c r="BU287">
        <v>0.699999999999999</v>
      </c>
      <c r="BV287">
        <v>0.687499999999999</v>
      </c>
      <c r="BW287">
        <v>0.675</v>
      </c>
      <c r="BX287">
        <v>0.6625</v>
      </c>
      <c r="BY287">
        <v>0.649999999999999</v>
      </c>
      <c r="BZ287">
        <v>0.637499999999999</v>
      </c>
      <c r="CA287">
        <v>0.625</v>
      </c>
      <c r="CB287">
        <v>0.6125</v>
      </c>
      <c r="CC287">
        <v>0.6</v>
      </c>
      <c r="CD287" t="e">
        <v>#VALUE!</v>
      </c>
      <c r="CE287" t="e">
        <v>#VALUE!</v>
      </c>
      <c r="CF287" t="e">
        <v>#VALUE!</v>
      </c>
      <c r="CG287" t="e">
        <v>#VALUE!</v>
      </c>
      <c r="CH287" t="e">
        <v>#VALUE!</v>
      </c>
      <c r="CI287" t="e">
        <v>#VALUE!</v>
      </c>
      <c r="CJ287" t="e">
        <v>#VALUE!</v>
      </c>
      <c r="CK287" t="e">
        <v>#VALUE!</v>
      </c>
    </row>
    <row r="288" spans="1:89">
      <c r="A288" s="34" t="s">
        <v>27</v>
      </c>
      <c r="B288" s="34" t="s">
        <v>448</v>
      </c>
      <c r="C288" s="34" t="s">
        <v>448</v>
      </c>
      <c r="D288" s="34">
        <v>170.28</v>
      </c>
      <c r="E288" s="34">
        <v>174.051512552681</v>
      </c>
      <c r="F288" s="34"/>
      <c r="G288" s="34">
        <v>198.554531951465</v>
      </c>
      <c r="H288" s="34">
        <v>229.174932368978</v>
      </c>
      <c r="I288" s="34">
        <v>253.617215826135</v>
      </c>
      <c r="J288" s="34">
        <v>274.400356233659</v>
      </c>
      <c r="K288" s="34">
        <v>289.62487468192</v>
      </c>
      <c r="L288" s="34">
        <v>302.126844565749</v>
      </c>
      <c r="M288" s="34">
        <v>313.125997788353</v>
      </c>
      <c r="N288" s="34">
        <v>323.683425203372</v>
      </c>
      <c r="O288" s="34">
        <v>334.042794406226</v>
      </c>
      <c r="P288" s="34">
        <v>343.635928345194</v>
      </c>
      <c r="Q288" s="34">
        <v>352.108117448637</v>
      </c>
      <c r="R288" s="34">
        <v>359.412393909531</v>
      </c>
      <c r="S288" s="34">
        <v>365.913955418781</v>
      </c>
      <c r="T288" s="34">
        <v>372.014505869673</v>
      </c>
      <c r="U288" s="34">
        <v>377.910674738123</v>
      </c>
      <c r="V288" s="34">
        <v>383.49575990878</v>
      </c>
      <c r="W288" s="34">
        <v>3</v>
      </c>
      <c r="AG288" s="232" t="s">
        <v>449</v>
      </c>
      <c r="AI288">
        <v>1</v>
      </c>
      <c r="AJ288">
        <v>1.02777077629648</v>
      </c>
      <c r="AK288">
        <v>1.21200319418545</v>
      </c>
      <c r="AL288">
        <v>1.45374926291748</v>
      </c>
      <c r="AM288">
        <v>1.65749730059452</v>
      </c>
      <c r="AN288">
        <v>1.8388945728265</v>
      </c>
      <c r="AO288">
        <v>1.97740824360717</v>
      </c>
      <c r="AP288">
        <v>2.09524108146777</v>
      </c>
      <c r="AQ288">
        <v>2.20234489709734</v>
      </c>
      <c r="AR288">
        <v>2.30842312830763</v>
      </c>
      <c r="AS288">
        <v>2.41588528805111</v>
      </c>
      <c r="AT288">
        <v>2.51867057113261</v>
      </c>
      <c r="AU288">
        <v>2.61240142243683</v>
      </c>
      <c r="AV288">
        <v>2.69577486227936</v>
      </c>
      <c r="AW288">
        <v>2.77226898295184</v>
      </c>
      <c r="AX288">
        <v>2.84622021238592</v>
      </c>
      <c r="AY288">
        <v>2.91987016033693</v>
      </c>
      <c r="AZ288">
        <v>2.99179069880828</v>
      </c>
      <c r="BA288">
        <v>0</v>
      </c>
      <c r="BB288">
        <v>0</v>
      </c>
      <c r="BC288">
        <v>0</v>
      </c>
      <c r="BD288">
        <v>0</v>
      </c>
      <c r="BE288">
        <v>0</v>
      </c>
      <c r="BF288">
        <v>0</v>
      </c>
      <c r="BG288">
        <v>0</v>
      </c>
      <c r="BH288">
        <v>0</v>
      </c>
      <c r="BJ288" t="s">
        <v>452</v>
      </c>
      <c r="BL288">
        <v>0.8</v>
      </c>
      <c r="BM288">
        <v>0.797560975609756</v>
      </c>
      <c r="BN288">
        <v>0.785365853658536</v>
      </c>
      <c r="BO288">
        <v>0.773170731707317</v>
      </c>
      <c r="BP288">
        <v>0.760975609756097</v>
      </c>
      <c r="BQ288">
        <v>0.748780487804878</v>
      </c>
      <c r="BR288">
        <v>0.736585365853658</v>
      </c>
      <c r="BS288">
        <v>0.724390243902439</v>
      </c>
      <c r="BT288">
        <v>0.71219512195122</v>
      </c>
      <c r="BU288">
        <v>0.699999999999999</v>
      </c>
      <c r="BV288">
        <v>0.687499999999999</v>
      </c>
      <c r="BW288">
        <v>0.675</v>
      </c>
      <c r="BX288">
        <v>0.6625</v>
      </c>
      <c r="BY288">
        <v>0.649999999999999</v>
      </c>
      <c r="BZ288">
        <v>0.637499999999999</v>
      </c>
      <c r="CA288">
        <v>0.625</v>
      </c>
      <c r="CB288">
        <v>0.6125</v>
      </c>
      <c r="CC288">
        <v>0.6</v>
      </c>
      <c r="CD288" t="e">
        <v>#VALUE!</v>
      </c>
      <c r="CE288" t="e">
        <v>#VALUE!</v>
      </c>
      <c r="CF288" t="e">
        <v>#VALUE!</v>
      </c>
      <c r="CG288" t="e">
        <v>#VALUE!</v>
      </c>
      <c r="CH288" t="e">
        <v>#VALUE!</v>
      </c>
      <c r="CI288" t="e">
        <v>#VALUE!</v>
      </c>
      <c r="CJ288" t="e">
        <v>#VALUE!</v>
      </c>
      <c r="CK288" t="e">
        <v>#VALUE!</v>
      </c>
    </row>
    <row r="289" spans="1:89">
      <c r="A289" s="34" t="s">
        <v>27</v>
      </c>
      <c r="B289" s="34" t="s">
        <v>450</v>
      </c>
      <c r="C289" s="34" t="s">
        <v>450</v>
      </c>
      <c r="D289" s="34">
        <v>53.6</v>
      </c>
      <c r="E289" s="34">
        <v>54.9088837208694</v>
      </c>
      <c r="F289" s="34"/>
      <c r="G289" s="34">
        <v>63.341345308272</v>
      </c>
      <c r="H289" s="34">
        <v>71.9019795238026</v>
      </c>
      <c r="I289" s="34">
        <v>78.2157882903245</v>
      </c>
      <c r="J289" s="34">
        <v>83.2213880316202</v>
      </c>
      <c r="K289" s="34">
        <v>86.4467166289829</v>
      </c>
      <c r="L289" s="34">
        <v>88.8825909463872</v>
      </c>
      <c r="M289" s="34">
        <v>90.7559094764127</v>
      </c>
      <c r="N289" s="34">
        <v>92.3646429930316</v>
      </c>
      <c r="O289" s="34">
        <v>93.7468593213166</v>
      </c>
      <c r="P289" s="34">
        <v>94.7205835411135</v>
      </c>
      <c r="Q289" s="34">
        <v>95.2502560268226</v>
      </c>
      <c r="R289" s="34">
        <v>95.4526938874995</v>
      </c>
      <c r="S289" s="34">
        <v>95.5481438661585</v>
      </c>
      <c r="T289" s="34">
        <v>95.7245335210392</v>
      </c>
      <c r="U289" s="34">
        <v>96.0392785180829</v>
      </c>
      <c r="V289" s="34">
        <v>96.4051601020847</v>
      </c>
      <c r="W289" s="34">
        <v>3</v>
      </c>
      <c r="AG289" s="232" t="s">
        <v>437</v>
      </c>
      <c r="AI289">
        <v>1</v>
      </c>
      <c r="AJ289">
        <v>1.0306176871124</v>
      </c>
      <c r="AK289">
        <v>1.2321465865568</v>
      </c>
      <c r="AL289">
        <v>1.44752671431604</v>
      </c>
      <c r="AM289">
        <v>1.61456130872964</v>
      </c>
      <c r="AN289">
        <v>1.75255578895043</v>
      </c>
      <c r="AO289">
        <v>1.84476786031748</v>
      </c>
      <c r="AP289">
        <v>1.91652671604205</v>
      </c>
      <c r="AQ289">
        <v>1.97324339671817</v>
      </c>
      <c r="AR289">
        <v>2.02321137923714</v>
      </c>
      <c r="AS289">
        <v>2.06725051823443</v>
      </c>
      <c r="AT289">
        <v>2.0990608780902</v>
      </c>
      <c r="AU289">
        <v>2.11677836826489</v>
      </c>
      <c r="AV289">
        <v>2.12369966739792</v>
      </c>
      <c r="AW289">
        <v>2.12703086623252</v>
      </c>
      <c r="AX289">
        <v>2.13331354175477</v>
      </c>
      <c r="AY289">
        <v>2.1447656165048</v>
      </c>
      <c r="AZ289">
        <v>2.15838383350219</v>
      </c>
      <c r="BA289">
        <v>0</v>
      </c>
      <c r="BB289">
        <v>0</v>
      </c>
      <c r="BC289">
        <v>0</v>
      </c>
      <c r="BD289">
        <v>0</v>
      </c>
      <c r="BE289">
        <v>0</v>
      </c>
      <c r="BF289">
        <v>0</v>
      </c>
      <c r="BG289">
        <v>0</v>
      </c>
      <c r="BH289">
        <v>0</v>
      </c>
      <c r="BJ289" t="s">
        <v>452</v>
      </c>
      <c r="BL289">
        <v>0.8</v>
      </c>
      <c r="BM289">
        <v>0.797560975609756</v>
      </c>
      <c r="BN289">
        <v>0.785365853658536</v>
      </c>
      <c r="BO289">
        <v>0.773170731707317</v>
      </c>
      <c r="BP289">
        <v>0.760975609756097</v>
      </c>
      <c r="BQ289">
        <v>0.748780487804878</v>
      </c>
      <c r="BR289">
        <v>0.736585365853658</v>
      </c>
      <c r="BS289">
        <v>0.724390243902439</v>
      </c>
      <c r="BT289">
        <v>0.71219512195122</v>
      </c>
      <c r="BU289">
        <v>0.699999999999999</v>
      </c>
      <c r="BV289">
        <v>0.687499999999999</v>
      </c>
      <c r="BW289">
        <v>0.675</v>
      </c>
      <c r="BX289">
        <v>0.6625</v>
      </c>
      <c r="BY289">
        <v>0.649999999999999</v>
      </c>
      <c r="BZ289">
        <v>0.637499999999999</v>
      </c>
      <c r="CA289">
        <v>0.625</v>
      </c>
      <c r="CB289">
        <v>0.6125</v>
      </c>
      <c r="CC289">
        <v>0.6</v>
      </c>
      <c r="CD289" t="e">
        <v>#VALUE!</v>
      </c>
      <c r="CE289" t="e">
        <v>#VALUE!</v>
      </c>
      <c r="CF289" t="e">
        <v>#VALUE!</v>
      </c>
      <c r="CG289" t="e">
        <v>#VALUE!</v>
      </c>
      <c r="CH289" t="e">
        <v>#VALUE!</v>
      </c>
      <c r="CI289" t="e">
        <v>#VALUE!</v>
      </c>
      <c r="CJ289" t="e">
        <v>#VALUE!</v>
      </c>
      <c r="CK289" t="e">
        <v>#VALUE!</v>
      </c>
    </row>
    <row r="290" spans="1:89">
      <c r="A290" s="34" t="s">
        <v>27</v>
      </c>
      <c r="B290" s="34" t="s">
        <v>451</v>
      </c>
      <c r="C290" s="34" t="s">
        <v>451</v>
      </c>
      <c r="D290" s="34">
        <v>49.12</v>
      </c>
      <c r="E290" s="34">
        <v>50.3194844844982</v>
      </c>
      <c r="F290" s="34"/>
      <c r="G290" s="34">
        <v>58.0471433123567</v>
      </c>
      <c r="H290" s="34">
        <v>65.8922618322609</v>
      </c>
      <c r="I290" s="34">
        <v>71.6783492690437</v>
      </c>
      <c r="J290" s="34">
        <v>76.2655705244997</v>
      </c>
      <c r="K290" s="34">
        <v>79.2213194182022</v>
      </c>
      <c r="L290" s="34">
        <v>81.4535982702712</v>
      </c>
      <c r="M290" s="34">
        <v>83.1703409231603</v>
      </c>
      <c r="N290" s="34">
        <v>84.6446131309275</v>
      </c>
      <c r="O290" s="34">
        <v>85.9113009302812</v>
      </c>
      <c r="P290" s="34">
        <v>86.8036392451398</v>
      </c>
      <c r="Q290" s="34">
        <v>87.289040597715</v>
      </c>
      <c r="R290" s="34">
        <v>87.474558278992</v>
      </c>
      <c r="S290" s="34">
        <v>87.562030348987</v>
      </c>
      <c r="T290" s="34">
        <v>87.7236769879374</v>
      </c>
      <c r="U290" s="34">
        <v>88.0121149404521</v>
      </c>
      <c r="V290" s="34">
        <v>88.3474153771343</v>
      </c>
      <c r="W290" s="34">
        <v>3</v>
      </c>
      <c r="AG290" s="232" t="s">
        <v>437</v>
      </c>
      <c r="AI290">
        <v>1</v>
      </c>
      <c r="AJ290">
        <v>1.0306176871124</v>
      </c>
      <c r="AK290">
        <v>1.2321465865568</v>
      </c>
      <c r="AL290">
        <v>1.44752671431604</v>
      </c>
      <c r="AM290">
        <v>1.61456130872964</v>
      </c>
      <c r="AN290">
        <v>1.75255578895043</v>
      </c>
      <c r="AO290">
        <v>1.84476786031748</v>
      </c>
      <c r="AP290">
        <v>1.91652671604205</v>
      </c>
      <c r="AQ290">
        <v>1.97324339671817</v>
      </c>
      <c r="AR290">
        <v>2.02321137923714</v>
      </c>
      <c r="AS290">
        <v>2.06725051823443</v>
      </c>
      <c r="AT290">
        <v>2.0990608780902</v>
      </c>
      <c r="AU290">
        <v>2.11677836826489</v>
      </c>
      <c r="AV290">
        <v>2.12369966739792</v>
      </c>
      <c r="AW290">
        <v>2.12703086623252</v>
      </c>
      <c r="AX290">
        <v>2.13331354175477</v>
      </c>
      <c r="AY290">
        <v>2.1447656165048</v>
      </c>
      <c r="AZ290">
        <v>2.15838383350219</v>
      </c>
      <c r="BA290">
        <v>0</v>
      </c>
      <c r="BB290">
        <v>0</v>
      </c>
      <c r="BC290">
        <v>0</v>
      </c>
      <c r="BD290">
        <v>0</v>
      </c>
      <c r="BE290">
        <v>0</v>
      </c>
      <c r="BF290">
        <v>0</v>
      </c>
      <c r="BG290">
        <v>0</v>
      </c>
      <c r="BH290">
        <v>0</v>
      </c>
      <c r="BJ290" t="s">
        <v>452</v>
      </c>
      <c r="BL290">
        <v>0.8</v>
      </c>
      <c r="BM290">
        <v>0.797560975609756</v>
      </c>
      <c r="BN290">
        <v>0.785365853658536</v>
      </c>
      <c r="BO290">
        <v>0.773170731707317</v>
      </c>
      <c r="BP290">
        <v>0.760975609756097</v>
      </c>
      <c r="BQ290">
        <v>0.748780487804878</v>
      </c>
      <c r="BR290">
        <v>0.736585365853658</v>
      </c>
      <c r="BS290">
        <v>0.724390243902439</v>
      </c>
      <c r="BT290">
        <v>0.71219512195122</v>
      </c>
      <c r="BU290">
        <v>0.699999999999999</v>
      </c>
      <c r="BV290">
        <v>0.687499999999999</v>
      </c>
      <c r="BW290">
        <v>0.675</v>
      </c>
      <c r="BX290">
        <v>0.6625</v>
      </c>
      <c r="BY290">
        <v>0.649999999999999</v>
      </c>
      <c r="BZ290">
        <v>0.637499999999999</v>
      </c>
      <c r="CA290">
        <v>0.625</v>
      </c>
      <c r="CB290">
        <v>0.6125</v>
      </c>
      <c r="CC290">
        <v>0.6</v>
      </c>
      <c r="CD290" t="e">
        <v>#VALUE!</v>
      </c>
      <c r="CE290" t="e">
        <v>#VALUE!</v>
      </c>
      <c r="CF290" t="e">
        <v>#VALUE!</v>
      </c>
      <c r="CG290" t="e">
        <v>#VALUE!</v>
      </c>
      <c r="CH290" t="e">
        <v>#VALUE!</v>
      </c>
      <c r="CI290" t="e">
        <v>#VALUE!</v>
      </c>
      <c r="CJ290" t="e">
        <v>#VALUE!</v>
      </c>
      <c r="CK290" t="e">
        <v>#VALUE!</v>
      </c>
    </row>
    <row r="291" spans="1:89">
      <c r="A291" s="34" t="s">
        <v>28</v>
      </c>
      <c r="B291" s="34" t="s">
        <v>436</v>
      </c>
      <c r="C291" s="34" t="s">
        <v>436</v>
      </c>
      <c r="D291" s="34"/>
      <c r="E291" s="34">
        <v>375.856107261349</v>
      </c>
      <c r="F291" s="34">
        <f xml:space="preserve">E291</f>
        <v>375.856107261349</v>
      </c>
      <c r="G291" s="34"/>
      <c r="H291" s="34"/>
      <c r="I291" s="34">
        <f xml:space="preserve">F291</f>
        <v>375.856107261349</v>
      </c>
      <c r="J291" s="34">
        <f xml:space="preserve">I291</f>
        <v>375.856107261349</v>
      </c>
      <c r="K291" s="34"/>
      <c r="L291" s="34">
        <f xml:space="preserve">J291</f>
        <v>375.856107261349</v>
      </c>
      <c r="M291" s="34"/>
      <c r="N291" s="34"/>
      <c r="O291" s="34"/>
      <c r="P291" s="34"/>
      <c r="Q291" s="34"/>
      <c r="R291" s="34"/>
      <c r="S291" s="34"/>
      <c r="T291" s="34"/>
      <c r="U291" s="34"/>
      <c r="V291" s="34">
        <f xml:space="preserve">L291</f>
        <v>375.856107261349</v>
      </c>
      <c r="W291" s="34">
        <v>3</v>
      </c>
      <c r="AG291" s="232" t="s">
        <v>437</v>
      </c>
      <c r="AI291">
        <v>1</v>
      </c>
      <c r="AJ291">
        <v>1.03220997614691</v>
      </c>
      <c r="AK291">
        <v>1.26026807229982</v>
      </c>
      <c r="AL291">
        <v>1.54611479417579</v>
      </c>
      <c r="AM291">
        <v>1.84642452510153</v>
      </c>
      <c r="AN291">
        <v>2.14605136752268</v>
      </c>
      <c r="AO291">
        <v>2.45218229566993</v>
      </c>
      <c r="AP291">
        <v>2.77010382709687</v>
      </c>
      <c r="AQ291">
        <v>3.10856945656694</v>
      </c>
      <c r="AR291">
        <v>3.47209926004162</v>
      </c>
      <c r="AS291">
        <v>3.86455766759287</v>
      </c>
      <c r="AT291">
        <v>4.27757178038053</v>
      </c>
      <c r="AU291">
        <v>4.70890116948649</v>
      </c>
      <c r="AV291">
        <v>5.15278382000685</v>
      </c>
      <c r="AW291">
        <v>5.608696692622</v>
      </c>
      <c r="AX291">
        <v>6.0784253017179</v>
      </c>
      <c r="AY291">
        <v>6.56283402216059</v>
      </c>
      <c r="AZ291">
        <v>7.06269998470226</v>
      </c>
      <c r="BA291">
        <v>0</v>
      </c>
      <c r="BB291">
        <v>0</v>
      </c>
      <c r="BC291">
        <v>0</v>
      </c>
      <c r="BD291">
        <v>0</v>
      </c>
      <c r="BE291">
        <v>0</v>
      </c>
      <c r="BF291">
        <v>0</v>
      </c>
      <c r="BG291">
        <v>0</v>
      </c>
      <c r="BH291">
        <v>0</v>
      </c>
      <c r="BJ291" t="s">
        <v>438</v>
      </c>
      <c r="BL291">
        <v>1</v>
      </c>
      <c r="BM291">
        <v>0.997560975609757</v>
      </c>
      <c r="BN291">
        <v>0.985365853658537</v>
      </c>
      <c r="BO291">
        <v>0.973170731707317</v>
      </c>
      <c r="BP291">
        <v>0.960975609756098</v>
      </c>
      <c r="BQ291">
        <v>0.948780487804878</v>
      </c>
      <c r="BR291">
        <v>0.936585365853658</v>
      </c>
      <c r="BS291">
        <v>0.924390243902439</v>
      </c>
      <c r="BT291">
        <v>0.91219512195122</v>
      </c>
      <c r="BU291">
        <v>0.9</v>
      </c>
      <c r="BV291">
        <v>0.8875</v>
      </c>
      <c r="BW291">
        <v>0.875000000000001</v>
      </c>
      <c r="BX291">
        <v>0.862500000000001</v>
      </c>
      <c r="BY291">
        <v>0.850000000000001</v>
      </c>
      <c r="BZ291">
        <v>0.8375</v>
      </c>
      <c r="CA291">
        <v>0.825000000000001</v>
      </c>
      <c r="CB291">
        <v>0.812500000000001</v>
      </c>
      <c r="CC291">
        <v>0.800000000000001</v>
      </c>
      <c r="CD291" t="e">
        <v>#VALUE!</v>
      </c>
      <c r="CE291" t="e">
        <v>#VALUE!</v>
      </c>
      <c r="CF291" t="e">
        <v>#VALUE!</v>
      </c>
      <c r="CG291" t="e">
        <v>#VALUE!</v>
      </c>
      <c r="CH291" t="e">
        <v>#VALUE!</v>
      </c>
      <c r="CI291" t="e">
        <v>#VALUE!</v>
      </c>
      <c r="CJ291" t="e">
        <v>#VALUE!</v>
      </c>
      <c r="CK291" t="e">
        <v>#VALUE!</v>
      </c>
    </row>
    <row r="292" spans="1:89">
      <c r="A292" s="34" t="s">
        <v>28</v>
      </c>
      <c r="B292" s="34" t="s">
        <v>439</v>
      </c>
      <c r="C292" s="34" t="s">
        <v>439</v>
      </c>
      <c r="D292" s="34"/>
      <c r="E292" s="34">
        <v>1793.42387251125</v>
      </c>
      <c r="F292" s="34">
        <f xml:space="preserve">E292</f>
        <v>1793.42387251125</v>
      </c>
      <c r="G292" s="34"/>
      <c r="H292" s="34"/>
      <c r="I292" s="34">
        <f xml:space="preserve">F292</f>
        <v>1793.42387251125</v>
      </c>
      <c r="J292" s="34">
        <f xml:space="preserve">I292</f>
        <v>1793.42387251125</v>
      </c>
      <c r="K292" s="34"/>
      <c r="L292" s="34">
        <f xml:space="preserve">J292</f>
        <v>1793.42387251125</v>
      </c>
      <c r="M292" s="34"/>
      <c r="N292" s="34"/>
      <c r="O292" s="34"/>
      <c r="P292" s="34"/>
      <c r="Q292" s="34"/>
      <c r="R292" s="34"/>
      <c r="S292" s="34"/>
      <c r="T292" s="34"/>
      <c r="U292" s="34"/>
      <c r="V292" s="34">
        <f xml:space="preserve">L292</f>
        <v>1793.42387251125</v>
      </c>
      <c r="W292" s="34">
        <v>3</v>
      </c>
      <c r="AG292" s="232" t="s">
        <v>437</v>
      </c>
      <c r="AI292">
        <v>1</v>
      </c>
      <c r="AJ292">
        <v>1.03220997614691</v>
      </c>
      <c r="AK292">
        <v>1.26026807229982</v>
      </c>
      <c r="AL292">
        <v>1.54611479417579</v>
      </c>
      <c r="AM292">
        <v>1.84642452510153</v>
      </c>
      <c r="AN292">
        <v>2.14605136752268</v>
      </c>
      <c r="AO292">
        <v>2.45218229566993</v>
      </c>
      <c r="AP292">
        <v>2.77010382709687</v>
      </c>
      <c r="AQ292">
        <v>3.10856945656694</v>
      </c>
      <c r="AR292">
        <v>3.47209926004162</v>
      </c>
      <c r="AS292">
        <v>3.86455766759287</v>
      </c>
      <c r="AT292">
        <v>4.27757178038053</v>
      </c>
      <c r="AU292">
        <v>4.70890116948649</v>
      </c>
      <c r="AV292">
        <v>5.15278382000685</v>
      </c>
      <c r="AW292">
        <v>5.608696692622</v>
      </c>
      <c r="AX292">
        <v>6.0784253017179</v>
      </c>
      <c r="AY292">
        <v>6.56283402216059</v>
      </c>
      <c r="AZ292">
        <v>7.06269998470226</v>
      </c>
      <c r="BA292">
        <v>0</v>
      </c>
      <c r="BB292">
        <v>0</v>
      </c>
      <c r="BC292">
        <v>0</v>
      </c>
      <c r="BD292">
        <v>0</v>
      </c>
      <c r="BE292">
        <v>0</v>
      </c>
      <c r="BF292">
        <v>0</v>
      </c>
      <c r="BG292">
        <v>0</v>
      </c>
      <c r="BH292">
        <v>0</v>
      </c>
      <c r="BJ292" t="s">
        <v>438</v>
      </c>
      <c r="BL292">
        <v>1</v>
      </c>
      <c r="BM292">
        <v>0.997560975609757</v>
      </c>
      <c r="BN292">
        <v>0.985365853658537</v>
      </c>
      <c r="BO292">
        <v>0.973170731707317</v>
      </c>
      <c r="BP292">
        <v>0.960975609756098</v>
      </c>
      <c r="BQ292">
        <v>0.948780487804878</v>
      </c>
      <c r="BR292">
        <v>0.936585365853658</v>
      </c>
      <c r="BS292">
        <v>0.924390243902439</v>
      </c>
      <c r="BT292">
        <v>0.91219512195122</v>
      </c>
      <c r="BU292">
        <v>0.9</v>
      </c>
      <c r="BV292">
        <v>0.8875</v>
      </c>
      <c r="BW292">
        <v>0.875000000000001</v>
      </c>
      <c r="BX292">
        <v>0.862500000000001</v>
      </c>
      <c r="BY292">
        <v>0.850000000000001</v>
      </c>
      <c r="BZ292">
        <v>0.8375</v>
      </c>
      <c r="CA292">
        <v>0.825000000000001</v>
      </c>
      <c r="CB292">
        <v>0.812500000000001</v>
      </c>
      <c r="CC292">
        <v>0.800000000000001</v>
      </c>
      <c r="CD292" t="e">
        <v>#VALUE!</v>
      </c>
      <c r="CE292" t="e">
        <v>#VALUE!</v>
      </c>
      <c r="CF292" t="e">
        <v>#VALUE!</v>
      </c>
      <c r="CG292" t="e">
        <v>#VALUE!</v>
      </c>
      <c r="CH292" t="e">
        <v>#VALUE!</v>
      </c>
      <c r="CI292" t="e">
        <v>#VALUE!</v>
      </c>
      <c r="CJ292" t="e">
        <v>#VALUE!</v>
      </c>
      <c r="CK292" t="e">
        <v>#VALUE!</v>
      </c>
    </row>
    <row r="293" spans="1:89">
      <c r="A293" s="34" t="s">
        <v>28</v>
      </c>
      <c r="B293" s="34" t="s">
        <v>440</v>
      </c>
      <c r="C293" s="34" t="s">
        <v>440</v>
      </c>
      <c r="D293" s="34"/>
      <c r="E293" s="34">
        <v>68.1480988096855</v>
      </c>
      <c r="F293" s="34"/>
      <c r="G293" s="34"/>
      <c r="H293" s="34"/>
      <c r="I293" s="34">
        <v>120.210053388916</v>
      </c>
      <c r="J293" s="34">
        <v>138.717891505017</v>
      </c>
      <c r="K293" s="34"/>
      <c r="L293" s="34">
        <v>176.096796523436</v>
      </c>
      <c r="M293" s="34"/>
      <c r="N293" s="34"/>
      <c r="O293" s="34"/>
      <c r="P293" s="34"/>
      <c r="Q293" s="34"/>
      <c r="R293" s="34"/>
      <c r="S293" s="34"/>
      <c r="T293" s="34"/>
      <c r="U293" s="34"/>
      <c r="V293" s="34">
        <v>396.400729239108</v>
      </c>
      <c r="W293" s="34">
        <v>3</v>
      </c>
      <c r="AG293" s="232" t="s">
        <v>437</v>
      </c>
      <c r="AI293">
        <v>1</v>
      </c>
      <c r="AJ293">
        <v>1.03220997614691</v>
      </c>
      <c r="AK293">
        <v>1.26026807229982</v>
      </c>
      <c r="AL293">
        <v>1.54611479417579</v>
      </c>
      <c r="AM293">
        <v>1.84642452510153</v>
      </c>
      <c r="AN293">
        <v>2.14605136752268</v>
      </c>
      <c r="AO293">
        <v>2.45218229566993</v>
      </c>
      <c r="AP293">
        <v>2.77010382709687</v>
      </c>
      <c r="AQ293">
        <v>3.10856945656694</v>
      </c>
      <c r="AR293">
        <v>3.47209926004162</v>
      </c>
      <c r="AS293">
        <v>3.86455766759287</v>
      </c>
      <c r="AT293">
        <v>4.27757178038053</v>
      </c>
      <c r="AU293">
        <v>4.70890116948649</v>
      </c>
      <c r="AV293">
        <v>5.15278382000685</v>
      </c>
      <c r="AW293">
        <v>5.608696692622</v>
      </c>
      <c r="AX293">
        <v>6.0784253017179</v>
      </c>
      <c r="AY293">
        <v>6.56283402216059</v>
      </c>
      <c r="AZ293">
        <v>7.06269998470226</v>
      </c>
      <c r="BA293">
        <v>0</v>
      </c>
      <c r="BB293">
        <v>0</v>
      </c>
      <c r="BC293">
        <v>0</v>
      </c>
      <c r="BD293">
        <v>0</v>
      </c>
      <c r="BE293">
        <v>0</v>
      </c>
      <c r="BF293">
        <v>0</v>
      </c>
      <c r="BG293">
        <v>0</v>
      </c>
      <c r="BH293">
        <v>0</v>
      </c>
      <c r="BJ293" t="s">
        <v>438</v>
      </c>
      <c r="BL293">
        <v>1</v>
      </c>
      <c r="BM293">
        <v>0.997560975609757</v>
      </c>
      <c r="BN293">
        <v>0.985365853658537</v>
      </c>
      <c r="BO293">
        <v>0.973170731707317</v>
      </c>
      <c r="BP293">
        <v>0.960975609756098</v>
      </c>
      <c r="BQ293">
        <v>0.948780487804878</v>
      </c>
      <c r="BR293">
        <v>0.936585365853658</v>
      </c>
      <c r="BS293">
        <v>0.924390243902439</v>
      </c>
      <c r="BT293">
        <v>0.91219512195122</v>
      </c>
      <c r="BU293">
        <v>0.9</v>
      </c>
      <c r="BV293">
        <v>0.8875</v>
      </c>
      <c r="BW293">
        <v>0.875000000000001</v>
      </c>
      <c r="BX293">
        <v>0.862500000000001</v>
      </c>
      <c r="BY293">
        <v>0.850000000000001</v>
      </c>
      <c r="BZ293">
        <v>0.8375</v>
      </c>
      <c r="CA293">
        <v>0.825000000000001</v>
      </c>
      <c r="CB293">
        <v>0.812500000000001</v>
      </c>
      <c r="CC293">
        <v>0.800000000000001</v>
      </c>
      <c r="CD293" t="e">
        <v>#VALUE!</v>
      </c>
      <c r="CE293" t="e">
        <v>#VALUE!</v>
      </c>
      <c r="CF293" t="e">
        <v>#VALUE!</v>
      </c>
      <c r="CG293" t="e">
        <v>#VALUE!</v>
      </c>
      <c r="CH293" t="e">
        <v>#VALUE!</v>
      </c>
      <c r="CI293" t="e">
        <v>#VALUE!</v>
      </c>
      <c r="CJ293" t="e">
        <v>#VALUE!</v>
      </c>
      <c r="CK293" t="e">
        <v>#VALUE!</v>
      </c>
    </row>
    <row r="294" spans="1:89">
      <c r="A294" s="34" t="s">
        <v>28</v>
      </c>
      <c r="B294" s="34" t="s">
        <v>441</v>
      </c>
      <c r="C294" s="34" t="s">
        <v>441</v>
      </c>
      <c r="D294" s="34"/>
      <c r="E294" s="34">
        <v>65.0197081639144</v>
      </c>
      <c r="F294" s="34"/>
      <c r="G294" s="34"/>
      <c r="H294" s="34"/>
      <c r="I294" s="34">
        <v>74.8789879038112</v>
      </c>
      <c r="J294" s="34">
        <v>77.4311006071278</v>
      </c>
      <c r="K294" s="34"/>
      <c r="L294" s="34">
        <v>81.3506404193642</v>
      </c>
      <c r="M294" s="34"/>
      <c r="N294" s="34"/>
      <c r="O294" s="34"/>
      <c r="P294" s="34"/>
      <c r="Q294" s="34"/>
      <c r="R294" s="34"/>
      <c r="S294" s="34"/>
      <c r="T294" s="34"/>
      <c r="U294" s="34"/>
      <c r="V294" s="34">
        <v>82.103251456904</v>
      </c>
      <c r="W294" s="34">
        <v>3</v>
      </c>
      <c r="AG294" s="232" t="s">
        <v>442</v>
      </c>
      <c r="AI294">
        <v>1</v>
      </c>
      <c r="AJ294">
        <v>1.01120580946577</v>
      </c>
      <c r="AK294">
        <v>1.06723469593436</v>
      </c>
      <c r="AL294">
        <v>1.12077400885434</v>
      </c>
      <c r="AM294">
        <v>1.16880561792711</v>
      </c>
      <c r="AN294">
        <v>1.21079277109316</v>
      </c>
      <c r="AO294">
        <v>1.24665934313804</v>
      </c>
      <c r="AP294">
        <v>1.27667750658545</v>
      </c>
      <c r="AQ294">
        <v>1.30041368864225</v>
      </c>
      <c r="AR294">
        <v>1.31787828653574</v>
      </c>
      <c r="AS294">
        <v>1.32946897206222</v>
      </c>
      <c r="AT294">
        <v>1.33574873226726</v>
      </c>
      <c r="AU294">
        <v>1.3369447913035</v>
      </c>
      <c r="AV294">
        <v>1.33329112901134</v>
      </c>
      <c r="AW294">
        <v>1.3254574476754</v>
      </c>
      <c r="AX294">
        <v>1.31438463627204</v>
      </c>
      <c r="AY294">
        <v>1.30070505011852</v>
      </c>
      <c r="AZ294">
        <v>1.28512548156286</v>
      </c>
      <c r="BA294">
        <v>0</v>
      </c>
      <c r="BB294">
        <v>0</v>
      </c>
      <c r="BC294">
        <v>0</v>
      </c>
      <c r="BD294">
        <v>0</v>
      </c>
      <c r="BE294">
        <v>0</v>
      </c>
      <c r="BF294">
        <v>0</v>
      </c>
      <c r="BG294">
        <v>0</v>
      </c>
      <c r="BH294">
        <v>0</v>
      </c>
      <c r="BJ294" t="s">
        <v>438</v>
      </c>
      <c r="BL294">
        <v>1</v>
      </c>
      <c r="BM294">
        <v>0.997560975609757</v>
      </c>
      <c r="BN294">
        <v>0.985365853658537</v>
      </c>
      <c r="BO294">
        <v>0.973170731707317</v>
      </c>
      <c r="BP294">
        <v>0.960975609756098</v>
      </c>
      <c r="BQ294">
        <v>0.948780487804878</v>
      </c>
      <c r="BR294">
        <v>0.936585365853658</v>
      </c>
      <c r="BS294">
        <v>0.924390243902439</v>
      </c>
      <c r="BT294">
        <v>0.91219512195122</v>
      </c>
      <c r="BU294">
        <v>0.9</v>
      </c>
      <c r="BV294">
        <v>0.8875</v>
      </c>
      <c r="BW294">
        <v>0.875000000000001</v>
      </c>
      <c r="BX294">
        <v>0.862500000000001</v>
      </c>
      <c r="BY294">
        <v>0.850000000000001</v>
      </c>
      <c r="BZ294">
        <v>0.8375</v>
      </c>
      <c r="CA294">
        <v>0.825000000000001</v>
      </c>
      <c r="CB294">
        <v>0.812500000000001</v>
      </c>
      <c r="CC294">
        <v>0.800000000000001</v>
      </c>
      <c r="CD294" t="e">
        <v>#VALUE!</v>
      </c>
      <c r="CE294" t="e">
        <v>#VALUE!</v>
      </c>
      <c r="CF294" t="e">
        <v>#VALUE!</v>
      </c>
      <c r="CG294" t="e">
        <v>#VALUE!</v>
      </c>
      <c r="CH294" t="e">
        <v>#VALUE!</v>
      </c>
      <c r="CI294" t="e">
        <v>#VALUE!</v>
      </c>
      <c r="CJ294" t="e">
        <v>#VALUE!</v>
      </c>
      <c r="CK294" t="e">
        <v>#VALUE!</v>
      </c>
    </row>
    <row r="295" spans="1:89">
      <c r="A295" s="34" t="s">
        <v>28</v>
      </c>
      <c r="B295" s="34" t="s">
        <v>443</v>
      </c>
      <c r="C295" s="34" t="s">
        <v>443</v>
      </c>
      <c r="D295" s="34"/>
      <c r="E295" s="34">
        <v>289.95526653166</v>
      </c>
      <c r="F295" s="34">
        <f xml:space="preserve">E295</f>
        <v>289.95526653166</v>
      </c>
      <c r="G295" s="34"/>
      <c r="H295" s="34"/>
      <c r="I295" s="34">
        <f xml:space="preserve">F295</f>
        <v>289.95526653166</v>
      </c>
      <c r="J295" s="34">
        <f xml:space="preserve">I295</f>
        <v>289.95526653166</v>
      </c>
      <c r="K295" s="34"/>
      <c r="L295" s="34">
        <f xml:space="preserve">J295</f>
        <v>289.95526653166</v>
      </c>
      <c r="M295" s="34"/>
      <c r="N295" s="34"/>
      <c r="O295" s="34"/>
      <c r="P295" s="34"/>
      <c r="Q295" s="34"/>
      <c r="R295" s="34"/>
      <c r="S295" s="34"/>
      <c r="T295" s="34"/>
      <c r="U295" s="34"/>
      <c r="V295" s="34">
        <f xml:space="preserve">L295</f>
        <v>289.95526653166</v>
      </c>
      <c r="W295" s="34">
        <v>3</v>
      </c>
      <c r="AG295" s="232" t="s">
        <v>437</v>
      </c>
      <c r="AI295">
        <v>1</v>
      </c>
      <c r="AJ295">
        <v>1.03220997614691</v>
      </c>
      <c r="AK295">
        <v>1.26026807229982</v>
      </c>
      <c r="AL295">
        <v>1.54611479417579</v>
      </c>
      <c r="AM295">
        <v>1.84642452510153</v>
      </c>
      <c r="AN295">
        <v>2.14605136752268</v>
      </c>
      <c r="AO295">
        <v>2.45218229566993</v>
      </c>
      <c r="AP295">
        <v>2.77010382709687</v>
      </c>
      <c r="AQ295">
        <v>3.10856945656694</v>
      </c>
      <c r="AR295">
        <v>3.47209926004162</v>
      </c>
      <c r="AS295">
        <v>3.86455766759287</v>
      </c>
      <c r="AT295">
        <v>4.27757178038053</v>
      </c>
      <c r="AU295">
        <v>4.70890116948649</v>
      </c>
      <c r="AV295">
        <v>5.15278382000685</v>
      </c>
      <c r="AW295">
        <v>5.608696692622</v>
      </c>
      <c r="AX295">
        <v>6.0784253017179</v>
      </c>
      <c r="AY295">
        <v>6.56283402216059</v>
      </c>
      <c r="AZ295">
        <v>7.06269998470226</v>
      </c>
      <c r="BA295">
        <v>0</v>
      </c>
      <c r="BB295">
        <v>0</v>
      </c>
      <c r="BC295">
        <v>0</v>
      </c>
      <c r="BD295">
        <v>0</v>
      </c>
      <c r="BE295">
        <v>0</v>
      </c>
      <c r="BF295">
        <v>0</v>
      </c>
      <c r="BG295">
        <v>0</v>
      </c>
      <c r="BH295">
        <v>0</v>
      </c>
      <c r="BJ295" t="s">
        <v>438</v>
      </c>
      <c r="BL295">
        <v>1</v>
      </c>
      <c r="BM295">
        <v>0.997560975609757</v>
      </c>
      <c r="BN295">
        <v>0.985365853658537</v>
      </c>
      <c r="BO295">
        <v>0.973170731707317</v>
      </c>
      <c r="BP295">
        <v>0.960975609756098</v>
      </c>
      <c r="BQ295">
        <v>0.948780487804878</v>
      </c>
      <c r="BR295">
        <v>0.936585365853658</v>
      </c>
      <c r="BS295">
        <v>0.924390243902439</v>
      </c>
      <c r="BT295">
        <v>0.91219512195122</v>
      </c>
      <c r="BU295">
        <v>0.9</v>
      </c>
      <c r="BV295">
        <v>0.8875</v>
      </c>
      <c r="BW295">
        <v>0.875000000000001</v>
      </c>
      <c r="BX295">
        <v>0.862500000000001</v>
      </c>
      <c r="BY295">
        <v>0.850000000000001</v>
      </c>
      <c r="BZ295">
        <v>0.8375</v>
      </c>
      <c r="CA295">
        <v>0.825000000000001</v>
      </c>
      <c r="CB295">
        <v>0.812500000000001</v>
      </c>
      <c r="CC295">
        <v>0.800000000000001</v>
      </c>
      <c r="CD295" t="e">
        <v>#VALUE!</v>
      </c>
      <c r="CE295" t="e">
        <v>#VALUE!</v>
      </c>
      <c r="CF295" t="e">
        <v>#VALUE!</v>
      </c>
      <c r="CG295" t="e">
        <v>#VALUE!</v>
      </c>
      <c r="CH295" t="e">
        <v>#VALUE!</v>
      </c>
      <c r="CI295" t="e">
        <v>#VALUE!</v>
      </c>
      <c r="CJ295" t="e">
        <v>#VALUE!</v>
      </c>
      <c r="CK295" t="e">
        <v>#VALUE!</v>
      </c>
    </row>
    <row r="296" spans="1:89">
      <c r="A296" s="34" t="s">
        <v>28</v>
      </c>
      <c r="B296" s="34" t="s">
        <v>444</v>
      </c>
      <c r="C296" s="34" t="s">
        <v>444</v>
      </c>
      <c r="D296" s="34"/>
      <c r="E296" s="34">
        <v>2967.54737989209</v>
      </c>
      <c r="F296" s="34">
        <f xml:space="preserve">E296</f>
        <v>2967.54737989209</v>
      </c>
      <c r="G296" s="34"/>
      <c r="H296" s="34"/>
      <c r="I296" s="34">
        <f xml:space="preserve">F296</f>
        <v>2967.54737989209</v>
      </c>
      <c r="J296" s="34">
        <f xml:space="preserve">I296</f>
        <v>2967.54737989209</v>
      </c>
      <c r="K296" s="34"/>
      <c r="L296" s="34">
        <f xml:space="preserve">J296</f>
        <v>2967.54737989209</v>
      </c>
      <c r="M296" s="34"/>
      <c r="N296" s="34"/>
      <c r="O296" s="34"/>
      <c r="P296" s="34"/>
      <c r="Q296" s="34"/>
      <c r="R296" s="34"/>
      <c r="S296" s="34"/>
      <c r="T296" s="34"/>
      <c r="U296" s="34"/>
      <c r="V296" s="34">
        <f xml:space="preserve">L296</f>
        <v>2967.54737989209</v>
      </c>
      <c r="W296" s="34">
        <v>3</v>
      </c>
      <c r="AG296" s="232" t="s">
        <v>437</v>
      </c>
      <c r="AI296">
        <v>1</v>
      </c>
      <c r="AJ296">
        <v>1.03220997614691</v>
      </c>
      <c r="AK296">
        <v>1.26026807229982</v>
      </c>
      <c r="AL296">
        <v>1.54611479417579</v>
      </c>
      <c r="AM296">
        <v>1.84642452510153</v>
      </c>
      <c r="AN296">
        <v>2.14605136752268</v>
      </c>
      <c r="AO296">
        <v>2.45218229566993</v>
      </c>
      <c r="AP296">
        <v>2.77010382709687</v>
      </c>
      <c r="AQ296">
        <v>3.10856945656694</v>
      </c>
      <c r="AR296">
        <v>3.47209926004162</v>
      </c>
      <c r="AS296">
        <v>3.86455766759287</v>
      </c>
      <c r="AT296">
        <v>4.27757178038053</v>
      </c>
      <c r="AU296">
        <v>4.70890116948649</v>
      </c>
      <c r="AV296">
        <v>5.15278382000685</v>
      </c>
      <c r="AW296">
        <v>5.608696692622</v>
      </c>
      <c r="AX296">
        <v>6.0784253017179</v>
      </c>
      <c r="AY296">
        <v>6.56283402216059</v>
      </c>
      <c r="AZ296">
        <v>7.06269998470226</v>
      </c>
      <c r="BA296">
        <v>0</v>
      </c>
      <c r="BB296">
        <v>0</v>
      </c>
      <c r="BC296">
        <v>0</v>
      </c>
      <c r="BD296">
        <v>0</v>
      </c>
      <c r="BE296">
        <v>0</v>
      </c>
      <c r="BF296">
        <v>0</v>
      </c>
      <c r="BG296">
        <v>0</v>
      </c>
      <c r="BH296">
        <v>0</v>
      </c>
      <c r="BJ296" t="s">
        <v>438</v>
      </c>
      <c r="BL296">
        <v>1</v>
      </c>
      <c r="BM296">
        <v>0.997560975609757</v>
      </c>
      <c r="BN296">
        <v>0.985365853658537</v>
      </c>
      <c r="BO296">
        <v>0.973170731707317</v>
      </c>
      <c r="BP296">
        <v>0.960975609756098</v>
      </c>
      <c r="BQ296">
        <v>0.948780487804878</v>
      </c>
      <c r="BR296">
        <v>0.936585365853658</v>
      </c>
      <c r="BS296">
        <v>0.924390243902439</v>
      </c>
      <c r="BT296">
        <v>0.91219512195122</v>
      </c>
      <c r="BU296">
        <v>0.9</v>
      </c>
      <c r="BV296">
        <v>0.8875</v>
      </c>
      <c r="BW296">
        <v>0.875000000000001</v>
      </c>
      <c r="BX296">
        <v>0.862500000000001</v>
      </c>
      <c r="BY296">
        <v>0.850000000000001</v>
      </c>
      <c r="BZ296">
        <v>0.8375</v>
      </c>
      <c r="CA296">
        <v>0.825000000000001</v>
      </c>
      <c r="CB296">
        <v>0.812500000000001</v>
      </c>
      <c r="CC296">
        <v>0.800000000000001</v>
      </c>
      <c r="CD296" t="e">
        <v>#VALUE!</v>
      </c>
      <c r="CE296" t="e">
        <v>#VALUE!</v>
      </c>
      <c r="CF296" t="e">
        <v>#VALUE!</v>
      </c>
      <c r="CG296" t="e">
        <v>#VALUE!</v>
      </c>
      <c r="CH296" t="e">
        <v>#VALUE!</v>
      </c>
      <c r="CI296" t="e">
        <v>#VALUE!</v>
      </c>
      <c r="CJ296" t="e">
        <v>#VALUE!</v>
      </c>
      <c r="CK296" t="e">
        <v>#VALUE!</v>
      </c>
    </row>
    <row r="297" spans="1:89">
      <c r="A297" s="34" t="s">
        <v>28</v>
      </c>
      <c r="B297" s="34" t="s">
        <v>445</v>
      </c>
      <c r="C297" s="34" t="s">
        <v>445</v>
      </c>
      <c r="D297" s="34">
        <v>1567.223</v>
      </c>
      <c r="E297" s="34">
        <v>1584.74216817635</v>
      </c>
      <c r="F297" s="34"/>
      <c r="G297" s="34">
        <v>1671.26456822056</v>
      </c>
      <c r="H297" s="34">
        <v>1752.8564787757</v>
      </c>
      <c r="I297" s="34">
        <v>1825.04494394815</v>
      </c>
      <c r="J297" s="34">
        <v>1887.24824711722</v>
      </c>
      <c r="K297" s="34">
        <v>1939.60786275396</v>
      </c>
      <c r="L297" s="34">
        <v>1982.78020497588</v>
      </c>
      <c r="M297" s="34">
        <v>2016.40750336632</v>
      </c>
      <c r="N297" s="34">
        <v>2040.77987954857</v>
      </c>
      <c r="O297" s="34">
        <v>2056.70924022867</v>
      </c>
      <c r="P297" s="34">
        <v>2065.20976635797</v>
      </c>
      <c r="Q297" s="34">
        <v>2066.80473121995</v>
      </c>
      <c r="R297" s="34">
        <v>2062.00371357381</v>
      </c>
      <c r="S297" s="34">
        <v>2051.85723902645</v>
      </c>
      <c r="T297" s="34">
        <v>2037.7158131163</v>
      </c>
      <c r="U297" s="34">
        <v>2020.48453586664</v>
      </c>
      <c r="V297" s="34">
        <v>2001.12378850008</v>
      </c>
      <c r="W297" s="34">
        <v>3</v>
      </c>
      <c r="AG297" s="232" t="s">
        <v>442</v>
      </c>
      <c r="AI297">
        <v>1</v>
      </c>
      <c r="AJ297">
        <v>1.01120580946577</v>
      </c>
      <c r="AK297">
        <v>1.06723469593436</v>
      </c>
      <c r="AL297">
        <v>1.12077400885434</v>
      </c>
      <c r="AM297">
        <v>1.16880561792711</v>
      </c>
      <c r="AN297">
        <v>1.21079277109316</v>
      </c>
      <c r="AO297">
        <v>1.24665934313804</v>
      </c>
      <c r="AP297">
        <v>1.27667750658545</v>
      </c>
      <c r="AQ297">
        <v>1.30041368864225</v>
      </c>
      <c r="AR297">
        <v>1.31787828653574</v>
      </c>
      <c r="AS297">
        <v>1.32946897206222</v>
      </c>
      <c r="AT297">
        <v>1.33574873226726</v>
      </c>
      <c r="AU297">
        <v>1.3369447913035</v>
      </c>
      <c r="AV297">
        <v>1.33329112901134</v>
      </c>
      <c r="AW297">
        <v>1.3254574476754</v>
      </c>
      <c r="AX297">
        <v>1.31438463627204</v>
      </c>
      <c r="AY297">
        <v>1.30070505011852</v>
      </c>
      <c r="AZ297">
        <v>1.28512548156286</v>
      </c>
      <c r="BA297">
        <v>0</v>
      </c>
      <c r="BB297">
        <v>0</v>
      </c>
      <c r="BC297">
        <v>0</v>
      </c>
      <c r="BD297">
        <v>0</v>
      </c>
      <c r="BE297">
        <v>0</v>
      </c>
      <c r="BF297">
        <v>0</v>
      </c>
      <c r="BG297">
        <v>0</v>
      </c>
      <c r="BH297">
        <v>0</v>
      </c>
      <c r="BJ297" t="s">
        <v>438</v>
      </c>
      <c r="BL297">
        <v>1</v>
      </c>
      <c r="BM297">
        <v>0.997560975609757</v>
      </c>
      <c r="BN297">
        <v>0.985365853658537</v>
      </c>
      <c r="BO297">
        <v>0.973170731707317</v>
      </c>
      <c r="BP297">
        <v>0.960975609756098</v>
      </c>
      <c r="BQ297">
        <v>0.948780487804878</v>
      </c>
      <c r="BR297">
        <v>0.936585365853658</v>
      </c>
      <c r="BS297">
        <v>0.924390243902439</v>
      </c>
      <c r="BT297">
        <v>0.91219512195122</v>
      </c>
      <c r="BU297">
        <v>0.9</v>
      </c>
      <c r="BV297">
        <v>0.8875</v>
      </c>
      <c r="BW297">
        <v>0.875000000000001</v>
      </c>
      <c r="BX297">
        <v>0.862500000000001</v>
      </c>
      <c r="BY297">
        <v>0.850000000000001</v>
      </c>
      <c r="BZ297">
        <v>0.8375</v>
      </c>
      <c r="CA297">
        <v>0.825000000000001</v>
      </c>
      <c r="CB297">
        <v>0.812500000000001</v>
      </c>
      <c r="CC297">
        <v>0.800000000000001</v>
      </c>
      <c r="CD297" t="e">
        <v>#VALUE!</v>
      </c>
      <c r="CE297" t="e">
        <v>#VALUE!</v>
      </c>
      <c r="CF297" t="e">
        <v>#VALUE!</v>
      </c>
      <c r="CG297" t="e">
        <v>#VALUE!</v>
      </c>
      <c r="CH297" t="e">
        <v>#VALUE!</v>
      </c>
      <c r="CI297" t="e">
        <v>#VALUE!</v>
      </c>
      <c r="CJ297" t="e">
        <v>#VALUE!</v>
      </c>
      <c r="CK297" t="e">
        <v>#VALUE!</v>
      </c>
    </row>
    <row r="298" spans="1:89">
      <c r="A298" s="34" t="s">
        <v>28</v>
      </c>
      <c r="B298" s="34" t="s">
        <v>446</v>
      </c>
      <c r="C298" s="34" t="s">
        <v>446</v>
      </c>
      <c r="D298" s="34">
        <v>265.485</v>
      </c>
      <c r="E298" s="34">
        <v>268.452718291078</v>
      </c>
      <c r="F298" s="34"/>
      <c r="G298" s="34">
        <v>283.109470633111</v>
      </c>
      <c r="H298" s="34">
        <v>296.931006160429</v>
      </c>
      <c r="I298" s="34">
        <v>309.159613497298</v>
      </c>
      <c r="J298" s="34">
        <v>319.696750804395</v>
      </c>
      <c r="K298" s="34">
        <v>328.566383624561</v>
      </c>
      <c r="L298" s="34">
        <v>335.87970743029</v>
      </c>
      <c r="M298" s="34">
        <v>341.576116501102</v>
      </c>
      <c r="N298" s="34">
        <v>345.704756963082</v>
      </c>
      <c r="O298" s="34">
        <v>348.403164477619</v>
      </c>
      <c r="P298" s="34">
        <v>349.843139630764</v>
      </c>
      <c r="Q298" s="34">
        <v>350.113324056582</v>
      </c>
      <c r="R298" s="34">
        <v>349.300039559235</v>
      </c>
      <c r="S298" s="34">
        <v>347.581243449679</v>
      </c>
      <c r="T298" s="34">
        <v>345.185709146166</v>
      </c>
      <c r="U298" s="34">
        <v>342.266759104834</v>
      </c>
      <c r="V298" s="34">
        <v>338.987080326121</v>
      </c>
      <c r="W298" s="34">
        <v>3</v>
      </c>
      <c r="AG298" s="232" t="s">
        <v>442</v>
      </c>
      <c r="AI298">
        <v>1</v>
      </c>
      <c r="AJ298">
        <v>1.01120580946577</v>
      </c>
      <c r="AK298">
        <v>1.06723469593436</v>
      </c>
      <c r="AL298">
        <v>1.12077400885434</v>
      </c>
      <c r="AM298">
        <v>1.16880561792711</v>
      </c>
      <c r="AN298">
        <v>1.21079277109316</v>
      </c>
      <c r="AO298">
        <v>1.24665934313804</v>
      </c>
      <c r="AP298">
        <v>1.27667750658545</v>
      </c>
      <c r="AQ298">
        <v>1.30041368864225</v>
      </c>
      <c r="AR298">
        <v>1.31787828653574</v>
      </c>
      <c r="AS298">
        <v>1.32946897206222</v>
      </c>
      <c r="AT298">
        <v>1.33574873226726</v>
      </c>
      <c r="AU298">
        <v>1.3369447913035</v>
      </c>
      <c r="AV298">
        <v>1.33329112901134</v>
      </c>
      <c r="AW298">
        <v>1.3254574476754</v>
      </c>
      <c r="AX298">
        <v>1.31438463627204</v>
      </c>
      <c r="AY298">
        <v>1.30070505011852</v>
      </c>
      <c r="AZ298">
        <v>1.28512548156286</v>
      </c>
      <c r="BA298">
        <v>0</v>
      </c>
      <c r="BB298">
        <v>0</v>
      </c>
      <c r="BC298">
        <v>0</v>
      </c>
      <c r="BD298">
        <v>0</v>
      </c>
      <c r="BE298">
        <v>0</v>
      </c>
      <c r="BF298">
        <v>0</v>
      </c>
      <c r="BG298">
        <v>0</v>
      </c>
      <c r="BH298">
        <v>0</v>
      </c>
      <c r="BJ298" t="s">
        <v>438</v>
      </c>
      <c r="BL298">
        <v>1</v>
      </c>
      <c r="BM298">
        <v>0.997560975609757</v>
      </c>
      <c r="BN298">
        <v>0.985365853658537</v>
      </c>
      <c r="BO298">
        <v>0.973170731707317</v>
      </c>
      <c r="BP298">
        <v>0.960975609756098</v>
      </c>
      <c r="BQ298">
        <v>0.948780487804878</v>
      </c>
      <c r="BR298">
        <v>0.936585365853658</v>
      </c>
      <c r="BS298">
        <v>0.924390243902439</v>
      </c>
      <c r="BT298">
        <v>0.91219512195122</v>
      </c>
      <c r="BU298">
        <v>0.9</v>
      </c>
      <c r="BV298">
        <v>0.8875</v>
      </c>
      <c r="BW298">
        <v>0.875000000000001</v>
      </c>
      <c r="BX298">
        <v>0.862500000000001</v>
      </c>
      <c r="BY298">
        <v>0.850000000000001</v>
      </c>
      <c r="BZ298">
        <v>0.8375</v>
      </c>
      <c r="CA298">
        <v>0.825000000000001</v>
      </c>
      <c r="CB298">
        <v>0.812500000000001</v>
      </c>
      <c r="CC298">
        <v>0.800000000000001</v>
      </c>
      <c r="CD298" t="e">
        <v>#VALUE!</v>
      </c>
      <c r="CE298" t="e">
        <v>#VALUE!</v>
      </c>
      <c r="CF298" t="e">
        <v>#VALUE!</v>
      </c>
      <c r="CG298" t="e">
        <v>#VALUE!</v>
      </c>
      <c r="CH298" t="e">
        <v>#VALUE!</v>
      </c>
      <c r="CI298" t="e">
        <v>#VALUE!</v>
      </c>
      <c r="CJ298" t="e">
        <v>#VALUE!</v>
      </c>
      <c r="CK298" t="e">
        <v>#VALUE!</v>
      </c>
    </row>
    <row r="299" spans="1:89">
      <c r="A299" s="34" t="s">
        <v>28</v>
      </c>
      <c r="B299" s="34" t="s">
        <v>447</v>
      </c>
      <c r="C299" s="34" t="s">
        <v>447</v>
      </c>
      <c r="D299" s="34">
        <v>48.055</v>
      </c>
      <c r="E299" s="34">
        <v>48.5921817710145</v>
      </c>
      <c r="F299" s="34"/>
      <c r="G299" s="34">
        <v>51.2451762294448</v>
      </c>
      <c r="H299" s="34">
        <v>53.7469894760133</v>
      </c>
      <c r="I299" s="34">
        <v>55.9604694299589</v>
      </c>
      <c r="J299" s="34">
        <v>57.8677791962077</v>
      </c>
      <c r="K299" s="34">
        <v>59.4732567379636</v>
      </c>
      <c r="L299" s="34">
        <v>60.7970293634765</v>
      </c>
      <c r="M299" s="34">
        <v>61.8281269316928</v>
      </c>
      <c r="N299" s="34">
        <v>62.5754453014705</v>
      </c>
      <c r="O299" s="34">
        <v>63.0638795750117</v>
      </c>
      <c r="P299" s="34">
        <v>63.3245270917618</v>
      </c>
      <c r="Q299" s="34">
        <v>63.3734327270431</v>
      </c>
      <c r="R299" s="34">
        <v>63.2262214476112</v>
      </c>
      <c r="S299" s="34">
        <v>62.9151050114858</v>
      </c>
      <c r="T299" s="34">
        <v>62.4814933160782</v>
      </c>
      <c r="U299" s="34">
        <v>61.953139005152</v>
      </c>
      <c r="V299" s="34">
        <v>61.3594897831205</v>
      </c>
      <c r="W299" s="34">
        <v>3</v>
      </c>
      <c r="AG299" s="232" t="s">
        <v>442</v>
      </c>
      <c r="AI299">
        <v>1</v>
      </c>
      <c r="AJ299">
        <v>1.01120580946577</v>
      </c>
      <c r="AK299">
        <v>1.06723469593436</v>
      </c>
      <c r="AL299">
        <v>1.12077400885434</v>
      </c>
      <c r="AM299">
        <v>1.16880561792711</v>
      </c>
      <c r="AN299">
        <v>1.21079277109316</v>
      </c>
      <c r="AO299">
        <v>1.24665934313804</v>
      </c>
      <c r="AP299">
        <v>1.27667750658545</v>
      </c>
      <c r="AQ299">
        <v>1.30041368864225</v>
      </c>
      <c r="AR299">
        <v>1.31787828653574</v>
      </c>
      <c r="AS299">
        <v>1.32946897206222</v>
      </c>
      <c r="AT299">
        <v>1.33574873226726</v>
      </c>
      <c r="AU299">
        <v>1.3369447913035</v>
      </c>
      <c r="AV299">
        <v>1.33329112901134</v>
      </c>
      <c r="AW299">
        <v>1.3254574476754</v>
      </c>
      <c r="AX299">
        <v>1.31438463627204</v>
      </c>
      <c r="AY299">
        <v>1.30070505011852</v>
      </c>
      <c r="AZ299">
        <v>1.28512548156286</v>
      </c>
      <c r="BA299">
        <v>0</v>
      </c>
      <c r="BB299">
        <v>0</v>
      </c>
      <c r="BC299">
        <v>0</v>
      </c>
      <c r="BD299">
        <v>0</v>
      </c>
      <c r="BE299">
        <v>0</v>
      </c>
      <c r="BF299">
        <v>0</v>
      </c>
      <c r="BG299">
        <v>0</v>
      </c>
      <c r="BH299">
        <v>0</v>
      </c>
      <c r="BJ299" t="s">
        <v>438</v>
      </c>
      <c r="BL299">
        <v>1</v>
      </c>
      <c r="BM299">
        <v>0.997560975609757</v>
      </c>
      <c r="BN299">
        <v>0.985365853658537</v>
      </c>
      <c r="BO299">
        <v>0.973170731707317</v>
      </c>
      <c r="BP299">
        <v>0.960975609756098</v>
      </c>
      <c r="BQ299">
        <v>0.948780487804878</v>
      </c>
      <c r="BR299">
        <v>0.936585365853658</v>
      </c>
      <c r="BS299">
        <v>0.924390243902439</v>
      </c>
      <c r="BT299">
        <v>0.91219512195122</v>
      </c>
      <c r="BU299">
        <v>0.9</v>
      </c>
      <c r="BV299">
        <v>0.8875</v>
      </c>
      <c r="BW299">
        <v>0.875000000000001</v>
      </c>
      <c r="BX299">
        <v>0.862500000000001</v>
      </c>
      <c r="BY299">
        <v>0.850000000000001</v>
      </c>
      <c r="BZ299">
        <v>0.8375</v>
      </c>
      <c r="CA299">
        <v>0.825000000000001</v>
      </c>
      <c r="CB299">
        <v>0.812500000000001</v>
      </c>
      <c r="CC299">
        <v>0.800000000000001</v>
      </c>
      <c r="CD299" t="e">
        <v>#VALUE!</v>
      </c>
      <c r="CE299" t="e">
        <v>#VALUE!</v>
      </c>
      <c r="CF299" t="e">
        <v>#VALUE!</v>
      </c>
      <c r="CG299" t="e">
        <v>#VALUE!</v>
      </c>
      <c r="CH299" t="e">
        <v>#VALUE!</v>
      </c>
      <c r="CI299" t="e">
        <v>#VALUE!</v>
      </c>
      <c r="CJ299" t="e">
        <v>#VALUE!</v>
      </c>
      <c r="CK299" t="e">
        <v>#VALUE!</v>
      </c>
    </row>
    <row r="300" spans="1:89">
      <c r="A300" s="34" t="s">
        <v>28</v>
      </c>
      <c r="B300" s="34" t="s">
        <v>448</v>
      </c>
      <c r="C300" s="34" t="s">
        <v>448</v>
      </c>
      <c r="D300" s="34">
        <v>1561.308</v>
      </c>
      <c r="E300" s="34">
        <v>1593.6594638318</v>
      </c>
      <c r="F300" s="34"/>
      <c r="G300" s="34">
        <v>1839.95625738685</v>
      </c>
      <c r="H300" s="34">
        <v>2141.15054492959</v>
      </c>
      <c r="I300" s="34">
        <v>2439.82763587405</v>
      </c>
      <c r="J300" s="34">
        <v>2722.16989459966</v>
      </c>
      <c r="K300" s="34">
        <v>3002.04435286517</v>
      </c>
      <c r="L300" s="34">
        <v>3288.11784599765</v>
      </c>
      <c r="M300" s="34">
        <v>3593.16383179804</v>
      </c>
      <c r="N300" s="34">
        <v>3923.47739774159</v>
      </c>
      <c r="O300" s="34">
        <v>4283.27543391547</v>
      </c>
      <c r="P300" s="34">
        <v>4664.31551205876</v>
      </c>
      <c r="Q300" s="34">
        <v>5066.01037428092</v>
      </c>
      <c r="R300" s="34">
        <v>5484.83648056032</v>
      </c>
      <c r="S300" s="34">
        <v>5920.81974330456</v>
      </c>
      <c r="T300" s="34">
        <v>6374.50806567048</v>
      </c>
      <c r="U300" s="34">
        <v>6846.07351285994</v>
      </c>
      <c r="V300" s="34">
        <v>7334.67794819029</v>
      </c>
      <c r="W300" s="34">
        <v>3</v>
      </c>
      <c r="AG300" s="232" t="s">
        <v>449</v>
      </c>
      <c r="AI300">
        <v>1</v>
      </c>
      <c r="AJ300">
        <v>1.02077140626025</v>
      </c>
      <c r="AK300">
        <v>1.18087247078906</v>
      </c>
      <c r="AL300">
        <v>1.37950628936892</v>
      </c>
      <c r="AM300">
        <v>1.5797532941159</v>
      </c>
      <c r="AN300">
        <v>1.77243490278285</v>
      </c>
      <c r="AO300">
        <v>1.96700270139347</v>
      </c>
      <c r="AP300">
        <v>2.16977569731426</v>
      </c>
      <c r="AQ300">
        <v>2.39044658151251</v>
      </c>
      <c r="AR300">
        <v>2.63461299538412</v>
      </c>
      <c r="AS300">
        <v>2.90684306952897</v>
      </c>
      <c r="AT300">
        <v>3.20237757075758</v>
      </c>
      <c r="AU300">
        <v>3.52213584294337</v>
      </c>
      <c r="AV300">
        <v>3.86471019561026</v>
      </c>
      <c r="AW300">
        <v>4.23151773182804</v>
      </c>
      <c r="AX300">
        <v>4.62454074247095</v>
      </c>
      <c r="AY300">
        <v>5.04559740239542</v>
      </c>
      <c r="AZ300">
        <v>5.49572791608893</v>
      </c>
      <c r="BA300">
        <v>0</v>
      </c>
      <c r="BB300">
        <v>0</v>
      </c>
      <c r="BC300">
        <v>0</v>
      </c>
      <c r="BD300">
        <v>0</v>
      </c>
      <c r="BE300">
        <v>0</v>
      </c>
      <c r="BF300">
        <v>0</v>
      </c>
      <c r="BG300">
        <v>0</v>
      </c>
      <c r="BH300">
        <v>0</v>
      </c>
      <c r="BJ300" t="s">
        <v>438</v>
      </c>
      <c r="BL300">
        <v>1</v>
      </c>
      <c r="BM300">
        <v>0.997560975609757</v>
      </c>
      <c r="BN300">
        <v>0.985365853658537</v>
      </c>
      <c r="BO300">
        <v>0.973170731707317</v>
      </c>
      <c r="BP300">
        <v>0.960975609756098</v>
      </c>
      <c r="BQ300">
        <v>0.948780487804878</v>
      </c>
      <c r="BR300">
        <v>0.936585365853658</v>
      </c>
      <c r="BS300">
        <v>0.924390243902439</v>
      </c>
      <c r="BT300">
        <v>0.91219512195122</v>
      </c>
      <c r="BU300">
        <v>0.9</v>
      </c>
      <c r="BV300">
        <v>0.8875</v>
      </c>
      <c r="BW300">
        <v>0.875000000000001</v>
      </c>
      <c r="BX300">
        <v>0.862500000000001</v>
      </c>
      <c r="BY300">
        <v>0.850000000000001</v>
      </c>
      <c r="BZ300">
        <v>0.8375</v>
      </c>
      <c r="CA300">
        <v>0.825000000000001</v>
      </c>
      <c r="CB300">
        <v>0.812500000000001</v>
      </c>
      <c r="CC300">
        <v>0.800000000000001</v>
      </c>
      <c r="CD300" t="e">
        <v>#VALUE!</v>
      </c>
      <c r="CE300" t="e">
        <v>#VALUE!</v>
      </c>
      <c r="CF300" t="e">
        <v>#VALUE!</v>
      </c>
      <c r="CG300" t="e">
        <v>#VALUE!</v>
      </c>
      <c r="CH300" t="e">
        <v>#VALUE!</v>
      </c>
      <c r="CI300" t="e">
        <v>#VALUE!</v>
      </c>
      <c r="CJ300" t="e">
        <v>#VALUE!</v>
      </c>
      <c r="CK300" t="e">
        <v>#VALUE!</v>
      </c>
    </row>
    <row r="301" spans="1:89">
      <c r="A301" s="34" t="s">
        <v>28</v>
      </c>
      <c r="B301" s="34" t="s">
        <v>450</v>
      </c>
      <c r="C301" s="34" t="s">
        <v>450</v>
      </c>
      <c r="D301" s="34">
        <v>413.5</v>
      </c>
      <c r="E301" s="34">
        <v>426.786340197389</v>
      </c>
      <c r="F301" s="34"/>
      <c r="G301" s="34">
        <v>519.701261114924</v>
      </c>
      <c r="H301" s="34">
        <v>634.414381048931</v>
      </c>
      <c r="I301" s="34">
        <v>752.831108085094</v>
      </c>
      <c r="J301" s="34">
        <v>868.738853605562</v>
      </c>
      <c r="K301" s="34">
        <v>984.804503710777</v>
      </c>
      <c r="L301" s="34">
        <v>1102.82911220467</v>
      </c>
      <c r="M301" s="34">
        <v>1225.74683156283</v>
      </c>
      <c r="N301" s="34">
        <v>1354.75664135227</v>
      </c>
      <c r="O301" s="34">
        <v>1490.66030219531</v>
      </c>
      <c r="P301" s="34">
        <v>1630.05679223194</v>
      </c>
      <c r="Q301" s="34">
        <v>1771.82328125444</v>
      </c>
      <c r="R301" s="34">
        <v>1913.79045111527</v>
      </c>
      <c r="S301" s="34">
        <v>2055.60445905299</v>
      </c>
      <c r="T301" s="34">
        <v>2197.6339585898</v>
      </c>
      <c r="U301" s="34">
        <v>2339.93222061411</v>
      </c>
      <c r="V301" s="34">
        <v>2482.51116962181</v>
      </c>
      <c r="W301" s="34">
        <v>3</v>
      </c>
      <c r="AG301" s="232" t="s">
        <v>437</v>
      </c>
      <c r="AI301">
        <v>1</v>
      </c>
      <c r="AJ301">
        <v>1.03220997614691</v>
      </c>
      <c r="AK301">
        <v>1.26026807229982</v>
      </c>
      <c r="AL301">
        <v>1.54611479417579</v>
      </c>
      <c r="AM301">
        <v>1.84642452510153</v>
      </c>
      <c r="AN301">
        <v>2.14605136752268</v>
      </c>
      <c r="AO301">
        <v>2.45218229566993</v>
      </c>
      <c r="AP301">
        <v>2.77010382709687</v>
      </c>
      <c r="AQ301">
        <v>3.10856945656694</v>
      </c>
      <c r="AR301">
        <v>3.47209926004162</v>
      </c>
      <c r="AS301">
        <v>3.86455766759287</v>
      </c>
      <c r="AT301">
        <v>4.27757178038053</v>
      </c>
      <c r="AU301">
        <v>4.70890116948649</v>
      </c>
      <c r="AV301">
        <v>5.15278382000685</v>
      </c>
      <c r="AW301">
        <v>5.608696692622</v>
      </c>
      <c r="AX301">
        <v>6.0784253017179</v>
      </c>
      <c r="AY301">
        <v>6.56283402216059</v>
      </c>
      <c r="AZ301">
        <v>7.06269998470226</v>
      </c>
      <c r="BA301">
        <v>0</v>
      </c>
      <c r="BB301">
        <v>0</v>
      </c>
      <c r="BC301">
        <v>0</v>
      </c>
      <c r="BD301">
        <v>0</v>
      </c>
      <c r="BE301">
        <v>0</v>
      </c>
      <c r="BF301">
        <v>0</v>
      </c>
      <c r="BG301">
        <v>0</v>
      </c>
      <c r="BH301">
        <v>0</v>
      </c>
      <c r="BJ301" t="s">
        <v>438</v>
      </c>
      <c r="BL301">
        <v>1</v>
      </c>
      <c r="BM301">
        <v>0.997560975609757</v>
      </c>
      <c r="BN301">
        <v>0.985365853658537</v>
      </c>
      <c r="BO301">
        <v>0.973170731707317</v>
      </c>
      <c r="BP301">
        <v>0.960975609756098</v>
      </c>
      <c r="BQ301">
        <v>0.948780487804878</v>
      </c>
      <c r="BR301">
        <v>0.936585365853658</v>
      </c>
      <c r="BS301">
        <v>0.924390243902439</v>
      </c>
      <c r="BT301">
        <v>0.91219512195122</v>
      </c>
      <c r="BU301">
        <v>0.9</v>
      </c>
      <c r="BV301">
        <v>0.8875</v>
      </c>
      <c r="BW301">
        <v>0.875000000000001</v>
      </c>
      <c r="BX301">
        <v>0.862500000000001</v>
      </c>
      <c r="BY301">
        <v>0.850000000000001</v>
      </c>
      <c r="BZ301">
        <v>0.8375</v>
      </c>
      <c r="CA301">
        <v>0.825000000000001</v>
      </c>
      <c r="CB301">
        <v>0.812500000000001</v>
      </c>
      <c r="CC301">
        <v>0.800000000000001</v>
      </c>
      <c r="CD301" t="e">
        <v>#VALUE!</v>
      </c>
      <c r="CE301" t="e">
        <v>#VALUE!</v>
      </c>
      <c r="CF301" t="e">
        <v>#VALUE!</v>
      </c>
      <c r="CG301" t="e">
        <v>#VALUE!</v>
      </c>
      <c r="CH301" t="e">
        <v>#VALUE!</v>
      </c>
      <c r="CI301" t="e">
        <v>#VALUE!</v>
      </c>
      <c r="CJ301" t="e">
        <v>#VALUE!</v>
      </c>
      <c r="CK301" t="e">
        <v>#VALUE!</v>
      </c>
    </row>
    <row r="302" spans="1:89">
      <c r="A302" s="34" t="s">
        <v>28</v>
      </c>
      <c r="B302" s="34" t="s">
        <v>451</v>
      </c>
      <c r="C302" s="34" t="s">
        <v>451</v>
      </c>
      <c r="D302" s="34">
        <v>163</v>
      </c>
      <c r="E302" s="34">
        <v>168.237420682405</v>
      </c>
      <c r="F302" s="34"/>
      <c r="G302" s="34">
        <v>204.86410051205</v>
      </c>
      <c r="H302" s="34">
        <v>250.083540776241</v>
      </c>
      <c r="I302" s="34">
        <v>296.762927733665</v>
      </c>
      <c r="J302" s="34">
        <v>342.45328449264</v>
      </c>
      <c r="K302" s="34">
        <v>388.205886589738</v>
      </c>
      <c r="L302" s="34">
        <v>434.730702029893</v>
      </c>
      <c r="M302" s="34">
        <v>483.184361655963</v>
      </c>
      <c r="N302" s="34">
        <v>534.039498283965</v>
      </c>
      <c r="O302" s="34">
        <v>587.612162654983</v>
      </c>
      <c r="P302" s="34">
        <v>642.561685934237</v>
      </c>
      <c r="Q302" s="34">
        <v>698.445453070068</v>
      </c>
      <c r="R302" s="34">
        <v>754.408327767325</v>
      </c>
      <c r="S302" s="34">
        <v>810.310826664177</v>
      </c>
      <c r="T302" s="34">
        <v>866.298271463453</v>
      </c>
      <c r="U302" s="34">
        <v>922.391661330351</v>
      </c>
      <c r="V302" s="34">
        <v>978.595696852129</v>
      </c>
      <c r="W302" s="34">
        <v>3</v>
      </c>
      <c r="AG302" s="232" t="s">
        <v>437</v>
      </c>
      <c r="AI302">
        <v>1</v>
      </c>
      <c r="AJ302">
        <v>1.03220997614691</v>
      </c>
      <c r="AK302">
        <v>1.26026807229982</v>
      </c>
      <c r="AL302">
        <v>1.54611479417579</v>
      </c>
      <c r="AM302">
        <v>1.84642452510153</v>
      </c>
      <c r="AN302">
        <v>2.14605136752268</v>
      </c>
      <c r="AO302">
        <v>2.45218229566993</v>
      </c>
      <c r="AP302">
        <v>2.77010382709687</v>
      </c>
      <c r="AQ302">
        <v>3.10856945656694</v>
      </c>
      <c r="AR302">
        <v>3.47209926004162</v>
      </c>
      <c r="AS302">
        <v>3.86455766759287</v>
      </c>
      <c r="AT302">
        <v>4.27757178038053</v>
      </c>
      <c r="AU302">
        <v>4.70890116948649</v>
      </c>
      <c r="AV302">
        <v>5.15278382000685</v>
      </c>
      <c r="AW302">
        <v>5.608696692622</v>
      </c>
      <c r="AX302">
        <v>6.0784253017179</v>
      </c>
      <c r="AY302">
        <v>6.56283402216059</v>
      </c>
      <c r="AZ302">
        <v>7.06269998470226</v>
      </c>
      <c r="BA302">
        <v>0</v>
      </c>
      <c r="BB302">
        <v>0</v>
      </c>
      <c r="BC302">
        <v>0</v>
      </c>
      <c r="BD302">
        <v>0</v>
      </c>
      <c r="BE302">
        <v>0</v>
      </c>
      <c r="BF302">
        <v>0</v>
      </c>
      <c r="BG302">
        <v>0</v>
      </c>
      <c r="BH302">
        <v>0</v>
      </c>
      <c r="BJ302" t="s">
        <v>438</v>
      </c>
      <c r="BL302">
        <v>1</v>
      </c>
      <c r="BM302">
        <v>0.997560975609757</v>
      </c>
      <c r="BN302">
        <v>0.985365853658537</v>
      </c>
      <c r="BO302">
        <v>0.973170731707317</v>
      </c>
      <c r="BP302">
        <v>0.960975609756098</v>
      </c>
      <c r="BQ302">
        <v>0.948780487804878</v>
      </c>
      <c r="BR302">
        <v>0.936585365853658</v>
      </c>
      <c r="BS302">
        <v>0.924390243902439</v>
      </c>
      <c r="BT302">
        <v>0.91219512195122</v>
      </c>
      <c r="BU302">
        <v>0.9</v>
      </c>
      <c r="BV302">
        <v>0.8875</v>
      </c>
      <c r="BW302">
        <v>0.875000000000001</v>
      </c>
      <c r="BX302">
        <v>0.862500000000001</v>
      </c>
      <c r="BY302">
        <v>0.850000000000001</v>
      </c>
      <c r="BZ302">
        <v>0.8375</v>
      </c>
      <c r="CA302">
        <v>0.825000000000001</v>
      </c>
      <c r="CB302">
        <v>0.812500000000001</v>
      </c>
      <c r="CC302">
        <v>0.800000000000001</v>
      </c>
      <c r="CD302" t="e">
        <v>#VALUE!</v>
      </c>
      <c r="CE302" t="e">
        <v>#VALUE!</v>
      </c>
      <c r="CF302" t="e">
        <v>#VALUE!</v>
      </c>
      <c r="CG302" t="e">
        <v>#VALUE!</v>
      </c>
      <c r="CH302" t="e">
        <v>#VALUE!</v>
      </c>
      <c r="CI302" t="e">
        <v>#VALUE!</v>
      </c>
      <c r="CJ302" t="e">
        <v>#VALUE!</v>
      </c>
      <c r="CK302" t="e">
        <v>#VALUE!</v>
      </c>
    </row>
    <row r="303" spans="1:89">
      <c r="A303" s="34" t="s">
        <v>29</v>
      </c>
      <c r="B303" s="34" t="s">
        <v>436</v>
      </c>
      <c r="C303" s="34" t="s">
        <v>436</v>
      </c>
      <c r="D303" s="34"/>
      <c r="E303" s="34">
        <v>247.424732991695</v>
      </c>
      <c r="F303" s="34">
        <f xml:space="preserve">E303</f>
        <v>247.424732991695</v>
      </c>
      <c r="G303" s="34"/>
      <c r="H303" s="34"/>
      <c r="I303" s="34">
        <f xml:space="preserve">F303</f>
        <v>247.424732991695</v>
      </c>
      <c r="J303" s="34">
        <f xml:space="preserve">I303</f>
        <v>247.424732991695</v>
      </c>
      <c r="K303" s="34"/>
      <c r="L303" s="34">
        <f xml:space="preserve">J303</f>
        <v>247.424732991695</v>
      </c>
      <c r="M303" s="34"/>
      <c r="N303" s="34"/>
      <c r="O303" s="34"/>
      <c r="P303" s="34"/>
      <c r="Q303" s="34"/>
      <c r="R303" s="34"/>
      <c r="S303" s="34"/>
      <c r="T303" s="34"/>
      <c r="U303" s="34"/>
      <c r="V303" s="34">
        <f xml:space="preserve">L303</f>
        <v>247.424732991695</v>
      </c>
      <c r="W303" s="34">
        <v>3</v>
      </c>
      <c r="AG303" s="232" t="s">
        <v>437</v>
      </c>
      <c r="AI303">
        <v>1</v>
      </c>
      <c r="AJ303">
        <v>1.00833807922416</v>
      </c>
      <c r="AK303">
        <v>1.0766352075424</v>
      </c>
      <c r="AL303">
        <v>1.15564343027581</v>
      </c>
      <c r="AM303">
        <v>1.2657319608088</v>
      </c>
      <c r="AN303">
        <v>1.3800049173744</v>
      </c>
      <c r="AO303">
        <v>1.49615904702163</v>
      </c>
      <c r="AP303">
        <v>1.61335437679292</v>
      </c>
      <c r="AQ303">
        <v>1.74229545925796</v>
      </c>
      <c r="AR303">
        <v>1.89143776051591</v>
      </c>
      <c r="AS303">
        <v>2.05009844692402</v>
      </c>
      <c r="AT303">
        <v>2.21564298647701</v>
      </c>
      <c r="AU303">
        <v>2.38344760280091</v>
      </c>
      <c r="AV303">
        <v>2.55419604958363</v>
      </c>
      <c r="AW303">
        <v>2.73323720135036</v>
      </c>
      <c r="AX303">
        <v>2.92536570747861</v>
      </c>
      <c r="AY303">
        <v>3.12923604119332</v>
      </c>
      <c r="AZ303">
        <v>3.33677478017044</v>
      </c>
      <c r="BA303">
        <v>0</v>
      </c>
      <c r="BB303">
        <v>0</v>
      </c>
      <c r="BC303">
        <v>0</v>
      </c>
      <c r="BD303">
        <v>0</v>
      </c>
      <c r="BE303">
        <v>0</v>
      </c>
      <c r="BF303">
        <v>0</v>
      </c>
      <c r="BG303">
        <v>0</v>
      </c>
      <c r="BH303">
        <v>0</v>
      </c>
      <c r="BJ303" t="s">
        <v>452</v>
      </c>
      <c r="BL303">
        <v>0.8</v>
      </c>
      <c r="BM303">
        <v>0.797560975609756</v>
      </c>
      <c r="BN303">
        <v>0.785365853658536</v>
      </c>
      <c r="BO303">
        <v>0.773170731707317</v>
      </c>
      <c r="BP303">
        <v>0.760975609756097</v>
      </c>
      <c r="BQ303">
        <v>0.748780487804878</v>
      </c>
      <c r="BR303">
        <v>0.736585365853658</v>
      </c>
      <c r="BS303">
        <v>0.724390243902439</v>
      </c>
      <c r="BT303">
        <v>0.71219512195122</v>
      </c>
      <c r="BU303">
        <v>0.699999999999999</v>
      </c>
      <c r="BV303">
        <v>0.687499999999999</v>
      </c>
      <c r="BW303">
        <v>0.675</v>
      </c>
      <c r="BX303">
        <v>0.6625</v>
      </c>
      <c r="BY303">
        <v>0.649999999999999</v>
      </c>
      <c r="BZ303">
        <v>0.637499999999999</v>
      </c>
      <c r="CA303">
        <v>0.625</v>
      </c>
      <c r="CB303">
        <v>0.6125</v>
      </c>
      <c r="CC303">
        <v>0.6</v>
      </c>
      <c r="CD303" t="e">
        <v>#VALUE!</v>
      </c>
      <c r="CE303" t="e">
        <v>#VALUE!</v>
      </c>
      <c r="CF303" t="e">
        <v>#VALUE!</v>
      </c>
      <c r="CG303" t="e">
        <v>#VALUE!</v>
      </c>
      <c r="CH303" t="e">
        <v>#VALUE!</v>
      </c>
      <c r="CI303" t="e">
        <v>#VALUE!</v>
      </c>
      <c r="CJ303" t="e">
        <v>#VALUE!</v>
      </c>
      <c r="CK303" t="e">
        <v>#VALUE!</v>
      </c>
    </row>
    <row r="304" spans="1:89">
      <c r="A304" s="34" t="s">
        <v>29</v>
      </c>
      <c r="B304" s="34" t="s">
        <v>439</v>
      </c>
      <c r="C304" s="34" t="s">
        <v>439</v>
      </c>
      <c r="D304" s="34"/>
      <c r="E304" s="34">
        <v>254.796113659036</v>
      </c>
      <c r="F304" s="34">
        <f xml:space="preserve">E304</f>
        <v>254.796113659036</v>
      </c>
      <c r="G304" s="34"/>
      <c r="H304" s="34"/>
      <c r="I304" s="34">
        <f xml:space="preserve">F304</f>
        <v>254.796113659036</v>
      </c>
      <c r="J304" s="34">
        <f xml:space="preserve">I304</f>
        <v>254.796113659036</v>
      </c>
      <c r="K304" s="34"/>
      <c r="L304" s="34">
        <f xml:space="preserve">J304</f>
        <v>254.796113659036</v>
      </c>
      <c r="M304" s="34"/>
      <c r="N304" s="34"/>
      <c r="O304" s="34"/>
      <c r="P304" s="34"/>
      <c r="Q304" s="34"/>
      <c r="R304" s="34"/>
      <c r="S304" s="34"/>
      <c r="T304" s="34"/>
      <c r="U304" s="34"/>
      <c r="V304" s="34">
        <f xml:space="preserve">L304</f>
        <v>254.796113659036</v>
      </c>
      <c r="W304" s="34">
        <v>3</v>
      </c>
      <c r="AG304" s="232" t="s">
        <v>437</v>
      </c>
      <c r="AI304">
        <v>1</v>
      </c>
      <c r="AJ304">
        <v>1.00833807922416</v>
      </c>
      <c r="AK304">
        <v>1.0766352075424</v>
      </c>
      <c r="AL304">
        <v>1.15564343027581</v>
      </c>
      <c r="AM304">
        <v>1.2657319608088</v>
      </c>
      <c r="AN304">
        <v>1.3800049173744</v>
      </c>
      <c r="AO304">
        <v>1.49615904702163</v>
      </c>
      <c r="AP304">
        <v>1.61335437679292</v>
      </c>
      <c r="AQ304">
        <v>1.74229545925796</v>
      </c>
      <c r="AR304">
        <v>1.89143776051591</v>
      </c>
      <c r="AS304">
        <v>2.05009844692402</v>
      </c>
      <c r="AT304">
        <v>2.21564298647701</v>
      </c>
      <c r="AU304">
        <v>2.38344760280091</v>
      </c>
      <c r="AV304">
        <v>2.55419604958363</v>
      </c>
      <c r="AW304">
        <v>2.73323720135036</v>
      </c>
      <c r="AX304">
        <v>2.92536570747861</v>
      </c>
      <c r="AY304">
        <v>3.12923604119332</v>
      </c>
      <c r="AZ304">
        <v>3.33677478017044</v>
      </c>
      <c r="BA304">
        <v>0</v>
      </c>
      <c r="BB304">
        <v>0</v>
      </c>
      <c r="BC304">
        <v>0</v>
      </c>
      <c r="BD304">
        <v>0</v>
      </c>
      <c r="BE304">
        <v>0</v>
      </c>
      <c r="BF304">
        <v>0</v>
      </c>
      <c r="BG304">
        <v>0</v>
      </c>
      <c r="BH304">
        <v>0</v>
      </c>
      <c r="BJ304" t="s">
        <v>452</v>
      </c>
      <c r="BL304">
        <v>0.8</v>
      </c>
      <c r="BM304">
        <v>0.797560975609756</v>
      </c>
      <c r="BN304">
        <v>0.785365853658536</v>
      </c>
      <c r="BO304">
        <v>0.773170731707317</v>
      </c>
      <c r="BP304">
        <v>0.760975609756097</v>
      </c>
      <c r="BQ304">
        <v>0.748780487804878</v>
      </c>
      <c r="BR304">
        <v>0.736585365853658</v>
      </c>
      <c r="BS304">
        <v>0.724390243902439</v>
      </c>
      <c r="BT304">
        <v>0.71219512195122</v>
      </c>
      <c r="BU304">
        <v>0.699999999999999</v>
      </c>
      <c r="BV304">
        <v>0.687499999999999</v>
      </c>
      <c r="BW304">
        <v>0.675</v>
      </c>
      <c r="BX304">
        <v>0.6625</v>
      </c>
      <c r="BY304">
        <v>0.649999999999999</v>
      </c>
      <c r="BZ304">
        <v>0.637499999999999</v>
      </c>
      <c r="CA304">
        <v>0.625</v>
      </c>
      <c r="CB304">
        <v>0.6125</v>
      </c>
      <c r="CC304">
        <v>0.6</v>
      </c>
      <c r="CD304" t="e">
        <v>#VALUE!</v>
      </c>
      <c r="CE304" t="e">
        <v>#VALUE!</v>
      </c>
      <c r="CF304" t="e">
        <v>#VALUE!</v>
      </c>
      <c r="CG304" t="e">
        <v>#VALUE!</v>
      </c>
      <c r="CH304" t="e">
        <v>#VALUE!</v>
      </c>
      <c r="CI304" t="e">
        <v>#VALUE!</v>
      </c>
      <c r="CJ304" t="e">
        <v>#VALUE!</v>
      </c>
      <c r="CK304" t="e">
        <v>#VALUE!</v>
      </c>
    </row>
    <row r="305" spans="1:89">
      <c r="A305" s="34" t="s">
        <v>29</v>
      </c>
      <c r="B305" s="34" t="s">
        <v>440</v>
      </c>
      <c r="C305" s="34" t="s">
        <v>440</v>
      </c>
      <c r="D305" s="34"/>
      <c r="E305" s="34">
        <v>195.540546638997</v>
      </c>
      <c r="F305" s="34"/>
      <c r="G305" s="34"/>
      <c r="H305" s="34"/>
      <c r="I305" s="34">
        <v>233.403341867434</v>
      </c>
      <c r="J305" s="34">
        <v>249.181754381167</v>
      </c>
      <c r="K305" s="34"/>
      <c r="L305" s="34">
        <v>279.646185639978</v>
      </c>
      <c r="M305" s="34"/>
      <c r="N305" s="34"/>
      <c r="O305" s="34"/>
      <c r="P305" s="34"/>
      <c r="Q305" s="34"/>
      <c r="R305" s="34"/>
      <c r="S305" s="34"/>
      <c r="T305" s="34"/>
      <c r="U305" s="34"/>
      <c r="V305" s="34">
        <v>454.057544816134</v>
      </c>
      <c r="W305" s="34">
        <v>3</v>
      </c>
      <c r="AG305" s="232" t="s">
        <v>437</v>
      </c>
      <c r="AI305">
        <v>1</v>
      </c>
      <c r="AJ305">
        <v>1.00833807922416</v>
      </c>
      <c r="AK305">
        <v>1.0766352075424</v>
      </c>
      <c r="AL305">
        <v>1.15564343027581</v>
      </c>
      <c r="AM305">
        <v>1.2657319608088</v>
      </c>
      <c r="AN305">
        <v>1.3800049173744</v>
      </c>
      <c r="AO305">
        <v>1.49615904702163</v>
      </c>
      <c r="AP305">
        <v>1.61335437679292</v>
      </c>
      <c r="AQ305">
        <v>1.74229545925796</v>
      </c>
      <c r="AR305">
        <v>1.89143776051591</v>
      </c>
      <c r="AS305">
        <v>2.05009844692402</v>
      </c>
      <c r="AT305">
        <v>2.21564298647701</v>
      </c>
      <c r="AU305">
        <v>2.38344760280091</v>
      </c>
      <c r="AV305">
        <v>2.55419604958363</v>
      </c>
      <c r="AW305">
        <v>2.73323720135036</v>
      </c>
      <c r="AX305">
        <v>2.92536570747861</v>
      </c>
      <c r="AY305">
        <v>3.12923604119332</v>
      </c>
      <c r="AZ305">
        <v>3.33677478017044</v>
      </c>
      <c r="BA305">
        <v>0</v>
      </c>
      <c r="BB305">
        <v>0</v>
      </c>
      <c r="BC305">
        <v>0</v>
      </c>
      <c r="BD305">
        <v>0</v>
      </c>
      <c r="BE305">
        <v>0</v>
      </c>
      <c r="BF305">
        <v>0</v>
      </c>
      <c r="BG305">
        <v>0</v>
      </c>
      <c r="BH305">
        <v>0</v>
      </c>
      <c r="BJ305" t="s">
        <v>452</v>
      </c>
      <c r="BL305">
        <v>0.8</v>
      </c>
      <c r="BM305">
        <v>0.797560975609756</v>
      </c>
      <c r="BN305">
        <v>0.785365853658536</v>
      </c>
      <c r="BO305">
        <v>0.773170731707317</v>
      </c>
      <c r="BP305">
        <v>0.760975609756097</v>
      </c>
      <c r="BQ305">
        <v>0.748780487804878</v>
      </c>
      <c r="BR305">
        <v>0.736585365853658</v>
      </c>
      <c r="BS305">
        <v>0.724390243902439</v>
      </c>
      <c r="BT305">
        <v>0.71219512195122</v>
      </c>
      <c r="BU305">
        <v>0.699999999999999</v>
      </c>
      <c r="BV305">
        <v>0.687499999999999</v>
      </c>
      <c r="BW305">
        <v>0.675</v>
      </c>
      <c r="BX305">
        <v>0.6625</v>
      </c>
      <c r="BY305">
        <v>0.649999999999999</v>
      </c>
      <c r="BZ305">
        <v>0.637499999999999</v>
      </c>
      <c r="CA305">
        <v>0.625</v>
      </c>
      <c r="CB305">
        <v>0.6125</v>
      </c>
      <c r="CC305">
        <v>0.6</v>
      </c>
      <c r="CD305" t="e">
        <v>#VALUE!</v>
      </c>
      <c r="CE305" t="e">
        <v>#VALUE!</v>
      </c>
      <c r="CF305" t="e">
        <v>#VALUE!</v>
      </c>
      <c r="CG305" t="e">
        <v>#VALUE!</v>
      </c>
      <c r="CH305" t="e">
        <v>#VALUE!</v>
      </c>
      <c r="CI305" t="e">
        <v>#VALUE!</v>
      </c>
      <c r="CJ305" t="e">
        <v>#VALUE!</v>
      </c>
      <c r="CK305" t="e">
        <v>#VALUE!</v>
      </c>
    </row>
    <row r="306" spans="1:89">
      <c r="A306" s="34" t="s">
        <v>29</v>
      </c>
      <c r="B306" s="34" t="s">
        <v>441</v>
      </c>
      <c r="C306" s="34" t="s">
        <v>441</v>
      </c>
      <c r="D306" s="34"/>
      <c r="E306" s="34">
        <v>172.001941684198</v>
      </c>
      <c r="F306" s="34"/>
      <c r="G306" s="34"/>
      <c r="H306" s="34"/>
      <c r="I306" s="34">
        <v>167.898987057315</v>
      </c>
      <c r="J306" s="34">
        <v>166.624883992822</v>
      </c>
      <c r="K306" s="34"/>
      <c r="L306" s="34">
        <v>165.248837367325</v>
      </c>
      <c r="M306" s="34"/>
      <c r="N306" s="34"/>
      <c r="O306" s="34"/>
      <c r="P306" s="34"/>
      <c r="Q306" s="34"/>
      <c r="R306" s="34"/>
      <c r="S306" s="34"/>
      <c r="T306" s="34"/>
      <c r="U306" s="34"/>
      <c r="V306" s="34">
        <v>154.25511252623</v>
      </c>
      <c r="W306" s="34">
        <v>3</v>
      </c>
      <c r="AG306" s="232" t="s">
        <v>442</v>
      </c>
      <c r="AI306">
        <v>1</v>
      </c>
      <c r="AJ306">
        <v>0.999153277629258</v>
      </c>
      <c r="AK306">
        <v>0.994919665775547</v>
      </c>
      <c r="AL306">
        <v>0.981113622085295</v>
      </c>
      <c r="AM306">
        <v>0.968255638939726</v>
      </c>
      <c r="AN306">
        <v>0.958442860335364</v>
      </c>
      <c r="AO306">
        <v>0.952105611580232</v>
      </c>
      <c r="AP306">
        <v>0.947630746523464</v>
      </c>
      <c r="AQ306">
        <v>0.941735143873907</v>
      </c>
      <c r="AR306">
        <v>0.934265564647304</v>
      </c>
      <c r="AS306">
        <v>0.924882519918043</v>
      </c>
      <c r="AT306">
        <v>0.914704409340846</v>
      </c>
      <c r="AU306">
        <v>0.904538268851693</v>
      </c>
      <c r="AV306">
        <v>0.894562479762628</v>
      </c>
      <c r="AW306">
        <v>0.884815690929354</v>
      </c>
      <c r="AX306">
        <v>0.875027887508692</v>
      </c>
      <c r="AY306">
        <v>0.864537146774868</v>
      </c>
      <c r="AZ306">
        <v>0.852214873283883</v>
      </c>
      <c r="BA306">
        <v>0</v>
      </c>
      <c r="BB306">
        <v>0</v>
      </c>
      <c r="BC306">
        <v>0</v>
      </c>
      <c r="BD306">
        <v>0</v>
      </c>
      <c r="BE306">
        <v>0</v>
      </c>
      <c r="BF306">
        <v>0</v>
      </c>
      <c r="BG306">
        <v>0</v>
      </c>
      <c r="BH306">
        <v>0</v>
      </c>
      <c r="BJ306" t="s">
        <v>452</v>
      </c>
      <c r="BL306">
        <v>0.8</v>
      </c>
      <c r="BM306">
        <v>0.797560975609756</v>
      </c>
      <c r="BN306">
        <v>0.785365853658536</v>
      </c>
      <c r="BO306">
        <v>0.773170731707317</v>
      </c>
      <c r="BP306">
        <v>0.760975609756097</v>
      </c>
      <c r="BQ306">
        <v>0.748780487804878</v>
      </c>
      <c r="BR306">
        <v>0.736585365853658</v>
      </c>
      <c r="BS306">
        <v>0.724390243902439</v>
      </c>
      <c r="BT306">
        <v>0.71219512195122</v>
      </c>
      <c r="BU306">
        <v>0.699999999999999</v>
      </c>
      <c r="BV306">
        <v>0.687499999999999</v>
      </c>
      <c r="BW306">
        <v>0.675</v>
      </c>
      <c r="BX306">
        <v>0.6625</v>
      </c>
      <c r="BY306">
        <v>0.649999999999999</v>
      </c>
      <c r="BZ306">
        <v>0.637499999999999</v>
      </c>
      <c r="CA306">
        <v>0.625</v>
      </c>
      <c r="CB306">
        <v>0.6125</v>
      </c>
      <c r="CC306">
        <v>0.6</v>
      </c>
      <c r="CD306" t="e">
        <v>#VALUE!</v>
      </c>
      <c r="CE306" t="e">
        <v>#VALUE!</v>
      </c>
      <c r="CF306" t="e">
        <v>#VALUE!</v>
      </c>
      <c r="CG306" t="e">
        <v>#VALUE!</v>
      </c>
      <c r="CH306" t="e">
        <v>#VALUE!</v>
      </c>
      <c r="CI306" t="e">
        <v>#VALUE!</v>
      </c>
      <c r="CJ306" t="e">
        <v>#VALUE!</v>
      </c>
      <c r="CK306" t="e">
        <v>#VALUE!</v>
      </c>
    </row>
    <row r="307" spans="1:89">
      <c r="A307" s="34" t="s">
        <v>29</v>
      </c>
      <c r="B307" s="34" t="s">
        <v>443</v>
      </c>
      <c r="C307" s="34" t="s">
        <v>443</v>
      </c>
      <c r="D307" s="34"/>
      <c r="E307" s="34">
        <v>25.7643640096326</v>
      </c>
      <c r="F307" s="34">
        <f xml:space="preserve">E307</f>
        <v>25.7643640096326</v>
      </c>
      <c r="G307" s="34"/>
      <c r="H307" s="34"/>
      <c r="I307" s="34">
        <f xml:space="preserve">F307</f>
        <v>25.7643640096326</v>
      </c>
      <c r="J307" s="34">
        <f xml:space="preserve">I307</f>
        <v>25.7643640096326</v>
      </c>
      <c r="K307" s="34"/>
      <c r="L307" s="34">
        <f xml:space="preserve">J307</f>
        <v>25.7643640096326</v>
      </c>
      <c r="M307" s="34"/>
      <c r="N307" s="34"/>
      <c r="O307" s="34"/>
      <c r="P307" s="34"/>
      <c r="Q307" s="34"/>
      <c r="R307" s="34"/>
      <c r="S307" s="34"/>
      <c r="T307" s="34"/>
      <c r="U307" s="34"/>
      <c r="V307" s="34">
        <f xml:space="preserve">L307</f>
        <v>25.7643640096326</v>
      </c>
      <c r="W307" s="34">
        <v>3</v>
      </c>
      <c r="AG307" s="232" t="s">
        <v>437</v>
      </c>
      <c r="AI307">
        <v>1</v>
      </c>
      <c r="AJ307">
        <v>1.00833807922416</v>
      </c>
      <c r="AK307">
        <v>1.0766352075424</v>
      </c>
      <c r="AL307">
        <v>1.15564343027581</v>
      </c>
      <c r="AM307">
        <v>1.2657319608088</v>
      </c>
      <c r="AN307">
        <v>1.3800049173744</v>
      </c>
      <c r="AO307">
        <v>1.49615904702163</v>
      </c>
      <c r="AP307">
        <v>1.61335437679292</v>
      </c>
      <c r="AQ307">
        <v>1.74229545925796</v>
      </c>
      <c r="AR307">
        <v>1.89143776051591</v>
      </c>
      <c r="AS307">
        <v>2.05009844692402</v>
      </c>
      <c r="AT307">
        <v>2.21564298647701</v>
      </c>
      <c r="AU307">
        <v>2.38344760280091</v>
      </c>
      <c r="AV307">
        <v>2.55419604958363</v>
      </c>
      <c r="AW307">
        <v>2.73323720135036</v>
      </c>
      <c r="AX307">
        <v>2.92536570747861</v>
      </c>
      <c r="AY307">
        <v>3.12923604119332</v>
      </c>
      <c r="AZ307">
        <v>3.33677478017044</v>
      </c>
      <c r="BA307">
        <v>0</v>
      </c>
      <c r="BB307">
        <v>0</v>
      </c>
      <c r="BC307">
        <v>0</v>
      </c>
      <c r="BD307">
        <v>0</v>
      </c>
      <c r="BE307">
        <v>0</v>
      </c>
      <c r="BF307">
        <v>0</v>
      </c>
      <c r="BG307">
        <v>0</v>
      </c>
      <c r="BH307">
        <v>0</v>
      </c>
      <c r="BJ307" t="s">
        <v>452</v>
      </c>
      <c r="BL307">
        <v>0.8</v>
      </c>
      <c r="BM307">
        <v>0.797560975609756</v>
      </c>
      <c r="BN307">
        <v>0.785365853658536</v>
      </c>
      <c r="BO307">
        <v>0.773170731707317</v>
      </c>
      <c r="BP307">
        <v>0.760975609756097</v>
      </c>
      <c r="BQ307">
        <v>0.748780487804878</v>
      </c>
      <c r="BR307">
        <v>0.736585365853658</v>
      </c>
      <c r="BS307">
        <v>0.724390243902439</v>
      </c>
      <c r="BT307">
        <v>0.71219512195122</v>
      </c>
      <c r="BU307">
        <v>0.699999999999999</v>
      </c>
      <c r="BV307">
        <v>0.687499999999999</v>
      </c>
      <c r="BW307">
        <v>0.675</v>
      </c>
      <c r="BX307">
        <v>0.6625</v>
      </c>
      <c r="BY307">
        <v>0.649999999999999</v>
      </c>
      <c r="BZ307">
        <v>0.637499999999999</v>
      </c>
      <c r="CA307">
        <v>0.625</v>
      </c>
      <c r="CB307">
        <v>0.6125</v>
      </c>
      <c r="CC307">
        <v>0.6</v>
      </c>
      <c r="CD307" t="e">
        <v>#VALUE!</v>
      </c>
      <c r="CE307" t="e">
        <v>#VALUE!</v>
      </c>
      <c r="CF307" t="e">
        <v>#VALUE!</v>
      </c>
      <c r="CG307" t="e">
        <v>#VALUE!</v>
      </c>
      <c r="CH307" t="e">
        <v>#VALUE!</v>
      </c>
      <c r="CI307" t="e">
        <v>#VALUE!</v>
      </c>
      <c r="CJ307" t="e">
        <v>#VALUE!</v>
      </c>
      <c r="CK307" t="e">
        <v>#VALUE!</v>
      </c>
    </row>
    <row r="308" spans="1:89">
      <c r="A308" s="34" t="s">
        <v>29</v>
      </c>
      <c r="B308" s="34" t="s">
        <v>444</v>
      </c>
      <c r="C308" s="34" t="s">
        <v>444</v>
      </c>
      <c r="D308" s="34"/>
      <c r="E308" s="34">
        <v>455.503588512067</v>
      </c>
      <c r="F308" s="34">
        <f xml:space="preserve">E308</f>
        <v>455.503588512067</v>
      </c>
      <c r="G308" s="34"/>
      <c r="H308" s="34"/>
      <c r="I308" s="34">
        <f xml:space="preserve">F308</f>
        <v>455.503588512067</v>
      </c>
      <c r="J308" s="34">
        <f xml:space="preserve">I308</f>
        <v>455.503588512067</v>
      </c>
      <c r="K308" s="34"/>
      <c r="L308" s="34">
        <f xml:space="preserve">J308</f>
        <v>455.503588512067</v>
      </c>
      <c r="M308" s="34"/>
      <c r="N308" s="34"/>
      <c r="O308" s="34"/>
      <c r="P308" s="34"/>
      <c r="Q308" s="34"/>
      <c r="R308" s="34"/>
      <c r="S308" s="34"/>
      <c r="T308" s="34"/>
      <c r="U308" s="34"/>
      <c r="V308" s="34">
        <f xml:space="preserve">L308</f>
        <v>455.503588512067</v>
      </c>
      <c r="W308" s="34">
        <v>3</v>
      </c>
      <c r="AG308" s="232" t="s">
        <v>437</v>
      </c>
      <c r="AI308">
        <v>1</v>
      </c>
      <c r="AJ308">
        <v>1.00833807922416</v>
      </c>
      <c r="AK308">
        <v>1.0766352075424</v>
      </c>
      <c r="AL308">
        <v>1.15564343027581</v>
      </c>
      <c r="AM308">
        <v>1.2657319608088</v>
      </c>
      <c r="AN308">
        <v>1.3800049173744</v>
      </c>
      <c r="AO308">
        <v>1.49615904702163</v>
      </c>
      <c r="AP308">
        <v>1.61335437679292</v>
      </c>
      <c r="AQ308">
        <v>1.74229545925796</v>
      </c>
      <c r="AR308">
        <v>1.89143776051591</v>
      </c>
      <c r="AS308">
        <v>2.05009844692402</v>
      </c>
      <c r="AT308">
        <v>2.21564298647701</v>
      </c>
      <c r="AU308">
        <v>2.38344760280091</v>
      </c>
      <c r="AV308">
        <v>2.55419604958363</v>
      </c>
      <c r="AW308">
        <v>2.73323720135036</v>
      </c>
      <c r="AX308">
        <v>2.92536570747861</v>
      </c>
      <c r="AY308">
        <v>3.12923604119332</v>
      </c>
      <c r="AZ308">
        <v>3.33677478017044</v>
      </c>
      <c r="BA308">
        <v>0</v>
      </c>
      <c r="BB308">
        <v>0</v>
      </c>
      <c r="BC308">
        <v>0</v>
      </c>
      <c r="BD308">
        <v>0</v>
      </c>
      <c r="BE308">
        <v>0</v>
      </c>
      <c r="BF308">
        <v>0</v>
      </c>
      <c r="BG308">
        <v>0</v>
      </c>
      <c r="BH308">
        <v>0</v>
      </c>
      <c r="BJ308" t="s">
        <v>452</v>
      </c>
      <c r="BL308">
        <v>0.8</v>
      </c>
      <c r="BM308">
        <v>0.797560975609756</v>
      </c>
      <c r="BN308">
        <v>0.785365853658536</v>
      </c>
      <c r="BO308">
        <v>0.773170731707317</v>
      </c>
      <c r="BP308">
        <v>0.760975609756097</v>
      </c>
      <c r="BQ308">
        <v>0.748780487804878</v>
      </c>
      <c r="BR308">
        <v>0.736585365853658</v>
      </c>
      <c r="BS308">
        <v>0.724390243902439</v>
      </c>
      <c r="BT308">
        <v>0.71219512195122</v>
      </c>
      <c r="BU308">
        <v>0.699999999999999</v>
      </c>
      <c r="BV308">
        <v>0.687499999999999</v>
      </c>
      <c r="BW308">
        <v>0.675</v>
      </c>
      <c r="BX308">
        <v>0.6625</v>
      </c>
      <c r="BY308">
        <v>0.649999999999999</v>
      </c>
      <c r="BZ308">
        <v>0.637499999999999</v>
      </c>
      <c r="CA308">
        <v>0.625</v>
      </c>
      <c r="CB308">
        <v>0.6125</v>
      </c>
      <c r="CC308">
        <v>0.6</v>
      </c>
      <c r="CD308" t="e">
        <v>#VALUE!</v>
      </c>
      <c r="CE308" t="e">
        <v>#VALUE!</v>
      </c>
      <c r="CF308" t="e">
        <v>#VALUE!</v>
      </c>
      <c r="CG308" t="e">
        <v>#VALUE!</v>
      </c>
      <c r="CH308" t="e">
        <v>#VALUE!</v>
      </c>
      <c r="CI308" t="e">
        <v>#VALUE!</v>
      </c>
      <c r="CJ308" t="e">
        <v>#VALUE!</v>
      </c>
      <c r="CK308" t="e">
        <v>#VALUE!</v>
      </c>
    </row>
    <row r="309" spans="1:89">
      <c r="A309" s="34" t="s">
        <v>29</v>
      </c>
      <c r="B309" s="34" t="s">
        <v>445</v>
      </c>
      <c r="C309" s="34" t="s">
        <v>445</v>
      </c>
      <c r="D309" s="34">
        <v>16.08</v>
      </c>
      <c r="E309" s="34">
        <v>16.0691409714611</v>
      </c>
      <c r="F309" s="34"/>
      <c r="G309" s="34">
        <v>16.0156668575521</v>
      </c>
      <c r="H309" s="34">
        <v>15.8438358011668</v>
      </c>
      <c r="I309" s="34">
        <v>15.6858257852875</v>
      </c>
      <c r="J309" s="34">
        <v>15.5667937467243</v>
      </c>
      <c r="K309" s="34">
        <v>15.4909784593187</v>
      </c>
      <c r="L309" s="34">
        <v>15.4382377142057</v>
      </c>
      <c r="M309" s="34">
        <v>15.3698330397112</v>
      </c>
      <c r="N309" s="34">
        <v>15.2844965940708</v>
      </c>
      <c r="O309" s="34">
        <v>15.1789614063947</v>
      </c>
      <c r="P309" s="34">
        <v>15.0662088433263</v>
      </c>
      <c r="Q309" s="34">
        <v>14.955274708603</v>
      </c>
      <c r="R309" s="34">
        <v>14.8480664937494</v>
      </c>
      <c r="S309" s="34">
        <v>14.7449327052981</v>
      </c>
      <c r="T309" s="34">
        <v>14.6429902158552</v>
      </c>
      <c r="U309" s="34">
        <v>14.5354625731701</v>
      </c>
      <c r="V309" s="34">
        <v>14.4111579467146</v>
      </c>
      <c r="W309" s="34">
        <v>3</v>
      </c>
      <c r="AG309" s="232" t="s">
        <v>442</v>
      </c>
      <c r="AI309">
        <v>1</v>
      </c>
      <c r="AJ309">
        <v>0.999153277629258</v>
      </c>
      <c r="AK309">
        <v>0.994919665775547</v>
      </c>
      <c r="AL309">
        <v>0.981113622085295</v>
      </c>
      <c r="AM309">
        <v>0.968255638939726</v>
      </c>
      <c r="AN309">
        <v>0.958442860335364</v>
      </c>
      <c r="AO309">
        <v>0.952105611580232</v>
      </c>
      <c r="AP309">
        <v>0.947630746523464</v>
      </c>
      <c r="AQ309">
        <v>0.941735143873907</v>
      </c>
      <c r="AR309">
        <v>0.934265564647304</v>
      </c>
      <c r="AS309">
        <v>0.924882519918043</v>
      </c>
      <c r="AT309">
        <v>0.914704409340846</v>
      </c>
      <c r="AU309">
        <v>0.904538268851693</v>
      </c>
      <c r="AV309">
        <v>0.894562479762628</v>
      </c>
      <c r="AW309">
        <v>0.884815690929354</v>
      </c>
      <c r="AX309">
        <v>0.875027887508692</v>
      </c>
      <c r="AY309">
        <v>0.864537146774868</v>
      </c>
      <c r="AZ309">
        <v>0.852214873283883</v>
      </c>
      <c r="BA309">
        <v>0</v>
      </c>
      <c r="BB309">
        <v>0</v>
      </c>
      <c r="BC309">
        <v>0</v>
      </c>
      <c r="BD309">
        <v>0</v>
      </c>
      <c r="BE309">
        <v>0</v>
      </c>
      <c r="BF309">
        <v>0</v>
      </c>
      <c r="BG309">
        <v>0</v>
      </c>
      <c r="BH309">
        <v>0</v>
      </c>
      <c r="BJ309" t="s">
        <v>452</v>
      </c>
      <c r="BL309">
        <v>0.8</v>
      </c>
      <c r="BM309">
        <v>0.797560975609756</v>
      </c>
      <c r="BN309">
        <v>0.785365853658536</v>
      </c>
      <c r="BO309">
        <v>0.773170731707317</v>
      </c>
      <c r="BP309">
        <v>0.760975609756097</v>
      </c>
      <c r="BQ309">
        <v>0.748780487804878</v>
      </c>
      <c r="BR309">
        <v>0.736585365853658</v>
      </c>
      <c r="BS309">
        <v>0.724390243902439</v>
      </c>
      <c r="BT309">
        <v>0.71219512195122</v>
      </c>
      <c r="BU309">
        <v>0.699999999999999</v>
      </c>
      <c r="BV309">
        <v>0.687499999999999</v>
      </c>
      <c r="BW309">
        <v>0.675</v>
      </c>
      <c r="BX309">
        <v>0.6625</v>
      </c>
      <c r="BY309">
        <v>0.649999999999999</v>
      </c>
      <c r="BZ309">
        <v>0.637499999999999</v>
      </c>
      <c r="CA309">
        <v>0.625</v>
      </c>
      <c r="CB309">
        <v>0.6125</v>
      </c>
      <c r="CC309">
        <v>0.6</v>
      </c>
      <c r="CD309" t="e">
        <v>#VALUE!</v>
      </c>
      <c r="CE309" t="e">
        <v>#VALUE!</v>
      </c>
      <c r="CF309" t="e">
        <v>#VALUE!</v>
      </c>
      <c r="CG309" t="e">
        <v>#VALUE!</v>
      </c>
      <c r="CH309" t="e">
        <v>#VALUE!</v>
      </c>
      <c r="CI309" t="e">
        <v>#VALUE!</v>
      </c>
      <c r="CJ309" t="e">
        <v>#VALUE!</v>
      </c>
      <c r="CK309" t="e">
        <v>#VALUE!</v>
      </c>
    </row>
    <row r="310" spans="1:89">
      <c r="A310" s="34" t="s">
        <v>29</v>
      </c>
      <c r="B310" s="34" t="s">
        <v>446</v>
      </c>
      <c r="C310" s="34" t="s">
        <v>446</v>
      </c>
      <c r="D310" s="34">
        <v>3.18</v>
      </c>
      <c r="E310" s="34">
        <v>3.17785250555015</v>
      </c>
      <c r="F310" s="34"/>
      <c r="G310" s="34">
        <v>3.1672774009338</v>
      </c>
      <c r="H310" s="34">
        <v>3.13329588605165</v>
      </c>
      <c r="I310" s="34">
        <v>3.10204763664269</v>
      </c>
      <c r="J310" s="34">
        <v>3.0785077185686</v>
      </c>
      <c r="K310" s="34">
        <v>3.06351439680557</v>
      </c>
      <c r="L310" s="34">
        <v>3.05308432407799</v>
      </c>
      <c r="M310" s="34">
        <v>3.03955653397274</v>
      </c>
      <c r="N310" s="34">
        <v>3.02268029658863</v>
      </c>
      <c r="O310" s="34">
        <v>3.00180953186164</v>
      </c>
      <c r="P310" s="34">
        <v>2.97951145035931</v>
      </c>
      <c r="Q310" s="34">
        <v>2.95757298341775</v>
      </c>
      <c r="R310" s="34">
        <v>2.9363713588385</v>
      </c>
      <c r="S310" s="34">
        <v>2.91597549768955</v>
      </c>
      <c r="T310" s="34">
        <v>2.89581522925495</v>
      </c>
      <c r="U310" s="34">
        <v>2.87455043424633</v>
      </c>
      <c r="V310" s="34">
        <v>2.84996780289506</v>
      </c>
      <c r="W310" s="34">
        <v>3</v>
      </c>
      <c r="AG310" s="232" t="s">
        <v>442</v>
      </c>
      <c r="AI310">
        <v>1</v>
      </c>
      <c r="AJ310">
        <v>0.999153277629258</v>
      </c>
      <c r="AK310">
        <v>0.994919665775547</v>
      </c>
      <c r="AL310">
        <v>0.981113622085295</v>
      </c>
      <c r="AM310">
        <v>0.968255638939726</v>
      </c>
      <c r="AN310">
        <v>0.958442860335364</v>
      </c>
      <c r="AO310">
        <v>0.952105611580232</v>
      </c>
      <c r="AP310">
        <v>0.947630746523464</v>
      </c>
      <c r="AQ310">
        <v>0.941735143873907</v>
      </c>
      <c r="AR310">
        <v>0.934265564647304</v>
      </c>
      <c r="AS310">
        <v>0.924882519918043</v>
      </c>
      <c r="AT310">
        <v>0.914704409340846</v>
      </c>
      <c r="AU310">
        <v>0.904538268851693</v>
      </c>
      <c r="AV310">
        <v>0.894562479762628</v>
      </c>
      <c r="AW310">
        <v>0.884815690929354</v>
      </c>
      <c r="AX310">
        <v>0.875027887508692</v>
      </c>
      <c r="AY310">
        <v>0.864537146774868</v>
      </c>
      <c r="AZ310">
        <v>0.852214873283883</v>
      </c>
      <c r="BA310">
        <v>0</v>
      </c>
      <c r="BB310">
        <v>0</v>
      </c>
      <c r="BC310">
        <v>0</v>
      </c>
      <c r="BD310">
        <v>0</v>
      </c>
      <c r="BE310">
        <v>0</v>
      </c>
      <c r="BF310">
        <v>0</v>
      </c>
      <c r="BG310">
        <v>0</v>
      </c>
      <c r="BH310">
        <v>0</v>
      </c>
      <c r="BJ310" t="s">
        <v>452</v>
      </c>
      <c r="BL310">
        <v>0.8</v>
      </c>
      <c r="BM310">
        <v>0.797560975609756</v>
      </c>
      <c r="BN310">
        <v>0.785365853658536</v>
      </c>
      <c r="BO310">
        <v>0.773170731707317</v>
      </c>
      <c r="BP310">
        <v>0.760975609756097</v>
      </c>
      <c r="BQ310">
        <v>0.748780487804878</v>
      </c>
      <c r="BR310">
        <v>0.736585365853658</v>
      </c>
      <c r="BS310">
        <v>0.724390243902439</v>
      </c>
      <c r="BT310">
        <v>0.71219512195122</v>
      </c>
      <c r="BU310">
        <v>0.699999999999999</v>
      </c>
      <c r="BV310">
        <v>0.687499999999999</v>
      </c>
      <c r="BW310">
        <v>0.675</v>
      </c>
      <c r="BX310">
        <v>0.6625</v>
      </c>
      <c r="BY310">
        <v>0.649999999999999</v>
      </c>
      <c r="BZ310">
        <v>0.637499999999999</v>
      </c>
      <c r="CA310">
        <v>0.625</v>
      </c>
      <c r="CB310">
        <v>0.6125</v>
      </c>
      <c r="CC310">
        <v>0.6</v>
      </c>
      <c r="CD310" t="e">
        <v>#VALUE!</v>
      </c>
      <c r="CE310" t="e">
        <v>#VALUE!</v>
      </c>
      <c r="CF310" t="e">
        <v>#VALUE!</v>
      </c>
      <c r="CG310" t="e">
        <v>#VALUE!</v>
      </c>
      <c r="CH310" t="e">
        <v>#VALUE!</v>
      </c>
      <c r="CI310" t="e">
        <v>#VALUE!</v>
      </c>
      <c r="CJ310" t="e">
        <v>#VALUE!</v>
      </c>
      <c r="CK310" t="e">
        <v>#VALUE!</v>
      </c>
    </row>
    <row r="311" spans="1:89">
      <c r="A311" s="34" t="s">
        <v>29</v>
      </c>
      <c r="B311" s="34" t="s">
        <v>447</v>
      </c>
      <c r="C311" s="34" t="s">
        <v>447</v>
      </c>
      <c r="D311" s="34">
        <v>6.825</v>
      </c>
      <c r="E311" s="34">
        <v>6.82039099068546</v>
      </c>
      <c r="F311" s="34"/>
      <c r="G311" s="34">
        <v>6.79769442181548</v>
      </c>
      <c r="H311" s="34">
        <v>6.72476239695047</v>
      </c>
      <c r="I311" s="34">
        <v>6.6576965786435</v>
      </c>
      <c r="J311" s="34">
        <v>6.60717458466375</v>
      </c>
      <c r="K311" s="34">
        <v>6.57499552144591</v>
      </c>
      <c r="L311" s="34">
        <v>6.55261022384664</v>
      </c>
      <c r="M311" s="34">
        <v>6.52357652338489</v>
      </c>
      <c r="N311" s="34">
        <v>6.48735629692372</v>
      </c>
      <c r="O311" s="34">
        <v>6.44256291036342</v>
      </c>
      <c r="P311" s="34">
        <v>6.39470617883721</v>
      </c>
      <c r="Q311" s="34">
        <v>6.34762126158056</v>
      </c>
      <c r="R311" s="34">
        <v>6.30211777486565</v>
      </c>
      <c r="S311" s="34">
        <v>6.25834363890917</v>
      </c>
      <c r="T311" s="34">
        <v>6.21507513825944</v>
      </c>
      <c r="U311" s="34">
        <v>6.16943607350038</v>
      </c>
      <c r="V311" s="34">
        <v>6.11667618074175</v>
      </c>
      <c r="W311" s="34">
        <v>3</v>
      </c>
      <c r="AG311" s="232" t="s">
        <v>442</v>
      </c>
      <c r="AI311">
        <v>1</v>
      </c>
      <c r="AJ311">
        <v>0.999153277629258</v>
      </c>
      <c r="AK311">
        <v>0.994919665775547</v>
      </c>
      <c r="AL311">
        <v>0.981113622085295</v>
      </c>
      <c r="AM311">
        <v>0.968255638939726</v>
      </c>
      <c r="AN311">
        <v>0.958442860335364</v>
      </c>
      <c r="AO311">
        <v>0.952105611580232</v>
      </c>
      <c r="AP311">
        <v>0.947630746523464</v>
      </c>
      <c r="AQ311">
        <v>0.941735143873907</v>
      </c>
      <c r="AR311">
        <v>0.934265564647304</v>
      </c>
      <c r="AS311">
        <v>0.924882519918043</v>
      </c>
      <c r="AT311">
        <v>0.914704409340846</v>
      </c>
      <c r="AU311">
        <v>0.904538268851693</v>
      </c>
      <c r="AV311">
        <v>0.894562479762628</v>
      </c>
      <c r="AW311">
        <v>0.884815690929354</v>
      </c>
      <c r="AX311">
        <v>0.875027887508692</v>
      </c>
      <c r="AY311">
        <v>0.864537146774868</v>
      </c>
      <c r="AZ311">
        <v>0.852214873283883</v>
      </c>
      <c r="BA311">
        <v>0</v>
      </c>
      <c r="BB311">
        <v>0</v>
      </c>
      <c r="BC311">
        <v>0</v>
      </c>
      <c r="BD311">
        <v>0</v>
      </c>
      <c r="BE311">
        <v>0</v>
      </c>
      <c r="BF311">
        <v>0</v>
      </c>
      <c r="BG311">
        <v>0</v>
      </c>
      <c r="BH311">
        <v>0</v>
      </c>
      <c r="BJ311" t="s">
        <v>452</v>
      </c>
      <c r="BL311">
        <v>0.8</v>
      </c>
      <c r="BM311">
        <v>0.797560975609756</v>
      </c>
      <c r="BN311">
        <v>0.785365853658536</v>
      </c>
      <c r="BO311">
        <v>0.773170731707317</v>
      </c>
      <c r="BP311">
        <v>0.760975609756097</v>
      </c>
      <c r="BQ311">
        <v>0.748780487804878</v>
      </c>
      <c r="BR311">
        <v>0.736585365853658</v>
      </c>
      <c r="BS311">
        <v>0.724390243902439</v>
      </c>
      <c r="BT311">
        <v>0.71219512195122</v>
      </c>
      <c r="BU311">
        <v>0.699999999999999</v>
      </c>
      <c r="BV311">
        <v>0.687499999999999</v>
      </c>
      <c r="BW311">
        <v>0.675</v>
      </c>
      <c r="BX311">
        <v>0.6625</v>
      </c>
      <c r="BY311">
        <v>0.649999999999999</v>
      </c>
      <c r="BZ311">
        <v>0.637499999999999</v>
      </c>
      <c r="CA311">
        <v>0.625</v>
      </c>
      <c r="CB311">
        <v>0.6125</v>
      </c>
      <c r="CC311">
        <v>0.6</v>
      </c>
      <c r="CD311" t="e">
        <v>#VALUE!</v>
      </c>
      <c r="CE311" t="e">
        <v>#VALUE!</v>
      </c>
      <c r="CF311" t="e">
        <v>#VALUE!</v>
      </c>
      <c r="CG311" t="e">
        <v>#VALUE!</v>
      </c>
      <c r="CH311" t="e">
        <v>#VALUE!</v>
      </c>
      <c r="CI311" t="e">
        <v>#VALUE!</v>
      </c>
      <c r="CJ311" t="e">
        <v>#VALUE!</v>
      </c>
      <c r="CK311" t="e">
        <v>#VALUE!</v>
      </c>
    </row>
    <row r="312" spans="1:89">
      <c r="A312" s="34" t="s">
        <v>29</v>
      </c>
      <c r="B312" s="34" t="s">
        <v>448</v>
      </c>
      <c r="C312" s="34" t="s">
        <v>448</v>
      </c>
      <c r="D312" s="34">
        <v>531.888</v>
      </c>
      <c r="E312" s="34">
        <v>535.78761516086</v>
      </c>
      <c r="F312" s="34"/>
      <c r="G312" s="34">
        <v>566.200505481344</v>
      </c>
      <c r="H312" s="34">
        <v>604.938241295261</v>
      </c>
      <c r="I312" s="34">
        <v>655.486802594992</v>
      </c>
      <c r="J312" s="34">
        <v>705.277454642827</v>
      </c>
      <c r="K312" s="34">
        <v>752.752019494957</v>
      </c>
      <c r="L312" s="34">
        <v>798.241348968659</v>
      </c>
      <c r="M312" s="34">
        <v>847.520271226994</v>
      </c>
      <c r="N312" s="34">
        <v>903.453554589231</v>
      </c>
      <c r="O312" s="34">
        <v>962.385688002794</v>
      </c>
      <c r="P312" s="34">
        <v>1022.6534732597</v>
      </c>
      <c r="Q312" s="34">
        <v>1082.15665587592</v>
      </c>
      <c r="R312" s="34">
        <v>1140.95383591885</v>
      </c>
      <c r="S312" s="34">
        <v>1200.5132942107</v>
      </c>
      <c r="T312" s="34">
        <v>1262.23871672957</v>
      </c>
      <c r="U312" s="34">
        <v>1326.15320743053</v>
      </c>
      <c r="V312" s="34">
        <v>1391.19352245561</v>
      </c>
      <c r="W312" s="34">
        <v>3</v>
      </c>
      <c r="AG312" s="232" t="s">
        <v>449</v>
      </c>
      <c r="AI312">
        <v>1</v>
      </c>
      <c r="AJ312">
        <v>1.0091925851624</v>
      </c>
      <c r="AK312">
        <v>1.08213280386126</v>
      </c>
      <c r="AL312">
        <v>1.17788949644748</v>
      </c>
      <c r="AM312">
        <v>1.3072291137853</v>
      </c>
      <c r="AN312">
        <v>1.43984057316836</v>
      </c>
      <c r="AO312">
        <v>1.57142130959445</v>
      </c>
      <c r="AP312">
        <v>1.70251375096447</v>
      </c>
      <c r="AQ312">
        <v>1.85009072942832</v>
      </c>
      <c r="AR312">
        <v>2.02451832978555</v>
      </c>
      <c r="AS312">
        <v>2.21660416623042</v>
      </c>
      <c r="AT312">
        <v>2.42225025248719</v>
      </c>
      <c r="AU312">
        <v>2.63498813137745</v>
      </c>
      <c r="AV312">
        <v>2.85524612016076</v>
      </c>
      <c r="AW312">
        <v>3.08904693866758</v>
      </c>
      <c r="AX312">
        <v>3.34316854267064</v>
      </c>
      <c r="AY312">
        <v>3.61955070741246</v>
      </c>
      <c r="AZ312">
        <v>3.91541486164478</v>
      </c>
      <c r="BA312">
        <v>0</v>
      </c>
      <c r="BB312">
        <v>0</v>
      </c>
      <c r="BC312">
        <v>0</v>
      </c>
      <c r="BD312">
        <v>0</v>
      </c>
      <c r="BE312">
        <v>0</v>
      </c>
      <c r="BF312">
        <v>0</v>
      </c>
      <c r="BG312">
        <v>0</v>
      </c>
      <c r="BH312">
        <v>0</v>
      </c>
      <c r="BJ312" t="s">
        <v>452</v>
      </c>
      <c r="BL312">
        <v>0.8</v>
      </c>
      <c r="BM312">
        <v>0.797560975609756</v>
      </c>
      <c r="BN312">
        <v>0.785365853658536</v>
      </c>
      <c r="BO312">
        <v>0.773170731707317</v>
      </c>
      <c r="BP312">
        <v>0.760975609756097</v>
      </c>
      <c r="BQ312">
        <v>0.748780487804878</v>
      </c>
      <c r="BR312">
        <v>0.736585365853658</v>
      </c>
      <c r="BS312">
        <v>0.724390243902439</v>
      </c>
      <c r="BT312">
        <v>0.71219512195122</v>
      </c>
      <c r="BU312">
        <v>0.699999999999999</v>
      </c>
      <c r="BV312">
        <v>0.687499999999999</v>
      </c>
      <c r="BW312">
        <v>0.675</v>
      </c>
      <c r="BX312">
        <v>0.6625</v>
      </c>
      <c r="BY312">
        <v>0.649999999999999</v>
      </c>
      <c r="BZ312">
        <v>0.637499999999999</v>
      </c>
      <c r="CA312">
        <v>0.625</v>
      </c>
      <c r="CB312">
        <v>0.6125</v>
      </c>
      <c r="CC312">
        <v>0.6</v>
      </c>
      <c r="CD312" t="e">
        <v>#VALUE!</v>
      </c>
      <c r="CE312" t="e">
        <v>#VALUE!</v>
      </c>
      <c r="CF312" t="e">
        <v>#VALUE!</v>
      </c>
      <c r="CG312" t="e">
        <v>#VALUE!</v>
      </c>
      <c r="CH312" t="e">
        <v>#VALUE!</v>
      </c>
      <c r="CI312" t="e">
        <v>#VALUE!</v>
      </c>
      <c r="CJ312" t="e">
        <v>#VALUE!</v>
      </c>
      <c r="CK312" t="e">
        <v>#VALUE!</v>
      </c>
    </row>
    <row r="313" spans="1:89">
      <c r="A313" s="34" t="s">
        <v>29</v>
      </c>
      <c r="B313" s="34" t="s">
        <v>450</v>
      </c>
      <c r="C313" s="34" t="s">
        <v>450</v>
      </c>
      <c r="D313" s="34">
        <v>100.2</v>
      </c>
      <c r="E313" s="34">
        <v>100.866342685393</v>
      </c>
      <c r="F313" s="34"/>
      <c r="G313" s="34">
        <v>106.231896610463</v>
      </c>
      <c r="H313" s="34">
        <v>112.259352704584</v>
      </c>
      <c r="I313" s="34">
        <v>120.397236631339</v>
      </c>
      <c r="J313" s="34">
        <v>128.536268617272</v>
      </c>
      <c r="K313" s="34">
        <v>136.505249693927</v>
      </c>
      <c r="L313" s="34">
        <v>144.250839410305</v>
      </c>
      <c r="M313" s="34">
        <v>152.461514826692</v>
      </c>
      <c r="N313" s="34">
        <v>161.59711966202</v>
      </c>
      <c r="O313" s="34">
        <v>170.91642608747</v>
      </c>
      <c r="P313" s="34">
        <v>180.23238832493</v>
      </c>
      <c r="Q313" s="34">
        <v>189.275603029981</v>
      </c>
      <c r="R313" s="34">
        <v>198.089320971846</v>
      </c>
      <c r="S313" s="34">
        <v>206.941290016317</v>
      </c>
      <c r="T313" s="34">
        <v>216.032917905273</v>
      </c>
      <c r="U313" s="34">
        <v>225.254382271043</v>
      </c>
      <c r="V313" s="34">
        <v>234.21804173876</v>
      </c>
      <c r="W313" s="34">
        <v>3</v>
      </c>
      <c r="AG313" s="232" t="s">
        <v>437</v>
      </c>
      <c r="AI313">
        <v>1</v>
      </c>
      <c r="AJ313">
        <v>1.00833807922416</v>
      </c>
      <c r="AK313">
        <v>1.0766352075424</v>
      </c>
      <c r="AL313">
        <v>1.15564343027581</v>
      </c>
      <c r="AM313">
        <v>1.2657319608088</v>
      </c>
      <c r="AN313">
        <v>1.3800049173744</v>
      </c>
      <c r="AO313">
        <v>1.49615904702163</v>
      </c>
      <c r="AP313">
        <v>1.61335437679292</v>
      </c>
      <c r="AQ313">
        <v>1.74229545925796</v>
      </c>
      <c r="AR313">
        <v>1.89143776051591</v>
      </c>
      <c r="AS313">
        <v>2.05009844692402</v>
      </c>
      <c r="AT313">
        <v>2.21564298647701</v>
      </c>
      <c r="AU313">
        <v>2.38344760280091</v>
      </c>
      <c r="AV313">
        <v>2.55419604958363</v>
      </c>
      <c r="AW313">
        <v>2.73323720135036</v>
      </c>
      <c r="AX313">
        <v>2.92536570747861</v>
      </c>
      <c r="AY313">
        <v>3.12923604119332</v>
      </c>
      <c r="AZ313">
        <v>3.33677478017044</v>
      </c>
      <c r="BA313">
        <v>0</v>
      </c>
      <c r="BB313">
        <v>0</v>
      </c>
      <c r="BC313">
        <v>0</v>
      </c>
      <c r="BD313">
        <v>0</v>
      </c>
      <c r="BE313">
        <v>0</v>
      </c>
      <c r="BF313">
        <v>0</v>
      </c>
      <c r="BG313">
        <v>0</v>
      </c>
      <c r="BH313">
        <v>0</v>
      </c>
      <c r="BJ313" t="s">
        <v>452</v>
      </c>
      <c r="BL313">
        <v>0.8</v>
      </c>
      <c r="BM313">
        <v>0.797560975609756</v>
      </c>
      <c r="BN313">
        <v>0.785365853658536</v>
      </c>
      <c r="BO313">
        <v>0.773170731707317</v>
      </c>
      <c r="BP313">
        <v>0.760975609756097</v>
      </c>
      <c r="BQ313">
        <v>0.748780487804878</v>
      </c>
      <c r="BR313">
        <v>0.736585365853658</v>
      </c>
      <c r="BS313">
        <v>0.724390243902439</v>
      </c>
      <c r="BT313">
        <v>0.71219512195122</v>
      </c>
      <c r="BU313">
        <v>0.699999999999999</v>
      </c>
      <c r="BV313">
        <v>0.687499999999999</v>
      </c>
      <c r="BW313">
        <v>0.675</v>
      </c>
      <c r="BX313">
        <v>0.6625</v>
      </c>
      <c r="BY313">
        <v>0.649999999999999</v>
      </c>
      <c r="BZ313">
        <v>0.637499999999999</v>
      </c>
      <c r="CA313">
        <v>0.625</v>
      </c>
      <c r="CB313">
        <v>0.6125</v>
      </c>
      <c r="CC313">
        <v>0.6</v>
      </c>
      <c r="CD313" t="e">
        <v>#VALUE!</v>
      </c>
      <c r="CE313" t="e">
        <v>#VALUE!</v>
      </c>
      <c r="CF313" t="e">
        <v>#VALUE!</v>
      </c>
      <c r="CG313" t="e">
        <v>#VALUE!</v>
      </c>
      <c r="CH313" t="e">
        <v>#VALUE!</v>
      </c>
      <c r="CI313" t="e">
        <v>#VALUE!</v>
      </c>
      <c r="CJ313" t="e">
        <v>#VALUE!</v>
      </c>
      <c r="CK313" t="e">
        <v>#VALUE!</v>
      </c>
    </row>
    <row r="314" spans="1:89">
      <c r="A314" s="34" t="s">
        <v>29</v>
      </c>
      <c r="B314" s="34" t="s">
        <v>451</v>
      </c>
      <c r="C314" s="34" t="s">
        <v>451</v>
      </c>
      <c r="D314" s="34">
        <v>132.56</v>
      </c>
      <c r="E314" s="34">
        <v>133.441540782193</v>
      </c>
      <c r="F314" s="34"/>
      <c r="G314" s="34">
        <v>140.539922302225</v>
      </c>
      <c r="H314" s="34">
        <v>148.513970005186</v>
      </c>
      <c r="I314" s="34">
        <v>159.280016844813</v>
      </c>
      <c r="J314" s="34">
        <v>170.047582514028</v>
      </c>
      <c r="K314" s="34">
        <v>180.590178636995</v>
      </c>
      <c r="L314" s="34">
        <v>190.837238245808</v>
      </c>
      <c r="M314" s="34">
        <v>201.699584884493</v>
      </c>
      <c r="N314" s="34">
        <v>213.785570682609</v>
      </c>
      <c r="O314" s="34">
        <v>226.114585251049</v>
      </c>
      <c r="P314" s="34">
        <v>238.439175612302</v>
      </c>
      <c r="Q314" s="34">
        <v>250.402933509524</v>
      </c>
      <c r="R314" s="34">
        <v>262.063077724829</v>
      </c>
      <c r="S314" s="34">
        <v>273.773826392844</v>
      </c>
      <c r="T314" s="34">
        <v>285.80163270981</v>
      </c>
      <c r="U314" s="34">
        <v>298.001206725045</v>
      </c>
      <c r="V314" s="34">
        <v>309.859716695509</v>
      </c>
      <c r="W314" s="34">
        <v>3</v>
      </c>
      <c r="AG314" s="232" t="s">
        <v>437</v>
      </c>
      <c r="AI314">
        <v>1</v>
      </c>
      <c r="AJ314">
        <v>1.00833807922416</v>
      </c>
      <c r="AK314">
        <v>1.0766352075424</v>
      </c>
      <c r="AL314">
        <v>1.15564343027581</v>
      </c>
      <c r="AM314">
        <v>1.2657319608088</v>
      </c>
      <c r="AN314">
        <v>1.3800049173744</v>
      </c>
      <c r="AO314">
        <v>1.49615904702163</v>
      </c>
      <c r="AP314">
        <v>1.61335437679292</v>
      </c>
      <c r="AQ314">
        <v>1.74229545925796</v>
      </c>
      <c r="AR314">
        <v>1.89143776051591</v>
      </c>
      <c r="AS314">
        <v>2.05009844692402</v>
      </c>
      <c r="AT314">
        <v>2.21564298647701</v>
      </c>
      <c r="AU314">
        <v>2.38344760280091</v>
      </c>
      <c r="AV314">
        <v>2.55419604958363</v>
      </c>
      <c r="AW314">
        <v>2.73323720135036</v>
      </c>
      <c r="AX314">
        <v>2.92536570747861</v>
      </c>
      <c r="AY314">
        <v>3.12923604119332</v>
      </c>
      <c r="AZ314">
        <v>3.33677478017044</v>
      </c>
      <c r="BA314">
        <v>0</v>
      </c>
      <c r="BB314">
        <v>0</v>
      </c>
      <c r="BC314">
        <v>0</v>
      </c>
      <c r="BD314">
        <v>0</v>
      </c>
      <c r="BE314">
        <v>0</v>
      </c>
      <c r="BF314">
        <v>0</v>
      </c>
      <c r="BG314">
        <v>0</v>
      </c>
      <c r="BH314">
        <v>0</v>
      </c>
      <c r="BJ314" t="s">
        <v>452</v>
      </c>
      <c r="BL314">
        <v>0.8</v>
      </c>
      <c r="BM314">
        <v>0.797560975609756</v>
      </c>
      <c r="BN314">
        <v>0.785365853658536</v>
      </c>
      <c r="BO314">
        <v>0.773170731707317</v>
      </c>
      <c r="BP314">
        <v>0.760975609756097</v>
      </c>
      <c r="BQ314">
        <v>0.748780487804878</v>
      </c>
      <c r="BR314">
        <v>0.736585365853658</v>
      </c>
      <c r="BS314">
        <v>0.724390243902439</v>
      </c>
      <c r="BT314">
        <v>0.71219512195122</v>
      </c>
      <c r="BU314">
        <v>0.699999999999999</v>
      </c>
      <c r="BV314">
        <v>0.687499999999999</v>
      </c>
      <c r="BW314">
        <v>0.675</v>
      </c>
      <c r="BX314">
        <v>0.6625</v>
      </c>
      <c r="BY314">
        <v>0.649999999999999</v>
      </c>
      <c r="BZ314">
        <v>0.637499999999999</v>
      </c>
      <c r="CA314">
        <v>0.625</v>
      </c>
      <c r="CB314">
        <v>0.6125</v>
      </c>
      <c r="CC314">
        <v>0.6</v>
      </c>
      <c r="CD314" t="e">
        <v>#VALUE!</v>
      </c>
      <c r="CE314" t="e">
        <v>#VALUE!</v>
      </c>
      <c r="CF314" t="e">
        <v>#VALUE!</v>
      </c>
      <c r="CG314" t="e">
        <v>#VALUE!</v>
      </c>
      <c r="CH314" t="e">
        <v>#VALUE!</v>
      </c>
      <c r="CI314" t="e">
        <v>#VALUE!</v>
      </c>
      <c r="CJ314" t="e">
        <v>#VALUE!</v>
      </c>
      <c r="CK314" t="e">
        <v>#VALUE!</v>
      </c>
    </row>
    <row r="315" spans="1:89">
      <c r="A315" s="34" t="s">
        <v>30</v>
      </c>
      <c r="B315" s="34" t="s">
        <v>436</v>
      </c>
      <c r="C315" s="34" t="s">
        <v>436</v>
      </c>
      <c r="D315" s="34"/>
      <c r="E315" s="34">
        <v>40.9363086427679</v>
      </c>
      <c r="F315" s="34">
        <f xml:space="preserve">E315</f>
        <v>40.9363086427679</v>
      </c>
      <c r="G315" s="34"/>
      <c r="H315" s="34"/>
      <c r="I315" s="34">
        <f xml:space="preserve">F315</f>
        <v>40.9363086427679</v>
      </c>
      <c r="J315" s="34">
        <f xml:space="preserve">I315</f>
        <v>40.9363086427679</v>
      </c>
      <c r="K315" s="34"/>
      <c r="L315" s="34">
        <f xml:space="preserve">J315</f>
        <v>40.9363086427679</v>
      </c>
      <c r="M315" s="34"/>
      <c r="N315" s="34"/>
      <c r="O315" s="34"/>
      <c r="P315" s="34"/>
      <c r="Q315" s="34"/>
      <c r="R315" s="34"/>
      <c r="S315" s="34"/>
      <c r="T315" s="34"/>
      <c r="U315" s="34"/>
      <c r="V315" s="34">
        <f xml:space="preserve">L315</f>
        <v>40.9363086427679</v>
      </c>
      <c r="W315" s="34">
        <v>3</v>
      </c>
      <c r="AG315" s="232" t="s">
        <v>437</v>
      </c>
      <c r="AI315">
        <v>1</v>
      </c>
      <c r="AJ315">
        <v>1.0027249390837</v>
      </c>
      <c r="AK315">
        <v>1.21699113580074</v>
      </c>
      <c r="AL315">
        <v>1.50702668284416</v>
      </c>
      <c r="AM315">
        <v>1.767807364104</v>
      </c>
      <c r="AN315">
        <v>2.00151413358469</v>
      </c>
      <c r="AO315">
        <v>2.20393549389834</v>
      </c>
      <c r="AP315">
        <v>2.37738400834278</v>
      </c>
      <c r="AQ315">
        <v>2.52842760736811</v>
      </c>
      <c r="AR315">
        <v>2.65381366129534</v>
      </c>
      <c r="AS315">
        <v>2.75888801427898</v>
      </c>
      <c r="AT315">
        <v>2.84552453197228</v>
      </c>
      <c r="AU315">
        <v>2.91486382825113</v>
      </c>
      <c r="AV315">
        <v>2.97411307870486</v>
      </c>
      <c r="AW315">
        <v>3.02571645592467</v>
      </c>
      <c r="AX315">
        <v>3.07040721168791</v>
      </c>
      <c r="AY315">
        <v>3.10681911618719</v>
      </c>
      <c r="AZ315">
        <v>3.13344179610336</v>
      </c>
      <c r="BA315">
        <v>0</v>
      </c>
      <c r="BB315">
        <v>0</v>
      </c>
      <c r="BC315">
        <v>0</v>
      </c>
      <c r="BD315">
        <v>0</v>
      </c>
      <c r="BE315">
        <v>0</v>
      </c>
      <c r="BF315">
        <v>0</v>
      </c>
      <c r="BG315">
        <v>0</v>
      </c>
      <c r="BH315">
        <v>0</v>
      </c>
      <c r="BJ315" t="s">
        <v>452</v>
      </c>
      <c r="BL315">
        <v>0.8</v>
      </c>
      <c r="BM315">
        <v>0.797560975609756</v>
      </c>
      <c r="BN315">
        <v>0.785365853658536</v>
      </c>
      <c r="BO315">
        <v>0.773170731707317</v>
      </c>
      <c r="BP315">
        <v>0.760975609756097</v>
      </c>
      <c r="BQ315">
        <v>0.748780487804878</v>
      </c>
      <c r="BR315">
        <v>0.736585365853658</v>
      </c>
      <c r="BS315">
        <v>0.724390243902439</v>
      </c>
      <c r="BT315">
        <v>0.71219512195122</v>
      </c>
      <c r="BU315">
        <v>0.699999999999999</v>
      </c>
      <c r="BV315">
        <v>0.687499999999999</v>
      </c>
      <c r="BW315">
        <v>0.675</v>
      </c>
      <c r="BX315">
        <v>0.6625</v>
      </c>
      <c r="BY315">
        <v>0.649999999999999</v>
      </c>
      <c r="BZ315">
        <v>0.637499999999999</v>
      </c>
      <c r="CA315">
        <v>0.625</v>
      </c>
      <c r="CB315">
        <v>0.6125</v>
      </c>
      <c r="CC315">
        <v>0.6</v>
      </c>
      <c r="CD315" t="e">
        <v>#VALUE!</v>
      </c>
      <c r="CE315" t="e">
        <v>#VALUE!</v>
      </c>
      <c r="CF315" t="e">
        <v>#VALUE!</v>
      </c>
      <c r="CG315" t="e">
        <v>#VALUE!</v>
      </c>
      <c r="CH315" t="e">
        <v>#VALUE!</v>
      </c>
      <c r="CI315" t="e">
        <v>#VALUE!</v>
      </c>
      <c r="CJ315" t="e">
        <v>#VALUE!</v>
      </c>
      <c r="CK315" t="e">
        <v>#VALUE!</v>
      </c>
    </row>
    <row r="316" spans="1:89">
      <c r="A316" s="34" t="s">
        <v>30</v>
      </c>
      <c r="B316" s="34" t="s">
        <v>439</v>
      </c>
      <c r="C316" s="34" t="s">
        <v>439</v>
      </c>
      <c r="D316" s="34"/>
      <c r="E316" s="34">
        <v>153.428915688234</v>
      </c>
      <c r="F316" s="34">
        <f xml:space="preserve">E316</f>
        <v>153.428915688234</v>
      </c>
      <c r="G316" s="34"/>
      <c r="H316" s="34"/>
      <c r="I316" s="34">
        <f xml:space="preserve">F316</f>
        <v>153.428915688234</v>
      </c>
      <c r="J316" s="34">
        <f xml:space="preserve">I316</f>
        <v>153.428915688234</v>
      </c>
      <c r="K316" s="34"/>
      <c r="L316" s="34">
        <f xml:space="preserve">J316</f>
        <v>153.428915688234</v>
      </c>
      <c r="M316" s="34"/>
      <c r="N316" s="34"/>
      <c r="O316" s="34"/>
      <c r="P316" s="34"/>
      <c r="Q316" s="34"/>
      <c r="R316" s="34"/>
      <c r="S316" s="34"/>
      <c r="T316" s="34"/>
      <c r="U316" s="34"/>
      <c r="V316" s="34">
        <f xml:space="preserve">L316</f>
        <v>153.428915688234</v>
      </c>
      <c r="W316" s="34">
        <v>3</v>
      </c>
      <c r="AG316" s="232" t="s">
        <v>437</v>
      </c>
      <c r="AI316">
        <v>1</v>
      </c>
      <c r="AJ316">
        <v>1.0027249390837</v>
      </c>
      <c r="AK316">
        <v>1.21699113580074</v>
      </c>
      <c r="AL316">
        <v>1.50702668284416</v>
      </c>
      <c r="AM316">
        <v>1.767807364104</v>
      </c>
      <c r="AN316">
        <v>2.00151413358469</v>
      </c>
      <c r="AO316">
        <v>2.20393549389834</v>
      </c>
      <c r="AP316">
        <v>2.37738400834278</v>
      </c>
      <c r="AQ316">
        <v>2.52842760736811</v>
      </c>
      <c r="AR316">
        <v>2.65381366129534</v>
      </c>
      <c r="AS316">
        <v>2.75888801427898</v>
      </c>
      <c r="AT316">
        <v>2.84552453197228</v>
      </c>
      <c r="AU316">
        <v>2.91486382825113</v>
      </c>
      <c r="AV316">
        <v>2.97411307870486</v>
      </c>
      <c r="AW316">
        <v>3.02571645592467</v>
      </c>
      <c r="AX316">
        <v>3.07040721168791</v>
      </c>
      <c r="AY316">
        <v>3.10681911618719</v>
      </c>
      <c r="AZ316">
        <v>3.13344179610336</v>
      </c>
      <c r="BA316">
        <v>0</v>
      </c>
      <c r="BB316">
        <v>0</v>
      </c>
      <c r="BC316">
        <v>0</v>
      </c>
      <c r="BD316">
        <v>0</v>
      </c>
      <c r="BE316">
        <v>0</v>
      </c>
      <c r="BF316">
        <v>0</v>
      </c>
      <c r="BG316">
        <v>0</v>
      </c>
      <c r="BH316">
        <v>0</v>
      </c>
      <c r="BJ316" t="s">
        <v>452</v>
      </c>
      <c r="BL316">
        <v>0.8</v>
      </c>
      <c r="BM316">
        <v>0.797560975609756</v>
      </c>
      <c r="BN316">
        <v>0.785365853658536</v>
      </c>
      <c r="BO316">
        <v>0.773170731707317</v>
      </c>
      <c r="BP316">
        <v>0.760975609756097</v>
      </c>
      <c r="BQ316">
        <v>0.748780487804878</v>
      </c>
      <c r="BR316">
        <v>0.736585365853658</v>
      </c>
      <c r="BS316">
        <v>0.724390243902439</v>
      </c>
      <c r="BT316">
        <v>0.71219512195122</v>
      </c>
      <c r="BU316">
        <v>0.699999999999999</v>
      </c>
      <c r="BV316">
        <v>0.687499999999999</v>
      </c>
      <c r="BW316">
        <v>0.675</v>
      </c>
      <c r="BX316">
        <v>0.6625</v>
      </c>
      <c r="BY316">
        <v>0.649999999999999</v>
      </c>
      <c r="BZ316">
        <v>0.637499999999999</v>
      </c>
      <c r="CA316">
        <v>0.625</v>
      </c>
      <c r="CB316">
        <v>0.6125</v>
      </c>
      <c r="CC316">
        <v>0.6</v>
      </c>
      <c r="CD316" t="e">
        <v>#VALUE!</v>
      </c>
      <c r="CE316" t="e">
        <v>#VALUE!</v>
      </c>
      <c r="CF316" t="e">
        <v>#VALUE!</v>
      </c>
      <c r="CG316" t="e">
        <v>#VALUE!</v>
      </c>
      <c r="CH316" t="e">
        <v>#VALUE!</v>
      </c>
      <c r="CI316" t="e">
        <v>#VALUE!</v>
      </c>
      <c r="CJ316" t="e">
        <v>#VALUE!</v>
      </c>
      <c r="CK316" t="e">
        <v>#VALUE!</v>
      </c>
    </row>
    <row r="317" spans="1:89">
      <c r="A317" s="34" t="s">
        <v>30</v>
      </c>
      <c r="B317" s="34" t="s">
        <v>440</v>
      </c>
      <c r="C317" s="34" t="s">
        <v>440</v>
      </c>
      <c r="D317" s="34"/>
      <c r="E317" s="34">
        <v>0</v>
      </c>
      <c r="F317" s="34"/>
      <c r="G317" s="34"/>
      <c r="H317" s="34"/>
      <c r="I317" s="34">
        <v>0</v>
      </c>
      <c r="J317" s="34">
        <v>0</v>
      </c>
      <c r="K317" s="34"/>
      <c r="L317" s="34">
        <v>0</v>
      </c>
      <c r="M317" s="34"/>
      <c r="N317" s="34"/>
      <c r="O317" s="34"/>
      <c r="P317" s="34"/>
      <c r="Q317" s="34"/>
      <c r="R317" s="34"/>
      <c r="S317" s="34"/>
      <c r="T317" s="34"/>
      <c r="U317" s="34"/>
      <c r="V317" s="34">
        <v>0</v>
      </c>
      <c r="W317" s="34">
        <v>3</v>
      </c>
      <c r="AG317" s="232" t="s">
        <v>437</v>
      </c>
      <c r="AI317">
        <v>1</v>
      </c>
      <c r="AJ317">
        <v>1.0027249390837</v>
      </c>
      <c r="AK317">
        <v>1.21699113580074</v>
      </c>
      <c r="AL317">
        <v>1.50702668284416</v>
      </c>
      <c r="AM317">
        <v>1.767807364104</v>
      </c>
      <c r="AN317">
        <v>2.00151413358469</v>
      </c>
      <c r="AO317">
        <v>2.20393549389834</v>
      </c>
      <c r="AP317">
        <v>2.37738400834278</v>
      </c>
      <c r="AQ317">
        <v>2.52842760736811</v>
      </c>
      <c r="AR317">
        <v>2.65381366129534</v>
      </c>
      <c r="AS317">
        <v>2.75888801427898</v>
      </c>
      <c r="AT317">
        <v>2.84552453197228</v>
      </c>
      <c r="AU317">
        <v>2.91486382825113</v>
      </c>
      <c r="AV317">
        <v>2.97411307870486</v>
      </c>
      <c r="AW317">
        <v>3.02571645592467</v>
      </c>
      <c r="AX317">
        <v>3.07040721168791</v>
      </c>
      <c r="AY317">
        <v>3.10681911618719</v>
      </c>
      <c r="AZ317">
        <v>3.13344179610336</v>
      </c>
      <c r="BA317">
        <v>0</v>
      </c>
      <c r="BB317">
        <v>0</v>
      </c>
      <c r="BC317">
        <v>0</v>
      </c>
      <c r="BD317">
        <v>0</v>
      </c>
      <c r="BE317">
        <v>0</v>
      </c>
      <c r="BF317">
        <v>0</v>
      </c>
      <c r="BG317">
        <v>0</v>
      </c>
      <c r="BH317">
        <v>0</v>
      </c>
      <c r="BJ317" t="s">
        <v>452</v>
      </c>
      <c r="BL317">
        <v>0.8</v>
      </c>
      <c r="BM317">
        <v>0.797560975609756</v>
      </c>
      <c r="BN317">
        <v>0.785365853658536</v>
      </c>
      <c r="BO317">
        <v>0.773170731707317</v>
      </c>
      <c r="BP317">
        <v>0.760975609756097</v>
      </c>
      <c r="BQ317">
        <v>0.748780487804878</v>
      </c>
      <c r="BR317">
        <v>0.736585365853658</v>
      </c>
      <c r="BS317">
        <v>0.724390243902439</v>
      </c>
      <c r="BT317">
        <v>0.71219512195122</v>
      </c>
      <c r="BU317">
        <v>0.699999999999999</v>
      </c>
      <c r="BV317">
        <v>0.687499999999999</v>
      </c>
      <c r="BW317">
        <v>0.675</v>
      </c>
      <c r="BX317">
        <v>0.6625</v>
      </c>
      <c r="BY317">
        <v>0.649999999999999</v>
      </c>
      <c r="BZ317">
        <v>0.637499999999999</v>
      </c>
      <c r="CA317">
        <v>0.625</v>
      </c>
      <c r="CB317">
        <v>0.6125</v>
      </c>
      <c r="CC317">
        <v>0.6</v>
      </c>
      <c r="CD317" t="e">
        <v>#VALUE!</v>
      </c>
      <c r="CE317" t="e">
        <v>#VALUE!</v>
      </c>
      <c r="CF317" t="e">
        <v>#VALUE!</v>
      </c>
      <c r="CG317" t="e">
        <v>#VALUE!</v>
      </c>
      <c r="CH317" t="e">
        <v>#VALUE!</v>
      </c>
      <c r="CI317" t="e">
        <v>#VALUE!</v>
      </c>
      <c r="CJ317" t="e">
        <v>#VALUE!</v>
      </c>
      <c r="CK317" t="e">
        <v>#VALUE!</v>
      </c>
    </row>
    <row r="318" spans="1:89">
      <c r="A318" s="34" t="s">
        <v>30</v>
      </c>
      <c r="B318" s="34" t="s">
        <v>441</v>
      </c>
      <c r="C318" s="34" t="s">
        <v>441</v>
      </c>
      <c r="D318" s="34"/>
      <c r="E318" s="34">
        <v>0</v>
      </c>
      <c r="F318" s="34"/>
      <c r="G318" s="34"/>
      <c r="H318" s="34"/>
      <c r="I318" s="34">
        <v>0</v>
      </c>
      <c r="J318" s="34">
        <v>0</v>
      </c>
      <c r="K318" s="34"/>
      <c r="L318" s="34">
        <v>0</v>
      </c>
      <c r="M318" s="34"/>
      <c r="N318" s="34"/>
      <c r="O318" s="34"/>
      <c r="P318" s="34"/>
      <c r="Q318" s="34"/>
      <c r="R318" s="34"/>
      <c r="S318" s="34"/>
      <c r="T318" s="34"/>
      <c r="U318" s="34"/>
      <c r="V318" s="34">
        <v>0</v>
      </c>
      <c r="W318" s="34">
        <v>3</v>
      </c>
      <c r="AG318" s="232" t="s">
        <v>442</v>
      </c>
      <c r="AI318">
        <v>1</v>
      </c>
      <c r="AJ318">
        <v>1.01679914151656</v>
      </c>
      <c r="AK318">
        <v>1.10079484909938</v>
      </c>
      <c r="AL318">
        <v>1.17634123765728</v>
      </c>
      <c r="AM318">
        <v>1.24400064839454</v>
      </c>
      <c r="AN318">
        <v>1.30333026953687</v>
      </c>
      <c r="AO318">
        <v>1.35274683429294</v>
      </c>
      <c r="AP318">
        <v>1.39103197881782</v>
      </c>
      <c r="AQ318">
        <v>1.41830062985863</v>
      </c>
      <c r="AR318">
        <v>1.43475513707264</v>
      </c>
      <c r="AS318">
        <v>1.43997615114236</v>
      </c>
      <c r="AT318">
        <v>1.43694581768264</v>
      </c>
      <c r="AU318">
        <v>1.42840009490283</v>
      </c>
      <c r="AV318">
        <v>1.41699675153305</v>
      </c>
      <c r="AW318">
        <v>1.40386569009785</v>
      </c>
      <c r="AX318">
        <v>1.3885442006389</v>
      </c>
      <c r="AY318">
        <v>1.36952731810462</v>
      </c>
      <c r="AZ318">
        <v>1.34669764601564</v>
      </c>
      <c r="BA318">
        <v>0</v>
      </c>
      <c r="BB318">
        <v>0</v>
      </c>
      <c r="BC318">
        <v>0</v>
      </c>
      <c r="BD318">
        <v>0</v>
      </c>
      <c r="BE318">
        <v>0</v>
      </c>
      <c r="BF318">
        <v>0</v>
      </c>
      <c r="BG318">
        <v>0</v>
      </c>
      <c r="BH318">
        <v>0</v>
      </c>
      <c r="BJ318" t="s">
        <v>452</v>
      </c>
      <c r="BL318">
        <v>0.8</v>
      </c>
      <c r="BM318">
        <v>0.797560975609756</v>
      </c>
      <c r="BN318">
        <v>0.785365853658536</v>
      </c>
      <c r="BO318">
        <v>0.773170731707317</v>
      </c>
      <c r="BP318">
        <v>0.760975609756097</v>
      </c>
      <c r="BQ318">
        <v>0.748780487804878</v>
      </c>
      <c r="BR318">
        <v>0.736585365853658</v>
      </c>
      <c r="BS318">
        <v>0.724390243902439</v>
      </c>
      <c r="BT318">
        <v>0.71219512195122</v>
      </c>
      <c r="BU318">
        <v>0.699999999999999</v>
      </c>
      <c r="BV318">
        <v>0.687499999999999</v>
      </c>
      <c r="BW318">
        <v>0.675</v>
      </c>
      <c r="BX318">
        <v>0.6625</v>
      </c>
      <c r="BY318">
        <v>0.649999999999999</v>
      </c>
      <c r="BZ318">
        <v>0.637499999999999</v>
      </c>
      <c r="CA318">
        <v>0.625</v>
      </c>
      <c r="CB318">
        <v>0.6125</v>
      </c>
      <c r="CC318">
        <v>0.6</v>
      </c>
      <c r="CD318" t="e">
        <v>#VALUE!</v>
      </c>
      <c r="CE318" t="e">
        <v>#VALUE!</v>
      </c>
      <c r="CF318" t="e">
        <v>#VALUE!</v>
      </c>
      <c r="CG318" t="e">
        <v>#VALUE!</v>
      </c>
      <c r="CH318" t="e">
        <v>#VALUE!</v>
      </c>
      <c r="CI318" t="e">
        <v>#VALUE!</v>
      </c>
      <c r="CJ318" t="e">
        <v>#VALUE!</v>
      </c>
      <c r="CK318" t="e">
        <v>#VALUE!</v>
      </c>
    </row>
    <row r="319" spans="1:89">
      <c r="A319" s="34" t="s">
        <v>30</v>
      </c>
      <c r="B319" s="34" t="s">
        <v>443</v>
      </c>
      <c r="C319" s="34" t="s">
        <v>443</v>
      </c>
      <c r="D319" s="34"/>
      <c r="E319" s="34">
        <v>0</v>
      </c>
      <c r="F319" s="34">
        <f xml:space="preserve">E319</f>
        <v>0</v>
      </c>
      <c r="G319" s="34"/>
      <c r="H319" s="34"/>
      <c r="I319" s="34">
        <f xml:space="preserve">F319</f>
        <v>0</v>
      </c>
      <c r="J319" s="34">
        <f xml:space="preserve">I319</f>
        <v>0</v>
      </c>
      <c r="K319" s="34"/>
      <c r="L319" s="34">
        <f xml:space="preserve">J319</f>
        <v>0</v>
      </c>
      <c r="M319" s="34"/>
      <c r="N319" s="34"/>
      <c r="O319" s="34"/>
      <c r="P319" s="34"/>
      <c r="Q319" s="34"/>
      <c r="R319" s="34"/>
      <c r="S319" s="34"/>
      <c r="T319" s="34"/>
      <c r="U319" s="34"/>
      <c r="V319" s="34">
        <f xml:space="preserve">L319</f>
        <v>0</v>
      </c>
      <c r="W319" s="34">
        <v>3</v>
      </c>
      <c r="AG319" s="232" t="s">
        <v>437</v>
      </c>
      <c r="AI319">
        <v>1</v>
      </c>
      <c r="AJ319">
        <v>1.0027249390837</v>
      </c>
      <c r="AK319">
        <v>1.21699113580074</v>
      </c>
      <c r="AL319">
        <v>1.50702668284416</v>
      </c>
      <c r="AM319">
        <v>1.767807364104</v>
      </c>
      <c r="AN319">
        <v>2.00151413358469</v>
      </c>
      <c r="AO319">
        <v>2.20393549389834</v>
      </c>
      <c r="AP319">
        <v>2.37738400834278</v>
      </c>
      <c r="AQ319">
        <v>2.52842760736811</v>
      </c>
      <c r="AR319">
        <v>2.65381366129534</v>
      </c>
      <c r="AS319">
        <v>2.75888801427898</v>
      </c>
      <c r="AT319">
        <v>2.84552453197228</v>
      </c>
      <c r="AU319">
        <v>2.91486382825113</v>
      </c>
      <c r="AV319">
        <v>2.97411307870486</v>
      </c>
      <c r="AW319">
        <v>3.02571645592467</v>
      </c>
      <c r="AX319">
        <v>3.07040721168791</v>
      </c>
      <c r="AY319">
        <v>3.10681911618719</v>
      </c>
      <c r="AZ319">
        <v>3.13344179610336</v>
      </c>
      <c r="BA319">
        <v>0</v>
      </c>
      <c r="BB319">
        <v>0</v>
      </c>
      <c r="BC319">
        <v>0</v>
      </c>
      <c r="BD319">
        <v>0</v>
      </c>
      <c r="BE319">
        <v>0</v>
      </c>
      <c r="BF319">
        <v>0</v>
      </c>
      <c r="BG319">
        <v>0</v>
      </c>
      <c r="BH319">
        <v>0</v>
      </c>
      <c r="BJ319" t="s">
        <v>452</v>
      </c>
      <c r="BL319">
        <v>0.8</v>
      </c>
      <c r="BM319">
        <v>0.797560975609756</v>
      </c>
      <c r="BN319">
        <v>0.785365853658536</v>
      </c>
      <c r="BO319">
        <v>0.773170731707317</v>
      </c>
      <c r="BP319">
        <v>0.760975609756097</v>
      </c>
      <c r="BQ319">
        <v>0.748780487804878</v>
      </c>
      <c r="BR319">
        <v>0.736585365853658</v>
      </c>
      <c r="BS319">
        <v>0.724390243902439</v>
      </c>
      <c r="BT319">
        <v>0.71219512195122</v>
      </c>
      <c r="BU319">
        <v>0.699999999999999</v>
      </c>
      <c r="BV319">
        <v>0.687499999999999</v>
      </c>
      <c r="BW319">
        <v>0.675</v>
      </c>
      <c r="BX319">
        <v>0.6625</v>
      </c>
      <c r="BY319">
        <v>0.649999999999999</v>
      </c>
      <c r="BZ319">
        <v>0.637499999999999</v>
      </c>
      <c r="CA319">
        <v>0.625</v>
      </c>
      <c r="CB319">
        <v>0.6125</v>
      </c>
      <c r="CC319">
        <v>0.6</v>
      </c>
      <c r="CD319" t="e">
        <v>#VALUE!</v>
      </c>
      <c r="CE319" t="e">
        <v>#VALUE!</v>
      </c>
      <c r="CF319" t="e">
        <v>#VALUE!</v>
      </c>
      <c r="CG319" t="e">
        <v>#VALUE!</v>
      </c>
      <c r="CH319" t="e">
        <v>#VALUE!</v>
      </c>
      <c r="CI319" t="e">
        <v>#VALUE!</v>
      </c>
      <c r="CJ319" t="e">
        <v>#VALUE!</v>
      </c>
      <c r="CK319" t="e">
        <v>#VALUE!</v>
      </c>
    </row>
    <row r="320" spans="1:89">
      <c r="A320" s="34" t="s">
        <v>30</v>
      </c>
      <c r="B320" s="34" t="s">
        <v>444</v>
      </c>
      <c r="C320" s="34" t="s">
        <v>444</v>
      </c>
      <c r="D320" s="34"/>
      <c r="E320" s="34">
        <v>135.303709517611</v>
      </c>
      <c r="F320" s="34">
        <f xml:space="preserve">E320</f>
        <v>135.303709517611</v>
      </c>
      <c r="G320" s="34"/>
      <c r="H320" s="34"/>
      <c r="I320" s="34">
        <f xml:space="preserve">F320</f>
        <v>135.303709517611</v>
      </c>
      <c r="J320" s="34">
        <f xml:space="preserve">I320</f>
        <v>135.303709517611</v>
      </c>
      <c r="K320" s="34"/>
      <c r="L320" s="34">
        <f xml:space="preserve">J320</f>
        <v>135.303709517611</v>
      </c>
      <c r="M320" s="34"/>
      <c r="N320" s="34"/>
      <c r="O320" s="34"/>
      <c r="P320" s="34"/>
      <c r="Q320" s="34"/>
      <c r="R320" s="34"/>
      <c r="S320" s="34"/>
      <c r="T320" s="34"/>
      <c r="U320" s="34"/>
      <c r="V320" s="34">
        <f xml:space="preserve">L320</f>
        <v>135.303709517611</v>
      </c>
      <c r="W320" s="34">
        <v>3</v>
      </c>
      <c r="AG320" s="232" t="s">
        <v>437</v>
      </c>
      <c r="AI320">
        <v>1</v>
      </c>
      <c r="AJ320">
        <v>1.0027249390837</v>
      </c>
      <c r="AK320">
        <v>1.21699113580074</v>
      </c>
      <c r="AL320">
        <v>1.50702668284416</v>
      </c>
      <c r="AM320">
        <v>1.767807364104</v>
      </c>
      <c r="AN320">
        <v>2.00151413358469</v>
      </c>
      <c r="AO320">
        <v>2.20393549389834</v>
      </c>
      <c r="AP320">
        <v>2.37738400834278</v>
      </c>
      <c r="AQ320">
        <v>2.52842760736811</v>
      </c>
      <c r="AR320">
        <v>2.65381366129534</v>
      </c>
      <c r="AS320">
        <v>2.75888801427898</v>
      </c>
      <c r="AT320">
        <v>2.84552453197228</v>
      </c>
      <c r="AU320">
        <v>2.91486382825113</v>
      </c>
      <c r="AV320">
        <v>2.97411307870486</v>
      </c>
      <c r="AW320">
        <v>3.02571645592467</v>
      </c>
      <c r="AX320">
        <v>3.07040721168791</v>
      </c>
      <c r="AY320">
        <v>3.10681911618719</v>
      </c>
      <c r="AZ320">
        <v>3.13344179610336</v>
      </c>
      <c r="BA320">
        <v>0</v>
      </c>
      <c r="BB320">
        <v>0</v>
      </c>
      <c r="BC320">
        <v>0</v>
      </c>
      <c r="BD320">
        <v>0</v>
      </c>
      <c r="BE320">
        <v>0</v>
      </c>
      <c r="BF320">
        <v>0</v>
      </c>
      <c r="BG320">
        <v>0</v>
      </c>
      <c r="BH320">
        <v>0</v>
      </c>
      <c r="BJ320" t="s">
        <v>452</v>
      </c>
      <c r="BL320">
        <v>0.8</v>
      </c>
      <c r="BM320">
        <v>0.797560975609756</v>
      </c>
      <c r="BN320">
        <v>0.785365853658536</v>
      </c>
      <c r="BO320">
        <v>0.773170731707317</v>
      </c>
      <c r="BP320">
        <v>0.760975609756097</v>
      </c>
      <c r="BQ320">
        <v>0.748780487804878</v>
      </c>
      <c r="BR320">
        <v>0.736585365853658</v>
      </c>
      <c r="BS320">
        <v>0.724390243902439</v>
      </c>
      <c r="BT320">
        <v>0.71219512195122</v>
      </c>
      <c r="BU320">
        <v>0.699999999999999</v>
      </c>
      <c r="BV320">
        <v>0.687499999999999</v>
      </c>
      <c r="BW320">
        <v>0.675</v>
      </c>
      <c r="BX320">
        <v>0.6625</v>
      </c>
      <c r="BY320">
        <v>0.649999999999999</v>
      </c>
      <c r="BZ320">
        <v>0.637499999999999</v>
      </c>
      <c r="CA320">
        <v>0.625</v>
      </c>
      <c r="CB320">
        <v>0.6125</v>
      </c>
      <c r="CC320">
        <v>0.6</v>
      </c>
      <c r="CD320" t="e">
        <v>#VALUE!</v>
      </c>
      <c r="CE320" t="e">
        <v>#VALUE!</v>
      </c>
      <c r="CF320" t="e">
        <v>#VALUE!</v>
      </c>
      <c r="CG320" t="e">
        <v>#VALUE!</v>
      </c>
      <c r="CH320" t="e">
        <v>#VALUE!</v>
      </c>
      <c r="CI320" t="e">
        <v>#VALUE!</v>
      </c>
      <c r="CJ320" t="e">
        <v>#VALUE!</v>
      </c>
      <c r="CK320" t="e">
        <v>#VALUE!</v>
      </c>
    </row>
    <row r="321" spans="1:89">
      <c r="A321" s="34" t="s">
        <v>30</v>
      </c>
      <c r="B321" s="34" t="s">
        <v>445</v>
      </c>
      <c r="C321" s="34" t="s">
        <v>445</v>
      </c>
      <c r="D321" s="34">
        <v>14.126</v>
      </c>
      <c r="E321" s="34">
        <v>14.3152649465648</v>
      </c>
      <c r="F321" s="34"/>
      <c r="G321" s="34">
        <v>15.2440031861102</v>
      </c>
      <c r="H321" s="34">
        <v>16.0528788246618</v>
      </c>
      <c r="I321" s="34">
        <v>16.755495663707</v>
      </c>
      <c r="J321" s="34">
        <v>17.3538559576706</v>
      </c>
      <c r="K321" s="34">
        <v>17.8385159203282</v>
      </c>
      <c r="L321" s="34">
        <v>18.2042328604979</v>
      </c>
      <c r="M321" s="34">
        <v>18.4583874268113</v>
      </c>
      <c r="N321" s="34">
        <v>18.6082897563144</v>
      </c>
      <c r="O321" s="34">
        <v>18.6548436743545</v>
      </c>
      <c r="P321" s="34">
        <v>18.628344611904</v>
      </c>
      <c r="Q321" s="34">
        <v>18.5549492605634</v>
      </c>
      <c r="R321" s="34">
        <v>18.4586649646239</v>
      </c>
      <c r="S321" s="34">
        <v>18.3496185339122</v>
      </c>
      <c r="T321" s="34">
        <v>18.2244536548367</v>
      </c>
      <c r="U321" s="34">
        <v>18.0715773328401</v>
      </c>
      <c r="V321" s="34">
        <v>17.8908281739798</v>
      </c>
      <c r="W321" s="34">
        <v>3</v>
      </c>
      <c r="AG321" s="232" t="s">
        <v>442</v>
      </c>
      <c r="AI321">
        <v>1</v>
      </c>
      <c r="AJ321">
        <v>1.01679914151656</v>
      </c>
      <c r="AK321">
        <v>1.10079484909938</v>
      </c>
      <c r="AL321">
        <v>1.17634123765728</v>
      </c>
      <c r="AM321">
        <v>1.24400064839454</v>
      </c>
      <c r="AN321">
        <v>1.30333026953687</v>
      </c>
      <c r="AO321">
        <v>1.35274683429294</v>
      </c>
      <c r="AP321">
        <v>1.39103197881782</v>
      </c>
      <c r="AQ321">
        <v>1.41830062985863</v>
      </c>
      <c r="AR321">
        <v>1.43475513707264</v>
      </c>
      <c r="AS321">
        <v>1.43997615114236</v>
      </c>
      <c r="AT321">
        <v>1.43694581768264</v>
      </c>
      <c r="AU321">
        <v>1.42840009490283</v>
      </c>
      <c r="AV321">
        <v>1.41699675153305</v>
      </c>
      <c r="AW321">
        <v>1.40386569009785</v>
      </c>
      <c r="AX321">
        <v>1.3885442006389</v>
      </c>
      <c r="AY321">
        <v>1.36952731810462</v>
      </c>
      <c r="AZ321">
        <v>1.34669764601564</v>
      </c>
      <c r="BA321">
        <v>0</v>
      </c>
      <c r="BB321">
        <v>0</v>
      </c>
      <c r="BC321">
        <v>0</v>
      </c>
      <c r="BD321">
        <v>0</v>
      </c>
      <c r="BE321">
        <v>0</v>
      </c>
      <c r="BF321">
        <v>0</v>
      </c>
      <c r="BG321">
        <v>0</v>
      </c>
      <c r="BH321">
        <v>0</v>
      </c>
      <c r="BJ321" t="s">
        <v>452</v>
      </c>
      <c r="BL321">
        <v>0.8</v>
      </c>
      <c r="BM321">
        <v>0.797560975609756</v>
      </c>
      <c r="BN321">
        <v>0.785365853658536</v>
      </c>
      <c r="BO321">
        <v>0.773170731707317</v>
      </c>
      <c r="BP321">
        <v>0.760975609756097</v>
      </c>
      <c r="BQ321">
        <v>0.748780487804878</v>
      </c>
      <c r="BR321">
        <v>0.736585365853658</v>
      </c>
      <c r="BS321">
        <v>0.724390243902439</v>
      </c>
      <c r="BT321">
        <v>0.71219512195122</v>
      </c>
      <c r="BU321">
        <v>0.699999999999999</v>
      </c>
      <c r="BV321">
        <v>0.687499999999999</v>
      </c>
      <c r="BW321">
        <v>0.675</v>
      </c>
      <c r="BX321">
        <v>0.6625</v>
      </c>
      <c r="BY321">
        <v>0.649999999999999</v>
      </c>
      <c r="BZ321">
        <v>0.637499999999999</v>
      </c>
      <c r="CA321">
        <v>0.625</v>
      </c>
      <c r="CB321">
        <v>0.6125</v>
      </c>
      <c r="CC321">
        <v>0.6</v>
      </c>
      <c r="CD321" t="e">
        <v>#VALUE!</v>
      </c>
      <c r="CE321" t="e">
        <v>#VALUE!</v>
      </c>
      <c r="CF321" t="e">
        <v>#VALUE!</v>
      </c>
      <c r="CG321" t="e">
        <v>#VALUE!</v>
      </c>
      <c r="CH321" t="e">
        <v>#VALUE!</v>
      </c>
      <c r="CI321" t="e">
        <v>#VALUE!</v>
      </c>
      <c r="CJ321" t="e">
        <v>#VALUE!</v>
      </c>
      <c r="CK321" t="e">
        <v>#VALUE!</v>
      </c>
    </row>
    <row r="322" spans="1:89">
      <c r="A322" s="34" t="s">
        <v>30</v>
      </c>
      <c r="B322" s="34" t="s">
        <v>446</v>
      </c>
      <c r="C322" s="34" t="s">
        <v>446</v>
      </c>
      <c r="D322" s="34">
        <v>4.185</v>
      </c>
      <c r="E322" s="34">
        <v>4.24107205163343</v>
      </c>
      <c r="F322" s="34"/>
      <c r="G322" s="34">
        <v>4.51622209640883</v>
      </c>
      <c r="H322" s="34">
        <v>4.75586138193469</v>
      </c>
      <c r="I322" s="34">
        <v>4.96402020052483</v>
      </c>
      <c r="J322" s="34">
        <v>5.14129174450315</v>
      </c>
      <c r="K322" s="34">
        <v>5.28487817687763</v>
      </c>
      <c r="L322" s="34">
        <v>5.39322628636441</v>
      </c>
      <c r="M322" s="34">
        <v>5.46852268024957</v>
      </c>
      <c r="N322" s="34">
        <v>5.51293307590086</v>
      </c>
      <c r="O322" s="34">
        <v>5.52672524261457</v>
      </c>
      <c r="P322" s="34">
        <v>5.51887457176967</v>
      </c>
      <c r="Q322" s="34">
        <v>5.49713030266584</v>
      </c>
      <c r="R322" s="34">
        <v>5.4686049042157</v>
      </c>
      <c r="S322" s="34">
        <v>5.43629856749418</v>
      </c>
      <c r="T322" s="34">
        <v>5.39921694361401</v>
      </c>
      <c r="U322" s="34">
        <v>5.35392546636952</v>
      </c>
      <c r="V322" s="34">
        <v>5.30037632083431</v>
      </c>
      <c r="W322" s="34">
        <v>3</v>
      </c>
      <c r="AG322" s="232" t="s">
        <v>442</v>
      </c>
      <c r="AI322">
        <v>1</v>
      </c>
      <c r="AJ322">
        <v>1.01679914151656</v>
      </c>
      <c r="AK322">
        <v>1.10079484909938</v>
      </c>
      <c r="AL322">
        <v>1.17634123765728</v>
      </c>
      <c r="AM322">
        <v>1.24400064839454</v>
      </c>
      <c r="AN322">
        <v>1.30333026953687</v>
      </c>
      <c r="AO322">
        <v>1.35274683429294</v>
      </c>
      <c r="AP322">
        <v>1.39103197881782</v>
      </c>
      <c r="AQ322">
        <v>1.41830062985863</v>
      </c>
      <c r="AR322">
        <v>1.43475513707264</v>
      </c>
      <c r="AS322">
        <v>1.43997615114236</v>
      </c>
      <c r="AT322">
        <v>1.43694581768264</v>
      </c>
      <c r="AU322">
        <v>1.42840009490283</v>
      </c>
      <c r="AV322">
        <v>1.41699675153305</v>
      </c>
      <c r="AW322">
        <v>1.40386569009785</v>
      </c>
      <c r="AX322">
        <v>1.3885442006389</v>
      </c>
      <c r="AY322">
        <v>1.36952731810462</v>
      </c>
      <c r="AZ322">
        <v>1.34669764601564</v>
      </c>
      <c r="BA322">
        <v>0</v>
      </c>
      <c r="BB322">
        <v>0</v>
      </c>
      <c r="BC322">
        <v>0</v>
      </c>
      <c r="BD322">
        <v>0</v>
      </c>
      <c r="BE322">
        <v>0</v>
      </c>
      <c r="BF322">
        <v>0</v>
      </c>
      <c r="BG322">
        <v>0</v>
      </c>
      <c r="BH322">
        <v>0</v>
      </c>
      <c r="BJ322" t="s">
        <v>452</v>
      </c>
      <c r="BL322">
        <v>0.8</v>
      </c>
      <c r="BM322">
        <v>0.797560975609756</v>
      </c>
      <c r="BN322">
        <v>0.785365853658536</v>
      </c>
      <c r="BO322">
        <v>0.773170731707317</v>
      </c>
      <c r="BP322">
        <v>0.760975609756097</v>
      </c>
      <c r="BQ322">
        <v>0.748780487804878</v>
      </c>
      <c r="BR322">
        <v>0.736585365853658</v>
      </c>
      <c r="BS322">
        <v>0.724390243902439</v>
      </c>
      <c r="BT322">
        <v>0.71219512195122</v>
      </c>
      <c r="BU322">
        <v>0.699999999999999</v>
      </c>
      <c r="BV322">
        <v>0.687499999999999</v>
      </c>
      <c r="BW322">
        <v>0.675</v>
      </c>
      <c r="BX322">
        <v>0.6625</v>
      </c>
      <c r="BY322">
        <v>0.649999999999999</v>
      </c>
      <c r="BZ322">
        <v>0.637499999999999</v>
      </c>
      <c r="CA322">
        <v>0.625</v>
      </c>
      <c r="CB322">
        <v>0.6125</v>
      </c>
      <c r="CC322">
        <v>0.6</v>
      </c>
      <c r="CD322" t="e">
        <v>#VALUE!</v>
      </c>
      <c r="CE322" t="e">
        <v>#VALUE!</v>
      </c>
      <c r="CF322" t="e">
        <v>#VALUE!</v>
      </c>
      <c r="CG322" t="e">
        <v>#VALUE!</v>
      </c>
      <c r="CH322" t="e">
        <v>#VALUE!</v>
      </c>
      <c r="CI322" t="e">
        <v>#VALUE!</v>
      </c>
      <c r="CJ322" t="e">
        <v>#VALUE!</v>
      </c>
      <c r="CK322" t="e">
        <v>#VALUE!</v>
      </c>
    </row>
    <row r="323" spans="1:89">
      <c r="A323" s="34" t="s">
        <v>30</v>
      </c>
      <c r="B323" s="34" t="s">
        <v>447</v>
      </c>
      <c r="C323" s="34" t="s">
        <v>447</v>
      </c>
      <c r="D323" s="34">
        <v>7.98</v>
      </c>
      <c r="E323" s="34">
        <v>8.08691875078489</v>
      </c>
      <c r="F323" s="34"/>
      <c r="G323" s="34">
        <v>8.61157761752508</v>
      </c>
      <c r="H323" s="34">
        <v>9.06852421214787</v>
      </c>
      <c r="I323" s="34">
        <v>9.46544353648462</v>
      </c>
      <c r="J323" s="34">
        <v>9.80346669561174</v>
      </c>
      <c r="K323" s="34">
        <v>10.0772587458742</v>
      </c>
      <c r="L323" s="34">
        <v>10.2838580084081</v>
      </c>
      <c r="M323" s="34">
        <v>10.4274339279311</v>
      </c>
      <c r="N323" s="34">
        <v>10.5121161160547</v>
      </c>
      <c r="O323" s="34">
        <v>10.5384151579604</v>
      </c>
      <c r="P323" s="34">
        <v>10.5234454200052</v>
      </c>
      <c r="Q323" s="34">
        <v>10.481983229456</v>
      </c>
      <c r="R323" s="34">
        <v>10.4275907134149</v>
      </c>
      <c r="S323" s="34">
        <v>10.365988666333</v>
      </c>
      <c r="T323" s="34">
        <v>10.2952810537729</v>
      </c>
      <c r="U323" s="34">
        <v>10.208918810425</v>
      </c>
      <c r="V323" s="34">
        <v>10.1068107623077</v>
      </c>
      <c r="W323" s="34">
        <v>3</v>
      </c>
      <c r="AG323" s="232" t="s">
        <v>442</v>
      </c>
      <c r="AI323">
        <v>1</v>
      </c>
      <c r="AJ323">
        <v>1.01679914151656</v>
      </c>
      <c r="AK323">
        <v>1.10079484909938</v>
      </c>
      <c r="AL323">
        <v>1.17634123765728</v>
      </c>
      <c r="AM323">
        <v>1.24400064839454</v>
      </c>
      <c r="AN323">
        <v>1.30333026953687</v>
      </c>
      <c r="AO323">
        <v>1.35274683429294</v>
      </c>
      <c r="AP323">
        <v>1.39103197881782</v>
      </c>
      <c r="AQ323">
        <v>1.41830062985863</v>
      </c>
      <c r="AR323">
        <v>1.43475513707264</v>
      </c>
      <c r="AS323">
        <v>1.43997615114236</v>
      </c>
      <c r="AT323">
        <v>1.43694581768264</v>
      </c>
      <c r="AU323">
        <v>1.42840009490283</v>
      </c>
      <c r="AV323">
        <v>1.41699675153305</v>
      </c>
      <c r="AW323">
        <v>1.40386569009785</v>
      </c>
      <c r="AX323">
        <v>1.3885442006389</v>
      </c>
      <c r="AY323">
        <v>1.36952731810462</v>
      </c>
      <c r="AZ323">
        <v>1.34669764601564</v>
      </c>
      <c r="BA323">
        <v>0</v>
      </c>
      <c r="BB323">
        <v>0</v>
      </c>
      <c r="BC323">
        <v>0</v>
      </c>
      <c r="BD323">
        <v>0</v>
      </c>
      <c r="BE323">
        <v>0</v>
      </c>
      <c r="BF323">
        <v>0</v>
      </c>
      <c r="BG323">
        <v>0</v>
      </c>
      <c r="BH323">
        <v>0</v>
      </c>
      <c r="BJ323" t="s">
        <v>452</v>
      </c>
      <c r="BL323">
        <v>0.8</v>
      </c>
      <c r="BM323">
        <v>0.797560975609756</v>
      </c>
      <c r="BN323">
        <v>0.785365853658536</v>
      </c>
      <c r="BO323">
        <v>0.773170731707317</v>
      </c>
      <c r="BP323">
        <v>0.760975609756097</v>
      </c>
      <c r="BQ323">
        <v>0.748780487804878</v>
      </c>
      <c r="BR323">
        <v>0.736585365853658</v>
      </c>
      <c r="BS323">
        <v>0.724390243902439</v>
      </c>
      <c r="BT323">
        <v>0.71219512195122</v>
      </c>
      <c r="BU323">
        <v>0.699999999999999</v>
      </c>
      <c r="BV323">
        <v>0.687499999999999</v>
      </c>
      <c r="BW323">
        <v>0.675</v>
      </c>
      <c r="BX323">
        <v>0.6625</v>
      </c>
      <c r="BY323">
        <v>0.649999999999999</v>
      </c>
      <c r="BZ323">
        <v>0.637499999999999</v>
      </c>
      <c r="CA323">
        <v>0.625</v>
      </c>
      <c r="CB323">
        <v>0.6125</v>
      </c>
      <c r="CC323">
        <v>0.6</v>
      </c>
      <c r="CD323" t="e">
        <v>#VALUE!</v>
      </c>
      <c r="CE323" t="e">
        <v>#VALUE!</v>
      </c>
      <c r="CF323" t="e">
        <v>#VALUE!</v>
      </c>
      <c r="CG323" t="e">
        <v>#VALUE!</v>
      </c>
      <c r="CH323" t="e">
        <v>#VALUE!</v>
      </c>
      <c r="CI323" t="e">
        <v>#VALUE!</v>
      </c>
      <c r="CJ323" t="e">
        <v>#VALUE!</v>
      </c>
      <c r="CK323" t="e">
        <v>#VALUE!</v>
      </c>
    </row>
    <row r="324" spans="1:89">
      <c r="A324" s="34" t="s">
        <v>30</v>
      </c>
      <c r="B324" s="34" t="s">
        <v>448</v>
      </c>
      <c r="C324" s="34" t="s">
        <v>448</v>
      </c>
      <c r="D324" s="34">
        <v>367.536</v>
      </c>
      <c r="E324" s="34">
        <v>363.478557229985</v>
      </c>
      <c r="F324" s="34"/>
      <c r="G324" s="34">
        <v>398.040856608938</v>
      </c>
      <c r="H324" s="34">
        <v>446.910564531527</v>
      </c>
      <c r="I324" s="34">
        <v>484.062815471466</v>
      </c>
      <c r="J324" s="34">
        <v>513.2992754764</v>
      </c>
      <c r="K324" s="34">
        <v>536.328318971612</v>
      </c>
      <c r="L324" s="34">
        <v>555.369469966788</v>
      </c>
      <c r="M324" s="34">
        <v>572.411231200172</v>
      </c>
      <c r="N324" s="34">
        <v>587.458376078734</v>
      </c>
      <c r="O324" s="34">
        <v>601.927048952381</v>
      </c>
      <c r="P324" s="34">
        <v>615.569730434503</v>
      </c>
      <c r="Q324" s="34">
        <v>628.006598989536</v>
      </c>
      <c r="R324" s="34">
        <v>639.65581699891</v>
      </c>
      <c r="S324" s="34">
        <v>650.611510947528</v>
      </c>
      <c r="T324" s="34">
        <v>661.170730331638</v>
      </c>
      <c r="U324" s="34">
        <v>671.663176037402</v>
      </c>
      <c r="V324" s="34">
        <v>682.006808405284</v>
      </c>
      <c r="W324" s="34">
        <v>3</v>
      </c>
      <c r="AG324" s="232" t="s">
        <v>449</v>
      </c>
      <c r="AI324">
        <v>1</v>
      </c>
      <c r="AJ324">
        <v>0.986158325810668</v>
      </c>
      <c r="AK324">
        <v>1.10555671367505</v>
      </c>
      <c r="AL324">
        <v>1.2811135362775</v>
      </c>
      <c r="AM324">
        <v>1.42106627226077</v>
      </c>
      <c r="AN324">
        <v>1.53569220355475</v>
      </c>
      <c r="AO324">
        <v>1.62922982928311</v>
      </c>
      <c r="AP324">
        <v>1.70907933429626</v>
      </c>
      <c r="AQ324">
        <v>1.78271626913127</v>
      </c>
      <c r="AR324">
        <v>1.84966311862104</v>
      </c>
      <c r="AS324">
        <v>1.91592618536794</v>
      </c>
      <c r="AT324">
        <v>1.98025875224805</v>
      </c>
      <c r="AU324">
        <v>2.04064942214206</v>
      </c>
      <c r="AV324">
        <v>2.09888489545736</v>
      </c>
      <c r="AW324">
        <v>2.15527487940374</v>
      </c>
      <c r="AX324">
        <v>2.21124196858491</v>
      </c>
      <c r="AY324">
        <v>2.26853387670055</v>
      </c>
      <c r="AZ324">
        <v>2.32675968906162</v>
      </c>
      <c r="BA324">
        <v>0</v>
      </c>
      <c r="BB324">
        <v>0</v>
      </c>
      <c r="BC324">
        <v>0</v>
      </c>
      <c r="BD324">
        <v>0</v>
      </c>
      <c r="BE324">
        <v>0</v>
      </c>
      <c r="BF324">
        <v>0</v>
      </c>
      <c r="BG324">
        <v>0</v>
      </c>
      <c r="BH324">
        <v>0</v>
      </c>
      <c r="BJ324" t="s">
        <v>452</v>
      </c>
      <c r="BL324">
        <v>0.8</v>
      </c>
      <c r="BM324">
        <v>0.797560975609756</v>
      </c>
      <c r="BN324">
        <v>0.785365853658536</v>
      </c>
      <c r="BO324">
        <v>0.773170731707317</v>
      </c>
      <c r="BP324">
        <v>0.760975609756097</v>
      </c>
      <c r="BQ324">
        <v>0.748780487804878</v>
      </c>
      <c r="BR324">
        <v>0.736585365853658</v>
      </c>
      <c r="BS324">
        <v>0.724390243902439</v>
      </c>
      <c r="BT324">
        <v>0.71219512195122</v>
      </c>
      <c r="BU324">
        <v>0.699999999999999</v>
      </c>
      <c r="BV324">
        <v>0.687499999999999</v>
      </c>
      <c r="BW324">
        <v>0.675</v>
      </c>
      <c r="BX324">
        <v>0.6625</v>
      </c>
      <c r="BY324">
        <v>0.649999999999999</v>
      </c>
      <c r="BZ324">
        <v>0.637499999999999</v>
      </c>
      <c r="CA324">
        <v>0.625</v>
      </c>
      <c r="CB324">
        <v>0.6125</v>
      </c>
      <c r="CC324">
        <v>0.6</v>
      </c>
      <c r="CD324" t="e">
        <v>#VALUE!</v>
      </c>
      <c r="CE324" t="e">
        <v>#VALUE!</v>
      </c>
      <c r="CF324" t="e">
        <v>#VALUE!</v>
      </c>
      <c r="CG324" t="e">
        <v>#VALUE!</v>
      </c>
      <c r="CH324" t="e">
        <v>#VALUE!</v>
      </c>
      <c r="CI324" t="e">
        <v>#VALUE!</v>
      </c>
      <c r="CJ324" t="e">
        <v>#VALUE!</v>
      </c>
      <c r="CK324" t="e">
        <v>#VALUE!</v>
      </c>
    </row>
    <row r="325" spans="1:89">
      <c r="A325" s="34" t="s">
        <v>30</v>
      </c>
      <c r="B325" s="34" t="s">
        <v>450</v>
      </c>
      <c r="C325" s="34" t="s">
        <v>450</v>
      </c>
      <c r="D325" s="34">
        <v>95</v>
      </c>
      <c r="E325" s="34">
        <v>95.206463982037</v>
      </c>
      <c r="F325" s="34"/>
      <c r="G325" s="34">
        <v>111.184018010309</v>
      </c>
      <c r="H325" s="34">
        <v>131.671169742869</v>
      </c>
      <c r="I325" s="34">
        <v>149.009844687446</v>
      </c>
      <c r="J325" s="34">
        <v>163.760313862223</v>
      </c>
      <c r="K325" s="34">
        <v>175.959459782012</v>
      </c>
      <c r="L325" s="34">
        <v>185.990752832813</v>
      </c>
      <c r="M325" s="34">
        <v>194.406512706832</v>
      </c>
      <c r="N325" s="34">
        <v>201.155017505039</v>
      </c>
      <c r="O325" s="34">
        <v>206.630594262796</v>
      </c>
      <c r="P325" s="34">
        <v>211.01050553652</v>
      </c>
      <c r="Q325" s="34">
        <v>214.416995048552</v>
      </c>
      <c r="R325" s="34">
        <v>217.249933581297</v>
      </c>
      <c r="S325" s="34">
        <v>219.652970759196</v>
      </c>
      <c r="T325" s="34">
        <v>221.680684156144</v>
      </c>
      <c r="U325" s="34">
        <v>223.29088987102</v>
      </c>
      <c r="V325" s="34">
        <v>224.438932611892</v>
      </c>
      <c r="W325" s="34">
        <v>3</v>
      </c>
      <c r="AG325" s="232" t="s">
        <v>437</v>
      </c>
      <c r="AI325">
        <v>1</v>
      </c>
      <c r="AJ325">
        <v>1.0027249390837</v>
      </c>
      <c r="AK325">
        <v>1.21699113580074</v>
      </c>
      <c r="AL325">
        <v>1.50702668284416</v>
      </c>
      <c r="AM325">
        <v>1.767807364104</v>
      </c>
      <c r="AN325">
        <v>2.00151413358469</v>
      </c>
      <c r="AO325">
        <v>2.20393549389834</v>
      </c>
      <c r="AP325">
        <v>2.37738400834278</v>
      </c>
      <c r="AQ325">
        <v>2.52842760736811</v>
      </c>
      <c r="AR325">
        <v>2.65381366129534</v>
      </c>
      <c r="AS325">
        <v>2.75888801427898</v>
      </c>
      <c r="AT325">
        <v>2.84552453197228</v>
      </c>
      <c r="AU325">
        <v>2.91486382825113</v>
      </c>
      <c r="AV325">
        <v>2.97411307870486</v>
      </c>
      <c r="AW325">
        <v>3.02571645592467</v>
      </c>
      <c r="AX325">
        <v>3.07040721168791</v>
      </c>
      <c r="AY325">
        <v>3.10681911618719</v>
      </c>
      <c r="AZ325">
        <v>3.13344179610336</v>
      </c>
      <c r="BA325">
        <v>0</v>
      </c>
      <c r="BB325">
        <v>0</v>
      </c>
      <c r="BC325">
        <v>0</v>
      </c>
      <c r="BD325">
        <v>0</v>
      </c>
      <c r="BE325">
        <v>0</v>
      </c>
      <c r="BF325">
        <v>0</v>
      </c>
      <c r="BG325">
        <v>0</v>
      </c>
      <c r="BH325">
        <v>0</v>
      </c>
      <c r="BJ325" t="s">
        <v>452</v>
      </c>
      <c r="BL325">
        <v>0.8</v>
      </c>
      <c r="BM325">
        <v>0.797560975609756</v>
      </c>
      <c r="BN325">
        <v>0.785365853658536</v>
      </c>
      <c r="BO325">
        <v>0.773170731707317</v>
      </c>
      <c r="BP325">
        <v>0.760975609756097</v>
      </c>
      <c r="BQ325">
        <v>0.748780487804878</v>
      </c>
      <c r="BR325">
        <v>0.736585365853658</v>
      </c>
      <c r="BS325">
        <v>0.724390243902439</v>
      </c>
      <c r="BT325">
        <v>0.71219512195122</v>
      </c>
      <c r="BU325">
        <v>0.699999999999999</v>
      </c>
      <c r="BV325">
        <v>0.687499999999999</v>
      </c>
      <c r="BW325">
        <v>0.675</v>
      </c>
      <c r="BX325">
        <v>0.6625</v>
      </c>
      <c r="BY325">
        <v>0.649999999999999</v>
      </c>
      <c r="BZ325">
        <v>0.637499999999999</v>
      </c>
      <c r="CA325">
        <v>0.625</v>
      </c>
      <c r="CB325">
        <v>0.6125</v>
      </c>
      <c r="CC325">
        <v>0.6</v>
      </c>
      <c r="CD325" t="e">
        <v>#VALUE!</v>
      </c>
      <c r="CE325" t="e">
        <v>#VALUE!</v>
      </c>
      <c r="CF325" t="e">
        <v>#VALUE!</v>
      </c>
      <c r="CG325" t="e">
        <v>#VALUE!</v>
      </c>
      <c r="CH325" t="e">
        <v>#VALUE!</v>
      </c>
      <c r="CI325" t="e">
        <v>#VALUE!</v>
      </c>
      <c r="CJ325" t="e">
        <v>#VALUE!</v>
      </c>
      <c r="CK325" t="e">
        <v>#VALUE!</v>
      </c>
    </row>
    <row r="326" spans="1:89">
      <c r="A326" s="34" t="s">
        <v>30</v>
      </c>
      <c r="B326" s="34" t="s">
        <v>451</v>
      </c>
      <c r="C326" s="34" t="s">
        <v>451</v>
      </c>
      <c r="D326" s="34">
        <v>106.32</v>
      </c>
      <c r="E326" s="34">
        <v>106.551065795475</v>
      </c>
      <c r="F326" s="34"/>
      <c r="G326" s="34">
        <v>124.432471524801</v>
      </c>
      <c r="H326" s="34">
        <v>147.360829126967</v>
      </c>
      <c r="I326" s="34">
        <v>166.765544075466</v>
      </c>
      <c r="J326" s="34">
        <v>183.27364810349</v>
      </c>
      <c r="K326" s="34">
        <v>196.926418568669</v>
      </c>
      <c r="L326" s="34">
        <v>208.153019380891</v>
      </c>
      <c r="M326" s="34">
        <v>217.571583484109</v>
      </c>
      <c r="N326" s="34">
        <v>225.124225906692</v>
      </c>
      <c r="O326" s="34">
        <v>231.252260863374</v>
      </c>
      <c r="P326" s="34">
        <v>236.154073143609</v>
      </c>
      <c r="Q326" s="34">
        <v>239.966472774337</v>
      </c>
      <c r="R326" s="34">
        <v>243.136978298563</v>
      </c>
      <c r="S326" s="34">
        <v>245.826356327555</v>
      </c>
      <c r="T326" s="34">
        <v>248.095687784013</v>
      </c>
      <c r="U326" s="34">
        <v>249.897762221967</v>
      </c>
      <c r="V326" s="34">
        <v>251.182603318909</v>
      </c>
      <c r="W326" s="34">
        <v>3</v>
      </c>
      <c r="AG326" s="232" t="s">
        <v>437</v>
      </c>
      <c r="AI326">
        <v>1</v>
      </c>
      <c r="AJ326">
        <v>1.0027249390837</v>
      </c>
      <c r="AK326">
        <v>1.21699113580074</v>
      </c>
      <c r="AL326">
        <v>1.50702668284416</v>
      </c>
      <c r="AM326">
        <v>1.767807364104</v>
      </c>
      <c r="AN326">
        <v>2.00151413358469</v>
      </c>
      <c r="AO326">
        <v>2.20393549389834</v>
      </c>
      <c r="AP326">
        <v>2.37738400834278</v>
      </c>
      <c r="AQ326">
        <v>2.52842760736811</v>
      </c>
      <c r="AR326">
        <v>2.65381366129534</v>
      </c>
      <c r="AS326">
        <v>2.75888801427898</v>
      </c>
      <c r="AT326">
        <v>2.84552453197228</v>
      </c>
      <c r="AU326">
        <v>2.91486382825113</v>
      </c>
      <c r="AV326">
        <v>2.97411307870486</v>
      </c>
      <c r="AW326">
        <v>3.02571645592467</v>
      </c>
      <c r="AX326">
        <v>3.07040721168791</v>
      </c>
      <c r="AY326">
        <v>3.10681911618719</v>
      </c>
      <c r="AZ326">
        <v>3.13344179610336</v>
      </c>
      <c r="BA326">
        <v>0</v>
      </c>
      <c r="BB326">
        <v>0</v>
      </c>
      <c r="BC326">
        <v>0</v>
      </c>
      <c r="BD326">
        <v>0</v>
      </c>
      <c r="BE326">
        <v>0</v>
      </c>
      <c r="BF326">
        <v>0</v>
      </c>
      <c r="BG326">
        <v>0</v>
      </c>
      <c r="BH326">
        <v>0</v>
      </c>
      <c r="BJ326" t="s">
        <v>452</v>
      </c>
      <c r="BL326">
        <v>0.8</v>
      </c>
      <c r="BM326">
        <v>0.797560975609756</v>
      </c>
      <c r="BN326">
        <v>0.785365853658536</v>
      </c>
      <c r="BO326">
        <v>0.773170731707317</v>
      </c>
      <c r="BP326">
        <v>0.760975609756097</v>
      </c>
      <c r="BQ326">
        <v>0.748780487804878</v>
      </c>
      <c r="BR326">
        <v>0.736585365853658</v>
      </c>
      <c r="BS326">
        <v>0.724390243902439</v>
      </c>
      <c r="BT326">
        <v>0.71219512195122</v>
      </c>
      <c r="BU326">
        <v>0.699999999999999</v>
      </c>
      <c r="BV326">
        <v>0.687499999999999</v>
      </c>
      <c r="BW326">
        <v>0.675</v>
      </c>
      <c r="BX326">
        <v>0.6625</v>
      </c>
      <c r="BY326">
        <v>0.649999999999999</v>
      </c>
      <c r="BZ326">
        <v>0.637499999999999</v>
      </c>
      <c r="CA326">
        <v>0.625</v>
      </c>
      <c r="CB326">
        <v>0.6125</v>
      </c>
      <c r="CC326">
        <v>0.6</v>
      </c>
      <c r="CD326" t="e">
        <v>#VALUE!</v>
      </c>
      <c r="CE326" t="e">
        <v>#VALUE!</v>
      </c>
      <c r="CF326" t="e">
        <v>#VALUE!</v>
      </c>
      <c r="CG326" t="e">
        <v>#VALUE!</v>
      </c>
      <c r="CH326" t="e">
        <v>#VALUE!</v>
      </c>
      <c r="CI326" t="e">
        <v>#VALUE!</v>
      </c>
      <c r="CJ326" t="e">
        <v>#VALUE!</v>
      </c>
      <c r="CK326" t="e">
        <v>#VALUE!</v>
      </c>
    </row>
    <row r="327" spans="1:89">
      <c r="A327" s="34" t="s">
        <v>31</v>
      </c>
      <c r="B327" s="34" t="s">
        <v>436</v>
      </c>
      <c r="C327" s="34" t="s">
        <v>436</v>
      </c>
      <c r="D327" s="34"/>
      <c r="E327" s="34">
        <v>52.4749917783354</v>
      </c>
      <c r="F327" s="34">
        <f xml:space="preserve">E327</f>
        <v>52.4749917783354</v>
      </c>
      <c r="G327" s="34"/>
      <c r="H327" s="34"/>
      <c r="I327" s="34">
        <f xml:space="preserve">F327</f>
        <v>52.4749917783354</v>
      </c>
      <c r="J327" s="34">
        <f xml:space="preserve">I327</f>
        <v>52.4749917783354</v>
      </c>
      <c r="K327" s="34"/>
      <c r="L327" s="34">
        <f xml:space="preserve">J327</f>
        <v>52.4749917783354</v>
      </c>
      <c r="M327" s="34"/>
      <c r="N327" s="34"/>
      <c r="O327" s="34"/>
      <c r="P327" s="34"/>
      <c r="Q327" s="34"/>
      <c r="R327" s="34"/>
      <c r="S327" s="34"/>
      <c r="T327" s="34"/>
      <c r="U327" s="34"/>
      <c r="V327" s="34">
        <f xml:space="preserve">L327</f>
        <v>52.4749917783354</v>
      </c>
      <c r="W327" s="34">
        <v>3</v>
      </c>
      <c r="AG327" s="232" t="s">
        <v>437</v>
      </c>
      <c r="AI327">
        <v>1</v>
      </c>
      <c r="AJ327">
        <v>0.994900566012164</v>
      </c>
      <c r="AK327">
        <v>1.09338125038993</v>
      </c>
      <c r="AL327">
        <v>1.18552495423068</v>
      </c>
      <c r="AM327">
        <v>1.35507582325619</v>
      </c>
      <c r="AN327">
        <v>1.58710907835321</v>
      </c>
      <c r="AO327">
        <v>1.87180932424903</v>
      </c>
      <c r="AP327">
        <v>2.19758632707371</v>
      </c>
      <c r="AQ327">
        <v>2.56230221306238</v>
      </c>
      <c r="AR327">
        <v>2.96418214361779</v>
      </c>
      <c r="AS327">
        <v>3.39806295191155</v>
      </c>
      <c r="AT327">
        <v>3.85771925710635</v>
      </c>
      <c r="AU327">
        <v>4.33802822961463</v>
      </c>
      <c r="AV327">
        <v>4.83790076393356</v>
      </c>
      <c r="AW327">
        <v>5.3582377251087</v>
      </c>
      <c r="AX327">
        <v>5.89647097547281</v>
      </c>
      <c r="AY327">
        <v>6.44552805213077</v>
      </c>
      <c r="AZ327">
        <v>7.00058193192795</v>
      </c>
      <c r="BA327">
        <v>0</v>
      </c>
      <c r="BB327">
        <v>0</v>
      </c>
      <c r="BC327">
        <v>0</v>
      </c>
      <c r="BD327">
        <v>0</v>
      </c>
      <c r="BE327">
        <v>0</v>
      </c>
      <c r="BF327">
        <v>0</v>
      </c>
      <c r="BG327">
        <v>0</v>
      </c>
      <c r="BH327">
        <v>0</v>
      </c>
      <c r="BJ327" t="s">
        <v>438</v>
      </c>
      <c r="BL327">
        <v>1</v>
      </c>
      <c r="BM327">
        <v>0.997560975609757</v>
      </c>
      <c r="BN327">
        <v>0.985365853658537</v>
      </c>
      <c r="BO327">
        <v>0.973170731707317</v>
      </c>
      <c r="BP327">
        <v>0.960975609756098</v>
      </c>
      <c r="BQ327">
        <v>0.948780487804878</v>
      </c>
      <c r="BR327">
        <v>0.936585365853658</v>
      </c>
      <c r="BS327">
        <v>0.924390243902439</v>
      </c>
      <c r="BT327">
        <v>0.91219512195122</v>
      </c>
      <c r="BU327">
        <v>0.9</v>
      </c>
      <c r="BV327">
        <v>0.8875</v>
      </c>
      <c r="BW327">
        <v>0.875000000000001</v>
      </c>
      <c r="BX327">
        <v>0.862500000000001</v>
      </c>
      <c r="BY327">
        <v>0.850000000000001</v>
      </c>
      <c r="BZ327">
        <v>0.8375</v>
      </c>
      <c r="CA327">
        <v>0.825000000000001</v>
      </c>
      <c r="CB327">
        <v>0.812500000000001</v>
      </c>
      <c r="CC327">
        <v>0.800000000000001</v>
      </c>
      <c r="CD327" t="e">
        <v>#VALUE!</v>
      </c>
      <c r="CE327" t="e">
        <v>#VALUE!</v>
      </c>
      <c r="CF327" t="e">
        <v>#VALUE!</v>
      </c>
      <c r="CG327" t="e">
        <v>#VALUE!</v>
      </c>
      <c r="CH327" t="e">
        <v>#VALUE!</v>
      </c>
      <c r="CI327" t="e">
        <v>#VALUE!</v>
      </c>
      <c r="CJ327" t="e">
        <v>#VALUE!</v>
      </c>
      <c r="CK327" t="e">
        <v>#VALUE!</v>
      </c>
    </row>
    <row r="328" spans="1:89">
      <c r="A328" s="34" t="s">
        <v>31</v>
      </c>
      <c r="B328" s="34" t="s">
        <v>439</v>
      </c>
      <c r="C328" s="34" t="s">
        <v>439</v>
      </c>
      <c r="D328" s="34"/>
      <c r="E328" s="34">
        <v>45.8382269487756</v>
      </c>
      <c r="F328" s="34">
        <f xml:space="preserve">E328</f>
        <v>45.8382269487756</v>
      </c>
      <c r="G328" s="34"/>
      <c r="H328" s="34"/>
      <c r="I328" s="34">
        <f xml:space="preserve">F328</f>
        <v>45.8382269487756</v>
      </c>
      <c r="J328" s="34">
        <f xml:space="preserve">I328</f>
        <v>45.8382269487756</v>
      </c>
      <c r="K328" s="34"/>
      <c r="L328" s="34">
        <f xml:space="preserve">J328</f>
        <v>45.8382269487756</v>
      </c>
      <c r="M328" s="34"/>
      <c r="N328" s="34"/>
      <c r="O328" s="34"/>
      <c r="P328" s="34"/>
      <c r="Q328" s="34"/>
      <c r="R328" s="34"/>
      <c r="S328" s="34"/>
      <c r="T328" s="34"/>
      <c r="U328" s="34"/>
      <c r="V328" s="34">
        <f xml:space="preserve">L328</f>
        <v>45.8382269487756</v>
      </c>
      <c r="W328" s="34">
        <v>3</v>
      </c>
      <c r="AG328" s="232" t="s">
        <v>437</v>
      </c>
      <c r="AI328">
        <v>1</v>
      </c>
      <c r="AJ328">
        <v>0.994900566012164</v>
      </c>
      <c r="AK328">
        <v>1.09338125038993</v>
      </c>
      <c r="AL328">
        <v>1.18552495423068</v>
      </c>
      <c r="AM328">
        <v>1.35507582325619</v>
      </c>
      <c r="AN328">
        <v>1.58710907835321</v>
      </c>
      <c r="AO328">
        <v>1.87180932424903</v>
      </c>
      <c r="AP328">
        <v>2.19758632707371</v>
      </c>
      <c r="AQ328">
        <v>2.56230221306238</v>
      </c>
      <c r="AR328">
        <v>2.96418214361779</v>
      </c>
      <c r="AS328">
        <v>3.39806295191155</v>
      </c>
      <c r="AT328">
        <v>3.85771925710635</v>
      </c>
      <c r="AU328">
        <v>4.33802822961463</v>
      </c>
      <c r="AV328">
        <v>4.83790076393356</v>
      </c>
      <c r="AW328">
        <v>5.3582377251087</v>
      </c>
      <c r="AX328">
        <v>5.89647097547281</v>
      </c>
      <c r="AY328">
        <v>6.44552805213077</v>
      </c>
      <c r="AZ328">
        <v>7.00058193192795</v>
      </c>
      <c r="BA328">
        <v>0</v>
      </c>
      <c r="BB328">
        <v>0</v>
      </c>
      <c r="BC328">
        <v>0</v>
      </c>
      <c r="BD328">
        <v>0</v>
      </c>
      <c r="BE328">
        <v>0</v>
      </c>
      <c r="BF328">
        <v>0</v>
      </c>
      <c r="BG328">
        <v>0</v>
      </c>
      <c r="BH328">
        <v>0</v>
      </c>
      <c r="BJ328" t="s">
        <v>438</v>
      </c>
      <c r="BL328">
        <v>1</v>
      </c>
      <c r="BM328">
        <v>0.997560975609757</v>
      </c>
      <c r="BN328">
        <v>0.985365853658537</v>
      </c>
      <c r="BO328">
        <v>0.973170731707317</v>
      </c>
      <c r="BP328">
        <v>0.960975609756098</v>
      </c>
      <c r="BQ328">
        <v>0.948780487804878</v>
      </c>
      <c r="BR328">
        <v>0.936585365853658</v>
      </c>
      <c r="BS328">
        <v>0.924390243902439</v>
      </c>
      <c r="BT328">
        <v>0.91219512195122</v>
      </c>
      <c r="BU328">
        <v>0.9</v>
      </c>
      <c r="BV328">
        <v>0.8875</v>
      </c>
      <c r="BW328">
        <v>0.875000000000001</v>
      </c>
      <c r="BX328">
        <v>0.862500000000001</v>
      </c>
      <c r="BY328">
        <v>0.850000000000001</v>
      </c>
      <c r="BZ328">
        <v>0.8375</v>
      </c>
      <c r="CA328">
        <v>0.825000000000001</v>
      </c>
      <c r="CB328">
        <v>0.812500000000001</v>
      </c>
      <c r="CC328">
        <v>0.800000000000001</v>
      </c>
      <c r="CD328" t="e">
        <v>#VALUE!</v>
      </c>
      <c r="CE328" t="e">
        <v>#VALUE!</v>
      </c>
      <c r="CF328" t="e">
        <v>#VALUE!</v>
      </c>
      <c r="CG328" t="e">
        <v>#VALUE!</v>
      </c>
      <c r="CH328" t="e">
        <v>#VALUE!</v>
      </c>
      <c r="CI328" t="e">
        <v>#VALUE!</v>
      </c>
      <c r="CJ328" t="e">
        <v>#VALUE!</v>
      </c>
      <c r="CK328" t="e">
        <v>#VALUE!</v>
      </c>
    </row>
    <row r="329" spans="1:89">
      <c r="A329" s="34" t="s">
        <v>31</v>
      </c>
      <c r="B329" s="34" t="s">
        <v>440</v>
      </c>
      <c r="C329" s="34" t="s">
        <v>440</v>
      </c>
      <c r="D329" s="34"/>
      <c r="E329" s="34">
        <v>9.12676390579556</v>
      </c>
      <c r="F329" s="34"/>
      <c r="G329" s="34"/>
      <c r="H329" s="34"/>
      <c r="I329" s="34">
        <v>12.3280833254511</v>
      </c>
      <c r="J329" s="34">
        <v>14.3309310966871</v>
      </c>
      <c r="K329" s="34"/>
      <c r="L329" s="34">
        <v>19.4316201953666</v>
      </c>
      <c r="M329" s="34"/>
      <c r="N329" s="34"/>
      <c r="O329" s="34"/>
      <c r="P329" s="34"/>
      <c r="Q329" s="34"/>
      <c r="R329" s="34"/>
      <c r="S329" s="34"/>
      <c r="T329" s="34"/>
      <c r="U329" s="34"/>
      <c r="V329" s="34">
        <v>53.2382589133765</v>
      </c>
      <c r="W329" s="34">
        <v>3</v>
      </c>
      <c r="AG329" s="232" t="s">
        <v>437</v>
      </c>
      <c r="AI329">
        <v>1</v>
      </c>
      <c r="AJ329">
        <v>0.994900566012164</v>
      </c>
      <c r="AK329">
        <v>1.09338125038993</v>
      </c>
      <c r="AL329">
        <v>1.18552495423068</v>
      </c>
      <c r="AM329">
        <v>1.35507582325619</v>
      </c>
      <c r="AN329">
        <v>1.58710907835321</v>
      </c>
      <c r="AO329">
        <v>1.87180932424903</v>
      </c>
      <c r="AP329">
        <v>2.19758632707371</v>
      </c>
      <c r="AQ329">
        <v>2.56230221306238</v>
      </c>
      <c r="AR329">
        <v>2.96418214361779</v>
      </c>
      <c r="AS329">
        <v>3.39806295191155</v>
      </c>
      <c r="AT329">
        <v>3.85771925710635</v>
      </c>
      <c r="AU329">
        <v>4.33802822961463</v>
      </c>
      <c r="AV329">
        <v>4.83790076393356</v>
      </c>
      <c r="AW329">
        <v>5.3582377251087</v>
      </c>
      <c r="AX329">
        <v>5.89647097547281</v>
      </c>
      <c r="AY329">
        <v>6.44552805213077</v>
      </c>
      <c r="AZ329">
        <v>7.00058193192795</v>
      </c>
      <c r="BA329">
        <v>0</v>
      </c>
      <c r="BB329">
        <v>0</v>
      </c>
      <c r="BC329">
        <v>0</v>
      </c>
      <c r="BD329">
        <v>0</v>
      </c>
      <c r="BE329">
        <v>0</v>
      </c>
      <c r="BF329">
        <v>0</v>
      </c>
      <c r="BG329">
        <v>0</v>
      </c>
      <c r="BH329">
        <v>0</v>
      </c>
      <c r="BJ329" t="s">
        <v>438</v>
      </c>
      <c r="BL329">
        <v>1</v>
      </c>
      <c r="BM329">
        <v>0.997560975609757</v>
      </c>
      <c r="BN329">
        <v>0.985365853658537</v>
      </c>
      <c r="BO329">
        <v>0.973170731707317</v>
      </c>
      <c r="BP329">
        <v>0.960975609756098</v>
      </c>
      <c r="BQ329">
        <v>0.948780487804878</v>
      </c>
      <c r="BR329">
        <v>0.936585365853658</v>
      </c>
      <c r="BS329">
        <v>0.924390243902439</v>
      </c>
      <c r="BT329">
        <v>0.91219512195122</v>
      </c>
      <c r="BU329">
        <v>0.9</v>
      </c>
      <c r="BV329">
        <v>0.8875</v>
      </c>
      <c r="BW329">
        <v>0.875000000000001</v>
      </c>
      <c r="BX329">
        <v>0.862500000000001</v>
      </c>
      <c r="BY329">
        <v>0.850000000000001</v>
      </c>
      <c r="BZ329">
        <v>0.8375</v>
      </c>
      <c r="CA329">
        <v>0.825000000000001</v>
      </c>
      <c r="CB329">
        <v>0.812500000000001</v>
      </c>
      <c r="CC329">
        <v>0.800000000000001</v>
      </c>
      <c r="CD329" t="e">
        <v>#VALUE!</v>
      </c>
      <c r="CE329" t="e">
        <v>#VALUE!</v>
      </c>
      <c r="CF329" t="e">
        <v>#VALUE!</v>
      </c>
      <c r="CG329" t="e">
        <v>#VALUE!</v>
      </c>
      <c r="CH329" t="e">
        <v>#VALUE!</v>
      </c>
      <c r="CI329" t="e">
        <v>#VALUE!</v>
      </c>
      <c r="CJ329" t="e">
        <v>#VALUE!</v>
      </c>
      <c r="CK329" t="e">
        <v>#VALUE!</v>
      </c>
    </row>
    <row r="330" spans="1:89">
      <c r="A330" s="34" t="s">
        <v>31</v>
      </c>
      <c r="B330" s="34" t="s">
        <v>441</v>
      </c>
      <c r="C330" s="34" t="s">
        <v>441</v>
      </c>
      <c r="D330" s="34"/>
      <c r="E330" s="34">
        <v>9.74070027471122</v>
      </c>
      <c r="F330" s="34"/>
      <c r="G330" s="34"/>
      <c r="H330" s="34"/>
      <c r="I330" s="34">
        <v>10.8414100633482</v>
      </c>
      <c r="J330" s="34">
        <v>11.0821321791008</v>
      </c>
      <c r="K330" s="34"/>
      <c r="L330" s="34">
        <v>11.335909074956</v>
      </c>
      <c r="M330" s="34"/>
      <c r="N330" s="34"/>
      <c r="O330" s="34"/>
      <c r="P330" s="34"/>
      <c r="Q330" s="34"/>
      <c r="R330" s="34"/>
      <c r="S330" s="34"/>
      <c r="T330" s="34"/>
      <c r="U330" s="34"/>
      <c r="V330" s="34">
        <v>9.99259949010795</v>
      </c>
      <c r="W330" s="34">
        <v>3</v>
      </c>
      <c r="AG330" s="232" t="s">
        <v>442</v>
      </c>
      <c r="AI330">
        <v>1</v>
      </c>
      <c r="AJ330">
        <v>1.00815472466068</v>
      </c>
      <c r="AK330">
        <v>1.04892834796405</v>
      </c>
      <c r="AL330">
        <v>1.09111123927933</v>
      </c>
      <c r="AM330">
        <v>1.12521247998421</v>
      </c>
      <c r="AN330">
        <v>1.15154539977041</v>
      </c>
      <c r="AO330">
        <v>1.17016750535311</v>
      </c>
      <c r="AP330">
        <v>1.17983637578976</v>
      </c>
      <c r="AQ330">
        <v>1.1824192636067</v>
      </c>
      <c r="AR330">
        <v>1.1787026571958</v>
      </c>
      <c r="AS330">
        <v>1.16973362710189</v>
      </c>
      <c r="AT330">
        <v>1.15582715838238</v>
      </c>
      <c r="AU330">
        <v>1.13793012022618</v>
      </c>
      <c r="AV330">
        <v>1.1163359779364</v>
      </c>
      <c r="AW330">
        <v>1.09293353828048</v>
      </c>
      <c r="AX330">
        <v>1.06802312943191</v>
      </c>
      <c r="AY330">
        <v>1.04167236273411</v>
      </c>
      <c r="AZ330">
        <v>1.01409441825303</v>
      </c>
      <c r="BA330">
        <v>0</v>
      </c>
      <c r="BB330">
        <v>0</v>
      </c>
      <c r="BC330">
        <v>0</v>
      </c>
      <c r="BD330">
        <v>0</v>
      </c>
      <c r="BE330">
        <v>0</v>
      </c>
      <c r="BF330">
        <v>0</v>
      </c>
      <c r="BG330">
        <v>0</v>
      </c>
      <c r="BH330">
        <v>0</v>
      </c>
      <c r="BJ330" t="s">
        <v>438</v>
      </c>
      <c r="BL330">
        <v>1</v>
      </c>
      <c r="BM330">
        <v>0.997560975609757</v>
      </c>
      <c r="BN330">
        <v>0.985365853658537</v>
      </c>
      <c r="BO330">
        <v>0.973170731707317</v>
      </c>
      <c r="BP330">
        <v>0.960975609756098</v>
      </c>
      <c r="BQ330">
        <v>0.948780487804878</v>
      </c>
      <c r="BR330">
        <v>0.936585365853658</v>
      </c>
      <c r="BS330">
        <v>0.924390243902439</v>
      </c>
      <c r="BT330">
        <v>0.91219512195122</v>
      </c>
      <c r="BU330">
        <v>0.9</v>
      </c>
      <c r="BV330">
        <v>0.8875</v>
      </c>
      <c r="BW330">
        <v>0.875000000000001</v>
      </c>
      <c r="BX330">
        <v>0.862500000000001</v>
      </c>
      <c r="BY330">
        <v>0.850000000000001</v>
      </c>
      <c r="BZ330">
        <v>0.8375</v>
      </c>
      <c r="CA330">
        <v>0.825000000000001</v>
      </c>
      <c r="CB330">
        <v>0.812500000000001</v>
      </c>
      <c r="CC330">
        <v>0.800000000000001</v>
      </c>
      <c r="CD330" t="e">
        <v>#VALUE!</v>
      </c>
      <c r="CE330" t="e">
        <v>#VALUE!</v>
      </c>
      <c r="CF330" t="e">
        <v>#VALUE!</v>
      </c>
      <c r="CG330" t="e">
        <v>#VALUE!</v>
      </c>
      <c r="CH330" t="e">
        <v>#VALUE!</v>
      </c>
      <c r="CI330" t="e">
        <v>#VALUE!</v>
      </c>
      <c r="CJ330" t="e">
        <v>#VALUE!</v>
      </c>
      <c r="CK330" t="e">
        <v>#VALUE!</v>
      </c>
    </row>
    <row r="331" spans="1:89">
      <c r="A331" s="34" t="s">
        <v>31</v>
      </c>
      <c r="B331" s="34" t="s">
        <v>443</v>
      </c>
      <c r="C331" s="34" t="s">
        <v>443</v>
      </c>
      <c r="D331" s="34"/>
      <c r="E331" s="34">
        <v>10.9989574210474</v>
      </c>
      <c r="F331" s="34">
        <f xml:space="preserve">E331</f>
        <v>10.9989574210474</v>
      </c>
      <c r="G331" s="34"/>
      <c r="H331" s="34"/>
      <c r="I331" s="34">
        <f xml:space="preserve">F331</f>
        <v>10.9989574210474</v>
      </c>
      <c r="J331" s="34">
        <f xml:space="preserve">I331</f>
        <v>10.9989574210474</v>
      </c>
      <c r="K331" s="34"/>
      <c r="L331" s="34">
        <f xml:space="preserve">J331</f>
        <v>10.9989574210474</v>
      </c>
      <c r="M331" s="34"/>
      <c r="N331" s="34"/>
      <c r="O331" s="34"/>
      <c r="P331" s="34"/>
      <c r="Q331" s="34"/>
      <c r="R331" s="34"/>
      <c r="S331" s="34"/>
      <c r="T331" s="34"/>
      <c r="U331" s="34"/>
      <c r="V331" s="34">
        <f xml:space="preserve">L331</f>
        <v>10.9989574210474</v>
      </c>
      <c r="W331" s="34">
        <v>3</v>
      </c>
      <c r="AG331" s="232" t="s">
        <v>437</v>
      </c>
      <c r="AI331">
        <v>1</v>
      </c>
      <c r="AJ331">
        <v>0.994900566012164</v>
      </c>
      <c r="AK331">
        <v>1.09338125038993</v>
      </c>
      <c r="AL331">
        <v>1.18552495423068</v>
      </c>
      <c r="AM331">
        <v>1.35507582325619</v>
      </c>
      <c r="AN331">
        <v>1.58710907835321</v>
      </c>
      <c r="AO331">
        <v>1.87180932424903</v>
      </c>
      <c r="AP331">
        <v>2.19758632707371</v>
      </c>
      <c r="AQ331">
        <v>2.56230221306238</v>
      </c>
      <c r="AR331">
        <v>2.96418214361779</v>
      </c>
      <c r="AS331">
        <v>3.39806295191155</v>
      </c>
      <c r="AT331">
        <v>3.85771925710635</v>
      </c>
      <c r="AU331">
        <v>4.33802822961463</v>
      </c>
      <c r="AV331">
        <v>4.83790076393356</v>
      </c>
      <c r="AW331">
        <v>5.3582377251087</v>
      </c>
      <c r="AX331">
        <v>5.89647097547281</v>
      </c>
      <c r="AY331">
        <v>6.44552805213077</v>
      </c>
      <c r="AZ331">
        <v>7.00058193192795</v>
      </c>
      <c r="BA331">
        <v>0</v>
      </c>
      <c r="BB331">
        <v>0</v>
      </c>
      <c r="BC331">
        <v>0</v>
      </c>
      <c r="BD331">
        <v>0</v>
      </c>
      <c r="BE331">
        <v>0</v>
      </c>
      <c r="BF331">
        <v>0</v>
      </c>
      <c r="BG331">
        <v>0</v>
      </c>
      <c r="BH331">
        <v>0</v>
      </c>
      <c r="BJ331" t="s">
        <v>438</v>
      </c>
      <c r="BL331">
        <v>1</v>
      </c>
      <c r="BM331">
        <v>0.997560975609757</v>
      </c>
      <c r="BN331">
        <v>0.985365853658537</v>
      </c>
      <c r="BO331">
        <v>0.973170731707317</v>
      </c>
      <c r="BP331">
        <v>0.960975609756098</v>
      </c>
      <c r="BQ331">
        <v>0.948780487804878</v>
      </c>
      <c r="BR331">
        <v>0.936585365853658</v>
      </c>
      <c r="BS331">
        <v>0.924390243902439</v>
      </c>
      <c r="BT331">
        <v>0.91219512195122</v>
      </c>
      <c r="BU331">
        <v>0.9</v>
      </c>
      <c r="BV331">
        <v>0.8875</v>
      </c>
      <c r="BW331">
        <v>0.875000000000001</v>
      </c>
      <c r="BX331">
        <v>0.862500000000001</v>
      </c>
      <c r="BY331">
        <v>0.850000000000001</v>
      </c>
      <c r="BZ331">
        <v>0.8375</v>
      </c>
      <c r="CA331">
        <v>0.825000000000001</v>
      </c>
      <c r="CB331">
        <v>0.812500000000001</v>
      </c>
      <c r="CC331">
        <v>0.800000000000001</v>
      </c>
      <c r="CD331" t="e">
        <v>#VALUE!</v>
      </c>
      <c r="CE331" t="e">
        <v>#VALUE!</v>
      </c>
      <c r="CF331" t="e">
        <v>#VALUE!</v>
      </c>
      <c r="CG331" t="e">
        <v>#VALUE!</v>
      </c>
      <c r="CH331" t="e">
        <v>#VALUE!</v>
      </c>
      <c r="CI331" t="e">
        <v>#VALUE!</v>
      </c>
      <c r="CJ331" t="e">
        <v>#VALUE!</v>
      </c>
      <c r="CK331" t="e">
        <v>#VALUE!</v>
      </c>
    </row>
    <row r="332" spans="1:89">
      <c r="A332" s="34" t="s">
        <v>31</v>
      </c>
      <c r="B332" s="34" t="s">
        <v>444</v>
      </c>
      <c r="C332" s="34" t="s">
        <v>444</v>
      </c>
      <c r="D332" s="34"/>
      <c r="E332" s="34">
        <v>125.722145353272</v>
      </c>
      <c r="F332" s="34">
        <f xml:space="preserve">E332</f>
        <v>125.722145353272</v>
      </c>
      <c r="G332" s="34"/>
      <c r="H332" s="34"/>
      <c r="I332" s="34">
        <f xml:space="preserve">F332</f>
        <v>125.722145353272</v>
      </c>
      <c r="J332" s="34">
        <f xml:space="preserve">I332</f>
        <v>125.722145353272</v>
      </c>
      <c r="K332" s="34"/>
      <c r="L332" s="34">
        <f xml:space="preserve">J332</f>
        <v>125.722145353272</v>
      </c>
      <c r="M332" s="34"/>
      <c r="N332" s="34"/>
      <c r="O332" s="34"/>
      <c r="P332" s="34"/>
      <c r="Q332" s="34"/>
      <c r="R332" s="34"/>
      <c r="S332" s="34"/>
      <c r="T332" s="34"/>
      <c r="U332" s="34"/>
      <c r="V332" s="34">
        <f xml:space="preserve">L332</f>
        <v>125.722145353272</v>
      </c>
      <c r="W332" s="34">
        <v>3</v>
      </c>
      <c r="AG332" s="232" t="s">
        <v>437</v>
      </c>
      <c r="AI332">
        <v>1</v>
      </c>
      <c r="AJ332">
        <v>0.994900566012164</v>
      </c>
      <c r="AK332">
        <v>1.09338125038993</v>
      </c>
      <c r="AL332">
        <v>1.18552495423068</v>
      </c>
      <c r="AM332">
        <v>1.35507582325619</v>
      </c>
      <c r="AN332">
        <v>1.58710907835321</v>
      </c>
      <c r="AO332">
        <v>1.87180932424903</v>
      </c>
      <c r="AP332">
        <v>2.19758632707371</v>
      </c>
      <c r="AQ332">
        <v>2.56230221306238</v>
      </c>
      <c r="AR332">
        <v>2.96418214361779</v>
      </c>
      <c r="AS332">
        <v>3.39806295191155</v>
      </c>
      <c r="AT332">
        <v>3.85771925710635</v>
      </c>
      <c r="AU332">
        <v>4.33802822961463</v>
      </c>
      <c r="AV332">
        <v>4.83790076393356</v>
      </c>
      <c r="AW332">
        <v>5.3582377251087</v>
      </c>
      <c r="AX332">
        <v>5.89647097547281</v>
      </c>
      <c r="AY332">
        <v>6.44552805213077</v>
      </c>
      <c r="AZ332">
        <v>7.00058193192795</v>
      </c>
      <c r="BA332">
        <v>0</v>
      </c>
      <c r="BB332">
        <v>0</v>
      </c>
      <c r="BC332">
        <v>0</v>
      </c>
      <c r="BD332">
        <v>0</v>
      </c>
      <c r="BE332">
        <v>0</v>
      </c>
      <c r="BF332">
        <v>0</v>
      </c>
      <c r="BG332">
        <v>0</v>
      </c>
      <c r="BH332">
        <v>0</v>
      </c>
      <c r="BJ332" t="s">
        <v>438</v>
      </c>
      <c r="BL332">
        <v>1</v>
      </c>
      <c r="BM332">
        <v>0.997560975609757</v>
      </c>
      <c r="BN332">
        <v>0.985365853658537</v>
      </c>
      <c r="BO332">
        <v>0.973170731707317</v>
      </c>
      <c r="BP332">
        <v>0.960975609756098</v>
      </c>
      <c r="BQ332">
        <v>0.948780487804878</v>
      </c>
      <c r="BR332">
        <v>0.936585365853658</v>
      </c>
      <c r="BS332">
        <v>0.924390243902439</v>
      </c>
      <c r="BT332">
        <v>0.91219512195122</v>
      </c>
      <c r="BU332">
        <v>0.9</v>
      </c>
      <c r="BV332">
        <v>0.8875</v>
      </c>
      <c r="BW332">
        <v>0.875000000000001</v>
      </c>
      <c r="BX332">
        <v>0.862500000000001</v>
      </c>
      <c r="BY332">
        <v>0.850000000000001</v>
      </c>
      <c r="BZ332">
        <v>0.8375</v>
      </c>
      <c r="CA332">
        <v>0.825000000000001</v>
      </c>
      <c r="CB332">
        <v>0.812500000000001</v>
      </c>
      <c r="CC332">
        <v>0.800000000000001</v>
      </c>
      <c r="CD332" t="e">
        <v>#VALUE!</v>
      </c>
      <c r="CE332" t="e">
        <v>#VALUE!</v>
      </c>
      <c r="CF332" t="e">
        <v>#VALUE!</v>
      </c>
      <c r="CG332" t="e">
        <v>#VALUE!</v>
      </c>
      <c r="CH332" t="e">
        <v>#VALUE!</v>
      </c>
      <c r="CI332" t="e">
        <v>#VALUE!</v>
      </c>
      <c r="CJ332" t="e">
        <v>#VALUE!</v>
      </c>
      <c r="CK332" t="e">
        <v>#VALUE!</v>
      </c>
    </row>
    <row r="333" spans="1:89">
      <c r="A333" s="34" t="s">
        <v>31</v>
      </c>
      <c r="B333" s="34" t="s">
        <v>445</v>
      </c>
      <c r="C333" s="34" t="s">
        <v>445</v>
      </c>
      <c r="D333" s="34">
        <v>109.69</v>
      </c>
      <c r="E333" s="34">
        <v>110.58231006084</v>
      </c>
      <c r="F333" s="34"/>
      <c r="G333" s="34">
        <v>114.989231240778</v>
      </c>
      <c r="H333" s="34">
        <v>119.489482175879</v>
      </c>
      <c r="I333" s="34">
        <v>123.078232089162</v>
      </c>
      <c r="J333" s="34">
        <v>125.811054873143</v>
      </c>
      <c r="K333" s="34">
        <v>127.716576540045</v>
      </c>
      <c r="L333" s="34">
        <v>128.692083402129</v>
      </c>
      <c r="M333" s="34">
        <v>128.949077612265</v>
      </c>
      <c r="N333" s="34">
        <v>128.584293575878</v>
      </c>
      <c r="O333" s="34">
        <v>127.715938187362</v>
      </c>
      <c r="P333" s="34">
        <v>126.387372477224</v>
      </c>
      <c r="Q333" s="34">
        <v>124.699455590404</v>
      </c>
      <c r="R333" s="34">
        <v>122.68803056643</v>
      </c>
      <c r="S333" s="34">
        <v>120.533993247749</v>
      </c>
      <c r="T333" s="34">
        <v>118.267520007521</v>
      </c>
      <c r="U333" s="34">
        <v>115.896684311005</v>
      </c>
      <c r="V333" s="34">
        <v>113.442022027689</v>
      </c>
      <c r="W333" s="34">
        <v>3</v>
      </c>
      <c r="AG333" s="232" t="s">
        <v>442</v>
      </c>
      <c r="AI333">
        <v>1</v>
      </c>
      <c r="AJ333">
        <v>1.00815472466068</v>
      </c>
      <c r="AK333">
        <v>1.04892834796405</v>
      </c>
      <c r="AL333">
        <v>1.09111123927933</v>
      </c>
      <c r="AM333">
        <v>1.12521247998421</v>
      </c>
      <c r="AN333">
        <v>1.15154539977041</v>
      </c>
      <c r="AO333">
        <v>1.17016750535311</v>
      </c>
      <c r="AP333">
        <v>1.17983637578976</v>
      </c>
      <c r="AQ333">
        <v>1.1824192636067</v>
      </c>
      <c r="AR333">
        <v>1.1787026571958</v>
      </c>
      <c r="AS333">
        <v>1.16973362710189</v>
      </c>
      <c r="AT333">
        <v>1.15582715838238</v>
      </c>
      <c r="AU333">
        <v>1.13793012022618</v>
      </c>
      <c r="AV333">
        <v>1.1163359779364</v>
      </c>
      <c r="AW333">
        <v>1.09293353828048</v>
      </c>
      <c r="AX333">
        <v>1.06802312943191</v>
      </c>
      <c r="AY333">
        <v>1.04167236273411</v>
      </c>
      <c r="AZ333">
        <v>1.01409441825303</v>
      </c>
      <c r="BA333">
        <v>0</v>
      </c>
      <c r="BB333">
        <v>0</v>
      </c>
      <c r="BC333">
        <v>0</v>
      </c>
      <c r="BD333">
        <v>0</v>
      </c>
      <c r="BE333">
        <v>0</v>
      </c>
      <c r="BF333">
        <v>0</v>
      </c>
      <c r="BG333">
        <v>0</v>
      </c>
      <c r="BH333">
        <v>0</v>
      </c>
      <c r="BJ333" t="s">
        <v>438</v>
      </c>
      <c r="BL333">
        <v>1</v>
      </c>
      <c r="BM333">
        <v>0.997560975609757</v>
      </c>
      <c r="BN333">
        <v>0.985365853658537</v>
      </c>
      <c r="BO333">
        <v>0.973170731707317</v>
      </c>
      <c r="BP333">
        <v>0.960975609756098</v>
      </c>
      <c r="BQ333">
        <v>0.948780487804878</v>
      </c>
      <c r="BR333">
        <v>0.936585365853658</v>
      </c>
      <c r="BS333">
        <v>0.924390243902439</v>
      </c>
      <c r="BT333">
        <v>0.91219512195122</v>
      </c>
      <c r="BU333">
        <v>0.9</v>
      </c>
      <c r="BV333">
        <v>0.8875</v>
      </c>
      <c r="BW333">
        <v>0.875000000000001</v>
      </c>
      <c r="BX333">
        <v>0.862500000000001</v>
      </c>
      <c r="BY333">
        <v>0.850000000000001</v>
      </c>
      <c r="BZ333">
        <v>0.8375</v>
      </c>
      <c r="CA333">
        <v>0.825000000000001</v>
      </c>
      <c r="CB333">
        <v>0.812500000000001</v>
      </c>
      <c r="CC333">
        <v>0.800000000000001</v>
      </c>
      <c r="CD333" t="e">
        <v>#VALUE!</v>
      </c>
      <c r="CE333" t="e">
        <v>#VALUE!</v>
      </c>
      <c r="CF333" t="e">
        <v>#VALUE!</v>
      </c>
      <c r="CG333" t="e">
        <v>#VALUE!</v>
      </c>
      <c r="CH333" t="e">
        <v>#VALUE!</v>
      </c>
      <c r="CI333" t="e">
        <v>#VALUE!</v>
      </c>
      <c r="CJ333" t="e">
        <v>#VALUE!</v>
      </c>
      <c r="CK333" t="e">
        <v>#VALUE!</v>
      </c>
    </row>
    <row r="334" spans="1:89">
      <c r="A334" s="34" t="s">
        <v>31</v>
      </c>
      <c r="B334" s="34" t="s">
        <v>446</v>
      </c>
      <c r="C334" s="34" t="s">
        <v>446</v>
      </c>
      <c r="D334" s="34">
        <v>18.585</v>
      </c>
      <c r="E334" s="34">
        <v>18.7361859101167</v>
      </c>
      <c r="F334" s="34"/>
      <c r="G334" s="34">
        <v>19.4828595369666</v>
      </c>
      <c r="H334" s="34">
        <v>20.2453462142283</v>
      </c>
      <c r="I334" s="34">
        <v>20.8533954177872</v>
      </c>
      <c r="J334" s="34">
        <v>21.3164231453857</v>
      </c>
      <c r="K334" s="34">
        <v>21.63927956055</v>
      </c>
      <c r="L334" s="34">
        <v>21.8045616740684</v>
      </c>
      <c r="M334" s="34">
        <v>21.8481047262644</v>
      </c>
      <c r="N334" s="34">
        <v>21.7862986243749</v>
      </c>
      <c r="O334" s="34">
        <v>21.6391714031554</v>
      </c>
      <c r="P334" s="34">
        <v>21.4140698102764</v>
      </c>
      <c r="Q334" s="34">
        <v>21.1280826159873</v>
      </c>
      <c r="R334" s="34">
        <v>20.7872827794431</v>
      </c>
      <c r="S334" s="34">
        <v>20.4223198514853</v>
      </c>
      <c r="T334" s="34">
        <v>20.0383066764498</v>
      </c>
      <c r="U334" s="34">
        <v>19.6366111579909</v>
      </c>
      <c r="V334" s="34">
        <v>19.2207127302817</v>
      </c>
      <c r="W334" s="34">
        <v>3</v>
      </c>
      <c r="AG334" s="232" t="s">
        <v>442</v>
      </c>
      <c r="AI334">
        <v>1</v>
      </c>
      <c r="AJ334">
        <v>1.00815472466068</v>
      </c>
      <c r="AK334">
        <v>1.04892834796405</v>
      </c>
      <c r="AL334">
        <v>1.09111123927933</v>
      </c>
      <c r="AM334">
        <v>1.12521247998421</v>
      </c>
      <c r="AN334">
        <v>1.15154539977041</v>
      </c>
      <c r="AO334">
        <v>1.17016750535311</v>
      </c>
      <c r="AP334">
        <v>1.17983637578976</v>
      </c>
      <c r="AQ334">
        <v>1.1824192636067</v>
      </c>
      <c r="AR334">
        <v>1.1787026571958</v>
      </c>
      <c r="AS334">
        <v>1.16973362710189</v>
      </c>
      <c r="AT334">
        <v>1.15582715838238</v>
      </c>
      <c r="AU334">
        <v>1.13793012022618</v>
      </c>
      <c r="AV334">
        <v>1.1163359779364</v>
      </c>
      <c r="AW334">
        <v>1.09293353828048</v>
      </c>
      <c r="AX334">
        <v>1.06802312943191</v>
      </c>
      <c r="AY334">
        <v>1.04167236273411</v>
      </c>
      <c r="AZ334">
        <v>1.01409441825303</v>
      </c>
      <c r="BA334">
        <v>0</v>
      </c>
      <c r="BB334">
        <v>0</v>
      </c>
      <c r="BC334">
        <v>0</v>
      </c>
      <c r="BD334">
        <v>0</v>
      </c>
      <c r="BE334">
        <v>0</v>
      </c>
      <c r="BF334">
        <v>0</v>
      </c>
      <c r="BG334">
        <v>0</v>
      </c>
      <c r="BH334">
        <v>0</v>
      </c>
      <c r="BJ334" t="s">
        <v>438</v>
      </c>
      <c r="BL334">
        <v>1</v>
      </c>
      <c r="BM334">
        <v>0.997560975609757</v>
      </c>
      <c r="BN334">
        <v>0.985365853658537</v>
      </c>
      <c r="BO334">
        <v>0.973170731707317</v>
      </c>
      <c r="BP334">
        <v>0.960975609756098</v>
      </c>
      <c r="BQ334">
        <v>0.948780487804878</v>
      </c>
      <c r="BR334">
        <v>0.936585365853658</v>
      </c>
      <c r="BS334">
        <v>0.924390243902439</v>
      </c>
      <c r="BT334">
        <v>0.91219512195122</v>
      </c>
      <c r="BU334">
        <v>0.9</v>
      </c>
      <c r="BV334">
        <v>0.8875</v>
      </c>
      <c r="BW334">
        <v>0.875000000000001</v>
      </c>
      <c r="BX334">
        <v>0.862500000000001</v>
      </c>
      <c r="BY334">
        <v>0.850000000000001</v>
      </c>
      <c r="BZ334">
        <v>0.8375</v>
      </c>
      <c r="CA334">
        <v>0.825000000000001</v>
      </c>
      <c r="CB334">
        <v>0.812500000000001</v>
      </c>
      <c r="CC334">
        <v>0.800000000000001</v>
      </c>
      <c r="CD334" t="e">
        <v>#VALUE!</v>
      </c>
      <c r="CE334" t="e">
        <v>#VALUE!</v>
      </c>
      <c r="CF334" t="e">
        <v>#VALUE!</v>
      </c>
      <c r="CG334" t="e">
        <v>#VALUE!</v>
      </c>
      <c r="CH334" t="e">
        <v>#VALUE!</v>
      </c>
      <c r="CI334" t="e">
        <v>#VALUE!</v>
      </c>
      <c r="CJ334" t="e">
        <v>#VALUE!</v>
      </c>
      <c r="CK334" t="e">
        <v>#VALUE!</v>
      </c>
    </row>
    <row r="335" spans="1:89">
      <c r="A335" s="34" t="s">
        <v>31</v>
      </c>
      <c r="B335" s="34" t="s">
        <v>447</v>
      </c>
      <c r="C335" s="34" t="s">
        <v>447</v>
      </c>
      <c r="D335" s="34">
        <v>7.945</v>
      </c>
      <c r="E335" s="34">
        <v>8.00963126477684</v>
      </c>
      <c r="F335" s="34"/>
      <c r="G335" s="34">
        <v>8.3288307248426</v>
      </c>
      <c r="H335" s="34">
        <v>8.65479018951003</v>
      </c>
      <c r="I335" s="34">
        <v>8.91472836127628</v>
      </c>
      <c r="J335" s="34">
        <v>9.11267053484473</v>
      </c>
      <c r="K335" s="34">
        <v>9.25069013228785</v>
      </c>
      <c r="L335" s="34">
        <v>9.32134745765259</v>
      </c>
      <c r="M335" s="34">
        <v>9.33996190746141</v>
      </c>
      <c r="N335" s="34">
        <v>9.31354008989287</v>
      </c>
      <c r="O335" s="34">
        <v>9.25064389551089</v>
      </c>
      <c r="P335" s="34">
        <v>9.15441402435544</v>
      </c>
      <c r="Q335" s="34">
        <v>9.03215584525258</v>
      </c>
      <c r="R335" s="34">
        <v>8.88646551964891</v>
      </c>
      <c r="S335" s="34">
        <v>8.73044558622816</v>
      </c>
      <c r="T335" s="34">
        <v>8.56628176187214</v>
      </c>
      <c r="U335" s="34">
        <v>8.39455881895281</v>
      </c>
      <c r="V335" s="34">
        <v>8.21676419919763</v>
      </c>
      <c r="W335" s="34">
        <v>3</v>
      </c>
      <c r="AG335" s="232" t="s">
        <v>442</v>
      </c>
      <c r="AI335">
        <v>1</v>
      </c>
      <c r="AJ335">
        <v>1.00815472466068</v>
      </c>
      <c r="AK335">
        <v>1.04892834796405</v>
      </c>
      <c r="AL335">
        <v>1.09111123927933</v>
      </c>
      <c r="AM335">
        <v>1.12521247998421</v>
      </c>
      <c r="AN335">
        <v>1.15154539977041</v>
      </c>
      <c r="AO335">
        <v>1.17016750535311</v>
      </c>
      <c r="AP335">
        <v>1.17983637578976</v>
      </c>
      <c r="AQ335">
        <v>1.1824192636067</v>
      </c>
      <c r="AR335">
        <v>1.1787026571958</v>
      </c>
      <c r="AS335">
        <v>1.16973362710189</v>
      </c>
      <c r="AT335">
        <v>1.15582715838238</v>
      </c>
      <c r="AU335">
        <v>1.13793012022618</v>
      </c>
      <c r="AV335">
        <v>1.1163359779364</v>
      </c>
      <c r="AW335">
        <v>1.09293353828048</v>
      </c>
      <c r="AX335">
        <v>1.06802312943191</v>
      </c>
      <c r="AY335">
        <v>1.04167236273411</v>
      </c>
      <c r="AZ335">
        <v>1.01409441825303</v>
      </c>
      <c r="BA335">
        <v>0</v>
      </c>
      <c r="BB335">
        <v>0</v>
      </c>
      <c r="BC335">
        <v>0</v>
      </c>
      <c r="BD335">
        <v>0</v>
      </c>
      <c r="BE335">
        <v>0</v>
      </c>
      <c r="BF335">
        <v>0</v>
      </c>
      <c r="BG335">
        <v>0</v>
      </c>
      <c r="BH335">
        <v>0</v>
      </c>
      <c r="BJ335" t="s">
        <v>438</v>
      </c>
      <c r="BL335">
        <v>1</v>
      </c>
      <c r="BM335">
        <v>0.997560975609757</v>
      </c>
      <c r="BN335">
        <v>0.985365853658537</v>
      </c>
      <c r="BO335">
        <v>0.973170731707317</v>
      </c>
      <c r="BP335">
        <v>0.960975609756098</v>
      </c>
      <c r="BQ335">
        <v>0.948780487804878</v>
      </c>
      <c r="BR335">
        <v>0.936585365853658</v>
      </c>
      <c r="BS335">
        <v>0.924390243902439</v>
      </c>
      <c r="BT335">
        <v>0.91219512195122</v>
      </c>
      <c r="BU335">
        <v>0.9</v>
      </c>
      <c r="BV335">
        <v>0.8875</v>
      </c>
      <c r="BW335">
        <v>0.875000000000001</v>
      </c>
      <c r="BX335">
        <v>0.862500000000001</v>
      </c>
      <c r="BY335">
        <v>0.850000000000001</v>
      </c>
      <c r="BZ335">
        <v>0.8375</v>
      </c>
      <c r="CA335">
        <v>0.825000000000001</v>
      </c>
      <c r="CB335">
        <v>0.812500000000001</v>
      </c>
      <c r="CC335">
        <v>0.800000000000001</v>
      </c>
      <c r="CD335" t="e">
        <v>#VALUE!</v>
      </c>
      <c r="CE335" t="e">
        <v>#VALUE!</v>
      </c>
      <c r="CF335" t="e">
        <v>#VALUE!</v>
      </c>
      <c r="CG335" t="e">
        <v>#VALUE!</v>
      </c>
      <c r="CH335" t="e">
        <v>#VALUE!</v>
      </c>
      <c r="CI335" t="e">
        <v>#VALUE!</v>
      </c>
      <c r="CJ335" t="e">
        <v>#VALUE!</v>
      </c>
      <c r="CK335" t="e">
        <v>#VALUE!</v>
      </c>
    </row>
    <row r="336" spans="1:89">
      <c r="A336" s="34" t="s">
        <v>31</v>
      </c>
      <c r="B336" s="34" t="s">
        <v>448</v>
      </c>
      <c r="C336" s="34" t="s">
        <v>448</v>
      </c>
      <c r="D336" s="34">
        <v>99.66</v>
      </c>
      <c r="E336" s="34">
        <v>98.3529707431704</v>
      </c>
      <c r="F336" s="34"/>
      <c r="G336" s="34">
        <v>103.805917225593</v>
      </c>
      <c r="H336" s="34">
        <v>108.084709235096</v>
      </c>
      <c r="I336" s="34">
        <v>119.341446492584</v>
      </c>
      <c r="J336" s="34">
        <v>135.697301449449</v>
      </c>
      <c r="K336" s="34">
        <v>156.110092215582</v>
      </c>
      <c r="L336" s="34">
        <v>179.837352283857</v>
      </c>
      <c r="M336" s="34">
        <v>206.645067701619</v>
      </c>
      <c r="N336" s="34">
        <v>236.493270061296</v>
      </c>
      <c r="O336" s="34">
        <v>269.060394912842</v>
      </c>
      <c r="P336" s="34">
        <v>304.122482923034</v>
      </c>
      <c r="Q336" s="34">
        <v>341.420207140228</v>
      </c>
      <c r="R336" s="34">
        <v>381.121451577387</v>
      </c>
      <c r="S336" s="34">
        <v>423.021353581731</v>
      </c>
      <c r="T336" s="34">
        <v>467.03504533259</v>
      </c>
      <c r="U336" s="34">
        <v>512.862520830738</v>
      </c>
      <c r="V336" s="34">
        <v>560.313003520519</v>
      </c>
      <c r="W336" s="34">
        <v>3</v>
      </c>
      <c r="AG336" s="232" t="s">
        <v>449</v>
      </c>
      <c r="AI336">
        <v>1</v>
      </c>
      <c r="AJ336">
        <v>0.986853051099898</v>
      </c>
      <c r="AK336">
        <v>1.04237935080328</v>
      </c>
      <c r="AL336">
        <v>1.08652987115567</v>
      </c>
      <c r="AM336">
        <v>1.20428438838076</v>
      </c>
      <c r="AN336">
        <v>1.37824273247902</v>
      </c>
      <c r="AO336">
        <v>1.59960801824197</v>
      </c>
      <c r="AP336">
        <v>1.86261957350035</v>
      </c>
      <c r="AQ336">
        <v>2.16699971991886</v>
      </c>
      <c r="AR336">
        <v>2.51478362717001</v>
      </c>
      <c r="AS336">
        <v>2.90498868561258</v>
      </c>
      <c r="AT336">
        <v>3.33762641682978</v>
      </c>
      <c r="AU336">
        <v>3.8122096888976</v>
      </c>
      <c r="AV336">
        <v>4.33373183302453</v>
      </c>
      <c r="AW336">
        <v>4.90261991002567</v>
      </c>
      <c r="AX336">
        <v>5.5209206738895</v>
      </c>
      <c r="AY336">
        <v>6.18767309445842</v>
      </c>
      <c r="AZ336">
        <v>6.90328415768994</v>
      </c>
      <c r="BA336">
        <v>0</v>
      </c>
      <c r="BB336">
        <v>0</v>
      </c>
      <c r="BC336">
        <v>0</v>
      </c>
      <c r="BD336">
        <v>0</v>
      </c>
      <c r="BE336">
        <v>0</v>
      </c>
      <c r="BF336">
        <v>0</v>
      </c>
      <c r="BG336">
        <v>0</v>
      </c>
      <c r="BH336">
        <v>0</v>
      </c>
      <c r="BJ336" t="s">
        <v>438</v>
      </c>
      <c r="BL336">
        <v>1</v>
      </c>
      <c r="BM336">
        <v>0.997560975609757</v>
      </c>
      <c r="BN336">
        <v>0.985365853658537</v>
      </c>
      <c r="BO336">
        <v>0.973170731707317</v>
      </c>
      <c r="BP336">
        <v>0.960975609756098</v>
      </c>
      <c r="BQ336">
        <v>0.948780487804878</v>
      </c>
      <c r="BR336">
        <v>0.936585365853658</v>
      </c>
      <c r="BS336">
        <v>0.924390243902439</v>
      </c>
      <c r="BT336">
        <v>0.91219512195122</v>
      </c>
      <c r="BU336">
        <v>0.9</v>
      </c>
      <c r="BV336">
        <v>0.8875</v>
      </c>
      <c r="BW336">
        <v>0.875000000000001</v>
      </c>
      <c r="BX336">
        <v>0.862500000000001</v>
      </c>
      <c r="BY336">
        <v>0.850000000000001</v>
      </c>
      <c r="BZ336">
        <v>0.8375</v>
      </c>
      <c r="CA336">
        <v>0.825000000000001</v>
      </c>
      <c r="CB336">
        <v>0.812500000000001</v>
      </c>
      <c r="CC336">
        <v>0.800000000000001</v>
      </c>
      <c r="CD336" t="e">
        <v>#VALUE!</v>
      </c>
      <c r="CE336" t="e">
        <v>#VALUE!</v>
      </c>
      <c r="CF336" t="e">
        <v>#VALUE!</v>
      </c>
      <c r="CG336" t="e">
        <v>#VALUE!</v>
      </c>
      <c r="CH336" t="e">
        <v>#VALUE!</v>
      </c>
      <c r="CI336" t="e">
        <v>#VALUE!</v>
      </c>
      <c r="CJ336" t="e">
        <v>#VALUE!</v>
      </c>
      <c r="CK336" t="e">
        <v>#VALUE!</v>
      </c>
    </row>
    <row r="337" spans="1:89">
      <c r="A337" s="34" t="s">
        <v>31</v>
      </c>
      <c r="B337" s="34" t="s">
        <v>450</v>
      </c>
      <c r="C337" s="34" t="s">
        <v>450</v>
      </c>
      <c r="D337" s="34">
        <v>19.6</v>
      </c>
      <c r="E337" s="34">
        <v>19.5002948716583</v>
      </c>
      <c r="F337" s="34"/>
      <c r="G337" s="34">
        <v>21.4022929201511</v>
      </c>
      <c r="H337" s="34">
        <v>23.1575607197183</v>
      </c>
      <c r="I337" s="34">
        <v>26.3402518713137</v>
      </c>
      <c r="J337" s="34">
        <v>30.6195476354285</v>
      </c>
      <c r="K337" s="34">
        <v>35.7638584966043</v>
      </c>
      <c r="L337" s="34">
        <v>41.5177085278935</v>
      </c>
      <c r="M337" s="34">
        <v>47.8030641830236</v>
      </c>
      <c r="N337" s="34">
        <v>54.5508954164533</v>
      </c>
      <c r="O337" s="34">
        <v>61.6374608117572</v>
      </c>
      <c r="P337" s="34">
        <v>68.9329529529742</v>
      </c>
      <c r="Q337" s="34">
        <v>76.3354129243782</v>
      </c>
      <c r="R337" s="34">
        <v>83.8121461664193</v>
      </c>
      <c r="S337" s="34">
        <v>91.3616689125539</v>
      </c>
      <c r="T337" s="34">
        <v>98.932900294157</v>
      </c>
      <c r="U337" s="34">
        <v>106.417859520275</v>
      </c>
      <c r="V337" s="34">
        <v>113.749162132406</v>
      </c>
      <c r="W337" s="34">
        <v>3</v>
      </c>
      <c r="AG337" s="232" t="s">
        <v>437</v>
      </c>
      <c r="AI337">
        <v>1</v>
      </c>
      <c r="AJ337">
        <v>0.994900566012164</v>
      </c>
      <c r="AK337">
        <v>1.09338125038993</v>
      </c>
      <c r="AL337">
        <v>1.18552495423068</v>
      </c>
      <c r="AM337">
        <v>1.35507582325619</v>
      </c>
      <c r="AN337">
        <v>1.58710907835321</v>
      </c>
      <c r="AO337">
        <v>1.87180932424903</v>
      </c>
      <c r="AP337">
        <v>2.19758632707371</v>
      </c>
      <c r="AQ337">
        <v>2.56230221306238</v>
      </c>
      <c r="AR337">
        <v>2.96418214361779</v>
      </c>
      <c r="AS337">
        <v>3.39806295191155</v>
      </c>
      <c r="AT337">
        <v>3.85771925710635</v>
      </c>
      <c r="AU337">
        <v>4.33802822961463</v>
      </c>
      <c r="AV337">
        <v>4.83790076393356</v>
      </c>
      <c r="AW337">
        <v>5.3582377251087</v>
      </c>
      <c r="AX337">
        <v>5.89647097547281</v>
      </c>
      <c r="AY337">
        <v>6.44552805213077</v>
      </c>
      <c r="AZ337">
        <v>7.00058193192795</v>
      </c>
      <c r="BA337">
        <v>0</v>
      </c>
      <c r="BB337">
        <v>0</v>
      </c>
      <c r="BC337">
        <v>0</v>
      </c>
      <c r="BD337">
        <v>0</v>
      </c>
      <c r="BE337">
        <v>0</v>
      </c>
      <c r="BF337">
        <v>0</v>
      </c>
      <c r="BG337">
        <v>0</v>
      </c>
      <c r="BH337">
        <v>0</v>
      </c>
      <c r="BJ337" t="s">
        <v>438</v>
      </c>
      <c r="BL337">
        <v>1</v>
      </c>
      <c r="BM337">
        <v>0.997560975609757</v>
      </c>
      <c r="BN337">
        <v>0.985365853658537</v>
      </c>
      <c r="BO337">
        <v>0.973170731707317</v>
      </c>
      <c r="BP337">
        <v>0.960975609756098</v>
      </c>
      <c r="BQ337">
        <v>0.948780487804878</v>
      </c>
      <c r="BR337">
        <v>0.936585365853658</v>
      </c>
      <c r="BS337">
        <v>0.924390243902439</v>
      </c>
      <c r="BT337">
        <v>0.91219512195122</v>
      </c>
      <c r="BU337">
        <v>0.9</v>
      </c>
      <c r="BV337">
        <v>0.8875</v>
      </c>
      <c r="BW337">
        <v>0.875000000000001</v>
      </c>
      <c r="BX337">
        <v>0.862500000000001</v>
      </c>
      <c r="BY337">
        <v>0.850000000000001</v>
      </c>
      <c r="BZ337">
        <v>0.8375</v>
      </c>
      <c r="CA337">
        <v>0.825000000000001</v>
      </c>
      <c r="CB337">
        <v>0.812500000000001</v>
      </c>
      <c r="CC337">
        <v>0.800000000000001</v>
      </c>
      <c r="CD337" t="e">
        <v>#VALUE!</v>
      </c>
      <c r="CE337" t="e">
        <v>#VALUE!</v>
      </c>
      <c r="CF337" t="e">
        <v>#VALUE!</v>
      </c>
      <c r="CG337" t="e">
        <v>#VALUE!</v>
      </c>
      <c r="CH337" t="e">
        <v>#VALUE!</v>
      </c>
      <c r="CI337" t="e">
        <v>#VALUE!</v>
      </c>
      <c r="CJ337" t="e">
        <v>#VALUE!</v>
      </c>
      <c r="CK337" t="e">
        <v>#VALUE!</v>
      </c>
    </row>
    <row r="338" spans="1:89">
      <c r="A338" s="34" t="s">
        <v>31</v>
      </c>
      <c r="B338" s="34" t="s">
        <v>451</v>
      </c>
      <c r="C338" s="34" t="s">
        <v>451</v>
      </c>
      <c r="D338" s="34">
        <v>23.8</v>
      </c>
      <c r="E338" s="34">
        <v>23.6789294870137</v>
      </c>
      <c r="F338" s="34"/>
      <c r="G338" s="34">
        <v>25.9884985458977</v>
      </c>
      <c r="H338" s="34">
        <v>28.1198951596579</v>
      </c>
      <c r="I338" s="34">
        <v>31.9845915580238</v>
      </c>
      <c r="J338" s="34">
        <v>37.1808792715917</v>
      </c>
      <c r="K338" s="34">
        <v>43.4275424601624</v>
      </c>
      <c r="L338" s="34">
        <v>50.4143603552992</v>
      </c>
      <c r="M338" s="34">
        <v>58.0465779365286</v>
      </c>
      <c r="N338" s="34">
        <v>66.2403730056932</v>
      </c>
      <c r="O338" s="34">
        <v>74.8454881285623</v>
      </c>
      <c r="P338" s="34">
        <v>83.7043000143259</v>
      </c>
      <c r="Q338" s="34">
        <v>92.6930014081736</v>
      </c>
      <c r="R338" s="34">
        <v>101.771891773509</v>
      </c>
      <c r="S338" s="34">
        <v>110.939169393816</v>
      </c>
      <c r="T338" s="34">
        <v>120.132807500048</v>
      </c>
      <c r="U338" s="34">
        <v>129.221686560334</v>
      </c>
      <c r="V338" s="34">
        <v>138.123982589351</v>
      </c>
      <c r="W338" s="34">
        <v>3</v>
      </c>
      <c r="AG338" s="232" t="s">
        <v>437</v>
      </c>
      <c r="AI338">
        <v>1</v>
      </c>
      <c r="AJ338">
        <v>0.994900566012164</v>
      </c>
      <c r="AK338">
        <v>1.09338125038993</v>
      </c>
      <c r="AL338">
        <v>1.18552495423068</v>
      </c>
      <c r="AM338">
        <v>1.35507582325619</v>
      </c>
      <c r="AN338">
        <v>1.58710907835321</v>
      </c>
      <c r="AO338">
        <v>1.87180932424903</v>
      </c>
      <c r="AP338">
        <v>2.19758632707371</v>
      </c>
      <c r="AQ338">
        <v>2.56230221306238</v>
      </c>
      <c r="AR338">
        <v>2.96418214361779</v>
      </c>
      <c r="AS338">
        <v>3.39806295191155</v>
      </c>
      <c r="AT338">
        <v>3.85771925710635</v>
      </c>
      <c r="AU338">
        <v>4.33802822961463</v>
      </c>
      <c r="AV338">
        <v>4.83790076393356</v>
      </c>
      <c r="AW338">
        <v>5.3582377251087</v>
      </c>
      <c r="AX338">
        <v>5.89647097547281</v>
      </c>
      <c r="AY338">
        <v>6.44552805213077</v>
      </c>
      <c r="AZ338">
        <v>7.00058193192795</v>
      </c>
      <c r="BA338">
        <v>0</v>
      </c>
      <c r="BB338">
        <v>0</v>
      </c>
      <c r="BC338">
        <v>0</v>
      </c>
      <c r="BD338">
        <v>0</v>
      </c>
      <c r="BE338">
        <v>0</v>
      </c>
      <c r="BF338">
        <v>0</v>
      </c>
      <c r="BG338">
        <v>0</v>
      </c>
      <c r="BH338">
        <v>0</v>
      </c>
      <c r="BJ338" t="s">
        <v>438</v>
      </c>
      <c r="BL338">
        <v>1</v>
      </c>
      <c r="BM338">
        <v>0.997560975609757</v>
      </c>
      <c r="BN338">
        <v>0.985365853658537</v>
      </c>
      <c r="BO338">
        <v>0.973170731707317</v>
      </c>
      <c r="BP338">
        <v>0.960975609756098</v>
      </c>
      <c r="BQ338">
        <v>0.948780487804878</v>
      </c>
      <c r="BR338">
        <v>0.936585365853658</v>
      </c>
      <c r="BS338">
        <v>0.924390243902439</v>
      </c>
      <c r="BT338">
        <v>0.91219512195122</v>
      </c>
      <c r="BU338">
        <v>0.9</v>
      </c>
      <c r="BV338">
        <v>0.8875</v>
      </c>
      <c r="BW338">
        <v>0.875000000000001</v>
      </c>
      <c r="BX338">
        <v>0.862500000000001</v>
      </c>
      <c r="BY338">
        <v>0.850000000000001</v>
      </c>
      <c r="BZ338">
        <v>0.8375</v>
      </c>
      <c r="CA338">
        <v>0.825000000000001</v>
      </c>
      <c r="CB338">
        <v>0.812500000000001</v>
      </c>
      <c r="CC338">
        <v>0.800000000000001</v>
      </c>
      <c r="CD338" t="e">
        <v>#VALUE!</v>
      </c>
      <c r="CE338" t="e">
        <v>#VALUE!</v>
      </c>
      <c r="CF338" t="e">
        <v>#VALUE!</v>
      </c>
      <c r="CG338" t="e">
        <v>#VALUE!</v>
      </c>
      <c r="CH338" t="e">
        <v>#VALUE!</v>
      </c>
      <c r="CI338" t="e">
        <v>#VALUE!</v>
      </c>
      <c r="CJ338" t="e">
        <v>#VALUE!</v>
      </c>
      <c r="CK338" t="e">
        <v>#VALUE!</v>
      </c>
    </row>
    <row r="339" spans="1:89">
      <c r="A339" s="34" t="s">
        <v>32</v>
      </c>
      <c r="B339" s="34" t="s">
        <v>436</v>
      </c>
      <c r="C339" s="34" t="s">
        <v>436</v>
      </c>
      <c r="D339" s="34"/>
      <c r="E339" s="34">
        <v>103.891851463989</v>
      </c>
      <c r="F339" s="34">
        <f xml:space="preserve">E339</f>
        <v>103.891851463989</v>
      </c>
      <c r="G339" s="34"/>
      <c r="H339" s="34"/>
      <c r="I339" s="34">
        <f xml:space="preserve">F339</f>
        <v>103.891851463989</v>
      </c>
      <c r="J339" s="34">
        <f xml:space="preserve">I339</f>
        <v>103.891851463989</v>
      </c>
      <c r="K339" s="34"/>
      <c r="L339" s="34">
        <f xml:space="preserve">J339</f>
        <v>103.891851463989</v>
      </c>
      <c r="M339" s="34"/>
      <c r="N339" s="34"/>
      <c r="O339" s="34"/>
      <c r="P339" s="34"/>
      <c r="Q339" s="34"/>
      <c r="R339" s="34"/>
      <c r="S339" s="34"/>
      <c r="T339" s="34"/>
      <c r="U339" s="34"/>
      <c r="V339" s="34">
        <f xml:space="preserve">L339</f>
        <v>103.891851463989</v>
      </c>
      <c r="W339" s="34">
        <v>3</v>
      </c>
      <c r="AG339" s="232" t="s">
        <v>437</v>
      </c>
      <c r="AI339">
        <v>1</v>
      </c>
      <c r="AJ339">
        <v>0.997879594864605</v>
      </c>
      <c r="AK339">
        <v>1.18950075332934</v>
      </c>
      <c r="AL339">
        <v>1.28031640877814</v>
      </c>
      <c r="AM339">
        <v>1.39550156259639</v>
      </c>
      <c r="AN339">
        <v>1.52644808091834</v>
      </c>
      <c r="AO339">
        <v>1.66315618331258</v>
      </c>
      <c r="AP339">
        <v>1.80282166535448</v>
      </c>
      <c r="AQ339">
        <v>1.94568971195739</v>
      </c>
      <c r="AR339">
        <v>2.08969585569535</v>
      </c>
      <c r="AS339">
        <v>2.22772084678191</v>
      </c>
      <c r="AT339">
        <v>2.34984070822368</v>
      </c>
      <c r="AU339">
        <v>2.45755268861725</v>
      </c>
      <c r="AV339">
        <v>2.55464277760526</v>
      </c>
      <c r="AW339">
        <v>2.64490271543598</v>
      </c>
      <c r="AX339">
        <v>2.7285614807705</v>
      </c>
      <c r="AY339">
        <v>2.8022675160834</v>
      </c>
      <c r="AZ339">
        <v>2.86060061416468</v>
      </c>
      <c r="BA339">
        <v>0</v>
      </c>
      <c r="BB339">
        <v>0</v>
      </c>
      <c r="BC339">
        <v>0</v>
      </c>
      <c r="BD339">
        <v>0</v>
      </c>
      <c r="BE339">
        <v>0</v>
      </c>
      <c r="BF339">
        <v>0</v>
      </c>
      <c r="BG339">
        <v>0</v>
      </c>
      <c r="BH339">
        <v>0</v>
      </c>
      <c r="BJ339" t="s">
        <v>452</v>
      </c>
      <c r="BL339">
        <v>0.8</v>
      </c>
      <c r="BM339">
        <v>0.797560975609756</v>
      </c>
      <c r="BN339">
        <v>0.785365853658536</v>
      </c>
      <c r="BO339">
        <v>0.773170731707317</v>
      </c>
      <c r="BP339">
        <v>0.760975609756097</v>
      </c>
      <c r="BQ339">
        <v>0.748780487804878</v>
      </c>
      <c r="BR339">
        <v>0.736585365853658</v>
      </c>
      <c r="BS339">
        <v>0.724390243902439</v>
      </c>
      <c r="BT339">
        <v>0.71219512195122</v>
      </c>
      <c r="BU339">
        <v>0.699999999999999</v>
      </c>
      <c r="BV339">
        <v>0.687499999999999</v>
      </c>
      <c r="BW339">
        <v>0.675</v>
      </c>
      <c r="BX339">
        <v>0.6625</v>
      </c>
      <c r="BY339">
        <v>0.649999999999999</v>
      </c>
      <c r="BZ339">
        <v>0.637499999999999</v>
      </c>
      <c r="CA339">
        <v>0.625</v>
      </c>
      <c r="CB339">
        <v>0.6125</v>
      </c>
      <c r="CC339">
        <v>0.6</v>
      </c>
      <c r="CD339" t="e">
        <v>#VALUE!</v>
      </c>
      <c r="CE339" t="e">
        <v>#VALUE!</v>
      </c>
      <c r="CF339" t="e">
        <v>#VALUE!</v>
      </c>
      <c r="CG339" t="e">
        <v>#VALUE!</v>
      </c>
      <c r="CH339" t="e">
        <v>#VALUE!</v>
      </c>
      <c r="CI339" t="e">
        <v>#VALUE!</v>
      </c>
      <c r="CJ339" t="e">
        <v>#VALUE!</v>
      </c>
      <c r="CK339" t="e">
        <v>#VALUE!</v>
      </c>
    </row>
    <row r="340" spans="1:89">
      <c r="A340" s="34" t="s">
        <v>32</v>
      </c>
      <c r="B340" s="34" t="s">
        <v>439</v>
      </c>
      <c r="C340" s="34" t="s">
        <v>439</v>
      </c>
      <c r="D340" s="34"/>
      <c r="E340" s="34">
        <v>260.258225243851</v>
      </c>
      <c r="F340" s="34">
        <f xml:space="preserve">E340</f>
        <v>260.258225243851</v>
      </c>
      <c r="G340" s="34"/>
      <c r="H340" s="34"/>
      <c r="I340" s="34">
        <f xml:space="preserve">F340</f>
        <v>260.258225243851</v>
      </c>
      <c r="J340" s="34">
        <f xml:space="preserve">I340</f>
        <v>260.258225243851</v>
      </c>
      <c r="K340" s="34"/>
      <c r="L340" s="34">
        <f xml:space="preserve">J340</f>
        <v>260.258225243851</v>
      </c>
      <c r="M340" s="34"/>
      <c r="N340" s="34"/>
      <c r="O340" s="34"/>
      <c r="P340" s="34"/>
      <c r="Q340" s="34"/>
      <c r="R340" s="34"/>
      <c r="S340" s="34"/>
      <c r="T340" s="34"/>
      <c r="U340" s="34"/>
      <c r="V340" s="34">
        <f xml:space="preserve">L340</f>
        <v>260.258225243851</v>
      </c>
      <c r="W340" s="34">
        <v>3</v>
      </c>
      <c r="AG340" s="232" t="s">
        <v>437</v>
      </c>
      <c r="AI340">
        <v>1</v>
      </c>
      <c r="AJ340">
        <v>0.997879594864605</v>
      </c>
      <c r="AK340">
        <v>1.18950075332934</v>
      </c>
      <c r="AL340">
        <v>1.28031640877814</v>
      </c>
      <c r="AM340">
        <v>1.39550156259639</v>
      </c>
      <c r="AN340">
        <v>1.52644808091834</v>
      </c>
      <c r="AO340">
        <v>1.66315618331258</v>
      </c>
      <c r="AP340">
        <v>1.80282166535448</v>
      </c>
      <c r="AQ340">
        <v>1.94568971195739</v>
      </c>
      <c r="AR340">
        <v>2.08969585569535</v>
      </c>
      <c r="AS340">
        <v>2.22772084678191</v>
      </c>
      <c r="AT340">
        <v>2.34984070822368</v>
      </c>
      <c r="AU340">
        <v>2.45755268861725</v>
      </c>
      <c r="AV340">
        <v>2.55464277760526</v>
      </c>
      <c r="AW340">
        <v>2.64490271543598</v>
      </c>
      <c r="AX340">
        <v>2.7285614807705</v>
      </c>
      <c r="AY340">
        <v>2.8022675160834</v>
      </c>
      <c r="AZ340">
        <v>2.86060061416468</v>
      </c>
      <c r="BA340">
        <v>0</v>
      </c>
      <c r="BB340">
        <v>0</v>
      </c>
      <c r="BC340">
        <v>0</v>
      </c>
      <c r="BD340">
        <v>0</v>
      </c>
      <c r="BE340">
        <v>0</v>
      </c>
      <c r="BF340">
        <v>0</v>
      </c>
      <c r="BG340">
        <v>0</v>
      </c>
      <c r="BH340">
        <v>0</v>
      </c>
      <c r="BJ340" t="s">
        <v>452</v>
      </c>
      <c r="BL340">
        <v>0.8</v>
      </c>
      <c r="BM340">
        <v>0.797560975609756</v>
      </c>
      <c r="BN340">
        <v>0.785365853658536</v>
      </c>
      <c r="BO340">
        <v>0.773170731707317</v>
      </c>
      <c r="BP340">
        <v>0.760975609756097</v>
      </c>
      <c r="BQ340">
        <v>0.748780487804878</v>
      </c>
      <c r="BR340">
        <v>0.736585365853658</v>
      </c>
      <c r="BS340">
        <v>0.724390243902439</v>
      </c>
      <c r="BT340">
        <v>0.71219512195122</v>
      </c>
      <c r="BU340">
        <v>0.699999999999999</v>
      </c>
      <c r="BV340">
        <v>0.687499999999999</v>
      </c>
      <c r="BW340">
        <v>0.675</v>
      </c>
      <c r="BX340">
        <v>0.6625</v>
      </c>
      <c r="BY340">
        <v>0.649999999999999</v>
      </c>
      <c r="BZ340">
        <v>0.637499999999999</v>
      </c>
      <c r="CA340">
        <v>0.625</v>
      </c>
      <c r="CB340">
        <v>0.6125</v>
      </c>
      <c r="CC340">
        <v>0.6</v>
      </c>
      <c r="CD340" t="e">
        <v>#VALUE!</v>
      </c>
      <c r="CE340" t="e">
        <v>#VALUE!</v>
      </c>
      <c r="CF340" t="e">
        <v>#VALUE!</v>
      </c>
      <c r="CG340" t="e">
        <v>#VALUE!</v>
      </c>
      <c r="CH340" t="e">
        <v>#VALUE!</v>
      </c>
      <c r="CI340" t="e">
        <v>#VALUE!</v>
      </c>
      <c r="CJ340" t="e">
        <v>#VALUE!</v>
      </c>
      <c r="CK340" t="e">
        <v>#VALUE!</v>
      </c>
    </row>
    <row r="341" spans="1:89">
      <c r="A341" s="34" t="s">
        <v>32</v>
      </c>
      <c r="B341" s="34" t="s">
        <v>440</v>
      </c>
      <c r="C341" s="34" t="s">
        <v>440</v>
      </c>
      <c r="D341" s="34"/>
      <c r="E341" s="34">
        <v>3.47343215679999</v>
      </c>
      <c r="F341" s="34"/>
      <c r="G341" s="34"/>
      <c r="H341" s="34"/>
      <c r="I341" s="34">
        <v>4.5230426202522</v>
      </c>
      <c r="J341" s="34">
        <v>4.8408389135394</v>
      </c>
      <c r="K341" s="34"/>
      <c r="L341" s="34">
        <v>5.47408246075369</v>
      </c>
      <c r="M341" s="34"/>
      <c r="N341" s="34"/>
      <c r="O341" s="34"/>
      <c r="P341" s="34"/>
      <c r="Q341" s="34"/>
      <c r="R341" s="34"/>
      <c r="S341" s="34"/>
      <c r="T341" s="34"/>
      <c r="U341" s="34"/>
      <c r="V341" s="34">
        <v>7.4792063275324</v>
      </c>
      <c r="W341" s="34">
        <v>3</v>
      </c>
      <c r="AG341" s="232" t="s">
        <v>437</v>
      </c>
      <c r="AI341">
        <v>1</v>
      </c>
      <c r="AJ341">
        <v>0.997879594864605</v>
      </c>
      <c r="AK341">
        <v>1.18950075332934</v>
      </c>
      <c r="AL341">
        <v>1.28031640877814</v>
      </c>
      <c r="AM341">
        <v>1.39550156259639</v>
      </c>
      <c r="AN341">
        <v>1.52644808091834</v>
      </c>
      <c r="AO341">
        <v>1.66315618331258</v>
      </c>
      <c r="AP341">
        <v>1.80282166535448</v>
      </c>
      <c r="AQ341">
        <v>1.94568971195739</v>
      </c>
      <c r="AR341">
        <v>2.08969585569535</v>
      </c>
      <c r="AS341">
        <v>2.22772084678191</v>
      </c>
      <c r="AT341">
        <v>2.34984070822368</v>
      </c>
      <c r="AU341">
        <v>2.45755268861725</v>
      </c>
      <c r="AV341">
        <v>2.55464277760526</v>
      </c>
      <c r="AW341">
        <v>2.64490271543598</v>
      </c>
      <c r="AX341">
        <v>2.7285614807705</v>
      </c>
      <c r="AY341">
        <v>2.8022675160834</v>
      </c>
      <c r="AZ341">
        <v>2.86060061416468</v>
      </c>
      <c r="BA341">
        <v>0</v>
      </c>
      <c r="BB341">
        <v>0</v>
      </c>
      <c r="BC341">
        <v>0</v>
      </c>
      <c r="BD341">
        <v>0</v>
      </c>
      <c r="BE341">
        <v>0</v>
      </c>
      <c r="BF341">
        <v>0</v>
      </c>
      <c r="BG341">
        <v>0</v>
      </c>
      <c r="BH341">
        <v>0</v>
      </c>
      <c r="BJ341" t="s">
        <v>452</v>
      </c>
      <c r="BL341">
        <v>0.8</v>
      </c>
      <c r="BM341">
        <v>0.797560975609756</v>
      </c>
      <c r="BN341">
        <v>0.785365853658536</v>
      </c>
      <c r="BO341">
        <v>0.773170731707317</v>
      </c>
      <c r="BP341">
        <v>0.760975609756097</v>
      </c>
      <c r="BQ341">
        <v>0.748780487804878</v>
      </c>
      <c r="BR341">
        <v>0.736585365853658</v>
      </c>
      <c r="BS341">
        <v>0.724390243902439</v>
      </c>
      <c r="BT341">
        <v>0.71219512195122</v>
      </c>
      <c r="BU341">
        <v>0.699999999999999</v>
      </c>
      <c r="BV341">
        <v>0.687499999999999</v>
      </c>
      <c r="BW341">
        <v>0.675</v>
      </c>
      <c r="BX341">
        <v>0.6625</v>
      </c>
      <c r="BY341">
        <v>0.649999999999999</v>
      </c>
      <c r="BZ341">
        <v>0.637499999999999</v>
      </c>
      <c r="CA341">
        <v>0.625</v>
      </c>
      <c r="CB341">
        <v>0.6125</v>
      </c>
      <c r="CC341">
        <v>0.6</v>
      </c>
      <c r="CD341" t="e">
        <v>#VALUE!</v>
      </c>
      <c r="CE341" t="e">
        <v>#VALUE!</v>
      </c>
      <c r="CF341" t="e">
        <v>#VALUE!</v>
      </c>
      <c r="CG341" t="e">
        <v>#VALUE!</v>
      </c>
      <c r="CH341" t="e">
        <v>#VALUE!</v>
      </c>
      <c r="CI341" t="e">
        <v>#VALUE!</v>
      </c>
      <c r="CJ341" t="e">
        <v>#VALUE!</v>
      </c>
      <c r="CK341" t="e">
        <v>#VALUE!</v>
      </c>
    </row>
    <row r="342" spans="1:89">
      <c r="A342" s="34" t="s">
        <v>32</v>
      </c>
      <c r="B342" s="34" t="s">
        <v>441</v>
      </c>
      <c r="C342" s="34" t="s">
        <v>441</v>
      </c>
      <c r="D342" s="34"/>
      <c r="E342" s="34">
        <v>14.626041583712</v>
      </c>
      <c r="F342" s="34"/>
      <c r="G342" s="34"/>
      <c r="H342" s="34"/>
      <c r="I342" s="34">
        <v>14.7086189446099</v>
      </c>
      <c r="J342" s="34">
        <v>14.7592524756673</v>
      </c>
      <c r="K342" s="34"/>
      <c r="L342" s="34">
        <v>14.8957022241977</v>
      </c>
      <c r="M342" s="34"/>
      <c r="N342" s="34"/>
      <c r="O342" s="34"/>
      <c r="P342" s="34"/>
      <c r="Q342" s="34"/>
      <c r="R342" s="34"/>
      <c r="S342" s="34"/>
      <c r="T342" s="34"/>
      <c r="U342" s="34"/>
      <c r="V342" s="34">
        <v>14.2703428586092</v>
      </c>
      <c r="W342" s="34">
        <v>3</v>
      </c>
      <c r="AG342" s="232" t="s">
        <v>442</v>
      </c>
      <c r="AI342">
        <v>1</v>
      </c>
      <c r="AJ342">
        <v>1.00057539501197</v>
      </c>
      <c r="AK342">
        <v>1.00345237007185</v>
      </c>
      <c r="AL342">
        <v>1.00499696016419</v>
      </c>
      <c r="AM342">
        <v>1.00788575912277</v>
      </c>
      <c r="AN342">
        <v>1.01251940786193</v>
      </c>
      <c r="AO342">
        <v>1.01843003766146</v>
      </c>
      <c r="AP342">
        <v>1.02535276541024</v>
      </c>
      <c r="AQ342">
        <v>1.02777984199243</v>
      </c>
      <c r="AR342">
        <v>1.02565513427365</v>
      </c>
      <c r="AS342">
        <v>1.01876282571803</v>
      </c>
      <c r="AT342">
        <v>1.00946233103805</v>
      </c>
      <c r="AU342">
        <v>0.999966993786428</v>
      </c>
      <c r="AV342">
        <v>0.992198744423495</v>
      </c>
      <c r="AW342">
        <v>0.986303671471603</v>
      </c>
      <c r="AX342">
        <v>0.98017186010727</v>
      </c>
      <c r="AY342">
        <v>0.971420421446115</v>
      </c>
      <c r="AZ342">
        <v>0.958795501348584</v>
      </c>
      <c r="BA342">
        <v>0</v>
      </c>
      <c r="BB342">
        <v>0</v>
      </c>
      <c r="BC342">
        <v>0</v>
      </c>
      <c r="BD342">
        <v>0</v>
      </c>
      <c r="BE342">
        <v>0</v>
      </c>
      <c r="BF342">
        <v>0</v>
      </c>
      <c r="BG342">
        <v>0</v>
      </c>
      <c r="BH342">
        <v>0</v>
      </c>
      <c r="BJ342" t="s">
        <v>452</v>
      </c>
      <c r="BL342">
        <v>0.8</v>
      </c>
      <c r="BM342">
        <v>0.797560975609756</v>
      </c>
      <c r="BN342">
        <v>0.785365853658536</v>
      </c>
      <c r="BO342">
        <v>0.773170731707317</v>
      </c>
      <c r="BP342">
        <v>0.760975609756097</v>
      </c>
      <c r="BQ342">
        <v>0.748780487804878</v>
      </c>
      <c r="BR342">
        <v>0.736585365853658</v>
      </c>
      <c r="BS342">
        <v>0.724390243902439</v>
      </c>
      <c r="BT342">
        <v>0.71219512195122</v>
      </c>
      <c r="BU342">
        <v>0.699999999999999</v>
      </c>
      <c r="BV342">
        <v>0.687499999999999</v>
      </c>
      <c r="BW342">
        <v>0.675</v>
      </c>
      <c r="BX342">
        <v>0.6625</v>
      </c>
      <c r="BY342">
        <v>0.649999999999999</v>
      </c>
      <c r="BZ342">
        <v>0.637499999999999</v>
      </c>
      <c r="CA342">
        <v>0.625</v>
      </c>
      <c r="CB342">
        <v>0.6125</v>
      </c>
      <c r="CC342">
        <v>0.6</v>
      </c>
      <c r="CD342" t="e">
        <v>#VALUE!</v>
      </c>
      <c r="CE342" t="e">
        <v>#VALUE!</v>
      </c>
      <c r="CF342" t="e">
        <v>#VALUE!</v>
      </c>
      <c r="CG342" t="e">
        <v>#VALUE!</v>
      </c>
      <c r="CH342" t="e">
        <v>#VALUE!</v>
      </c>
      <c r="CI342" t="e">
        <v>#VALUE!</v>
      </c>
      <c r="CJ342" t="e">
        <v>#VALUE!</v>
      </c>
      <c r="CK342" t="e">
        <v>#VALUE!</v>
      </c>
    </row>
    <row r="343" spans="1:89">
      <c r="A343" s="34" t="s">
        <v>32</v>
      </c>
      <c r="B343" s="34" t="s">
        <v>443</v>
      </c>
      <c r="C343" s="34" t="s">
        <v>443</v>
      </c>
      <c r="D343" s="34"/>
      <c r="E343" s="34">
        <v>46.6214604970415</v>
      </c>
      <c r="F343" s="34">
        <f xml:space="preserve">E343</f>
        <v>46.6214604970415</v>
      </c>
      <c r="G343" s="34"/>
      <c r="H343" s="34"/>
      <c r="I343" s="34">
        <f xml:space="preserve">F343</f>
        <v>46.6214604970415</v>
      </c>
      <c r="J343" s="34">
        <f xml:space="preserve">I343</f>
        <v>46.6214604970415</v>
      </c>
      <c r="K343" s="34"/>
      <c r="L343" s="34">
        <f xml:space="preserve">J343</f>
        <v>46.6214604970415</v>
      </c>
      <c r="M343" s="34"/>
      <c r="N343" s="34"/>
      <c r="O343" s="34"/>
      <c r="P343" s="34"/>
      <c r="Q343" s="34"/>
      <c r="R343" s="34"/>
      <c r="S343" s="34"/>
      <c r="T343" s="34"/>
      <c r="U343" s="34"/>
      <c r="V343" s="34">
        <f xml:space="preserve">L343</f>
        <v>46.6214604970415</v>
      </c>
      <c r="W343" s="34">
        <v>3</v>
      </c>
      <c r="AG343" s="232" t="s">
        <v>437</v>
      </c>
      <c r="AI343">
        <v>1</v>
      </c>
      <c r="AJ343">
        <v>0.997879594864605</v>
      </c>
      <c r="AK343">
        <v>1.18950075332934</v>
      </c>
      <c r="AL343">
        <v>1.28031640877814</v>
      </c>
      <c r="AM343">
        <v>1.39550156259639</v>
      </c>
      <c r="AN343">
        <v>1.52644808091834</v>
      </c>
      <c r="AO343">
        <v>1.66315618331258</v>
      </c>
      <c r="AP343">
        <v>1.80282166535448</v>
      </c>
      <c r="AQ343">
        <v>1.94568971195739</v>
      </c>
      <c r="AR343">
        <v>2.08969585569535</v>
      </c>
      <c r="AS343">
        <v>2.22772084678191</v>
      </c>
      <c r="AT343">
        <v>2.34984070822368</v>
      </c>
      <c r="AU343">
        <v>2.45755268861725</v>
      </c>
      <c r="AV343">
        <v>2.55464277760526</v>
      </c>
      <c r="AW343">
        <v>2.64490271543598</v>
      </c>
      <c r="AX343">
        <v>2.7285614807705</v>
      </c>
      <c r="AY343">
        <v>2.8022675160834</v>
      </c>
      <c r="AZ343">
        <v>2.86060061416468</v>
      </c>
      <c r="BA343">
        <v>0</v>
      </c>
      <c r="BB343">
        <v>0</v>
      </c>
      <c r="BC343">
        <v>0</v>
      </c>
      <c r="BD343">
        <v>0</v>
      </c>
      <c r="BE343">
        <v>0</v>
      </c>
      <c r="BF343">
        <v>0</v>
      </c>
      <c r="BG343">
        <v>0</v>
      </c>
      <c r="BH343">
        <v>0</v>
      </c>
      <c r="BJ343" t="s">
        <v>452</v>
      </c>
      <c r="BL343">
        <v>0.8</v>
      </c>
      <c r="BM343">
        <v>0.797560975609756</v>
      </c>
      <c r="BN343">
        <v>0.785365853658536</v>
      </c>
      <c r="BO343">
        <v>0.773170731707317</v>
      </c>
      <c r="BP343">
        <v>0.760975609756097</v>
      </c>
      <c r="BQ343">
        <v>0.748780487804878</v>
      </c>
      <c r="BR343">
        <v>0.736585365853658</v>
      </c>
      <c r="BS343">
        <v>0.724390243902439</v>
      </c>
      <c r="BT343">
        <v>0.71219512195122</v>
      </c>
      <c r="BU343">
        <v>0.699999999999999</v>
      </c>
      <c r="BV343">
        <v>0.687499999999999</v>
      </c>
      <c r="BW343">
        <v>0.675</v>
      </c>
      <c r="BX343">
        <v>0.6625</v>
      </c>
      <c r="BY343">
        <v>0.649999999999999</v>
      </c>
      <c r="BZ343">
        <v>0.637499999999999</v>
      </c>
      <c r="CA343">
        <v>0.625</v>
      </c>
      <c r="CB343">
        <v>0.6125</v>
      </c>
      <c r="CC343">
        <v>0.6</v>
      </c>
      <c r="CD343" t="e">
        <v>#VALUE!</v>
      </c>
      <c r="CE343" t="e">
        <v>#VALUE!</v>
      </c>
      <c r="CF343" t="e">
        <v>#VALUE!</v>
      </c>
      <c r="CG343" t="e">
        <v>#VALUE!</v>
      </c>
      <c r="CH343" t="e">
        <v>#VALUE!</v>
      </c>
      <c r="CI343" t="e">
        <v>#VALUE!</v>
      </c>
      <c r="CJ343" t="e">
        <v>#VALUE!</v>
      </c>
      <c r="CK343" t="e">
        <v>#VALUE!</v>
      </c>
    </row>
    <row r="344" spans="1:89">
      <c r="A344" s="34" t="s">
        <v>32</v>
      </c>
      <c r="B344" s="34" t="s">
        <v>444</v>
      </c>
      <c r="C344" s="34" t="s">
        <v>444</v>
      </c>
      <c r="D344" s="34"/>
      <c r="E344" s="34">
        <v>337.154179744827</v>
      </c>
      <c r="F344" s="34">
        <f xml:space="preserve">E344</f>
        <v>337.154179744827</v>
      </c>
      <c r="G344" s="34"/>
      <c r="H344" s="34"/>
      <c r="I344" s="34">
        <f xml:space="preserve">F344</f>
        <v>337.154179744827</v>
      </c>
      <c r="J344" s="34">
        <f xml:space="preserve">I344</f>
        <v>337.154179744827</v>
      </c>
      <c r="K344" s="34"/>
      <c r="L344" s="34">
        <f xml:space="preserve">J344</f>
        <v>337.154179744827</v>
      </c>
      <c r="M344" s="34"/>
      <c r="N344" s="34"/>
      <c r="O344" s="34"/>
      <c r="P344" s="34"/>
      <c r="Q344" s="34"/>
      <c r="R344" s="34"/>
      <c r="S344" s="34"/>
      <c r="T344" s="34"/>
      <c r="U344" s="34"/>
      <c r="V344" s="34">
        <f xml:space="preserve">L344</f>
        <v>337.154179744827</v>
      </c>
      <c r="W344" s="34">
        <v>3</v>
      </c>
      <c r="AG344" s="232" t="s">
        <v>437</v>
      </c>
      <c r="AI344">
        <v>1</v>
      </c>
      <c r="AJ344">
        <v>0.997879594864605</v>
      </c>
      <c r="AK344">
        <v>1.18950075332934</v>
      </c>
      <c r="AL344">
        <v>1.28031640877814</v>
      </c>
      <c r="AM344">
        <v>1.39550156259639</v>
      </c>
      <c r="AN344">
        <v>1.52644808091834</v>
      </c>
      <c r="AO344">
        <v>1.66315618331258</v>
      </c>
      <c r="AP344">
        <v>1.80282166535448</v>
      </c>
      <c r="AQ344">
        <v>1.94568971195739</v>
      </c>
      <c r="AR344">
        <v>2.08969585569535</v>
      </c>
      <c r="AS344">
        <v>2.22772084678191</v>
      </c>
      <c r="AT344">
        <v>2.34984070822368</v>
      </c>
      <c r="AU344">
        <v>2.45755268861725</v>
      </c>
      <c r="AV344">
        <v>2.55464277760526</v>
      </c>
      <c r="AW344">
        <v>2.64490271543598</v>
      </c>
      <c r="AX344">
        <v>2.7285614807705</v>
      </c>
      <c r="AY344">
        <v>2.8022675160834</v>
      </c>
      <c r="AZ344">
        <v>2.86060061416468</v>
      </c>
      <c r="BA344">
        <v>0</v>
      </c>
      <c r="BB344">
        <v>0</v>
      </c>
      <c r="BC344">
        <v>0</v>
      </c>
      <c r="BD344">
        <v>0</v>
      </c>
      <c r="BE344">
        <v>0</v>
      </c>
      <c r="BF344">
        <v>0</v>
      </c>
      <c r="BG344">
        <v>0</v>
      </c>
      <c r="BH344">
        <v>0</v>
      </c>
      <c r="BJ344" t="s">
        <v>452</v>
      </c>
      <c r="BL344">
        <v>0.8</v>
      </c>
      <c r="BM344">
        <v>0.797560975609756</v>
      </c>
      <c r="BN344">
        <v>0.785365853658536</v>
      </c>
      <c r="BO344">
        <v>0.773170731707317</v>
      </c>
      <c r="BP344">
        <v>0.760975609756097</v>
      </c>
      <c r="BQ344">
        <v>0.748780487804878</v>
      </c>
      <c r="BR344">
        <v>0.736585365853658</v>
      </c>
      <c r="BS344">
        <v>0.724390243902439</v>
      </c>
      <c r="BT344">
        <v>0.71219512195122</v>
      </c>
      <c r="BU344">
        <v>0.699999999999999</v>
      </c>
      <c r="BV344">
        <v>0.687499999999999</v>
      </c>
      <c r="BW344">
        <v>0.675</v>
      </c>
      <c r="BX344">
        <v>0.6625</v>
      </c>
      <c r="BY344">
        <v>0.649999999999999</v>
      </c>
      <c r="BZ344">
        <v>0.637499999999999</v>
      </c>
      <c r="CA344">
        <v>0.625</v>
      </c>
      <c r="CB344">
        <v>0.6125</v>
      </c>
      <c r="CC344">
        <v>0.6</v>
      </c>
      <c r="CD344" t="e">
        <v>#VALUE!</v>
      </c>
      <c r="CE344" t="e">
        <v>#VALUE!</v>
      </c>
      <c r="CF344" t="e">
        <v>#VALUE!</v>
      </c>
      <c r="CG344" t="e">
        <v>#VALUE!</v>
      </c>
      <c r="CH344" t="e">
        <v>#VALUE!</v>
      </c>
      <c r="CI344" t="e">
        <v>#VALUE!</v>
      </c>
      <c r="CJ344" t="e">
        <v>#VALUE!</v>
      </c>
      <c r="CK344" t="e">
        <v>#VALUE!</v>
      </c>
    </row>
    <row r="345" spans="1:89">
      <c r="A345" s="34" t="s">
        <v>32</v>
      </c>
      <c r="B345" s="34" t="s">
        <v>445</v>
      </c>
      <c r="C345" s="34" t="s">
        <v>445</v>
      </c>
      <c r="D345" s="34">
        <v>1.3</v>
      </c>
      <c r="E345" s="34">
        <v>1.30059658638924</v>
      </c>
      <c r="F345" s="34"/>
      <c r="G345" s="34">
        <v>1.30353356580575</v>
      </c>
      <c r="H345" s="34">
        <v>1.3050849312225</v>
      </c>
      <c r="I345" s="34">
        <v>1.30793964179368</v>
      </c>
      <c r="J345" s="34">
        <v>1.31244214489906</v>
      </c>
      <c r="K345" s="34">
        <v>1.31808545163749</v>
      </c>
      <c r="L345" s="34">
        <v>1.3245757133794</v>
      </c>
      <c r="M345" s="34">
        <v>1.32680869914922</v>
      </c>
      <c r="N345" s="34">
        <v>1.32488868048523</v>
      </c>
      <c r="O345" s="34">
        <v>1.31876777821331</v>
      </c>
      <c r="P345" s="34">
        <v>1.31064124977396</v>
      </c>
      <c r="Q345" s="34">
        <v>1.30247373381161</v>
      </c>
      <c r="R345" s="34">
        <v>1.29589685524435</v>
      </c>
      <c r="S345" s="34">
        <v>1.29098844181308</v>
      </c>
      <c r="T345" s="34">
        <v>1.28597217639472</v>
      </c>
      <c r="U345" s="34">
        <v>1.27893959304243</v>
      </c>
      <c r="V345" s="34">
        <v>1.26896666485484</v>
      </c>
      <c r="W345" s="34">
        <v>3</v>
      </c>
      <c r="AG345" s="232" t="s">
        <v>442</v>
      </c>
      <c r="AI345">
        <v>1</v>
      </c>
      <c r="AJ345">
        <v>1.00057539501197</v>
      </c>
      <c r="AK345">
        <v>1.00345237007185</v>
      </c>
      <c r="AL345">
        <v>1.00499696016419</v>
      </c>
      <c r="AM345">
        <v>1.00788575912277</v>
      </c>
      <c r="AN345">
        <v>1.01251940786193</v>
      </c>
      <c r="AO345">
        <v>1.01843003766146</v>
      </c>
      <c r="AP345">
        <v>1.02535276541024</v>
      </c>
      <c r="AQ345">
        <v>1.02777984199243</v>
      </c>
      <c r="AR345">
        <v>1.02565513427365</v>
      </c>
      <c r="AS345">
        <v>1.01876282571803</v>
      </c>
      <c r="AT345">
        <v>1.00946233103805</v>
      </c>
      <c r="AU345">
        <v>0.999966993786428</v>
      </c>
      <c r="AV345">
        <v>0.992198744423495</v>
      </c>
      <c r="AW345">
        <v>0.986303671471603</v>
      </c>
      <c r="AX345">
        <v>0.98017186010727</v>
      </c>
      <c r="AY345">
        <v>0.971420421446115</v>
      </c>
      <c r="AZ345">
        <v>0.958795501348584</v>
      </c>
      <c r="BA345">
        <v>0</v>
      </c>
      <c r="BB345">
        <v>0</v>
      </c>
      <c r="BC345">
        <v>0</v>
      </c>
      <c r="BD345">
        <v>0</v>
      </c>
      <c r="BE345">
        <v>0</v>
      </c>
      <c r="BF345">
        <v>0</v>
      </c>
      <c r="BG345">
        <v>0</v>
      </c>
      <c r="BH345">
        <v>0</v>
      </c>
      <c r="BJ345" t="s">
        <v>452</v>
      </c>
      <c r="BL345">
        <v>0.8</v>
      </c>
      <c r="BM345">
        <v>0.797560975609756</v>
      </c>
      <c r="BN345">
        <v>0.785365853658536</v>
      </c>
      <c r="BO345">
        <v>0.773170731707317</v>
      </c>
      <c r="BP345">
        <v>0.760975609756097</v>
      </c>
      <c r="BQ345">
        <v>0.748780487804878</v>
      </c>
      <c r="BR345">
        <v>0.736585365853658</v>
      </c>
      <c r="BS345">
        <v>0.724390243902439</v>
      </c>
      <c r="BT345">
        <v>0.71219512195122</v>
      </c>
      <c r="BU345">
        <v>0.699999999999999</v>
      </c>
      <c r="BV345">
        <v>0.687499999999999</v>
      </c>
      <c r="BW345">
        <v>0.675</v>
      </c>
      <c r="BX345">
        <v>0.6625</v>
      </c>
      <c r="BY345">
        <v>0.649999999999999</v>
      </c>
      <c r="BZ345">
        <v>0.637499999999999</v>
      </c>
      <c r="CA345">
        <v>0.625</v>
      </c>
      <c r="CB345">
        <v>0.6125</v>
      </c>
      <c r="CC345">
        <v>0.6</v>
      </c>
      <c r="CD345" t="e">
        <v>#VALUE!</v>
      </c>
      <c r="CE345" t="e">
        <v>#VALUE!</v>
      </c>
      <c r="CF345" t="e">
        <v>#VALUE!</v>
      </c>
      <c r="CG345" t="e">
        <v>#VALUE!</v>
      </c>
      <c r="CH345" t="e">
        <v>#VALUE!</v>
      </c>
      <c r="CI345" t="e">
        <v>#VALUE!</v>
      </c>
      <c r="CJ345" t="e">
        <v>#VALUE!</v>
      </c>
      <c r="CK345" t="e">
        <v>#VALUE!</v>
      </c>
    </row>
    <row r="346" spans="1:89">
      <c r="A346" s="34" t="s">
        <v>32</v>
      </c>
      <c r="B346" s="34" t="s">
        <v>446</v>
      </c>
      <c r="C346" s="34" t="s">
        <v>446</v>
      </c>
      <c r="D346" s="34">
        <v>0.78</v>
      </c>
      <c r="E346" s="34">
        <v>0.780357951833544</v>
      </c>
      <c r="F346" s="34"/>
      <c r="G346" s="34">
        <v>0.782120139483452</v>
      </c>
      <c r="H346" s="34">
        <v>0.783050958733501</v>
      </c>
      <c r="I346" s="34">
        <v>0.784763785076207</v>
      </c>
      <c r="J346" s="34">
        <v>0.787465286939439</v>
      </c>
      <c r="K346" s="34">
        <v>0.790851270982497</v>
      </c>
      <c r="L346" s="34">
        <v>0.794745428027642</v>
      </c>
      <c r="M346" s="34">
        <v>0.79608521948953</v>
      </c>
      <c r="N346" s="34">
        <v>0.794933208291136</v>
      </c>
      <c r="O346" s="34">
        <v>0.791260666927985</v>
      </c>
      <c r="P346" s="34">
        <v>0.786384749864377</v>
      </c>
      <c r="Q346" s="34">
        <v>0.781484240286964</v>
      </c>
      <c r="R346" s="34">
        <v>0.77753811314661</v>
      </c>
      <c r="S346" s="34">
        <v>0.774593065087848</v>
      </c>
      <c r="T346" s="34">
        <v>0.77158330583683</v>
      </c>
      <c r="U346" s="34">
        <v>0.767363755825456</v>
      </c>
      <c r="V346" s="34">
        <v>0.761379998912904</v>
      </c>
      <c r="W346" s="34">
        <v>3</v>
      </c>
      <c r="AG346" s="232" t="s">
        <v>442</v>
      </c>
      <c r="AI346">
        <v>1</v>
      </c>
      <c r="AJ346">
        <v>1.00057539501197</v>
      </c>
      <c r="AK346">
        <v>1.00345237007185</v>
      </c>
      <c r="AL346">
        <v>1.00499696016419</v>
      </c>
      <c r="AM346">
        <v>1.00788575912277</v>
      </c>
      <c r="AN346">
        <v>1.01251940786193</v>
      </c>
      <c r="AO346">
        <v>1.01843003766146</v>
      </c>
      <c r="AP346">
        <v>1.02535276541024</v>
      </c>
      <c r="AQ346">
        <v>1.02777984199243</v>
      </c>
      <c r="AR346">
        <v>1.02565513427365</v>
      </c>
      <c r="AS346">
        <v>1.01876282571803</v>
      </c>
      <c r="AT346">
        <v>1.00946233103805</v>
      </c>
      <c r="AU346">
        <v>0.999966993786428</v>
      </c>
      <c r="AV346">
        <v>0.992198744423495</v>
      </c>
      <c r="AW346">
        <v>0.986303671471603</v>
      </c>
      <c r="AX346">
        <v>0.98017186010727</v>
      </c>
      <c r="AY346">
        <v>0.971420421446115</v>
      </c>
      <c r="AZ346">
        <v>0.958795501348584</v>
      </c>
      <c r="BA346">
        <v>0</v>
      </c>
      <c r="BB346">
        <v>0</v>
      </c>
      <c r="BC346">
        <v>0</v>
      </c>
      <c r="BD346">
        <v>0</v>
      </c>
      <c r="BE346">
        <v>0</v>
      </c>
      <c r="BF346">
        <v>0</v>
      </c>
      <c r="BG346">
        <v>0</v>
      </c>
      <c r="BH346">
        <v>0</v>
      </c>
      <c r="BJ346" t="s">
        <v>452</v>
      </c>
      <c r="BL346">
        <v>0.8</v>
      </c>
      <c r="BM346">
        <v>0.797560975609756</v>
      </c>
      <c r="BN346">
        <v>0.785365853658536</v>
      </c>
      <c r="BO346">
        <v>0.773170731707317</v>
      </c>
      <c r="BP346">
        <v>0.760975609756097</v>
      </c>
      <c r="BQ346">
        <v>0.748780487804878</v>
      </c>
      <c r="BR346">
        <v>0.736585365853658</v>
      </c>
      <c r="BS346">
        <v>0.724390243902439</v>
      </c>
      <c r="BT346">
        <v>0.71219512195122</v>
      </c>
      <c r="BU346">
        <v>0.699999999999999</v>
      </c>
      <c r="BV346">
        <v>0.687499999999999</v>
      </c>
      <c r="BW346">
        <v>0.675</v>
      </c>
      <c r="BX346">
        <v>0.6625</v>
      </c>
      <c r="BY346">
        <v>0.649999999999999</v>
      </c>
      <c r="BZ346">
        <v>0.637499999999999</v>
      </c>
      <c r="CA346">
        <v>0.625</v>
      </c>
      <c r="CB346">
        <v>0.6125</v>
      </c>
      <c r="CC346">
        <v>0.6</v>
      </c>
      <c r="CD346" t="e">
        <v>#VALUE!</v>
      </c>
      <c r="CE346" t="e">
        <v>#VALUE!</v>
      </c>
      <c r="CF346" t="e">
        <v>#VALUE!</v>
      </c>
      <c r="CG346" t="e">
        <v>#VALUE!</v>
      </c>
      <c r="CH346" t="e">
        <v>#VALUE!</v>
      </c>
      <c r="CI346" t="e">
        <v>#VALUE!</v>
      </c>
      <c r="CJ346" t="e">
        <v>#VALUE!</v>
      </c>
      <c r="CK346" t="e">
        <v>#VALUE!</v>
      </c>
    </row>
    <row r="347" spans="1:89">
      <c r="A347" s="34" t="s">
        <v>32</v>
      </c>
      <c r="B347" s="34" t="s">
        <v>447</v>
      </c>
      <c r="C347" s="34" t="s">
        <v>447</v>
      </c>
      <c r="D347" s="34">
        <v>3.5</v>
      </c>
      <c r="E347" s="34">
        <v>3.50160619412488</v>
      </c>
      <c r="F347" s="34"/>
      <c r="G347" s="34">
        <v>3.50951344640011</v>
      </c>
      <c r="H347" s="34">
        <v>3.5136901994452</v>
      </c>
      <c r="I347" s="34">
        <v>3.52137595867529</v>
      </c>
      <c r="J347" s="34">
        <v>3.53349808242056</v>
      </c>
      <c r="K347" s="34">
        <v>3.54869160056248</v>
      </c>
      <c r="L347" s="34">
        <v>3.56616538217531</v>
      </c>
      <c r="M347" s="34">
        <v>3.5721772669402</v>
      </c>
      <c r="N347" s="34">
        <v>3.56700798592176</v>
      </c>
      <c r="O347" s="34">
        <v>3.55052863365121</v>
      </c>
      <c r="P347" s="34">
        <v>3.5286495186222</v>
      </c>
      <c r="Q347" s="34">
        <v>3.50666005256971</v>
      </c>
      <c r="R347" s="34">
        <v>3.48895307181171</v>
      </c>
      <c r="S347" s="34">
        <v>3.47573811257368</v>
      </c>
      <c r="T347" s="34">
        <v>3.46223278260116</v>
      </c>
      <c r="U347" s="34">
        <v>3.443298904345</v>
      </c>
      <c r="V347" s="34">
        <v>3.41644871307072</v>
      </c>
      <c r="W347" s="34">
        <v>3</v>
      </c>
      <c r="AG347" s="232" t="s">
        <v>442</v>
      </c>
      <c r="AI347">
        <v>1</v>
      </c>
      <c r="AJ347">
        <v>1.00057539501197</v>
      </c>
      <c r="AK347">
        <v>1.00345237007185</v>
      </c>
      <c r="AL347">
        <v>1.00499696016419</v>
      </c>
      <c r="AM347">
        <v>1.00788575912277</v>
      </c>
      <c r="AN347">
        <v>1.01251940786193</v>
      </c>
      <c r="AO347">
        <v>1.01843003766146</v>
      </c>
      <c r="AP347">
        <v>1.02535276541024</v>
      </c>
      <c r="AQ347">
        <v>1.02777984199243</v>
      </c>
      <c r="AR347">
        <v>1.02565513427365</v>
      </c>
      <c r="AS347">
        <v>1.01876282571803</v>
      </c>
      <c r="AT347">
        <v>1.00946233103805</v>
      </c>
      <c r="AU347">
        <v>0.999966993786428</v>
      </c>
      <c r="AV347">
        <v>0.992198744423495</v>
      </c>
      <c r="AW347">
        <v>0.986303671471603</v>
      </c>
      <c r="AX347">
        <v>0.98017186010727</v>
      </c>
      <c r="AY347">
        <v>0.971420421446115</v>
      </c>
      <c r="AZ347">
        <v>0.958795501348584</v>
      </c>
      <c r="BA347">
        <v>0</v>
      </c>
      <c r="BB347">
        <v>0</v>
      </c>
      <c r="BC347">
        <v>0</v>
      </c>
      <c r="BD347">
        <v>0</v>
      </c>
      <c r="BE347">
        <v>0</v>
      </c>
      <c r="BF347">
        <v>0</v>
      </c>
      <c r="BG347">
        <v>0</v>
      </c>
      <c r="BH347">
        <v>0</v>
      </c>
      <c r="BJ347" t="s">
        <v>452</v>
      </c>
      <c r="BL347">
        <v>0.8</v>
      </c>
      <c r="BM347">
        <v>0.797560975609756</v>
      </c>
      <c r="BN347">
        <v>0.785365853658536</v>
      </c>
      <c r="BO347">
        <v>0.773170731707317</v>
      </c>
      <c r="BP347">
        <v>0.760975609756097</v>
      </c>
      <c r="BQ347">
        <v>0.748780487804878</v>
      </c>
      <c r="BR347">
        <v>0.736585365853658</v>
      </c>
      <c r="BS347">
        <v>0.724390243902439</v>
      </c>
      <c r="BT347">
        <v>0.71219512195122</v>
      </c>
      <c r="BU347">
        <v>0.699999999999999</v>
      </c>
      <c r="BV347">
        <v>0.687499999999999</v>
      </c>
      <c r="BW347">
        <v>0.675</v>
      </c>
      <c r="BX347">
        <v>0.6625</v>
      </c>
      <c r="BY347">
        <v>0.649999999999999</v>
      </c>
      <c r="BZ347">
        <v>0.637499999999999</v>
      </c>
      <c r="CA347">
        <v>0.625</v>
      </c>
      <c r="CB347">
        <v>0.6125</v>
      </c>
      <c r="CC347">
        <v>0.6</v>
      </c>
      <c r="CD347" t="e">
        <v>#VALUE!</v>
      </c>
      <c r="CE347" t="e">
        <v>#VALUE!</v>
      </c>
      <c r="CF347" t="e">
        <v>#VALUE!</v>
      </c>
      <c r="CG347" t="e">
        <v>#VALUE!</v>
      </c>
      <c r="CH347" t="e">
        <v>#VALUE!</v>
      </c>
      <c r="CI347" t="e">
        <v>#VALUE!</v>
      </c>
      <c r="CJ347" t="e">
        <v>#VALUE!</v>
      </c>
      <c r="CK347" t="e">
        <v>#VALUE!</v>
      </c>
    </row>
    <row r="348" spans="1:89">
      <c r="A348" s="34" t="s">
        <v>32</v>
      </c>
      <c r="B348" s="34" t="s">
        <v>448</v>
      </c>
      <c r="C348" s="34" t="s">
        <v>448</v>
      </c>
      <c r="D348" s="34">
        <v>247.788</v>
      </c>
      <c r="E348" s="34">
        <v>247.255546066212</v>
      </c>
      <c r="F348" s="34"/>
      <c r="G348" s="34">
        <v>283.881115241011</v>
      </c>
      <c r="H348" s="34">
        <v>300.275475407278</v>
      </c>
      <c r="I348" s="34">
        <v>320.119097206353</v>
      </c>
      <c r="J348" s="34">
        <v>341.411303655968</v>
      </c>
      <c r="K348" s="34">
        <v>362.343417344013</v>
      </c>
      <c r="L348" s="34">
        <v>382.464364274469</v>
      </c>
      <c r="M348" s="34">
        <v>403.356155785293</v>
      </c>
      <c r="N348" s="34">
        <v>424.88184218882</v>
      </c>
      <c r="O348" s="34">
        <v>446.282278467291</v>
      </c>
      <c r="P348" s="34">
        <v>465.723339590649</v>
      </c>
      <c r="Q348" s="34">
        <v>482.930372910929</v>
      </c>
      <c r="R348" s="34">
        <v>497.886508345663</v>
      </c>
      <c r="S348" s="34">
        <v>511.065014321247</v>
      </c>
      <c r="T348" s="34">
        <v>523.229611628041</v>
      </c>
      <c r="U348" s="34">
        <v>534.851766264126</v>
      </c>
      <c r="V348" s="34">
        <v>545.84552789317</v>
      </c>
      <c r="W348" s="34">
        <v>3</v>
      </c>
      <c r="AG348" s="232" t="s">
        <v>449</v>
      </c>
      <c r="AI348">
        <v>1</v>
      </c>
      <c r="AJ348">
        <v>0.997305750110579</v>
      </c>
      <c r="AK348">
        <v>1.18540828524245</v>
      </c>
      <c r="AL348">
        <v>1.27395052873491</v>
      </c>
      <c r="AM348">
        <v>1.38458307398944</v>
      </c>
      <c r="AN348">
        <v>1.50757414531109</v>
      </c>
      <c r="AO348">
        <v>1.6330588472543</v>
      </c>
      <c r="AP348">
        <v>1.7582452851075</v>
      </c>
      <c r="AQ348">
        <v>1.89309970137722</v>
      </c>
      <c r="AR348">
        <v>2.03742543264821</v>
      </c>
      <c r="AS348">
        <v>2.18669231988497</v>
      </c>
      <c r="AT348">
        <v>2.32781416004627</v>
      </c>
      <c r="AU348">
        <v>2.45763380580353</v>
      </c>
      <c r="AV348">
        <v>2.57472889576131</v>
      </c>
      <c r="AW348">
        <v>2.68163121758402</v>
      </c>
      <c r="AX348">
        <v>2.78375822834976</v>
      </c>
      <c r="AY348">
        <v>2.88471135073708</v>
      </c>
      <c r="AZ348">
        <v>2.98353570718796</v>
      </c>
      <c r="BA348">
        <v>0</v>
      </c>
      <c r="BB348">
        <v>0</v>
      </c>
      <c r="BC348">
        <v>0</v>
      </c>
      <c r="BD348">
        <v>0</v>
      </c>
      <c r="BE348">
        <v>0</v>
      </c>
      <c r="BF348">
        <v>0</v>
      </c>
      <c r="BG348">
        <v>0</v>
      </c>
      <c r="BH348">
        <v>0</v>
      </c>
      <c r="BJ348" t="s">
        <v>452</v>
      </c>
      <c r="BL348">
        <v>0.8</v>
      </c>
      <c r="BM348">
        <v>0.797560975609756</v>
      </c>
      <c r="BN348">
        <v>0.785365853658536</v>
      </c>
      <c r="BO348">
        <v>0.773170731707317</v>
      </c>
      <c r="BP348">
        <v>0.760975609756097</v>
      </c>
      <c r="BQ348">
        <v>0.748780487804878</v>
      </c>
      <c r="BR348">
        <v>0.736585365853658</v>
      </c>
      <c r="BS348">
        <v>0.724390243902439</v>
      </c>
      <c r="BT348">
        <v>0.71219512195122</v>
      </c>
      <c r="BU348">
        <v>0.699999999999999</v>
      </c>
      <c r="BV348">
        <v>0.687499999999999</v>
      </c>
      <c r="BW348">
        <v>0.675</v>
      </c>
      <c r="BX348">
        <v>0.6625</v>
      </c>
      <c r="BY348">
        <v>0.649999999999999</v>
      </c>
      <c r="BZ348">
        <v>0.637499999999999</v>
      </c>
      <c r="CA348">
        <v>0.625</v>
      </c>
      <c r="CB348">
        <v>0.6125</v>
      </c>
      <c r="CC348">
        <v>0.6</v>
      </c>
      <c r="CD348" t="e">
        <v>#VALUE!</v>
      </c>
      <c r="CE348" t="e">
        <v>#VALUE!</v>
      </c>
      <c r="CF348" t="e">
        <v>#VALUE!</v>
      </c>
      <c r="CG348" t="e">
        <v>#VALUE!</v>
      </c>
      <c r="CH348" t="e">
        <v>#VALUE!</v>
      </c>
      <c r="CI348" t="e">
        <v>#VALUE!</v>
      </c>
      <c r="CJ348" t="e">
        <v>#VALUE!</v>
      </c>
      <c r="CK348" t="e">
        <v>#VALUE!</v>
      </c>
    </row>
    <row r="349" spans="1:89">
      <c r="A349" s="34" t="s">
        <v>32</v>
      </c>
      <c r="B349" s="34" t="s">
        <v>450</v>
      </c>
      <c r="C349" s="34" t="s">
        <v>450</v>
      </c>
      <c r="D349" s="34">
        <v>102.375</v>
      </c>
      <c r="E349" s="34">
        <v>102.20186827423</v>
      </c>
      <c r="F349" s="34"/>
      <c r="G349" s="34">
        <v>117.615187358833</v>
      </c>
      <c r="H349" s="34">
        <v>124.557989849019</v>
      </c>
      <c r="I349" s="34">
        <v>133.085485826681</v>
      </c>
      <c r="J349" s="34">
        <v>142.436287408049</v>
      </c>
      <c r="K349" s="34">
        <v>151.832567396818</v>
      </c>
      <c r="L349" s="34">
        <v>161.068772706833</v>
      </c>
      <c r="M349" s="34">
        <v>170.159375509302</v>
      </c>
      <c r="N349" s="34">
        <v>178.975168046084</v>
      </c>
      <c r="O349" s="34">
        <v>187.102352708401</v>
      </c>
      <c r="P349" s="34">
        <v>194.025579448996</v>
      </c>
      <c r="Q349" s="34">
        <v>199.917684203294</v>
      </c>
      <c r="R349" s="34">
        <v>205.051456836393</v>
      </c>
      <c r="S349" s="34">
        <v>209.670030748802</v>
      </c>
      <c r="T349" s="34">
        <v>213.814969567753</v>
      </c>
      <c r="U349" s="34">
        <v>217.352608524279</v>
      </c>
      <c r="V349" s="34">
        <v>220.067306737458</v>
      </c>
      <c r="W349" s="34">
        <v>3</v>
      </c>
      <c r="AG349" s="232" t="s">
        <v>437</v>
      </c>
      <c r="AI349">
        <v>1</v>
      </c>
      <c r="AJ349">
        <v>0.997879594864605</v>
      </c>
      <c r="AK349">
        <v>1.18950075332934</v>
      </c>
      <c r="AL349">
        <v>1.28031640877814</v>
      </c>
      <c r="AM349">
        <v>1.39550156259639</v>
      </c>
      <c r="AN349">
        <v>1.52644808091834</v>
      </c>
      <c r="AO349">
        <v>1.66315618331258</v>
      </c>
      <c r="AP349">
        <v>1.80282166535448</v>
      </c>
      <c r="AQ349">
        <v>1.94568971195739</v>
      </c>
      <c r="AR349">
        <v>2.08969585569535</v>
      </c>
      <c r="AS349">
        <v>2.22772084678191</v>
      </c>
      <c r="AT349">
        <v>2.34984070822368</v>
      </c>
      <c r="AU349">
        <v>2.45755268861725</v>
      </c>
      <c r="AV349">
        <v>2.55464277760526</v>
      </c>
      <c r="AW349">
        <v>2.64490271543598</v>
      </c>
      <c r="AX349">
        <v>2.7285614807705</v>
      </c>
      <c r="AY349">
        <v>2.8022675160834</v>
      </c>
      <c r="AZ349">
        <v>2.86060061416468</v>
      </c>
      <c r="BA349">
        <v>0</v>
      </c>
      <c r="BB349">
        <v>0</v>
      </c>
      <c r="BC349">
        <v>0</v>
      </c>
      <c r="BD349">
        <v>0</v>
      </c>
      <c r="BE349">
        <v>0</v>
      </c>
      <c r="BF349">
        <v>0</v>
      </c>
      <c r="BG349">
        <v>0</v>
      </c>
      <c r="BH349">
        <v>0</v>
      </c>
      <c r="BJ349" t="s">
        <v>452</v>
      </c>
      <c r="BL349">
        <v>0.8</v>
      </c>
      <c r="BM349">
        <v>0.797560975609756</v>
      </c>
      <c r="BN349">
        <v>0.785365853658536</v>
      </c>
      <c r="BO349">
        <v>0.773170731707317</v>
      </c>
      <c r="BP349">
        <v>0.760975609756097</v>
      </c>
      <c r="BQ349">
        <v>0.748780487804878</v>
      </c>
      <c r="BR349">
        <v>0.736585365853658</v>
      </c>
      <c r="BS349">
        <v>0.724390243902439</v>
      </c>
      <c r="BT349">
        <v>0.71219512195122</v>
      </c>
      <c r="BU349">
        <v>0.699999999999999</v>
      </c>
      <c r="BV349">
        <v>0.687499999999999</v>
      </c>
      <c r="BW349">
        <v>0.675</v>
      </c>
      <c r="BX349">
        <v>0.6625</v>
      </c>
      <c r="BY349">
        <v>0.649999999999999</v>
      </c>
      <c r="BZ349">
        <v>0.637499999999999</v>
      </c>
      <c r="CA349">
        <v>0.625</v>
      </c>
      <c r="CB349">
        <v>0.6125</v>
      </c>
      <c r="CC349">
        <v>0.6</v>
      </c>
      <c r="CD349" t="e">
        <v>#VALUE!</v>
      </c>
      <c r="CE349" t="e">
        <v>#VALUE!</v>
      </c>
      <c r="CF349" t="e">
        <v>#VALUE!</v>
      </c>
      <c r="CG349" t="e">
        <v>#VALUE!</v>
      </c>
      <c r="CH349" t="e">
        <v>#VALUE!</v>
      </c>
      <c r="CI349" t="e">
        <v>#VALUE!</v>
      </c>
      <c r="CJ349" t="e">
        <v>#VALUE!</v>
      </c>
      <c r="CK349" t="e">
        <v>#VALUE!</v>
      </c>
    </row>
    <row r="350" spans="1:89">
      <c r="A350" s="34" t="s">
        <v>32</v>
      </c>
      <c r="B350" s="34" t="s">
        <v>451</v>
      </c>
      <c r="C350" s="34" t="s">
        <v>451</v>
      </c>
      <c r="D350" s="34">
        <v>55.775</v>
      </c>
      <c r="E350" s="34">
        <v>55.6806759755329</v>
      </c>
      <c r="F350" s="34"/>
      <c r="G350" s="34">
        <v>64.0780178260213</v>
      </c>
      <c r="H350" s="34">
        <v>67.8605312217734</v>
      </c>
      <c r="I350" s="34">
        <v>72.506402656734</v>
      </c>
      <c r="J350" s="34">
        <v>77.6008198308563</v>
      </c>
      <c r="K350" s="34">
        <v>82.7200141299881</v>
      </c>
      <c r="L350" s="34">
        <v>87.7519980241623</v>
      </c>
      <c r="M350" s="34">
        <v>92.7046561077538</v>
      </c>
      <c r="N350" s="34">
        <v>97.5075946058151</v>
      </c>
      <c r="O350" s="34">
        <v>101.935372134907</v>
      </c>
      <c r="P350" s="34">
        <v>105.707220451944</v>
      </c>
      <c r="Q350" s="34">
        <v>108.917302431636</v>
      </c>
      <c r="R350" s="34">
        <v>111.714236923564</v>
      </c>
      <c r="S350" s="34">
        <v>114.230485616747</v>
      </c>
      <c r="T350" s="34">
        <v>116.488692821895</v>
      </c>
      <c r="U350" s="34">
        <v>118.416036536671</v>
      </c>
      <c r="V350" s="34">
        <v>119.895033292129</v>
      </c>
      <c r="W350" s="34">
        <v>3</v>
      </c>
      <c r="AG350" s="232" t="s">
        <v>437</v>
      </c>
      <c r="AI350">
        <v>1</v>
      </c>
      <c r="AJ350">
        <v>0.997879594864605</v>
      </c>
      <c r="AK350">
        <v>1.18950075332934</v>
      </c>
      <c r="AL350">
        <v>1.28031640877814</v>
      </c>
      <c r="AM350">
        <v>1.39550156259639</v>
      </c>
      <c r="AN350">
        <v>1.52644808091834</v>
      </c>
      <c r="AO350">
        <v>1.66315618331258</v>
      </c>
      <c r="AP350">
        <v>1.80282166535448</v>
      </c>
      <c r="AQ350">
        <v>1.94568971195739</v>
      </c>
      <c r="AR350">
        <v>2.08969585569535</v>
      </c>
      <c r="AS350">
        <v>2.22772084678191</v>
      </c>
      <c r="AT350">
        <v>2.34984070822368</v>
      </c>
      <c r="AU350">
        <v>2.45755268861725</v>
      </c>
      <c r="AV350">
        <v>2.55464277760526</v>
      </c>
      <c r="AW350">
        <v>2.64490271543598</v>
      </c>
      <c r="AX350">
        <v>2.7285614807705</v>
      </c>
      <c r="AY350">
        <v>2.8022675160834</v>
      </c>
      <c r="AZ350">
        <v>2.86060061416468</v>
      </c>
      <c r="BA350">
        <v>0</v>
      </c>
      <c r="BB350">
        <v>0</v>
      </c>
      <c r="BC350">
        <v>0</v>
      </c>
      <c r="BD350">
        <v>0</v>
      </c>
      <c r="BE350">
        <v>0</v>
      </c>
      <c r="BF350">
        <v>0</v>
      </c>
      <c r="BG350">
        <v>0</v>
      </c>
      <c r="BH350">
        <v>0</v>
      </c>
      <c r="BJ350" t="s">
        <v>452</v>
      </c>
      <c r="BL350">
        <v>0.8</v>
      </c>
      <c r="BM350">
        <v>0.797560975609756</v>
      </c>
      <c r="BN350">
        <v>0.785365853658536</v>
      </c>
      <c r="BO350">
        <v>0.773170731707317</v>
      </c>
      <c r="BP350">
        <v>0.760975609756097</v>
      </c>
      <c r="BQ350">
        <v>0.748780487804878</v>
      </c>
      <c r="BR350">
        <v>0.736585365853658</v>
      </c>
      <c r="BS350">
        <v>0.724390243902439</v>
      </c>
      <c r="BT350">
        <v>0.71219512195122</v>
      </c>
      <c r="BU350">
        <v>0.699999999999999</v>
      </c>
      <c r="BV350">
        <v>0.687499999999999</v>
      </c>
      <c r="BW350">
        <v>0.675</v>
      </c>
      <c r="BX350">
        <v>0.6625</v>
      </c>
      <c r="BY350">
        <v>0.649999999999999</v>
      </c>
      <c r="BZ350">
        <v>0.637499999999999</v>
      </c>
      <c r="CA350">
        <v>0.625</v>
      </c>
      <c r="CB350">
        <v>0.6125</v>
      </c>
      <c r="CC350">
        <v>0.6</v>
      </c>
      <c r="CD350" t="e">
        <v>#VALUE!</v>
      </c>
      <c r="CE350" t="e">
        <v>#VALUE!</v>
      </c>
      <c r="CF350" t="e">
        <v>#VALUE!</v>
      </c>
      <c r="CG350" t="e">
        <v>#VALUE!</v>
      </c>
      <c r="CH350" t="e">
        <v>#VALUE!</v>
      </c>
      <c r="CI350" t="e">
        <v>#VALUE!</v>
      </c>
      <c r="CJ350" t="e">
        <v>#VALUE!</v>
      </c>
      <c r="CK350" t="e">
        <v>#VALUE!</v>
      </c>
    </row>
    <row r="351" spans="1:89">
      <c r="A351" s="34" t="s">
        <v>33</v>
      </c>
      <c r="B351" s="34" t="s">
        <v>436</v>
      </c>
      <c r="C351" s="34" t="s">
        <v>436</v>
      </c>
      <c r="D351" s="34"/>
      <c r="E351" s="34">
        <v>10.8787135219328</v>
      </c>
      <c r="F351" s="34">
        <f xml:space="preserve">E351</f>
        <v>10.8787135219328</v>
      </c>
      <c r="G351" s="34"/>
      <c r="H351" s="34"/>
      <c r="I351" s="34">
        <f xml:space="preserve">F351</f>
        <v>10.8787135219328</v>
      </c>
      <c r="J351" s="34">
        <f xml:space="preserve">I351</f>
        <v>10.8787135219328</v>
      </c>
      <c r="K351" s="34"/>
      <c r="L351" s="34">
        <f xml:space="preserve">J351</f>
        <v>10.8787135219328</v>
      </c>
      <c r="M351" s="34"/>
      <c r="N351" s="34"/>
      <c r="O351" s="34"/>
      <c r="P351" s="34"/>
      <c r="Q351" s="34"/>
      <c r="R351" s="34"/>
      <c r="S351" s="34"/>
      <c r="T351" s="34"/>
      <c r="U351" s="34"/>
      <c r="V351" s="34">
        <f xml:space="preserve">L351</f>
        <v>10.8787135219328</v>
      </c>
      <c r="W351" s="34">
        <v>3</v>
      </c>
      <c r="AG351" s="232" t="s">
        <v>437</v>
      </c>
      <c r="AI351">
        <v>1</v>
      </c>
      <c r="AJ351">
        <v>1.01249244177222</v>
      </c>
      <c r="AK351">
        <v>1.13138941807915</v>
      </c>
      <c r="AL351">
        <v>1.24760189562937</v>
      </c>
      <c r="AM351">
        <v>1.34810455246965</v>
      </c>
      <c r="AN351">
        <v>1.44349661274636</v>
      </c>
      <c r="AO351">
        <v>1.53893173984805</v>
      </c>
      <c r="AP351">
        <v>1.6358789910266</v>
      </c>
      <c r="AQ351">
        <v>1.73602084357765</v>
      </c>
      <c r="AR351">
        <v>1.84198437382463</v>
      </c>
      <c r="AS351">
        <v>1.95347672735771</v>
      </c>
      <c r="AT351">
        <v>2.063527777815</v>
      </c>
      <c r="AU351">
        <v>2.1690147018656</v>
      </c>
      <c r="AV351">
        <v>2.26870387423415</v>
      </c>
      <c r="AW351">
        <v>2.36111858134433</v>
      </c>
      <c r="AX351">
        <v>2.44611431007233</v>
      </c>
      <c r="AY351">
        <v>2.52490841600409</v>
      </c>
      <c r="AZ351">
        <v>2.5973563860158</v>
      </c>
      <c r="BA351">
        <v>0</v>
      </c>
      <c r="BB351">
        <v>0</v>
      </c>
      <c r="BC351">
        <v>0</v>
      </c>
      <c r="BD351">
        <v>0</v>
      </c>
      <c r="BE351">
        <v>0</v>
      </c>
      <c r="BF351">
        <v>0</v>
      </c>
      <c r="BG351">
        <v>0</v>
      </c>
      <c r="BH351">
        <v>0</v>
      </c>
      <c r="BJ351" t="s">
        <v>452</v>
      </c>
      <c r="BL351">
        <v>0.8</v>
      </c>
      <c r="BM351">
        <v>0.797560975609756</v>
      </c>
      <c r="BN351">
        <v>0.785365853658536</v>
      </c>
      <c r="BO351">
        <v>0.773170731707317</v>
      </c>
      <c r="BP351">
        <v>0.760975609756097</v>
      </c>
      <c r="BQ351">
        <v>0.748780487804878</v>
      </c>
      <c r="BR351">
        <v>0.736585365853658</v>
      </c>
      <c r="BS351">
        <v>0.724390243902439</v>
      </c>
      <c r="BT351">
        <v>0.71219512195122</v>
      </c>
      <c r="BU351">
        <v>0.699999999999999</v>
      </c>
      <c r="BV351">
        <v>0.687499999999999</v>
      </c>
      <c r="BW351">
        <v>0.675</v>
      </c>
      <c r="BX351">
        <v>0.6625</v>
      </c>
      <c r="BY351">
        <v>0.649999999999999</v>
      </c>
      <c r="BZ351">
        <v>0.637499999999999</v>
      </c>
      <c r="CA351">
        <v>0.625</v>
      </c>
      <c r="CB351">
        <v>0.6125</v>
      </c>
      <c r="CC351">
        <v>0.6</v>
      </c>
      <c r="CD351" t="e">
        <v>#VALUE!</v>
      </c>
      <c r="CE351" t="e">
        <v>#VALUE!</v>
      </c>
      <c r="CF351" t="e">
        <v>#VALUE!</v>
      </c>
      <c r="CG351" t="e">
        <v>#VALUE!</v>
      </c>
      <c r="CH351" t="e">
        <v>#VALUE!</v>
      </c>
      <c r="CI351" t="e">
        <v>#VALUE!</v>
      </c>
      <c r="CJ351" t="e">
        <v>#VALUE!</v>
      </c>
      <c r="CK351" t="e">
        <v>#VALUE!</v>
      </c>
    </row>
    <row r="352" spans="1:89">
      <c r="A352" s="34" t="s">
        <v>33</v>
      </c>
      <c r="B352" s="34" t="s">
        <v>439</v>
      </c>
      <c r="C352" s="34" t="s">
        <v>439</v>
      </c>
      <c r="D352" s="34"/>
      <c r="E352" s="34">
        <v>116.616235183285</v>
      </c>
      <c r="F352" s="34">
        <f xml:space="preserve">E352</f>
        <v>116.616235183285</v>
      </c>
      <c r="G352" s="34"/>
      <c r="H352" s="34"/>
      <c r="I352" s="34">
        <f xml:space="preserve">F352</f>
        <v>116.616235183285</v>
      </c>
      <c r="J352" s="34">
        <f xml:space="preserve">I352</f>
        <v>116.616235183285</v>
      </c>
      <c r="K352" s="34"/>
      <c r="L352" s="34">
        <f xml:space="preserve">J352</f>
        <v>116.616235183285</v>
      </c>
      <c r="M352" s="34"/>
      <c r="N352" s="34"/>
      <c r="O352" s="34"/>
      <c r="P352" s="34"/>
      <c r="Q352" s="34"/>
      <c r="R352" s="34"/>
      <c r="S352" s="34"/>
      <c r="T352" s="34"/>
      <c r="U352" s="34"/>
      <c r="V352" s="34">
        <f xml:space="preserve">L352</f>
        <v>116.616235183285</v>
      </c>
      <c r="W352" s="34">
        <v>3</v>
      </c>
      <c r="AG352" s="232" t="s">
        <v>437</v>
      </c>
      <c r="AI352">
        <v>1</v>
      </c>
      <c r="AJ352">
        <v>1.01249244177222</v>
      </c>
      <c r="AK352">
        <v>1.13138941807915</v>
      </c>
      <c r="AL352">
        <v>1.24760189562937</v>
      </c>
      <c r="AM352">
        <v>1.34810455246965</v>
      </c>
      <c r="AN352">
        <v>1.44349661274636</v>
      </c>
      <c r="AO352">
        <v>1.53893173984805</v>
      </c>
      <c r="AP352">
        <v>1.6358789910266</v>
      </c>
      <c r="AQ352">
        <v>1.73602084357765</v>
      </c>
      <c r="AR352">
        <v>1.84198437382463</v>
      </c>
      <c r="AS352">
        <v>1.95347672735771</v>
      </c>
      <c r="AT352">
        <v>2.063527777815</v>
      </c>
      <c r="AU352">
        <v>2.1690147018656</v>
      </c>
      <c r="AV352">
        <v>2.26870387423415</v>
      </c>
      <c r="AW352">
        <v>2.36111858134433</v>
      </c>
      <c r="AX352">
        <v>2.44611431007233</v>
      </c>
      <c r="AY352">
        <v>2.52490841600409</v>
      </c>
      <c r="AZ352">
        <v>2.5973563860158</v>
      </c>
      <c r="BA352">
        <v>0</v>
      </c>
      <c r="BB352">
        <v>0</v>
      </c>
      <c r="BC352">
        <v>0</v>
      </c>
      <c r="BD352">
        <v>0</v>
      </c>
      <c r="BE352">
        <v>0</v>
      </c>
      <c r="BF352">
        <v>0</v>
      </c>
      <c r="BG352">
        <v>0</v>
      </c>
      <c r="BH352">
        <v>0</v>
      </c>
      <c r="BJ352" t="s">
        <v>452</v>
      </c>
      <c r="BL352">
        <v>0.8</v>
      </c>
      <c r="BM352">
        <v>0.797560975609756</v>
      </c>
      <c r="BN352">
        <v>0.785365853658536</v>
      </c>
      <c r="BO352">
        <v>0.773170731707317</v>
      </c>
      <c r="BP352">
        <v>0.760975609756097</v>
      </c>
      <c r="BQ352">
        <v>0.748780487804878</v>
      </c>
      <c r="BR352">
        <v>0.736585365853658</v>
      </c>
      <c r="BS352">
        <v>0.724390243902439</v>
      </c>
      <c r="BT352">
        <v>0.71219512195122</v>
      </c>
      <c r="BU352">
        <v>0.699999999999999</v>
      </c>
      <c r="BV352">
        <v>0.687499999999999</v>
      </c>
      <c r="BW352">
        <v>0.675</v>
      </c>
      <c r="BX352">
        <v>0.6625</v>
      </c>
      <c r="BY352">
        <v>0.649999999999999</v>
      </c>
      <c r="BZ352">
        <v>0.637499999999999</v>
      </c>
      <c r="CA352">
        <v>0.625</v>
      </c>
      <c r="CB352">
        <v>0.6125</v>
      </c>
      <c r="CC352">
        <v>0.6</v>
      </c>
      <c r="CD352" t="e">
        <v>#VALUE!</v>
      </c>
      <c r="CE352" t="e">
        <v>#VALUE!</v>
      </c>
      <c r="CF352" t="e">
        <v>#VALUE!</v>
      </c>
      <c r="CG352" t="e">
        <v>#VALUE!</v>
      </c>
      <c r="CH352" t="e">
        <v>#VALUE!</v>
      </c>
      <c r="CI352" t="e">
        <v>#VALUE!</v>
      </c>
      <c r="CJ352" t="e">
        <v>#VALUE!</v>
      </c>
      <c r="CK352" t="e">
        <v>#VALUE!</v>
      </c>
    </row>
    <row r="353" spans="1:89">
      <c r="A353" s="34" t="s">
        <v>33</v>
      </c>
      <c r="B353" s="34" t="s">
        <v>440</v>
      </c>
      <c r="C353" s="34" t="s">
        <v>440</v>
      </c>
      <c r="D353" s="34"/>
      <c r="E353" s="34">
        <v>4.13885072055123</v>
      </c>
      <c r="F353" s="34"/>
      <c r="G353" s="34"/>
      <c r="H353" s="34"/>
      <c r="I353" s="34">
        <v>5.17869535206599</v>
      </c>
      <c r="J353" s="34">
        <v>5.45308235480547</v>
      </c>
      <c r="K353" s="34"/>
      <c r="L353" s="34">
        <v>5.97960378256308</v>
      </c>
      <c r="M353" s="34"/>
      <c r="N353" s="34"/>
      <c r="O353" s="34"/>
      <c r="P353" s="34"/>
      <c r="Q353" s="34"/>
      <c r="R353" s="34"/>
      <c r="S353" s="34"/>
      <c r="T353" s="34"/>
      <c r="U353" s="34"/>
      <c r="V353" s="34">
        <v>8.15145189420441</v>
      </c>
      <c r="W353" s="34">
        <v>3</v>
      </c>
      <c r="AG353" s="232" t="s">
        <v>437</v>
      </c>
      <c r="AI353">
        <v>1</v>
      </c>
      <c r="AJ353">
        <v>1.01249244177222</v>
      </c>
      <c r="AK353">
        <v>1.13138941807915</v>
      </c>
      <c r="AL353">
        <v>1.24760189562937</v>
      </c>
      <c r="AM353">
        <v>1.34810455246965</v>
      </c>
      <c r="AN353">
        <v>1.44349661274636</v>
      </c>
      <c r="AO353">
        <v>1.53893173984805</v>
      </c>
      <c r="AP353">
        <v>1.6358789910266</v>
      </c>
      <c r="AQ353">
        <v>1.73602084357765</v>
      </c>
      <c r="AR353">
        <v>1.84198437382463</v>
      </c>
      <c r="AS353">
        <v>1.95347672735771</v>
      </c>
      <c r="AT353">
        <v>2.063527777815</v>
      </c>
      <c r="AU353">
        <v>2.1690147018656</v>
      </c>
      <c r="AV353">
        <v>2.26870387423415</v>
      </c>
      <c r="AW353">
        <v>2.36111858134433</v>
      </c>
      <c r="AX353">
        <v>2.44611431007233</v>
      </c>
      <c r="AY353">
        <v>2.52490841600409</v>
      </c>
      <c r="AZ353">
        <v>2.5973563860158</v>
      </c>
      <c r="BA353">
        <v>0</v>
      </c>
      <c r="BB353">
        <v>0</v>
      </c>
      <c r="BC353">
        <v>0</v>
      </c>
      <c r="BD353">
        <v>0</v>
      </c>
      <c r="BE353">
        <v>0</v>
      </c>
      <c r="BF353">
        <v>0</v>
      </c>
      <c r="BG353">
        <v>0</v>
      </c>
      <c r="BH353">
        <v>0</v>
      </c>
      <c r="BJ353" t="s">
        <v>452</v>
      </c>
      <c r="BL353">
        <v>0.8</v>
      </c>
      <c r="BM353">
        <v>0.797560975609756</v>
      </c>
      <c r="BN353">
        <v>0.785365853658536</v>
      </c>
      <c r="BO353">
        <v>0.773170731707317</v>
      </c>
      <c r="BP353">
        <v>0.760975609756097</v>
      </c>
      <c r="BQ353">
        <v>0.748780487804878</v>
      </c>
      <c r="BR353">
        <v>0.736585365853658</v>
      </c>
      <c r="BS353">
        <v>0.724390243902439</v>
      </c>
      <c r="BT353">
        <v>0.71219512195122</v>
      </c>
      <c r="BU353">
        <v>0.699999999999999</v>
      </c>
      <c r="BV353">
        <v>0.687499999999999</v>
      </c>
      <c r="BW353">
        <v>0.675</v>
      </c>
      <c r="BX353">
        <v>0.6625</v>
      </c>
      <c r="BY353">
        <v>0.649999999999999</v>
      </c>
      <c r="BZ353">
        <v>0.637499999999999</v>
      </c>
      <c r="CA353">
        <v>0.625</v>
      </c>
      <c r="CB353">
        <v>0.6125</v>
      </c>
      <c r="CC353">
        <v>0.6</v>
      </c>
      <c r="CD353" t="e">
        <v>#VALUE!</v>
      </c>
      <c r="CE353" t="e">
        <v>#VALUE!</v>
      </c>
      <c r="CF353" t="e">
        <v>#VALUE!</v>
      </c>
      <c r="CG353" t="e">
        <v>#VALUE!</v>
      </c>
      <c r="CH353" t="e">
        <v>#VALUE!</v>
      </c>
      <c r="CI353" t="e">
        <v>#VALUE!</v>
      </c>
      <c r="CJ353" t="e">
        <v>#VALUE!</v>
      </c>
      <c r="CK353" t="e">
        <v>#VALUE!</v>
      </c>
    </row>
    <row r="354" spans="1:89">
      <c r="A354" s="34" t="s">
        <v>33</v>
      </c>
      <c r="B354" s="34" t="s">
        <v>441</v>
      </c>
      <c r="C354" s="34" t="s">
        <v>441</v>
      </c>
      <c r="D354" s="34"/>
      <c r="E354" s="34">
        <v>13.7458008530983</v>
      </c>
      <c r="F354" s="34"/>
      <c r="G354" s="34"/>
      <c r="H354" s="34"/>
      <c r="I354" s="34">
        <v>14.148885907274</v>
      </c>
      <c r="J354" s="34">
        <v>14.2616938690585</v>
      </c>
      <c r="K354" s="34"/>
      <c r="L354" s="34">
        <v>14.5485180546064</v>
      </c>
      <c r="M354" s="34"/>
      <c r="N354" s="34"/>
      <c r="O354" s="34"/>
      <c r="P354" s="34"/>
      <c r="Q354" s="34"/>
      <c r="R354" s="34"/>
      <c r="S354" s="34"/>
      <c r="T354" s="34"/>
      <c r="U354" s="34"/>
      <c r="V354" s="34">
        <v>15.3661972671952</v>
      </c>
      <c r="W354" s="34">
        <v>3</v>
      </c>
      <c r="AG354" s="232" t="s">
        <v>442</v>
      </c>
      <c r="AI354">
        <v>1</v>
      </c>
      <c r="AJ354">
        <v>1.00327699628325</v>
      </c>
      <c r="AK354">
        <v>1.0196619776995</v>
      </c>
      <c r="AL354">
        <v>1.03084791455404</v>
      </c>
      <c r="AM354">
        <v>1.04133499382809</v>
      </c>
      <c r="AN354">
        <v>1.05242299982453</v>
      </c>
      <c r="AO354">
        <v>1.06541333821808</v>
      </c>
      <c r="AP354">
        <v>1.08147469381852</v>
      </c>
      <c r="AQ354">
        <v>1.09620281853163</v>
      </c>
      <c r="AR354">
        <v>1.10998040243245</v>
      </c>
      <c r="AS354">
        <v>1.12274416569501</v>
      </c>
      <c r="AT354">
        <v>1.13549472635844</v>
      </c>
      <c r="AU354">
        <v>1.14791225724948</v>
      </c>
      <c r="AV354">
        <v>1.15855132855068</v>
      </c>
      <c r="AW354">
        <v>1.16578199833114</v>
      </c>
      <c r="AX354">
        <v>1.16944263898258</v>
      </c>
      <c r="AY354">
        <v>1.17121248213932</v>
      </c>
      <c r="AZ354">
        <v>1.17253075008098</v>
      </c>
      <c r="BA354">
        <v>0</v>
      </c>
      <c r="BB354">
        <v>0</v>
      </c>
      <c r="BC354">
        <v>0</v>
      </c>
      <c r="BD354">
        <v>0</v>
      </c>
      <c r="BE354">
        <v>0</v>
      </c>
      <c r="BF354">
        <v>0</v>
      </c>
      <c r="BG354">
        <v>0</v>
      </c>
      <c r="BH354">
        <v>0</v>
      </c>
      <c r="BJ354" t="s">
        <v>452</v>
      </c>
      <c r="BL354">
        <v>0.8</v>
      </c>
      <c r="BM354">
        <v>0.797560975609756</v>
      </c>
      <c r="BN354">
        <v>0.785365853658536</v>
      </c>
      <c r="BO354">
        <v>0.773170731707317</v>
      </c>
      <c r="BP354">
        <v>0.760975609756097</v>
      </c>
      <c r="BQ354">
        <v>0.748780487804878</v>
      </c>
      <c r="BR354">
        <v>0.736585365853658</v>
      </c>
      <c r="BS354">
        <v>0.724390243902439</v>
      </c>
      <c r="BT354">
        <v>0.71219512195122</v>
      </c>
      <c r="BU354">
        <v>0.699999999999999</v>
      </c>
      <c r="BV354">
        <v>0.687499999999999</v>
      </c>
      <c r="BW354">
        <v>0.675</v>
      </c>
      <c r="BX354">
        <v>0.6625</v>
      </c>
      <c r="BY354">
        <v>0.649999999999999</v>
      </c>
      <c r="BZ354">
        <v>0.637499999999999</v>
      </c>
      <c r="CA354">
        <v>0.625</v>
      </c>
      <c r="CB354">
        <v>0.6125</v>
      </c>
      <c r="CC354">
        <v>0.6</v>
      </c>
      <c r="CD354" t="e">
        <v>#VALUE!</v>
      </c>
      <c r="CE354" t="e">
        <v>#VALUE!</v>
      </c>
      <c r="CF354" t="e">
        <v>#VALUE!</v>
      </c>
      <c r="CG354" t="e">
        <v>#VALUE!</v>
      </c>
      <c r="CH354" t="e">
        <v>#VALUE!</v>
      </c>
      <c r="CI354" t="e">
        <v>#VALUE!</v>
      </c>
      <c r="CJ354" t="e">
        <v>#VALUE!</v>
      </c>
      <c r="CK354" t="e">
        <v>#VALUE!</v>
      </c>
    </row>
    <row r="355" spans="1:89">
      <c r="A355" s="34" t="s">
        <v>33</v>
      </c>
      <c r="B355" s="34" t="s">
        <v>443</v>
      </c>
      <c r="C355" s="34" t="s">
        <v>443</v>
      </c>
      <c r="D355" s="34"/>
      <c r="E355" s="34">
        <v>16.6107321567818</v>
      </c>
      <c r="F355" s="34">
        <f xml:space="preserve">E355</f>
        <v>16.6107321567818</v>
      </c>
      <c r="G355" s="34"/>
      <c r="H355" s="34"/>
      <c r="I355" s="34">
        <f xml:space="preserve">F355</f>
        <v>16.6107321567818</v>
      </c>
      <c r="J355" s="34">
        <f xml:space="preserve">I355</f>
        <v>16.6107321567818</v>
      </c>
      <c r="K355" s="34"/>
      <c r="L355" s="34">
        <f xml:space="preserve">J355</f>
        <v>16.6107321567818</v>
      </c>
      <c r="M355" s="34"/>
      <c r="N355" s="34"/>
      <c r="O355" s="34"/>
      <c r="P355" s="34"/>
      <c r="Q355" s="34"/>
      <c r="R355" s="34"/>
      <c r="S355" s="34"/>
      <c r="T355" s="34"/>
      <c r="U355" s="34"/>
      <c r="V355" s="34">
        <f xml:space="preserve">L355</f>
        <v>16.6107321567818</v>
      </c>
      <c r="W355" s="34">
        <v>3</v>
      </c>
      <c r="AG355" s="232" t="s">
        <v>437</v>
      </c>
      <c r="AI355">
        <v>1</v>
      </c>
      <c r="AJ355">
        <v>1.01249244177222</v>
      </c>
      <c r="AK355">
        <v>1.13138941807915</v>
      </c>
      <c r="AL355">
        <v>1.24760189562937</v>
      </c>
      <c r="AM355">
        <v>1.34810455246965</v>
      </c>
      <c r="AN355">
        <v>1.44349661274636</v>
      </c>
      <c r="AO355">
        <v>1.53893173984805</v>
      </c>
      <c r="AP355">
        <v>1.6358789910266</v>
      </c>
      <c r="AQ355">
        <v>1.73602084357765</v>
      </c>
      <c r="AR355">
        <v>1.84198437382463</v>
      </c>
      <c r="AS355">
        <v>1.95347672735771</v>
      </c>
      <c r="AT355">
        <v>2.063527777815</v>
      </c>
      <c r="AU355">
        <v>2.1690147018656</v>
      </c>
      <c r="AV355">
        <v>2.26870387423415</v>
      </c>
      <c r="AW355">
        <v>2.36111858134433</v>
      </c>
      <c r="AX355">
        <v>2.44611431007233</v>
      </c>
      <c r="AY355">
        <v>2.52490841600409</v>
      </c>
      <c r="AZ355">
        <v>2.5973563860158</v>
      </c>
      <c r="BA355">
        <v>0</v>
      </c>
      <c r="BB355">
        <v>0</v>
      </c>
      <c r="BC355">
        <v>0</v>
      </c>
      <c r="BD355">
        <v>0</v>
      </c>
      <c r="BE355">
        <v>0</v>
      </c>
      <c r="BF355">
        <v>0</v>
      </c>
      <c r="BG355">
        <v>0</v>
      </c>
      <c r="BH355">
        <v>0</v>
      </c>
      <c r="BJ355" t="s">
        <v>452</v>
      </c>
      <c r="BL355">
        <v>0.8</v>
      </c>
      <c r="BM355">
        <v>0.797560975609756</v>
      </c>
      <c r="BN355">
        <v>0.785365853658536</v>
      </c>
      <c r="BO355">
        <v>0.773170731707317</v>
      </c>
      <c r="BP355">
        <v>0.760975609756097</v>
      </c>
      <c r="BQ355">
        <v>0.748780487804878</v>
      </c>
      <c r="BR355">
        <v>0.736585365853658</v>
      </c>
      <c r="BS355">
        <v>0.724390243902439</v>
      </c>
      <c r="BT355">
        <v>0.71219512195122</v>
      </c>
      <c r="BU355">
        <v>0.699999999999999</v>
      </c>
      <c r="BV355">
        <v>0.687499999999999</v>
      </c>
      <c r="BW355">
        <v>0.675</v>
      </c>
      <c r="BX355">
        <v>0.6625</v>
      </c>
      <c r="BY355">
        <v>0.649999999999999</v>
      </c>
      <c r="BZ355">
        <v>0.637499999999999</v>
      </c>
      <c r="CA355">
        <v>0.625</v>
      </c>
      <c r="CB355">
        <v>0.6125</v>
      </c>
      <c r="CC355">
        <v>0.6</v>
      </c>
      <c r="CD355" t="e">
        <v>#VALUE!</v>
      </c>
      <c r="CE355" t="e">
        <v>#VALUE!</v>
      </c>
      <c r="CF355" t="e">
        <v>#VALUE!</v>
      </c>
      <c r="CG355" t="e">
        <v>#VALUE!</v>
      </c>
      <c r="CH355" t="e">
        <v>#VALUE!</v>
      </c>
      <c r="CI355" t="e">
        <v>#VALUE!</v>
      </c>
      <c r="CJ355" t="e">
        <v>#VALUE!</v>
      </c>
      <c r="CK355" t="e">
        <v>#VALUE!</v>
      </c>
    </row>
    <row r="356" spans="1:89">
      <c r="A356" s="34" t="s">
        <v>33</v>
      </c>
      <c r="B356" s="34" t="s">
        <v>444</v>
      </c>
      <c r="C356" s="34" t="s">
        <v>444</v>
      </c>
      <c r="D356" s="34"/>
      <c r="E356" s="34">
        <v>129.840269242668</v>
      </c>
      <c r="F356" s="34">
        <f xml:space="preserve">E356</f>
        <v>129.840269242668</v>
      </c>
      <c r="G356" s="34"/>
      <c r="H356" s="34"/>
      <c r="I356" s="34">
        <f xml:space="preserve">F356</f>
        <v>129.840269242668</v>
      </c>
      <c r="J356" s="34">
        <f xml:space="preserve">I356</f>
        <v>129.840269242668</v>
      </c>
      <c r="K356" s="34"/>
      <c r="L356" s="34">
        <f xml:space="preserve">J356</f>
        <v>129.840269242668</v>
      </c>
      <c r="M356" s="34"/>
      <c r="N356" s="34"/>
      <c r="O356" s="34"/>
      <c r="P356" s="34"/>
      <c r="Q356" s="34"/>
      <c r="R356" s="34"/>
      <c r="S356" s="34"/>
      <c r="T356" s="34"/>
      <c r="U356" s="34"/>
      <c r="V356" s="34">
        <f xml:space="preserve">L356</f>
        <v>129.840269242668</v>
      </c>
      <c r="W356" s="34">
        <v>3</v>
      </c>
      <c r="AG356" s="232" t="s">
        <v>437</v>
      </c>
      <c r="AI356">
        <v>1</v>
      </c>
      <c r="AJ356">
        <v>1.01249244177222</v>
      </c>
      <c r="AK356">
        <v>1.13138941807915</v>
      </c>
      <c r="AL356">
        <v>1.24760189562937</v>
      </c>
      <c r="AM356">
        <v>1.34810455246965</v>
      </c>
      <c r="AN356">
        <v>1.44349661274636</v>
      </c>
      <c r="AO356">
        <v>1.53893173984805</v>
      </c>
      <c r="AP356">
        <v>1.6358789910266</v>
      </c>
      <c r="AQ356">
        <v>1.73602084357765</v>
      </c>
      <c r="AR356">
        <v>1.84198437382463</v>
      </c>
      <c r="AS356">
        <v>1.95347672735771</v>
      </c>
      <c r="AT356">
        <v>2.063527777815</v>
      </c>
      <c r="AU356">
        <v>2.1690147018656</v>
      </c>
      <c r="AV356">
        <v>2.26870387423415</v>
      </c>
      <c r="AW356">
        <v>2.36111858134433</v>
      </c>
      <c r="AX356">
        <v>2.44611431007233</v>
      </c>
      <c r="AY356">
        <v>2.52490841600409</v>
      </c>
      <c r="AZ356">
        <v>2.5973563860158</v>
      </c>
      <c r="BA356">
        <v>0</v>
      </c>
      <c r="BB356">
        <v>0</v>
      </c>
      <c r="BC356">
        <v>0</v>
      </c>
      <c r="BD356">
        <v>0</v>
      </c>
      <c r="BE356">
        <v>0</v>
      </c>
      <c r="BF356">
        <v>0</v>
      </c>
      <c r="BG356">
        <v>0</v>
      </c>
      <c r="BH356">
        <v>0</v>
      </c>
      <c r="BJ356" t="s">
        <v>452</v>
      </c>
      <c r="BL356">
        <v>0.8</v>
      </c>
      <c r="BM356">
        <v>0.797560975609756</v>
      </c>
      <c r="BN356">
        <v>0.785365853658536</v>
      </c>
      <c r="BO356">
        <v>0.773170731707317</v>
      </c>
      <c r="BP356">
        <v>0.760975609756097</v>
      </c>
      <c r="BQ356">
        <v>0.748780487804878</v>
      </c>
      <c r="BR356">
        <v>0.736585365853658</v>
      </c>
      <c r="BS356">
        <v>0.724390243902439</v>
      </c>
      <c r="BT356">
        <v>0.71219512195122</v>
      </c>
      <c r="BU356">
        <v>0.699999999999999</v>
      </c>
      <c r="BV356">
        <v>0.687499999999999</v>
      </c>
      <c r="BW356">
        <v>0.675</v>
      </c>
      <c r="BX356">
        <v>0.6625</v>
      </c>
      <c r="BY356">
        <v>0.649999999999999</v>
      </c>
      <c r="BZ356">
        <v>0.637499999999999</v>
      </c>
      <c r="CA356">
        <v>0.625</v>
      </c>
      <c r="CB356">
        <v>0.6125</v>
      </c>
      <c r="CC356">
        <v>0.6</v>
      </c>
      <c r="CD356" t="e">
        <v>#VALUE!</v>
      </c>
      <c r="CE356" t="e">
        <v>#VALUE!</v>
      </c>
      <c r="CF356" t="e">
        <v>#VALUE!</v>
      </c>
      <c r="CG356" t="e">
        <v>#VALUE!</v>
      </c>
      <c r="CH356" t="e">
        <v>#VALUE!</v>
      </c>
      <c r="CI356" t="e">
        <v>#VALUE!</v>
      </c>
      <c r="CJ356" t="e">
        <v>#VALUE!</v>
      </c>
      <c r="CK356" t="e">
        <v>#VALUE!</v>
      </c>
    </row>
    <row r="357" spans="1:89">
      <c r="A357" s="34" t="s">
        <v>33</v>
      </c>
      <c r="B357" s="34" t="s">
        <v>445</v>
      </c>
      <c r="C357" s="34" t="s">
        <v>445</v>
      </c>
      <c r="D357" s="34">
        <v>0.91</v>
      </c>
      <c r="E357" s="34">
        <v>0.912378379960992</v>
      </c>
      <c r="F357" s="34"/>
      <c r="G357" s="34">
        <v>0.924080703445745</v>
      </c>
      <c r="H357" s="34">
        <v>0.931918634612868</v>
      </c>
      <c r="I357" s="34">
        <v>0.939133175308723</v>
      </c>
      <c r="J357" s="34">
        <v>0.946620810734229</v>
      </c>
      <c r="K357" s="34">
        <v>0.955227364137573</v>
      </c>
      <c r="L357" s="34">
        <v>0.965658783751633</v>
      </c>
      <c r="M357" s="34">
        <v>0.975024775728481</v>
      </c>
      <c r="N357" s="34">
        <v>0.983602969287297</v>
      </c>
      <c r="O357" s="34">
        <v>0.991378964114832</v>
      </c>
      <c r="P357" s="34">
        <v>0.998978585342731</v>
      </c>
      <c r="Q357" s="34">
        <v>1.00621614553584</v>
      </c>
      <c r="R357" s="34">
        <v>1.01227791847359</v>
      </c>
      <c r="S357" s="34">
        <v>1.01630548943529</v>
      </c>
      <c r="T357" s="34">
        <v>1.01830003536789</v>
      </c>
      <c r="U357" s="34">
        <v>1.01924396084532</v>
      </c>
      <c r="V357" s="34">
        <v>1.01993229195114</v>
      </c>
      <c r="W357" s="34">
        <v>3</v>
      </c>
      <c r="AG357" s="232" t="s">
        <v>442</v>
      </c>
      <c r="AI357">
        <v>1</v>
      </c>
      <c r="AJ357">
        <v>1.00327699628325</v>
      </c>
      <c r="AK357">
        <v>1.0196619776995</v>
      </c>
      <c r="AL357">
        <v>1.03084791455404</v>
      </c>
      <c r="AM357">
        <v>1.04133499382809</v>
      </c>
      <c r="AN357">
        <v>1.05242299982453</v>
      </c>
      <c r="AO357">
        <v>1.06541333821808</v>
      </c>
      <c r="AP357">
        <v>1.08147469381852</v>
      </c>
      <c r="AQ357">
        <v>1.09620281853163</v>
      </c>
      <c r="AR357">
        <v>1.10998040243245</v>
      </c>
      <c r="AS357">
        <v>1.12274416569501</v>
      </c>
      <c r="AT357">
        <v>1.13549472635844</v>
      </c>
      <c r="AU357">
        <v>1.14791225724948</v>
      </c>
      <c r="AV357">
        <v>1.15855132855068</v>
      </c>
      <c r="AW357">
        <v>1.16578199833114</v>
      </c>
      <c r="AX357">
        <v>1.16944263898258</v>
      </c>
      <c r="AY357">
        <v>1.17121248213932</v>
      </c>
      <c r="AZ357">
        <v>1.17253075008098</v>
      </c>
      <c r="BA357">
        <v>0</v>
      </c>
      <c r="BB357">
        <v>0</v>
      </c>
      <c r="BC357">
        <v>0</v>
      </c>
      <c r="BD357">
        <v>0</v>
      </c>
      <c r="BE357">
        <v>0</v>
      </c>
      <c r="BF357">
        <v>0</v>
      </c>
      <c r="BG357">
        <v>0</v>
      </c>
      <c r="BH357">
        <v>0</v>
      </c>
      <c r="BJ357" t="s">
        <v>452</v>
      </c>
      <c r="BL357">
        <v>0.8</v>
      </c>
      <c r="BM357">
        <v>0.797560975609756</v>
      </c>
      <c r="BN357">
        <v>0.785365853658536</v>
      </c>
      <c r="BO357">
        <v>0.773170731707317</v>
      </c>
      <c r="BP357">
        <v>0.760975609756097</v>
      </c>
      <c r="BQ357">
        <v>0.748780487804878</v>
      </c>
      <c r="BR357">
        <v>0.736585365853658</v>
      </c>
      <c r="BS357">
        <v>0.724390243902439</v>
      </c>
      <c r="BT357">
        <v>0.71219512195122</v>
      </c>
      <c r="BU357">
        <v>0.699999999999999</v>
      </c>
      <c r="BV357">
        <v>0.687499999999999</v>
      </c>
      <c r="BW357">
        <v>0.675</v>
      </c>
      <c r="BX357">
        <v>0.6625</v>
      </c>
      <c r="BY357">
        <v>0.649999999999999</v>
      </c>
      <c r="BZ357">
        <v>0.637499999999999</v>
      </c>
      <c r="CA357">
        <v>0.625</v>
      </c>
      <c r="CB357">
        <v>0.6125</v>
      </c>
      <c r="CC357">
        <v>0.6</v>
      </c>
      <c r="CD357" t="e">
        <v>#VALUE!</v>
      </c>
      <c r="CE357" t="e">
        <v>#VALUE!</v>
      </c>
      <c r="CF357" t="e">
        <v>#VALUE!</v>
      </c>
      <c r="CG357" t="e">
        <v>#VALUE!</v>
      </c>
      <c r="CH357" t="e">
        <v>#VALUE!</v>
      </c>
      <c r="CI357" t="e">
        <v>#VALUE!</v>
      </c>
      <c r="CJ357" t="e">
        <v>#VALUE!</v>
      </c>
      <c r="CK357" t="e">
        <v>#VALUE!</v>
      </c>
    </row>
    <row r="358" spans="1:89">
      <c r="A358" s="34" t="s">
        <v>33</v>
      </c>
      <c r="B358" s="34" t="s">
        <v>446</v>
      </c>
      <c r="C358" s="34" t="s">
        <v>446</v>
      </c>
      <c r="D358" s="34">
        <v>0.54</v>
      </c>
      <c r="E358" s="34">
        <v>0.541411346350479</v>
      </c>
      <c r="F358" s="34"/>
      <c r="G358" s="34">
        <v>0.548355582264508</v>
      </c>
      <c r="H358" s="34">
        <v>0.553006662297746</v>
      </c>
      <c r="I358" s="34">
        <v>0.557287818315066</v>
      </c>
      <c r="J358" s="34">
        <v>0.561731030545586</v>
      </c>
      <c r="K358" s="34">
        <v>0.566838216081637</v>
      </c>
      <c r="L358" s="34">
        <v>0.573028289259211</v>
      </c>
      <c r="M358" s="34">
        <v>0.578586130652065</v>
      </c>
      <c r="N358" s="34">
        <v>0.583676487269385</v>
      </c>
      <c r="O358" s="34">
        <v>0.58829081387034</v>
      </c>
      <c r="P358" s="34">
        <v>0.592800479214368</v>
      </c>
      <c r="Q358" s="34">
        <v>0.597095295153135</v>
      </c>
      <c r="R358" s="34">
        <v>0.600692391182128</v>
      </c>
      <c r="S358" s="34">
        <v>0.603082378346216</v>
      </c>
      <c r="T358" s="34">
        <v>0.604265955053473</v>
      </c>
      <c r="U358" s="34">
        <v>0.604826086655463</v>
      </c>
      <c r="V358" s="34">
        <v>0.605234546872107</v>
      </c>
      <c r="W358" s="34">
        <v>3</v>
      </c>
      <c r="AG358" s="232" t="s">
        <v>442</v>
      </c>
      <c r="AI358">
        <v>1</v>
      </c>
      <c r="AJ358">
        <v>1.00327699628325</v>
      </c>
      <c r="AK358">
        <v>1.0196619776995</v>
      </c>
      <c r="AL358">
        <v>1.03084791455404</v>
      </c>
      <c r="AM358">
        <v>1.04133499382809</v>
      </c>
      <c r="AN358">
        <v>1.05242299982453</v>
      </c>
      <c r="AO358">
        <v>1.06541333821808</v>
      </c>
      <c r="AP358">
        <v>1.08147469381852</v>
      </c>
      <c r="AQ358">
        <v>1.09620281853163</v>
      </c>
      <c r="AR358">
        <v>1.10998040243245</v>
      </c>
      <c r="AS358">
        <v>1.12274416569501</v>
      </c>
      <c r="AT358">
        <v>1.13549472635844</v>
      </c>
      <c r="AU358">
        <v>1.14791225724948</v>
      </c>
      <c r="AV358">
        <v>1.15855132855068</v>
      </c>
      <c r="AW358">
        <v>1.16578199833114</v>
      </c>
      <c r="AX358">
        <v>1.16944263898258</v>
      </c>
      <c r="AY358">
        <v>1.17121248213932</v>
      </c>
      <c r="AZ358">
        <v>1.17253075008098</v>
      </c>
      <c r="BA358">
        <v>0</v>
      </c>
      <c r="BB358">
        <v>0</v>
      </c>
      <c r="BC358">
        <v>0</v>
      </c>
      <c r="BD358">
        <v>0</v>
      </c>
      <c r="BE358">
        <v>0</v>
      </c>
      <c r="BF358">
        <v>0</v>
      </c>
      <c r="BG358">
        <v>0</v>
      </c>
      <c r="BH358">
        <v>0</v>
      </c>
      <c r="BJ358" t="s">
        <v>452</v>
      </c>
      <c r="BL358">
        <v>0.8</v>
      </c>
      <c r="BM358">
        <v>0.797560975609756</v>
      </c>
      <c r="BN358">
        <v>0.785365853658536</v>
      </c>
      <c r="BO358">
        <v>0.773170731707317</v>
      </c>
      <c r="BP358">
        <v>0.760975609756097</v>
      </c>
      <c r="BQ358">
        <v>0.748780487804878</v>
      </c>
      <c r="BR358">
        <v>0.736585365853658</v>
      </c>
      <c r="BS358">
        <v>0.724390243902439</v>
      </c>
      <c r="BT358">
        <v>0.71219512195122</v>
      </c>
      <c r="BU358">
        <v>0.699999999999999</v>
      </c>
      <c r="BV358">
        <v>0.687499999999999</v>
      </c>
      <c r="BW358">
        <v>0.675</v>
      </c>
      <c r="BX358">
        <v>0.6625</v>
      </c>
      <c r="BY358">
        <v>0.649999999999999</v>
      </c>
      <c r="BZ358">
        <v>0.637499999999999</v>
      </c>
      <c r="CA358">
        <v>0.625</v>
      </c>
      <c r="CB358">
        <v>0.6125</v>
      </c>
      <c r="CC358">
        <v>0.6</v>
      </c>
      <c r="CD358" t="e">
        <v>#VALUE!</v>
      </c>
      <c r="CE358" t="e">
        <v>#VALUE!</v>
      </c>
      <c r="CF358" t="e">
        <v>#VALUE!</v>
      </c>
      <c r="CG358" t="e">
        <v>#VALUE!</v>
      </c>
      <c r="CH358" t="e">
        <v>#VALUE!</v>
      </c>
      <c r="CI358" t="e">
        <v>#VALUE!</v>
      </c>
      <c r="CJ358" t="e">
        <v>#VALUE!</v>
      </c>
      <c r="CK358" t="e">
        <v>#VALUE!</v>
      </c>
    </row>
    <row r="359" spans="1:89">
      <c r="A359" s="34" t="s">
        <v>33</v>
      </c>
      <c r="B359" s="34" t="s">
        <v>447</v>
      </c>
      <c r="C359" s="34" t="s">
        <v>447</v>
      </c>
      <c r="D359" s="34">
        <v>1.295</v>
      </c>
      <c r="E359" s="34">
        <v>1.2983846176368</v>
      </c>
      <c r="F359" s="34"/>
      <c r="G359" s="34">
        <v>1.31503792413433</v>
      </c>
      <c r="H359" s="34">
        <v>1.32619190310293</v>
      </c>
      <c r="I359" s="34">
        <v>1.3364587494778</v>
      </c>
      <c r="J359" s="34">
        <v>1.34711423066025</v>
      </c>
      <c r="K359" s="34">
        <v>1.35936201819578</v>
      </c>
      <c r="L359" s="34">
        <v>1.37420673072348</v>
      </c>
      <c r="M359" s="34">
        <v>1.38753525776745</v>
      </c>
      <c r="N359" s="34">
        <v>1.39974268706269</v>
      </c>
      <c r="O359" s="34">
        <v>1.41080852585572</v>
      </c>
      <c r="P359" s="34">
        <v>1.42162337144927</v>
      </c>
      <c r="Q359" s="34">
        <v>1.43192297633946</v>
      </c>
      <c r="R359" s="34">
        <v>1.4405493455201</v>
      </c>
      <c r="S359" s="34">
        <v>1.44628088881176</v>
      </c>
      <c r="T359" s="34">
        <v>1.44911928110046</v>
      </c>
      <c r="U359" s="34">
        <v>1.45046255966449</v>
      </c>
      <c r="V359" s="34">
        <v>1.45144210777663</v>
      </c>
      <c r="W359" s="34">
        <v>3</v>
      </c>
      <c r="AG359" s="232" t="s">
        <v>442</v>
      </c>
      <c r="AI359">
        <v>1</v>
      </c>
      <c r="AJ359">
        <v>1.00327699628325</v>
      </c>
      <c r="AK359">
        <v>1.0196619776995</v>
      </c>
      <c r="AL359">
        <v>1.03084791455404</v>
      </c>
      <c r="AM359">
        <v>1.04133499382809</v>
      </c>
      <c r="AN359">
        <v>1.05242299982453</v>
      </c>
      <c r="AO359">
        <v>1.06541333821808</v>
      </c>
      <c r="AP359">
        <v>1.08147469381852</v>
      </c>
      <c r="AQ359">
        <v>1.09620281853163</v>
      </c>
      <c r="AR359">
        <v>1.10998040243245</v>
      </c>
      <c r="AS359">
        <v>1.12274416569501</v>
      </c>
      <c r="AT359">
        <v>1.13549472635844</v>
      </c>
      <c r="AU359">
        <v>1.14791225724948</v>
      </c>
      <c r="AV359">
        <v>1.15855132855068</v>
      </c>
      <c r="AW359">
        <v>1.16578199833114</v>
      </c>
      <c r="AX359">
        <v>1.16944263898258</v>
      </c>
      <c r="AY359">
        <v>1.17121248213932</v>
      </c>
      <c r="AZ359">
        <v>1.17253075008098</v>
      </c>
      <c r="BA359">
        <v>0</v>
      </c>
      <c r="BB359">
        <v>0</v>
      </c>
      <c r="BC359">
        <v>0</v>
      </c>
      <c r="BD359">
        <v>0</v>
      </c>
      <c r="BE359">
        <v>0</v>
      </c>
      <c r="BF359">
        <v>0</v>
      </c>
      <c r="BG359">
        <v>0</v>
      </c>
      <c r="BH359">
        <v>0</v>
      </c>
      <c r="BJ359" t="s">
        <v>452</v>
      </c>
      <c r="BL359">
        <v>0.8</v>
      </c>
      <c r="BM359">
        <v>0.797560975609756</v>
      </c>
      <c r="BN359">
        <v>0.785365853658536</v>
      </c>
      <c r="BO359">
        <v>0.773170731707317</v>
      </c>
      <c r="BP359">
        <v>0.760975609756097</v>
      </c>
      <c r="BQ359">
        <v>0.748780487804878</v>
      </c>
      <c r="BR359">
        <v>0.736585365853658</v>
      </c>
      <c r="BS359">
        <v>0.724390243902439</v>
      </c>
      <c r="BT359">
        <v>0.71219512195122</v>
      </c>
      <c r="BU359">
        <v>0.699999999999999</v>
      </c>
      <c r="BV359">
        <v>0.687499999999999</v>
      </c>
      <c r="BW359">
        <v>0.675</v>
      </c>
      <c r="BX359">
        <v>0.6625</v>
      </c>
      <c r="BY359">
        <v>0.649999999999999</v>
      </c>
      <c r="BZ359">
        <v>0.637499999999999</v>
      </c>
      <c r="CA359">
        <v>0.625</v>
      </c>
      <c r="CB359">
        <v>0.6125</v>
      </c>
      <c r="CC359">
        <v>0.6</v>
      </c>
      <c r="CD359" t="e">
        <v>#VALUE!</v>
      </c>
      <c r="CE359" t="e">
        <v>#VALUE!</v>
      </c>
      <c r="CF359" t="e">
        <v>#VALUE!</v>
      </c>
      <c r="CG359" t="e">
        <v>#VALUE!</v>
      </c>
      <c r="CH359" t="e">
        <v>#VALUE!</v>
      </c>
      <c r="CI359" t="e">
        <v>#VALUE!</v>
      </c>
      <c r="CJ359" t="e">
        <v>#VALUE!</v>
      </c>
      <c r="CK359" t="e">
        <v>#VALUE!</v>
      </c>
    </row>
    <row r="360" spans="1:89">
      <c r="A360" s="34" t="s">
        <v>33</v>
      </c>
      <c r="B360" s="34" t="s">
        <v>448</v>
      </c>
      <c r="C360" s="34" t="s">
        <v>448</v>
      </c>
      <c r="D360" s="34">
        <v>129.828</v>
      </c>
      <c r="E360" s="34">
        <v>130.779103418656</v>
      </c>
      <c r="F360" s="34"/>
      <c r="G360" s="34">
        <v>140.996019415507</v>
      </c>
      <c r="H360" s="34">
        <v>150.889127209822</v>
      </c>
      <c r="I360" s="34">
        <v>158.889369906315</v>
      </c>
      <c r="J360" s="34">
        <v>165.965772660955</v>
      </c>
      <c r="K360" s="34">
        <v>172.458970125086</v>
      </c>
      <c r="L360" s="34">
        <v>178.35674327232</v>
      </c>
      <c r="M360" s="34">
        <v>184.321557918893</v>
      </c>
      <c r="N360" s="34">
        <v>190.497740827703</v>
      </c>
      <c r="O360" s="34">
        <v>196.845972436944</v>
      </c>
      <c r="P360" s="34">
        <v>202.755320097654</v>
      </c>
      <c r="Q360" s="34">
        <v>208.094650392729</v>
      </c>
      <c r="R360" s="34">
        <v>213.012142310774</v>
      </c>
      <c r="S360" s="34">
        <v>217.667136650226</v>
      </c>
      <c r="T360" s="34">
        <v>222.123211533299</v>
      </c>
      <c r="U360" s="34">
        <v>226.293450990218</v>
      </c>
      <c r="V360" s="34">
        <v>230.032283184352</v>
      </c>
      <c r="W360" s="34">
        <v>3</v>
      </c>
      <c r="AG360" s="232" t="s">
        <v>449</v>
      </c>
      <c r="AI360">
        <v>1</v>
      </c>
      <c r="AJ360">
        <v>1.00918534514706</v>
      </c>
      <c r="AK360">
        <v>1.1095730181405</v>
      </c>
      <c r="AL360">
        <v>1.21026766219836</v>
      </c>
      <c r="AM360">
        <v>1.29459257631768</v>
      </c>
      <c r="AN360">
        <v>1.37159356360231</v>
      </c>
      <c r="AO360">
        <v>1.44444572321756</v>
      </c>
      <c r="AP360">
        <v>1.51263732787917</v>
      </c>
      <c r="AQ360">
        <v>1.58366756062812</v>
      </c>
      <c r="AR360">
        <v>1.65947468062322</v>
      </c>
      <c r="AS360">
        <v>1.73991260613539</v>
      </c>
      <c r="AT360">
        <v>1.81729402164005</v>
      </c>
      <c r="AU360">
        <v>1.88953004741214</v>
      </c>
      <c r="AV360">
        <v>1.95822474009178</v>
      </c>
      <c r="AW360">
        <v>2.02535172504325</v>
      </c>
      <c r="AX360">
        <v>2.09169242554766</v>
      </c>
      <c r="AY360">
        <v>2.15580729757264</v>
      </c>
      <c r="AZ360">
        <v>2.21517123183031</v>
      </c>
      <c r="BA360">
        <v>0</v>
      </c>
      <c r="BB360">
        <v>0</v>
      </c>
      <c r="BC360">
        <v>0</v>
      </c>
      <c r="BD360">
        <v>0</v>
      </c>
      <c r="BE360">
        <v>0</v>
      </c>
      <c r="BF360">
        <v>0</v>
      </c>
      <c r="BG360">
        <v>0</v>
      </c>
      <c r="BH360">
        <v>0</v>
      </c>
      <c r="BJ360" t="s">
        <v>452</v>
      </c>
      <c r="BL360">
        <v>0.8</v>
      </c>
      <c r="BM360">
        <v>0.797560975609756</v>
      </c>
      <c r="BN360">
        <v>0.785365853658536</v>
      </c>
      <c r="BO360">
        <v>0.773170731707317</v>
      </c>
      <c r="BP360">
        <v>0.760975609756097</v>
      </c>
      <c r="BQ360">
        <v>0.748780487804878</v>
      </c>
      <c r="BR360">
        <v>0.736585365853658</v>
      </c>
      <c r="BS360">
        <v>0.724390243902439</v>
      </c>
      <c r="BT360">
        <v>0.71219512195122</v>
      </c>
      <c r="BU360">
        <v>0.699999999999999</v>
      </c>
      <c r="BV360">
        <v>0.687499999999999</v>
      </c>
      <c r="BW360">
        <v>0.675</v>
      </c>
      <c r="BX360">
        <v>0.6625</v>
      </c>
      <c r="BY360">
        <v>0.649999999999999</v>
      </c>
      <c r="BZ360">
        <v>0.637499999999999</v>
      </c>
      <c r="CA360">
        <v>0.625</v>
      </c>
      <c r="CB360">
        <v>0.6125</v>
      </c>
      <c r="CC360">
        <v>0.6</v>
      </c>
      <c r="CD360" t="e">
        <v>#VALUE!</v>
      </c>
      <c r="CE360" t="e">
        <v>#VALUE!</v>
      </c>
      <c r="CF360" t="e">
        <v>#VALUE!</v>
      </c>
      <c r="CG360" t="e">
        <v>#VALUE!</v>
      </c>
      <c r="CH360" t="e">
        <v>#VALUE!</v>
      </c>
      <c r="CI360" t="e">
        <v>#VALUE!</v>
      </c>
      <c r="CJ360" t="e">
        <v>#VALUE!</v>
      </c>
      <c r="CK360" t="e">
        <v>#VALUE!</v>
      </c>
    </row>
    <row r="361" spans="1:89">
      <c r="A361" s="34" t="s">
        <v>33</v>
      </c>
      <c r="B361" s="34" t="s">
        <v>450</v>
      </c>
      <c r="C361" s="34" t="s">
        <v>450</v>
      </c>
      <c r="D361" s="34">
        <v>35.2</v>
      </c>
      <c r="E361" s="34">
        <v>35.5507146384755</v>
      </c>
      <c r="F361" s="34"/>
      <c r="G361" s="34">
        <v>38.829397197982</v>
      </c>
      <c r="H361" s="34">
        <v>41.9131297239351</v>
      </c>
      <c r="I361" s="34">
        <v>44.4824742643479</v>
      </c>
      <c r="J361" s="34">
        <v>46.8393251617387</v>
      </c>
      <c r="K361" s="34">
        <v>49.1203299802284</v>
      </c>
      <c r="L361" s="34">
        <v>51.3618881370857</v>
      </c>
      <c r="M361" s="34">
        <v>53.6011476180372</v>
      </c>
      <c r="N361" s="34">
        <v>55.8913486795833</v>
      </c>
      <c r="O361" s="34">
        <v>58.2171704619482</v>
      </c>
      <c r="P361" s="34">
        <v>60.4309828688878</v>
      </c>
      <c r="Q361" s="34">
        <v>62.4775870153316</v>
      </c>
      <c r="R361" s="34">
        <v>64.3440659784574</v>
      </c>
      <c r="S361" s="34">
        <v>66.0149717874951</v>
      </c>
      <c r="T361" s="34">
        <v>67.5002293149998</v>
      </c>
      <c r="U361" s="34">
        <v>68.8319965471208</v>
      </c>
      <c r="V361" s="34">
        <v>70.0170070742553</v>
      </c>
      <c r="W361" s="34">
        <v>3</v>
      </c>
      <c r="AG361" s="232" t="s">
        <v>437</v>
      </c>
      <c r="AI361">
        <v>1</v>
      </c>
      <c r="AJ361">
        <v>1.01249244177222</v>
      </c>
      <c r="AK361">
        <v>1.13138941807915</v>
      </c>
      <c r="AL361">
        <v>1.24760189562937</v>
      </c>
      <c r="AM361">
        <v>1.34810455246965</v>
      </c>
      <c r="AN361">
        <v>1.44349661274636</v>
      </c>
      <c r="AO361">
        <v>1.53893173984805</v>
      </c>
      <c r="AP361">
        <v>1.6358789910266</v>
      </c>
      <c r="AQ361">
        <v>1.73602084357765</v>
      </c>
      <c r="AR361">
        <v>1.84198437382463</v>
      </c>
      <c r="AS361">
        <v>1.95347672735771</v>
      </c>
      <c r="AT361">
        <v>2.063527777815</v>
      </c>
      <c r="AU361">
        <v>2.1690147018656</v>
      </c>
      <c r="AV361">
        <v>2.26870387423415</v>
      </c>
      <c r="AW361">
        <v>2.36111858134433</v>
      </c>
      <c r="AX361">
        <v>2.44611431007233</v>
      </c>
      <c r="AY361">
        <v>2.52490841600409</v>
      </c>
      <c r="AZ361">
        <v>2.5973563860158</v>
      </c>
      <c r="BA361">
        <v>0</v>
      </c>
      <c r="BB361">
        <v>0</v>
      </c>
      <c r="BC361">
        <v>0</v>
      </c>
      <c r="BD361">
        <v>0</v>
      </c>
      <c r="BE361">
        <v>0</v>
      </c>
      <c r="BF361">
        <v>0</v>
      </c>
      <c r="BG361">
        <v>0</v>
      </c>
      <c r="BH361">
        <v>0</v>
      </c>
      <c r="BJ361" t="s">
        <v>452</v>
      </c>
      <c r="BL361">
        <v>0.8</v>
      </c>
      <c r="BM361">
        <v>0.797560975609756</v>
      </c>
      <c r="BN361">
        <v>0.785365853658536</v>
      </c>
      <c r="BO361">
        <v>0.773170731707317</v>
      </c>
      <c r="BP361">
        <v>0.760975609756097</v>
      </c>
      <c r="BQ361">
        <v>0.748780487804878</v>
      </c>
      <c r="BR361">
        <v>0.736585365853658</v>
      </c>
      <c r="BS361">
        <v>0.724390243902439</v>
      </c>
      <c r="BT361">
        <v>0.71219512195122</v>
      </c>
      <c r="BU361">
        <v>0.699999999999999</v>
      </c>
      <c r="BV361">
        <v>0.687499999999999</v>
      </c>
      <c r="BW361">
        <v>0.675</v>
      </c>
      <c r="BX361">
        <v>0.6625</v>
      </c>
      <c r="BY361">
        <v>0.649999999999999</v>
      </c>
      <c r="BZ361">
        <v>0.637499999999999</v>
      </c>
      <c r="CA361">
        <v>0.625</v>
      </c>
      <c r="CB361">
        <v>0.6125</v>
      </c>
      <c r="CC361">
        <v>0.6</v>
      </c>
      <c r="CD361" t="e">
        <v>#VALUE!</v>
      </c>
      <c r="CE361" t="e">
        <v>#VALUE!</v>
      </c>
      <c r="CF361" t="e">
        <v>#VALUE!</v>
      </c>
      <c r="CG361" t="e">
        <v>#VALUE!</v>
      </c>
      <c r="CH361" t="e">
        <v>#VALUE!</v>
      </c>
      <c r="CI361" t="e">
        <v>#VALUE!</v>
      </c>
      <c r="CJ361" t="e">
        <v>#VALUE!</v>
      </c>
      <c r="CK361" t="e">
        <v>#VALUE!</v>
      </c>
    </row>
    <row r="362" spans="1:89">
      <c r="A362" s="34" t="s">
        <v>33</v>
      </c>
      <c r="B362" s="34" t="s">
        <v>451</v>
      </c>
      <c r="C362" s="34" t="s">
        <v>451</v>
      </c>
      <c r="D362" s="34">
        <v>19.96</v>
      </c>
      <c r="E362" s="34">
        <v>20.1588711415901</v>
      </c>
      <c r="F362" s="34"/>
      <c r="G362" s="34">
        <v>22.0180331838557</v>
      </c>
      <c r="H362" s="34">
        <v>23.7666496957314</v>
      </c>
      <c r="I362" s="34">
        <v>25.2235848385336</v>
      </c>
      <c r="J362" s="34">
        <v>26.5600264269405</v>
      </c>
      <c r="K362" s="34">
        <v>27.8534598410613</v>
      </c>
      <c r="L362" s="34">
        <v>29.1245252050066</v>
      </c>
      <c r="M362" s="34">
        <v>30.3942871152279</v>
      </c>
      <c r="N362" s="34">
        <v>31.6929352171728</v>
      </c>
      <c r="O362" s="34">
        <v>33.0117818869456</v>
      </c>
      <c r="P362" s="34">
        <v>34.267114149517</v>
      </c>
      <c r="Q362" s="34">
        <v>35.4276317280119</v>
      </c>
      <c r="R362" s="34">
        <v>36.4860101400571</v>
      </c>
      <c r="S362" s="34">
        <v>37.4334896840455</v>
      </c>
      <c r="T362" s="34">
        <v>38.2756982138464</v>
      </c>
      <c r="U362" s="34">
        <v>39.0308707693333</v>
      </c>
      <c r="V362" s="34">
        <v>39.7028256023334</v>
      </c>
      <c r="W362" s="34">
        <v>3</v>
      </c>
      <c r="AG362" s="232" t="s">
        <v>437</v>
      </c>
      <c r="AI362">
        <v>1</v>
      </c>
      <c r="AJ362">
        <v>1.01249244177222</v>
      </c>
      <c r="AK362">
        <v>1.13138941807915</v>
      </c>
      <c r="AL362">
        <v>1.24760189562937</v>
      </c>
      <c r="AM362">
        <v>1.34810455246965</v>
      </c>
      <c r="AN362">
        <v>1.44349661274636</v>
      </c>
      <c r="AO362">
        <v>1.53893173984805</v>
      </c>
      <c r="AP362">
        <v>1.6358789910266</v>
      </c>
      <c r="AQ362">
        <v>1.73602084357765</v>
      </c>
      <c r="AR362">
        <v>1.84198437382463</v>
      </c>
      <c r="AS362">
        <v>1.95347672735771</v>
      </c>
      <c r="AT362">
        <v>2.063527777815</v>
      </c>
      <c r="AU362">
        <v>2.1690147018656</v>
      </c>
      <c r="AV362">
        <v>2.26870387423415</v>
      </c>
      <c r="AW362">
        <v>2.36111858134433</v>
      </c>
      <c r="AX362">
        <v>2.44611431007233</v>
      </c>
      <c r="AY362">
        <v>2.52490841600409</v>
      </c>
      <c r="AZ362">
        <v>2.5973563860158</v>
      </c>
      <c r="BA362">
        <v>0</v>
      </c>
      <c r="BB362">
        <v>0</v>
      </c>
      <c r="BC362">
        <v>0</v>
      </c>
      <c r="BD362">
        <v>0</v>
      </c>
      <c r="BE362">
        <v>0</v>
      </c>
      <c r="BF362">
        <v>0</v>
      </c>
      <c r="BG362">
        <v>0</v>
      </c>
      <c r="BH362">
        <v>0</v>
      </c>
      <c r="BJ362" t="s">
        <v>452</v>
      </c>
      <c r="BL362">
        <v>0.8</v>
      </c>
      <c r="BM362">
        <v>0.797560975609756</v>
      </c>
      <c r="BN362">
        <v>0.785365853658536</v>
      </c>
      <c r="BO362">
        <v>0.773170731707317</v>
      </c>
      <c r="BP362">
        <v>0.760975609756097</v>
      </c>
      <c r="BQ362">
        <v>0.748780487804878</v>
      </c>
      <c r="BR362">
        <v>0.736585365853658</v>
      </c>
      <c r="BS362">
        <v>0.724390243902439</v>
      </c>
      <c r="BT362">
        <v>0.71219512195122</v>
      </c>
      <c r="BU362">
        <v>0.699999999999999</v>
      </c>
      <c r="BV362">
        <v>0.687499999999999</v>
      </c>
      <c r="BW362">
        <v>0.675</v>
      </c>
      <c r="BX362">
        <v>0.6625</v>
      </c>
      <c r="BY362">
        <v>0.649999999999999</v>
      </c>
      <c r="BZ362">
        <v>0.637499999999999</v>
      </c>
      <c r="CA362">
        <v>0.625</v>
      </c>
      <c r="CB362">
        <v>0.6125</v>
      </c>
      <c r="CC362">
        <v>0.6</v>
      </c>
      <c r="CD362" t="e">
        <v>#VALUE!</v>
      </c>
      <c r="CE362" t="e">
        <v>#VALUE!</v>
      </c>
      <c r="CF362" t="e">
        <v>#VALUE!</v>
      </c>
      <c r="CG362" t="e">
        <v>#VALUE!</v>
      </c>
      <c r="CH362" t="e">
        <v>#VALUE!</v>
      </c>
      <c r="CI362" t="e">
        <v>#VALUE!</v>
      </c>
      <c r="CJ362" t="e">
        <v>#VALUE!</v>
      </c>
      <c r="CK362" t="e">
        <v>#VALUE!</v>
      </c>
    </row>
    <row r="363" spans="1:89">
      <c r="A363" s="34" t="s">
        <v>34</v>
      </c>
      <c r="B363" s="34" t="s">
        <v>436</v>
      </c>
      <c r="C363" s="34" t="s">
        <v>436</v>
      </c>
      <c r="D363" s="34"/>
      <c r="E363" s="34">
        <v>2.7922333831801</v>
      </c>
      <c r="F363" s="34">
        <f xml:space="preserve">E363</f>
        <v>2.7922333831801</v>
      </c>
      <c r="G363" s="34"/>
      <c r="H363" s="34"/>
      <c r="I363" s="34">
        <f xml:space="preserve">F363</f>
        <v>2.7922333831801</v>
      </c>
      <c r="J363" s="34">
        <f xml:space="preserve">I363</f>
        <v>2.7922333831801</v>
      </c>
      <c r="K363" s="34"/>
      <c r="L363" s="34">
        <f xml:space="preserve">J363</f>
        <v>2.7922333831801</v>
      </c>
      <c r="M363" s="34"/>
      <c r="N363" s="34"/>
      <c r="O363" s="34"/>
      <c r="P363" s="34"/>
      <c r="Q363" s="34"/>
      <c r="R363" s="34"/>
      <c r="S363" s="34"/>
      <c r="T363" s="34"/>
      <c r="U363" s="34"/>
      <c r="V363" s="34">
        <f xml:space="preserve">L363</f>
        <v>2.7922333831801</v>
      </c>
      <c r="W363" s="34">
        <v>3</v>
      </c>
      <c r="AG363" s="232" t="s">
        <v>437</v>
      </c>
      <c r="AI363">
        <v>1</v>
      </c>
      <c r="AJ363">
        <v>1.01014620275503</v>
      </c>
      <c r="AK363">
        <v>1.12738821387204</v>
      </c>
      <c r="AL363">
        <v>1.19071587294486</v>
      </c>
      <c r="AM363">
        <v>1.25597341974685</v>
      </c>
      <c r="AN363">
        <v>1.31575732913481</v>
      </c>
      <c r="AO363">
        <v>1.37456830524255</v>
      </c>
      <c r="AP363">
        <v>1.43391013363274</v>
      </c>
      <c r="AQ363">
        <v>1.4945267176711</v>
      </c>
      <c r="AR363">
        <v>1.55938656911768</v>
      </c>
      <c r="AS363">
        <v>1.62911108696532</v>
      </c>
      <c r="AT363">
        <v>1.70037134803812</v>
      </c>
      <c r="AU363">
        <v>1.77032134494888</v>
      </c>
      <c r="AV363">
        <v>1.83536406524192</v>
      </c>
      <c r="AW363">
        <v>1.89354476522836</v>
      </c>
      <c r="AX363">
        <v>1.94497884757828</v>
      </c>
      <c r="AY363">
        <v>1.99044749959698</v>
      </c>
      <c r="AZ363">
        <v>2.02968440743037</v>
      </c>
      <c r="BA363">
        <v>0</v>
      </c>
      <c r="BB363">
        <v>0</v>
      </c>
      <c r="BC363">
        <v>0</v>
      </c>
      <c r="BD363">
        <v>0</v>
      </c>
      <c r="BE363">
        <v>0</v>
      </c>
      <c r="BF363">
        <v>0</v>
      </c>
      <c r="BG363">
        <v>0</v>
      </c>
      <c r="BH363">
        <v>0</v>
      </c>
      <c r="BJ363" t="s">
        <v>452</v>
      </c>
      <c r="BL363">
        <v>0.8</v>
      </c>
      <c r="BM363">
        <v>0.797560975609756</v>
      </c>
      <c r="BN363">
        <v>0.785365853658536</v>
      </c>
      <c r="BO363">
        <v>0.773170731707317</v>
      </c>
      <c r="BP363">
        <v>0.760975609756097</v>
      </c>
      <c r="BQ363">
        <v>0.748780487804878</v>
      </c>
      <c r="BR363">
        <v>0.736585365853658</v>
      </c>
      <c r="BS363">
        <v>0.724390243902439</v>
      </c>
      <c r="BT363">
        <v>0.71219512195122</v>
      </c>
      <c r="BU363">
        <v>0.699999999999999</v>
      </c>
      <c r="BV363">
        <v>0.687499999999999</v>
      </c>
      <c r="BW363">
        <v>0.675</v>
      </c>
      <c r="BX363">
        <v>0.6625</v>
      </c>
      <c r="BY363">
        <v>0.649999999999999</v>
      </c>
      <c r="BZ363">
        <v>0.637499999999999</v>
      </c>
      <c r="CA363">
        <v>0.625</v>
      </c>
      <c r="CB363">
        <v>0.6125</v>
      </c>
      <c r="CC363">
        <v>0.6</v>
      </c>
      <c r="CD363" t="e">
        <v>#VALUE!</v>
      </c>
      <c r="CE363" t="e">
        <v>#VALUE!</v>
      </c>
      <c r="CF363" t="e">
        <v>#VALUE!</v>
      </c>
      <c r="CG363" t="e">
        <v>#VALUE!</v>
      </c>
      <c r="CH363" t="e">
        <v>#VALUE!</v>
      </c>
      <c r="CI363" t="e">
        <v>#VALUE!</v>
      </c>
      <c r="CJ363" t="e">
        <v>#VALUE!</v>
      </c>
      <c r="CK363" t="e">
        <v>#VALUE!</v>
      </c>
    </row>
    <row r="364" spans="1:89">
      <c r="A364" s="34" t="s">
        <v>34</v>
      </c>
      <c r="B364" s="34" t="s">
        <v>439</v>
      </c>
      <c r="C364" s="34" t="s">
        <v>439</v>
      </c>
      <c r="D364" s="34"/>
      <c r="E364" s="34">
        <v>78.5809754084052</v>
      </c>
      <c r="F364" s="34">
        <f xml:space="preserve">E364</f>
        <v>78.5809754084052</v>
      </c>
      <c r="G364" s="34"/>
      <c r="H364" s="34"/>
      <c r="I364" s="34">
        <f xml:space="preserve">F364</f>
        <v>78.5809754084052</v>
      </c>
      <c r="J364" s="34">
        <f xml:space="preserve">I364</f>
        <v>78.5809754084052</v>
      </c>
      <c r="K364" s="34"/>
      <c r="L364" s="34">
        <f xml:space="preserve">J364</f>
        <v>78.5809754084052</v>
      </c>
      <c r="M364" s="34"/>
      <c r="N364" s="34"/>
      <c r="O364" s="34"/>
      <c r="P364" s="34"/>
      <c r="Q364" s="34"/>
      <c r="R364" s="34"/>
      <c r="S364" s="34"/>
      <c r="T364" s="34"/>
      <c r="U364" s="34"/>
      <c r="V364" s="34">
        <f xml:space="preserve">L364</f>
        <v>78.5809754084052</v>
      </c>
      <c r="W364" s="34">
        <v>3</v>
      </c>
      <c r="AG364" s="232" t="s">
        <v>437</v>
      </c>
      <c r="AI364">
        <v>1</v>
      </c>
      <c r="AJ364">
        <v>1.01014620275503</v>
      </c>
      <c r="AK364">
        <v>1.12738821387204</v>
      </c>
      <c r="AL364">
        <v>1.19071587294486</v>
      </c>
      <c r="AM364">
        <v>1.25597341974685</v>
      </c>
      <c r="AN364">
        <v>1.31575732913481</v>
      </c>
      <c r="AO364">
        <v>1.37456830524255</v>
      </c>
      <c r="AP364">
        <v>1.43391013363274</v>
      </c>
      <c r="AQ364">
        <v>1.4945267176711</v>
      </c>
      <c r="AR364">
        <v>1.55938656911768</v>
      </c>
      <c r="AS364">
        <v>1.62911108696532</v>
      </c>
      <c r="AT364">
        <v>1.70037134803812</v>
      </c>
      <c r="AU364">
        <v>1.77032134494888</v>
      </c>
      <c r="AV364">
        <v>1.83536406524192</v>
      </c>
      <c r="AW364">
        <v>1.89354476522836</v>
      </c>
      <c r="AX364">
        <v>1.94497884757828</v>
      </c>
      <c r="AY364">
        <v>1.99044749959698</v>
      </c>
      <c r="AZ364">
        <v>2.02968440743037</v>
      </c>
      <c r="BA364">
        <v>0</v>
      </c>
      <c r="BB364">
        <v>0</v>
      </c>
      <c r="BC364">
        <v>0</v>
      </c>
      <c r="BD364">
        <v>0</v>
      </c>
      <c r="BE364">
        <v>0</v>
      </c>
      <c r="BF364">
        <v>0</v>
      </c>
      <c r="BG364">
        <v>0</v>
      </c>
      <c r="BH364">
        <v>0</v>
      </c>
      <c r="BJ364" t="s">
        <v>452</v>
      </c>
      <c r="BL364">
        <v>0.8</v>
      </c>
      <c r="BM364">
        <v>0.797560975609756</v>
      </c>
      <c r="BN364">
        <v>0.785365853658536</v>
      </c>
      <c r="BO364">
        <v>0.773170731707317</v>
      </c>
      <c r="BP364">
        <v>0.760975609756097</v>
      </c>
      <c r="BQ364">
        <v>0.748780487804878</v>
      </c>
      <c r="BR364">
        <v>0.736585365853658</v>
      </c>
      <c r="BS364">
        <v>0.724390243902439</v>
      </c>
      <c r="BT364">
        <v>0.71219512195122</v>
      </c>
      <c r="BU364">
        <v>0.699999999999999</v>
      </c>
      <c r="BV364">
        <v>0.687499999999999</v>
      </c>
      <c r="BW364">
        <v>0.675</v>
      </c>
      <c r="BX364">
        <v>0.6625</v>
      </c>
      <c r="BY364">
        <v>0.649999999999999</v>
      </c>
      <c r="BZ364">
        <v>0.637499999999999</v>
      </c>
      <c r="CA364">
        <v>0.625</v>
      </c>
      <c r="CB364">
        <v>0.6125</v>
      </c>
      <c r="CC364">
        <v>0.6</v>
      </c>
      <c r="CD364" t="e">
        <v>#VALUE!</v>
      </c>
      <c r="CE364" t="e">
        <v>#VALUE!</v>
      </c>
      <c r="CF364" t="e">
        <v>#VALUE!</v>
      </c>
      <c r="CG364" t="e">
        <v>#VALUE!</v>
      </c>
      <c r="CH364" t="e">
        <v>#VALUE!</v>
      </c>
      <c r="CI364" t="e">
        <v>#VALUE!</v>
      </c>
      <c r="CJ364" t="e">
        <v>#VALUE!</v>
      </c>
      <c r="CK364" t="e">
        <v>#VALUE!</v>
      </c>
    </row>
    <row r="365" spans="1:89">
      <c r="A365" s="34" t="s">
        <v>34</v>
      </c>
      <c r="B365" s="34" t="s">
        <v>440</v>
      </c>
      <c r="C365" s="34" t="s">
        <v>440</v>
      </c>
      <c r="D365" s="34"/>
      <c r="E365" s="34">
        <v>0.356036346642533</v>
      </c>
      <c r="F365" s="34"/>
      <c r="G365" s="34"/>
      <c r="H365" s="34"/>
      <c r="I365" s="34">
        <v>0.422268318976179</v>
      </c>
      <c r="J365" s="34">
        <v>0.437318678711944</v>
      </c>
      <c r="K365" s="34"/>
      <c r="L365" s="34">
        <v>0.465843190262119</v>
      </c>
      <c r="M365" s="34"/>
      <c r="N365" s="34"/>
      <c r="O365" s="34"/>
      <c r="P365" s="34"/>
      <c r="Q365" s="34"/>
      <c r="R365" s="34"/>
      <c r="S365" s="34"/>
      <c r="T365" s="34"/>
      <c r="U365" s="34"/>
      <c r="V365" s="34">
        <v>0.587643350380561</v>
      </c>
      <c r="W365" s="34">
        <v>3</v>
      </c>
      <c r="AG365" s="232" t="s">
        <v>437</v>
      </c>
      <c r="AI365">
        <v>1</v>
      </c>
      <c r="AJ365">
        <v>1.01014620275503</v>
      </c>
      <c r="AK365">
        <v>1.12738821387204</v>
      </c>
      <c r="AL365">
        <v>1.19071587294486</v>
      </c>
      <c r="AM365">
        <v>1.25597341974685</v>
      </c>
      <c r="AN365">
        <v>1.31575732913481</v>
      </c>
      <c r="AO365">
        <v>1.37456830524255</v>
      </c>
      <c r="AP365">
        <v>1.43391013363274</v>
      </c>
      <c r="AQ365">
        <v>1.4945267176711</v>
      </c>
      <c r="AR365">
        <v>1.55938656911768</v>
      </c>
      <c r="AS365">
        <v>1.62911108696532</v>
      </c>
      <c r="AT365">
        <v>1.70037134803812</v>
      </c>
      <c r="AU365">
        <v>1.77032134494888</v>
      </c>
      <c r="AV365">
        <v>1.83536406524192</v>
      </c>
      <c r="AW365">
        <v>1.89354476522836</v>
      </c>
      <c r="AX365">
        <v>1.94497884757828</v>
      </c>
      <c r="AY365">
        <v>1.99044749959698</v>
      </c>
      <c r="AZ365">
        <v>2.02968440743037</v>
      </c>
      <c r="BA365">
        <v>0</v>
      </c>
      <c r="BB365">
        <v>0</v>
      </c>
      <c r="BC365">
        <v>0</v>
      </c>
      <c r="BD365">
        <v>0</v>
      </c>
      <c r="BE365">
        <v>0</v>
      </c>
      <c r="BF365">
        <v>0</v>
      </c>
      <c r="BG365">
        <v>0</v>
      </c>
      <c r="BH365">
        <v>0</v>
      </c>
      <c r="BJ365" t="s">
        <v>452</v>
      </c>
      <c r="BL365">
        <v>0.8</v>
      </c>
      <c r="BM365">
        <v>0.797560975609756</v>
      </c>
      <c r="BN365">
        <v>0.785365853658536</v>
      </c>
      <c r="BO365">
        <v>0.773170731707317</v>
      </c>
      <c r="BP365">
        <v>0.760975609756097</v>
      </c>
      <c r="BQ365">
        <v>0.748780487804878</v>
      </c>
      <c r="BR365">
        <v>0.736585365853658</v>
      </c>
      <c r="BS365">
        <v>0.724390243902439</v>
      </c>
      <c r="BT365">
        <v>0.71219512195122</v>
      </c>
      <c r="BU365">
        <v>0.699999999999999</v>
      </c>
      <c r="BV365">
        <v>0.687499999999999</v>
      </c>
      <c r="BW365">
        <v>0.675</v>
      </c>
      <c r="BX365">
        <v>0.6625</v>
      </c>
      <c r="BY365">
        <v>0.649999999999999</v>
      </c>
      <c r="BZ365">
        <v>0.637499999999999</v>
      </c>
      <c r="CA365">
        <v>0.625</v>
      </c>
      <c r="CB365">
        <v>0.6125</v>
      </c>
      <c r="CC365">
        <v>0.6</v>
      </c>
      <c r="CD365" t="e">
        <v>#VALUE!</v>
      </c>
      <c r="CE365" t="e">
        <v>#VALUE!</v>
      </c>
      <c r="CF365" t="e">
        <v>#VALUE!</v>
      </c>
      <c r="CG365" t="e">
        <v>#VALUE!</v>
      </c>
      <c r="CH365" t="e">
        <v>#VALUE!</v>
      </c>
      <c r="CI365" t="e">
        <v>#VALUE!</v>
      </c>
      <c r="CJ365" t="e">
        <v>#VALUE!</v>
      </c>
      <c r="CK365" t="e">
        <v>#VALUE!</v>
      </c>
    </row>
    <row r="366" spans="1:89">
      <c r="A366" s="34" t="s">
        <v>34</v>
      </c>
      <c r="B366" s="34" t="s">
        <v>441</v>
      </c>
      <c r="C366" s="34" t="s">
        <v>441</v>
      </c>
      <c r="D366" s="34"/>
      <c r="E366" s="34">
        <v>11.0388847973258</v>
      </c>
      <c r="F366" s="34"/>
      <c r="G366" s="34"/>
      <c r="H366" s="34"/>
      <c r="I366" s="34">
        <v>11.6000229964462</v>
      </c>
      <c r="J366" s="34">
        <v>11.7445834962148</v>
      </c>
      <c r="K366" s="34"/>
      <c r="L366" s="34">
        <v>12.0632503469926</v>
      </c>
      <c r="M366" s="34"/>
      <c r="N366" s="34"/>
      <c r="O366" s="34"/>
      <c r="P366" s="34"/>
      <c r="Q366" s="34"/>
      <c r="R366" s="34"/>
      <c r="S366" s="34"/>
      <c r="T366" s="34"/>
      <c r="U366" s="34"/>
      <c r="V366" s="34">
        <v>12.6327834024112</v>
      </c>
      <c r="W366" s="34">
        <v>3</v>
      </c>
      <c r="AG366" s="232" t="s">
        <v>442</v>
      </c>
      <c r="AI366">
        <v>1</v>
      </c>
      <c r="AJ366">
        <v>1.00566380610023</v>
      </c>
      <c r="AK366">
        <v>1.03398283660137</v>
      </c>
      <c r="AL366">
        <v>1.05380147225352</v>
      </c>
      <c r="AM366">
        <v>1.07191818270051</v>
      </c>
      <c r="AN366">
        <v>1.08975830839221</v>
      </c>
      <c r="AO366">
        <v>1.108976099595</v>
      </c>
      <c r="AP366">
        <v>1.13035083122775</v>
      </c>
      <c r="AQ366">
        <v>1.14952830906317</v>
      </c>
      <c r="AR366">
        <v>1.16580474350217</v>
      </c>
      <c r="AS366">
        <v>1.17840740324494</v>
      </c>
      <c r="AT366">
        <v>1.18938864766694</v>
      </c>
      <c r="AU366">
        <v>1.19927395274811</v>
      </c>
      <c r="AV366">
        <v>1.20718682408651</v>
      </c>
      <c r="AW366">
        <v>1.21211463663389</v>
      </c>
      <c r="AX366">
        <v>1.21380242294789</v>
      </c>
      <c r="AY366">
        <v>1.21250853913074</v>
      </c>
      <c r="AZ366">
        <v>1.20846469940706</v>
      </c>
      <c r="BA366">
        <v>0</v>
      </c>
      <c r="BB366">
        <v>0</v>
      </c>
      <c r="BC366">
        <v>0</v>
      </c>
      <c r="BD366">
        <v>0</v>
      </c>
      <c r="BE366">
        <v>0</v>
      </c>
      <c r="BF366">
        <v>0</v>
      </c>
      <c r="BG366">
        <v>0</v>
      </c>
      <c r="BH366">
        <v>0</v>
      </c>
      <c r="BJ366" t="s">
        <v>452</v>
      </c>
      <c r="BL366">
        <v>0.8</v>
      </c>
      <c r="BM366">
        <v>0.797560975609756</v>
      </c>
      <c r="BN366">
        <v>0.785365853658536</v>
      </c>
      <c r="BO366">
        <v>0.773170731707317</v>
      </c>
      <c r="BP366">
        <v>0.760975609756097</v>
      </c>
      <c r="BQ366">
        <v>0.748780487804878</v>
      </c>
      <c r="BR366">
        <v>0.736585365853658</v>
      </c>
      <c r="BS366">
        <v>0.724390243902439</v>
      </c>
      <c r="BT366">
        <v>0.71219512195122</v>
      </c>
      <c r="BU366">
        <v>0.699999999999999</v>
      </c>
      <c r="BV366">
        <v>0.687499999999999</v>
      </c>
      <c r="BW366">
        <v>0.675</v>
      </c>
      <c r="BX366">
        <v>0.6625</v>
      </c>
      <c r="BY366">
        <v>0.649999999999999</v>
      </c>
      <c r="BZ366">
        <v>0.637499999999999</v>
      </c>
      <c r="CA366">
        <v>0.625</v>
      </c>
      <c r="CB366">
        <v>0.6125</v>
      </c>
      <c r="CC366">
        <v>0.6</v>
      </c>
      <c r="CD366" t="e">
        <v>#VALUE!</v>
      </c>
      <c r="CE366" t="e">
        <v>#VALUE!</v>
      </c>
      <c r="CF366" t="e">
        <v>#VALUE!</v>
      </c>
      <c r="CG366" t="e">
        <v>#VALUE!</v>
      </c>
      <c r="CH366" t="e">
        <v>#VALUE!</v>
      </c>
      <c r="CI366" t="e">
        <v>#VALUE!</v>
      </c>
      <c r="CJ366" t="e">
        <v>#VALUE!</v>
      </c>
      <c r="CK366" t="e">
        <v>#VALUE!</v>
      </c>
    </row>
    <row r="367" spans="1:89">
      <c r="A367" s="34" t="s">
        <v>34</v>
      </c>
      <c r="B367" s="34" t="s">
        <v>443</v>
      </c>
      <c r="C367" s="34" t="s">
        <v>443</v>
      </c>
      <c r="D367" s="34"/>
      <c r="E367" s="34">
        <v>1.5612086088509</v>
      </c>
      <c r="F367" s="34">
        <f xml:space="preserve">E367</f>
        <v>1.5612086088509</v>
      </c>
      <c r="G367" s="34"/>
      <c r="H367" s="34"/>
      <c r="I367" s="34">
        <f xml:space="preserve">F367</f>
        <v>1.5612086088509</v>
      </c>
      <c r="J367" s="34">
        <f xml:space="preserve">I367</f>
        <v>1.5612086088509</v>
      </c>
      <c r="K367" s="34"/>
      <c r="L367" s="34">
        <f xml:space="preserve">J367</f>
        <v>1.5612086088509</v>
      </c>
      <c r="M367" s="34"/>
      <c r="N367" s="34"/>
      <c r="O367" s="34"/>
      <c r="P367" s="34"/>
      <c r="Q367" s="34"/>
      <c r="R367" s="34"/>
      <c r="S367" s="34"/>
      <c r="T367" s="34"/>
      <c r="U367" s="34"/>
      <c r="V367" s="34">
        <f xml:space="preserve">L367</f>
        <v>1.5612086088509</v>
      </c>
      <c r="W367" s="34">
        <v>3</v>
      </c>
      <c r="AG367" s="232" t="s">
        <v>437</v>
      </c>
      <c r="AI367">
        <v>1</v>
      </c>
      <c r="AJ367">
        <v>1.01014620275503</v>
      </c>
      <c r="AK367">
        <v>1.12738821387204</v>
      </c>
      <c r="AL367">
        <v>1.19071587294486</v>
      </c>
      <c r="AM367">
        <v>1.25597341974685</v>
      </c>
      <c r="AN367">
        <v>1.31575732913481</v>
      </c>
      <c r="AO367">
        <v>1.37456830524255</v>
      </c>
      <c r="AP367">
        <v>1.43391013363274</v>
      </c>
      <c r="AQ367">
        <v>1.4945267176711</v>
      </c>
      <c r="AR367">
        <v>1.55938656911768</v>
      </c>
      <c r="AS367">
        <v>1.62911108696532</v>
      </c>
      <c r="AT367">
        <v>1.70037134803812</v>
      </c>
      <c r="AU367">
        <v>1.77032134494888</v>
      </c>
      <c r="AV367">
        <v>1.83536406524192</v>
      </c>
      <c r="AW367">
        <v>1.89354476522836</v>
      </c>
      <c r="AX367">
        <v>1.94497884757828</v>
      </c>
      <c r="AY367">
        <v>1.99044749959698</v>
      </c>
      <c r="AZ367">
        <v>2.02968440743037</v>
      </c>
      <c r="BA367">
        <v>0</v>
      </c>
      <c r="BB367">
        <v>0</v>
      </c>
      <c r="BC367">
        <v>0</v>
      </c>
      <c r="BD367">
        <v>0</v>
      </c>
      <c r="BE367">
        <v>0</v>
      </c>
      <c r="BF367">
        <v>0</v>
      </c>
      <c r="BG367">
        <v>0</v>
      </c>
      <c r="BH367">
        <v>0</v>
      </c>
      <c r="BJ367" t="s">
        <v>452</v>
      </c>
      <c r="BL367">
        <v>0.8</v>
      </c>
      <c r="BM367">
        <v>0.797560975609756</v>
      </c>
      <c r="BN367">
        <v>0.785365853658536</v>
      </c>
      <c r="BO367">
        <v>0.773170731707317</v>
      </c>
      <c r="BP367">
        <v>0.760975609756097</v>
      </c>
      <c r="BQ367">
        <v>0.748780487804878</v>
      </c>
      <c r="BR367">
        <v>0.736585365853658</v>
      </c>
      <c r="BS367">
        <v>0.724390243902439</v>
      </c>
      <c r="BT367">
        <v>0.71219512195122</v>
      </c>
      <c r="BU367">
        <v>0.699999999999999</v>
      </c>
      <c r="BV367">
        <v>0.687499999999999</v>
      </c>
      <c r="BW367">
        <v>0.675</v>
      </c>
      <c r="BX367">
        <v>0.6625</v>
      </c>
      <c r="BY367">
        <v>0.649999999999999</v>
      </c>
      <c r="BZ367">
        <v>0.637499999999999</v>
      </c>
      <c r="CA367">
        <v>0.625</v>
      </c>
      <c r="CB367">
        <v>0.6125</v>
      </c>
      <c r="CC367">
        <v>0.6</v>
      </c>
      <c r="CD367" t="e">
        <v>#VALUE!</v>
      </c>
      <c r="CE367" t="e">
        <v>#VALUE!</v>
      </c>
      <c r="CF367" t="e">
        <v>#VALUE!</v>
      </c>
      <c r="CG367" t="e">
        <v>#VALUE!</v>
      </c>
      <c r="CH367" t="e">
        <v>#VALUE!</v>
      </c>
      <c r="CI367" t="e">
        <v>#VALUE!</v>
      </c>
      <c r="CJ367" t="e">
        <v>#VALUE!</v>
      </c>
      <c r="CK367" t="e">
        <v>#VALUE!</v>
      </c>
    </row>
    <row r="368" spans="1:89">
      <c r="A368" s="34" t="s">
        <v>34</v>
      </c>
      <c r="B368" s="34" t="s">
        <v>444</v>
      </c>
      <c r="C368" s="34" t="s">
        <v>444</v>
      </c>
      <c r="D368" s="34"/>
      <c r="E368" s="34">
        <v>0.112388280015901</v>
      </c>
      <c r="F368" s="34">
        <f xml:space="preserve">E368</f>
        <v>0.112388280015901</v>
      </c>
      <c r="G368" s="34"/>
      <c r="H368" s="34"/>
      <c r="I368" s="34">
        <f xml:space="preserve">F368</f>
        <v>0.112388280015901</v>
      </c>
      <c r="J368" s="34">
        <f xml:space="preserve">I368</f>
        <v>0.112388280015901</v>
      </c>
      <c r="K368" s="34"/>
      <c r="L368" s="34">
        <f xml:space="preserve">J368</f>
        <v>0.112388280015901</v>
      </c>
      <c r="M368" s="34"/>
      <c r="N368" s="34"/>
      <c r="O368" s="34"/>
      <c r="P368" s="34"/>
      <c r="Q368" s="34"/>
      <c r="R368" s="34"/>
      <c r="S368" s="34"/>
      <c r="T368" s="34"/>
      <c r="U368" s="34"/>
      <c r="V368" s="34">
        <f xml:space="preserve">L368</f>
        <v>0.112388280015901</v>
      </c>
      <c r="W368" s="34">
        <v>3</v>
      </c>
      <c r="AG368" s="232" t="s">
        <v>437</v>
      </c>
      <c r="AI368">
        <v>1</v>
      </c>
      <c r="AJ368">
        <v>1.01014620275503</v>
      </c>
      <c r="AK368">
        <v>1.12738821387204</v>
      </c>
      <c r="AL368">
        <v>1.19071587294486</v>
      </c>
      <c r="AM368">
        <v>1.25597341974685</v>
      </c>
      <c r="AN368">
        <v>1.31575732913481</v>
      </c>
      <c r="AO368">
        <v>1.37456830524255</v>
      </c>
      <c r="AP368">
        <v>1.43391013363274</v>
      </c>
      <c r="AQ368">
        <v>1.4945267176711</v>
      </c>
      <c r="AR368">
        <v>1.55938656911768</v>
      </c>
      <c r="AS368">
        <v>1.62911108696532</v>
      </c>
      <c r="AT368">
        <v>1.70037134803812</v>
      </c>
      <c r="AU368">
        <v>1.77032134494888</v>
      </c>
      <c r="AV368">
        <v>1.83536406524192</v>
      </c>
      <c r="AW368">
        <v>1.89354476522836</v>
      </c>
      <c r="AX368">
        <v>1.94497884757828</v>
      </c>
      <c r="AY368">
        <v>1.99044749959698</v>
      </c>
      <c r="AZ368">
        <v>2.02968440743037</v>
      </c>
      <c r="BA368">
        <v>0</v>
      </c>
      <c r="BB368">
        <v>0</v>
      </c>
      <c r="BC368">
        <v>0</v>
      </c>
      <c r="BD368">
        <v>0</v>
      </c>
      <c r="BE368">
        <v>0</v>
      </c>
      <c r="BF368">
        <v>0</v>
      </c>
      <c r="BG368">
        <v>0</v>
      </c>
      <c r="BH368">
        <v>0</v>
      </c>
      <c r="BJ368" t="s">
        <v>452</v>
      </c>
      <c r="BL368">
        <v>0.8</v>
      </c>
      <c r="BM368">
        <v>0.797560975609756</v>
      </c>
      <c r="BN368">
        <v>0.785365853658536</v>
      </c>
      <c r="BO368">
        <v>0.773170731707317</v>
      </c>
      <c r="BP368">
        <v>0.760975609756097</v>
      </c>
      <c r="BQ368">
        <v>0.748780487804878</v>
      </c>
      <c r="BR368">
        <v>0.736585365853658</v>
      </c>
      <c r="BS368">
        <v>0.724390243902439</v>
      </c>
      <c r="BT368">
        <v>0.71219512195122</v>
      </c>
      <c r="BU368">
        <v>0.699999999999999</v>
      </c>
      <c r="BV368">
        <v>0.687499999999999</v>
      </c>
      <c r="BW368">
        <v>0.675</v>
      </c>
      <c r="BX368">
        <v>0.6625</v>
      </c>
      <c r="BY368">
        <v>0.649999999999999</v>
      </c>
      <c r="BZ368">
        <v>0.637499999999999</v>
      </c>
      <c r="CA368">
        <v>0.625</v>
      </c>
      <c r="CB368">
        <v>0.6125</v>
      </c>
      <c r="CC368">
        <v>0.6</v>
      </c>
      <c r="CD368" t="e">
        <v>#VALUE!</v>
      </c>
      <c r="CE368" t="e">
        <v>#VALUE!</v>
      </c>
      <c r="CF368" t="e">
        <v>#VALUE!</v>
      </c>
      <c r="CG368" t="e">
        <v>#VALUE!</v>
      </c>
      <c r="CH368" t="e">
        <v>#VALUE!</v>
      </c>
      <c r="CI368" t="e">
        <v>#VALUE!</v>
      </c>
      <c r="CJ368" t="e">
        <v>#VALUE!</v>
      </c>
      <c r="CK368" t="e">
        <v>#VALUE!</v>
      </c>
    </row>
    <row r="369" spans="1:89">
      <c r="A369" s="34" t="s">
        <v>34</v>
      </c>
      <c r="B369" s="34" t="s">
        <v>445</v>
      </c>
      <c r="C369" s="34" t="s">
        <v>445</v>
      </c>
      <c r="D369" s="34">
        <v>0.483</v>
      </c>
      <c r="E369" s="34">
        <v>0.48518182243726</v>
      </c>
      <c r="F369" s="34"/>
      <c r="G369" s="34">
        <v>0.495911881130451</v>
      </c>
      <c r="H369" s="34">
        <v>0.503261085804945</v>
      </c>
      <c r="I369" s="34">
        <v>0.509845007087426</v>
      </c>
      <c r="J369" s="34">
        <v>0.516198740097412</v>
      </c>
      <c r="K369" s="34">
        <v>0.522903964366043</v>
      </c>
      <c r="L369" s="34">
        <v>0.530204807399444</v>
      </c>
      <c r="M369" s="34">
        <v>0.536611308238805</v>
      </c>
      <c r="N369" s="34">
        <v>0.541929909874136</v>
      </c>
      <c r="O369" s="34">
        <v>0.545957564444029</v>
      </c>
      <c r="P369" s="34">
        <v>0.549391710456534</v>
      </c>
      <c r="Q369" s="34">
        <v>0.552416772406551</v>
      </c>
      <c r="R369" s="34">
        <v>0.554785940721169</v>
      </c>
      <c r="S369" s="34">
        <v>0.556229668551109</v>
      </c>
      <c r="T369" s="34">
        <v>0.556713738288434</v>
      </c>
      <c r="U369" s="34">
        <v>0.556350254276603</v>
      </c>
      <c r="V369" s="34">
        <v>0.555236963349941</v>
      </c>
      <c r="W369" s="34">
        <v>3</v>
      </c>
      <c r="AG369" s="232" t="s">
        <v>442</v>
      </c>
      <c r="AI369">
        <v>1</v>
      </c>
      <c r="AJ369">
        <v>1.00566380610023</v>
      </c>
      <c r="AK369">
        <v>1.03398283660137</v>
      </c>
      <c r="AL369">
        <v>1.05380147225352</v>
      </c>
      <c r="AM369">
        <v>1.07191818270051</v>
      </c>
      <c r="AN369">
        <v>1.08975830839221</v>
      </c>
      <c r="AO369">
        <v>1.108976099595</v>
      </c>
      <c r="AP369">
        <v>1.13035083122775</v>
      </c>
      <c r="AQ369">
        <v>1.14952830906317</v>
      </c>
      <c r="AR369">
        <v>1.16580474350217</v>
      </c>
      <c r="AS369">
        <v>1.17840740324494</v>
      </c>
      <c r="AT369">
        <v>1.18938864766694</v>
      </c>
      <c r="AU369">
        <v>1.19927395274811</v>
      </c>
      <c r="AV369">
        <v>1.20718682408651</v>
      </c>
      <c r="AW369">
        <v>1.21211463663389</v>
      </c>
      <c r="AX369">
        <v>1.21380242294789</v>
      </c>
      <c r="AY369">
        <v>1.21250853913074</v>
      </c>
      <c r="AZ369">
        <v>1.20846469940706</v>
      </c>
      <c r="BA369">
        <v>0</v>
      </c>
      <c r="BB369">
        <v>0</v>
      </c>
      <c r="BC369">
        <v>0</v>
      </c>
      <c r="BD369">
        <v>0</v>
      </c>
      <c r="BE369">
        <v>0</v>
      </c>
      <c r="BF369">
        <v>0</v>
      </c>
      <c r="BG369">
        <v>0</v>
      </c>
      <c r="BH369">
        <v>0</v>
      </c>
      <c r="BJ369" t="s">
        <v>452</v>
      </c>
      <c r="BL369">
        <v>0.8</v>
      </c>
      <c r="BM369">
        <v>0.797560975609756</v>
      </c>
      <c r="BN369">
        <v>0.785365853658536</v>
      </c>
      <c r="BO369">
        <v>0.773170731707317</v>
      </c>
      <c r="BP369">
        <v>0.760975609756097</v>
      </c>
      <c r="BQ369">
        <v>0.748780487804878</v>
      </c>
      <c r="BR369">
        <v>0.736585365853658</v>
      </c>
      <c r="BS369">
        <v>0.724390243902439</v>
      </c>
      <c r="BT369">
        <v>0.71219512195122</v>
      </c>
      <c r="BU369">
        <v>0.699999999999999</v>
      </c>
      <c r="BV369">
        <v>0.687499999999999</v>
      </c>
      <c r="BW369">
        <v>0.675</v>
      </c>
      <c r="BX369">
        <v>0.6625</v>
      </c>
      <c r="BY369">
        <v>0.649999999999999</v>
      </c>
      <c r="BZ369">
        <v>0.637499999999999</v>
      </c>
      <c r="CA369">
        <v>0.625</v>
      </c>
      <c r="CB369">
        <v>0.6125</v>
      </c>
      <c r="CC369">
        <v>0.6</v>
      </c>
      <c r="CD369" t="e">
        <v>#VALUE!</v>
      </c>
      <c r="CE369" t="e">
        <v>#VALUE!</v>
      </c>
      <c r="CF369" t="e">
        <v>#VALUE!</v>
      </c>
      <c r="CG369" t="e">
        <v>#VALUE!</v>
      </c>
      <c r="CH369" t="e">
        <v>#VALUE!</v>
      </c>
      <c r="CI369" t="e">
        <v>#VALUE!</v>
      </c>
      <c r="CJ369" t="e">
        <v>#VALUE!</v>
      </c>
      <c r="CK369" t="e">
        <v>#VALUE!</v>
      </c>
    </row>
    <row r="370" spans="1:89">
      <c r="A370" s="34" t="s">
        <v>34</v>
      </c>
      <c r="B370" s="34" t="s">
        <v>446</v>
      </c>
      <c r="C370" s="34" t="s">
        <v>446</v>
      </c>
      <c r="D370" s="34">
        <v>0.285</v>
      </c>
      <c r="E370" s="34">
        <v>0.286287410754905</v>
      </c>
      <c r="F370" s="34"/>
      <c r="G370" s="34">
        <v>0.29261881184716</v>
      </c>
      <c r="H370" s="34">
        <v>0.296955299077452</v>
      </c>
      <c r="I370" s="34">
        <v>0.300840221573326</v>
      </c>
      <c r="J370" s="34">
        <v>0.30458931869102</v>
      </c>
      <c r="K370" s="34">
        <v>0.308545817483069</v>
      </c>
      <c r="L370" s="34">
        <v>0.312853768341287</v>
      </c>
      <c r="M370" s="34">
        <v>0.316634001755817</v>
      </c>
      <c r="N370" s="34">
        <v>0.319772307068589</v>
      </c>
      <c r="O370" s="34">
        <v>0.322148873429706</v>
      </c>
      <c r="P370" s="34">
        <v>0.324175232878079</v>
      </c>
      <c r="Q370" s="34">
        <v>0.325960207320636</v>
      </c>
      <c r="R370" s="34">
        <v>0.327358163779572</v>
      </c>
      <c r="S370" s="34">
        <v>0.328210052871772</v>
      </c>
      <c r="T370" s="34">
        <v>0.328495684083237</v>
      </c>
      <c r="U370" s="34">
        <v>0.32828120593961</v>
      </c>
      <c r="V370" s="34">
        <v>0.327624295144375</v>
      </c>
      <c r="W370" s="34">
        <v>3</v>
      </c>
      <c r="AG370" s="232" t="s">
        <v>442</v>
      </c>
      <c r="AI370">
        <v>1</v>
      </c>
      <c r="AJ370">
        <v>1.00566380610023</v>
      </c>
      <c r="AK370">
        <v>1.03398283660137</v>
      </c>
      <c r="AL370">
        <v>1.05380147225352</v>
      </c>
      <c r="AM370">
        <v>1.07191818270051</v>
      </c>
      <c r="AN370">
        <v>1.08975830839221</v>
      </c>
      <c r="AO370">
        <v>1.108976099595</v>
      </c>
      <c r="AP370">
        <v>1.13035083122775</v>
      </c>
      <c r="AQ370">
        <v>1.14952830906317</v>
      </c>
      <c r="AR370">
        <v>1.16580474350217</v>
      </c>
      <c r="AS370">
        <v>1.17840740324494</v>
      </c>
      <c r="AT370">
        <v>1.18938864766694</v>
      </c>
      <c r="AU370">
        <v>1.19927395274811</v>
      </c>
      <c r="AV370">
        <v>1.20718682408651</v>
      </c>
      <c r="AW370">
        <v>1.21211463663389</v>
      </c>
      <c r="AX370">
        <v>1.21380242294789</v>
      </c>
      <c r="AY370">
        <v>1.21250853913074</v>
      </c>
      <c r="AZ370">
        <v>1.20846469940706</v>
      </c>
      <c r="BA370">
        <v>0</v>
      </c>
      <c r="BB370">
        <v>0</v>
      </c>
      <c r="BC370">
        <v>0</v>
      </c>
      <c r="BD370">
        <v>0</v>
      </c>
      <c r="BE370">
        <v>0</v>
      </c>
      <c r="BF370">
        <v>0</v>
      </c>
      <c r="BG370">
        <v>0</v>
      </c>
      <c r="BH370">
        <v>0</v>
      </c>
      <c r="BJ370" t="s">
        <v>452</v>
      </c>
      <c r="BL370">
        <v>0.8</v>
      </c>
      <c r="BM370">
        <v>0.797560975609756</v>
      </c>
      <c r="BN370">
        <v>0.785365853658536</v>
      </c>
      <c r="BO370">
        <v>0.773170731707317</v>
      </c>
      <c r="BP370">
        <v>0.760975609756097</v>
      </c>
      <c r="BQ370">
        <v>0.748780487804878</v>
      </c>
      <c r="BR370">
        <v>0.736585365853658</v>
      </c>
      <c r="BS370">
        <v>0.724390243902439</v>
      </c>
      <c r="BT370">
        <v>0.71219512195122</v>
      </c>
      <c r="BU370">
        <v>0.699999999999999</v>
      </c>
      <c r="BV370">
        <v>0.687499999999999</v>
      </c>
      <c r="BW370">
        <v>0.675</v>
      </c>
      <c r="BX370">
        <v>0.6625</v>
      </c>
      <c r="BY370">
        <v>0.649999999999999</v>
      </c>
      <c r="BZ370">
        <v>0.637499999999999</v>
      </c>
      <c r="CA370">
        <v>0.625</v>
      </c>
      <c r="CB370">
        <v>0.6125</v>
      </c>
      <c r="CC370">
        <v>0.6</v>
      </c>
      <c r="CD370" t="e">
        <v>#VALUE!</v>
      </c>
      <c r="CE370" t="e">
        <v>#VALUE!</v>
      </c>
      <c r="CF370" t="e">
        <v>#VALUE!</v>
      </c>
      <c r="CG370" t="e">
        <v>#VALUE!</v>
      </c>
      <c r="CH370" t="e">
        <v>#VALUE!</v>
      </c>
      <c r="CI370" t="e">
        <v>#VALUE!</v>
      </c>
      <c r="CJ370" t="e">
        <v>#VALUE!</v>
      </c>
      <c r="CK370" t="e">
        <v>#VALUE!</v>
      </c>
    </row>
    <row r="371" spans="1:89">
      <c r="A371" s="34" t="s">
        <v>34</v>
      </c>
      <c r="B371" s="34" t="s">
        <v>447</v>
      </c>
      <c r="C371" s="34" t="s">
        <v>447</v>
      </c>
      <c r="D371" s="34">
        <v>0.35</v>
      </c>
      <c r="E371" s="34">
        <v>0.351581030751637</v>
      </c>
      <c r="F371" s="34"/>
      <c r="G371" s="34">
        <v>0.359356435601776</v>
      </c>
      <c r="H371" s="34">
        <v>0.364681946235467</v>
      </c>
      <c r="I371" s="34">
        <v>0.369452903686541</v>
      </c>
      <c r="J371" s="34">
        <v>0.374057058041603</v>
      </c>
      <c r="K371" s="34">
        <v>0.378915916207278</v>
      </c>
      <c r="L371" s="34">
        <v>0.38420638217351</v>
      </c>
      <c r="M371" s="34">
        <v>0.388848774086091</v>
      </c>
      <c r="N371" s="34">
        <v>0.392702833242127</v>
      </c>
      <c r="O371" s="34">
        <v>0.395621423510166</v>
      </c>
      <c r="P371" s="34">
        <v>0.39810993511343</v>
      </c>
      <c r="Q371" s="34">
        <v>0.400302008990255</v>
      </c>
      <c r="R371" s="34">
        <v>0.402018797624036</v>
      </c>
      <c r="S371" s="34">
        <v>0.403064977210948</v>
      </c>
      <c r="T371" s="34">
        <v>0.403415752382923</v>
      </c>
      <c r="U371" s="34">
        <v>0.403152358171451</v>
      </c>
      <c r="V371" s="34">
        <v>0.402345625615899</v>
      </c>
      <c r="W371" s="34">
        <v>3</v>
      </c>
      <c r="AG371" s="232" t="s">
        <v>442</v>
      </c>
      <c r="AI371">
        <v>1</v>
      </c>
      <c r="AJ371">
        <v>1.00566380610023</v>
      </c>
      <c r="AK371">
        <v>1.03398283660137</v>
      </c>
      <c r="AL371">
        <v>1.05380147225352</v>
      </c>
      <c r="AM371">
        <v>1.07191818270051</v>
      </c>
      <c r="AN371">
        <v>1.08975830839221</v>
      </c>
      <c r="AO371">
        <v>1.108976099595</v>
      </c>
      <c r="AP371">
        <v>1.13035083122775</v>
      </c>
      <c r="AQ371">
        <v>1.14952830906317</v>
      </c>
      <c r="AR371">
        <v>1.16580474350217</v>
      </c>
      <c r="AS371">
        <v>1.17840740324494</v>
      </c>
      <c r="AT371">
        <v>1.18938864766694</v>
      </c>
      <c r="AU371">
        <v>1.19927395274811</v>
      </c>
      <c r="AV371">
        <v>1.20718682408651</v>
      </c>
      <c r="AW371">
        <v>1.21211463663389</v>
      </c>
      <c r="AX371">
        <v>1.21380242294789</v>
      </c>
      <c r="AY371">
        <v>1.21250853913074</v>
      </c>
      <c r="AZ371">
        <v>1.20846469940706</v>
      </c>
      <c r="BA371">
        <v>0</v>
      </c>
      <c r="BB371">
        <v>0</v>
      </c>
      <c r="BC371">
        <v>0</v>
      </c>
      <c r="BD371">
        <v>0</v>
      </c>
      <c r="BE371">
        <v>0</v>
      </c>
      <c r="BF371">
        <v>0</v>
      </c>
      <c r="BG371">
        <v>0</v>
      </c>
      <c r="BH371">
        <v>0</v>
      </c>
      <c r="BJ371" t="s">
        <v>452</v>
      </c>
      <c r="BL371">
        <v>0.8</v>
      </c>
      <c r="BM371">
        <v>0.797560975609756</v>
      </c>
      <c r="BN371">
        <v>0.785365853658536</v>
      </c>
      <c r="BO371">
        <v>0.773170731707317</v>
      </c>
      <c r="BP371">
        <v>0.760975609756097</v>
      </c>
      <c r="BQ371">
        <v>0.748780487804878</v>
      </c>
      <c r="BR371">
        <v>0.736585365853658</v>
      </c>
      <c r="BS371">
        <v>0.724390243902439</v>
      </c>
      <c r="BT371">
        <v>0.71219512195122</v>
      </c>
      <c r="BU371">
        <v>0.699999999999999</v>
      </c>
      <c r="BV371">
        <v>0.687499999999999</v>
      </c>
      <c r="BW371">
        <v>0.675</v>
      </c>
      <c r="BX371">
        <v>0.6625</v>
      </c>
      <c r="BY371">
        <v>0.649999999999999</v>
      </c>
      <c r="BZ371">
        <v>0.637499999999999</v>
      </c>
      <c r="CA371">
        <v>0.625</v>
      </c>
      <c r="CB371">
        <v>0.6125</v>
      </c>
      <c r="CC371">
        <v>0.6</v>
      </c>
      <c r="CD371" t="e">
        <v>#VALUE!</v>
      </c>
      <c r="CE371" t="e">
        <v>#VALUE!</v>
      </c>
      <c r="CF371" t="e">
        <v>#VALUE!</v>
      </c>
      <c r="CG371" t="e">
        <v>#VALUE!</v>
      </c>
      <c r="CH371" t="e">
        <v>#VALUE!</v>
      </c>
      <c r="CI371" t="e">
        <v>#VALUE!</v>
      </c>
      <c r="CJ371" t="e">
        <v>#VALUE!</v>
      </c>
      <c r="CK371" t="e">
        <v>#VALUE!</v>
      </c>
    </row>
    <row r="372" spans="1:89">
      <c r="A372" s="34" t="s">
        <v>34</v>
      </c>
      <c r="B372" s="34" t="s">
        <v>448</v>
      </c>
      <c r="C372" s="34" t="s">
        <v>448</v>
      </c>
      <c r="D372" s="34">
        <v>57.564</v>
      </c>
      <c r="E372" s="34">
        <v>57.7686314236342</v>
      </c>
      <c r="F372" s="34"/>
      <c r="G372" s="34">
        <v>61.6476017768071</v>
      </c>
      <c r="H372" s="34">
        <v>63.3782283286491</v>
      </c>
      <c r="I372" s="34">
        <v>65.1616423283287</v>
      </c>
      <c r="J372" s="34">
        <v>66.6473371182639</v>
      </c>
      <c r="K372" s="34">
        <v>67.9528530131528</v>
      </c>
      <c r="L372" s="34">
        <v>69.1069219435617</v>
      </c>
      <c r="M372" s="34">
        <v>70.3317254034313</v>
      </c>
      <c r="N372" s="34">
        <v>71.7511295394044</v>
      </c>
      <c r="O372" s="34">
        <v>73.4056181300633</v>
      </c>
      <c r="P372" s="34">
        <v>75.095493175947</v>
      </c>
      <c r="Q372" s="34">
        <v>76.7151909420303</v>
      </c>
      <c r="R372" s="34">
        <v>78.2083945540549</v>
      </c>
      <c r="S372" s="34">
        <v>79.5797583083369</v>
      </c>
      <c r="T372" s="34">
        <v>80.8597286074797</v>
      </c>
      <c r="U372" s="34">
        <v>82.0716199812662</v>
      </c>
      <c r="V372" s="34">
        <v>83.2103554351266</v>
      </c>
      <c r="W372" s="34">
        <v>3</v>
      </c>
      <c r="AG372" s="232" t="s">
        <v>449</v>
      </c>
      <c r="AI372">
        <v>1</v>
      </c>
      <c r="AJ372">
        <v>1.00445715220894</v>
      </c>
      <c r="AK372">
        <v>1.0903355200534</v>
      </c>
      <c r="AL372">
        <v>1.12992428298524</v>
      </c>
      <c r="AM372">
        <v>1.17170642313637</v>
      </c>
      <c r="AN372">
        <v>1.2073845356371</v>
      </c>
      <c r="AO372">
        <v>1.23949317369828</v>
      </c>
      <c r="AP372">
        <v>1.26855317306687</v>
      </c>
      <c r="AQ372">
        <v>1.30012171591415</v>
      </c>
      <c r="AR372">
        <v>1.3376052703587</v>
      </c>
      <c r="AS372">
        <v>1.38246847607992</v>
      </c>
      <c r="AT372">
        <v>1.42961793974871</v>
      </c>
      <c r="AU372">
        <v>1.47616092294194</v>
      </c>
      <c r="AV372">
        <v>1.52036456049854</v>
      </c>
      <c r="AW372">
        <v>1.56218290580736</v>
      </c>
      <c r="AX372">
        <v>1.6023850429089</v>
      </c>
      <c r="AY372">
        <v>1.64159462416979</v>
      </c>
      <c r="AZ372">
        <v>1.67955622404714</v>
      </c>
      <c r="BA372">
        <v>0</v>
      </c>
      <c r="BB372">
        <v>0</v>
      </c>
      <c r="BC372">
        <v>0</v>
      </c>
      <c r="BD372">
        <v>0</v>
      </c>
      <c r="BE372">
        <v>0</v>
      </c>
      <c r="BF372">
        <v>0</v>
      </c>
      <c r="BG372">
        <v>0</v>
      </c>
      <c r="BH372">
        <v>0</v>
      </c>
      <c r="BJ372" t="s">
        <v>452</v>
      </c>
      <c r="BL372">
        <v>0.8</v>
      </c>
      <c r="BM372">
        <v>0.797560975609756</v>
      </c>
      <c r="BN372">
        <v>0.785365853658536</v>
      </c>
      <c r="BO372">
        <v>0.773170731707317</v>
      </c>
      <c r="BP372">
        <v>0.760975609756097</v>
      </c>
      <c r="BQ372">
        <v>0.748780487804878</v>
      </c>
      <c r="BR372">
        <v>0.736585365853658</v>
      </c>
      <c r="BS372">
        <v>0.724390243902439</v>
      </c>
      <c r="BT372">
        <v>0.71219512195122</v>
      </c>
      <c r="BU372">
        <v>0.699999999999999</v>
      </c>
      <c r="BV372">
        <v>0.687499999999999</v>
      </c>
      <c r="BW372">
        <v>0.675</v>
      </c>
      <c r="BX372">
        <v>0.6625</v>
      </c>
      <c r="BY372">
        <v>0.649999999999999</v>
      </c>
      <c r="BZ372">
        <v>0.637499999999999</v>
      </c>
      <c r="CA372">
        <v>0.625</v>
      </c>
      <c r="CB372">
        <v>0.6125</v>
      </c>
      <c r="CC372">
        <v>0.6</v>
      </c>
      <c r="CD372" t="e">
        <v>#VALUE!</v>
      </c>
      <c r="CE372" t="e">
        <v>#VALUE!</v>
      </c>
      <c r="CF372" t="e">
        <v>#VALUE!</v>
      </c>
      <c r="CG372" t="e">
        <v>#VALUE!</v>
      </c>
      <c r="CH372" t="e">
        <v>#VALUE!</v>
      </c>
      <c r="CI372" t="e">
        <v>#VALUE!</v>
      </c>
      <c r="CJ372" t="e">
        <v>#VALUE!</v>
      </c>
      <c r="CK372" t="e">
        <v>#VALUE!</v>
      </c>
    </row>
    <row r="373" spans="1:89">
      <c r="A373" s="34" t="s">
        <v>34</v>
      </c>
      <c r="B373" s="34" t="s">
        <v>450</v>
      </c>
      <c r="C373" s="34" t="s">
        <v>450</v>
      </c>
      <c r="D373" s="34">
        <v>10.8</v>
      </c>
      <c r="E373" s="34">
        <v>10.8873959259748</v>
      </c>
      <c r="F373" s="34"/>
      <c r="G373" s="34">
        <v>11.8798148919975</v>
      </c>
      <c r="H373" s="34">
        <v>12.3957618110037</v>
      </c>
      <c r="I373" s="34">
        <v>12.9127332617682</v>
      </c>
      <c r="J373" s="34">
        <v>13.372964996019</v>
      </c>
      <c r="K373" s="34">
        <v>13.8132494830826</v>
      </c>
      <c r="L373" s="34">
        <v>14.245228892024</v>
      </c>
      <c r="M373" s="34">
        <v>14.6741110222106</v>
      </c>
      <c r="N373" s="34">
        <v>15.1198925895994</v>
      </c>
      <c r="O373" s="34">
        <v>15.5846786975454</v>
      </c>
      <c r="P373" s="34">
        <v>16.0448275419587</v>
      </c>
      <c r="Q373" s="34">
        <v>16.4821128210633</v>
      </c>
      <c r="R373" s="34">
        <v>16.8757288993681</v>
      </c>
      <c r="S373" s="34">
        <v>17.216764287631</v>
      </c>
      <c r="T373" s="34">
        <v>17.5090495851687</v>
      </c>
      <c r="U373" s="34">
        <v>17.7597562400516</v>
      </c>
      <c r="V373" s="34">
        <v>17.9698108892324</v>
      </c>
      <c r="W373" s="34">
        <v>3</v>
      </c>
      <c r="AG373" s="232" t="s">
        <v>437</v>
      </c>
      <c r="AI373">
        <v>1</v>
      </c>
      <c r="AJ373">
        <v>1.01014620275503</v>
      </c>
      <c r="AK373">
        <v>1.12738821387204</v>
      </c>
      <c r="AL373">
        <v>1.19071587294486</v>
      </c>
      <c r="AM373">
        <v>1.25597341974685</v>
      </c>
      <c r="AN373">
        <v>1.31575732913481</v>
      </c>
      <c r="AO373">
        <v>1.37456830524255</v>
      </c>
      <c r="AP373">
        <v>1.43391013363274</v>
      </c>
      <c r="AQ373">
        <v>1.4945267176711</v>
      </c>
      <c r="AR373">
        <v>1.55938656911768</v>
      </c>
      <c r="AS373">
        <v>1.62911108696532</v>
      </c>
      <c r="AT373">
        <v>1.70037134803812</v>
      </c>
      <c r="AU373">
        <v>1.77032134494888</v>
      </c>
      <c r="AV373">
        <v>1.83536406524192</v>
      </c>
      <c r="AW373">
        <v>1.89354476522836</v>
      </c>
      <c r="AX373">
        <v>1.94497884757828</v>
      </c>
      <c r="AY373">
        <v>1.99044749959698</v>
      </c>
      <c r="AZ373">
        <v>2.02968440743037</v>
      </c>
      <c r="BA373">
        <v>0</v>
      </c>
      <c r="BB373">
        <v>0</v>
      </c>
      <c r="BC373">
        <v>0</v>
      </c>
      <c r="BD373">
        <v>0</v>
      </c>
      <c r="BE373">
        <v>0</v>
      </c>
      <c r="BF373">
        <v>0</v>
      </c>
      <c r="BG373">
        <v>0</v>
      </c>
      <c r="BH373">
        <v>0</v>
      </c>
      <c r="BJ373" t="s">
        <v>452</v>
      </c>
      <c r="BL373">
        <v>0.8</v>
      </c>
      <c r="BM373">
        <v>0.797560975609756</v>
      </c>
      <c r="BN373">
        <v>0.785365853658536</v>
      </c>
      <c r="BO373">
        <v>0.773170731707317</v>
      </c>
      <c r="BP373">
        <v>0.760975609756097</v>
      </c>
      <c r="BQ373">
        <v>0.748780487804878</v>
      </c>
      <c r="BR373">
        <v>0.736585365853658</v>
      </c>
      <c r="BS373">
        <v>0.724390243902439</v>
      </c>
      <c r="BT373">
        <v>0.71219512195122</v>
      </c>
      <c r="BU373">
        <v>0.699999999999999</v>
      </c>
      <c r="BV373">
        <v>0.687499999999999</v>
      </c>
      <c r="BW373">
        <v>0.675</v>
      </c>
      <c r="BX373">
        <v>0.6625</v>
      </c>
      <c r="BY373">
        <v>0.649999999999999</v>
      </c>
      <c r="BZ373">
        <v>0.637499999999999</v>
      </c>
      <c r="CA373">
        <v>0.625</v>
      </c>
      <c r="CB373">
        <v>0.6125</v>
      </c>
      <c r="CC373">
        <v>0.6</v>
      </c>
      <c r="CD373" t="e">
        <v>#VALUE!</v>
      </c>
      <c r="CE373" t="e">
        <v>#VALUE!</v>
      </c>
      <c r="CF373" t="e">
        <v>#VALUE!</v>
      </c>
      <c r="CG373" t="e">
        <v>#VALUE!</v>
      </c>
      <c r="CH373" t="e">
        <v>#VALUE!</v>
      </c>
      <c r="CI373" t="e">
        <v>#VALUE!</v>
      </c>
      <c r="CJ373" t="e">
        <v>#VALUE!</v>
      </c>
      <c r="CK373" t="e">
        <v>#VALUE!</v>
      </c>
    </row>
    <row r="374" spans="1:89">
      <c r="A374" s="34" t="s">
        <v>34</v>
      </c>
      <c r="B374" s="34" t="s">
        <v>451</v>
      </c>
      <c r="C374" s="34" t="s">
        <v>451</v>
      </c>
      <c r="D374" s="34">
        <v>6.56</v>
      </c>
      <c r="E374" s="34">
        <v>6.61308493281432</v>
      </c>
      <c r="F374" s="34"/>
      <c r="G374" s="34">
        <v>7.21588756402812</v>
      </c>
      <c r="H374" s="34">
        <v>7.52927754446151</v>
      </c>
      <c r="I374" s="34">
        <v>7.84328983307403</v>
      </c>
      <c r="J374" s="34">
        <v>8.12283799758193</v>
      </c>
      <c r="K374" s="34">
        <v>8.39027005639093</v>
      </c>
      <c r="L374" s="34">
        <v>8.6526575492294</v>
      </c>
      <c r="M374" s="34">
        <v>8.91316373200939</v>
      </c>
      <c r="N374" s="34">
        <v>9.18393475812702</v>
      </c>
      <c r="O374" s="34">
        <v>9.46624928295352</v>
      </c>
      <c r="P374" s="34">
        <v>9.74574709956007</v>
      </c>
      <c r="Q374" s="34">
        <v>10.0113574172384</v>
      </c>
      <c r="R374" s="34">
        <v>10.2504427388755</v>
      </c>
      <c r="S374" s="34">
        <v>10.4575901598944</v>
      </c>
      <c r="T374" s="34">
        <v>10.6351264146951</v>
      </c>
      <c r="U374" s="34">
        <v>10.7874074939572</v>
      </c>
      <c r="V374" s="34">
        <v>10.91499624383</v>
      </c>
      <c r="W374" s="34">
        <v>3</v>
      </c>
      <c r="AG374" s="232" t="s">
        <v>437</v>
      </c>
      <c r="AI374">
        <v>1</v>
      </c>
      <c r="AJ374">
        <v>1.01014620275503</v>
      </c>
      <c r="AK374">
        <v>1.12738821387204</v>
      </c>
      <c r="AL374">
        <v>1.19071587294486</v>
      </c>
      <c r="AM374">
        <v>1.25597341974685</v>
      </c>
      <c r="AN374">
        <v>1.31575732913481</v>
      </c>
      <c r="AO374">
        <v>1.37456830524255</v>
      </c>
      <c r="AP374">
        <v>1.43391013363274</v>
      </c>
      <c r="AQ374">
        <v>1.4945267176711</v>
      </c>
      <c r="AR374">
        <v>1.55938656911768</v>
      </c>
      <c r="AS374">
        <v>1.62911108696532</v>
      </c>
      <c r="AT374">
        <v>1.70037134803812</v>
      </c>
      <c r="AU374">
        <v>1.77032134494888</v>
      </c>
      <c r="AV374">
        <v>1.83536406524192</v>
      </c>
      <c r="AW374">
        <v>1.89354476522836</v>
      </c>
      <c r="AX374">
        <v>1.94497884757828</v>
      </c>
      <c r="AY374">
        <v>1.99044749959698</v>
      </c>
      <c r="AZ374">
        <v>2.02968440743037</v>
      </c>
      <c r="BA374">
        <v>0</v>
      </c>
      <c r="BB374">
        <v>0</v>
      </c>
      <c r="BC374">
        <v>0</v>
      </c>
      <c r="BD374">
        <v>0</v>
      </c>
      <c r="BE374">
        <v>0</v>
      </c>
      <c r="BF374">
        <v>0</v>
      </c>
      <c r="BG374">
        <v>0</v>
      </c>
      <c r="BH374">
        <v>0</v>
      </c>
      <c r="BJ374" t="s">
        <v>452</v>
      </c>
      <c r="BL374">
        <v>0.8</v>
      </c>
      <c r="BM374">
        <v>0.797560975609756</v>
      </c>
      <c r="BN374">
        <v>0.785365853658536</v>
      </c>
      <c r="BO374">
        <v>0.773170731707317</v>
      </c>
      <c r="BP374">
        <v>0.760975609756097</v>
      </c>
      <c r="BQ374">
        <v>0.748780487804878</v>
      </c>
      <c r="BR374">
        <v>0.736585365853658</v>
      </c>
      <c r="BS374">
        <v>0.724390243902439</v>
      </c>
      <c r="BT374">
        <v>0.71219512195122</v>
      </c>
      <c r="BU374">
        <v>0.699999999999999</v>
      </c>
      <c r="BV374">
        <v>0.687499999999999</v>
      </c>
      <c r="BW374">
        <v>0.675</v>
      </c>
      <c r="BX374">
        <v>0.6625</v>
      </c>
      <c r="BY374">
        <v>0.649999999999999</v>
      </c>
      <c r="BZ374">
        <v>0.637499999999999</v>
      </c>
      <c r="CA374">
        <v>0.625</v>
      </c>
      <c r="CB374">
        <v>0.6125</v>
      </c>
      <c r="CC374">
        <v>0.6</v>
      </c>
      <c r="CD374" t="e">
        <v>#VALUE!</v>
      </c>
      <c r="CE374" t="e">
        <v>#VALUE!</v>
      </c>
      <c r="CF374" t="e">
        <v>#VALUE!</v>
      </c>
      <c r="CG374" t="e">
        <v>#VALUE!</v>
      </c>
      <c r="CH374" t="e">
        <v>#VALUE!</v>
      </c>
      <c r="CI374" t="e">
        <v>#VALUE!</v>
      </c>
      <c r="CJ374" t="e">
        <v>#VALUE!</v>
      </c>
      <c r="CK374" t="e">
        <v>#VALUE!</v>
      </c>
    </row>
    <row r="375" spans="1:89">
      <c r="A375" s="34" t="s">
        <v>35</v>
      </c>
      <c r="B375" s="34" t="s">
        <v>436</v>
      </c>
      <c r="C375" s="34" t="s">
        <v>436</v>
      </c>
      <c r="D375" s="34"/>
      <c r="E375" s="34">
        <v>51.6742677900742</v>
      </c>
      <c r="F375" s="34">
        <f xml:space="preserve">E375</f>
        <v>51.6742677900742</v>
      </c>
      <c r="G375" s="34"/>
      <c r="H375" s="34"/>
      <c r="I375" s="34">
        <f xml:space="preserve">F375</f>
        <v>51.6742677900742</v>
      </c>
      <c r="J375" s="34">
        <f xml:space="preserve">I375</f>
        <v>51.6742677900742</v>
      </c>
      <c r="K375" s="34"/>
      <c r="L375" s="34">
        <f xml:space="preserve">J375</f>
        <v>51.6742677900742</v>
      </c>
      <c r="M375" s="34"/>
      <c r="N375" s="34"/>
      <c r="O375" s="34"/>
      <c r="P375" s="34"/>
      <c r="Q375" s="34"/>
      <c r="R375" s="34"/>
      <c r="S375" s="34"/>
      <c r="T375" s="34"/>
      <c r="U375" s="34"/>
      <c r="V375" s="34">
        <f xml:space="preserve">L375</f>
        <v>51.6742677900742</v>
      </c>
      <c r="W375" s="34">
        <v>3</v>
      </c>
      <c r="AG375" s="232" t="s">
        <v>437</v>
      </c>
      <c r="AI375">
        <v>1</v>
      </c>
      <c r="AJ375">
        <v>1.03070655003645</v>
      </c>
      <c r="AK375">
        <v>1.34428477211982</v>
      </c>
      <c r="AL375">
        <v>1.62652730049637</v>
      </c>
      <c r="AM375">
        <v>1.90676524697143</v>
      </c>
      <c r="AN375">
        <v>2.16523048352945</v>
      </c>
      <c r="AO375">
        <v>2.41021468985387</v>
      </c>
      <c r="AP375">
        <v>2.63742233329862</v>
      </c>
      <c r="AQ375">
        <v>2.85196032489847</v>
      </c>
      <c r="AR375">
        <v>3.05092592592593</v>
      </c>
      <c r="AS375">
        <v>3.22479520288799</v>
      </c>
      <c r="AT375">
        <v>3.36675170953521</v>
      </c>
      <c r="AU375">
        <v>3.48119945156028</v>
      </c>
      <c r="AV375">
        <v>3.57173973411087</v>
      </c>
      <c r="AW375">
        <v>3.64571835190392</v>
      </c>
      <c r="AX375">
        <v>3.70923582908119</v>
      </c>
      <c r="AY375">
        <v>3.76525998819813</v>
      </c>
      <c r="AZ375">
        <v>3.81412926516019</v>
      </c>
      <c r="BA375">
        <v>0</v>
      </c>
      <c r="BB375">
        <v>0</v>
      </c>
      <c r="BC375">
        <v>0</v>
      </c>
      <c r="BD375">
        <v>0</v>
      </c>
      <c r="BE375">
        <v>0</v>
      </c>
      <c r="BF375">
        <v>0</v>
      </c>
      <c r="BG375">
        <v>0</v>
      </c>
      <c r="BH375">
        <v>0</v>
      </c>
      <c r="BJ375" t="s">
        <v>452</v>
      </c>
      <c r="BL375">
        <v>0.8</v>
      </c>
      <c r="BM375">
        <v>0.797560975609756</v>
      </c>
      <c r="BN375">
        <v>0.785365853658536</v>
      </c>
      <c r="BO375">
        <v>0.773170731707317</v>
      </c>
      <c r="BP375">
        <v>0.760975609756097</v>
      </c>
      <c r="BQ375">
        <v>0.748780487804878</v>
      </c>
      <c r="BR375">
        <v>0.736585365853658</v>
      </c>
      <c r="BS375">
        <v>0.724390243902439</v>
      </c>
      <c r="BT375">
        <v>0.71219512195122</v>
      </c>
      <c r="BU375">
        <v>0.699999999999999</v>
      </c>
      <c r="BV375">
        <v>0.687499999999999</v>
      </c>
      <c r="BW375">
        <v>0.675</v>
      </c>
      <c r="BX375">
        <v>0.6625</v>
      </c>
      <c r="BY375">
        <v>0.649999999999999</v>
      </c>
      <c r="BZ375">
        <v>0.637499999999999</v>
      </c>
      <c r="CA375">
        <v>0.625</v>
      </c>
      <c r="CB375">
        <v>0.6125</v>
      </c>
      <c r="CC375">
        <v>0.6</v>
      </c>
      <c r="CD375" t="e">
        <v>#VALUE!</v>
      </c>
      <c r="CE375" t="e">
        <v>#VALUE!</v>
      </c>
      <c r="CF375" t="e">
        <v>#VALUE!</v>
      </c>
      <c r="CG375" t="e">
        <v>#VALUE!</v>
      </c>
      <c r="CH375" t="e">
        <v>#VALUE!</v>
      </c>
      <c r="CI375" t="e">
        <v>#VALUE!</v>
      </c>
      <c r="CJ375" t="e">
        <v>#VALUE!</v>
      </c>
      <c r="CK375" t="e">
        <v>#VALUE!</v>
      </c>
    </row>
    <row r="376" spans="1:89">
      <c r="A376" s="34" t="s">
        <v>35</v>
      </c>
      <c r="B376" s="34" t="s">
        <v>439</v>
      </c>
      <c r="C376" s="34" t="s">
        <v>439</v>
      </c>
      <c r="D376" s="34"/>
      <c r="E376" s="34">
        <v>188.943680282024</v>
      </c>
      <c r="F376" s="34">
        <f xml:space="preserve">E376</f>
        <v>188.943680282024</v>
      </c>
      <c r="G376" s="34"/>
      <c r="H376" s="34"/>
      <c r="I376" s="34">
        <f xml:space="preserve">F376</f>
        <v>188.943680282024</v>
      </c>
      <c r="J376" s="34">
        <f xml:space="preserve">I376</f>
        <v>188.943680282024</v>
      </c>
      <c r="K376" s="34"/>
      <c r="L376" s="34">
        <f xml:space="preserve">J376</f>
        <v>188.943680282024</v>
      </c>
      <c r="M376" s="34"/>
      <c r="N376" s="34"/>
      <c r="O376" s="34"/>
      <c r="P376" s="34"/>
      <c r="Q376" s="34"/>
      <c r="R376" s="34"/>
      <c r="S376" s="34"/>
      <c r="T376" s="34"/>
      <c r="U376" s="34"/>
      <c r="V376" s="34">
        <f xml:space="preserve">L376</f>
        <v>188.943680282024</v>
      </c>
      <c r="W376" s="34">
        <v>3</v>
      </c>
      <c r="AG376" s="232" t="s">
        <v>437</v>
      </c>
      <c r="AI376">
        <v>1</v>
      </c>
      <c r="AJ376">
        <v>1.03070655003645</v>
      </c>
      <c r="AK376">
        <v>1.34428477211982</v>
      </c>
      <c r="AL376">
        <v>1.62652730049637</v>
      </c>
      <c r="AM376">
        <v>1.90676524697143</v>
      </c>
      <c r="AN376">
        <v>2.16523048352945</v>
      </c>
      <c r="AO376">
        <v>2.41021468985387</v>
      </c>
      <c r="AP376">
        <v>2.63742233329862</v>
      </c>
      <c r="AQ376">
        <v>2.85196032489847</v>
      </c>
      <c r="AR376">
        <v>3.05092592592593</v>
      </c>
      <c r="AS376">
        <v>3.22479520288799</v>
      </c>
      <c r="AT376">
        <v>3.36675170953521</v>
      </c>
      <c r="AU376">
        <v>3.48119945156028</v>
      </c>
      <c r="AV376">
        <v>3.57173973411087</v>
      </c>
      <c r="AW376">
        <v>3.64571835190392</v>
      </c>
      <c r="AX376">
        <v>3.70923582908119</v>
      </c>
      <c r="AY376">
        <v>3.76525998819813</v>
      </c>
      <c r="AZ376">
        <v>3.81412926516019</v>
      </c>
      <c r="BA376">
        <v>0</v>
      </c>
      <c r="BB376">
        <v>0</v>
      </c>
      <c r="BC376">
        <v>0</v>
      </c>
      <c r="BD376">
        <v>0</v>
      </c>
      <c r="BE376">
        <v>0</v>
      </c>
      <c r="BF376">
        <v>0</v>
      </c>
      <c r="BG376">
        <v>0</v>
      </c>
      <c r="BH376">
        <v>0</v>
      </c>
      <c r="BJ376" t="s">
        <v>452</v>
      </c>
      <c r="BL376">
        <v>0.8</v>
      </c>
      <c r="BM376">
        <v>0.797560975609756</v>
      </c>
      <c r="BN376">
        <v>0.785365853658536</v>
      </c>
      <c r="BO376">
        <v>0.773170731707317</v>
      </c>
      <c r="BP376">
        <v>0.760975609756097</v>
      </c>
      <c r="BQ376">
        <v>0.748780487804878</v>
      </c>
      <c r="BR376">
        <v>0.736585365853658</v>
      </c>
      <c r="BS376">
        <v>0.724390243902439</v>
      </c>
      <c r="BT376">
        <v>0.71219512195122</v>
      </c>
      <c r="BU376">
        <v>0.699999999999999</v>
      </c>
      <c r="BV376">
        <v>0.687499999999999</v>
      </c>
      <c r="BW376">
        <v>0.675</v>
      </c>
      <c r="BX376">
        <v>0.6625</v>
      </c>
      <c r="BY376">
        <v>0.649999999999999</v>
      </c>
      <c r="BZ376">
        <v>0.637499999999999</v>
      </c>
      <c r="CA376">
        <v>0.625</v>
      </c>
      <c r="CB376">
        <v>0.6125</v>
      </c>
      <c r="CC376">
        <v>0.6</v>
      </c>
      <c r="CD376" t="e">
        <v>#VALUE!</v>
      </c>
      <c r="CE376" t="e">
        <v>#VALUE!</v>
      </c>
      <c r="CF376" t="e">
        <v>#VALUE!</v>
      </c>
      <c r="CG376" t="e">
        <v>#VALUE!</v>
      </c>
      <c r="CH376" t="e">
        <v>#VALUE!</v>
      </c>
      <c r="CI376" t="e">
        <v>#VALUE!</v>
      </c>
      <c r="CJ376" t="e">
        <v>#VALUE!</v>
      </c>
      <c r="CK376" t="e">
        <v>#VALUE!</v>
      </c>
    </row>
    <row r="377" spans="1:89">
      <c r="A377" s="34" t="s">
        <v>35</v>
      </c>
      <c r="B377" s="34" t="s">
        <v>440</v>
      </c>
      <c r="C377" s="34" t="s">
        <v>440</v>
      </c>
      <c r="D377" s="34"/>
      <c r="E377" s="34">
        <v>3.95764867674044</v>
      </c>
      <c r="F377" s="34"/>
      <c r="G377" s="34"/>
      <c r="H377" s="34"/>
      <c r="I377" s="34">
        <v>6.4464674603342</v>
      </c>
      <c r="J377" s="34">
        <v>7.10077394538316</v>
      </c>
      <c r="K377" s="34"/>
      <c r="L377" s="34">
        <v>8.21786107201598</v>
      </c>
      <c r="M377" s="34"/>
      <c r="N377" s="34"/>
      <c r="O377" s="34"/>
      <c r="P377" s="34"/>
      <c r="Q377" s="34"/>
      <c r="R377" s="34"/>
      <c r="S377" s="34"/>
      <c r="T377" s="34"/>
      <c r="U377" s="34"/>
      <c r="V377" s="34">
        <v>10.5694547388171</v>
      </c>
      <c r="W377" s="34">
        <v>3</v>
      </c>
      <c r="AG377" s="232" t="s">
        <v>437</v>
      </c>
      <c r="AI377">
        <v>1</v>
      </c>
      <c r="AJ377">
        <v>1.03070655003645</v>
      </c>
      <c r="AK377">
        <v>1.34428477211982</v>
      </c>
      <c r="AL377">
        <v>1.62652730049637</v>
      </c>
      <c r="AM377">
        <v>1.90676524697143</v>
      </c>
      <c r="AN377">
        <v>2.16523048352945</v>
      </c>
      <c r="AO377">
        <v>2.41021468985387</v>
      </c>
      <c r="AP377">
        <v>2.63742233329862</v>
      </c>
      <c r="AQ377">
        <v>2.85196032489847</v>
      </c>
      <c r="AR377">
        <v>3.05092592592593</v>
      </c>
      <c r="AS377">
        <v>3.22479520288799</v>
      </c>
      <c r="AT377">
        <v>3.36675170953521</v>
      </c>
      <c r="AU377">
        <v>3.48119945156028</v>
      </c>
      <c r="AV377">
        <v>3.57173973411087</v>
      </c>
      <c r="AW377">
        <v>3.64571835190392</v>
      </c>
      <c r="AX377">
        <v>3.70923582908119</v>
      </c>
      <c r="AY377">
        <v>3.76525998819813</v>
      </c>
      <c r="AZ377">
        <v>3.81412926516019</v>
      </c>
      <c r="BA377">
        <v>0</v>
      </c>
      <c r="BB377">
        <v>0</v>
      </c>
      <c r="BC377">
        <v>0</v>
      </c>
      <c r="BD377">
        <v>0</v>
      </c>
      <c r="BE377">
        <v>0</v>
      </c>
      <c r="BF377">
        <v>0</v>
      </c>
      <c r="BG377">
        <v>0</v>
      </c>
      <c r="BH377">
        <v>0</v>
      </c>
      <c r="BJ377" t="s">
        <v>452</v>
      </c>
      <c r="BL377">
        <v>0.8</v>
      </c>
      <c r="BM377">
        <v>0.797560975609756</v>
      </c>
      <c r="BN377">
        <v>0.785365853658536</v>
      </c>
      <c r="BO377">
        <v>0.773170731707317</v>
      </c>
      <c r="BP377">
        <v>0.760975609756097</v>
      </c>
      <c r="BQ377">
        <v>0.748780487804878</v>
      </c>
      <c r="BR377">
        <v>0.736585365853658</v>
      </c>
      <c r="BS377">
        <v>0.724390243902439</v>
      </c>
      <c r="BT377">
        <v>0.71219512195122</v>
      </c>
      <c r="BU377">
        <v>0.699999999999999</v>
      </c>
      <c r="BV377">
        <v>0.687499999999999</v>
      </c>
      <c r="BW377">
        <v>0.675</v>
      </c>
      <c r="BX377">
        <v>0.6625</v>
      </c>
      <c r="BY377">
        <v>0.649999999999999</v>
      </c>
      <c r="BZ377">
        <v>0.637499999999999</v>
      </c>
      <c r="CA377">
        <v>0.625</v>
      </c>
      <c r="CB377">
        <v>0.6125</v>
      </c>
      <c r="CC377">
        <v>0.6</v>
      </c>
      <c r="CD377" t="e">
        <v>#VALUE!</v>
      </c>
      <c r="CE377" t="e">
        <v>#VALUE!</v>
      </c>
      <c r="CF377" t="e">
        <v>#VALUE!</v>
      </c>
      <c r="CG377" t="e">
        <v>#VALUE!</v>
      </c>
      <c r="CH377" t="e">
        <v>#VALUE!</v>
      </c>
      <c r="CI377" t="e">
        <v>#VALUE!</v>
      </c>
      <c r="CJ377" t="e">
        <v>#VALUE!</v>
      </c>
      <c r="CK377" t="e">
        <v>#VALUE!</v>
      </c>
    </row>
    <row r="378" spans="1:89">
      <c r="A378" s="34" t="s">
        <v>35</v>
      </c>
      <c r="B378" s="34" t="s">
        <v>441</v>
      </c>
      <c r="C378" s="34" t="s">
        <v>441</v>
      </c>
      <c r="D378" s="34"/>
      <c r="E378" s="34">
        <v>5.66430246258363</v>
      </c>
      <c r="F378" s="34"/>
      <c r="G378" s="34"/>
      <c r="H378" s="34"/>
      <c r="I378" s="34">
        <v>6.10401954633122</v>
      </c>
      <c r="J378" s="34">
        <v>6.19700482916527</v>
      </c>
      <c r="K378" s="34"/>
      <c r="L378" s="34">
        <v>6.30371330506704</v>
      </c>
      <c r="M378" s="34"/>
      <c r="N378" s="34"/>
      <c r="O378" s="34"/>
      <c r="P378" s="34"/>
      <c r="Q378" s="34"/>
      <c r="R378" s="34"/>
      <c r="S378" s="34"/>
      <c r="T378" s="34"/>
      <c r="U378" s="34"/>
      <c r="V378" s="34">
        <v>5.7761418345808</v>
      </c>
      <c r="W378" s="34">
        <v>3</v>
      </c>
      <c r="AG378" s="232" t="s">
        <v>442</v>
      </c>
      <c r="AI378">
        <v>1</v>
      </c>
      <c r="AJ378">
        <v>1.00786822566407</v>
      </c>
      <c r="AK378">
        <v>1.04720935398443</v>
      </c>
      <c r="AL378">
        <v>1.0816769759546</v>
      </c>
      <c r="AM378">
        <v>1.10957813291271</v>
      </c>
      <c r="AN378">
        <v>1.13215177689108</v>
      </c>
      <c r="AO378">
        <v>1.14910195098027</v>
      </c>
      <c r="AP378">
        <v>1.15881636284435</v>
      </c>
      <c r="AQ378">
        <v>1.16158245541562</v>
      </c>
      <c r="AR378">
        <v>1.15725502209209</v>
      </c>
      <c r="AS378">
        <v>1.14748269594269</v>
      </c>
      <c r="AT378">
        <v>1.13394754062466</v>
      </c>
      <c r="AU378">
        <v>1.11752354956462</v>
      </c>
      <c r="AV378">
        <v>1.09870962017849</v>
      </c>
      <c r="AW378">
        <v>1.07797469463202</v>
      </c>
      <c r="AX378">
        <v>1.05592007857487</v>
      </c>
      <c r="AY378">
        <v>1.03306606259438</v>
      </c>
      <c r="AZ378">
        <v>1.00962178027359</v>
      </c>
      <c r="BA378">
        <v>0</v>
      </c>
      <c r="BB378">
        <v>0</v>
      </c>
      <c r="BC378">
        <v>0</v>
      </c>
      <c r="BD378">
        <v>0</v>
      </c>
      <c r="BE378">
        <v>0</v>
      </c>
      <c r="BF378">
        <v>0</v>
      </c>
      <c r="BG378">
        <v>0</v>
      </c>
      <c r="BH378">
        <v>0</v>
      </c>
      <c r="BJ378" t="s">
        <v>452</v>
      </c>
      <c r="BL378">
        <v>0.8</v>
      </c>
      <c r="BM378">
        <v>0.797560975609756</v>
      </c>
      <c r="BN378">
        <v>0.785365853658536</v>
      </c>
      <c r="BO378">
        <v>0.773170731707317</v>
      </c>
      <c r="BP378">
        <v>0.760975609756097</v>
      </c>
      <c r="BQ378">
        <v>0.748780487804878</v>
      </c>
      <c r="BR378">
        <v>0.736585365853658</v>
      </c>
      <c r="BS378">
        <v>0.724390243902439</v>
      </c>
      <c r="BT378">
        <v>0.71219512195122</v>
      </c>
      <c r="BU378">
        <v>0.699999999999999</v>
      </c>
      <c r="BV378">
        <v>0.687499999999999</v>
      </c>
      <c r="BW378">
        <v>0.675</v>
      </c>
      <c r="BX378">
        <v>0.6625</v>
      </c>
      <c r="BY378">
        <v>0.649999999999999</v>
      </c>
      <c r="BZ378">
        <v>0.637499999999999</v>
      </c>
      <c r="CA378">
        <v>0.625</v>
      </c>
      <c r="CB378">
        <v>0.6125</v>
      </c>
      <c r="CC378">
        <v>0.6</v>
      </c>
      <c r="CD378" t="e">
        <v>#VALUE!</v>
      </c>
      <c r="CE378" t="e">
        <v>#VALUE!</v>
      </c>
      <c r="CF378" t="e">
        <v>#VALUE!</v>
      </c>
      <c r="CG378" t="e">
        <v>#VALUE!</v>
      </c>
      <c r="CH378" t="e">
        <v>#VALUE!</v>
      </c>
      <c r="CI378" t="e">
        <v>#VALUE!</v>
      </c>
      <c r="CJ378" t="e">
        <v>#VALUE!</v>
      </c>
      <c r="CK378" t="e">
        <v>#VALUE!</v>
      </c>
    </row>
    <row r="379" spans="1:89">
      <c r="A379" s="34" t="s">
        <v>35</v>
      </c>
      <c r="B379" s="34" t="s">
        <v>443</v>
      </c>
      <c r="C379" s="34" t="s">
        <v>443</v>
      </c>
      <c r="D379" s="34"/>
      <c r="E379" s="34">
        <v>16.622151379341</v>
      </c>
      <c r="F379" s="34">
        <f xml:space="preserve">E379</f>
        <v>16.622151379341</v>
      </c>
      <c r="G379" s="34"/>
      <c r="H379" s="34"/>
      <c r="I379" s="34">
        <f xml:space="preserve">F379</f>
        <v>16.622151379341</v>
      </c>
      <c r="J379" s="34">
        <f xml:space="preserve">I379</f>
        <v>16.622151379341</v>
      </c>
      <c r="K379" s="34"/>
      <c r="L379" s="34">
        <f xml:space="preserve">J379</f>
        <v>16.622151379341</v>
      </c>
      <c r="M379" s="34"/>
      <c r="N379" s="34"/>
      <c r="O379" s="34"/>
      <c r="P379" s="34"/>
      <c r="Q379" s="34"/>
      <c r="R379" s="34"/>
      <c r="S379" s="34"/>
      <c r="T379" s="34"/>
      <c r="U379" s="34"/>
      <c r="V379" s="34">
        <f xml:space="preserve">L379</f>
        <v>16.622151379341</v>
      </c>
      <c r="W379" s="34">
        <v>3</v>
      </c>
      <c r="AG379" s="232" t="s">
        <v>437</v>
      </c>
      <c r="AI379">
        <v>1</v>
      </c>
      <c r="AJ379">
        <v>1.03070655003645</v>
      </c>
      <c r="AK379">
        <v>1.34428477211982</v>
      </c>
      <c r="AL379">
        <v>1.62652730049637</v>
      </c>
      <c r="AM379">
        <v>1.90676524697143</v>
      </c>
      <c r="AN379">
        <v>2.16523048352945</v>
      </c>
      <c r="AO379">
        <v>2.41021468985387</v>
      </c>
      <c r="AP379">
        <v>2.63742233329862</v>
      </c>
      <c r="AQ379">
        <v>2.85196032489847</v>
      </c>
      <c r="AR379">
        <v>3.05092592592593</v>
      </c>
      <c r="AS379">
        <v>3.22479520288799</v>
      </c>
      <c r="AT379">
        <v>3.36675170953521</v>
      </c>
      <c r="AU379">
        <v>3.48119945156028</v>
      </c>
      <c r="AV379">
        <v>3.57173973411087</v>
      </c>
      <c r="AW379">
        <v>3.64571835190392</v>
      </c>
      <c r="AX379">
        <v>3.70923582908119</v>
      </c>
      <c r="AY379">
        <v>3.76525998819813</v>
      </c>
      <c r="AZ379">
        <v>3.81412926516019</v>
      </c>
      <c r="BA379">
        <v>0</v>
      </c>
      <c r="BB379">
        <v>0</v>
      </c>
      <c r="BC379">
        <v>0</v>
      </c>
      <c r="BD379">
        <v>0</v>
      </c>
      <c r="BE379">
        <v>0</v>
      </c>
      <c r="BF379">
        <v>0</v>
      </c>
      <c r="BG379">
        <v>0</v>
      </c>
      <c r="BH379">
        <v>0</v>
      </c>
      <c r="BJ379" t="s">
        <v>452</v>
      </c>
      <c r="BL379">
        <v>0.8</v>
      </c>
      <c r="BM379">
        <v>0.797560975609756</v>
      </c>
      <c r="BN379">
        <v>0.785365853658536</v>
      </c>
      <c r="BO379">
        <v>0.773170731707317</v>
      </c>
      <c r="BP379">
        <v>0.760975609756097</v>
      </c>
      <c r="BQ379">
        <v>0.748780487804878</v>
      </c>
      <c r="BR379">
        <v>0.736585365853658</v>
      </c>
      <c r="BS379">
        <v>0.724390243902439</v>
      </c>
      <c r="BT379">
        <v>0.71219512195122</v>
      </c>
      <c r="BU379">
        <v>0.699999999999999</v>
      </c>
      <c r="BV379">
        <v>0.687499999999999</v>
      </c>
      <c r="BW379">
        <v>0.675</v>
      </c>
      <c r="BX379">
        <v>0.6625</v>
      </c>
      <c r="BY379">
        <v>0.649999999999999</v>
      </c>
      <c r="BZ379">
        <v>0.637499999999999</v>
      </c>
      <c r="CA379">
        <v>0.625</v>
      </c>
      <c r="CB379">
        <v>0.6125</v>
      </c>
      <c r="CC379">
        <v>0.6</v>
      </c>
      <c r="CD379" t="e">
        <v>#VALUE!</v>
      </c>
      <c r="CE379" t="e">
        <v>#VALUE!</v>
      </c>
      <c r="CF379" t="e">
        <v>#VALUE!</v>
      </c>
      <c r="CG379" t="e">
        <v>#VALUE!</v>
      </c>
      <c r="CH379" t="e">
        <v>#VALUE!</v>
      </c>
      <c r="CI379" t="e">
        <v>#VALUE!</v>
      </c>
      <c r="CJ379" t="e">
        <v>#VALUE!</v>
      </c>
      <c r="CK379" t="e">
        <v>#VALUE!</v>
      </c>
    </row>
    <row r="380" spans="1:89">
      <c r="A380" s="34" t="s">
        <v>35</v>
      </c>
      <c r="B380" s="34" t="s">
        <v>444</v>
      </c>
      <c r="C380" s="34" t="s">
        <v>444</v>
      </c>
      <c r="D380" s="34"/>
      <c r="E380" s="34">
        <v>37.8006200912268</v>
      </c>
      <c r="F380" s="34">
        <f xml:space="preserve">E380</f>
        <v>37.8006200912268</v>
      </c>
      <c r="G380" s="34"/>
      <c r="H380" s="34"/>
      <c r="I380" s="34">
        <f xml:space="preserve">F380</f>
        <v>37.8006200912268</v>
      </c>
      <c r="J380" s="34">
        <f xml:space="preserve">I380</f>
        <v>37.8006200912268</v>
      </c>
      <c r="K380" s="34"/>
      <c r="L380" s="34">
        <f xml:space="preserve">J380</f>
        <v>37.8006200912268</v>
      </c>
      <c r="M380" s="34"/>
      <c r="N380" s="34"/>
      <c r="O380" s="34"/>
      <c r="P380" s="34"/>
      <c r="Q380" s="34"/>
      <c r="R380" s="34"/>
      <c r="S380" s="34"/>
      <c r="T380" s="34"/>
      <c r="U380" s="34"/>
      <c r="V380" s="34">
        <f xml:space="preserve">L380</f>
        <v>37.8006200912268</v>
      </c>
      <c r="W380" s="34">
        <v>3</v>
      </c>
      <c r="AG380" s="232" t="s">
        <v>437</v>
      </c>
      <c r="AI380">
        <v>1</v>
      </c>
      <c r="AJ380">
        <v>1.03070655003645</v>
      </c>
      <c r="AK380">
        <v>1.34428477211982</v>
      </c>
      <c r="AL380">
        <v>1.62652730049637</v>
      </c>
      <c r="AM380">
        <v>1.90676524697143</v>
      </c>
      <c r="AN380">
        <v>2.16523048352945</v>
      </c>
      <c r="AO380">
        <v>2.41021468985387</v>
      </c>
      <c r="AP380">
        <v>2.63742233329862</v>
      </c>
      <c r="AQ380">
        <v>2.85196032489847</v>
      </c>
      <c r="AR380">
        <v>3.05092592592593</v>
      </c>
      <c r="AS380">
        <v>3.22479520288799</v>
      </c>
      <c r="AT380">
        <v>3.36675170953521</v>
      </c>
      <c r="AU380">
        <v>3.48119945156028</v>
      </c>
      <c r="AV380">
        <v>3.57173973411087</v>
      </c>
      <c r="AW380">
        <v>3.64571835190392</v>
      </c>
      <c r="AX380">
        <v>3.70923582908119</v>
      </c>
      <c r="AY380">
        <v>3.76525998819813</v>
      </c>
      <c r="AZ380">
        <v>3.81412926516019</v>
      </c>
      <c r="BA380">
        <v>0</v>
      </c>
      <c r="BB380">
        <v>0</v>
      </c>
      <c r="BC380">
        <v>0</v>
      </c>
      <c r="BD380">
        <v>0</v>
      </c>
      <c r="BE380">
        <v>0</v>
      </c>
      <c r="BF380">
        <v>0</v>
      </c>
      <c r="BG380">
        <v>0</v>
      </c>
      <c r="BH380">
        <v>0</v>
      </c>
      <c r="BJ380" t="s">
        <v>452</v>
      </c>
      <c r="BL380">
        <v>0.8</v>
      </c>
      <c r="BM380">
        <v>0.797560975609756</v>
      </c>
      <c r="BN380">
        <v>0.785365853658536</v>
      </c>
      <c r="BO380">
        <v>0.773170731707317</v>
      </c>
      <c r="BP380">
        <v>0.760975609756097</v>
      </c>
      <c r="BQ380">
        <v>0.748780487804878</v>
      </c>
      <c r="BR380">
        <v>0.736585365853658</v>
      </c>
      <c r="BS380">
        <v>0.724390243902439</v>
      </c>
      <c r="BT380">
        <v>0.71219512195122</v>
      </c>
      <c r="BU380">
        <v>0.699999999999999</v>
      </c>
      <c r="BV380">
        <v>0.687499999999999</v>
      </c>
      <c r="BW380">
        <v>0.675</v>
      </c>
      <c r="BX380">
        <v>0.6625</v>
      </c>
      <c r="BY380">
        <v>0.649999999999999</v>
      </c>
      <c r="BZ380">
        <v>0.637499999999999</v>
      </c>
      <c r="CA380">
        <v>0.625</v>
      </c>
      <c r="CB380">
        <v>0.6125</v>
      </c>
      <c r="CC380">
        <v>0.6</v>
      </c>
      <c r="CD380" t="e">
        <v>#VALUE!</v>
      </c>
      <c r="CE380" t="e">
        <v>#VALUE!</v>
      </c>
      <c r="CF380" t="e">
        <v>#VALUE!</v>
      </c>
      <c r="CG380" t="e">
        <v>#VALUE!</v>
      </c>
      <c r="CH380" t="e">
        <v>#VALUE!</v>
      </c>
      <c r="CI380" t="e">
        <v>#VALUE!</v>
      </c>
      <c r="CJ380" t="e">
        <v>#VALUE!</v>
      </c>
      <c r="CK380" t="e">
        <v>#VALUE!</v>
      </c>
    </row>
    <row r="381" spans="1:89">
      <c r="A381" s="34" t="s">
        <v>35</v>
      </c>
      <c r="B381" s="34" t="s">
        <v>445</v>
      </c>
      <c r="C381" s="34" t="s">
        <v>445</v>
      </c>
      <c r="D381" s="34">
        <v>1.379</v>
      </c>
      <c r="E381" s="34">
        <v>1.38765376244726</v>
      </c>
      <c r="F381" s="34"/>
      <c r="G381" s="34">
        <v>1.43019363557436</v>
      </c>
      <c r="H381" s="34">
        <v>1.46658916614505</v>
      </c>
      <c r="I381" s="34">
        <v>1.49537665855058</v>
      </c>
      <c r="J381" s="34">
        <v>1.51815640564728</v>
      </c>
      <c r="K381" s="34">
        <v>1.53489847409426</v>
      </c>
      <c r="L381" s="34">
        <v>1.54429809194462</v>
      </c>
      <c r="M381" s="34">
        <v>1.54692341178661</v>
      </c>
      <c r="N381" s="34">
        <v>1.54288930682667</v>
      </c>
      <c r="O381" s="34">
        <v>1.53393202269634</v>
      </c>
      <c r="P381" s="34">
        <v>1.52171889253992</v>
      </c>
      <c r="Q381" s="34">
        <v>1.50711710410446</v>
      </c>
      <c r="R381" s="34">
        <v>1.4906247298634</v>
      </c>
      <c r="S381" s="34">
        <v>1.47269110568949</v>
      </c>
      <c r="T381" s="34">
        <v>1.45385970531635</v>
      </c>
      <c r="U381" s="34">
        <v>1.43458622824371</v>
      </c>
      <c r="V381" s="34">
        <v>1.41505242739617</v>
      </c>
      <c r="W381" s="34">
        <v>3</v>
      </c>
      <c r="AG381" s="232" t="s">
        <v>442</v>
      </c>
      <c r="AI381">
        <v>1</v>
      </c>
      <c r="AJ381">
        <v>1.00786822566407</v>
      </c>
      <c r="AK381">
        <v>1.04720935398443</v>
      </c>
      <c r="AL381">
        <v>1.0816769759546</v>
      </c>
      <c r="AM381">
        <v>1.10957813291271</v>
      </c>
      <c r="AN381">
        <v>1.13215177689108</v>
      </c>
      <c r="AO381">
        <v>1.14910195098027</v>
      </c>
      <c r="AP381">
        <v>1.15881636284435</v>
      </c>
      <c r="AQ381">
        <v>1.16158245541562</v>
      </c>
      <c r="AR381">
        <v>1.15725502209209</v>
      </c>
      <c r="AS381">
        <v>1.14748269594269</v>
      </c>
      <c r="AT381">
        <v>1.13394754062466</v>
      </c>
      <c r="AU381">
        <v>1.11752354956462</v>
      </c>
      <c r="AV381">
        <v>1.09870962017849</v>
      </c>
      <c r="AW381">
        <v>1.07797469463202</v>
      </c>
      <c r="AX381">
        <v>1.05592007857487</v>
      </c>
      <c r="AY381">
        <v>1.03306606259438</v>
      </c>
      <c r="AZ381">
        <v>1.00962178027359</v>
      </c>
      <c r="BA381">
        <v>0</v>
      </c>
      <c r="BB381">
        <v>0</v>
      </c>
      <c r="BC381">
        <v>0</v>
      </c>
      <c r="BD381">
        <v>0</v>
      </c>
      <c r="BE381">
        <v>0</v>
      </c>
      <c r="BF381">
        <v>0</v>
      </c>
      <c r="BG381">
        <v>0</v>
      </c>
      <c r="BH381">
        <v>0</v>
      </c>
      <c r="BJ381" t="s">
        <v>452</v>
      </c>
      <c r="BL381">
        <v>0.8</v>
      </c>
      <c r="BM381">
        <v>0.797560975609756</v>
      </c>
      <c r="BN381">
        <v>0.785365853658536</v>
      </c>
      <c r="BO381">
        <v>0.773170731707317</v>
      </c>
      <c r="BP381">
        <v>0.760975609756097</v>
      </c>
      <c r="BQ381">
        <v>0.748780487804878</v>
      </c>
      <c r="BR381">
        <v>0.736585365853658</v>
      </c>
      <c r="BS381">
        <v>0.724390243902439</v>
      </c>
      <c r="BT381">
        <v>0.71219512195122</v>
      </c>
      <c r="BU381">
        <v>0.699999999999999</v>
      </c>
      <c r="BV381">
        <v>0.687499999999999</v>
      </c>
      <c r="BW381">
        <v>0.675</v>
      </c>
      <c r="BX381">
        <v>0.6625</v>
      </c>
      <c r="BY381">
        <v>0.649999999999999</v>
      </c>
      <c r="BZ381">
        <v>0.637499999999999</v>
      </c>
      <c r="CA381">
        <v>0.625</v>
      </c>
      <c r="CB381">
        <v>0.6125</v>
      </c>
      <c r="CC381">
        <v>0.6</v>
      </c>
      <c r="CD381" t="e">
        <v>#VALUE!</v>
      </c>
      <c r="CE381" t="e">
        <v>#VALUE!</v>
      </c>
      <c r="CF381" t="e">
        <v>#VALUE!</v>
      </c>
      <c r="CG381" t="e">
        <v>#VALUE!</v>
      </c>
      <c r="CH381" t="e">
        <v>#VALUE!</v>
      </c>
      <c r="CI381" t="e">
        <v>#VALUE!</v>
      </c>
      <c r="CJ381" t="e">
        <v>#VALUE!</v>
      </c>
      <c r="CK381" t="e">
        <v>#VALUE!</v>
      </c>
    </row>
    <row r="382" spans="1:89">
      <c r="A382" s="34" t="s">
        <v>35</v>
      </c>
      <c r="B382" s="34" t="s">
        <v>446</v>
      </c>
      <c r="C382" s="34" t="s">
        <v>446</v>
      </c>
      <c r="D382" s="34">
        <v>0.405</v>
      </c>
      <c r="E382" s="34">
        <v>0.407541532843466</v>
      </c>
      <c r="F382" s="34"/>
      <c r="G382" s="34">
        <v>0.420035114146203</v>
      </c>
      <c r="H382" s="34">
        <v>0.430724156844632</v>
      </c>
      <c r="I382" s="34">
        <v>0.439178786593898</v>
      </c>
      <c r="J382" s="34">
        <v>0.445868995132088</v>
      </c>
      <c r="K382" s="34">
        <v>0.450785991303972</v>
      </c>
      <c r="L382" s="34">
        <v>0.453546575226665</v>
      </c>
      <c r="M382" s="34">
        <v>0.4543176082477</v>
      </c>
      <c r="N382" s="34">
        <v>0.453132827603191</v>
      </c>
      <c r="O382" s="34">
        <v>0.450502153148671</v>
      </c>
      <c r="P382" s="34">
        <v>0.44691526575683</v>
      </c>
      <c r="Q382" s="34">
        <v>0.442626850734086</v>
      </c>
      <c r="R382" s="34">
        <v>0.437783187523334</v>
      </c>
      <c r="S382" s="34">
        <v>0.432516242062539</v>
      </c>
      <c r="T382" s="34">
        <v>0.426985627739754</v>
      </c>
      <c r="U382" s="34">
        <v>0.421325179433433</v>
      </c>
      <c r="V382" s="34">
        <v>0.41558827635638</v>
      </c>
      <c r="W382" s="34">
        <v>3</v>
      </c>
      <c r="AG382" s="232" t="s">
        <v>442</v>
      </c>
      <c r="AI382">
        <v>1</v>
      </c>
      <c r="AJ382">
        <v>1.00786822566407</v>
      </c>
      <c r="AK382">
        <v>1.04720935398443</v>
      </c>
      <c r="AL382">
        <v>1.0816769759546</v>
      </c>
      <c r="AM382">
        <v>1.10957813291271</v>
      </c>
      <c r="AN382">
        <v>1.13215177689108</v>
      </c>
      <c r="AO382">
        <v>1.14910195098027</v>
      </c>
      <c r="AP382">
        <v>1.15881636284435</v>
      </c>
      <c r="AQ382">
        <v>1.16158245541562</v>
      </c>
      <c r="AR382">
        <v>1.15725502209209</v>
      </c>
      <c r="AS382">
        <v>1.14748269594269</v>
      </c>
      <c r="AT382">
        <v>1.13394754062466</v>
      </c>
      <c r="AU382">
        <v>1.11752354956462</v>
      </c>
      <c r="AV382">
        <v>1.09870962017849</v>
      </c>
      <c r="AW382">
        <v>1.07797469463202</v>
      </c>
      <c r="AX382">
        <v>1.05592007857487</v>
      </c>
      <c r="AY382">
        <v>1.03306606259438</v>
      </c>
      <c r="AZ382">
        <v>1.00962178027359</v>
      </c>
      <c r="BA382">
        <v>0</v>
      </c>
      <c r="BB382">
        <v>0</v>
      </c>
      <c r="BC382">
        <v>0</v>
      </c>
      <c r="BD382">
        <v>0</v>
      </c>
      <c r="BE382">
        <v>0</v>
      </c>
      <c r="BF382">
        <v>0</v>
      </c>
      <c r="BG382">
        <v>0</v>
      </c>
      <c r="BH382">
        <v>0</v>
      </c>
      <c r="BJ382" t="s">
        <v>452</v>
      </c>
      <c r="BL382">
        <v>0.8</v>
      </c>
      <c r="BM382">
        <v>0.797560975609756</v>
      </c>
      <c r="BN382">
        <v>0.785365853658536</v>
      </c>
      <c r="BO382">
        <v>0.773170731707317</v>
      </c>
      <c r="BP382">
        <v>0.760975609756097</v>
      </c>
      <c r="BQ382">
        <v>0.748780487804878</v>
      </c>
      <c r="BR382">
        <v>0.736585365853658</v>
      </c>
      <c r="BS382">
        <v>0.724390243902439</v>
      </c>
      <c r="BT382">
        <v>0.71219512195122</v>
      </c>
      <c r="BU382">
        <v>0.699999999999999</v>
      </c>
      <c r="BV382">
        <v>0.687499999999999</v>
      </c>
      <c r="BW382">
        <v>0.675</v>
      </c>
      <c r="BX382">
        <v>0.6625</v>
      </c>
      <c r="BY382">
        <v>0.649999999999999</v>
      </c>
      <c r="BZ382">
        <v>0.637499999999999</v>
      </c>
      <c r="CA382">
        <v>0.625</v>
      </c>
      <c r="CB382">
        <v>0.6125</v>
      </c>
      <c r="CC382">
        <v>0.6</v>
      </c>
      <c r="CD382" t="e">
        <v>#VALUE!</v>
      </c>
      <c r="CE382" t="e">
        <v>#VALUE!</v>
      </c>
      <c r="CF382" t="e">
        <v>#VALUE!</v>
      </c>
      <c r="CG382" t="e">
        <v>#VALUE!</v>
      </c>
      <c r="CH382" t="e">
        <v>#VALUE!</v>
      </c>
      <c r="CI382" t="e">
        <v>#VALUE!</v>
      </c>
      <c r="CJ382" t="e">
        <v>#VALUE!</v>
      </c>
      <c r="CK382" t="e">
        <v>#VALUE!</v>
      </c>
    </row>
    <row r="383" spans="1:89">
      <c r="A383" s="34" t="s">
        <v>35</v>
      </c>
      <c r="B383" s="34" t="s">
        <v>447</v>
      </c>
      <c r="C383" s="34" t="s">
        <v>447</v>
      </c>
      <c r="D383" s="34">
        <v>7.07</v>
      </c>
      <c r="E383" s="34">
        <v>7.11436700544026</v>
      </c>
      <c r="F383" s="34"/>
      <c r="G383" s="34">
        <v>7.33246483213249</v>
      </c>
      <c r="H383" s="34">
        <v>7.51906120713962</v>
      </c>
      <c r="I383" s="34">
        <v>7.66665190424409</v>
      </c>
      <c r="J383" s="34">
        <v>7.78344147057745</v>
      </c>
      <c r="K383" s="34">
        <v>7.86927644078785</v>
      </c>
      <c r="L383" s="34">
        <v>7.91746737494451</v>
      </c>
      <c r="M383" s="34">
        <v>7.93092713657097</v>
      </c>
      <c r="N383" s="34">
        <v>7.91024466951743</v>
      </c>
      <c r="O383" s="34">
        <v>7.86432153768174</v>
      </c>
      <c r="P383" s="34">
        <v>7.80170599728589</v>
      </c>
      <c r="Q383" s="34">
        <v>7.72684403627158</v>
      </c>
      <c r="R383" s="34">
        <v>7.64228922417277</v>
      </c>
      <c r="S383" s="34">
        <v>7.55034526267198</v>
      </c>
      <c r="T383" s="34">
        <v>7.45379848918534</v>
      </c>
      <c r="U383" s="34">
        <v>7.35498523109721</v>
      </c>
      <c r="V383" s="34">
        <v>7.25483731812248</v>
      </c>
      <c r="W383" s="34">
        <v>3</v>
      </c>
      <c r="AG383" s="232" t="s">
        <v>442</v>
      </c>
      <c r="AI383">
        <v>1</v>
      </c>
      <c r="AJ383">
        <v>1.00786822566407</v>
      </c>
      <c r="AK383">
        <v>1.04720935398443</v>
      </c>
      <c r="AL383">
        <v>1.0816769759546</v>
      </c>
      <c r="AM383">
        <v>1.10957813291271</v>
      </c>
      <c r="AN383">
        <v>1.13215177689108</v>
      </c>
      <c r="AO383">
        <v>1.14910195098027</v>
      </c>
      <c r="AP383">
        <v>1.15881636284435</v>
      </c>
      <c r="AQ383">
        <v>1.16158245541562</v>
      </c>
      <c r="AR383">
        <v>1.15725502209209</v>
      </c>
      <c r="AS383">
        <v>1.14748269594269</v>
      </c>
      <c r="AT383">
        <v>1.13394754062466</v>
      </c>
      <c r="AU383">
        <v>1.11752354956462</v>
      </c>
      <c r="AV383">
        <v>1.09870962017849</v>
      </c>
      <c r="AW383">
        <v>1.07797469463202</v>
      </c>
      <c r="AX383">
        <v>1.05592007857487</v>
      </c>
      <c r="AY383">
        <v>1.03306606259438</v>
      </c>
      <c r="AZ383">
        <v>1.00962178027359</v>
      </c>
      <c r="BA383">
        <v>0</v>
      </c>
      <c r="BB383">
        <v>0</v>
      </c>
      <c r="BC383">
        <v>0</v>
      </c>
      <c r="BD383">
        <v>0</v>
      </c>
      <c r="BE383">
        <v>0</v>
      </c>
      <c r="BF383">
        <v>0</v>
      </c>
      <c r="BG383">
        <v>0</v>
      </c>
      <c r="BH383">
        <v>0</v>
      </c>
      <c r="BJ383" t="s">
        <v>452</v>
      </c>
      <c r="BL383">
        <v>0.8</v>
      </c>
      <c r="BM383">
        <v>0.797560975609756</v>
      </c>
      <c r="BN383">
        <v>0.785365853658536</v>
      </c>
      <c r="BO383">
        <v>0.773170731707317</v>
      </c>
      <c r="BP383">
        <v>0.760975609756097</v>
      </c>
      <c r="BQ383">
        <v>0.748780487804878</v>
      </c>
      <c r="BR383">
        <v>0.736585365853658</v>
      </c>
      <c r="BS383">
        <v>0.724390243902439</v>
      </c>
      <c r="BT383">
        <v>0.71219512195122</v>
      </c>
      <c r="BU383">
        <v>0.699999999999999</v>
      </c>
      <c r="BV383">
        <v>0.687499999999999</v>
      </c>
      <c r="BW383">
        <v>0.675</v>
      </c>
      <c r="BX383">
        <v>0.6625</v>
      </c>
      <c r="BY383">
        <v>0.649999999999999</v>
      </c>
      <c r="BZ383">
        <v>0.637499999999999</v>
      </c>
      <c r="CA383">
        <v>0.625</v>
      </c>
      <c r="CB383">
        <v>0.6125</v>
      </c>
      <c r="CC383">
        <v>0.6</v>
      </c>
      <c r="CD383" t="e">
        <v>#VALUE!</v>
      </c>
      <c r="CE383" t="e">
        <v>#VALUE!</v>
      </c>
      <c r="CF383" t="e">
        <v>#VALUE!</v>
      </c>
      <c r="CG383" t="e">
        <v>#VALUE!</v>
      </c>
      <c r="CH383" t="e">
        <v>#VALUE!</v>
      </c>
      <c r="CI383" t="e">
        <v>#VALUE!</v>
      </c>
      <c r="CJ383" t="e">
        <v>#VALUE!</v>
      </c>
      <c r="CK383" t="e">
        <v>#VALUE!</v>
      </c>
    </row>
    <row r="384" spans="1:89">
      <c r="A384" s="34" t="s">
        <v>35</v>
      </c>
      <c r="B384" s="34" t="s">
        <v>448</v>
      </c>
      <c r="C384" s="34" t="s">
        <v>448</v>
      </c>
      <c r="D384" s="34">
        <v>120.072</v>
      </c>
      <c r="E384" s="34">
        <v>122.24203192807</v>
      </c>
      <c r="F384" s="34"/>
      <c r="G384" s="34">
        <v>146.746196670805</v>
      </c>
      <c r="H384" s="34">
        <v>166.19345781071</v>
      </c>
      <c r="I384" s="34">
        <v>184.255030549047</v>
      </c>
      <c r="J384" s="34">
        <v>199.832870423254</v>
      </c>
      <c r="K384" s="34">
        <v>214.070185955273</v>
      </c>
      <c r="L384" s="34">
        <v>227.265948537644</v>
      </c>
      <c r="M384" s="34">
        <v>240.015284488005</v>
      </c>
      <c r="N384" s="34">
        <v>252.408556241334</v>
      </c>
      <c r="O384" s="34">
        <v>263.859975922234</v>
      </c>
      <c r="P384" s="34">
        <v>273.91974276582</v>
      </c>
      <c r="Q384" s="34">
        <v>282.846321961086</v>
      </c>
      <c r="R384" s="34">
        <v>290.858027301707</v>
      </c>
      <c r="S384" s="34">
        <v>298.339004723967</v>
      </c>
      <c r="T384" s="34">
        <v>305.550048100184</v>
      </c>
      <c r="U384" s="34">
        <v>312.579494226286</v>
      </c>
      <c r="V384" s="34">
        <v>319.425216025977</v>
      </c>
      <c r="W384" s="34">
        <v>3</v>
      </c>
      <c r="AG384" s="232" t="s">
        <v>449</v>
      </c>
      <c r="AI384">
        <v>1</v>
      </c>
      <c r="AJ384">
        <v>1.02266003014167</v>
      </c>
      <c r="AK384">
        <v>1.28368293026135</v>
      </c>
      <c r="AL384">
        <v>1.50370890446376</v>
      </c>
      <c r="AM384">
        <v>1.71845964733107</v>
      </c>
      <c r="AN384">
        <v>1.91249135294848</v>
      </c>
      <c r="AO384">
        <v>2.09747680595074</v>
      </c>
      <c r="AP384">
        <v>2.27596228174151</v>
      </c>
      <c r="AQ384">
        <v>2.4552370876487</v>
      </c>
      <c r="AR384">
        <v>2.6363471038652</v>
      </c>
      <c r="AS384">
        <v>2.81032142296379</v>
      </c>
      <c r="AT384">
        <v>2.96905420129098</v>
      </c>
      <c r="AU384">
        <v>3.11510164856617</v>
      </c>
      <c r="AV384">
        <v>3.25084960440286</v>
      </c>
      <c r="AW384">
        <v>3.38200736070937</v>
      </c>
      <c r="AX384">
        <v>3.51279978886981</v>
      </c>
      <c r="AY384">
        <v>3.64474269800549</v>
      </c>
      <c r="AZ384">
        <v>3.77778029325659</v>
      </c>
      <c r="BA384">
        <v>0</v>
      </c>
      <c r="BB384">
        <v>0</v>
      </c>
      <c r="BC384">
        <v>0</v>
      </c>
      <c r="BD384">
        <v>0</v>
      </c>
      <c r="BE384">
        <v>0</v>
      </c>
      <c r="BF384">
        <v>0</v>
      </c>
      <c r="BG384">
        <v>0</v>
      </c>
      <c r="BH384">
        <v>0</v>
      </c>
      <c r="BJ384" t="s">
        <v>452</v>
      </c>
      <c r="BL384">
        <v>0.8</v>
      </c>
      <c r="BM384">
        <v>0.797560975609756</v>
      </c>
      <c r="BN384">
        <v>0.785365853658536</v>
      </c>
      <c r="BO384">
        <v>0.773170731707317</v>
      </c>
      <c r="BP384">
        <v>0.760975609756097</v>
      </c>
      <c r="BQ384">
        <v>0.748780487804878</v>
      </c>
      <c r="BR384">
        <v>0.736585365853658</v>
      </c>
      <c r="BS384">
        <v>0.724390243902439</v>
      </c>
      <c r="BT384">
        <v>0.71219512195122</v>
      </c>
      <c r="BU384">
        <v>0.699999999999999</v>
      </c>
      <c r="BV384">
        <v>0.687499999999999</v>
      </c>
      <c r="BW384">
        <v>0.675</v>
      </c>
      <c r="BX384">
        <v>0.6625</v>
      </c>
      <c r="BY384">
        <v>0.649999999999999</v>
      </c>
      <c r="BZ384">
        <v>0.637499999999999</v>
      </c>
      <c r="CA384">
        <v>0.625</v>
      </c>
      <c r="CB384">
        <v>0.6125</v>
      </c>
      <c r="CC384">
        <v>0.6</v>
      </c>
      <c r="CD384" t="e">
        <v>#VALUE!</v>
      </c>
      <c r="CE384" t="e">
        <v>#VALUE!</v>
      </c>
      <c r="CF384" t="e">
        <v>#VALUE!</v>
      </c>
      <c r="CG384" t="e">
        <v>#VALUE!</v>
      </c>
      <c r="CH384" t="e">
        <v>#VALUE!</v>
      </c>
      <c r="CI384" t="e">
        <v>#VALUE!</v>
      </c>
      <c r="CJ384" t="e">
        <v>#VALUE!</v>
      </c>
      <c r="CK384" t="e">
        <v>#VALUE!</v>
      </c>
    </row>
    <row r="385" spans="1:89">
      <c r="A385" s="34" t="s">
        <v>35</v>
      </c>
      <c r="B385" s="34" t="s">
        <v>450</v>
      </c>
      <c r="C385" s="34" t="s">
        <v>450</v>
      </c>
      <c r="D385" s="34">
        <v>79.3</v>
      </c>
      <c r="E385" s="34">
        <v>81.2420844381712</v>
      </c>
      <c r="F385" s="34"/>
      <c r="G385" s="34">
        <v>100.653800494769</v>
      </c>
      <c r="H385" s="34">
        <v>116.993225075507</v>
      </c>
      <c r="I385" s="34">
        <v>132.332224640955</v>
      </c>
      <c r="J385" s="34">
        <v>145.763740939812</v>
      </c>
      <c r="K385" s="34">
        <v>157.91179025532</v>
      </c>
      <c r="L385" s="34">
        <v>168.69515655537</v>
      </c>
      <c r="M385" s="34">
        <v>178.468116968861</v>
      </c>
      <c r="N385" s="34">
        <v>187.183634885734</v>
      </c>
      <c r="O385" s="34">
        <v>194.517480505798</v>
      </c>
      <c r="P385" s="34">
        <v>200.297317266607</v>
      </c>
      <c r="Q385" s="34">
        <v>204.808154479468</v>
      </c>
      <c r="R385" s="34">
        <v>208.27052498757</v>
      </c>
      <c r="S385" s="34">
        <v>211.020535844821</v>
      </c>
      <c r="T385" s="34">
        <v>213.318349810355</v>
      </c>
      <c r="U385" s="34">
        <v>215.291795637301</v>
      </c>
      <c r="V385" s="34">
        <v>216.968357854248</v>
      </c>
      <c r="W385" s="34">
        <v>3</v>
      </c>
      <c r="AG385" s="232" t="s">
        <v>437</v>
      </c>
      <c r="AI385">
        <v>1</v>
      </c>
      <c r="AJ385">
        <v>1.03070655003645</v>
      </c>
      <c r="AK385">
        <v>1.34428477211982</v>
      </c>
      <c r="AL385">
        <v>1.62652730049637</v>
      </c>
      <c r="AM385">
        <v>1.90676524697143</v>
      </c>
      <c r="AN385">
        <v>2.16523048352945</v>
      </c>
      <c r="AO385">
        <v>2.41021468985387</v>
      </c>
      <c r="AP385">
        <v>2.63742233329862</v>
      </c>
      <c r="AQ385">
        <v>2.85196032489847</v>
      </c>
      <c r="AR385">
        <v>3.05092592592593</v>
      </c>
      <c r="AS385">
        <v>3.22479520288799</v>
      </c>
      <c r="AT385">
        <v>3.36675170953521</v>
      </c>
      <c r="AU385">
        <v>3.48119945156028</v>
      </c>
      <c r="AV385">
        <v>3.57173973411087</v>
      </c>
      <c r="AW385">
        <v>3.64571835190392</v>
      </c>
      <c r="AX385">
        <v>3.70923582908119</v>
      </c>
      <c r="AY385">
        <v>3.76525998819813</v>
      </c>
      <c r="AZ385">
        <v>3.81412926516019</v>
      </c>
      <c r="BA385">
        <v>0</v>
      </c>
      <c r="BB385">
        <v>0</v>
      </c>
      <c r="BC385">
        <v>0</v>
      </c>
      <c r="BD385">
        <v>0</v>
      </c>
      <c r="BE385">
        <v>0</v>
      </c>
      <c r="BF385">
        <v>0</v>
      </c>
      <c r="BG385">
        <v>0</v>
      </c>
      <c r="BH385">
        <v>0</v>
      </c>
      <c r="BJ385" t="s">
        <v>452</v>
      </c>
      <c r="BL385">
        <v>0.8</v>
      </c>
      <c r="BM385">
        <v>0.797560975609756</v>
      </c>
      <c r="BN385">
        <v>0.785365853658536</v>
      </c>
      <c r="BO385">
        <v>0.773170731707317</v>
      </c>
      <c r="BP385">
        <v>0.760975609756097</v>
      </c>
      <c r="BQ385">
        <v>0.748780487804878</v>
      </c>
      <c r="BR385">
        <v>0.736585365853658</v>
      </c>
      <c r="BS385">
        <v>0.724390243902439</v>
      </c>
      <c r="BT385">
        <v>0.71219512195122</v>
      </c>
      <c r="BU385">
        <v>0.699999999999999</v>
      </c>
      <c r="BV385">
        <v>0.687499999999999</v>
      </c>
      <c r="BW385">
        <v>0.675</v>
      </c>
      <c r="BX385">
        <v>0.6625</v>
      </c>
      <c r="BY385">
        <v>0.649999999999999</v>
      </c>
      <c r="BZ385">
        <v>0.637499999999999</v>
      </c>
      <c r="CA385">
        <v>0.625</v>
      </c>
      <c r="CB385">
        <v>0.6125</v>
      </c>
      <c r="CC385">
        <v>0.6</v>
      </c>
      <c r="CD385" t="e">
        <v>#VALUE!</v>
      </c>
      <c r="CE385" t="e">
        <v>#VALUE!</v>
      </c>
      <c r="CF385" t="e">
        <v>#VALUE!</v>
      </c>
      <c r="CG385" t="e">
        <v>#VALUE!</v>
      </c>
      <c r="CH385" t="e">
        <v>#VALUE!</v>
      </c>
      <c r="CI385" t="e">
        <v>#VALUE!</v>
      </c>
      <c r="CJ385" t="e">
        <v>#VALUE!</v>
      </c>
      <c r="CK385" t="e">
        <v>#VALUE!</v>
      </c>
    </row>
    <row r="386" spans="1:89">
      <c r="A386" s="34" t="s">
        <v>35</v>
      </c>
      <c r="B386" s="34" t="s">
        <v>451</v>
      </c>
      <c r="C386" s="34" t="s">
        <v>451</v>
      </c>
      <c r="D386" s="34">
        <v>67.56</v>
      </c>
      <c r="E386" s="34">
        <v>69.2145677760762</v>
      </c>
      <c r="F386" s="34"/>
      <c r="G386" s="34">
        <v>85.7524686182417</v>
      </c>
      <c r="H386" s="34">
        <v>99.6729165964851</v>
      </c>
      <c r="I386" s="34">
        <v>112.741047878221</v>
      </c>
      <c r="J386" s="34">
        <v>124.18409001127</v>
      </c>
      <c r="K386" s="34">
        <v>134.533676540345</v>
      </c>
      <c r="L386" s="34">
        <v>143.720615093075</v>
      </c>
      <c r="M386" s="34">
        <v>152.046733700079</v>
      </c>
      <c r="N386" s="34">
        <v>159.471959304921</v>
      </c>
      <c r="O386" s="34">
        <v>165.72006283697</v>
      </c>
      <c r="P386" s="34">
        <v>170.644221368625</v>
      </c>
      <c r="Q386" s="34">
        <v>174.487249894487</v>
      </c>
      <c r="R386" s="34">
        <v>177.437032385375</v>
      </c>
      <c r="S386" s="34">
        <v>179.779916792889</v>
      </c>
      <c r="T386" s="34">
        <v>181.737549977145</v>
      </c>
      <c r="U386" s="34">
        <v>183.418836232737</v>
      </c>
      <c r="V386" s="34">
        <v>184.847191130303</v>
      </c>
      <c r="W386" s="34">
        <v>3</v>
      </c>
      <c r="AG386" s="232" t="s">
        <v>437</v>
      </c>
      <c r="AI386">
        <v>1</v>
      </c>
      <c r="AJ386">
        <v>1.03070655003645</v>
      </c>
      <c r="AK386">
        <v>1.34428477211982</v>
      </c>
      <c r="AL386">
        <v>1.62652730049637</v>
      </c>
      <c r="AM386">
        <v>1.90676524697143</v>
      </c>
      <c r="AN386">
        <v>2.16523048352945</v>
      </c>
      <c r="AO386">
        <v>2.41021468985387</v>
      </c>
      <c r="AP386">
        <v>2.63742233329862</v>
      </c>
      <c r="AQ386">
        <v>2.85196032489847</v>
      </c>
      <c r="AR386">
        <v>3.05092592592593</v>
      </c>
      <c r="AS386">
        <v>3.22479520288799</v>
      </c>
      <c r="AT386">
        <v>3.36675170953521</v>
      </c>
      <c r="AU386">
        <v>3.48119945156028</v>
      </c>
      <c r="AV386">
        <v>3.57173973411087</v>
      </c>
      <c r="AW386">
        <v>3.64571835190392</v>
      </c>
      <c r="AX386">
        <v>3.70923582908119</v>
      </c>
      <c r="AY386">
        <v>3.76525998819813</v>
      </c>
      <c r="AZ386">
        <v>3.81412926516019</v>
      </c>
      <c r="BA386">
        <v>0</v>
      </c>
      <c r="BB386">
        <v>0</v>
      </c>
      <c r="BC386">
        <v>0</v>
      </c>
      <c r="BD386">
        <v>0</v>
      </c>
      <c r="BE386">
        <v>0</v>
      </c>
      <c r="BF386">
        <v>0</v>
      </c>
      <c r="BG386">
        <v>0</v>
      </c>
      <c r="BH386">
        <v>0</v>
      </c>
      <c r="BJ386" t="s">
        <v>452</v>
      </c>
      <c r="BL386">
        <v>0.8</v>
      </c>
      <c r="BM386">
        <v>0.797560975609756</v>
      </c>
      <c r="BN386">
        <v>0.785365853658536</v>
      </c>
      <c r="BO386">
        <v>0.773170731707317</v>
      </c>
      <c r="BP386">
        <v>0.760975609756097</v>
      </c>
      <c r="BQ386">
        <v>0.748780487804878</v>
      </c>
      <c r="BR386">
        <v>0.736585365853658</v>
      </c>
      <c r="BS386">
        <v>0.724390243902439</v>
      </c>
      <c r="BT386">
        <v>0.71219512195122</v>
      </c>
      <c r="BU386">
        <v>0.699999999999999</v>
      </c>
      <c r="BV386">
        <v>0.687499999999999</v>
      </c>
      <c r="BW386">
        <v>0.675</v>
      </c>
      <c r="BX386">
        <v>0.6625</v>
      </c>
      <c r="BY386">
        <v>0.649999999999999</v>
      </c>
      <c r="BZ386">
        <v>0.637499999999999</v>
      </c>
      <c r="CA386">
        <v>0.625</v>
      </c>
      <c r="CB386">
        <v>0.6125</v>
      </c>
      <c r="CC386">
        <v>0.6</v>
      </c>
      <c r="CD386" t="e">
        <v>#VALUE!</v>
      </c>
      <c r="CE386" t="e">
        <v>#VALUE!</v>
      </c>
      <c r="CF386" t="e">
        <v>#VALUE!</v>
      </c>
      <c r="CG386" t="e">
        <v>#VALUE!</v>
      </c>
      <c r="CH386" t="e">
        <v>#VALUE!</v>
      </c>
      <c r="CI386" t="e">
        <v>#VALUE!</v>
      </c>
      <c r="CJ386" t="e">
        <v>#VALUE!</v>
      </c>
      <c r="CK386" t="e">
        <v>#VALUE!</v>
      </c>
    </row>
    <row r="387" spans="1:89">
      <c r="A387" s="34" t="s">
        <v>36</v>
      </c>
      <c r="B387" s="34" t="s">
        <v>436</v>
      </c>
      <c r="C387" s="34" t="s">
        <v>436</v>
      </c>
      <c r="D387" s="34"/>
      <c r="E387" s="34">
        <v>36.9226194799132</v>
      </c>
      <c r="F387" s="34">
        <f xml:space="preserve">E387</f>
        <v>36.9226194799132</v>
      </c>
      <c r="G387" s="34"/>
      <c r="H387" s="34"/>
      <c r="I387" s="34">
        <f xml:space="preserve">F387</f>
        <v>36.9226194799132</v>
      </c>
      <c r="J387" s="34">
        <f xml:space="preserve">I387</f>
        <v>36.9226194799132</v>
      </c>
      <c r="K387" s="34"/>
      <c r="L387" s="34">
        <f xml:space="preserve">J387</f>
        <v>36.9226194799132</v>
      </c>
      <c r="M387" s="34"/>
      <c r="N387" s="34"/>
      <c r="O387" s="34"/>
      <c r="P387" s="34"/>
      <c r="Q387" s="34"/>
      <c r="R387" s="34"/>
      <c r="S387" s="34"/>
      <c r="T387" s="34"/>
      <c r="U387" s="34"/>
      <c r="V387" s="34">
        <f xml:space="preserve">L387</f>
        <v>36.9226194799132</v>
      </c>
      <c r="W387" s="34">
        <v>3</v>
      </c>
      <c r="AG387" s="232" t="s">
        <v>437</v>
      </c>
      <c r="AI387">
        <v>1</v>
      </c>
      <c r="AJ387">
        <v>0.993148396218289</v>
      </c>
      <c r="AK387">
        <v>1.15302533912728</v>
      </c>
      <c r="AL387">
        <v>1.25605186635103</v>
      </c>
      <c r="AM387">
        <v>1.37359173441292</v>
      </c>
      <c r="AN387">
        <v>1.51253590278995</v>
      </c>
      <c r="AO387">
        <v>1.67002180157007</v>
      </c>
      <c r="AP387">
        <v>1.83787012917579</v>
      </c>
      <c r="AQ387">
        <v>2.01265025707437</v>
      </c>
      <c r="AR387">
        <v>2.19676808060046</v>
      </c>
      <c r="AS387">
        <v>2.38858625431799</v>
      </c>
      <c r="AT387">
        <v>2.57939454604319</v>
      </c>
      <c r="AU387">
        <v>2.76482670127988</v>
      </c>
      <c r="AV387">
        <v>2.94163030596454</v>
      </c>
      <c r="AW387">
        <v>3.10852444359958</v>
      </c>
      <c r="AX387">
        <v>3.26531604850998</v>
      </c>
      <c r="AY387">
        <v>3.41131082682603</v>
      </c>
      <c r="AZ387">
        <v>3.54350512218087</v>
      </c>
      <c r="BA387">
        <v>0</v>
      </c>
      <c r="BB387">
        <v>0</v>
      </c>
      <c r="BC387">
        <v>0</v>
      </c>
      <c r="BD387">
        <v>0</v>
      </c>
      <c r="BE387">
        <v>0</v>
      </c>
      <c r="BF387">
        <v>0</v>
      </c>
      <c r="BG387">
        <v>0</v>
      </c>
      <c r="BH387">
        <v>0</v>
      </c>
      <c r="BJ387" t="s">
        <v>452</v>
      </c>
      <c r="BL387">
        <v>0.8</v>
      </c>
      <c r="BM387">
        <v>0.797560975609756</v>
      </c>
      <c r="BN387">
        <v>0.785365853658536</v>
      </c>
      <c r="BO387">
        <v>0.773170731707317</v>
      </c>
      <c r="BP387">
        <v>0.760975609756097</v>
      </c>
      <c r="BQ387">
        <v>0.748780487804878</v>
      </c>
      <c r="BR387">
        <v>0.736585365853658</v>
      </c>
      <c r="BS387">
        <v>0.724390243902439</v>
      </c>
      <c r="BT387">
        <v>0.71219512195122</v>
      </c>
      <c r="BU387">
        <v>0.699999999999999</v>
      </c>
      <c r="BV387">
        <v>0.687499999999999</v>
      </c>
      <c r="BW387">
        <v>0.675</v>
      </c>
      <c r="BX387">
        <v>0.6625</v>
      </c>
      <c r="BY387">
        <v>0.649999999999999</v>
      </c>
      <c r="BZ387">
        <v>0.637499999999999</v>
      </c>
      <c r="CA387">
        <v>0.625</v>
      </c>
      <c r="CB387">
        <v>0.6125</v>
      </c>
      <c r="CC387">
        <v>0.6</v>
      </c>
      <c r="CD387" t="e">
        <v>#VALUE!</v>
      </c>
      <c r="CE387" t="e">
        <v>#VALUE!</v>
      </c>
      <c r="CF387" t="e">
        <v>#VALUE!</v>
      </c>
      <c r="CG387" t="e">
        <v>#VALUE!</v>
      </c>
      <c r="CH387" t="e">
        <v>#VALUE!</v>
      </c>
      <c r="CI387" t="e">
        <v>#VALUE!</v>
      </c>
      <c r="CJ387" t="e">
        <v>#VALUE!</v>
      </c>
      <c r="CK387" t="e">
        <v>#VALUE!</v>
      </c>
    </row>
    <row r="388" spans="1:89">
      <c r="A388" s="34" t="s">
        <v>36</v>
      </c>
      <c r="B388" s="34" t="s">
        <v>439</v>
      </c>
      <c r="C388" s="34" t="s">
        <v>439</v>
      </c>
      <c r="D388" s="34"/>
      <c r="E388" s="34">
        <v>490.543871571096</v>
      </c>
      <c r="F388" s="34">
        <f xml:space="preserve">E388</f>
        <v>490.543871571096</v>
      </c>
      <c r="G388" s="34"/>
      <c r="H388" s="34"/>
      <c r="I388" s="34">
        <f xml:space="preserve">F388</f>
        <v>490.543871571096</v>
      </c>
      <c r="J388" s="34">
        <f xml:space="preserve">I388</f>
        <v>490.543871571096</v>
      </c>
      <c r="K388" s="34"/>
      <c r="L388" s="34">
        <f xml:space="preserve">J388</f>
        <v>490.543871571096</v>
      </c>
      <c r="M388" s="34"/>
      <c r="N388" s="34"/>
      <c r="O388" s="34"/>
      <c r="P388" s="34"/>
      <c r="Q388" s="34"/>
      <c r="R388" s="34"/>
      <c r="S388" s="34"/>
      <c r="T388" s="34"/>
      <c r="U388" s="34"/>
      <c r="V388" s="34">
        <f xml:space="preserve">L388</f>
        <v>490.543871571096</v>
      </c>
      <c r="W388" s="34">
        <v>3</v>
      </c>
      <c r="AG388" s="232" t="s">
        <v>437</v>
      </c>
      <c r="AI388">
        <v>1</v>
      </c>
      <c r="AJ388">
        <v>0.993148396218289</v>
      </c>
      <c r="AK388">
        <v>1.15302533912728</v>
      </c>
      <c r="AL388">
        <v>1.25605186635103</v>
      </c>
      <c r="AM388">
        <v>1.37359173441292</v>
      </c>
      <c r="AN388">
        <v>1.51253590278995</v>
      </c>
      <c r="AO388">
        <v>1.67002180157007</v>
      </c>
      <c r="AP388">
        <v>1.83787012917579</v>
      </c>
      <c r="AQ388">
        <v>2.01265025707437</v>
      </c>
      <c r="AR388">
        <v>2.19676808060046</v>
      </c>
      <c r="AS388">
        <v>2.38858625431799</v>
      </c>
      <c r="AT388">
        <v>2.57939454604319</v>
      </c>
      <c r="AU388">
        <v>2.76482670127988</v>
      </c>
      <c r="AV388">
        <v>2.94163030596454</v>
      </c>
      <c r="AW388">
        <v>3.10852444359958</v>
      </c>
      <c r="AX388">
        <v>3.26531604850998</v>
      </c>
      <c r="AY388">
        <v>3.41131082682603</v>
      </c>
      <c r="AZ388">
        <v>3.54350512218087</v>
      </c>
      <c r="BA388">
        <v>0</v>
      </c>
      <c r="BB388">
        <v>0</v>
      </c>
      <c r="BC388">
        <v>0</v>
      </c>
      <c r="BD388">
        <v>0</v>
      </c>
      <c r="BE388">
        <v>0</v>
      </c>
      <c r="BF388">
        <v>0</v>
      </c>
      <c r="BG388">
        <v>0</v>
      </c>
      <c r="BH388">
        <v>0</v>
      </c>
      <c r="BJ388" t="s">
        <v>452</v>
      </c>
      <c r="BL388">
        <v>0.8</v>
      </c>
      <c r="BM388">
        <v>0.797560975609756</v>
      </c>
      <c r="BN388">
        <v>0.785365853658536</v>
      </c>
      <c r="BO388">
        <v>0.773170731707317</v>
      </c>
      <c r="BP388">
        <v>0.760975609756097</v>
      </c>
      <c r="BQ388">
        <v>0.748780487804878</v>
      </c>
      <c r="BR388">
        <v>0.736585365853658</v>
      </c>
      <c r="BS388">
        <v>0.724390243902439</v>
      </c>
      <c r="BT388">
        <v>0.71219512195122</v>
      </c>
      <c r="BU388">
        <v>0.699999999999999</v>
      </c>
      <c r="BV388">
        <v>0.687499999999999</v>
      </c>
      <c r="BW388">
        <v>0.675</v>
      </c>
      <c r="BX388">
        <v>0.6625</v>
      </c>
      <c r="BY388">
        <v>0.649999999999999</v>
      </c>
      <c r="BZ388">
        <v>0.637499999999999</v>
      </c>
      <c r="CA388">
        <v>0.625</v>
      </c>
      <c r="CB388">
        <v>0.6125</v>
      </c>
      <c r="CC388">
        <v>0.6</v>
      </c>
      <c r="CD388" t="e">
        <v>#VALUE!</v>
      </c>
      <c r="CE388" t="e">
        <v>#VALUE!</v>
      </c>
      <c r="CF388" t="e">
        <v>#VALUE!</v>
      </c>
      <c r="CG388" t="e">
        <v>#VALUE!</v>
      </c>
      <c r="CH388" t="e">
        <v>#VALUE!</v>
      </c>
      <c r="CI388" t="e">
        <v>#VALUE!</v>
      </c>
      <c r="CJ388" t="e">
        <v>#VALUE!</v>
      </c>
      <c r="CK388" t="e">
        <v>#VALUE!</v>
      </c>
    </row>
    <row r="389" spans="1:89">
      <c r="A389" s="34" t="s">
        <v>36</v>
      </c>
      <c r="B389" s="34" t="s">
        <v>440</v>
      </c>
      <c r="C389" s="34" t="s">
        <v>440</v>
      </c>
      <c r="D389" s="34"/>
      <c r="E389" s="34">
        <v>24.6033770922968</v>
      </c>
      <c r="F389" s="34"/>
      <c r="G389" s="34"/>
      <c r="H389" s="34"/>
      <c r="I389" s="34">
        <v>31.7384471153733</v>
      </c>
      <c r="J389" s="34">
        <v>34.1423828187106</v>
      </c>
      <c r="K389" s="34"/>
      <c r="L389" s="34">
        <v>39.4372995434473</v>
      </c>
      <c r="M389" s="34"/>
      <c r="N389" s="34"/>
      <c r="O389" s="34"/>
      <c r="P389" s="34"/>
      <c r="Q389" s="34"/>
      <c r="R389" s="34"/>
      <c r="S389" s="34"/>
      <c r="T389" s="34"/>
      <c r="U389" s="34"/>
      <c r="V389" s="34">
        <v>61.3720467254865</v>
      </c>
      <c r="W389" s="34">
        <v>3</v>
      </c>
      <c r="AG389" s="232" t="s">
        <v>437</v>
      </c>
      <c r="AI389">
        <v>1</v>
      </c>
      <c r="AJ389">
        <v>0.993148396218289</v>
      </c>
      <c r="AK389">
        <v>1.15302533912728</v>
      </c>
      <c r="AL389">
        <v>1.25605186635103</v>
      </c>
      <c r="AM389">
        <v>1.37359173441292</v>
      </c>
      <c r="AN389">
        <v>1.51253590278995</v>
      </c>
      <c r="AO389">
        <v>1.67002180157007</v>
      </c>
      <c r="AP389">
        <v>1.83787012917579</v>
      </c>
      <c r="AQ389">
        <v>2.01265025707437</v>
      </c>
      <c r="AR389">
        <v>2.19676808060046</v>
      </c>
      <c r="AS389">
        <v>2.38858625431799</v>
      </c>
      <c r="AT389">
        <v>2.57939454604319</v>
      </c>
      <c r="AU389">
        <v>2.76482670127988</v>
      </c>
      <c r="AV389">
        <v>2.94163030596454</v>
      </c>
      <c r="AW389">
        <v>3.10852444359958</v>
      </c>
      <c r="AX389">
        <v>3.26531604850998</v>
      </c>
      <c r="AY389">
        <v>3.41131082682603</v>
      </c>
      <c r="AZ389">
        <v>3.54350512218087</v>
      </c>
      <c r="BA389">
        <v>0</v>
      </c>
      <c r="BB389">
        <v>0</v>
      </c>
      <c r="BC389">
        <v>0</v>
      </c>
      <c r="BD389">
        <v>0</v>
      </c>
      <c r="BE389">
        <v>0</v>
      </c>
      <c r="BF389">
        <v>0</v>
      </c>
      <c r="BG389">
        <v>0</v>
      </c>
      <c r="BH389">
        <v>0</v>
      </c>
      <c r="BJ389" t="s">
        <v>452</v>
      </c>
      <c r="BL389">
        <v>0.8</v>
      </c>
      <c r="BM389">
        <v>0.797560975609756</v>
      </c>
      <c r="BN389">
        <v>0.785365853658536</v>
      </c>
      <c r="BO389">
        <v>0.773170731707317</v>
      </c>
      <c r="BP389">
        <v>0.760975609756097</v>
      </c>
      <c r="BQ389">
        <v>0.748780487804878</v>
      </c>
      <c r="BR389">
        <v>0.736585365853658</v>
      </c>
      <c r="BS389">
        <v>0.724390243902439</v>
      </c>
      <c r="BT389">
        <v>0.71219512195122</v>
      </c>
      <c r="BU389">
        <v>0.699999999999999</v>
      </c>
      <c r="BV389">
        <v>0.687499999999999</v>
      </c>
      <c r="BW389">
        <v>0.675</v>
      </c>
      <c r="BX389">
        <v>0.6625</v>
      </c>
      <c r="BY389">
        <v>0.649999999999999</v>
      </c>
      <c r="BZ389">
        <v>0.637499999999999</v>
      </c>
      <c r="CA389">
        <v>0.625</v>
      </c>
      <c r="CB389">
        <v>0.6125</v>
      </c>
      <c r="CC389">
        <v>0.6</v>
      </c>
      <c r="CD389" t="e">
        <v>#VALUE!</v>
      </c>
      <c r="CE389" t="e">
        <v>#VALUE!</v>
      </c>
      <c r="CF389" t="e">
        <v>#VALUE!</v>
      </c>
      <c r="CG389" t="e">
        <v>#VALUE!</v>
      </c>
      <c r="CH389" t="e">
        <v>#VALUE!</v>
      </c>
      <c r="CI389" t="e">
        <v>#VALUE!</v>
      </c>
      <c r="CJ389" t="e">
        <v>#VALUE!</v>
      </c>
      <c r="CK389" t="e">
        <v>#VALUE!</v>
      </c>
    </row>
    <row r="390" spans="1:89">
      <c r="A390" s="34" t="s">
        <v>36</v>
      </c>
      <c r="B390" s="34" t="s">
        <v>441</v>
      </c>
      <c r="C390" s="34" t="s">
        <v>441</v>
      </c>
      <c r="D390" s="34"/>
      <c r="E390" s="34">
        <v>23.1089699635029</v>
      </c>
      <c r="F390" s="34"/>
      <c r="G390" s="34"/>
      <c r="H390" s="34"/>
      <c r="I390" s="34">
        <v>23.8134228090774</v>
      </c>
      <c r="J390" s="34">
        <v>24.0593576107348</v>
      </c>
      <c r="K390" s="34"/>
      <c r="L390" s="34">
        <v>24.6177722207965</v>
      </c>
      <c r="M390" s="34"/>
      <c r="N390" s="34"/>
      <c r="O390" s="34"/>
      <c r="P390" s="34"/>
      <c r="Q390" s="34"/>
      <c r="R390" s="34"/>
      <c r="S390" s="34"/>
      <c r="T390" s="34"/>
      <c r="U390" s="34"/>
      <c r="V390" s="34">
        <v>25.7219062863884</v>
      </c>
      <c r="W390" s="34">
        <v>3</v>
      </c>
      <c r="AG390" s="232" t="s">
        <v>442</v>
      </c>
      <c r="AI390">
        <v>1</v>
      </c>
      <c r="AJ390">
        <v>1.00266957936856</v>
      </c>
      <c r="AK390">
        <v>1.01601747621136</v>
      </c>
      <c r="AL390">
        <v>1.02907923907903</v>
      </c>
      <c r="AM390">
        <v>1.04231114578066</v>
      </c>
      <c r="AN390">
        <v>1.05668724393173</v>
      </c>
      <c r="AO390">
        <v>1.07279320512051</v>
      </c>
      <c r="AP390">
        <v>1.09034235623113</v>
      </c>
      <c r="AQ390">
        <v>1.10459892987391</v>
      </c>
      <c r="AR390">
        <v>1.11641947093388</v>
      </c>
      <c r="AS390">
        <v>1.1267827594842</v>
      </c>
      <c r="AT390">
        <v>1.13731280726268</v>
      </c>
      <c r="AU390">
        <v>1.14780951817165</v>
      </c>
      <c r="AV390">
        <v>1.15651821372295</v>
      </c>
      <c r="AW390">
        <v>1.16193242983768</v>
      </c>
      <c r="AX390">
        <v>1.16407094658516</v>
      </c>
      <c r="AY390">
        <v>1.16408083083218</v>
      </c>
      <c r="AZ390">
        <v>1.16280532865867</v>
      </c>
      <c r="BA390">
        <v>0</v>
      </c>
      <c r="BB390">
        <v>0</v>
      </c>
      <c r="BC390">
        <v>0</v>
      </c>
      <c r="BD390">
        <v>0</v>
      </c>
      <c r="BE390">
        <v>0</v>
      </c>
      <c r="BF390">
        <v>0</v>
      </c>
      <c r="BG390">
        <v>0</v>
      </c>
      <c r="BH390">
        <v>0</v>
      </c>
      <c r="BJ390" t="s">
        <v>452</v>
      </c>
      <c r="BL390">
        <v>0.8</v>
      </c>
      <c r="BM390">
        <v>0.797560975609756</v>
      </c>
      <c r="BN390">
        <v>0.785365853658536</v>
      </c>
      <c r="BO390">
        <v>0.773170731707317</v>
      </c>
      <c r="BP390">
        <v>0.760975609756097</v>
      </c>
      <c r="BQ390">
        <v>0.748780487804878</v>
      </c>
      <c r="BR390">
        <v>0.736585365853658</v>
      </c>
      <c r="BS390">
        <v>0.724390243902439</v>
      </c>
      <c r="BT390">
        <v>0.71219512195122</v>
      </c>
      <c r="BU390">
        <v>0.699999999999999</v>
      </c>
      <c r="BV390">
        <v>0.687499999999999</v>
      </c>
      <c r="BW390">
        <v>0.675</v>
      </c>
      <c r="BX390">
        <v>0.6625</v>
      </c>
      <c r="BY390">
        <v>0.649999999999999</v>
      </c>
      <c r="BZ390">
        <v>0.637499999999999</v>
      </c>
      <c r="CA390">
        <v>0.625</v>
      </c>
      <c r="CB390">
        <v>0.6125</v>
      </c>
      <c r="CC390">
        <v>0.6</v>
      </c>
      <c r="CD390" t="e">
        <v>#VALUE!</v>
      </c>
      <c r="CE390" t="e">
        <v>#VALUE!</v>
      </c>
      <c r="CF390" t="e">
        <v>#VALUE!</v>
      </c>
      <c r="CG390" t="e">
        <v>#VALUE!</v>
      </c>
      <c r="CH390" t="e">
        <v>#VALUE!</v>
      </c>
      <c r="CI390" t="e">
        <v>#VALUE!</v>
      </c>
      <c r="CJ390" t="e">
        <v>#VALUE!</v>
      </c>
      <c r="CK390" t="e">
        <v>#VALUE!</v>
      </c>
    </row>
    <row r="391" spans="1:89">
      <c r="A391" s="34" t="s">
        <v>36</v>
      </c>
      <c r="B391" s="34" t="s">
        <v>443</v>
      </c>
      <c r="C391" s="34" t="s">
        <v>443</v>
      </c>
      <c r="D391" s="34"/>
      <c r="E391" s="34">
        <v>36.9758094058833</v>
      </c>
      <c r="F391" s="34">
        <f xml:space="preserve">E391</f>
        <v>36.9758094058833</v>
      </c>
      <c r="G391" s="34"/>
      <c r="H391" s="34"/>
      <c r="I391" s="34">
        <f xml:space="preserve">F391</f>
        <v>36.9758094058833</v>
      </c>
      <c r="J391" s="34">
        <f xml:space="preserve">I391</f>
        <v>36.9758094058833</v>
      </c>
      <c r="K391" s="34"/>
      <c r="L391" s="34">
        <f xml:space="preserve">J391</f>
        <v>36.9758094058833</v>
      </c>
      <c r="M391" s="34"/>
      <c r="N391" s="34"/>
      <c r="O391" s="34"/>
      <c r="P391" s="34"/>
      <c r="Q391" s="34"/>
      <c r="R391" s="34"/>
      <c r="S391" s="34"/>
      <c r="T391" s="34"/>
      <c r="U391" s="34"/>
      <c r="V391" s="34">
        <f xml:space="preserve">L391</f>
        <v>36.9758094058833</v>
      </c>
      <c r="W391" s="34">
        <v>3</v>
      </c>
      <c r="AG391" s="232" t="s">
        <v>437</v>
      </c>
      <c r="AI391">
        <v>1</v>
      </c>
      <c r="AJ391">
        <v>0.993148396218289</v>
      </c>
      <c r="AK391">
        <v>1.15302533912728</v>
      </c>
      <c r="AL391">
        <v>1.25605186635103</v>
      </c>
      <c r="AM391">
        <v>1.37359173441292</v>
      </c>
      <c r="AN391">
        <v>1.51253590278995</v>
      </c>
      <c r="AO391">
        <v>1.67002180157007</v>
      </c>
      <c r="AP391">
        <v>1.83787012917579</v>
      </c>
      <c r="AQ391">
        <v>2.01265025707437</v>
      </c>
      <c r="AR391">
        <v>2.19676808060046</v>
      </c>
      <c r="AS391">
        <v>2.38858625431799</v>
      </c>
      <c r="AT391">
        <v>2.57939454604319</v>
      </c>
      <c r="AU391">
        <v>2.76482670127988</v>
      </c>
      <c r="AV391">
        <v>2.94163030596454</v>
      </c>
      <c r="AW391">
        <v>3.10852444359958</v>
      </c>
      <c r="AX391">
        <v>3.26531604850998</v>
      </c>
      <c r="AY391">
        <v>3.41131082682603</v>
      </c>
      <c r="AZ391">
        <v>3.54350512218087</v>
      </c>
      <c r="BA391">
        <v>0</v>
      </c>
      <c r="BB391">
        <v>0</v>
      </c>
      <c r="BC391">
        <v>0</v>
      </c>
      <c r="BD391">
        <v>0</v>
      </c>
      <c r="BE391">
        <v>0</v>
      </c>
      <c r="BF391">
        <v>0</v>
      </c>
      <c r="BG391">
        <v>0</v>
      </c>
      <c r="BH391">
        <v>0</v>
      </c>
      <c r="BJ391" t="s">
        <v>452</v>
      </c>
      <c r="BL391">
        <v>0.8</v>
      </c>
      <c r="BM391">
        <v>0.797560975609756</v>
      </c>
      <c r="BN391">
        <v>0.785365853658536</v>
      </c>
      <c r="BO391">
        <v>0.773170731707317</v>
      </c>
      <c r="BP391">
        <v>0.760975609756097</v>
      </c>
      <c r="BQ391">
        <v>0.748780487804878</v>
      </c>
      <c r="BR391">
        <v>0.736585365853658</v>
      </c>
      <c r="BS391">
        <v>0.724390243902439</v>
      </c>
      <c r="BT391">
        <v>0.71219512195122</v>
      </c>
      <c r="BU391">
        <v>0.699999999999999</v>
      </c>
      <c r="BV391">
        <v>0.687499999999999</v>
      </c>
      <c r="BW391">
        <v>0.675</v>
      </c>
      <c r="BX391">
        <v>0.6625</v>
      </c>
      <c r="BY391">
        <v>0.649999999999999</v>
      </c>
      <c r="BZ391">
        <v>0.637499999999999</v>
      </c>
      <c r="CA391">
        <v>0.625</v>
      </c>
      <c r="CB391">
        <v>0.6125</v>
      </c>
      <c r="CC391">
        <v>0.6</v>
      </c>
      <c r="CD391" t="e">
        <v>#VALUE!</v>
      </c>
      <c r="CE391" t="e">
        <v>#VALUE!</v>
      </c>
      <c r="CF391" t="e">
        <v>#VALUE!</v>
      </c>
      <c r="CG391" t="e">
        <v>#VALUE!</v>
      </c>
      <c r="CH391" t="e">
        <v>#VALUE!</v>
      </c>
      <c r="CI391" t="e">
        <v>#VALUE!</v>
      </c>
      <c r="CJ391" t="e">
        <v>#VALUE!</v>
      </c>
      <c r="CK391" t="e">
        <v>#VALUE!</v>
      </c>
    </row>
    <row r="392" spans="1:89">
      <c r="A392" s="34" t="s">
        <v>36</v>
      </c>
      <c r="B392" s="34" t="s">
        <v>444</v>
      </c>
      <c r="C392" s="34" t="s">
        <v>444</v>
      </c>
      <c r="D392" s="34"/>
      <c r="E392" s="34">
        <v>94.701473626264</v>
      </c>
      <c r="F392" s="34">
        <f xml:space="preserve">E392</f>
        <v>94.701473626264</v>
      </c>
      <c r="G392" s="34"/>
      <c r="H392" s="34"/>
      <c r="I392" s="34">
        <f xml:space="preserve">F392</f>
        <v>94.701473626264</v>
      </c>
      <c r="J392" s="34">
        <f xml:space="preserve">I392</f>
        <v>94.701473626264</v>
      </c>
      <c r="K392" s="34"/>
      <c r="L392" s="34">
        <f xml:space="preserve">J392</f>
        <v>94.701473626264</v>
      </c>
      <c r="M392" s="34"/>
      <c r="N392" s="34"/>
      <c r="O392" s="34"/>
      <c r="P392" s="34"/>
      <c r="Q392" s="34"/>
      <c r="R392" s="34"/>
      <c r="S392" s="34"/>
      <c r="T392" s="34"/>
      <c r="U392" s="34"/>
      <c r="V392" s="34">
        <f xml:space="preserve">L392</f>
        <v>94.701473626264</v>
      </c>
      <c r="W392" s="34">
        <v>3</v>
      </c>
      <c r="AG392" s="232" t="s">
        <v>437</v>
      </c>
      <c r="AI392">
        <v>1</v>
      </c>
      <c r="AJ392">
        <v>0.993148396218289</v>
      </c>
      <c r="AK392">
        <v>1.15302533912728</v>
      </c>
      <c r="AL392">
        <v>1.25605186635103</v>
      </c>
      <c r="AM392">
        <v>1.37359173441292</v>
      </c>
      <c r="AN392">
        <v>1.51253590278995</v>
      </c>
      <c r="AO392">
        <v>1.67002180157007</v>
      </c>
      <c r="AP392">
        <v>1.83787012917579</v>
      </c>
      <c r="AQ392">
        <v>2.01265025707437</v>
      </c>
      <c r="AR392">
        <v>2.19676808060046</v>
      </c>
      <c r="AS392">
        <v>2.38858625431799</v>
      </c>
      <c r="AT392">
        <v>2.57939454604319</v>
      </c>
      <c r="AU392">
        <v>2.76482670127988</v>
      </c>
      <c r="AV392">
        <v>2.94163030596454</v>
      </c>
      <c r="AW392">
        <v>3.10852444359958</v>
      </c>
      <c r="AX392">
        <v>3.26531604850998</v>
      </c>
      <c r="AY392">
        <v>3.41131082682603</v>
      </c>
      <c r="AZ392">
        <v>3.54350512218087</v>
      </c>
      <c r="BA392">
        <v>0</v>
      </c>
      <c r="BB392">
        <v>0</v>
      </c>
      <c r="BC392">
        <v>0</v>
      </c>
      <c r="BD392">
        <v>0</v>
      </c>
      <c r="BE392">
        <v>0</v>
      </c>
      <c r="BF392">
        <v>0</v>
      </c>
      <c r="BG392">
        <v>0</v>
      </c>
      <c r="BH392">
        <v>0</v>
      </c>
      <c r="BJ392" t="s">
        <v>452</v>
      </c>
      <c r="BL392">
        <v>0.8</v>
      </c>
      <c r="BM392">
        <v>0.797560975609756</v>
      </c>
      <c r="BN392">
        <v>0.785365853658536</v>
      </c>
      <c r="BO392">
        <v>0.773170731707317</v>
      </c>
      <c r="BP392">
        <v>0.760975609756097</v>
      </c>
      <c r="BQ392">
        <v>0.748780487804878</v>
      </c>
      <c r="BR392">
        <v>0.736585365853658</v>
      </c>
      <c r="BS392">
        <v>0.724390243902439</v>
      </c>
      <c r="BT392">
        <v>0.71219512195122</v>
      </c>
      <c r="BU392">
        <v>0.699999999999999</v>
      </c>
      <c r="BV392">
        <v>0.687499999999999</v>
      </c>
      <c r="BW392">
        <v>0.675</v>
      </c>
      <c r="BX392">
        <v>0.6625</v>
      </c>
      <c r="BY392">
        <v>0.649999999999999</v>
      </c>
      <c r="BZ392">
        <v>0.637499999999999</v>
      </c>
      <c r="CA392">
        <v>0.625</v>
      </c>
      <c r="CB392">
        <v>0.6125</v>
      </c>
      <c r="CC392">
        <v>0.6</v>
      </c>
      <c r="CD392" t="e">
        <v>#VALUE!</v>
      </c>
      <c r="CE392" t="e">
        <v>#VALUE!</v>
      </c>
      <c r="CF392" t="e">
        <v>#VALUE!</v>
      </c>
      <c r="CG392" t="e">
        <v>#VALUE!</v>
      </c>
      <c r="CH392" t="e">
        <v>#VALUE!</v>
      </c>
      <c r="CI392" t="e">
        <v>#VALUE!</v>
      </c>
      <c r="CJ392" t="e">
        <v>#VALUE!</v>
      </c>
      <c r="CK392" t="e">
        <v>#VALUE!</v>
      </c>
    </row>
    <row r="393" spans="1:89">
      <c r="A393" s="34" t="s">
        <v>36</v>
      </c>
      <c r="B393" s="34" t="s">
        <v>445</v>
      </c>
      <c r="C393" s="34" t="s">
        <v>445</v>
      </c>
      <c r="D393" s="34">
        <v>2.476</v>
      </c>
      <c r="E393" s="34">
        <v>2.48127178115832</v>
      </c>
      <c r="F393" s="34"/>
      <c r="G393" s="34">
        <v>2.5072136556731</v>
      </c>
      <c r="H393" s="34">
        <v>2.5321347647971</v>
      </c>
      <c r="I393" s="34">
        <v>2.55691076332158</v>
      </c>
      <c r="J393" s="34">
        <v>2.58331743935782</v>
      </c>
      <c r="K393" s="34">
        <v>2.61232031400092</v>
      </c>
      <c r="L393" s="34">
        <v>2.64327590640854</v>
      </c>
      <c r="M393" s="34">
        <v>2.66789056239931</v>
      </c>
      <c r="N393" s="34">
        <v>2.68787531556032</v>
      </c>
      <c r="O393" s="34">
        <v>2.70502878644895</v>
      </c>
      <c r="P393" s="34">
        <v>2.722092195907</v>
      </c>
      <c r="Q393" s="34">
        <v>2.73873636118494</v>
      </c>
      <c r="R393" s="34">
        <v>2.75224298707687</v>
      </c>
      <c r="S393" s="34">
        <v>2.76045689959819</v>
      </c>
      <c r="T393" s="34">
        <v>2.76363225814255</v>
      </c>
      <c r="U393" s="34">
        <v>2.76364663124386</v>
      </c>
      <c r="V393" s="34">
        <v>2.76182972788546</v>
      </c>
      <c r="W393" s="34">
        <v>3</v>
      </c>
      <c r="AG393" s="232" t="s">
        <v>442</v>
      </c>
      <c r="AI393">
        <v>1</v>
      </c>
      <c r="AJ393">
        <v>1.00266957936856</v>
      </c>
      <c r="AK393">
        <v>1.01601747621136</v>
      </c>
      <c r="AL393">
        <v>1.02907923907903</v>
      </c>
      <c r="AM393">
        <v>1.04231114578066</v>
      </c>
      <c r="AN393">
        <v>1.05668724393173</v>
      </c>
      <c r="AO393">
        <v>1.07279320512051</v>
      </c>
      <c r="AP393">
        <v>1.09034235623113</v>
      </c>
      <c r="AQ393">
        <v>1.10459892987391</v>
      </c>
      <c r="AR393">
        <v>1.11641947093388</v>
      </c>
      <c r="AS393">
        <v>1.1267827594842</v>
      </c>
      <c r="AT393">
        <v>1.13731280726268</v>
      </c>
      <c r="AU393">
        <v>1.14780951817165</v>
      </c>
      <c r="AV393">
        <v>1.15651821372295</v>
      </c>
      <c r="AW393">
        <v>1.16193242983768</v>
      </c>
      <c r="AX393">
        <v>1.16407094658516</v>
      </c>
      <c r="AY393">
        <v>1.16408083083218</v>
      </c>
      <c r="AZ393">
        <v>1.16280532865867</v>
      </c>
      <c r="BA393">
        <v>0</v>
      </c>
      <c r="BB393">
        <v>0</v>
      </c>
      <c r="BC393">
        <v>0</v>
      </c>
      <c r="BD393">
        <v>0</v>
      </c>
      <c r="BE393">
        <v>0</v>
      </c>
      <c r="BF393">
        <v>0</v>
      </c>
      <c r="BG393">
        <v>0</v>
      </c>
      <c r="BH393">
        <v>0</v>
      </c>
      <c r="BJ393" t="s">
        <v>452</v>
      </c>
      <c r="BL393">
        <v>0.8</v>
      </c>
      <c r="BM393">
        <v>0.797560975609756</v>
      </c>
      <c r="BN393">
        <v>0.785365853658536</v>
      </c>
      <c r="BO393">
        <v>0.773170731707317</v>
      </c>
      <c r="BP393">
        <v>0.760975609756097</v>
      </c>
      <c r="BQ393">
        <v>0.748780487804878</v>
      </c>
      <c r="BR393">
        <v>0.736585365853658</v>
      </c>
      <c r="BS393">
        <v>0.724390243902439</v>
      </c>
      <c r="BT393">
        <v>0.71219512195122</v>
      </c>
      <c r="BU393">
        <v>0.699999999999999</v>
      </c>
      <c r="BV393">
        <v>0.687499999999999</v>
      </c>
      <c r="BW393">
        <v>0.675</v>
      </c>
      <c r="BX393">
        <v>0.6625</v>
      </c>
      <c r="BY393">
        <v>0.649999999999999</v>
      </c>
      <c r="BZ393">
        <v>0.637499999999999</v>
      </c>
      <c r="CA393">
        <v>0.625</v>
      </c>
      <c r="CB393">
        <v>0.6125</v>
      </c>
      <c r="CC393">
        <v>0.6</v>
      </c>
      <c r="CD393" t="e">
        <v>#VALUE!</v>
      </c>
      <c r="CE393" t="e">
        <v>#VALUE!</v>
      </c>
      <c r="CF393" t="e">
        <v>#VALUE!</v>
      </c>
      <c r="CG393" t="e">
        <v>#VALUE!</v>
      </c>
      <c r="CH393" t="e">
        <v>#VALUE!</v>
      </c>
      <c r="CI393" t="e">
        <v>#VALUE!</v>
      </c>
      <c r="CJ393" t="e">
        <v>#VALUE!</v>
      </c>
      <c r="CK393" t="e">
        <v>#VALUE!</v>
      </c>
    </row>
    <row r="394" spans="1:89">
      <c r="A394" s="34" t="s">
        <v>36</v>
      </c>
      <c r="B394" s="34" t="s">
        <v>446</v>
      </c>
      <c r="C394" s="34" t="s">
        <v>446</v>
      </c>
      <c r="D394" s="34">
        <v>1.47</v>
      </c>
      <c r="E394" s="34">
        <v>1.47312985391871</v>
      </c>
      <c r="F394" s="34"/>
      <c r="G394" s="34">
        <v>1.48853153224534</v>
      </c>
      <c r="H394" s="34">
        <v>1.50332718265417</v>
      </c>
      <c r="I394" s="34">
        <v>1.51803668097041</v>
      </c>
      <c r="J394" s="34">
        <v>1.53371431173505</v>
      </c>
      <c r="K394" s="34">
        <v>1.55093330435434</v>
      </c>
      <c r="L394" s="34">
        <v>1.56931162456403</v>
      </c>
      <c r="M394" s="34">
        <v>1.5839253338962</v>
      </c>
      <c r="N394" s="34">
        <v>1.59579027216222</v>
      </c>
      <c r="O394" s="34">
        <v>1.60597427951533</v>
      </c>
      <c r="P394" s="34">
        <v>1.61610481744075</v>
      </c>
      <c r="Q394" s="34">
        <v>1.62598645029962</v>
      </c>
      <c r="R394" s="34">
        <v>1.63400532754564</v>
      </c>
      <c r="S394" s="34">
        <v>1.63888192342865</v>
      </c>
      <c r="T394" s="34">
        <v>1.64076713225749</v>
      </c>
      <c r="U394" s="34">
        <v>1.64077566556077</v>
      </c>
      <c r="V394" s="34">
        <v>1.63969697091746</v>
      </c>
      <c r="W394" s="34">
        <v>3</v>
      </c>
      <c r="AG394" s="232" t="s">
        <v>442</v>
      </c>
      <c r="AI394">
        <v>1</v>
      </c>
      <c r="AJ394">
        <v>1.00266957936856</v>
      </c>
      <c r="AK394">
        <v>1.01601747621136</v>
      </c>
      <c r="AL394">
        <v>1.02907923907903</v>
      </c>
      <c r="AM394">
        <v>1.04231114578066</v>
      </c>
      <c r="AN394">
        <v>1.05668724393173</v>
      </c>
      <c r="AO394">
        <v>1.07279320512051</v>
      </c>
      <c r="AP394">
        <v>1.09034235623113</v>
      </c>
      <c r="AQ394">
        <v>1.10459892987391</v>
      </c>
      <c r="AR394">
        <v>1.11641947093388</v>
      </c>
      <c r="AS394">
        <v>1.1267827594842</v>
      </c>
      <c r="AT394">
        <v>1.13731280726268</v>
      </c>
      <c r="AU394">
        <v>1.14780951817165</v>
      </c>
      <c r="AV394">
        <v>1.15651821372295</v>
      </c>
      <c r="AW394">
        <v>1.16193242983768</v>
      </c>
      <c r="AX394">
        <v>1.16407094658516</v>
      </c>
      <c r="AY394">
        <v>1.16408083083218</v>
      </c>
      <c r="AZ394">
        <v>1.16280532865867</v>
      </c>
      <c r="BA394">
        <v>0</v>
      </c>
      <c r="BB394">
        <v>0</v>
      </c>
      <c r="BC394">
        <v>0</v>
      </c>
      <c r="BD394">
        <v>0</v>
      </c>
      <c r="BE394">
        <v>0</v>
      </c>
      <c r="BF394">
        <v>0</v>
      </c>
      <c r="BG394">
        <v>0</v>
      </c>
      <c r="BH394">
        <v>0</v>
      </c>
      <c r="BJ394" t="s">
        <v>452</v>
      </c>
      <c r="BL394">
        <v>0.8</v>
      </c>
      <c r="BM394">
        <v>0.797560975609756</v>
      </c>
      <c r="BN394">
        <v>0.785365853658536</v>
      </c>
      <c r="BO394">
        <v>0.773170731707317</v>
      </c>
      <c r="BP394">
        <v>0.760975609756097</v>
      </c>
      <c r="BQ394">
        <v>0.748780487804878</v>
      </c>
      <c r="BR394">
        <v>0.736585365853658</v>
      </c>
      <c r="BS394">
        <v>0.724390243902439</v>
      </c>
      <c r="BT394">
        <v>0.71219512195122</v>
      </c>
      <c r="BU394">
        <v>0.699999999999999</v>
      </c>
      <c r="BV394">
        <v>0.687499999999999</v>
      </c>
      <c r="BW394">
        <v>0.675</v>
      </c>
      <c r="BX394">
        <v>0.6625</v>
      </c>
      <c r="BY394">
        <v>0.649999999999999</v>
      </c>
      <c r="BZ394">
        <v>0.637499999999999</v>
      </c>
      <c r="CA394">
        <v>0.625</v>
      </c>
      <c r="CB394">
        <v>0.6125</v>
      </c>
      <c r="CC394">
        <v>0.6</v>
      </c>
      <c r="CD394" t="e">
        <v>#VALUE!</v>
      </c>
      <c r="CE394" t="e">
        <v>#VALUE!</v>
      </c>
      <c r="CF394" t="e">
        <v>#VALUE!</v>
      </c>
      <c r="CG394" t="e">
        <v>#VALUE!</v>
      </c>
      <c r="CH394" t="e">
        <v>#VALUE!</v>
      </c>
      <c r="CI394" t="e">
        <v>#VALUE!</v>
      </c>
      <c r="CJ394" t="e">
        <v>#VALUE!</v>
      </c>
      <c r="CK394" t="e">
        <v>#VALUE!</v>
      </c>
    </row>
    <row r="395" spans="1:89">
      <c r="A395" s="34" t="s">
        <v>36</v>
      </c>
      <c r="B395" s="34" t="s">
        <v>447</v>
      </c>
      <c r="C395" s="34" t="s">
        <v>447</v>
      </c>
      <c r="D395" s="34">
        <v>3.15</v>
      </c>
      <c r="E395" s="34">
        <v>3.15670682982582</v>
      </c>
      <c r="F395" s="34"/>
      <c r="G395" s="34">
        <v>3.18971042624</v>
      </c>
      <c r="H395" s="34">
        <v>3.2214153914018</v>
      </c>
      <c r="I395" s="34">
        <v>3.25293574493659</v>
      </c>
      <c r="J395" s="34">
        <v>3.28653066800369</v>
      </c>
      <c r="K395" s="34">
        <v>3.32342850933073</v>
      </c>
      <c r="L395" s="34">
        <v>3.36281062406579</v>
      </c>
      <c r="M395" s="34">
        <v>3.39412571549185</v>
      </c>
      <c r="N395" s="34">
        <v>3.41955058320476</v>
      </c>
      <c r="O395" s="34">
        <v>3.44137345610428</v>
      </c>
      <c r="P395" s="34">
        <v>3.46308175165874</v>
      </c>
      <c r="Q395" s="34">
        <v>3.48425667921347</v>
      </c>
      <c r="R395" s="34">
        <v>3.50143998759779</v>
      </c>
      <c r="S395" s="34">
        <v>3.51188983591853</v>
      </c>
      <c r="T395" s="34">
        <v>3.51592956912319</v>
      </c>
      <c r="U395" s="34">
        <v>3.51594785477308</v>
      </c>
      <c r="V395" s="34">
        <v>3.5136363662517</v>
      </c>
      <c r="W395" s="34">
        <v>3</v>
      </c>
      <c r="AG395" s="232" t="s">
        <v>442</v>
      </c>
      <c r="AI395">
        <v>1</v>
      </c>
      <c r="AJ395">
        <v>1.00266957936856</v>
      </c>
      <c r="AK395">
        <v>1.01601747621136</v>
      </c>
      <c r="AL395">
        <v>1.02907923907903</v>
      </c>
      <c r="AM395">
        <v>1.04231114578066</v>
      </c>
      <c r="AN395">
        <v>1.05668724393173</v>
      </c>
      <c r="AO395">
        <v>1.07279320512051</v>
      </c>
      <c r="AP395">
        <v>1.09034235623113</v>
      </c>
      <c r="AQ395">
        <v>1.10459892987391</v>
      </c>
      <c r="AR395">
        <v>1.11641947093388</v>
      </c>
      <c r="AS395">
        <v>1.1267827594842</v>
      </c>
      <c r="AT395">
        <v>1.13731280726268</v>
      </c>
      <c r="AU395">
        <v>1.14780951817165</v>
      </c>
      <c r="AV395">
        <v>1.15651821372295</v>
      </c>
      <c r="AW395">
        <v>1.16193242983768</v>
      </c>
      <c r="AX395">
        <v>1.16407094658516</v>
      </c>
      <c r="AY395">
        <v>1.16408083083218</v>
      </c>
      <c r="AZ395">
        <v>1.16280532865867</v>
      </c>
      <c r="BA395">
        <v>0</v>
      </c>
      <c r="BB395">
        <v>0</v>
      </c>
      <c r="BC395">
        <v>0</v>
      </c>
      <c r="BD395">
        <v>0</v>
      </c>
      <c r="BE395">
        <v>0</v>
      </c>
      <c r="BF395">
        <v>0</v>
      </c>
      <c r="BG395">
        <v>0</v>
      </c>
      <c r="BH395">
        <v>0</v>
      </c>
      <c r="BJ395" t="s">
        <v>452</v>
      </c>
      <c r="BL395">
        <v>0.8</v>
      </c>
      <c r="BM395">
        <v>0.797560975609756</v>
      </c>
      <c r="BN395">
        <v>0.785365853658536</v>
      </c>
      <c r="BO395">
        <v>0.773170731707317</v>
      </c>
      <c r="BP395">
        <v>0.760975609756097</v>
      </c>
      <c r="BQ395">
        <v>0.748780487804878</v>
      </c>
      <c r="BR395">
        <v>0.736585365853658</v>
      </c>
      <c r="BS395">
        <v>0.724390243902439</v>
      </c>
      <c r="BT395">
        <v>0.71219512195122</v>
      </c>
      <c r="BU395">
        <v>0.699999999999999</v>
      </c>
      <c r="BV395">
        <v>0.687499999999999</v>
      </c>
      <c r="BW395">
        <v>0.675</v>
      </c>
      <c r="BX395">
        <v>0.6625</v>
      </c>
      <c r="BY395">
        <v>0.649999999999999</v>
      </c>
      <c r="BZ395">
        <v>0.637499999999999</v>
      </c>
      <c r="CA395">
        <v>0.625</v>
      </c>
      <c r="CB395">
        <v>0.6125</v>
      </c>
      <c r="CC395">
        <v>0.6</v>
      </c>
      <c r="CD395" t="e">
        <v>#VALUE!</v>
      </c>
      <c r="CE395" t="e">
        <v>#VALUE!</v>
      </c>
      <c r="CF395" t="e">
        <v>#VALUE!</v>
      </c>
      <c r="CG395" t="e">
        <v>#VALUE!</v>
      </c>
      <c r="CH395" t="e">
        <v>#VALUE!</v>
      </c>
      <c r="CI395" t="e">
        <v>#VALUE!</v>
      </c>
      <c r="CJ395" t="e">
        <v>#VALUE!</v>
      </c>
      <c r="CK395" t="e">
        <v>#VALUE!</v>
      </c>
    </row>
    <row r="396" spans="1:89">
      <c r="A396" s="34" t="s">
        <v>36</v>
      </c>
      <c r="B396" s="34" t="s">
        <v>448</v>
      </c>
      <c r="C396" s="34" t="s">
        <v>448</v>
      </c>
      <c r="D396" s="34">
        <v>346.02</v>
      </c>
      <c r="E396" s="34">
        <v>343.399415437687</v>
      </c>
      <c r="F396" s="34"/>
      <c r="G396" s="34">
        <v>382.701294180686</v>
      </c>
      <c r="H396" s="34">
        <v>405.04906631086</v>
      </c>
      <c r="I396" s="34">
        <v>429.613989636983</v>
      </c>
      <c r="J396" s="34">
        <v>457.334636446194</v>
      </c>
      <c r="K396" s="34">
        <v>486.825286283558</v>
      </c>
      <c r="L396" s="34">
        <v>516.022686042406</v>
      </c>
      <c r="M396" s="34">
        <v>545.778155089236</v>
      </c>
      <c r="N396" s="34">
        <v>576.312619885786</v>
      </c>
      <c r="O396" s="34">
        <v>606.947177163319</v>
      </c>
      <c r="P396" s="34">
        <v>635.578330573837</v>
      </c>
      <c r="Q396" s="34">
        <v>661.721500861818</v>
      </c>
      <c r="R396" s="34">
        <v>685.780557111094</v>
      </c>
      <c r="S396" s="34">
        <v>708.431650701317</v>
      </c>
      <c r="T396" s="34">
        <v>729.910180124928</v>
      </c>
      <c r="U396" s="34">
        <v>749.895055341612</v>
      </c>
      <c r="V396" s="34">
        <v>767.843576621015</v>
      </c>
      <c r="W396" s="34">
        <v>3</v>
      </c>
      <c r="AG396" s="232" t="s">
        <v>449</v>
      </c>
      <c r="AI396">
        <v>1</v>
      </c>
      <c r="AJ396">
        <v>0.990504166730313</v>
      </c>
      <c r="AK396">
        <v>1.13484793925673</v>
      </c>
      <c r="AL396">
        <v>1.22055894109294</v>
      </c>
      <c r="AM396">
        <v>1.31783272199794</v>
      </c>
      <c r="AN396">
        <v>1.4313941154074</v>
      </c>
      <c r="AO396">
        <v>1.55670430573101</v>
      </c>
      <c r="AP396">
        <v>1.6855899605043</v>
      </c>
      <c r="AQ396">
        <v>1.82206428291952</v>
      </c>
      <c r="AR396">
        <v>1.96769058386529</v>
      </c>
      <c r="AS396">
        <v>2.11982854211524</v>
      </c>
      <c r="AT396">
        <v>2.2679728299652</v>
      </c>
      <c r="AU396">
        <v>2.40878530584411</v>
      </c>
      <c r="AV396">
        <v>2.54352267959112</v>
      </c>
      <c r="AW396">
        <v>2.6753056922887</v>
      </c>
      <c r="AX396">
        <v>2.80508336548462</v>
      </c>
      <c r="AY396">
        <v>2.93047590551538</v>
      </c>
      <c r="AZ396">
        <v>3.04737606101994</v>
      </c>
      <c r="BA396">
        <v>0</v>
      </c>
      <c r="BB396">
        <v>0</v>
      </c>
      <c r="BC396">
        <v>0</v>
      </c>
      <c r="BD396">
        <v>0</v>
      </c>
      <c r="BE396">
        <v>0</v>
      </c>
      <c r="BF396">
        <v>0</v>
      </c>
      <c r="BG396">
        <v>0</v>
      </c>
      <c r="BH396">
        <v>0</v>
      </c>
      <c r="BJ396" t="s">
        <v>452</v>
      </c>
      <c r="BL396">
        <v>0.8</v>
      </c>
      <c r="BM396">
        <v>0.797560975609756</v>
      </c>
      <c r="BN396">
        <v>0.785365853658536</v>
      </c>
      <c r="BO396">
        <v>0.773170731707317</v>
      </c>
      <c r="BP396">
        <v>0.760975609756097</v>
      </c>
      <c r="BQ396">
        <v>0.748780487804878</v>
      </c>
      <c r="BR396">
        <v>0.736585365853658</v>
      </c>
      <c r="BS396">
        <v>0.724390243902439</v>
      </c>
      <c r="BT396">
        <v>0.71219512195122</v>
      </c>
      <c r="BU396">
        <v>0.699999999999999</v>
      </c>
      <c r="BV396">
        <v>0.687499999999999</v>
      </c>
      <c r="BW396">
        <v>0.675</v>
      </c>
      <c r="BX396">
        <v>0.6625</v>
      </c>
      <c r="BY396">
        <v>0.649999999999999</v>
      </c>
      <c r="BZ396">
        <v>0.637499999999999</v>
      </c>
      <c r="CA396">
        <v>0.625</v>
      </c>
      <c r="CB396">
        <v>0.6125</v>
      </c>
      <c r="CC396">
        <v>0.6</v>
      </c>
      <c r="CD396" t="e">
        <v>#VALUE!</v>
      </c>
      <c r="CE396" t="e">
        <v>#VALUE!</v>
      </c>
      <c r="CF396" t="e">
        <v>#VALUE!</v>
      </c>
      <c r="CG396" t="e">
        <v>#VALUE!</v>
      </c>
      <c r="CH396" t="e">
        <v>#VALUE!</v>
      </c>
      <c r="CI396" t="e">
        <v>#VALUE!</v>
      </c>
      <c r="CJ396" t="e">
        <v>#VALUE!</v>
      </c>
      <c r="CK396" t="e">
        <v>#VALUE!</v>
      </c>
    </row>
    <row r="397" spans="1:89">
      <c r="A397" s="34" t="s">
        <v>36</v>
      </c>
      <c r="B397" s="34" t="s">
        <v>450</v>
      </c>
      <c r="C397" s="34" t="s">
        <v>450</v>
      </c>
      <c r="D397" s="34">
        <v>95.2</v>
      </c>
      <c r="E397" s="34">
        <v>94.6797727649605</v>
      </c>
      <c r="F397" s="34"/>
      <c r="G397" s="34">
        <v>106.649959117685</v>
      </c>
      <c r="H397" s="34">
        <v>114.017902981276</v>
      </c>
      <c r="I397" s="34">
        <v>122.13725577279</v>
      </c>
      <c r="J397" s="34">
        <v>131.388184427004</v>
      </c>
      <c r="K397" s="34">
        <v>141.464815972633</v>
      </c>
      <c r="L397" s="34">
        <v>151.764310453394</v>
      </c>
      <c r="M397" s="34">
        <v>162.043192473531</v>
      </c>
      <c r="N397" s="34">
        <v>172.419822922564</v>
      </c>
      <c r="O397" s="34">
        <v>182.770420870736</v>
      </c>
      <c r="P397" s="34">
        <v>192.625633514536</v>
      </c>
      <c r="Q397" s="34">
        <v>201.799812978739</v>
      </c>
      <c r="R397" s="34">
        <v>210.187791625947</v>
      </c>
      <c r="S397" s="34">
        <v>217.79001571338</v>
      </c>
      <c r="T397" s="34">
        <v>224.655742265625</v>
      </c>
      <c r="U397" s="34">
        <v>230.808016943289</v>
      </c>
      <c r="V397" s="34">
        <v>236.174546944976</v>
      </c>
      <c r="W397" s="34">
        <v>3</v>
      </c>
      <c r="AG397" s="232" t="s">
        <v>437</v>
      </c>
      <c r="AI397">
        <v>1</v>
      </c>
      <c r="AJ397">
        <v>0.993148396218289</v>
      </c>
      <c r="AK397">
        <v>1.15302533912728</v>
      </c>
      <c r="AL397">
        <v>1.25605186635103</v>
      </c>
      <c r="AM397">
        <v>1.37359173441292</v>
      </c>
      <c r="AN397">
        <v>1.51253590278995</v>
      </c>
      <c r="AO397">
        <v>1.67002180157007</v>
      </c>
      <c r="AP397">
        <v>1.83787012917579</v>
      </c>
      <c r="AQ397">
        <v>2.01265025707437</v>
      </c>
      <c r="AR397">
        <v>2.19676808060046</v>
      </c>
      <c r="AS397">
        <v>2.38858625431799</v>
      </c>
      <c r="AT397">
        <v>2.57939454604319</v>
      </c>
      <c r="AU397">
        <v>2.76482670127988</v>
      </c>
      <c r="AV397">
        <v>2.94163030596454</v>
      </c>
      <c r="AW397">
        <v>3.10852444359958</v>
      </c>
      <c r="AX397">
        <v>3.26531604850998</v>
      </c>
      <c r="AY397">
        <v>3.41131082682603</v>
      </c>
      <c r="AZ397">
        <v>3.54350512218087</v>
      </c>
      <c r="BA397">
        <v>0</v>
      </c>
      <c r="BB397">
        <v>0</v>
      </c>
      <c r="BC397">
        <v>0</v>
      </c>
      <c r="BD397">
        <v>0</v>
      </c>
      <c r="BE397">
        <v>0</v>
      </c>
      <c r="BF397">
        <v>0</v>
      </c>
      <c r="BG397">
        <v>0</v>
      </c>
      <c r="BH397">
        <v>0</v>
      </c>
      <c r="BJ397" t="s">
        <v>452</v>
      </c>
      <c r="BL397">
        <v>0.8</v>
      </c>
      <c r="BM397">
        <v>0.797560975609756</v>
      </c>
      <c r="BN397">
        <v>0.785365853658536</v>
      </c>
      <c r="BO397">
        <v>0.773170731707317</v>
      </c>
      <c r="BP397">
        <v>0.760975609756097</v>
      </c>
      <c r="BQ397">
        <v>0.748780487804878</v>
      </c>
      <c r="BR397">
        <v>0.736585365853658</v>
      </c>
      <c r="BS397">
        <v>0.724390243902439</v>
      </c>
      <c r="BT397">
        <v>0.71219512195122</v>
      </c>
      <c r="BU397">
        <v>0.699999999999999</v>
      </c>
      <c r="BV397">
        <v>0.687499999999999</v>
      </c>
      <c r="BW397">
        <v>0.675</v>
      </c>
      <c r="BX397">
        <v>0.6625</v>
      </c>
      <c r="BY397">
        <v>0.649999999999999</v>
      </c>
      <c r="BZ397">
        <v>0.637499999999999</v>
      </c>
      <c r="CA397">
        <v>0.625</v>
      </c>
      <c r="CB397">
        <v>0.6125</v>
      </c>
      <c r="CC397">
        <v>0.6</v>
      </c>
      <c r="CD397" t="e">
        <v>#VALUE!</v>
      </c>
      <c r="CE397" t="e">
        <v>#VALUE!</v>
      </c>
      <c r="CF397" t="e">
        <v>#VALUE!</v>
      </c>
      <c r="CG397" t="e">
        <v>#VALUE!</v>
      </c>
      <c r="CH397" t="e">
        <v>#VALUE!</v>
      </c>
      <c r="CI397" t="e">
        <v>#VALUE!</v>
      </c>
      <c r="CJ397" t="e">
        <v>#VALUE!</v>
      </c>
      <c r="CK397" t="e">
        <v>#VALUE!</v>
      </c>
    </row>
    <row r="398" spans="1:89">
      <c r="A398" s="34" t="s">
        <v>36</v>
      </c>
      <c r="B398" s="34" t="s">
        <v>451</v>
      </c>
      <c r="C398" s="34" t="s">
        <v>451</v>
      </c>
      <c r="D398" s="34">
        <v>54.4</v>
      </c>
      <c r="E398" s="34">
        <v>54.1027272942632</v>
      </c>
      <c r="F398" s="34"/>
      <c r="G398" s="34">
        <v>60.9428337815345</v>
      </c>
      <c r="H398" s="34">
        <v>65.1530874178718</v>
      </c>
      <c r="I398" s="34">
        <v>69.7927175844515</v>
      </c>
      <c r="J398" s="34">
        <v>75.0789625297164</v>
      </c>
      <c r="K398" s="34">
        <v>80.8370376986475</v>
      </c>
      <c r="L398" s="34">
        <v>86.7224631162254</v>
      </c>
      <c r="M398" s="34">
        <v>92.5961099848746</v>
      </c>
      <c r="N398" s="34">
        <v>98.5256130986077</v>
      </c>
      <c r="O398" s="34">
        <v>104.440240497563</v>
      </c>
      <c r="P398" s="34">
        <v>110.071790579735</v>
      </c>
      <c r="Q398" s="34">
        <v>115.314178844994</v>
      </c>
      <c r="R398" s="34">
        <v>120.107309500541</v>
      </c>
      <c r="S398" s="34">
        <v>124.451437550503</v>
      </c>
      <c r="T398" s="34">
        <v>128.374709866072</v>
      </c>
      <c r="U398" s="34">
        <v>131.890295396165</v>
      </c>
      <c r="V398" s="34">
        <v>134.956883968558</v>
      </c>
      <c r="W398" s="34">
        <v>3</v>
      </c>
      <c r="AG398" s="232" t="s">
        <v>437</v>
      </c>
      <c r="AI398">
        <v>1</v>
      </c>
      <c r="AJ398">
        <v>0.993148396218289</v>
      </c>
      <c r="AK398">
        <v>1.15302533912728</v>
      </c>
      <c r="AL398">
        <v>1.25605186635103</v>
      </c>
      <c r="AM398">
        <v>1.37359173441292</v>
      </c>
      <c r="AN398">
        <v>1.51253590278995</v>
      </c>
      <c r="AO398">
        <v>1.67002180157007</v>
      </c>
      <c r="AP398">
        <v>1.83787012917579</v>
      </c>
      <c r="AQ398">
        <v>2.01265025707437</v>
      </c>
      <c r="AR398">
        <v>2.19676808060046</v>
      </c>
      <c r="AS398">
        <v>2.38858625431799</v>
      </c>
      <c r="AT398">
        <v>2.57939454604319</v>
      </c>
      <c r="AU398">
        <v>2.76482670127988</v>
      </c>
      <c r="AV398">
        <v>2.94163030596454</v>
      </c>
      <c r="AW398">
        <v>3.10852444359958</v>
      </c>
      <c r="AX398">
        <v>3.26531604850998</v>
      </c>
      <c r="AY398">
        <v>3.41131082682603</v>
      </c>
      <c r="AZ398">
        <v>3.54350512218087</v>
      </c>
      <c r="BA398">
        <v>0</v>
      </c>
      <c r="BB398">
        <v>0</v>
      </c>
      <c r="BC398">
        <v>0</v>
      </c>
      <c r="BD398">
        <v>0</v>
      </c>
      <c r="BE398">
        <v>0</v>
      </c>
      <c r="BF398">
        <v>0</v>
      </c>
      <c r="BG398">
        <v>0</v>
      </c>
      <c r="BH398">
        <v>0</v>
      </c>
      <c r="BJ398" t="s">
        <v>452</v>
      </c>
      <c r="BL398">
        <v>0.8</v>
      </c>
      <c r="BM398">
        <v>0.797560975609756</v>
      </c>
      <c r="BN398">
        <v>0.785365853658536</v>
      </c>
      <c r="BO398">
        <v>0.773170731707317</v>
      </c>
      <c r="BP398">
        <v>0.760975609756097</v>
      </c>
      <c r="BQ398">
        <v>0.748780487804878</v>
      </c>
      <c r="BR398">
        <v>0.736585365853658</v>
      </c>
      <c r="BS398">
        <v>0.724390243902439</v>
      </c>
      <c r="BT398">
        <v>0.71219512195122</v>
      </c>
      <c r="BU398">
        <v>0.699999999999999</v>
      </c>
      <c r="BV398">
        <v>0.687499999999999</v>
      </c>
      <c r="BW398">
        <v>0.675</v>
      </c>
      <c r="BX398">
        <v>0.6625</v>
      </c>
      <c r="BY398">
        <v>0.649999999999999</v>
      </c>
      <c r="BZ398">
        <v>0.637499999999999</v>
      </c>
      <c r="CA398">
        <v>0.625</v>
      </c>
      <c r="CB398">
        <v>0.6125</v>
      </c>
      <c r="CC398">
        <v>0.6</v>
      </c>
      <c r="CD398" t="e">
        <v>#VALUE!</v>
      </c>
      <c r="CE398" t="e">
        <v>#VALUE!</v>
      </c>
      <c r="CF398" t="e">
        <v>#VALUE!</v>
      </c>
      <c r="CG398" t="e">
        <v>#VALUE!</v>
      </c>
      <c r="CH398" t="e">
        <v>#VALUE!</v>
      </c>
      <c r="CI398" t="e">
        <v>#VALUE!</v>
      </c>
      <c r="CJ398" t="e">
        <v>#VALUE!</v>
      </c>
      <c r="CK398" t="e">
        <v>#VALUE!</v>
      </c>
    </row>
    <row r="399" spans="1:89">
      <c r="A399" s="34" t="s">
        <v>37</v>
      </c>
      <c r="B399" s="34" t="s">
        <v>436</v>
      </c>
      <c r="C399" s="34" t="s">
        <v>436</v>
      </c>
      <c r="D399" s="34"/>
      <c r="E399" s="34">
        <v>7.75124785307158</v>
      </c>
      <c r="F399" s="34">
        <f xml:space="preserve">E399</f>
        <v>7.75124785307158</v>
      </c>
      <c r="G399" s="34"/>
      <c r="H399" s="34"/>
      <c r="I399" s="34">
        <f xml:space="preserve">F399</f>
        <v>7.75124785307158</v>
      </c>
      <c r="J399" s="34">
        <f xml:space="preserve">I399</f>
        <v>7.75124785307158</v>
      </c>
      <c r="K399" s="34"/>
      <c r="L399" s="34">
        <f xml:space="preserve">J399</f>
        <v>7.75124785307158</v>
      </c>
      <c r="M399" s="34"/>
      <c r="N399" s="34"/>
      <c r="O399" s="34"/>
      <c r="P399" s="34"/>
      <c r="Q399" s="34"/>
      <c r="R399" s="34"/>
      <c r="S399" s="34"/>
      <c r="T399" s="34"/>
      <c r="U399" s="34"/>
      <c r="V399" s="34">
        <f xml:space="preserve">L399</f>
        <v>7.75124785307158</v>
      </c>
      <c r="W399" s="34">
        <v>3</v>
      </c>
      <c r="AG399" s="232" t="s">
        <v>437</v>
      </c>
      <c r="AI399">
        <v>1</v>
      </c>
      <c r="AJ399">
        <v>1.0145966444184</v>
      </c>
      <c r="AK399">
        <v>0.856769478056215</v>
      </c>
      <c r="AL399">
        <v>1.0709615244502</v>
      </c>
      <c r="AM399">
        <v>1.29734461405191</v>
      </c>
      <c r="AN399">
        <v>1.52023209843737</v>
      </c>
      <c r="AO399">
        <v>1.73249613354527</v>
      </c>
      <c r="AP399">
        <v>1.94251088369941</v>
      </c>
      <c r="AQ399">
        <v>2.15758237059863</v>
      </c>
      <c r="AR399">
        <v>2.38360559676455</v>
      </c>
      <c r="AS399">
        <v>2.61479338945824</v>
      </c>
      <c r="AT399">
        <v>2.84483862959129</v>
      </c>
      <c r="AU399">
        <v>3.0697717409676</v>
      </c>
      <c r="AV399">
        <v>3.29172937811721</v>
      </c>
      <c r="AW399">
        <v>3.51801867057916</v>
      </c>
      <c r="AX399">
        <v>3.75378553623732</v>
      </c>
      <c r="AY399">
        <v>3.99739591074752</v>
      </c>
      <c r="AZ399">
        <v>4.24337337055627</v>
      </c>
      <c r="BA399">
        <v>0</v>
      </c>
      <c r="BB399">
        <v>0</v>
      </c>
      <c r="BC399">
        <v>0</v>
      </c>
      <c r="BD399">
        <v>0</v>
      </c>
      <c r="BE399">
        <v>0</v>
      </c>
      <c r="BF399">
        <v>0</v>
      </c>
      <c r="BG399">
        <v>0</v>
      </c>
      <c r="BH399">
        <v>0</v>
      </c>
      <c r="BJ399" t="s">
        <v>438</v>
      </c>
      <c r="BL399">
        <v>1</v>
      </c>
      <c r="BM399">
        <v>0.997560975609757</v>
      </c>
      <c r="BN399">
        <v>0.985365853658537</v>
      </c>
      <c r="BO399">
        <v>0.973170731707317</v>
      </c>
      <c r="BP399">
        <v>0.960975609756098</v>
      </c>
      <c r="BQ399">
        <v>0.948780487804878</v>
      </c>
      <c r="BR399">
        <v>0.936585365853658</v>
      </c>
      <c r="BS399">
        <v>0.924390243902439</v>
      </c>
      <c r="BT399">
        <v>0.91219512195122</v>
      </c>
      <c r="BU399">
        <v>0.9</v>
      </c>
      <c r="BV399">
        <v>0.8875</v>
      </c>
      <c r="BW399">
        <v>0.875000000000001</v>
      </c>
      <c r="BX399">
        <v>0.862500000000001</v>
      </c>
      <c r="BY399">
        <v>0.850000000000001</v>
      </c>
      <c r="BZ399">
        <v>0.8375</v>
      </c>
      <c r="CA399">
        <v>0.825000000000001</v>
      </c>
      <c r="CB399">
        <v>0.812500000000001</v>
      </c>
      <c r="CC399">
        <v>0.800000000000001</v>
      </c>
      <c r="CD399" t="e">
        <v>#VALUE!</v>
      </c>
      <c r="CE399" t="e">
        <v>#VALUE!</v>
      </c>
      <c r="CF399" t="e">
        <v>#VALUE!</v>
      </c>
      <c r="CG399" t="e">
        <v>#VALUE!</v>
      </c>
      <c r="CH399" t="e">
        <v>#VALUE!</v>
      </c>
      <c r="CI399" t="e">
        <v>#VALUE!</v>
      </c>
      <c r="CJ399" t="e">
        <v>#VALUE!</v>
      </c>
      <c r="CK399" t="e">
        <v>#VALUE!</v>
      </c>
    </row>
    <row r="400" spans="1:89">
      <c r="A400" s="34" t="s">
        <v>37</v>
      </c>
      <c r="B400" s="34" t="s">
        <v>439</v>
      </c>
      <c r="C400" s="34" t="s">
        <v>439</v>
      </c>
      <c r="D400" s="34"/>
      <c r="E400" s="34">
        <v>7.39791458129825</v>
      </c>
      <c r="F400" s="34">
        <f xml:space="preserve">E400</f>
        <v>7.39791458129825</v>
      </c>
      <c r="G400" s="34"/>
      <c r="H400" s="34"/>
      <c r="I400" s="34">
        <f xml:space="preserve">F400</f>
        <v>7.39791458129825</v>
      </c>
      <c r="J400" s="34">
        <f xml:space="preserve">I400</f>
        <v>7.39791458129825</v>
      </c>
      <c r="K400" s="34"/>
      <c r="L400" s="34">
        <f xml:space="preserve">J400</f>
        <v>7.39791458129825</v>
      </c>
      <c r="M400" s="34"/>
      <c r="N400" s="34"/>
      <c r="O400" s="34"/>
      <c r="P400" s="34"/>
      <c r="Q400" s="34"/>
      <c r="R400" s="34"/>
      <c r="S400" s="34"/>
      <c r="T400" s="34"/>
      <c r="U400" s="34"/>
      <c r="V400" s="34">
        <f xml:space="preserve">L400</f>
        <v>7.39791458129825</v>
      </c>
      <c r="W400" s="34">
        <v>3</v>
      </c>
      <c r="AG400" s="232" t="s">
        <v>437</v>
      </c>
      <c r="AI400">
        <v>1</v>
      </c>
      <c r="AJ400">
        <v>1.0145966444184</v>
      </c>
      <c r="AK400">
        <v>0.856769478056215</v>
      </c>
      <c r="AL400">
        <v>1.0709615244502</v>
      </c>
      <c r="AM400">
        <v>1.29734461405191</v>
      </c>
      <c r="AN400">
        <v>1.52023209843737</v>
      </c>
      <c r="AO400">
        <v>1.73249613354527</v>
      </c>
      <c r="AP400">
        <v>1.94251088369941</v>
      </c>
      <c r="AQ400">
        <v>2.15758237059863</v>
      </c>
      <c r="AR400">
        <v>2.38360559676455</v>
      </c>
      <c r="AS400">
        <v>2.61479338945824</v>
      </c>
      <c r="AT400">
        <v>2.84483862959129</v>
      </c>
      <c r="AU400">
        <v>3.0697717409676</v>
      </c>
      <c r="AV400">
        <v>3.29172937811721</v>
      </c>
      <c r="AW400">
        <v>3.51801867057916</v>
      </c>
      <c r="AX400">
        <v>3.75378553623732</v>
      </c>
      <c r="AY400">
        <v>3.99739591074752</v>
      </c>
      <c r="AZ400">
        <v>4.24337337055627</v>
      </c>
      <c r="BA400">
        <v>0</v>
      </c>
      <c r="BB400">
        <v>0</v>
      </c>
      <c r="BC400">
        <v>0</v>
      </c>
      <c r="BD400">
        <v>0</v>
      </c>
      <c r="BE400">
        <v>0</v>
      </c>
      <c r="BF400">
        <v>0</v>
      </c>
      <c r="BG400">
        <v>0</v>
      </c>
      <c r="BH400">
        <v>0</v>
      </c>
      <c r="BJ400" t="s">
        <v>438</v>
      </c>
      <c r="BL400">
        <v>1</v>
      </c>
      <c r="BM400">
        <v>0.997560975609757</v>
      </c>
      <c r="BN400">
        <v>0.985365853658537</v>
      </c>
      <c r="BO400">
        <v>0.973170731707317</v>
      </c>
      <c r="BP400">
        <v>0.960975609756098</v>
      </c>
      <c r="BQ400">
        <v>0.948780487804878</v>
      </c>
      <c r="BR400">
        <v>0.936585365853658</v>
      </c>
      <c r="BS400">
        <v>0.924390243902439</v>
      </c>
      <c r="BT400">
        <v>0.91219512195122</v>
      </c>
      <c r="BU400">
        <v>0.9</v>
      </c>
      <c r="BV400">
        <v>0.8875</v>
      </c>
      <c r="BW400">
        <v>0.875000000000001</v>
      </c>
      <c r="BX400">
        <v>0.862500000000001</v>
      </c>
      <c r="BY400">
        <v>0.850000000000001</v>
      </c>
      <c r="BZ400">
        <v>0.8375</v>
      </c>
      <c r="CA400">
        <v>0.825000000000001</v>
      </c>
      <c r="CB400">
        <v>0.812500000000001</v>
      </c>
      <c r="CC400">
        <v>0.800000000000001</v>
      </c>
      <c r="CD400" t="e">
        <v>#VALUE!</v>
      </c>
      <c r="CE400" t="e">
        <v>#VALUE!</v>
      </c>
      <c r="CF400" t="e">
        <v>#VALUE!</v>
      </c>
      <c r="CG400" t="e">
        <v>#VALUE!</v>
      </c>
      <c r="CH400" t="e">
        <v>#VALUE!</v>
      </c>
      <c r="CI400" t="e">
        <v>#VALUE!</v>
      </c>
      <c r="CJ400" t="e">
        <v>#VALUE!</v>
      </c>
      <c r="CK400" t="e">
        <v>#VALUE!</v>
      </c>
    </row>
    <row r="401" spans="1:89">
      <c r="A401" s="34" t="s">
        <v>37</v>
      </c>
      <c r="B401" s="34" t="s">
        <v>440</v>
      </c>
      <c r="C401" s="34" t="s">
        <v>440</v>
      </c>
      <c r="D401" s="34"/>
      <c r="E401" s="34">
        <v>5.36702369795162</v>
      </c>
      <c r="F401" s="34"/>
      <c r="G401" s="34"/>
      <c r="H401" s="34"/>
      <c r="I401" s="34">
        <v>6.79767649689424</v>
      </c>
      <c r="J401" s="34">
        <v>7.90571937471574</v>
      </c>
      <c r="K401" s="34"/>
      <c r="L401" s="34">
        <v>9.94129063496476</v>
      </c>
      <c r="M401" s="34"/>
      <c r="N401" s="34"/>
      <c r="O401" s="34"/>
      <c r="P401" s="34"/>
      <c r="Q401" s="34"/>
      <c r="R401" s="34"/>
      <c r="S401" s="34"/>
      <c r="T401" s="34"/>
      <c r="U401" s="34"/>
      <c r="V401" s="34">
        <v>19.5816696304826</v>
      </c>
      <c r="W401" s="34">
        <v>3</v>
      </c>
      <c r="AG401" s="232" t="s">
        <v>437</v>
      </c>
      <c r="AI401">
        <v>1</v>
      </c>
      <c r="AJ401">
        <v>1.0145966444184</v>
      </c>
      <c r="AK401">
        <v>0.856769478056215</v>
      </c>
      <c r="AL401">
        <v>1.0709615244502</v>
      </c>
      <c r="AM401">
        <v>1.29734461405191</v>
      </c>
      <c r="AN401">
        <v>1.52023209843737</v>
      </c>
      <c r="AO401">
        <v>1.73249613354527</v>
      </c>
      <c r="AP401">
        <v>1.94251088369941</v>
      </c>
      <c r="AQ401">
        <v>2.15758237059863</v>
      </c>
      <c r="AR401">
        <v>2.38360559676455</v>
      </c>
      <c r="AS401">
        <v>2.61479338945824</v>
      </c>
      <c r="AT401">
        <v>2.84483862959129</v>
      </c>
      <c r="AU401">
        <v>3.0697717409676</v>
      </c>
      <c r="AV401">
        <v>3.29172937811721</v>
      </c>
      <c r="AW401">
        <v>3.51801867057916</v>
      </c>
      <c r="AX401">
        <v>3.75378553623732</v>
      </c>
      <c r="AY401">
        <v>3.99739591074752</v>
      </c>
      <c r="AZ401">
        <v>4.24337337055627</v>
      </c>
      <c r="BA401">
        <v>0</v>
      </c>
      <c r="BB401">
        <v>0</v>
      </c>
      <c r="BC401">
        <v>0</v>
      </c>
      <c r="BD401">
        <v>0</v>
      </c>
      <c r="BE401">
        <v>0</v>
      </c>
      <c r="BF401">
        <v>0</v>
      </c>
      <c r="BG401">
        <v>0</v>
      </c>
      <c r="BH401">
        <v>0</v>
      </c>
      <c r="BJ401" t="s">
        <v>438</v>
      </c>
      <c r="BL401">
        <v>1</v>
      </c>
      <c r="BM401">
        <v>0.997560975609757</v>
      </c>
      <c r="BN401">
        <v>0.985365853658537</v>
      </c>
      <c r="BO401">
        <v>0.973170731707317</v>
      </c>
      <c r="BP401">
        <v>0.960975609756098</v>
      </c>
      <c r="BQ401">
        <v>0.948780487804878</v>
      </c>
      <c r="BR401">
        <v>0.936585365853658</v>
      </c>
      <c r="BS401">
        <v>0.924390243902439</v>
      </c>
      <c r="BT401">
        <v>0.91219512195122</v>
      </c>
      <c r="BU401">
        <v>0.9</v>
      </c>
      <c r="BV401">
        <v>0.8875</v>
      </c>
      <c r="BW401">
        <v>0.875000000000001</v>
      </c>
      <c r="BX401">
        <v>0.862500000000001</v>
      </c>
      <c r="BY401">
        <v>0.850000000000001</v>
      </c>
      <c r="BZ401">
        <v>0.8375</v>
      </c>
      <c r="CA401">
        <v>0.825000000000001</v>
      </c>
      <c r="CB401">
        <v>0.812500000000001</v>
      </c>
      <c r="CC401">
        <v>0.800000000000001</v>
      </c>
      <c r="CD401" t="e">
        <v>#VALUE!</v>
      </c>
      <c r="CE401" t="e">
        <v>#VALUE!</v>
      </c>
      <c r="CF401" t="e">
        <v>#VALUE!</v>
      </c>
      <c r="CG401" t="e">
        <v>#VALUE!</v>
      </c>
      <c r="CH401" t="e">
        <v>#VALUE!</v>
      </c>
      <c r="CI401" t="e">
        <v>#VALUE!</v>
      </c>
      <c r="CJ401" t="e">
        <v>#VALUE!</v>
      </c>
      <c r="CK401" t="e">
        <v>#VALUE!</v>
      </c>
    </row>
    <row r="402" spans="1:89">
      <c r="A402" s="34" t="s">
        <v>37</v>
      </c>
      <c r="B402" s="34" t="s">
        <v>441</v>
      </c>
      <c r="C402" s="34" t="s">
        <v>441</v>
      </c>
      <c r="D402" s="34"/>
      <c r="E402" s="34">
        <v>15.1011499893745</v>
      </c>
      <c r="F402" s="34"/>
      <c r="G402" s="34"/>
      <c r="H402" s="34"/>
      <c r="I402" s="34">
        <v>12.7482738405374</v>
      </c>
      <c r="J402" s="34">
        <v>12.5807321535368</v>
      </c>
      <c r="K402" s="34"/>
      <c r="L402" s="34">
        <v>12.0676049227177</v>
      </c>
      <c r="M402" s="34"/>
      <c r="N402" s="34"/>
      <c r="O402" s="34"/>
      <c r="P402" s="34"/>
      <c r="Q402" s="34"/>
      <c r="R402" s="34"/>
      <c r="S402" s="34"/>
      <c r="T402" s="34"/>
      <c r="U402" s="34"/>
      <c r="V402" s="34">
        <v>9.69056012966569</v>
      </c>
      <c r="W402" s="34">
        <v>3</v>
      </c>
      <c r="AG402" s="232" t="s">
        <v>442</v>
      </c>
      <c r="AI402">
        <v>1</v>
      </c>
      <c r="AJ402">
        <v>0.968215646891066</v>
      </c>
      <c r="AK402">
        <v>0.809293881346395</v>
      </c>
      <c r="AL402">
        <v>0.817911043529999</v>
      </c>
      <c r="AM402">
        <v>0.815140329025702</v>
      </c>
      <c r="AN402">
        <v>0.803849180088473</v>
      </c>
      <c r="AO402">
        <v>0.787138158187406</v>
      </c>
      <c r="AP402">
        <v>0.768626428349187</v>
      </c>
      <c r="AQ402">
        <v>0.749127517330478</v>
      </c>
      <c r="AR402">
        <v>0.72983773852111</v>
      </c>
      <c r="AS402">
        <v>0.710555777546496</v>
      </c>
      <c r="AT402">
        <v>0.691690911393244</v>
      </c>
      <c r="AU402">
        <v>0.673621453497746</v>
      </c>
      <c r="AV402">
        <v>0.656544614384337</v>
      </c>
      <c r="AW402">
        <v>0.640411701869658</v>
      </c>
      <c r="AX402">
        <v>0.625131630997149</v>
      </c>
      <c r="AY402">
        <v>0.610205886556249</v>
      </c>
      <c r="AZ402">
        <v>0.594771408317638</v>
      </c>
      <c r="BA402">
        <v>0</v>
      </c>
      <c r="BB402">
        <v>0</v>
      </c>
      <c r="BC402">
        <v>0</v>
      </c>
      <c r="BD402">
        <v>0</v>
      </c>
      <c r="BE402">
        <v>0</v>
      </c>
      <c r="BF402">
        <v>0</v>
      </c>
      <c r="BG402">
        <v>0</v>
      </c>
      <c r="BH402">
        <v>0</v>
      </c>
      <c r="BJ402" t="s">
        <v>438</v>
      </c>
      <c r="BL402">
        <v>1</v>
      </c>
      <c r="BM402">
        <v>0.997560975609757</v>
      </c>
      <c r="BN402">
        <v>0.985365853658537</v>
      </c>
      <c r="BO402">
        <v>0.973170731707317</v>
      </c>
      <c r="BP402">
        <v>0.960975609756098</v>
      </c>
      <c r="BQ402">
        <v>0.948780487804878</v>
      </c>
      <c r="BR402">
        <v>0.936585365853658</v>
      </c>
      <c r="BS402">
        <v>0.924390243902439</v>
      </c>
      <c r="BT402">
        <v>0.91219512195122</v>
      </c>
      <c r="BU402">
        <v>0.9</v>
      </c>
      <c r="BV402">
        <v>0.8875</v>
      </c>
      <c r="BW402">
        <v>0.875000000000001</v>
      </c>
      <c r="BX402">
        <v>0.862500000000001</v>
      </c>
      <c r="BY402">
        <v>0.850000000000001</v>
      </c>
      <c r="BZ402">
        <v>0.8375</v>
      </c>
      <c r="CA402">
        <v>0.825000000000001</v>
      </c>
      <c r="CB402">
        <v>0.812500000000001</v>
      </c>
      <c r="CC402">
        <v>0.800000000000001</v>
      </c>
      <c r="CD402" t="e">
        <v>#VALUE!</v>
      </c>
      <c r="CE402" t="e">
        <v>#VALUE!</v>
      </c>
      <c r="CF402" t="e">
        <v>#VALUE!</v>
      </c>
      <c r="CG402" t="e">
        <v>#VALUE!</v>
      </c>
      <c r="CH402" t="e">
        <v>#VALUE!</v>
      </c>
      <c r="CI402" t="e">
        <v>#VALUE!</v>
      </c>
      <c r="CJ402" t="e">
        <v>#VALUE!</v>
      </c>
      <c r="CK402" t="e">
        <v>#VALUE!</v>
      </c>
    </row>
    <row r="403" spans="1:89">
      <c r="A403" s="34" t="s">
        <v>37</v>
      </c>
      <c r="B403" s="34" t="s">
        <v>443</v>
      </c>
      <c r="C403" s="34" t="s">
        <v>443</v>
      </c>
      <c r="D403" s="34"/>
      <c r="E403" s="34">
        <v>5.71590616242323</v>
      </c>
      <c r="F403" s="34">
        <f xml:space="preserve">E403</f>
        <v>5.71590616242323</v>
      </c>
      <c r="G403" s="34"/>
      <c r="H403" s="34"/>
      <c r="I403" s="34">
        <f xml:space="preserve">F403</f>
        <v>5.71590616242323</v>
      </c>
      <c r="J403" s="34">
        <f xml:space="preserve">I403</f>
        <v>5.71590616242323</v>
      </c>
      <c r="K403" s="34"/>
      <c r="L403" s="34">
        <f xml:space="preserve">J403</f>
        <v>5.71590616242323</v>
      </c>
      <c r="M403" s="34"/>
      <c r="N403" s="34"/>
      <c r="O403" s="34"/>
      <c r="P403" s="34"/>
      <c r="Q403" s="34"/>
      <c r="R403" s="34"/>
      <c r="S403" s="34"/>
      <c r="T403" s="34"/>
      <c r="U403" s="34"/>
      <c r="V403" s="34">
        <f xml:space="preserve">L403</f>
        <v>5.71590616242323</v>
      </c>
      <c r="W403" s="34">
        <v>3</v>
      </c>
      <c r="AG403" s="232" t="s">
        <v>437</v>
      </c>
      <c r="AI403">
        <v>1</v>
      </c>
      <c r="AJ403">
        <v>1.0145966444184</v>
      </c>
      <c r="AK403">
        <v>0.856769478056215</v>
      </c>
      <c r="AL403">
        <v>1.0709615244502</v>
      </c>
      <c r="AM403">
        <v>1.29734461405191</v>
      </c>
      <c r="AN403">
        <v>1.52023209843737</v>
      </c>
      <c r="AO403">
        <v>1.73249613354527</v>
      </c>
      <c r="AP403">
        <v>1.94251088369941</v>
      </c>
      <c r="AQ403">
        <v>2.15758237059863</v>
      </c>
      <c r="AR403">
        <v>2.38360559676455</v>
      </c>
      <c r="AS403">
        <v>2.61479338945824</v>
      </c>
      <c r="AT403">
        <v>2.84483862959129</v>
      </c>
      <c r="AU403">
        <v>3.0697717409676</v>
      </c>
      <c r="AV403">
        <v>3.29172937811721</v>
      </c>
      <c r="AW403">
        <v>3.51801867057916</v>
      </c>
      <c r="AX403">
        <v>3.75378553623732</v>
      </c>
      <c r="AY403">
        <v>3.99739591074752</v>
      </c>
      <c r="AZ403">
        <v>4.24337337055627</v>
      </c>
      <c r="BA403">
        <v>0</v>
      </c>
      <c r="BB403">
        <v>0</v>
      </c>
      <c r="BC403">
        <v>0</v>
      </c>
      <c r="BD403">
        <v>0</v>
      </c>
      <c r="BE403">
        <v>0</v>
      </c>
      <c r="BF403">
        <v>0</v>
      </c>
      <c r="BG403">
        <v>0</v>
      </c>
      <c r="BH403">
        <v>0</v>
      </c>
      <c r="BJ403" t="s">
        <v>438</v>
      </c>
      <c r="BL403">
        <v>1</v>
      </c>
      <c r="BM403">
        <v>0.997560975609757</v>
      </c>
      <c r="BN403">
        <v>0.985365853658537</v>
      </c>
      <c r="BO403">
        <v>0.973170731707317</v>
      </c>
      <c r="BP403">
        <v>0.960975609756098</v>
      </c>
      <c r="BQ403">
        <v>0.948780487804878</v>
      </c>
      <c r="BR403">
        <v>0.936585365853658</v>
      </c>
      <c r="BS403">
        <v>0.924390243902439</v>
      </c>
      <c r="BT403">
        <v>0.91219512195122</v>
      </c>
      <c r="BU403">
        <v>0.9</v>
      </c>
      <c r="BV403">
        <v>0.8875</v>
      </c>
      <c r="BW403">
        <v>0.875000000000001</v>
      </c>
      <c r="BX403">
        <v>0.862500000000001</v>
      </c>
      <c r="BY403">
        <v>0.850000000000001</v>
      </c>
      <c r="BZ403">
        <v>0.8375</v>
      </c>
      <c r="CA403">
        <v>0.825000000000001</v>
      </c>
      <c r="CB403">
        <v>0.812500000000001</v>
      </c>
      <c r="CC403">
        <v>0.800000000000001</v>
      </c>
      <c r="CD403" t="e">
        <v>#VALUE!</v>
      </c>
      <c r="CE403" t="e">
        <v>#VALUE!</v>
      </c>
      <c r="CF403" t="e">
        <v>#VALUE!</v>
      </c>
      <c r="CG403" t="e">
        <v>#VALUE!</v>
      </c>
      <c r="CH403" t="e">
        <v>#VALUE!</v>
      </c>
      <c r="CI403" t="e">
        <v>#VALUE!</v>
      </c>
      <c r="CJ403" t="e">
        <v>#VALUE!</v>
      </c>
      <c r="CK403" t="e">
        <v>#VALUE!</v>
      </c>
    </row>
    <row r="404" spans="1:89">
      <c r="A404" s="34" t="s">
        <v>37</v>
      </c>
      <c r="B404" s="34" t="s">
        <v>444</v>
      </c>
      <c r="C404" s="34" t="s">
        <v>444</v>
      </c>
      <c r="D404" s="34"/>
      <c r="E404" s="34">
        <v>0</v>
      </c>
      <c r="F404" s="34">
        <f xml:space="preserve">E404</f>
        <v>0</v>
      </c>
      <c r="G404" s="34"/>
      <c r="H404" s="34"/>
      <c r="I404" s="34">
        <f xml:space="preserve">F404</f>
        <v>0</v>
      </c>
      <c r="J404" s="34">
        <f xml:space="preserve">I404</f>
        <v>0</v>
      </c>
      <c r="K404" s="34"/>
      <c r="L404" s="34">
        <f xml:space="preserve">J404</f>
        <v>0</v>
      </c>
      <c r="M404" s="34"/>
      <c r="N404" s="34"/>
      <c r="O404" s="34"/>
      <c r="P404" s="34"/>
      <c r="Q404" s="34"/>
      <c r="R404" s="34"/>
      <c r="S404" s="34"/>
      <c r="T404" s="34"/>
      <c r="U404" s="34"/>
      <c r="V404" s="34">
        <f xml:space="preserve">L404</f>
        <v>0</v>
      </c>
      <c r="W404" s="34">
        <v>3</v>
      </c>
      <c r="AG404" s="232" t="s">
        <v>437</v>
      </c>
      <c r="AI404">
        <v>1</v>
      </c>
      <c r="AJ404">
        <v>1.0145966444184</v>
      </c>
      <c r="AK404">
        <v>0.856769478056215</v>
      </c>
      <c r="AL404">
        <v>1.0709615244502</v>
      </c>
      <c r="AM404">
        <v>1.29734461405191</v>
      </c>
      <c r="AN404">
        <v>1.52023209843737</v>
      </c>
      <c r="AO404">
        <v>1.73249613354527</v>
      </c>
      <c r="AP404">
        <v>1.94251088369941</v>
      </c>
      <c r="AQ404">
        <v>2.15758237059863</v>
      </c>
      <c r="AR404">
        <v>2.38360559676455</v>
      </c>
      <c r="AS404">
        <v>2.61479338945824</v>
      </c>
      <c r="AT404">
        <v>2.84483862959129</v>
      </c>
      <c r="AU404">
        <v>3.0697717409676</v>
      </c>
      <c r="AV404">
        <v>3.29172937811721</v>
      </c>
      <c r="AW404">
        <v>3.51801867057916</v>
      </c>
      <c r="AX404">
        <v>3.75378553623732</v>
      </c>
      <c r="AY404">
        <v>3.99739591074752</v>
      </c>
      <c r="AZ404">
        <v>4.24337337055627</v>
      </c>
      <c r="BA404">
        <v>0</v>
      </c>
      <c r="BB404">
        <v>0</v>
      </c>
      <c r="BC404">
        <v>0</v>
      </c>
      <c r="BD404">
        <v>0</v>
      </c>
      <c r="BE404">
        <v>0</v>
      </c>
      <c r="BF404">
        <v>0</v>
      </c>
      <c r="BG404">
        <v>0</v>
      </c>
      <c r="BH404">
        <v>0</v>
      </c>
      <c r="BJ404" t="s">
        <v>438</v>
      </c>
      <c r="BL404">
        <v>1</v>
      </c>
      <c r="BM404">
        <v>0.997560975609757</v>
      </c>
      <c r="BN404">
        <v>0.985365853658537</v>
      </c>
      <c r="BO404">
        <v>0.973170731707317</v>
      </c>
      <c r="BP404">
        <v>0.960975609756098</v>
      </c>
      <c r="BQ404">
        <v>0.948780487804878</v>
      </c>
      <c r="BR404">
        <v>0.936585365853658</v>
      </c>
      <c r="BS404">
        <v>0.924390243902439</v>
      </c>
      <c r="BT404">
        <v>0.91219512195122</v>
      </c>
      <c r="BU404">
        <v>0.9</v>
      </c>
      <c r="BV404">
        <v>0.8875</v>
      </c>
      <c r="BW404">
        <v>0.875000000000001</v>
      </c>
      <c r="BX404">
        <v>0.862500000000001</v>
      </c>
      <c r="BY404">
        <v>0.850000000000001</v>
      </c>
      <c r="BZ404">
        <v>0.8375</v>
      </c>
      <c r="CA404">
        <v>0.825000000000001</v>
      </c>
      <c r="CB404">
        <v>0.812500000000001</v>
      </c>
      <c r="CC404">
        <v>0.800000000000001</v>
      </c>
      <c r="CD404" t="e">
        <v>#VALUE!</v>
      </c>
      <c r="CE404" t="e">
        <v>#VALUE!</v>
      </c>
      <c r="CF404" t="e">
        <v>#VALUE!</v>
      </c>
      <c r="CG404" t="e">
        <v>#VALUE!</v>
      </c>
      <c r="CH404" t="e">
        <v>#VALUE!</v>
      </c>
      <c r="CI404" t="e">
        <v>#VALUE!</v>
      </c>
      <c r="CJ404" t="e">
        <v>#VALUE!</v>
      </c>
      <c r="CK404" t="e">
        <v>#VALUE!</v>
      </c>
    </row>
    <row r="405" spans="1:89">
      <c r="A405" s="34" t="s">
        <v>37</v>
      </c>
      <c r="B405" s="34" t="s">
        <v>445</v>
      </c>
      <c r="C405" s="34" t="s">
        <v>445</v>
      </c>
      <c r="D405" s="34">
        <v>0.8</v>
      </c>
      <c r="E405" s="34">
        <v>0.774634535762821</v>
      </c>
      <c r="F405" s="34"/>
      <c r="G405" s="34">
        <v>0.649347640194087</v>
      </c>
      <c r="H405" s="34">
        <v>0.656076234062867</v>
      </c>
      <c r="I405" s="34">
        <v>0.653940474413564</v>
      </c>
      <c r="J405" s="34">
        <v>0.645346190069527</v>
      </c>
      <c r="K405" s="34">
        <v>0.632781014727966</v>
      </c>
      <c r="L405" s="34">
        <v>0.61902461359936</v>
      </c>
      <c r="M405" s="34">
        <v>0.604699743000447</v>
      </c>
      <c r="N405" s="34">
        <v>0.590686011537058</v>
      </c>
      <c r="O405" s="34">
        <v>0.576836006502876</v>
      </c>
      <c r="P405" s="34">
        <v>0.56343566187258</v>
      </c>
      <c r="Q405" s="34">
        <v>0.550740551251421</v>
      </c>
      <c r="R405" s="34">
        <v>0.53887309724235</v>
      </c>
      <c r="S405" s="34">
        <v>0.527783395814634</v>
      </c>
      <c r="T405" s="34">
        <v>0.517394347132957</v>
      </c>
      <c r="U405" s="34">
        <v>0.507357216508363</v>
      </c>
      <c r="V405" s="34">
        <v>0.497090787960327</v>
      </c>
      <c r="W405" s="34">
        <v>3</v>
      </c>
      <c r="AG405" s="232" t="s">
        <v>442</v>
      </c>
      <c r="AI405">
        <v>1</v>
      </c>
      <c r="AJ405">
        <v>0.968215646891066</v>
      </c>
      <c r="AK405">
        <v>0.809293881346395</v>
      </c>
      <c r="AL405">
        <v>0.817911043529999</v>
      </c>
      <c r="AM405">
        <v>0.815140329025702</v>
      </c>
      <c r="AN405">
        <v>0.803849180088473</v>
      </c>
      <c r="AO405">
        <v>0.787138158187406</v>
      </c>
      <c r="AP405">
        <v>0.768626428349187</v>
      </c>
      <c r="AQ405">
        <v>0.749127517330478</v>
      </c>
      <c r="AR405">
        <v>0.72983773852111</v>
      </c>
      <c r="AS405">
        <v>0.710555777546496</v>
      </c>
      <c r="AT405">
        <v>0.691690911393244</v>
      </c>
      <c r="AU405">
        <v>0.673621453497746</v>
      </c>
      <c r="AV405">
        <v>0.656544614384337</v>
      </c>
      <c r="AW405">
        <v>0.640411701869658</v>
      </c>
      <c r="AX405">
        <v>0.625131630997149</v>
      </c>
      <c r="AY405">
        <v>0.610205886556249</v>
      </c>
      <c r="AZ405">
        <v>0.594771408317638</v>
      </c>
      <c r="BA405">
        <v>0</v>
      </c>
      <c r="BB405">
        <v>0</v>
      </c>
      <c r="BC405">
        <v>0</v>
      </c>
      <c r="BD405">
        <v>0</v>
      </c>
      <c r="BE405">
        <v>0</v>
      </c>
      <c r="BF405">
        <v>0</v>
      </c>
      <c r="BG405">
        <v>0</v>
      </c>
      <c r="BH405">
        <v>0</v>
      </c>
      <c r="BJ405" t="s">
        <v>438</v>
      </c>
      <c r="BL405">
        <v>1</v>
      </c>
      <c r="BM405">
        <v>0.997560975609757</v>
      </c>
      <c r="BN405">
        <v>0.985365853658537</v>
      </c>
      <c r="BO405">
        <v>0.973170731707317</v>
      </c>
      <c r="BP405">
        <v>0.960975609756098</v>
      </c>
      <c r="BQ405">
        <v>0.948780487804878</v>
      </c>
      <c r="BR405">
        <v>0.936585365853658</v>
      </c>
      <c r="BS405">
        <v>0.924390243902439</v>
      </c>
      <c r="BT405">
        <v>0.91219512195122</v>
      </c>
      <c r="BU405">
        <v>0.9</v>
      </c>
      <c r="BV405">
        <v>0.8875</v>
      </c>
      <c r="BW405">
        <v>0.875000000000001</v>
      </c>
      <c r="BX405">
        <v>0.862500000000001</v>
      </c>
      <c r="BY405">
        <v>0.850000000000001</v>
      </c>
      <c r="BZ405">
        <v>0.8375</v>
      </c>
      <c r="CA405">
        <v>0.825000000000001</v>
      </c>
      <c r="CB405">
        <v>0.812500000000001</v>
      </c>
      <c r="CC405">
        <v>0.800000000000001</v>
      </c>
      <c r="CD405" t="e">
        <v>#VALUE!</v>
      </c>
      <c r="CE405" t="e">
        <v>#VALUE!</v>
      </c>
      <c r="CF405" t="e">
        <v>#VALUE!</v>
      </c>
      <c r="CG405" t="e">
        <v>#VALUE!</v>
      </c>
      <c r="CH405" t="e">
        <v>#VALUE!</v>
      </c>
      <c r="CI405" t="e">
        <v>#VALUE!</v>
      </c>
      <c r="CJ405" t="e">
        <v>#VALUE!</v>
      </c>
      <c r="CK405" t="e">
        <v>#VALUE!</v>
      </c>
    </row>
    <row r="406" spans="1:89">
      <c r="A406" s="34" t="s">
        <v>37</v>
      </c>
      <c r="B406" s="34" t="s">
        <v>446</v>
      </c>
      <c r="C406" s="34" t="s">
        <v>446</v>
      </c>
      <c r="D406" s="34">
        <v>0.165</v>
      </c>
      <c r="E406" s="34">
        <v>0.159768373001082</v>
      </c>
      <c r="F406" s="34"/>
      <c r="G406" s="34">
        <v>0.13392795079003</v>
      </c>
      <c r="H406" s="34">
        <v>0.135315723275466</v>
      </c>
      <c r="I406" s="34">
        <v>0.134875222847798</v>
      </c>
      <c r="J406" s="34">
        <v>0.13310265170184</v>
      </c>
      <c r="K406" s="34">
        <v>0.130511084287643</v>
      </c>
      <c r="L406" s="34">
        <v>0.127673826554868</v>
      </c>
      <c r="M406" s="34">
        <v>0.124719321993842</v>
      </c>
      <c r="N406" s="34">
        <v>0.121828989879518</v>
      </c>
      <c r="O406" s="34">
        <v>0.118972426341218</v>
      </c>
      <c r="P406" s="34">
        <v>0.11620860526122</v>
      </c>
      <c r="Q406" s="34">
        <v>0.113590238695606</v>
      </c>
      <c r="R406" s="34">
        <v>0.111142576306235</v>
      </c>
      <c r="S406" s="34">
        <v>0.108855325386768</v>
      </c>
      <c r="T406" s="34">
        <v>0.106712584096172</v>
      </c>
      <c r="U406" s="34">
        <v>0.10464242590485</v>
      </c>
      <c r="V406" s="34">
        <v>0.102524975016818</v>
      </c>
      <c r="W406" s="34">
        <v>3</v>
      </c>
      <c r="AG406" s="232" t="s">
        <v>442</v>
      </c>
      <c r="AI406">
        <v>1</v>
      </c>
      <c r="AJ406">
        <v>0.968215646891066</v>
      </c>
      <c r="AK406">
        <v>0.809293881346395</v>
      </c>
      <c r="AL406">
        <v>0.817911043529999</v>
      </c>
      <c r="AM406">
        <v>0.815140329025702</v>
      </c>
      <c r="AN406">
        <v>0.803849180088473</v>
      </c>
      <c r="AO406">
        <v>0.787138158187406</v>
      </c>
      <c r="AP406">
        <v>0.768626428349187</v>
      </c>
      <c r="AQ406">
        <v>0.749127517330478</v>
      </c>
      <c r="AR406">
        <v>0.72983773852111</v>
      </c>
      <c r="AS406">
        <v>0.710555777546496</v>
      </c>
      <c r="AT406">
        <v>0.691690911393244</v>
      </c>
      <c r="AU406">
        <v>0.673621453497746</v>
      </c>
      <c r="AV406">
        <v>0.656544614384337</v>
      </c>
      <c r="AW406">
        <v>0.640411701869658</v>
      </c>
      <c r="AX406">
        <v>0.625131630997149</v>
      </c>
      <c r="AY406">
        <v>0.610205886556249</v>
      </c>
      <c r="AZ406">
        <v>0.594771408317638</v>
      </c>
      <c r="BA406">
        <v>0</v>
      </c>
      <c r="BB406">
        <v>0</v>
      </c>
      <c r="BC406">
        <v>0</v>
      </c>
      <c r="BD406">
        <v>0</v>
      </c>
      <c r="BE406">
        <v>0</v>
      </c>
      <c r="BF406">
        <v>0</v>
      </c>
      <c r="BG406">
        <v>0</v>
      </c>
      <c r="BH406">
        <v>0</v>
      </c>
      <c r="BJ406" t="s">
        <v>438</v>
      </c>
      <c r="BL406">
        <v>1</v>
      </c>
      <c r="BM406">
        <v>0.997560975609757</v>
      </c>
      <c r="BN406">
        <v>0.985365853658537</v>
      </c>
      <c r="BO406">
        <v>0.973170731707317</v>
      </c>
      <c r="BP406">
        <v>0.960975609756098</v>
      </c>
      <c r="BQ406">
        <v>0.948780487804878</v>
      </c>
      <c r="BR406">
        <v>0.936585365853658</v>
      </c>
      <c r="BS406">
        <v>0.924390243902439</v>
      </c>
      <c r="BT406">
        <v>0.91219512195122</v>
      </c>
      <c r="BU406">
        <v>0.9</v>
      </c>
      <c r="BV406">
        <v>0.8875</v>
      </c>
      <c r="BW406">
        <v>0.875000000000001</v>
      </c>
      <c r="BX406">
        <v>0.862500000000001</v>
      </c>
      <c r="BY406">
        <v>0.850000000000001</v>
      </c>
      <c r="BZ406">
        <v>0.8375</v>
      </c>
      <c r="CA406">
        <v>0.825000000000001</v>
      </c>
      <c r="CB406">
        <v>0.812500000000001</v>
      </c>
      <c r="CC406">
        <v>0.800000000000001</v>
      </c>
      <c r="CD406" t="e">
        <v>#VALUE!</v>
      </c>
      <c r="CE406" t="e">
        <v>#VALUE!</v>
      </c>
      <c r="CF406" t="e">
        <v>#VALUE!</v>
      </c>
      <c r="CG406" t="e">
        <v>#VALUE!</v>
      </c>
      <c r="CH406" t="e">
        <v>#VALUE!</v>
      </c>
      <c r="CI406" t="e">
        <v>#VALUE!</v>
      </c>
      <c r="CJ406" t="e">
        <v>#VALUE!</v>
      </c>
      <c r="CK406" t="e">
        <v>#VALUE!</v>
      </c>
    </row>
    <row r="407" spans="1:89">
      <c r="A407" s="34" t="s">
        <v>37</v>
      </c>
      <c r="B407" s="34" t="s">
        <v>447</v>
      </c>
      <c r="C407" s="34" t="s">
        <v>447</v>
      </c>
      <c r="D407" s="34">
        <v>1.365</v>
      </c>
      <c r="E407" s="34">
        <v>1.32172017664531</v>
      </c>
      <c r="F407" s="34"/>
      <c r="G407" s="34">
        <v>1.10794941108116</v>
      </c>
      <c r="H407" s="34">
        <v>1.11943007436977</v>
      </c>
      <c r="I407" s="34">
        <v>1.11578593446814</v>
      </c>
      <c r="J407" s="34">
        <v>1.10112193680613</v>
      </c>
      <c r="K407" s="34">
        <v>1.07968260637959</v>
      </c>
      <c r="L407" s="34">
        <v>1.05621074695391</v>
      </c>
      <c r="M407" s="34">
        <v>1.03176893649451</v>
      </c>
      <c r="N407" s="34">
        <v>1.00785800718511</v>
      </c>
      <c r="O407" s="34">
        <v>0.984226436095533</v>
      </c>
      <c r="P407" s="34">
        <v>0.96136209807009</v>
      </c>
      <c r="Q407" s="34">
        <v>0.939701065572738</v>
      </c>
      <c r="R407" s="34">
        <v>0.91945222216976</v>
      </c>
      <c r="S407" s="34">
        <v>0.90053041910872</v>
      </c>
      <c r="T407" s="34">
        <v>0.882804104795609</v>
      </c>
      <c r="U407" s="34">
        <v>0.865678250667394</v>
      </c>
      <c r="V407" s="34">
        <v>0.848161156957309</v>
      </c>
      <c r="W407" s="34">
        <v>3</v>
      </c>
      <c r="AG407" s="232" t="s">
        <v>442</v>
      </c>
      <c r="AI407">
        <v>1</v>
      </c>
      <c r="AJ407">
        <v>0.968215646891066</v>
      </c>
      <c r="AK407">
        <v>0.809293881346395</v>
      </c>
      <c r="AL407">
        <v>0.817911043529999</v>
      </c>
      <c r="AM407">
        <v>0.815140329025702</v>
      </c>
      <c r="AN407">
        <v>0.803849180088473</v>
      </c>
      <c r="AO407">
        <v>0.787138158187406</v>
      </c>
      <c r="AP407">
        <v>0.768626428349187</v>
      </c>
      <c r="AQ407">
        <v>0.749127517330478</v>
      </c>
      <c r="AR407">
        <v>0.72983773852111</v>
      </c>
      <c r="AS407">
        <v>0.710555777546496</v>
      </c>
      <c r="AT407">
        <v>0.691690911393244</v>
      </c>
      <c r="AU407">
        <v>0.673621453497746</v>
      </c>
      <c r="AV407">
        <v>0.656544614384337</v>
      </c>
      <c r="AW407">
        <v>0.640411701869658</v>
      </c>
      <c r="AX407">
        <v>0.625131630997149</v>
      </c>
      <c r="AY407">
        <v>0.610205886556249</v>
      </c>
      <c r="AZ407">
        <v>0.594771408317638</v>
      </c>
      <c r="BA407">
        <v>0</v>
      </c>
      <c r="BB407">
        <v>0</v>
      </c>
      <c r="BC407">
        <v>0</v>
      </c>
      <c r="BD407">
        <v>0</v>
      </c>
      <c r="BE407">
        <v>0</v>
      </c>
      <c r="BF407">
        <v>0</v>
      </c>
      <c r="BG407">
        <v>0</v>
      </c>
      <c r="BH407">
        <v>0</v>
      </c>
      <c r="BJ407" t="s">
        <v>438</v>
      </c>
      <c r="BL407">
        <v>1</v>
      </c>
      <c r="BM407">
        <v>0.997560975609757</v>
      </c>
      <c r="BN407">
        <v>0.985365853658537</v>
      </c>
      <c r="BO407">
        <v>0.973170731707317</v>
      </c>
      <c r="BP407">
        <v>0.960975609756098</v>
      </c>
      <c r="BQ407">
        <v>0.948780487804878</v>
      </c>
      <c r="BR407">
        <v>0.936585365853658</v>
      </c>
      <c r="BS407">
        <v>0.924390243902439</v>
      </c>
      <c r="BT407">
        <v>0.91219512195122</v>
      </c>
      <c r="BU407">
        <v>0.9</v>
      </c>
      <c r="BV407">
        <v>0.8875</v>
      </c>
      <c r="BW407">
        <v>0.875000000000001</v>
      </c>
      <c r="BX407">
        <v>0.862500000000001</v>
      </c>
      <c r="BY407">
        <v>0.850000000000001</v>
      </c>
      <c r="BZ407">
        <v>0.8375</v>
      </c>
      <c r="CA407">
        <v>0.825000000000001</v>
      </c>
      <c r="CB407">
        <v>0.812500000000001</v>
      </c>
      <c r="CC407">
        <v>0.800000000000001</v>
      </c>
      <c r="CD407" t="e">
        <v>#VALUE!</v>
      </c>
      <c r="CE407" t="e">
        <v>#VALUE!</v>
      </c>
      <c r="CF407" t="e">
        <v>#VALUE!</v>
      </c>
      <c r="CG407" t="e">
        <v>#VALUE!</v>
      </c>
      <c r="CH407" t="e">
        <v>#VALUE!</v>
      </c>
      <c r="CI407" t="e">
        <v>#VALUE!</v>
      </c>
      <c r="CJ407" t="e">
        <v>#VALUE!</v>
      </c>
      <c r="CK407" t="e">
        <v>#VALUE!</v>
      </c>
    </row>
    <row r="408" spans="1:89">
      <c r="A408" s="34" t="s">
        <v>37</v>
      </c>
      <c r="B408" s="34" t="s">
        <v>448</v>
      </c>
      <c r="C408" s="34" t="s">
        <v>448</v>
      </c>
      <c r="D408" s="34">
        <v>52.452</v>
      </c>
      <c r="E408" s="34">
        <v>54.9585102902393</v>
      </c>
      <c r="F408" s="34"/>
      <c r="G408" s="34">
        <v>55.5145418072004</v>
      </c>
      <c r="H408" s="34">
        <v>68.3093213185351</v>
      </c>
      <c r="I408" s="34">
        <v>82.455554499585</v>
      </c>
      <c r="J408" s="34">
        <v>97.1837395995836</v>
      </c>
      <c r="K408" s="34">
        <v>112.094818905688</v>
      </c>
      <c r="L408" s="34">
        <v>127.453754661499</v>
      </c>
      <c r="M408" s="34">
        <v>143.687396724801</v>
      </c>
      <c r="N408" s="34">
        <v>161.010488545071</v>
      </c>
      <c r="O408" s="34">
        <v>179.123977454507</v>
      </c>
      <c r="P408" s="34">
        <v>197.563889857771</v>
      </c>
      <c r="Q408" s="34">
        <v>215.969072924256</v>
      </c>
      <c r="R408" s="34">
        <v>234.362259457899</v>
      </c>
      <c r="S408" s="34">
        <v>253.139832020145</v>
      </c>
      <c r="T408" s="34">
        <v>272.582452801751</v>
      </c>
      <c r="U408" s="34">
        <v>292.724299316641</v>
      </c>
      <c r="V408" s="34">
        <v>313.585361955751</v>
      </c>
      <c r="W408" s="34">
        <v>3</v>
      </c>
      <c r="AG408" s="232" t="s">
        <v>449</v>
      </c>
      <c r="AI408">
        <v>1</v>
      </c>
      <c r="AJ408">
        <v>1.04790358188929</v>
      </c>
      <c r="AK408">
        <v>1.05866298733265</v>
      </c>
      <c r="AL408">
        <v>1.30938631153342</v>
      </c>
      <c r="AM408">
        <v>1.59155984295681</v>
      </c>
      <c r="AN408">
        <v>1.89119070603524</v>
      </c>
      <c r="AO408">
        <v>2.20100641231114</v>
      </c>
      <c r="AP408">
        <v>2.52724966518705</v>
      </c>
      <c r="AQ408">
        <v>2.88012697529413</v>
      </c>
      <c r="AR408">
        <v>3.26593908612414</v>
      </c>
      <c r="AS408">
        <v>3.6799269981126</v>
      </c>
      <c r="AT408">
        <v>4.11287553838325</v>
      </c>
      <c r="AU408">
        <v>4.55711694606513</v>
      </c>
      <c r="AV408">
        <v>5.0137177367664</v>
      </c>
      <c r="AW408">
        <v>5.49337037457066</v>
      </c>
      <c r="AX408">
        <v>6.00479219112564</v>
      </c>
      <c r="AY408">
        <v>6.55089699856415</v>
      </c>
      <c r="AZ408">
        <v>7.13446092265769</v>
      </c>
      <c r="BA408">
        <v>0</v>
      </c>
      <c r="BB408">
        <v>0</v>
      </c>
      <c r="BC408">
        <v>0</v>
      </c>
      <c r="BD408">
        <v>0</v>
      </c>
      <c r="BE408">
        <v>0</v>
      </c>
      <c r="BF408">
        <v>0</v>
      </c>
      <c r="BG408">
        <v>0</v>
      </c>
      <c r="BH408">
        <v>0</v>
      </c>
      <c r="BJ408" t="s">
        <v>438</v>
      </c>
      <c r="BL408">
        <v>1</v>
      </c>
      <c r="BM408">
        <v>0.997560975609757</v>
      </c>
      <c r="BN408">
        <v>0.985365853658537</v>
      </c>
      <c r="BO408">
        <v>0.973170731707317</v>
      </c>
      <c r="BP408">
        <v>0.960975609756098</v>
      </c>
      <c r="BQ408">
        <v>0.948780487804878</v>
      </c>
      <c r="BR408">
        <v>0.936585365853658</v>
      </c>
      <c r="BS408">
        <v>0.924390243902439</v>
      </c>
      <c r="BT408">
        <v>0.91219512195122</v>
      </c>
      <c r="BU408">
        <v>0.9</v>
      </c>
      <c r="BV408">
        <v>0.8875</v>
      </c>
      <c r="BW408">
        <v>0.875000000000001</v>
      </c>
      <c r="BX408">
        <v>0.862500000000001</v>
      </c>
      <c r="BY408">
        <v>0.850000000000001</v>
      </c>
      <c r="BZ408">
        <v>0.8375</v>
      </c>
      <c r="CA408">
        <v>0.825000000000001</v>
      </c>
      <c r="CB408">
        <v>0.812500000000001</v>
      </c>
      <c r="CC408">
        <v>0.800000000000001</v>
      </c>
      <c r="CD408" t="e">
        <v>#VALUE!</v>
      </c>
      <c r="CE408" t="e">
        <v>#VALUE!</v>
      </c>
      <c r="CF408" t="e">
        <v>#VALUE!</v>
      </c>
      <c r="CG408" t="e">
        <v>#VALUE!</v>
      </c>
      <c r="CH408" t="e">
        <v>#VALUE!</v>
      </c>
      <c r="CI408" t="e">
        <v>#VALUE!</v>
      </c>
      <c r="CJ408" t="e">
        <v>#VALUE!</v>
      </c>
      <c r="CK408" t="e">
        <v>#VALUE!</v>
      </c>
    </row>
    <row r="409" spans="1:89">
      <c r="A409" s="34" t="s">
        <v>37</v>
      </c>
      <c r="B409" s="34" t="s">
        <v>450</v>
      </c>
      <c r="C409" s="34" t="s">
        <v>450</v>
      </c>
      <c r="D409" s="34">
        <v>20.6</v>
      </c>
      <c r="E409" s="34">
        <v>20.8999574826409</v>
      </c>
      <c r="F409" s="34"/>
      <c r="G409" s="34">
        <v>17.6964093865489</v>
      </c>
      <c r="H409" s="34">
        <v>22.0018098094489</v>
      </c>
      <c r="I409" s="34">
        <v>26.4711239900171</v>
      </c>
      <c r="J409" s="34">
        <v>30.786001348254</v>
      </c>
      <c r="K409" s="34">
        <v>34.8119401555185</v>
      </c>
      <c r="L409" s="34">
        <v>38.7128068155612</v>
      </c>
      <c r="M409" s="34">
        <v>42.622671998684</v>
      </c>
      <c r="N409" s="34">
        <v>46.6412172777935</v>
      </c>
      <c r="O409" s="34">
        <v>50.6560618796027</v>
      </c>
      <c r="P409" s="34">
        <v>54.555619573333</v>
      </c>
      <c r="Q409" s="34">
        <v>58.27605996008</v>
      </c>
      <c r="R409" s="34">
        <v>61.8576272599319</v>
      </c>
      <c r="S409" s="34">
        <v>65.4190042960361</v>
      </c>
      <c r="T409" s="34">
        <v>69.0359543208415</v>
      </c>
      <c r="U409" s="34">
        <v>72.6761524757677</v>
      </c>
      <c r="V409" s="34">
        <v>76.2538206925383</v>
      </c>
      <c r="W409" s="34">
        <v>3</v>
      </c>
      <c r="AG409" s="232" t="s">
        <v>437</v>
      </c>
      <c r="AI409">
        <v>1</v>
      </c>
      <c r="AJ409">
        <v>1.0145966444184</v>
      </c>
      <c r="AK409">
        <v>0.856769478056215</v>
      </c>
      <c r="AL409">
        <v>1.0709615244502</v>
      </c>
      <c r="AM409">
        <v>1.29734461405191</v>
      </c>
      <c r="AN409">
        <v>1.52023209843737</v>
      </c>
      <c r="AO409">
        <v>1.73249613354527</v>
      </c>
      <c r="AP409">
        <v>1.94251088369941</v>
      </c>
      <c r="AQ409">
        <v>2.15758237059863</v>
      </c>
      <c r="AR409">
        <v>2.38360559676455</v>
      </c>
      <c r="AS409">
        <v>2.61479338945824</v>
      </c>
      <c r="AT409">
        <v>2.84483862959129</v>
      </c>
      <c r="AU409">
        <v>3.0697717409676</v>
      </c>
      <c r="AV409">
        <v>3.29172937811721</v>
      </c>
      <c r="AW409">
        <v>3.51801867057916</v>
      </c>
      <c r="AX409">
        <v>3.75378553623732</v>
      </c>
      <c r="AY409">
        <v>3.99739591074752</v>
      </c>
      <c r="AZ409">
        <v>4.24337337055627</v>
      </c>
      <c r="BA409">
        <v>0</v>
      </c>
      <c r="BB409">
        <v>0</v>
      </c>
      <c r="BC409">
        <v>0</v>
      </c>
      <c r="BD409">
        <v>0</v>
      </c>
      <c r="BE409">
        <v>0</v>
      </c>
      <c r="BF409">
        <v>0</v>
      </c>
      <c r="BG409">
        <v>0</v>
      </c>
      <c r="BH409">
        <v>0</v>
      </c>
      <c r="BJ409" t="s">
        <v>438</v>
      </c>
      <c r="BL409">
        <v>1</v>
      </c>
      <c r="BM409">
        <v>0.997560975609757</v>
      </c>
      <c r="BN409">
        <v>0.985365853658537</v>
      </c>
      <c r="BO409">
        <v>0.973170731707317</v>
      </c>
      <c r="BP409">
        <v>0.960975609756098</v>
      </c>
      <c r="BQ409">
        <v>0.948780487804878</v>
      </c>
      <c r="BR409">
        <v>0.936585365853658</v>
      </c>
      <c r="BS409">
        <v>0.924390243902439</v>
      </c>
      <c r="BT409">
        <v>0.91219512195122</v>
      </c>
      <c r="BU409">
        <v>0.9</v>
      </c>
      <c r="BV409">
        <v>0.8875</v>
      </c>
      <c r="BW409">
        <v>0.875000000000001</v>
      </c>
      <c r="BX409">
        <v>0.862500000000001</v>
      </c>
      <c r="BY409">
        <v>0.850000000000001</v>
      </c>
      <c r="BZ409">
        <v>0.8375</v>
      </c>
      <c r="CA409">
        <v>0.825000000000001</v>
      </c>
      <c r="CB409">
        <v>0.812500000000001</v>
      </c>
      <c r="CC409">
        <v>0.800000000000001</v>
      </c>
      <c r="CD409" t="e">
        <v>#VALUE!</v>
      </c>
      <c r="CE409" t="e">
        <v>#VALUE!</v>
      </c>
      <c r="CF409" t="e">
        <v>#VALUE!</v>
      </c>
      <c r="CG409" t="e">
        <v>#VALUE!</v>
      </c>
      <c r="CH409" t="e">
        <v>#VALUE!</v>
      </c>
      <c r="CI409" t="e">
        <v>#VALUE!</v>
      </c>
      <c r="CJ409" t="e">
        <v>#VALUE!</v>
      </c>
      <c r="CK409" t="e">
        <v>#VALUE!</v>
      </c>
    </row>
    <row r="410" spans="1:89">
      <c r="A410" s="34" t="s">
        <v>37</v>
      </c>
      <c r="B410" s="34" t="s">
        <v>451</v>
      </c>
      <c r="C410" s="34" t="s">
        <v>451</v>
      </c>
      <c r="D410" s="34">
        <v>27.24</v>
      </c>
      <c r="E410" s="34">
        <v>27.6366428071427</v>
      </c>
      <c r="F410" s="34"/>
      <c r="G410" s="34">
        <v>23.4004947422132</v>
      </c>
      <c r="H410" s="34">
        <v>29.0936553014266</v>
      </c>
      <c r="I410" s="34">
        <v>35.0035639557313</v>
      </c>
      <c r="J410" s="34">
        <v>40.7092561517689</v>
      </c>
      <c r="K410" s="34">
        <v>46.0328762056468</v>
      </c>
      <c r="L410" s="34">
        <v>51.191109594946</v>
      </c>
      <c r="M410" s="34">
        <v>56.3612420021434</v>
      </c>
      <c r="N410" s="34">
        <v>61.6750853712182</v>
      </c>
      <c r="O410" s="34">
        <v>66.9840352233194</v>
      </c>
      <c r="P410" s="34">
        <v>72.1405377270675</v>
      </c>
      <c r="Q410" s="34">
        <v>77.0601880248825</v>
      </c>
      <c r="R410" s="34">
        <v>81.7962022602207</v>
      </c>
      <c r="S410" s="34">
        <v>86.505518302137</v>
      </c>
      <c r="T410" s="34">
        <v>91.2883201795981</v>
      </c>
      <c r="U410" s="34">
        <v>96.1018637592191</v>
      </c>
      <c r="V410" s="34">
        <v>100.832722119648</v>
      </c>
      <c r="W410" s="34">
        <v>3</v>
      </c>
      <c r="AG410" s="232" t="s">
        <v>437</v>
      </c>
      <c r="AI410">
        <v>1</v>
      </c>
      <c r="AJ410">
        <v>1.0145966444184</v>
      </c>
      <c r="AK410">
        <v>0.856769478056215</v>
      </c>
      <c r="AL410">
        <v>1.0709615244502</v>
      </c>
      <c r="AM410">
        <v>1.29734461405191</v>
      </c>
      <c r="AN410">
        <v>1.52023209843737</v>
      </c>
      <c r="AO410">
        <v>1.73249613354527</v>
      </c>
      <c r="AP410">
        <v>1.94251088369941</v>
      </c>
      <c r="AQ410">
        <v>2.15758237059863</v>
      </c>
      <c r="AR410">
        <v>2.38360559676455</v>
      </c>
      <c r="AS410">
        <v>2.61479338945824</v>
      </c>
      <c r="AT410">
        <v>2.84483862959129</v>
      </c>
      <c r="AU410">
        <v>3.0697717409676</v>
      </c>
      <c r="AV410">
        <v>3.29172937811721</v>
      </c>
      <c r="AW410">
        <v>3.51801867057916</v>
      </c>
      <c r="AX410">
        <v>3.75378553623732</v>
      </c>
      <c r="AY410">
        <v>3.99739591074752</v>
      </c>
      <c r="AZ410">
        <v>4.24337337055627</v>
      </c>
      <c r="BA410">
        <v>0</v>
      </c>
      <c r="BB410">
        <v>0</v>
      </c>
      <c r="BC410">
        <v>0</v>
      </c>
      <c r="BD410">
        <v>0</v>
      </c>
      <c r="BE410">
        <v>0</v>
      </c>
      <c r="BF410">
        <v>0</v>
      </c>
      <c r="BG410">
        <v>0</v>
      </c>
      <c r="BH410">
        <v>0</v>
      </c>
      <c r="BJ410" t="s">
        <v>438</v>
      </c>
      <c r="BL410">
        <v>1</v>
      </c>
      <c r="BM410">
        <v>0.997560975609757</v>
      </c>
      <c r="BN410">
        <v>0.985365853658537</v>
      </c>
      <c r="BO410">
        <v>0.973170731707317</v>
      </c>
      <c r="BP410">
        <v>0.960975609756098</v>
      </c>
      <c r="BQ410">
        <v>0.948780487804878</v>
      </c>
      <c r="BR410">
        <v>0.936585365853658</v>
      </c>
      <c r="BS410">
        <v>0.924390243902439</v>
      </c>
      <c r="BT410">
        <v>0.91219512195122</v>
      </c>
      <c r="BU410">
        <v>0.9</v>
      </c>
      <c r="BV410">
        <v>0.8875</v>
      </c>
      <c r="BW410">
        <v>0.875000000000001</v>
      </c>
      <c r="BX410">
        <v>0.862500000000001</v>
      </c>
      <c r="BY410">
        <v>0.850000000000001</v>
      </c>
      <c r="BZ410">
        <v>0.8375</v>
      </c>
      <c r="CA410">
        <v>0.825000000000001</v>
      </c>
      <c r="CB410">
        <v>0.812500000000001</v>
      </c>
      <c r="CC410">
        <v>0.800000000000001</v>
      </c>
      <c r="CD410" t="e">
        <v>#VALUE!</v>
      </c>
      <c r="CE410" t="e">
        <v>#VALUE!</v>
      </c>
      <c r="CF410" t="e">
        <v>#VALUE!</v>
      </c>
      <c r="CG410" t="e">
        <v>#VALUE!</v>
      </c>
      <c r="CH410" t="e">
        <v>#VALUE!</v>
      </c>
      <c r="CI410" t="e">
        <v>#VALUE!</v>
      </c>
      <c r="CJ410" t="e">
        <v>#VALUE!</v>
      </c>
      <c r="CK410" t="e">
        <v>#VALUE!</v>
      </c>
    </row>
    <row r="411" spans="1:89">
      <c r="A411" s="34" t="s">
        <v>38</v>
      </c>
      <c r="B411" s="34" t="s">
        <v>436</v>
      </c>
      <c r="C411" s="34" t="s">
        <v>436</v>
      </c>
      <c r="D411" s="34"/>
      <c r="E411" s="34">
        <v>0</v>
      </c>
      <c r="F411" s="34">
        <f xml:space="preserve">E411</f>
        <v>0</v>
      </c>
      <c r="G411" s="34"/>
      <c r="H411" s="34"/>
      <c r="I411" s="34">
        <f xml:space="preserve">F411</f>
        <v>0</v>
      </c>
      <c r="J411" s="34">
        <f xml:space="preserve">I411</f>
        <v>0</v>
      </c>
      <c r="K411" s="34"/>
      <c r="L411" s="34">
        <f xml:space="preserve">J411</f>
        <v>0</v>
      </c>
      <c r="M411" s="34"/>
      <c r="N411" s="34"/>
      <c r="O411" s="34"/>
      <c r="P411" s="34"/>
      <c r="Q411" s="34"/>
      <c r="R411" s="34"/>
      <c r="S411" s="34"/>
      <c r="T411" s="34"/>
      <c r="U411" s="34"/>
      <c r="V411" s="34">
        <f xml:space="preserve">L411</f>
        <v>0</v>
      </c>
      <c r="W411" s="34">
        <v>3</v>
      </c>
      <c r="AG411" s="232" t="s">
        <v>437</v>
      </c>
      <c r="AI411">
        <v>1</v>
      </c>
      <c r="AJ411">
        <v>1.01913375531275</v>
      </c>
      <c r="AK411">
        <v>1.23315161622153</v>
      </c>
      <c r="AL411">
        <v>1.47097780985759</v>
      </c>
      <c r="AM411">
        <v>1.69213690943865</v>
      </c>
      <c r="AN411">
        <v>1.88654360124696</v>
      </c>
      <c r="AO411">
        <v>2.06337727586039</v>
      </c>
      <c r="AP411">
        <v>2.2279477078463</v>
      </c>
      <c r="AQ411">
        <v>2.38672772854871</v>
      </c>
      <c r="AR411">
        <v>2.54404271809451</v>
      </c>
      <c r="AS411">
        <v>2.70927350008765</v>
      </c>
      <c r="AT411">
        <v>2.88070561673748</v>
      </c>
      <c r="AU411">
        <v>3.05154394385827</v>
      </c>
      <c r="AV411">
        <v>3.21916039351676</v>
      </c>
      <c r="AW411">
        <v>3.38321725886575</v>
      </c>
      <c r="AX411">
        <v>3.54684848747269</v>
      </c>
      <c r="AY411">
        <v>3.71205229495624</v>
      </c>
      <c r="AZ411">
        <v>3.87968450893851</v>
      </c>
      <c r="BA411">
        <v>0</v>
      </c>
      <c r="BB411">
        <v>0</v>
      </c>
      <c r="BC411">
        <v>0</v>
      </c>
      <c r="BD411">
        <v>0</v>
      </c>
      <c r="BE411">
        <v>0</v>
      </c>
      <c r="BF411">
        <v>0</v>
      </c>
      <c r="BG411">
        <v>0</v>
      </c>
      <c r="BH411">
        <v>0</v>
      </c>
      <c r="BJ411" t="s">
        <v>438</v>
      </c>
      <c r="BL411">
        <v>1</v>
      </c>
      <c r="BM411">
        <v>0.997560975609757</v>
      </c>
      <c r="BN411">
        <v>0.985365853658537</v>
      </c>
      <c r="BO411">
        <v>0.973170731707317</v>
      </c>
      <c r="BP411">
        <v>0.960975609756098</v>
      </c>
      <c r="BQ411">
        <v>0.948780487804878</v>
      </c>
      <c r="BR411">
        <v>0.936585365853658</v>
      </c>
      <c r="BS411">
        <v>0.924390243902439</v>
      </c>
      <c r="BT411">
        <v>0.91219512195122</v>
      </c>
      <c r="BU411">
        <v>0.9</v>
      </c>
      <c r="BV411">
        <v>0.8875</v>
      </c>
      <c r="BW411">
        <v>0.875000000000001</v>
      </c>
      <c r="BX411">
        <v>0.862500000000001</v>
      </c>
      <c r="BY411">
        <v>0.850000000000001</v>
      </c>
      <c r="BZ411">
        <v>0.8375</v>
      </c>
      <c r="CA411">
        <v>0.825000000000001</v>
      </c>
      <c r="CB411">
        <v>0.812500000000001</v>
      </c>
      <c r="CC411">
        <v>0.800000000000001</v>
      </c>
      <c r="CD411" t="e">
        <v>#VALUE!</v>
      </c>
      <c r="CE411" t="e">
        <v>#VALUE!</v>
      </c>
      <c r="CF411" t="e">
        <v>#VALUE!</v>
      </c>
      <c r="CG411" t="e">
        <v>#VALUE!</v>
      </c>
      <c r="CH411" t="e">
        <v>#VALUE!</v>
      </c>
      <c r="CI411" t="e">
        <v>#VALUE!</v>
      </c>
      <c r="CJ411" t="e">
        <v>#VALUE!</v>
      </c>
      <c r="CK411" t="e">
        <v>#VALUE!</v>
      </c>
    </row>
    <row r="412" spans="1:89">
      <c r="A412" s="34" t="s">
        <v>38</v>
      </c>
      <c r="B412" s="34" t="s">
        <v>439</v>
      </c>
      <c r="C412" s="34" t="s">
        <v>439</v>
      </c>
      <c r="D412" s="34"/>
      <c r="E412" s="34">
        <v>9.75424966159573</v>
      </c>
      <c r="F412" s="34">
        <f xml:space="preserve">E412</f>
        <v>9.75424966159573</v>
      </c>
      <c r="G412" s="34"/>
      <c r="H412" s="34"/>
      <c r="I412" s="34">
        <f xml:space="preserve">F412</f>
        <v>9.75424966159573</v>
      </c>
      <c r="J412" s="34">
        <f xml:space="preserve">I412</f>
        <v>9.75424966159573</v>
      </c>
      <c r="K412" s="34"/>
      <c r="L412" s="34">
        <f xml:space="preserve">J412</f>
        <v>9.75424966159573</v>
      </c>
      <c r="M412" s="34"/>
      <c r="N412" s="34"/>
      <c r="O412" s="34"/>
      <c r="P412" s="34"/>
      <c r="Q412" s="34"/>
      <c r="R412" s="34"/>
      <c r="S412" s="34"/>
      <c r="T412" s="34"/>
      <c r="U412" s="34"/>
      <c r="V412" s="34">
        <f xml:space="preserve">L412</f>
        <v>9.75424966159573</v>
      </c>
      <c r="W412" s="34">
        <v>3</v>
      </c>
      <c r="AG412" s="232" t="s">
        <v>437</v>
      </c>
      <c r="AI412">
        <v>1</v>
      </c>
      <c r="AJ412">
        <v>1.01913375531275</v>
      </c>
      <c r="AK412">
        <v>1.23315161622153</v>
      </c>
      <c r="AL412">
        <v>1.47097780985759</v>
      </c>
      <c r="AM412">
        <v>1.69213690943865</v>
      </c>
      <c r="AN412">
        <v>1.88654360124696</v>
      </c>
      <c r="AO412">
        <v>2.06337727586039</v>
      </c>
      <c r="AP412">
        <v>2.2279477078463</v>
      </c>
      <c r="AQ412">
        <v>2.38672772854871</v>
      </c>
      <c r="AR412">
        <v>2.54404271809451</v>
      </c>
      <c r="AS412">
        <v>2.70927350008765</v>
      </c>
      <c r="AT412">
        <v>2.88070561673748</v>
      </c>
      <c r="AU412">
        <v>3.05154394385827</v>
      </c>
      <c r="AV412">
        <v>3.21916039351676</v>
      </c>
      <c r="AW412">
        <v>3.38321725886575</v>
      </c>
      <c r="AX412">
        <v>3.54684848747269</v>
      </c>
      <c r="AY412">
        <v>3.71205229495624</v>
      </c>
      <c r="AZ412">
        <v>3.87968450893851</v>
      </c>
      <c r="BA412">
        <v>0</v>
      </c>
      <c r="BB412">
        <v>0</v>
      </c>
      <c r="BC412">
        <v>0</v>
      </c>
      <c r="BD412">
        <v>0</v>
      </c>
      <c r="BE412">
        <v>0</v>
      </c>
      <c r="BF412">
        <v>0</v>
      </c>
      <c r="BG412">
        <v>0</v>
      </c>
      <c r="BH412">
        <v>0</v>
      </c>
      <c r="BJ412" t="s">
        <v>438</v>
      </c>
      <c r="BL412">
        <v>1</v>
      </c>
      <c r="BM412">
        <v>0.997560975609757</v>
      </c>
      <c r="BN412">
        <v>0.985365853658537</v>
      </c>
      <c r="BO412">
        <v>0.973170731707317</v>
      </c>
      <c r="BP412">
        <v>0.960975609756098</v>
      </c>
      <c r="BQ412">
        <v>0.948780487804878</v>
      </c>
      <c r="BR412">
        <v>0.936585365853658</v>
      </c>
      <c r="BS412">
        <v>0.924390243902439</v>
      </c>
      <c r="BT412">
        <v>0.91219512195122</v>
      </c>
      <c r="BU412">
        <v>0.9</v>
      </c>
      <c r="BV412">
        <v>0.8875</v>
      </c>
      <c r="BW412">
        <v>0.875000000000001</v>
      </c>
      <c r="BX412">
        <v>0.862500000000001</v>
      </c>
      <c r="BY412">
        <v>0.850000000000001</v>
      </c>
      <c r="BZ412">
        <v>0.8375</v>
      </c>
      <c r="CA412">
        <v>0.825000000000001</v>
      </c>
      <c r="CB412">
        <v>0.812500000000001</v>
      </c>
      <c r="CC412">
        <v>0.800000000000001</v>
      </c>
      <c r="CD412" t="e">
        <v>#VALUE!</v>
      </c>
      <c r="CE412" t="e">
        <v>#VALUE!</v>
      </c>
      <c r="CF412" t="e">
        <v>#VALUE!</v>
      </c>
      <c r="CG412" t="e">
        <v>#VALUE!</v>
      </c>
      <c r="CH412" t="e">
        <v>#VALUE!</v>
      </c>
      <c r="CI412" t="e">
        <v>#VALUE!</v>
      </c>
      <c r="CJ412" t="e">
        <v>#VALUE!</v>
      </c>
      <c r="CK412" t="e">
        <v>#VALUE!</v>
      </c>
    </row>
    <row r="413" spans="1:89">
      <c r="A413" s="34" t="s">
        <v>38</v>
      </c>
      <c r="B413" s="34" t="s">
        <v>440</v>
      </c>
      <c r="C413" s="34" t="s">
        <v>440</v>
      </c>
      <c r="D413" s="34"/>
      <c r="E413" s="34">
        <v>0.890246851516642</v>
      </c>
      <c r="F413" s="34"/>
      <c r="G413" s="34"/>
      <c r="H413" s="34"/>
      <c r="I413" s="34">
        <v>1.46050023609891</v>
      </c>
      <c r="J413" s="34">
        <v>1.61970024496212</v>
      </c>
      <c r="K413" s="34"/>
      <c r="L413" s="34">
        <v>1.89179360953464</v>
      </c>
      <c r="M413" s="34"/>
      <c r="N413" s="34"/>
      <c r="O413" s="34"/>
      <c r="P413" s="34"/>
      <c r="Q413" s="34"/>
      <c r="R413" s="34"/>
      <c r="S413" s="34"/>
      <c r="T413" s="34"/>
      <c r="U413" s="34"/>
      <c r="V413" s="34">
        <v>3.05610476950368</v>
      </c>
      <c r="W413" s="34">
        <v>3</v>
      </c>
      <c r="AG413" s="232" t="s">
        <v>437</v>
      </c>
      <c r="AI413">
        <v>1</v>
      </c>
      <c r="AJ413">
        <v>1.01913375531275</v>
      </c>
      <c r="AK413">
        <v>1.23315161622153</v>
      </c>
      <c r="AL413">
        <v>1.47097780985759</v>
      </c>
      <c r="AM413">
        <v>1.69213690943865</v>
      </c>
      <c r="AN413">
        <v>1.88654360124696</v>
      </c>
      <c r="AO413">
        <v>2.06337727586039</v>
      </c>
      <c r="AP413">
        <v>2.2279477078463</v>
      </c>
      <c r="AQ413">
        <v>2.38672772854871</v>
      </c>
      <c r="AR413">
        <v>2.54404271809451</v>
      </c>
      <c r="AS413">
        <v>2.70927350008765</v>
      </c>
      <c r="AT413">
        <v>2.88070561673748</v>
      </c>
      <c r="AU413">
        <v>3.05154394385827</v>
      </c>
      <c r="AV413">
        <v>3.21916039351676</v>
      </c>
      <c r="AW413">
        <v>3.38321725886575</v>
      </c>
      <c r="AX413">
        <v>3.54684848747269</v>
      </c>
      <c r="AY413">
        <v>3.71205229495624</v>
      </c>
      <c r="AZ413">
        <v>3.87968450893851</v>
      </c>
      <c r="BA413">
        <v>0</v>
      </c>
      <c r="BB413">
        <v>0</v>
      </c>
      <c r="BC413">
        <v>0</v>
      </c>
      <c r="BD413">
        <v>0</v>
      </c>
      <c r="BE413">
        <v>0</v>
      </c>
      <c r="BF413">
        <v>0</v>
      </c>
      <c r="BG413">
        <v>0</v>
      </c>
      <c r="BH413">
        <v>0</v>
      </c>
      <c r="BJ413" t="s">
        <v>438</v>
      </c>
      <c r="BL413">
        <v>1</v>
      </c>
      <c r="BM413">
        <v>0.997560975609757</v>
      </c>
      <c r="BN413">
        <v>0.985365853658537</v>
      </c>
      <c r="BO413">
        <v>0.973170731707317</v>
      </c>
      <c r="BP413">
        <v>0.960975609756098</v>
      </c>
      <c r="BQ413">
        <v>0.948780487804878</v>
      </c>
      <c r="BR413">
        <v>0.936585365853658</v>
      </c>
      <c r="BS413">
        <v>0.924390243902439</v>
      </c>
      <c r="BT413">
        <v>0.91219512195122</v>
      </c>
      <c r="BU413">
        <v>0.9</v>
      </c>
      <c r="BV413">
        <v>0.8875</v>
      </c>
      <c r="BW413">
        <v>0.875000000000001</v>
      </c>
      <c r="BX413">
        <v>0.862500000000001</v>
      </c>
      <c r="BY413">
        <v>0.850000000000001</v>
      </c>
      <c r="BZ413">
        <v>0.8375</v>
      </c>
      <c r="CA413">
        <v>0.825000000000001</v>
      </c>
      <c r="CB413">
        <v>0.812500000000001</v>
      </c>
      <c r="CC413">
        <v>0.800000000000001</v>
      </c>
      <c r="CD413" t="e">
        <v>#VALUE!</v>
      </c>
      <c r="CE413" t="e">
        <v>#VALUE!</v>
      </c>
      <c r="CF413" t="e">
        <v>#VALUE!</v>
      </c>
      <c r="CG413" t="e">
        <v>#VALUE!</v>
      </c>
      <c r="CH413" t="e">
        <v>#VALUE!</v>
      </c>
      <c r="CI413" t="e">
        <v>#VALUE!</v>
      </c>
      <c r="CJ413" t="e">
        <v>#VALUE!</v>
      </c>
      <c r="CK413" t="e">
        <v>#VALUE!</v>
      </c>
    </row>
    <row r="414" spans="1:89">
      <c r="A414" s="34" t="s">
        <v>38</v>
      </c>
      <c r="B414" s="34" t="s">
        <v>441</v>
      </c>
      <c r="C414" s="34" t="s">
        <v>441</v>
      </c>
      <c r="D414" s="34"/>
      <c r="E414" s="34">
        <v>1.58810450436334</v>
      </c>
      <c r="F414" s="34"/>
      <c r="G414" s="34"/>
      <c r="H414" s="34"/>
      <c r="I414" s="34">
        <v>1.49267611008859</v>
      </c>
      <c r="J414" s="34">
        <v>1.46069677747366</v>
      </c>
      <c r="K414" s="34"/>
      <c r="L414" s="34">
        <v>1.39716477220475</v>
      </c>
      <c r="M414" s="34"/>
      <c r="N414" s="34"/>
      <c r="O414" s="34"/>
      <c r="P414" s="34"/>
      <c r="Q414" s="34"/>
      <c r="R414" s="34"/>
      <c r="S414" s="34"/>
      <c r="T414" s="34"/>
      <c r="U414" s="34"/>
      <c r="V414" s="34">
        <v>1.13898479048603</v>
      </c>
      <c r="W414" s="34">
        <v>3</v>
      </c>
      <c r="AG414" s="232" t="s">
        <v>442</v>
      </c>
      <c r="AI414">
        <v>1</v>
      </c>
      <c r="AJ414">
        <v>0.994733093492064</v>
      </c>
      <c r="AK414">
        <v>0.968398560952385</v>
      </c>
      <c r="AL414">
        <v>0.952301336734361</v>
      </c>
      <c r="AM414">
        <v>0.933427985580202</v>
      </c>
      <c r="AN414">
        <v>0.912350495822038</v>
      </c>
      <c r="AO414">
        <v>0.890729369207688</v>
      </c>
      <c r="AP414">
        <v>0.869740221786158</v>
      </c>
      <c r="AQ414">
        <v>0.84971410824421</v>
      </c>
      <c r="AR414">
        <v>0.830380180356351</v>
      </c>
      <c r="AS414">
        <v>0.811373965346304</v>
      </c>
      <c r="AT414">
        <v>0.79241890157327</v>
      </c>
      <c r="AU414">
        <v>0.773485775158997</v>
      </c>
      <c r="AV414">
        <v>0.754765446514725</v>
      </c>
      <c r="AW414">
        <v>0.736492165667915</v>
      </c>
      <c r="AX414">
        <v>0.71877642791454</v>
      </c>
      <c r="AY414">
        <v>0.701600230606378</v>
      </c>
      <c r="AZ414">
        <v>0.684691755315336</v>
      </c>
      <c r="BA414">
        <v>0</v>
      </c>
      <c r="BB414">
        <v>0</v>
      </c>
      <c r="BC414">
        <v>0</v>
      </c>
      <c r="BD414">
        <v>0</v>
      </c>
      <c r="BE414">
        <v>0</v>
      </c>
      <c r="BF414">
        <v>0</v>
      </c>
      <c r="BG414">
        <v>0</v>
      </c>
      <c r="BH414">
        <v>0</v>
      </c>
      <c r="BJ414" t="s">
        <v>438</v>
      </c>
      <c r="BL414">
        <v>1</v>
      </c>
      <c r="BM414">
        <v>0.997560975609757</v>
      </c>
      <c r="BN414">
        <v>0.985365853658537</v>
      </c>
      <c r="BO414">
        <v>0.973170731707317</v>
      </c>
      <c r="BP414">
        <v>0.960975609756098</v>
      </c>
      <c r="BQ414">
        <v>0.948780487804878</v>
      </c>
      <c r="BR414">
        <v>0.936585365853658</v>
      </c>
      <c r="BS414">
        <v>0.924390243902439</v>
      </c>
      <c r="BT414">
        <v>0.91219512195122</v>
      </c>
      <c r="BU414">
        <v>0.9</v>
      </c>
      <c r="BV414">
        <v>0.8875</v>
      </c>
      <c r="BW414">
        <v>0.875000000000001</v>
      </c>
      <c r="BX414">
        <v>0.862500000000001</v>
      </c>
      <c r="BY414">
        <v>0.850000000000001</v>
      </c>
      <c r="BZ414">
        <v>0.8375</v>
      </c>
      <c r="CA414">
        <v>0.825000000000001</v>
      </c>
      <c r="CB414">
        <v>0.812500000000001</v>
      </c>
      <c r="CC414">
        <v>0.800000000000001</v>
      </c>
      <c r="CD414" t="e">
        <v>#VALUE!</v>
      </c>
      <c r="CE414" t="e">
        <v>#VALUE!</v>
      </c>
      <c r="CF414" t="e">
        <v>#VALUE!</v>
      </c>
      <c r="CG414" t="e">
        <v>#VALUE!</v>
      </c>
      <c r="CH414" t="e">
        <v>#VALUE!</v>
      </c>
      <c r="CI414" t="e">
        <v>#VALUE!</v>
      </c>
      <c r="CJ414" t="e">
        <v>#VALUE!</v>
      </c>
      <c r="CK414" t="e">
        <v>#VALUE!</v>
      </c>
    </row>
    <row r="415" spans="1:89">
      <c r="A415" s="34" t="s">
        <v>38</v>
      </c>
      <c r="B415" s="34" t="s">
        <v>443</v>
      </c>
      <c r="C415" s="34" t="s">
        <v>443</v>
      </c>
      <c r="D415" s="34"/>
      <c r="E415" s="34">
        <v>1.85651971653567</v>
      </c>
      <c r="F415" s="34">
        <f xml:space="preserve">E415</f>
        <v>1.85651971653567</v>
      </c>
      <c r="G415" s="34"/>
      <c r="H415" s="34"/>
      <c r="I415" s="34">
        <f xml:space="preserve">F415</f>
        <v>1.85651971653567</v>
      </c>
      <c r="J415" s="34">
        <f xml:space="preserve">I415</f>
        <v>1.85651971653567</v>
      </c>
      <c r="K415" s="34"/>
      <c r="L415" s="34">
        <f xml:space="preserve">J415</f>
        <v>1.85651971653567</v>
      </c>
      <c r="M415" s="34"/>
      <c r="N415" s="34"/>
      <c r="O415" s="34"/>
      <c r="P415" s="34"/>
      <c r="Q415" s="34"/>
      <c r="R415" s="34"/>
      <c r="S415" s="34"/>
      <c r="T415" s="34"/>
      <c r="U415" s="34"/>
      <c r="V415" s="34">
        <f xml:space="preserve">L415</f>
        <v>1.85651971653567</v>
      </c>
      <c r="W415" s="34">
        <v>3</v>
      </c>
      <c r="AG415" s="232" t="s">
        <v>437</v>
      </c>
      <c r="AI415">
        <v>1</v>
      </c>
      <c r="AJ415">
        <v>1.01913375531275</v>
      </c>
      <c r="AK415">
        <v>1.23315161622153</v>
      </c>
      <c r="AL415">
        <v>1.47097780985759</v>
      </c>
      <c r="AM415">
        <v>1.69213690943865</v>
      </c>
      <c r="AN415">
        <v>1.88654360124696</v>
      </c>
      <c r="AO415">
        <v>2.06337727586039</v>
      </c>
      <c r="AP415">
        <v>2.2279477078463</v>
      </c>
      <c r="AQ415">
        <v>2.38672772854871</v>
      </c>
      <c r="AR415">
        <v>2.54404271809451</v>
      </c>
      <c r="AS415">
        <v>2.70927350008765</v>
      </c>
      <c r="AT415">
        <v>2.88070561673748</v>
      </c>
      <c r="AU415">
        <v>3.05154394385827</v>
      </c>
      <c r="AV415">
        <v>3.21916039351676</v>
      </c>
      <c r="AW415">
        <v>3.38321725886575</v>
      </c>
      <c r="AX415">
        <v>3.54684848747269</v>
      </c>
      <c r="AY415">
        <v>3.71205229495624</v>
      </c>
      <c r="AZ415">
        <v>3.87968450893851</v>
      </c>
      <c r="BA415">
        <v>0</v>
      </c>
      <c r="BB415">
        <v>0</v>
      </c>
      <c r="BC415">
        <v>0</v>
      </c>
      <c r="BD415">
        <v>0</v>
      </c>
      <c r="BE415">
        <v>0</v>
      </c>
      <c r="BF415">
        <v>0</v>
      </c>
      <c r="BG415">
        <v>0</v>
      </c>
      <c r="BH415">
        <v>0</v>
      </c>
      <c r="BJ415" t="s">
        <v>438</v>
      </c>
      <c r="BL415">
        <v>1</v>
      </c>
      <c r="BM415">
        <v>0.997560975609757</v>
      </c>
      <c r="BN415">
        <v>0.985365853658537</v>
      </c>
      <c r="BO415">
        <v>0.973170731707317</v>
      </c>
      <c r="BP415">
        <v>0.960975609756098</v>
      </c>
      <c r="BQ415">
        <v>0.948780487804878</v>
      </c>
      <c r="BR415">
        <v>0.936585365853658</v>
      </c>
      <c r="BS415">
        <v>0.924390243902439</v>
      </c>
      <c r="BT415">
        <v>0.91219512195122</v>
      </c>
      <c r="BU415">
        <v>0.9</v>
      </c>
      <c r="BV415">
        <v>0.8875</v>
      </c>
      <c r="BW415">
        <v>0.875000000000001</v>
      </c>
      <c r="BX415">
        <v>0.862500000000001</v>
      </c>
      <c r="BY415">
        <v>0.850000000000001</v>
      </c>
      <c r="BZ415">
        <v>0.8375</v>
      </c>
      <c r="CA415">
        <v>0.825000000000001</v>
      </c>
      <c r="CB415">
        <v>0.812500000000001</v>
      </c>
      <c r="CC415">
        <v>0.800000000000001</v>
      </c>
      <c r="CD415" t="e">
        <v>#VALUE!</v>
      </c>
      <c r="CE415" t="e">
        <v>#VALUE!</v>
      </c>
      <c r="CF415" t="e">
        <v>#VALUE!</v>
      </c>
      <c r="CG415" t="e">
        <v>#VALUE!</v>
      </c>
      <c r="CH415" t="e">
        <v>#VALUE!</v>
      </c>
      <c r="CI415" t="e">
        <v>#VALUE!</v>
      </c>
      <c r="CJ415" t="e">
        <v>#VALUE!</v>
      </c>
      <c r="CK415" t="e">
        <v>#VALUE!</v>
      </c>
    </row>
    <row r="416" spans="1:89">
      <c r="A416" s="34" t="s">
        <v>38</v>
      </c>
      <c r="B416" s="34" t="s">
        <v>444</v>
      </c>
      <c r="C416" s="34" t="s">
        <v>444</v>
      </c>
      <c r="D416" s="34"/>
      <c r="E416" s="34">
        <v>2.05021145703732</v>
      </c>
      <c r="F416" s="34">
        <f xml:space="preserve">E416</f>
        <v>2.05021145703732</v>
      </c>
      <c r="G416" s="34"/>
      <c r="H416" s="34"/>
      <c r="I416" s="34">
        <f xml:space="preserve">F416</f>
        <v>2.05021145703732</v>
      </c>
      <c r="J416" s="34">
        <f xml:space="preserve">I416</f>
        <v>2.05021145703732</v>
      </c>
      <c r="K416" s="34"/>
      <c r="L416" s="34">
        <f xml:space="preserve">J416</f>
        <v>2.05021145703732</v>
      </c>
      <c r="M416" s="34"/>
      <c r="N416" s="34"/>
      <c r="O416" s="34"/>
      <c r="P416" s="34"/>
      <c r="Q416" s="34"/>
      <c r="R416" s="34"/>
      <c r="S416" s="34"/>
      <c r="T416" s="34"/>
      <c r="U416" s="34"/>
      <c r="V416" s="34">
        <f xml:space="preserve">L416</f>
        <v>2.05021145703732</v>
      </c>
      <c r="W416" s="34">
        <v>3</v>
      </c>
      <c r="AG416" s="232" t="s">
        <v>437</v>
      </c>
      <c r="AI416">
        <v>1</v>
      </c>
      <c r="AJ416">
        <v>1.01913375531275</v>
      </c>
      <c r="AK416">
        <v>1.23315161622153</v>
      </c>
      <c r="AL416">
        <v>1.47097780985759</v>
      </c>
      <c r="AM416">
        <v>1.69213690943865</v>
      </c>
      <c r="AN416">
        <v>1.88654360124696</v>
      </c>
      <c r="AO416">
        <v>2.06337727586039</v>
      </c>
      <c r="AP416">
        <v>2.2279477078463</v>
      </c>
      <c r="AQ416">
        <v>2.38672772854871</v>
      </c>
      <c r="AR416">
        <v>2.54404271809451</v>
      </c>
      <c r="AS416">
        <v>2.70927350008765</v>
      </c>
      <c r="AT416">
        <v>2.88070561673748</v>
      </c>
      <c r="AU416">
        <v>3.05154394385827</v>
      </c>
      <c r="AV416">
        <v>3.21916039351676</v>
      </c>
      <c r="AW416">
        <v>3.38321725886575</v>
      </c>
      <c r="AX416">
        <v>3.54684848747269</v>
      </c>
      <c r="AY416">
        <v>3.71205229495624</v>
      </c>
      <c r="AZ416">
        <v>3.87968450893851</v>
      </c>
      <c r="BA416">
        <v>0</v>
      </c>
      <c r="BB416">
        <v>0</v>
      </c>
      <c r="BC416">
        <v>0</v>
      </c>
      <c r="BD416">
        <v>0</v>
      </c>
      <c r="BE416">
        <v>0</v>
      </c>
      <c r="BF416">
        <v>0</v>
      </c>
      <c r="BG416">
        <v>0</v>
      </c>
      <c r="BH416">
        <v>0</v>
      </c>
      <c r="BJ416" t="s">
        <v>438</v>
      </c>
      <c r="BL416">
        <v>1</v>
      </c>
      <c r="BM416">
        <v>0.997560975609757</v>
      </c>
      <c r="BN416">
        <v>0.985365853658537</v>
      </c>
      <c r="BO416">
        <v>0.973170731707317</v>
      </c>
      <c r="BP416">
        <v>0.960975609756098</v>
      </c>
      <c r="BQ416">
        <v>0.948780487804878</v>
      </c>
      <c r="BR416">
        <v>0.936585365853658</v>
      </c>
      <c r="BS416">
        <v>0.924390243902439</v>
      </c>
      <c r="BT416">
        <v>0.91219512195122</v>
      </c>
      <c r="BU416">
        <v>0.9</v>
      </c>
      <c r="BV416">
        <v>0.8875</v>
      </c>
      <c r="BW416">
        <v>0.875000000000001</v>
      </c>
      <c r="BX416">
        <v>0.862500000000001</v>
      </c>
      <c r="BY416">
        <v>0.850000000000001</v>
      </c>
      <c r="BZ416">
        <v>0.8375</v>
      </c>
      <c r="CA416">
        <v>0.825000000000001</v>
      </c>
      <c r="CB416">
        <v>0.812500000000001</v>
      </c>
      <c r="CC416">
        <v>0.800000000000001</v>
      </c>
      <c r="CD416" t="e">
        <v>#VALUE!</v>
      </c>
      <c r="CE416" t="e">
        <v>#VALUE!</v>
      </c>
      <c r="CF416" t="e">
        <v>#VALUE!</v>
      </c>
      <c r="CG416" t="e">
        <v>#VALUE!</v>
      </c>
      <c r="CH416" t="e">
        <v>#VALUE!</v>
      </c>
      <c r="CI416" t="e">
        <v>#VALUE!</v>
      </c>
      <c r="CJ416" t="e">
        <v>#VALUE!</v>
      </c>
      <c r="CK416" t="e">
        <v>#VALUE!</v>
      </c>
    </row>
    <row r="417" spans="1:89">
      <c r="A417" s="34" t="s">
        <v>38</v>
      </c>
      <c r="B417" s="34" t="s">
        <v>445</v>
      </c>
      <c r="C417" s="34" t="s">
        <v>445</v>
      </c>
      <c r="D417" s="34">
        <v>0.524</v>
      </c>
      <c r="E417" s="34">
        <v>0.521246872353281</v>
      </c>
      <c r="F417" s="34"/>
      <c r="G417" s="34">
        <v>0.507649342607659</v>
      </c>
      <c r="H417" s="34">
        <v>0.49943732777628</v>
      </c>
      <c r="I417" s="34">
        <v>0.489925412139078</v>
      </c>
      <c r="J417" s="34">
        <v>0.479429171457386</v>
      </c>
      <c r="K417" s="34">
        <v>0.468788024745208</v>
      </c>
      <c r="L417" s="34">
        <v>0.458576728214662</v>
      </c>
      <c r="M417" s="34">
        <v>0.448944941073824</v>
      </c>
      <c r="N417" s="34">
        <v>0.43975139923556</v>
      </c>
      <c r="O417" s="34">
        <v>0.430818462569595</v>
      </c>
      <c r="P417" s="34">
        <v>0.422011897645514</v>
      </c>
      <c r="Q417" s="34">
        <v>0.413315261359604</v>
      </c>
      <c r="R417" s="34">
        <v>0.404812470347008</v>
      </c>
      <c r="S417" s="34">
        <v>0.396604359408839</v>
      </c>
      <c r="T417" s="34">
        <v>0.388733855418037</v>
      </c>
      <c r="U417" s="34">
        <v>0.381186254484502</v>
      </c>
      <c r="V417" s="34">
        <v>0.373837022732208</v>
      </c>
      <c r="W417" s="34">
        <v>3</v>
      </c>
      <c r="AG417" s="232" t="s">
        <v>442</v>
      </c>
      <c r="AI417">
        <v>1</v>
      </c>
      <c r="AJ417">
        <v>0.994733093492064</v>
      </c>
      <c r="AK417">
        <v>0.968398560952385</v>
      </c>
      <c r="AL417">
        <v>0.952301336734361</v>
      </c>
      <c r="AM417">
        <v>0.933427985580202</v>
      </c>
      <c r="AN417">
        <v>0.912350495822038</v>
      </c>
      <c r="AO417">
        <v>0.890729369207688</v>
      </c>
      <c r="AP417">
        <v>0.869740221786158</v>
      </c>
      <c r="AQ417">
        <v>0.84971410824421</v>
      </c>
      <c r="AR417">
        <v>0.830380180356351</v>
      </c>
      <c r="AS417">
        <v>0.811373965346304</v>
      </c>
      <c r="AT417">
        <v>0.79241890157327</v>
      </c>
      <c r="AU417">
        <v>0.773485775158997</v>
      </c>
      <c r="AV417">
        <v>0.754765446514725</v>
      </c>
      <c r="AW417">
        <v>0.736492165667915</v>
      </c>
      <c r="AX417">
        <v>0.71877642791454</v>
      </c>
      <c r="AY417">
        <v>0.701600230606378</v>
      </c>
      <c r="AZ417">
        <v>0.684691755315336</v>
      </c>
      <c r="BA417">
        <v>0</v>
      </c>
      <c r="BB417">
        <v>0</v>
      </c>
      <c r="BC417">
        <v>0</v>
      </c>
      <c r="BD417">
        <v>0</v>
      </c>
      <c r="BE417">
        <v>0</v>
      </c>
      <c r="BF417">
        <v>0</v>
      </c>
      <c r="BG417">
        <v>0</v>
      </c>
      <c r="BH417">
        <v>0</v>
      </c>
      <c r="BJ417" t="s">
        <v>438</v>
      </c>
      <c r="BL417">
        <v>1</v>
      </c>
      <c r="BM417">
        <v>0.997560975609757</v>
      </c>
      <c r="BN417">
        <v>0.985365853658537</v>
      </c>
      <c r="BO417">
        <v>0.973170731707317</v>
      </c>
      <c r="BP417">
        <v>0.960975609756098</v>
      </c>
      <c r="BQ417">
        <v>0.948780487804878</v>
      </c>
      <c r="BR417">
        <v>0.936585365853658</v>
      </c>
      <c r="BS417">
        <v>0.924390243902439</v>
      </c>
      <c r="BT417">
        <v>0.91219512195122</v>
      </c>
      <c r="BU417">
        <v>0.9</v>
      </c>
      <c r="BV417">
        <v>0.8875</v>
      </c>
      <c r="BW417">
        <v>0.875000000000001</v>
      </c>
      <c r="BX417">
        <v>0.862500000000001</v>
      </c>
      <c r="BY417">
        <v>0.850000000000001</v>
      </c>
      <c r="BZ417">
        <v>0.8375</v>
      </c>
      <c r="CA417">
        <v>0.825000000000001</v>
      </c>
      <c r="CB417">
        <v>0.812500000000001</v>
      </c>
      <c r="CC417">
        <v>0.800000000000001</v>
      </c>
      <c r="CD417" t="e">
        <v>#VALUE!</v>
      </c>
      <c r="CE417" t="e">
        <v>#VALUE!</v>
      </c>
      <c r="CF417" t="e">
        <v>#VALUE!</v>
      </c>
      <c r="CG417" t="e">
        <v>#VALUE!</v>
      </c>
      <c r="CH417" t="e">
        <v>#VALUE!</v>
      </c>
      <c r="CI417" t="e">
        <v>#VALUE!</v>
      </c>
      <c r="CJ417" t="e">
        <v>#VALUE!</v>
      </c>
      <c r="CK417" t="e">
        <v>#VALUE!</v>
      </c>
    </row>
    <row r="418" spans="1:89">
      <c r="A418" s="34" t="s">
        <v>38</v>
      </c>
      <c r="B418" s="34" t="s">
        <v>446</v>
      </c>
      <c r="C418" s="34" t="s">
        <v>446</v>
      </c>
      <c r="D418" s="34">
        <v>0.105</v>
      </c>
      <c r="E418" s="34">
        <v>0.104448323658577</v>
      </c>
      <c r="F418" s="34"/>
      <c r="G418" s="34">
        <v>0.101723627812603</v>
      </c>
      <c r="H418" s="34">
        <v>0.100078090489522</v>
      </c>
      <c r="I418" s="34">
        <v>0.0981720768599298</v>
      </c>
      <c r="J418" s="34">
        <v>0.096068822524858</v>
      </c>
      <c r="K418" s="34">
        <v>0.0939365316760436</v>
      </c>
      <c r="L418" s="34">
        <v>0.0918903749285106</v>
      </c>
      <c r="M418" s="34">
        <v>0.0899603412457089</v>
      </c>
      <c r="N418" s="34">
        <v>0.0881181238926216</v>
      </c>
      <c r="O418" s="34">
        <v>0.0863281270416173</v>
      </c>
      <c r="P418" s="34">
        <v>0.0845634527724789</v>
      </c>
      <c r="Q418" s="34">
        <v>0.0828208061884703</v>
      </c>
      <c r="R418" s="34">
        <v>0.0811170026458698</v>
      </c>
      <c r="S418" s="34">
        <v>0.0794722475914659</v>
      </c>
      <c r="T418" s="34">
        <v>0.0778951427841486</v>
      </c>
      <c r="U418" s="34">
        <v>0.0763827418337265</v>
      </c>
      <c r="V418" s="34">
        <v>0.0749100904329806</v>
      </c>
      <c r="W418" s="34">
        <v>3</v>
      </c>
      <c r="AG418" s="232" t="s">
        <v>442</v>
      </c>
      <c r="AI418">
        <v>1</v>
      </c>
      <c r="AJ418">
        <v>0.994733093492064</v>
      </c>
      <c r="AK418">
        <v>0.968398560952385</v>
      </c>
      <c r="AL418">
        <v>0.952301336734361</v>
      </c>
      <c r="AM418">
        <v>0.933427985580202</v>
      </c>
      <c r="AN418">
        <v>0.912350495822038</v>
      </c>
      <c r="AO418">
        <v>0.890729369207688</v>
      </c>
      <c r="AP418">
        <v>0.869740221786158</v>
      </c>
      <c r="AQ418">
        <v>0.84971410824421</v>
      </c>
      <c r="AR418">
        <v>0.830380180356351</v>
      </c>
      <c r="AS418">
        <v>0.811373965346304</v>
      </c>
      <c r="AT418">
        <v>0.79241890157327</v>
      </c>
      <c r="AU418">
        <v>0.773485775158997</v>
      </c>
      <c r="AV418">
        <v>0.754765446514725</v>
      </c>
      <c r="AW418">
        <v>0.736492165667915</v>
      </c>
      <c r="AX418">
        <v>0.71877642791454</v>
      </c>
      <c r="AY418">
        <v>0.701600230606378</v>
      </c>
      <c r="AZ418">
        <v>0.684691755315336</v>
      </c>
      <c r="BA418">
        <v>0</v>
      </c>
      <c r="BB418">
        <v>0</v>
      </c>
      <c r="BC418">
        <v>0</v>
      </c>
      <c r="BD418">
        <v>0</v>
      </c>
      <c r="BE418">
        <v>0</v>
      </c>
      <c r="BF418">
        <v>0</v>
      </c>
      <c r="BG418">
        <v>0</v>
      </c>
      <c r="BH418">
        <v>0</v>
      </c>
      <c r="BJ418" t="s">
        <v>438</v>
      </c>
      <c r="BL418">
        <v>1</v>
      </c>
      <c r="BM418">
        <v>0.997560975609757</v>
      </c>
      <c r="BN418">
        <v>0.985365853658537</v>
      </c>
      <c r="BO418">
        <v>0.973170731707317</v>
      </c>
      <c r="BP418">
        <v>0.960975609756098</v>
      </c>
      <c r="BQ418">
        <v>0.948780487804878</v>
      </c>
      <c r="BR418">
        <v>0.936585365853658</v>
      </c>
      <c r="BS418">
        <v>0.924390243902439</v>
      </c>
      <c r="BT418">
        <v>0.91219512195122</v>
      </c>
      <c r="BU418">
        <v>0.9</v>
      </c>
      <c r="BV418">
        <v>0.8875</v>
      </c>
      <c r="BW418">
        <v>0.875000000000001</v>
      </c>
      <c r="BX418">
        <v>0.862500000000001</v>
      </c>
      <c r="BY418">
        <v>0.850000000000001</v>
      </c>
      <c r="BZ418">
        <v>0.8375</v>
      </c>
      <c r="CA418">
        <v>0.825000000000001</v>
      </c>
      <c r="CB418">
        <v>0.812500000000001</v>
      </c>
      <c r="CC418">
        <v>0.800000000000001</v>
      </c>
      <c r="CD418" t="e">
        <v>#VALUE!</v>
      </c>
      <c r="CE418" t="e">
        <v>#VALUE!</v>
      </c>
      <c r="CF418" t="e">
        <v>#VALUE!</v>
      </c>
      <c r="CG418" t="e">
        <v>#VALUE!</v>
      </c>
      <c r="CH418" t="e">
        <v>#VALUE!</v>
      </c>
      <c r="CI418" t="e">
        <v>#VALUE!</v>
      </c>
      <c r="CJ418" t="e">
        <v>#VALUE!</v>
      </c>
      <c r="CK418" t="e">
        <v>#VALUE!</v>
      </c>
    </row>
    <row r="419" spans="1:89">
      <c r="A419" s="34" t="s">
        <v>38</v>
      </c>
      <c r="B419" s="34" t="s">
        <v>447</v>
      </c>
      <c r="C419" s="34" t="s">
        <v>447</v>
      </c>
      <c r="D419" s="34">
        <v>1.18</v>
      </c>
      <c r="E419" s="34">
        <v>1.17380020873449</v>
      </c>
      <c r="F419" s="34"/>
      <c r="G419" s="34">
        <v>1.14317981732259</v>
      </c>
      <c r="H419" s="34">
        <v>1.12468711216796</v>
      </c>
      <c r="I419" s="34">
        <v>1.1032671494735</v>
      </c>
      <c r="J419" s="34">
        <v>1.07963057694602</v>
      </c>
      <c r="K419" s="34">
        <v>1.05566768931173</v>
      </c>
      <c r="L419" s="34">
        <v>1.03267278491088</v>
      </c>
      <c r="M419" s="34">
        <v>1.01098288257082</v>
      </c>
      <c r="N419" s="34">
        <v>0.990279868507557</v>
      </c>
      <c r="O419" s="34">
        <v>0.97016371342008</v>
      </c>
      <c r="P419" s="34">
        <v>0.950332135919287</v>
      </c>
      <c r="Q419" s="34">
        <v>0.930748107641856</v>
      </c>
      <c r="R419" s="34">
        <v>0.911600601163108</v>
      </c>
      <c r="S419" s="34">
        <v>0.893116687218379</v>
      </c>
      <c r="T419" s="34">
        <v>0.875393033193289</v>
      </c>
      <c r="U419" s="34">
        <v>0.858396527274259</v>
      </c>
      <c r="V419" s="34">
        <v>0.841846730580163</v>
      </c>
      <c r="W419" s="34">
        <v>3</v>
      </c>
      <c r="AG419" s="232" t="s">
        <v>442</v>
      </c>
      <c r="AI419">
        <v>1</v>
      </c>
      <c r="AJ419">
        <v>0.994733093492064</v>
      </c>
      <c r="AK419">
        <v>0.968398560952385</v>
      </c>
      <c r="AL419">
        <v>0.952301336734361</v>
      </c>
      <c r="AM419">
        <v>0.933427985580202</v>
      </c>
      <c r="AN419">
        <v>0.912350495822038</v>
      </c>
      <c r="AO419">
        <v>0.890729369207688</v>
      </c>
      <c r="AP419">
        <v>0.869740221786158</v>
      </c>
      <c r="AQ419">
        <v>0.84971410824421</v>
      </c>
      <c r="AR419">
        <v>0.830380180356351</v>
      </c>
      <c r="AS419">
        <v>0.811373965346304</v>
      </c>
      <c r="AT419">
        <v>0.79241890157327</v>
      </c>
      <c r="AU419">
        <v>0.773485775158997</v>
      </c>
      <c r="AV419">
        <v>0.754765446514725</v>
      </c>
      <c r="AW419">
        <v>0.736492165667915</v>
      </c>
      <c r="AX419">
        <v>0.71877642791454</v>
      </c>
      <c r="AY419">
        <v>0.701600230606378</v>
      </c>
      <c r="AZ419">
        <v>0.684691755315336</v>
      </c>
      <c r="BA419">
        <v>0</v>
      </c>
      <c r="BB419">
        <v>0</v>
      </c>
      <c r="BC419">
        <v>0</v>
      </c>
      <c r="BD419">
        <v>0</v>
      </c>
      <c r="BE419">
        <v>0</v>
      </c>
      <c r="BF419">
        <v>0</v>
      </c>
      <c r="BG419">
        <v>0</v>
      </c>
      <c r="BH419">
        <v>0</v>
      </c>
      <c r="BJ419" t="s">
        <v>438</v>
      </c>
      <c r="BL419">
        <v>1</v>
      </c>
      <c r="BM419">
        <v>0.997560975609757</v>
      </c>
      <c r="BN419">
        <v>0.985365853658537</v>
      </c>
      <c r="BO419">
        <v>0.973170731707317</v>
      </c>
      <c r="BP419">
        <v>0.960975609756098</v>
      </c>
      <c r="BQ419">
        <v>0.948780487804878</v>
      </c>
      <c r="BR419">
        <v>0.936585365853658</v>
      </c>
      <c r="BS419">
        <v>0.924390243902439</v>
      </c>
      <c r="BT419">
        <v>0.91219512195122</v>
      </c>
      <c r="BU419">
        <v>0.9</v>
      </c>
      <c r="BV419">
        <v>0.8875</v>
      </c>
      <c r="BW419">
        <v>0.875000000000001</v>
      </c>
      <c r="BX419">
        <v>0.862500000000001</v>
      </c>
      <c r="BY419">
        <v>0.850000000000001</v>
      </c>
      <c r="BZ419">
        <v>0.8375</v>
      </c>
      <c r="CA419">
        <v>0.825000000000001</v>
      </c>
      <c r="CB419">
        <v>0.812500000000001</v>
      </c>
      <c r="CC419">
        <v>0.800000000000001</v>
      </c>
      <c r="CD419" t="e">
        <v>#VALUE!</v>
      </c>
      <c r="CE419" t="e">
        <v>#VALUE!</v>
      </c>
      <c r="CF419" t="e">
        <v>#VALUE!</v>
      </c>
      <c r="CG419" t="e">
        <v>#VALUE!</v>
      </c>
      <c r="CH419" t="e">
        <v>#VALUE!</v>
      </c>
      <c r="CI419" t="e">
        <v>#VALUE!</v>
      </c>
      <c r="CJ419" t="e">
        <v>#VALUE!</v>
      </c>
      <c r="CK419" t="e">
        <v>#VALUE!</v>
      </c>
    </row>
    <row r="420" spans="1:89">
      <c r="A420" s="34" t="s">
        <v>38</v>
      </c>
      <c r="B420" s="34" t="s">
        <v>448</v>
      </c>
      <c r="C420" s="34" t="s">
        <v>448</v>
      </c>
      <c r="D420" s="34">
        <v>39.264</v>
      </c>
      <c r="E420" s="34">
        <v>40.2247912331169</v>
      </c>
      <c r="F420" s="34"/>
      <c r="G420" s="34">
        <v>49.8525825358696</v>
      </c>
      <c r="H420" s="34">
        <v>60.1874567216683</v>
      </c>
      <c r="I420" s="34">
        <v>70.2286970965134</v>
      </c>
      <c r="J420" s="34">
        <v>79.6000926158636</v>
      </c>
      <c r="K420" s="34">
        <v>88.5674629876359</v>
      </c>
      <c r="L420" s="34">
        <v>97.2306510264698</v>
      </c>
      <c r="M420" s="34">
        <v>105.790894958278</v>
      </c>
      <c r="N420" s="34">
        <v>114.429489978263</v>
      </c>
      <c r="O420" s="34">
        <v>123.558804591252</v>
      </c>
      <c r="P420" s="34">
        <v>133.149609821288</v>
      </c>
      <c r="Q420" s="34">
        <v>142.937971167694</v>
      </c>
      <c r="R420" s="34">
        <v>152.79062639228</v>
      </c>
      <c r="S420" s="34">
        <v>162.648613762469</v>
      </c>
      <c r="T420" s="34">
        <v>172.605781450367</v>
      </c>
      <c r="U420" s="34">
        <v>182.731181231561</v>
      </c>
      <c r="V420" s="34">
        <v>193.10579846479</v>
      </c>
      <c r="W420" s="34">
        <v>3</v>
      </c>
      <c r="AG420" s="232" t="s">
        <v>449</v>
      </c>
      <c r="AI420">
        <v>1</v>
      </c>
      <c r="AJ420">
        <v>1.02452985829096</v>
      </c>
      <c r="AK420">
        <v>1.27339265664415</v>
      </c>
      <c r="AL420">
        <v>1.54465582806161</v>
      </c>
      <c r="AM420">
        <v>1.81281998780747</v>
      </c>
      <c r="AN420">
        <v>2.06778382856818</v>
      </c>
      <c r="AO420">
        <v>2.31650302234424</v>
      </c>
      <c r="AP420">
        <v>2.56162432418135</v>
      </c>
      <c r="AQ420">
        <v>2.80885971574661</v>
      </c>
      <c r="AR420">
        <v>3.06370838114509</v>
      </c>
      <c r="AS420">
        <v>3.33911810804935</v>
      </c>
      <c r="AT420">
        <v>3.63533178097863</v>
      </c>
      <c r="AU420">
        <v>3.94518430960285</v>
      </c>
      <c r="AV420">
        <v>4.26511363017723</v>
      </c>
      <c r="AW420">
        <v>4.59369076356374</v>
      </c>
      <c r="AX420">
        <v>4.93456428136288</v>
      </c>
      <c r="AY420">
        <v>5.29083676575762</v>
      </c>
      <c r="AZ420">
        <v>5.66632280704435</v>
      </c>
      <c r="BA420">
        <v>0</v>
      </c>
      <c r="BB420">
        <v>0</v>
      </c>
      <c r="BC420">
        <v>0</v>
      </c>
      <c r="BD420">
        <v>0</v>
      </c>
      <c r="BE420">
        <v>0</v>
      </c>
      <c r="BF420">
        <v>0</v>
      </c>
      <c r="BG420">
        <v>0</v>
      </c>
      <c r="BH420">
        <v>0</v>
      </c>
      <c r="BJ420" t="s">
        <v>438</v>
      </c>
      <c r="BL420">
        <v>1</v>
      </c>
      <c r="BM420">
        <v>0.997560975609757</v>
      </c>
      <c r="BN420">
        <v>0.985365853658537</v>
      </c>
      <c r="BO420">
        <v>0.973170731707317</v>
      </c>
      <c r="BP420">
        <v>0.960975609756098</v>
      </c>
      <c r="BQ420">
        <v>0.948780487804878</v>
      </c>
      <c r="BR420">
        <v>0.936585365853658</v>
      </c>
      <c r="BS420">
        <v>0.924390243902439</v>
      </c>
      <c r="BT420">
        <v>0.91219512195122</v>
      </c>
      <c r="BU420">
        <v>0.9</v>
      </c>
      <c r="BV420">
        <v>0.8875</v>
      </c>
      <c r="BW420">
        <v>0.875000000000001</v>
      </c>
      <c r="BX420">
        <v>0.862500000000001</v>
      </c>
      <c r="BY420">
        <v>0.850000000000001</v>
      </c>
      <c r="BZ420">
        <v>0.8375</v>
      </c>
      <c r="CA420">
        <v>0.825000000000001</v>
      </c>
      <c r="CB420">
        <v>0.812500000000001</v>
      </c>
      <c r="CC420">
        <v>0.800000000000001</v>
      </c>
      <c r="CD420" t="e">
        <v>#VALUE!</v>
      </c>
      <c r="CE420" t="e">
        <v>#VALUE!</v>
      </c>
      <c r="CF420" t="e">
        <v>#VALUE!</v>
      </c>
      <c r="CG420" t="e">
        <v>#VALUE!</v>
      </c>
      <c r="CH420" t="e">
        <v>#VALUE!</v>
      </c>
      <c r="CI420" t="e">
        <v>#VALUE!</v>
      </c>
      <c r="CJ420" t="e">
        <v>#VALUE!</v>
      </c>
      <c r="CK420" t="e">
        <v>#VALUE!</v>
      </c>
    </row>
    <row r="421" spans="1:89">
      <c r="A421" s="34" t="s">
        <v>38</v>
      </c>
      <c r="B421" s="34" t="s">
        <v>450</v>
      </c>
      <c r="C421" s="34" t="s">
        <v>450</v>
      </c>
      <c r="D421" s="34">
        <v>16.31</v>
      </c>
      <c r="E421" s="34">
        <v>16.6213103990311</v>
      </c>
      <c r="F421" s="34"/>
      <c r="G421" s="34">
        <v>20.0607017988045</v>
      </c>
      <c r="H421" s="34">
        <v>23.8258178754856</v>
      </c>
      <c r="I421" s="34">
        <v>27.2681983886852</v>
      </c>
      <c r="J421" s="34">
        <v>30.2405343855336</v>
      </c>
      <c r="K421" s="34">
        <v>32.8953536095175</v>
      </c>
      <c r="L421" s="34">
        <v>35.3206402711898</v>
      </c>
      <c r="M421" s="34">
        <v>37.6168268492257</v>
      </c>
      <c r="N421" s="34">
        <v>39.8483011755903</v>
      </c>
      <c r="O421" s="34">
        <v>42.1452151589095</v>
      </c>
      <c r="P421" s="34">
        <v>44.4786499380045</v>
      </c>
      <c r="Q421" s="34">
        <v>46.7537323395421</v>
      </c>
      <c r="R421" s="34">
        <v>48.936624197609</v>
      </c>
      <c r="S421" s="34">
        <v>51.0252979836641</v>
      </c>
      <c r="T421" s="34">
        <v>53.0612887395663</v>
      </c>
      <c r="U421" s="34">
        <v>55.069357495699</v>
      </c>
      <c r="V421" s="34">
        <v>57.0588549674083</v>
      </c>
      <c r="W421" s="34">
        <v>3</v>
      </c>
      <c r="AG421" s="232" t="s">
        <v>437</v>
      </c>
      <c r="AI421">
        <v>1</v>
      </c>
      <c r="AJ421">
        <v>1.01913375531275</v>
      </c>
      <c r="AK421">
        <v>1.23315161622153</v>
      </c>
      <c r="AL421">
        <v>1.47097780985759</v>
      </c>
      <c r="AM421">
        <v>1.69213690943865</v>
      </c>
      <c r="AN421">
        <v>1.88654360124696</v>
      </c>
      <c r="AO421">
        <v>2.06337727586039</v>
      </c>
      <c r="AP421">
        <v>2.2279477078463</v>
      </c>
      <c r="AQ421">
        <v>2.38672772854871</v>
      </c>
      <c r="AR421">
        <v>2.54404271809451</v>
      </c>
      <c r="AS421">
        <v>2.70927350008765</v>
      </c>
      <c r="AT421">
        <v>2.88070561673748</v>
      </c>
      <c r="AU421">
        <v>3.05154394385827</v>
      </c>
      <c r="AV421">
        <v>3.21916039351676</v>
      </c>
      <c r="AW421">
        <v>3.38321725886575</v>
      </c>
      <c r="AX421">
        <v>3.54684848747269</v>
      </c>
      <c r="AY421">
        <v>3.71205229495624</v>
      </c>
      <c r="AZ421">
        <v>3.87968450893851</v>
      </c>
      <c r="BA421">
        <v>0</v>
      </c>
      <c r="BB421">
        <v>0</v>
      </c>
      <c r="BC421">
        <v>0</v>
      </c>
      <c r="BD421">
        <v>0</v>
      </c>
      <c r="BE421">
        <v>0</v>
      </c>
      <c r="BF421">
        <v>0</v>
      </c>
      <c r="BG421">
        <v>0</v>
      </c>
      <c r="BH421">
        <v>0</v>
      </c>
      <c r="BJ421" t="s">
        <v>438</v>
      </c>
      <c r="BL421">
        <v>1</v>
      </c>
      <c r="BM421">
        <v>0.997560975609757</v>
      </c>
      <c r="BN421">
        <v>0.985365853658537</v>
      </c>
      <c r="BO421">
        <v>0.973170731707317</v>
      </c>
      <c r="BP421">
        <v>0.960975609756098</v>
      </c>
      <c r="BQ421">
        <v>0.948780487804878</v>
      </c>
      <c r="BR421">
        <v>0.936585365853658</v>
      </c>
      <c r="BS421">
        <v>0.924390243902439</v>
      </c>
      <c r="BT421">
        <v>0.91219512195122</v>
      </c>
      <c r="BU421">
        <v>0.9</v>
      </c>
      <c r="BV421">
        <v>0.8875</v>
      </c>
      <c r="BW421">
        <v>0.875000000000001</v>
      </c>
      <c r="BX421">
        <v>0.862500000000001</v>
      </c>
      <c r="BY421">
        <v>0.850000000000001</v>
      </c>
      <c r="BZ421">
        <v>0.8375</v>
      </c>
      <c r="CA421">
        <v>0.825000000000001</v>
      </c>
      <c r="CB421">
        <v>0.812500000000001</v>
      </c>
      <c r="CC421">
        <v>0.800000000000001</v>
      </c>
      <c r="CD421" t="e">
        <v>#VALUE!</v>
      </c>
      <c r="CE421" t="e">
        <v>#VALUE!</v>
      </c>
      <c r="CF421" t="e">
        <v>#VALUE!</v>
      </c>
      <c r="CG421" t="e">
        <v>#VALUE!</v>
      </c>
      <c r="CH421" t="e">
        <v>#VALUE!</v>
      </c>
      <c r="CI421" t="e">
        <v>#VALUE!</v>
      </c>
      <c r="CJ421" t="e">
        <v>#VALUE!</v>
      </c>
      <c r="CK421" t="e">
        <v>#VALUE!</v>
      </c>
    </row>
    <row r="422" spans="1:89">
      <c r="A422" s="34" t="s">
        <v>38</v>
      </c>
      <c r="B422" s="34" t="s">
        <v>451</v>
      </c>
      <c r="C422" s="34" t="s">
        <v>451</v>
      </c>
      <c r="D422" s="34">
        <v>11.49</v>
      </c>
      <c r="E422" s="34">
        <v>11.7093106367178</v>
      </c>
      <c r="F422" s="34"/>
      <c r="G422" s="34">
        <v>14.1322785817452</v>
      </c>
      <c r="H422" s="34">
        <v>16.7847116731655</v>
      </c>
      <c r="I422" s="34">
        <v>19.2097853762105</v>
      </c>
      <c r="J422" s="34">
        <v>21.3037241011515</v>
      </c>
      <c r="K422" s="34">
        <v>23.1739799493167</v>
      </c>
      <c r="L422" s="34">
        <v>24.8825356662153</v>
      </c>
      <c r="M422" s="34">
        <v>26.5001435007727</v>
      </c>
      <c r="N422" s="34">
        <v>28.0721631212466</v>
      </c>
      <c r="O422" s="34">
        <v>29.6902833952097</v>
      </c>
      <c r="P422" s="34">
        <v>31.3341316853263</v>
      </c>
      <c r="Q422" s="34">
        <v>32.9368721386474</v>
      </c>
      <c r="R422" s="34">
        <v>34.474666586789</v>
      </c>
      <c r="S422" s="34">
        <v>35.946086684997</v>
      </c>
      <c r="T422" s="34">
        <v>37.3803928643542</v>
      </c>
      <c r="U422" s="34">
        <v>38.7950286710963</v>
      </c>
      <c r="V422" s="34">
        <v>40.1965814577266</v>
      </c>
      <c r="W422" s="34">
        <v>3</v>
      </c>
      <c r="AG422" s="232" t="s">
        <v>437</v>
      </c>
      <c r="AI422">
        <v>1</v>
      </c>
      <c r="AJ422">
        <v>1.01913375531275</v>
      </c>
      <c r="AK422">
        <v>1.23315161622153</v>
      </c>
      <c r="AL422">
        <v>1.47097780985759</v>
      </c>
      <c r="AM422">
        <v>1.69213690943865</v>
      </c>
      <c r="AN422">
        <v>1.88654360124696</v>
      </c>
      <c r="AO422">
        <v>2.06337727586039</v>
      </c>
      <c r="AP422">
        <v>2.2279477078463</v>
      </c>
      <c r="AQ422">
        <v>2.38672772854871</v>
      </c>
      <c r="AR422">
        <v>2.54404271809451</v>
      </c>
      <c r="AS422">
        <v>2.70927350008765</v>
      </c>
      <c r="AT422">
        <v>2.88070561673748</v>
      </c>
      <c r="AU422">
        <v>3.05154394385827</v>
      </c>
      <c r="AV422">
        <v>3.21916039351676</v>
      </c>
      <c r="AW422">
        <v>3.38321725886575</v>
      </c>
      <c r="AX422">
        <v>3.54684848747269</v>
      </c>
      <c r="AY422">
        <v>3.71205229495624</v>
      </c>
      <c r="AZ422">
        <v>3.87968450893851</v>
      </c>
      <c r="BA422">
        <v>0</v>
      </c>
      <c r="BB422">
        <v>0</v>
      </c>
      <c r="BC422">
        <v>0</v>
      </c>
      <c r="BD422">
        <v>0</v>
      </c>
      <c r="BE422">
        <v>0</v>
      </c>
      <c r="BF422">
        <v>0</v>
      </c>
      <c r="BG422">
        <v>0</v>
      </c>
      <c r="BH422">
        <v>0</v>
      </c>
      <c r="BJ422" t="s">
        <v>438</v>
      </c>
      <c r="BL422">
        <v>1</v>
      </c>
      <c r="BM422">
        <v>0.997560975609757</v>
      </c>
      <c r="BN422">
        <v>0.985365853658537</v>
      </c>
      <c r="BO422">
        <v>0.973170731707317</v>
      </c>
      <c r="BP422">
        <v>0.960975609756098</v>
      </c>
      <c r="BQ422">
        <v>0.948780487804878</v>
      </c>
      <c r="BR422">
        <v>0.936585365853658</v>
      </c>
      <c r="BS422">
        <v>0.924390243902439</v>
      </c>
      <c r="BT422">
        <v>0.91219512195122</v>
      </c>
      <c r="BU422">
        <v>0.9</v>
      </c>
      <c r="BV422">
        <v>0.8875</v>
      </c>
      <c r="BW422">
        <v>0.875000000000001</v>
      </c>
      <c r="BX422">
        <v>0.862500000000001</v>
      </c>
      <c r="BY422">
        <v>0.850000000000001</v>
      </c>
      <c r="BZ422">
        <v>0.8375</v>
      </c>
      <c r="CA422">
        <v>0.825000000000001</v>
      </c>
      <c r="CB422">
        <v>0.812500000000001</v>
      </c>
      <c r="CC422">
        <v>0.800000000000001</v>
      </c>
      <c r="CD422" t="e">
        <v>#VALUE!</v>
      </c>
      <c r="CE422" t="e">
        <v>#VALUE!</v>
      </c>
      <c r="CF422" t="e">
        <v>#VALUE!</v>
      </c>
      <c r="CG422" t="e">
        <v>#VALUE!</v>
      </c>
      <c r="CH422" t="e">
        <v>#VALUE!</v>
      </c>
      <c r="CI422" t="e">
        <v>#VALUE!</v>
      </c>
      <c r="CJ422" t="e">
        <v>#VALUE!</v>
      </c>
      <c r="CK422" t="e">
        <v>#VALUE!</v>
      </c>
    </row>
    <row r="430" spans="1:89">
      <c r="E430"/>
      <c r="F430"/>
      <c r="I430"/>
      <c r="J430"/>
    </row>
    <row r="431" spans="1:89">
      <c r="E431"/>
      <c r="F431"/>
      <c r="I431"/>
      <c r="J431"/>
    </row>
    <row r="432" spans="1:89">
      <c r="E432"/>
      <c r="F432"/>
      <c r="I432"/>
      <c r="J432"/>
    </row>
    <row r="433" spans="5:10">
      <c r="E433"/>
      <c r="F433"/>
      <c r="I433"/>
      <c r="J433"/>
    </row>
    <row r="434" spans="5:10">
      <c r="E434"/>
      <c r="F434"/>
      <c r="I434"/>
      <c r="J434"/>
    </row>
    <row r="435" spans="5:10">
      <c r="E435"/>
      <c r="F435"/>
      <c r="I435"/>
      <c r="J435"/>
    </row>
    <row r="436" spans="5:10">
      <c r="E436"/>
      <c r="F436"/>
      <c r="I436"/>
      <c r="J436"/>
    </row>
    <row r="437" spans="5:10">
      <c r="E437"/>
      <c r="F437"/>
      <c r="I437"/>
      <c r="J437"/>
    </row>
    <row r="438" spans="5:10">
      <c r="E438"/>
      <c r="F438"/>
      <c r="I438"/>
      <c r="J438"/>
    </row>
    <row r="439" spans="5:10">
      <c r="E439"/>
      <c r="F439"/>
      <c r="I439"/>
      <c r="J439"/>
    </row>
    <row r="440" spans="5:10">
      <c r="E440"/>
      <c r="F440"/>
      <c r="I440"/>
      <c r="J440"/>
    </row>
    <row r="441" spans="5:10">
      <c r="E441"/>
      <c r="F441"/>
      <c r="I441"/>
      <c r="J441"/>
    </row>
    <row r="442" spans="5:10">
      <c r="E442"/>
      <c r="F442"/>
      <c r="I442"/>
      <c r="J442"/>
    </row>
    <row r="443" spans="5:10">
      <c r="E443"/>
      <c r="F443"/>
      <c r="I443"/>
      <c r="J443"/>
    </row>
    <row r="444" spans="5:10">
      <c r="E444"/>
      <c r="F444"/>
      <c r="I444"/>
      <c r="J444"/>
    </row>
    <row r="445" spans="5:10">
      <c r="E445"/>
      <c r="F445"/>
      <c r="I445"/>
      <c r="J445"/>
    </row>
    <row r="446" spans="5:10">
      <c r="E446"/>
      <c r="F446"/>
      <c r="I446"/>
      <c r="J446"/>
    </row>
    <row r="447" spans="5:10">
      <c r="E447"/>
      <c r="F447"/>
      <c r="I447"/>
      <c r="J447"/>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1:P46"/>
  <sheetViews>
    <sheetView zoomScale="89" zoomScaleNormal="89" topLeftCell="A6" workbookViewId="0">
      <selection activeCell="J17" sqref="J17"/>
    </sheetView>
  </sheetViews>
  <sheetFormatPr defaultColWidth="8.72727272727273" defaultRowHeight="12.5"/>
  <sheetData>
    <row r="11" ht="52" spans="6:16">
      <c r="F11" s="23" t="s">
        <v>454</v>
      </c>
      <c r="G11" s="24" t="s">
        <v>455</v>
      </c>
      <c r="H11" s="24" t="s">
        <v>456</v>
      </c>
      <c r="M11" s="23" t="s">
        <v>457</v>
      </c>
      <c r="N11" s="23" t="s">
        <v>458</v>
      </c>
      <c r="O11" s="23" t="s">
        <v>459</v>
      </c>
      <c r="P11" s="23" t="s">
        <v>460</v>
      </c>
    </row>
    <row r="12" ht="37.5" spans="6:16">
      <c r="F12" s="25" t="s">
        <v>461</v>
      </c>
      <c r="G12" s="26">
        <v>720</v>
      </c>
      <c r="H12" s="24">
        <v>381</v>
      </c>
      <c r="M12" s="25" t="s">
        <v>3</v>
      </c>
      <c r="N12" s="25" t="s">
        <v>462</v>
      </c>
      <c r="O12" s="25">
        <v>0</v>
      </c>
      <c r="P12" s="27">
        <v>0</v>
      </c>
    </row>
    <row r="13" ht="87.5" spans="6:16">
      <c r="F13" s="25" t="s">
        <v>6</v>
      </c>
      <c r="G13" s="28">
        <v>18000</v>
      </c>
      <c r="H13" s="29">
        <v>9522</v>
      </c>
      <c r="M13" s="25" t="s">
        <v>5</v>
      </c>
      <c r="N13" s="25" t="s">
        <v>463</v>
      </c>
      <c r="O13" s="25">
        <v>300</v>
      </c>
      <c r="P13" s="27">
        <v>159</v>
      </c>
    </row>
    <row r="14" ht="13" spans="6:16">
      <c r="F14" s="25" t="s">
        <v>10</v>
      </c>
      <c r="G14" s="28">
        <v>11000</v>
      </c>
      <c r="H14" s="29">
        <v>5819</v>
      </c>
      <c r="M14" s="25" t="s">
        <v>6</v>
      </c>
      <c r="N14" s="25" t="s">
        <v>6</v>
      </c>
      <c r="O14" s="30">
        <v>18000</v>
      </c>
      <c r="P14" s="31">
        <v>9522</v>
      </c>
    </row>
    <row r="15" ht="13" spans="6:16">
      <c r="F15" s="25" t="s">
        <v>464</v>
      </c>
      <c r="G15" s="28">
        <v>1500</v>
      </c>
      <c r="H15" s="24">
        <v>794</v>
      </c>
      <c r="M15" s="25" t="s">
        <v>7</v>
      </c>
      <c r="N15" s="25" t="s">
        <v>7</v>
      </c>
      <c r="O15" s="25">
        <v>0</v>
      </c>
      <c r="P15" s="27">
        <v>0</v>
      </c>
    </row>
    <row r="16" ht="37.5" spans="6:16">
      <c r="F16" s="25" t="s">
        <v>11</v>
      </c>
      <c r="G16" s="28">
        <v>84000</v>
      </c>
      <c r="H16" s="29">
        <v>44436</v>
      </c>
      <c r="M16" s="25" t="s">
        <v>8</v>
      </c>
      <c r="N16" s="25" t="s">
        <v>465</v>
      </c>
      <c r="O16" s="25">
        <v>0</v>
      </c>
      <c r="P16" s="27">
        <v>0</v>
      </c>
    </row>
    <row r="17" ht="62.5" spans="6:16">
      <c r="F17" s="25" t="s">
        <v>15</v>
      </c>
      <c r="G17" s="26">
        <v>960</v>
      </c>
      <c r="H17" s="24">
        <v>508</v>
      </c>
      <c r="M17" s="25" t="s">
        <v>9</v>
      </c>
      <c r="N17" s="25" t="s">
        <v>466</v>
      </c>
      <c r="O17" s="25">
        <v>0</v>
      </c>
      <c r="P17" s="27">
        <v>0</v>
      </c>
    </row>
    <row r="18" ht="13" spans="6:16">
      <c r="F18" s="25" t="s">
        <v>467</v>
      </c>
      <c r="G18" s="26">
        <v>860</v>
      </c>
      <c r="H18" s="24">
        <v>455</v>
      </c>
      <c r="M18" s="25" t="s">
        <v>10</v>
      </c>
      <c r="N18" s="25" t="s">
        <v>10</v>
      </c>
      <c r="O18" s="30">
        <v>11000</v>
      </c>
      <c r="P18" s="31">
        <v>5819</v>
      </c>
    </row>
    <row r="19" ht="13" spans="6:16">
      <c r="F19" s="25" t="s">
        <v>468</v>
      </c>
      <c r="G19" s="26">
        <v>300</v>
      </c>
      <c r="H19" s="24">
        <v>159</v>
      </c>
      <c r="M19" s="25" t="s">
        <v>11</v>
      </c>
      <c r="N19" s="25" t="s">
        <v>11</v>
      </c>
      <c r="O19" s="30">
        <v>84000</v>
      </c>
      <c r="P19" s="31">
        <v>44436</v>
      </c>
    </row>
    <row r="20" ht="25" spans="6:16">
      <c r="F20" s="25" t="s">
        <v>19</v>
      </c>
      <c r="G20" s="28">
        <v>7600</v>
      </c>
      <c r="H20" s="29">
        <v>4020</v>
      </c>
      <c r="M20" s="25" t="s">
        <v>12</v>
      </c>
      <c r="N20" s="25" t="s">
        <v>469</v>
      </c>
      <c r="O20" s="25">
        <v>0</v>
      </c>
      <c r="P20" s="27">
        <v>0</v>
      </c>
    </row>
    <row r="21" ht="25" spans="6:16">
      <c r="F21" s="25" t="s">
        <v>470</v>
      </c>
      <c r="G21" s="28">
        <v>1300</v>
      </c>
      <c r="H21" s="24">
        <v>688</v>
      </c>
      <c r="M21" s="25" t="s">
        <v>13</v>
      </c>
      <c r="N21" s="25" t="s">
        <v>471</v>
      </c>
      <c r="O21" s="25">
        <v>0</v>
      </c>
      <c r="P21" s="27">
        <v>0</v>
      </c>
    </row>
    <row r="22" ht="13" spans="6:16">
      <c r="F22" s="25" t="s">
        <v>20</v>
      </c>
      <c r="G22" s="28">
        <v>1600</v>
      </c>
      <c r="H22" s="24">
        <v>846</v>
      </c>
      <c r="M22" s="25" t="s">
        <v>14</v>
      </c>
      <c r="N22" s="25" t="s">
        <v>14</v>
      </c>
      <c r="O22" s="25">
        <v>0</v>
      </c>
      <c r="P22" s="27">
        <v>0</v>
      </c>
    </row>
    <row r="23" ht="13" spans="6:16">
      <c r="F23" s="25" t="s">
        <v>472</v>
      </c>
      <c r="G23" s="28">
        <v>1500</v>
      </c>
      <c r="H23" s="24">
        <v>794</v>
      </c>
      <c r="M23" s="25" t="s">
        <v>15</v>
      </c>
      <c r="N23" s="25" t="s">
        <v>15</v>
      </c>
      <c r="O23" s="25">
        <v>960</v>
      </c>
      <c r="P23" s="27">
        <v>508</v>
      </c>
    </row>
    <row r="24" ht="25" spans="6:16">
      <c r="F24" s="25" t="s">
        <v>473</v>
      </c>
      <c r="G24" s="28">
        <v>1400</v>
      </c>
      <c r="H24" s="24">
        <v>741</v>
      </c>
      <c r="M24" s="25" t="s">
        <v>16</v>
      </c>
      <c r="N24" s="25" t="s">
        <v>474</v>
      </c>
      <c r="O24" s="25">
        <v>860</v>
      </c>
      <c r="P24" s="27">
        <v>455</v>
      </c>
    </row>
    <row r="25" ht="37.5" spans="6:16">
      <c r="F25" s="25" t="s">
        <v>29</v>
      </c>
      <c r="G25" s="28">
        <v>2900</v>
      </c>
      <c r="H25" s="29">
        <v>1534</v>
      </c>
      <c r="M25" s="25" t="s">
        <v>17</v>
      </c>
      <c r="N25" s="25" t="s">
        <v>475</v>
      </c>
      <c r="O25" s="25">
        <v>0</v>
      </c>
      <c r="P25" s="27">
        <v>0</v>
      </c>
    </row>
    <row r="26" ht="25" spans="6:16">
      <c r="F26" s="25" t="s">
        <v>476</v>
      </c>
      <c r="G26" s="28">
        <v>1800</v>
      </c>
      <c r="H26" s="24">
        <v>952</v>
      </c>
      <c r="M26" s="25" t="s">
        <v>18</v>
      </c>
      <c r="N26" s="25" t="s">
        <v>18</v>
      </c>
      <c r="O26" s="25">
        <v>0</v>
      </c>
      <c r="P26" s="27">
        <v>0</v>
      </c>
    </row>
    <row r="27" ht="13" spans="6:16">
      <c r="F27" s="25" t="s">
        <v>477</v>
      </c>
      <c r="G27" s="26">
        <v>820</v>
      </c>
      <c r="H27" s="24">
        <v>434</v>
      </c>
      <c r="M27" s="25" t="s">
        <v>19</v>
      </c>
      <c r="N27" s="25" t="s">
        <v>19</v>
      </c>
      <c r="O27" s="30">
        <v>7600</v>
      </c>
      <c r="P27" s="31">
        <v>4020</v>
      </c>
    </row>
    <row r="28" ht="13" spans="6:16">
      <c r="F28" s="25" t="s">
        <v>35</v>
      </c>
      <c r="G28" s="26">
        <v>320</v>
      </c>
      <c r="H28" s="24">
        <v>169</v>
      </c>
      <c r="M28" s="25" t="s">
        <v>20</v>
      </c>
      <c r="N28" s="25" t="s">
        <v>20</v>
      </c>
      <c r="O28" s="30">
        <v>1600</v>
      </c>
      <c r="P28" s="27">
        <v>846</v>
      </c>
    </row>
    <row r="29" ht="37.5" spans="6:16">
      <c r="F29" s="25" t="s">
        <v>478</v>
      </c>
      <c r="G29" s="28">
        <v>2400</v>
      </c>
      <c r="H29" s="29">
        <v>1270</v>
      </c>
      <c r="M29" s="25" t="s">
        <v>21</v>
      </c>
      <c r="N29" s="25" t="s">
        <v>479</v>
      </c>
      <c r="O29" s="25">
        <v>0</v>
      </c>
      <c r="P29" s="27">
        <v>0</v>
      </c>
    </row>
    <row r="30" ht="13" spans="6:16">
      <c r="F30" s="25" t="s">
        <v>480</v>
      </c>
      <c r="G30" s="28">
        <v>1500</v>
      </c>
      <c r="H30" s="24">
        <v>794</v>
      </c>
      <c r="M30" s="25" t="s">
        <v>22</v>
      </c>
      <c r="N30" s="25" t="s">
        <v>22</v>
      </c>
      <c r="O30" s="25">
        <v>0</v>
      </c>
      <c r="P30" s="27">
        <v>0</v>
      </c>
    </row>
    <row r="31" ht="100" spans="6:16">
      <c r="F31" s="25" t="s">
        <v>412</v>
      </c>
      <c r="G31" s="28">
        <v>1500</v>
      </c>
      <c r="H31" s="24">
        <v>794</v>
      </c>
      <c r="M31" s="25" t="s">
        <v>23</v>
      </c>
      <c r="N31" s="25" t="s">
        <v>481</v>
      </c>
      <c r="O31" s="25">
        <v>0</v>
      </c>
      <c r="P31" s="27">
        <v>0</v>
      </c>
    </row>
    <row r="32" ht="13" spans="6:16">
      <c r="F32" s="27" t="s">
        <v>281</v>
      </c>
      <c r="G32" s="29">
        <v>142000</v>
      </c>
      <c r="H32" s="29">
        <v>75118</v>
      </c>
      <c r="M32" s="25" t="s">
        <v>24</v>
      </c>
      <c r="N32" s="25" t="s">
        <v>482</v>
      </c>
      <c r="O32" s="30">
        <v>2400</v>
      </c>
      <c r="P32" s="31">
        <v>1270</v>
      </c>
    </row>
    <row r="33" ht="25" spans="13:16">
      <c r="M33" s="25" t="s">
        <v>25</v>
      </c>
      <c r="N33" s="25" t="s">
        <v>483</v>
      </c>
      <c r="O33" s="30">
        <v>2220</v>
      </c>
      <c r="P33" s="31">
        <v>1175</v>
      </c>
    </row>
    <row r="34" ht="13" spans="13:16">
      <c r="M34" s="25" t="s">
        <v>26</v>
      </c>
      <c r="N34" s="25" t="s">
        <v>26</v>
      </c>
      <c r="O34" s="25">
        <v>0</v>
      </c>
      <c r="P34" s="27">
        <v>0</v>
      </c>
    </row>
    <row r="35" ht="13" spans="13:16">
      <c r="M35" s="25" t="s">
        <v>27</v>
      </c>
      <c r="N35" s="25" t="s">
        <v>27</v>
      </c>
      <c r="O35" s="25">
        <v>0</v>
      </c>
      <c r="P35" s="27">
        <v>0</v>
      </c>
    </row>
    <row r="36" ht="112.5" spans="13:16">
      <c r="M36" s="25" t="s">
        <v>28</v>
      </c>
      <c r="N36" s="25" t="s">
        <v>484</v>
      </c>
      <c r="O36" s="30">
        <v>5700</v>
      </c>
      <c r="P36" s="31">
        <v>3015</v>
      </c>
    </row>
    <row r="37" ht="13" spans="13:16">
      <c r="M37" s="25" t="s">
        <v>29</v>
      </c>
      <c r="N37" s="25" t="s">
        <v>29</v>
      </c>
      <c r="O37" s="30">
        <v>2900</v>
      </c>
      <c r="P37" s="31">
        <v>1534</v>
      </c>
    </row>
    <row r="38" ht="25" spans="13:16">
      <c r="M38" s="25" t="s">
        <v>30</v>
      </c>
      <c r="N38" s="25" t="s">
        <v>476</v>
      </c>
      <c r="O38" s="30">
        <v>1800</v>
      </c>
      <c r="P38" s="27">
        <v>952</v>
      </c>
    </row>
    <row r="39" ht="25" spans="13:16">
      <c r="M39" s="25" t="s">
        <v>31</v>
      </c>
      <c r="N39" s="25" t="s">
        <v>485</v>
      </c>
      <c r="O39" s="25">
        <v>0</v>
      </c>
      <c r="P39" s="27">
        <v>0</v>
      </c>
    </row>
    <row r="40" ht="25" spans="13:16">
      <c r="M40" s="25" t="s">
        <v>32</v>
      </c>
      <c r="N40" s="25" t="s">
        <v>486</v>
      </c>
      <c r="O40" s="25">
        <v>820</v>
      </c>
      <c r="P40" s="27">
        <v>434</v>
      </c>
    </row>
    <row r="41" ht="37.5" spans="13:16">
      <c r="M41" s="25" t="s">
        <v>33</v>
      </c>
      <c r="N41" s="25" t="s">
        <v>487</v>
      </c>
      <c r="O41" s="25">
        <v>0</v>
      </c>
      <c r="P41" s="27">
        <v>0</v>
      </c>
    </row>
    <row r="42" ht="25" spans="13:16">
      <c r="M42" s="25" t="s">
        <v>34</v>
      </c>
      <c r="N42" s="25" t="s">
        <v>34</v>
      </c>
      <c r="O42" s="25">
        <v>0</v>
      </c>
      <c r="P42" s="27">
        <v>0</v>
      </c>
    </row>
    <row r="43" ht="13" spans="13:16">
      <c r="M43" s="25" t="s">
        <v>35</v>
      </c>
      <c r="N43" s="25" t="s">
        <v>35</v>
      </c>
      <c r="O43" s="25">
        <v>320</v>
      </c>
      <c r="P43" s="27">
        <v>169</v>
      </c>
    </row>
    <row r="44" ht="25" spans="13:16">
      <c r="M44" s="25" t="s">
        <v>36</v>
      </c>
      <c r="N44" s="25" t="s">
        <v>488</v>
      </c>
      <c r="O44" s="25">
        <v>0</v>
      </c>
      <c r="P44" s="27">
        <v>0</v>
      </c>
    </row>
    <row r="45" ht="13" spans="13:16">
      <c r="M45" s="25" t="s">
        <v>37</v>
      </c>
      <c r="N45" s="25" t="s">
        <v>37</v>
      </c>
      <c r="O45" s="25">
        <v>0</v>
      </c>
      <c r="P45" s="27">
        <v>0</v>
      </c>
    </row>
    <row r="46" ht="13" spans="13:16">
      <c r="M46" s="27" t="s">
        <v>281</v>
      </c>
      <c r="N46" s="25" t="s">
        <v>281</v>
      </c>
      <c r="O46" s="31">
        <v>142000</v>
      </c>
      <c r="P46" s="31">
        <v>75118</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8:BF73"/>
  <sheetViews>
    <sheetView zoomScale="65" zoomScaleNormal="65" topLeftCell="N1" workbookViewId="0">
      <selection activeCell="Y1" sqref="Y1"/>
    </sheetView>
  </sheetViews>
  <sheetFormatPr defaultColWidth="8.72727272727273" defaultRowHeight="12.5"/>
  <cols>
    <col min="6" max="6" width="15.5727272727273" customWidth="1"/>
    <col min="7" max="7" width="25.8545454545455" customWidth="1"/>
    <col min="23" max="23" width="30.4272727272727" customWidth="1"/>
  </cols>
  <sheetData>
    <row r="8" ht="14.5" spans="5:58">
      <c r="E8" s="20"/>
      <c r="F8" s="1"/>
      <c r="H8" s="1"/>
      <c r="I8" s="1"/>
      <c r="J8" s="1"/>
      <c r="K8" s="1"/>
      <c r="L8" s="1"/>
      <c r="W8" s="21" t="s">
        <v>489</v>
      </c>
    </row>
    <row r="9" ht="14.5" spans="5:58">
      <c r="E9" s="1"/>
      <c r="F9" s="1"/>
      <c r="M9" s="1"/>
      <c r="N9" s="1"/>
      <c r="O9" s="1"/>
      <c r="P9" s="1"/>
      <c r="W9" s="1" t="s">
        <v>2</v>
      </c>
      <c r="X9" t="s">
        <v>3</v>
      </c>
      <c r="Y9" t="s">
        <v>5</v>
      </c>
      <c r="Z9" t="s">
        <v>6</v>
      </c>
      <c r="AA9" t="s">
        <v>7</v>
      </c>
      <c r="AB9" t="s">
        <v>8</v>
      </c>
      <c r="AC9" t="s">
        <v>9</v>
      </c>
      <c r="AD9" t="s">
        <v>10</v>
      </c>
      <c r="AE9" t="s">
        <v>11</v>
      </c>
      <c r="AF9" t="s">
        <v>12</v>
      </c>
      <c r="AG9" t="s">
        <v>13</v>
      </c>
      <c r="AH9" t="s">
        <v>14</v>
      </c>
      <c r="AI9" t="s">
        <v>15</v>
      </c>
      <c r="AJ9" t="s">
        <v>16</v>
      </c>
      <c r="AK9" t="s">
        <v>17</v>
      </c>
      <c r="AL9" t="s">
        <v>18</v>
      </c>
      <c r="AM9" t="s">
        <v>19</v>
      </c>
      <c r="AN9" t="s">
        <v>20</v>
      </c>
      <c r="AO9" t="s">
        <v>21</v>
      </c>
      <c r="AP9" t="s">
        <v>22</v>
      </c>
      <c r="AQ9" t="s">
        <v>23</v>
      </c>
      <c r="AR9" t="s">
        <v>24</v>
      </c>
      <c r="AS9" t="s">
        <v>25</v>
      </c>
      <c r="AT9" t="s">
        <v>26</v>
      </c>
      <c r="AU9" t="s">
        <v>27</v>
      </c>
      <c r="AV9" t="s">
        <v>28</v>
      </c>
      <c r="AW9" t="s">
        <v>29</v>
      </c>
      <c r="AX9" t="s">
        <v>30</v>
      </c>
      <c r="AY9" t="s">
        <v>31</v>
      </c>
      <c r="AZ9" t="s">
        <v>32</v>
      </c>
      <c r="BA9" t="s">
        <v>33</v>
      </c>
      <c r="BB9" t="s">
        <v>34</v>
      </c>
      <c r="BC9" t="s">
        <v>35</v>
      </c>
      <c r="BD9" t="s">
        <v>36</v>
      </c>
      <c r="BE9" t="s">
        <v>37</v>
      </c>
      <c r="BF9" t="s">
        <v>38</v>
      </c>
    </row>
    <row r="10" ht="14.5" spans="5:58">
      <c r="E10" s="22"/>
      <c r="F10" s="1"/>
      <c r="M10" s="13"/>
      <c r="N10" s="13"/>
      <c r="O10" s="13"/>
      <c r="P10" s="13"/>
      <c r="W10" s="1" t="s">
        <v>490</v>
      </c>
      <c r="X10" t="s">
        <v>491</v>
      </c>
      <c r="Y10" t="s">
        <v>491</v>
      </c>
      <c r="Z10" t="s">
        <v>492</v>
      </c>
      <c r="AA10" t="s">
        <v>492</v>
      </c>
      <c r="AB10" t="s">
        <v>491</v>
      </c>
      <c r="AC10" t="s">
        <v>493</v>
      </c>
      <c r="AD10" t="s">
        <v>491</v>
      </c>
      <c r="AE10" t="s">
        <v>491</v>
      </c>
      <c r="AF10" t="s">
        <v>491</v>
      </c>
      <c r="AG10" t="s">
        <v>491</v>
      </c>
      <c r="AH10" t="s">
        <v>493</v>
      </c>
      <c r="AI10" t="s">
        <v>492</v>
      </c>
      <c r="AJ10" t="s">
        <v>491</v>
      </c>
      <c r="AK10" t="s">
        <v>491</v>
      </c>
      <c r="AL10" t="s">
        <v>492</v>
      </c>
      <c r="AM10" t="s">
        <v>491</v>
      </c>
      <c r="AN10" t="s">
        <v>493</v>
      </c>
      <c r="AO10" t="s">
        <v>493</v>
      </c>
      <c r="AP10" t="s">
        <v>493</v>
      </c>
      <c r="AQ10" t="s">
        <v>491</v>
      </c>
      <c r="AR10" t="s">
        <v>491</v>
      </c>
      <c r="AS10" t="s">
        <v>493</v>
      </c>
      <c r="AT10" t="s">
        <v>492</v>
      </c>
      <c r="AU10" t="s">
        <v>491</v>
      </c>
      <c r="AV10" t="s">
        <v>491</v>
      </c>
      <c r="AW10" t="s">
        <v>491</v>
      </c>
      <c r="AX10" t="s">
        <v>491</v>
      </c>
      <c r="AY10" t="s">
        <v>491</v>
      </c>
      <c r="AZ10" t="s">
        <v>493</v>
      </c>
      <c r="BA10" t="s">
        <v>493</v>
      </c>
      <c r="BB10" t="s">
        <v>492</v>
      </c>
      <c r="BC10" t="s">
        <v>491</v>
      </c>
      <c r="BD10" t="s">
        <v>493</v>
      </c>
      <c r="BE10" t="s">
        <v>491</v>
      </c>
      <c r="BF10" t="s">
        <v>491</v>
      </c>
    </row>
    <row r="11" ht="14.5" spans="5:58">
      <c r="E11" s="22"/>
      <c r="F11" s="1"/>
      <c r="G11" s="1"/>
      <c r="M11" s="13"/>
      <c r="N11" s="13"/>
      <c r="O11" s="13"/>
      <c r="P11" s="13"/>
      <c r="W11" t="s">
        <v>494</v>
      </c>
      <c r="X11" t="str">
        <f xml:space="preserve">X10</f>
        <v>*0.95</v>
      </c>
      <c r="Y11" t="str">
        <f t="shared" ref="Y11:BF11" si="0" xml:space="preserve">Y10</f>
        <v>*0.95</v>
      </c>
      <c r="Z11" t="str">
        <f t="shared" si="0"/>
        <v>*1.05</v>
      </c>
      <c r="AA11" t="str">
        <f t="shared" si="0"/>
        <v>*1.05</v>
      </c>
      <c r="AB11" t="str">
        <f t="shared" si="0"/>
        <v>*0.95</v>
      </c>
      <c r="AC11" t="str">
        <f t="shared" si="0"/>
        <v>*1.00</v>
      </c>
      <c r="AD11" t="str">
        <f t="shared" si="0"/>
        <v>*0.95</v>
      </c>
      <c r="AE11" t="str">
        <f t="shared" si="0"/>
        <v>*0.95</v>
      </c>
      <c r="AF11" t="str">
        <f t="shared" si="0"/>
        <v>*0.95</v>
      </c>
      <c r="AG11" t="str">
        <f t="shared" si="0"/>
        <v>*0.95</v>
      </c>
      <c r="AH11" t="str">
        <f t="shared" si="0"/>
        <v>*1.00</v>
      </c>
      <c r="AI11" t="str">
        <f t="shared" si="0"/>
        <v>*1.05</v>
      </c>
      <c r="AJ11" t="str">
        <f t="shared" si="0"/>
        <v>*0.95</v>
      </c>
      <c r="AK11" t="str">
        <f t="shared" si="0"/>
        <v>*0.95</v>
      </c>
      <c r="AL11" t="str">
        <f t="shared" si="0"/>
        <v>*1.05</v>
      </c>
      <c r="AM11" t="str">
        <f t="shared" si="0"/>
        <v>*0.95</v>
      </c>
      <c r="AN11" t="str">
        <f t="shared" si="0"/>
        <v>*1.00</v>
      </c>
      <c r="AO11" t="str">
        <f t="shared" si="0"/>
        <v>*1.00</v>
      </c>
      <c r="AP11" t="str">
        <f t="shared" si="0"/>
        <v>*1.00</v>
      </c>
      <c r="AQ11" t="str">
        <f t="shared" si="0"/>
        <v>*0.95</v>
      </c>
      <c r="AR11" t="str">
        <f t="shared" si="0"/>
        <v>*0.95</v>
      </c>
      <c r="AS11" t="str">
        <f t="shared" si="0"/>
        <v>*1.00</v>
      </c>
      <c r="AT11" t="str">
        <f t="shared" si="0"/>
        <v>*1.05</v>
      </c>
      <c r="AU11" t="str">
        <f t="shared" si="0"/>
        <v>*0.95</v>
      </c>
      <c r="AV11" t="str">
        <f t="shared" si="0"/>
        <v>*0.95</v>
      </c>
      <c r="AW11" t="str">
        <f t="shared" si="0"/>
        <v>*0.95</v>
      </c>
      <c r="AX11" t="str">
        <f t="shared" si="0"/>
        <v>*0.95</v>
      </c>
      <c r="AY11" t="str">
        <f t="shared" si="0"/>
        <v>*0.95</v>
      </c>
      <c r="AZ11" t="str">
        <f t="shared" si="0"/>
        <v>*1.00</v>
      </c>
      <c r="BA11" t="str">
        <f t="shared" si="0"/>
        <v>*1.00</v>
      </c>
      <c r="BB11" t="str">
        <f t="shared" si="0"/>
        <v>*1.05</v>
      </c>
      <c r="BC11" t="str">
        <f t="shared" si="0"/>
        <v>*0.95</v>
      </c>
      <c r="BD11" t="str">
        <f t="shared" si="0"/>
        <v>*1.00</v>
      </c>
      <c r="BE11" t="str">
        <f t="shared" si="0"/>
        <v>*0.95</v>
      </c>
      <c r="BF11" t="str">
        <f t="shared" si="0"/>
        <v>*0.95</v>
      </c>
    </row>
    <row r="12" ht="14.5" spans="5:58">
      <c r="E12" s="22"/>
      <c r="F12" s="1"/>
      <c r="G12" s="1"/>
      <c r="M12" s="13"/>
      <c r="N12" s="13"/>
      <c r="O12" s="13"/>
      <c r="P12" s="13"/>
      <c r="W12" t="s">
        <v>495</v>
      </c>
      <c r="X12" t="str">
        <f t="shared" ref="X12:X43" si="1" xml:space="preserve">X11</f>
        <v>*0.95</v>
      </c>
      <c r="Y12" t="str">
        <f t="shared" ref="Y12:Y43" si="2" xml:space="preserve">Y11</f>
        <v>*0.95</v>
      </c>
      <c r="Z12" t="str">
        <f t="shared" ref="Z12:Z43" si="3" xml:space="preserve">Z11</f>
        <v>*1.05</v>
      </c>
      <c r="AA12" t="str">
        <f t="shared" ref="AA12:AA43" si="4" xml:space="preserve">AA11</f>
        <v>*1.05</v>
      </c>
      <c r="AB12" t="str">
        <f t="shared" ref="AB12:AB43" si="5" xml:space="preserve">AB11</f>
        <v>*0.95</v>
      </c>
      <c r="AC12" t="str">
        <f t="shared" ref="AC12:AC43" si="6" xml:space="preserve">AC11</f>
        <v>*1.00</v>
      </c>
      <c r="AD12" t="str">
        <f t="shared" ref="AD12:AD43" si="7" xml:space="preserve">AD11</f>
        <v>*0.95</v>
      </c>
      <c r="AE12" t="str">
        <f t="shared" ref="AE12:AE43" si="8" xml:space="preserve">AE11</f>
        <v>*0.95</v>
      </c>
      <c r="AF12" t="str">
        <f t="shared" ref="AF12:AF43" si="9" xml:space="preserve">AF11</f>
        <v>*0.95</v>
      </c>
      <c r="AG12" t="str">
        <f t="shared" ref="AG12:AG43" si="10" xml:space="preserve">AG11</f>
        <v>*0.95</v>
      </c>
      <c r="AH12" t="str">
        <f t="shared" ref="AH12:AH43" si="11" xml:space="preserve">AH11</f>
        <v>*1.00</v>
      </c>
      <c r="AI12" t="str">
        <f t="shared" ref="AI12:AI43" si="12" xml:space="preserve">AI11</f>
        <v>*1.05</v>
      </c>
      <c r="AJ12" t="str">
        <f t="shared" ref="AJ12:AJ43" si="13" xml:space="preserve">AJ11</f>
        <v>*0.95</v>
      </c>
      <c r="AK12" t="str">
        <f t="shared" ref="AK12:AK43" si="14" xml:space="preserve">AK11</f>
        <v>*0.95</v>
      </c>
      <c r="AL12" t="str">
        <f t="shared" ref="AL12:AL43" si="15" xml:space="preserve">AL11</f>
        <v>*1.05</v>
      </c>
      <c r="AM12" t="str">
        <f t="shared" ref="AM12:AM43" si="16" xml:space="preserve">AM11</f>
        <v>*0.95</v>
      </c>
      <c r="AN12" t="str">
        <f t="shared" ref="AN12:AN43" si="17" xml:space="preserve">AN11</f>
        <v>*1.00</v>
      </c>
      <c r="AO12" t="str">
        <f t="shared" ref="AO12:AO43" si="18" xml:space="preserve">AO11</f>
        <v>*1.00</v>
      </c>
      <c r="AP12" t="str">
        <f t="shared" ref="AP12:AP43" si="19" xml:space="preserve">AP11</f>
        <v>*1.00</v>
      </c>
      <c r="AQ12" t="str">
        <f t="shared" ref="AQ12:AQ43" si="20" xml:space="preserve">AQ11</f>
        <v>*0.95</v>
      </c>
      <c r="AR12" t="str">
        <f t="shared" ref="AR12:AR43" si="21" xml:space="preserve">AR11</f>
        <v>*0.95</v>
      </c>
      <c r="AS12" t="str">
        <f t="shared" ref="AS12:AS43" si="22" xml:space="preserve">AS11</f>
        <v>*1.00</v>
      </c>
      <c r="AT12" t="str">
        <f t="shared" ref="AT12:AT43" si="23" xml:space="preserve">AT11</f>
        <v>*1.05</v>
      </c>
      <c r="AU12" t="str">
        <f t="shared" ref="AU12:AU43" si="24" xml:space="preserve">AU11</f>
        <v>*0.95</v>
      </c>
      <c r="AV12" t="str">
        <f t="shared" ref="AV12:AV43" si="25" xml:space="preserve">AV11</f>
        <v>*0.95</v>
      </c>
      <c r="AW12" t="str">
        <f t="shared" ref="AW12:AW43" si="26" xml:space="preserve">AW11</f>
        <v>*0.95</v>
      </c>
      <c r="AX12" t="str">
        <f t="shared" ref="AX12:AX43" si="27" xml:space="preserve">AX11</f>
        <v>*0.95</v>
      </c>
      <c r="AY12" t="str">
        <f t="shared" ref="AY12:AY43" si="28" xml:space="preserve">AY11</f>
        <v>*0.95</v>
      </c>
      <c r="AZ12" t="str">
        <f t="shared" ref="AZ12:AZ43" si="29" xml:space="preserve">AZ11</f>
        <v>*1.00</v>
      </c>
      <c r="BA12" t="str">
        <f t="shared" ref="BA12:BA43" si="30" xml:space="preserve">BA11</f>
        <v>*1.00</v>
      </c>
      <c r="BB12" t="str">
        <f t="shared" ref="BB12:BB43" si="31" xml:space="preserve">BB11</f>
        <v>*1.05</v>
      </c>
      <c r="BC12" t="str">
        <f t="shared" ref="BC12:BC43" si="32" xml:space="preserve">BC11</f>
        <v>*0.95</v>
      </c>
      <c r="BD12" t="str">
        <f t="shared" ref="BD12:BD43" si="33" xml:space="preserve">BD11</f>
        <v>*1.00</v>
      </c>
      <c r="BE12" t="str">
        <f t="shared" ref="BE12:BE43" si="34" xml:space="preserve">BE11</f>
        <v>*0.95</v>
      </c>
      <c r="BF12" t="str">
        <f t="shared" ref="BF12:BF43" si="35" xml:space="preserve">BF11</f>
        <v>*0.95</v>
      </c>
    </row>
    <row r="13" ht="14.5" spans="5:58">
      <c r="E13" s="22"/>
      <c r="F13" s="1"/>
      <c r="G13" s="1"/>
      <c r="M13" s="13"/>
      <c r="N13" s="13"/>
      <c r="O13" s="13"/>
      <c r="P13" s="13"/>
      <c r="W13" t="s">
        <v>496</v>
      </c>
      <c r="X13" t="str">
        <f t="shared" si="1"/>
        <v>*0.95</v>
      </c>
      <c r="Y13" t="str">
        <f t="shared" si="2"/>
        <v>*0.95</v>
      </c>
      <c r="Z13" t="str">
        <f t="shared" si="3"/>
        <v>*1.05</v>
      </c>
      <c r="AA13" t="str">
        <f t="shared" si="4"/>
        <v>*1.05</v>
      </c>
      <c r="AB13" t="str">
        <f t="shared" si="5"/>
        <v>*0.95</v>
      </c>
      <c r="AC13" t="str">
        <f t="shared" si="6"/>
        <v>*1.00</v>
      </c>
      <c r="AD13" t="str">
        <f t="shared" si="7"/>
        <v>*0.95</v>
      </c>
      <c r="AE13" t="str">
        <f t="shared" si="8"/>
        <v>*0.95</v>
      </c>
      <c r="AF13" t="str">
        <f t="shared" si="9"/>
        <v>*0.95</v>
      </c>
      <c r="AG13" t="str">
        <f t="shared" si="10"/>
        <v>*0.95</v>
      </c>
      <c r="AH13" t="str">
        <f t="shared" si="11"/>
        <v>*1.00</v>
      </c>
      <c r="AI13" t="str">
        <f t="shared" si="12"/>
        <v>*1.05</v>
      </c>
      <c r="AJ13" t="str">
        <f t="shared" si="13"/>
        <v>*0.95</v>
      </c>
      <c r="AK13" t="str">
        <f t="shared" si="14"/>
        <v>*0.95</v>
      </c>
      <c r="AL13" t="str">
        <f t="shared" si="15"/>
        <v>*1.05</v>
      </c>
      <c r="AM13" t="str">
        <f t="shared" si="16"/>
        <v>*0.95</v>
      </c>
      <c r="AN13" t="str">
        <f t="shared" si="17"/>
        <v>*1.00</v>
      </c>
      <c r="AO13" t="str">
        <f t="shared" si="18"/>
        <v>*1.00</v>
      </c>
      <c r="AP13" t="str">
        <f t="shared" si="19"/>
        <v>*1.00</v>
      </c>
      <c r="AQ13" t="str">
        <f t="shared" si="20"/>
        <v>*0.95</v>
      </c>
      <c r="AR13" t="str">
        <f t="shared" si="21"/>
        <v>*0.95</v>
      </c>
      <c r="AS13" t="str">
        <f t="shared" si="22"/>
        <v>*1.00</v>
      </c>
      <c r="AT13" t="str">
        <f t="shared" si="23"/>
        <v>*1.05</v>
      </c>
      <c r="AU13" t="str">
        <f t="shared" si="24"/>
        <v>*0.95</v>
      </c>
      <c r="AV13" t="str">
        <f t="shared" si="25"/>
        <v>*0.95</v>
      </c>
      <c r="AW13" t="str">
        <f t="shared" si="26"/>
        <v>*0.95</v>
      </c>
      <c r="AX13" t="str">
        <f t="shared" si="27"/>
        <v>*0.95</v>
      </c>
      <c r="AY13" t="str">
        <f t="shared" si="28"/>
        <v>*0.95</v>
      </c>
      <c r="AZ13" t="str">
        <f t="shared" si="29"/>
        <v>*1.00</v>
      </c>
      <c r="BA13" t="str">
        <f t="shared" si="30"/>
        <v>*1.00</v>
      </c>
      <c r="BB13" t="str">
        <f t="shared" si="31"/>
        <v>*1.05</v>
      </c>
      <c r="BC13" t="str">
        <f t="shared" si="32"/>
        <v>*0.95</v>
      </c>
      <c r="BD13" t="str">
        <f t="shared" si="33"/>
        <v>*1.00</v>
      </c>
      <c r="BE13" t="str">
        <f t="shared" si="34"/>
        <v>*0.95</v>
      </c>
      <c r="BF13" t="str">
        <f t="shared" si="35"/>
        <v>*0.95</v>
      </c>
    </row>
    <row r="14" ht="14.5" spans="5:58">
      <c r="E14" s="22"/>
      <c r="F14" s="1"/>
      <c r="G14" s="1"/>
      <c r="M14" s="13"/>
      <c r="N14" s="13"/>
      <c r="O14" s="13"/>
      <c r="P14" s="13"/>
      <c r="W14" t="s">
        <v>497</v>
      </c>
      <c r="X14" t="str">
        <f t="shared" si="1"/>
        <v>*0.95</v>
      </c>
      <c r="Y14" t="str">
        <f t="shared" si="2"/>
        <v>*0.95</v>
      </c>
      <c r="Z14" t="str">
        <f t="shared" si="3"/>
        <v>*1.05</v>
      </c>
      <c r="AA14" t="str">
        <f t="shared" si="4"/>
        <v>*1.05</v>
      </c>
      <c r="AB14" t="str">
        <f t="shared" si="5"/>
        <v>*0.95</v>
      </c>
      <c r="AC14" t="str">
        <f t="shared" si="6"/>
        <v>*1.00</v>
      </c>
      <c r="AD14" t="str">
        <f t="shared" si="7"/>
        <v>*0.95</v>
      </c>
      <c r="AE14" t="str">
        <f t="shared" si="8"/>
        <v>*0.95</v>
      </c>
      <c r="AF14" t="str">
        <f t="shared" si="9"/>
        <v>*0.95</v>
      </c>
      <c r="AG14" t="str">
        <f t="shared" si="10"/>
        <v>*0.95</v>
      </c>
      <c r="AH14" t="str">
        <f t="shared" si="11"/>
        <v>*1.00</v>
      </c>
      <c r="AI14" t="str">
        <f t="shared" si="12"/>
        <v>*1.05</v>
      </c>
      <c r="AJ14" t="str">
        <f t="shared" si="13"/>
        <v>*0.95</v>
      </c>
      <c r="AK14" t="str">
        <f t="shared" si="14"/>
        <v>*0.95</v>
      </c>
      <c r="AL14" t="str">
        <f t="shared" si="15"/>
        <v>*1.05</v>
      </c>
      <c r="AM14" t="str">
        <f t="shared" si="16"/>
        <v>*0.95</v>
      </c>
      <c r="AN14" t="str">
        <f t="shared" si="17"/>
        <v>*1.00</v>
      </c>
      <c r="AO14" t="str">
        <f t="shared" si="18"/>
        <v>*1.00</v>
      </c>
      <c r="AP14" t="str">
        <f t="shared" si="19"/>
        <v>*1.00</v>
      </c>
      <c r="AQ14" t="str">
        <f t="shared" si="20"/>
        <v>*0.95</v>
      </c>
      <c r="AR14" t="str">
        <f t="shared" si="21"/>
        <v>*0.95</v>
      </c>
      <c r="AS14" t="str">
        <f t="shared" si="22"/>
        <v>*1.00</v>
      </c>
      <c r="AT14" t="str">
        <f t="shared" si="23"/>
        <v>*1.05</v>
      </c>
      <c r="AU14" t="str">
        <f t="shared" si="24"/>
        <v>*0.95</v>
      </c>
      <c r="AV14" t="str">
        <f t="shared" si="25"/>
        <v>*0.95</v>
      </c>
      <c r="AW14" t="str">
        <f t="shared" si="26"/>
        <v>*0.95</v>
      </c>
      <c r="AX14" t="str">
        <f t="shared" si="27"/>
        <v>*0.95</v>
      </c>
      <c r="AY14" t="str">
        <f t="shared" si="28"/>
        <v>*0.95</v>
      </c>
      <c r="AZ14" t="str">
        <f t="shared" si="29"/>
        <v>*1.00</v>
      </c>
      <c r="BA14" t="str">
        <f t="shared" si="30"/>
        <v>*1.00</v>
      </c>
      <c r="BB14" t="str">
        <f t="shared" si="31"/>
        <v>*1.05</v>
      </c>
      <c r="BC14" t="str">
        <f t="shared" si="32"/>
        <v>*0.95</v>
      </c>
      <c r="BD14" t="str">
        <f t="shared" si="33"/>
        <v>*1.00</v>
      </c>
      <c r="BE14" t="str">
        <f t="shared" si="34"/>
        <v>*0.95</v>
      </c>
      <c r="BF14" t="str">
        <f t="shared" si="35"/>
        <v>*0.95</v>
      </c>
    </row>
    <row r="15" ht="14.5" spans="5:58">
      <c r="E15" s="22"/>
      <c r="F15" s="1"/>
      <c r="G15" s="1"/>
      <c r="M15" s="13"/>
      <c r="N15" s="13"/>
      <c r="O15" s="13"/>
      <c r="P15" s="13"/>
      <c r="W15" t="s">
        <v>498</v>
      </c>
      <c r="X15" t="str">
        <f t="shared" si="1"/>
        <v>*0.95</v>
      </c>
      <c r="Y15" t="str">
        <f t="shared" si="2"/>
        <v>*0.95</v>
      </c>
      <c r="Z15" t="str">
        <f t="shared" si="3"/>
        <v>*1.05</v>
      </c>
      <c r="AA15" t="str">
        <f t="shared" si="4"/>
        <v>*1.05</v>
      </c>
      <c r="AB15" t="str">
        <f t="shared" si="5"/>
        <v>*0.95</v>
      </c>
      <c r="AC15" t="str">
        <f t="shared" si="6"/>
        <v>*1.00</v>
      </c>
      <c r="AD15" t="str">
        <f t="shared" si="7"/>
        <v>*0.95</v>
      </c>
      <c r="AE15" t="str">
        <f t="shared" si="8"/>
        <v>*0.95</v>
      </c>
      <c r="AF15" t="str">
        <f t="shared" si="9"/>
        <v>*0.95</v>
      </c>
      <c r="AG15" t="str">
        <f t="shared" si="10"/>
        <v>*0.95</v>
      </c>
      <c r="AH15" t="str">
        <f t="shared" si="11"/>
        <v>*1.00</v>
      </c>
      <c r="AI15" t="str">
        <f t="shared" si="12"/>
        <v>*1.05</v>
      </c>
      <c r="AJ15" t="str">
        <f t="shared" si="13"/>
        <v>*0.95</v>
      </c>
      <c r="AK15" t="str">
        <f t="shared" si="14"/>
        <v>*0.95</v>
      </c>
      <c r="AL15" t="str">
        <f t="shared" si="15"/>
        <v>*1.05</v>
      </c>
      <c r="AM15" t="str">
        <f t="shared" si="16"/>
        <v>*0.95</v>
      </c>
      <c r="AN15" t="str">
        <f t="shared" si="17"/>
        <v>*1.00</v>
      </c>
      <c r="AO15" t="str">
        <f t="shared" si="18"/>
        <v>*1.00</v>
      </c>
      <c r="AP15" t="str">
        <f t="shared" si="19"/>
        <v>*1.00</v>
      </c>
      <c r="AQ15" t="str">
        <f t="shared" si="20"/>
        <v>*0.95</v>
      </c>
      <c r="AR15" t="str">
        <f t="shared" si="21"/>
        <v>*0.95</v>
      </c>
      <c r="AS15" t="str">
        <f t="shared" si="22"/>
        <v>*1.00</v>
      </c>
      <c r="AT15" t="str">
        <f t="shared" si="23"/>
        <v>*1.05</v>
      </c>
      <c r="AU15" t="str">
        <f t="shared" si="24"/>
        <v>*0.95</v>
      </c>
      <c r="AV15" t="str">
        <f t="shared" si="25"/>
        <v>*0.95</v>
      </c>
      <c r="AW15" t="str">
        <f t="shared" si="26"/>
        <v>*0.95</v>
      </c>
      <c r="AX15" t="str">
        <f t="shared" si="27"/>
        <v>*0.95</v>
      </c>
      <c r="AY15" t="str">
        <f t="shared" si="28"/>
        <v>*0.95</v>
      </c>
      <c r="AZ15" t="str">
        <f t="shared" si="29"/>
        <v>*1.00</v>
      </c>
      <c r="BA15" t="str">
        <f t="shared" si="30"/>
        <v>*1.00</v>
      </c>
      <c r="BB15" t="str">
        <f t="shared" si="31"/>
        <v>*1.05</v>
      </c>
      <c r="BC15" t="str">
        <f t="shared" si="32"/>
        <v>*0.95</v>
      </c>
      <c r="BD15" t="str">
        <f t="shared" si="33"/>
        <v>*1.00</v>
      </c>
      <c r="BE15" t="str">
        <f t="shared" si="34"/>
        <v>*0.95</v>
      </c>
      <c r="BF15" t="str">
        <f t="shared" si="35"/>
        <v>*0.95</v>
      </c>
    </row>
    <row r="16" ht="14.5" spans="5:58">
      <c r="E16" s="22"/>
      <c r="F16" s="1"/>
      <c r="G16" s="1"/>
      <c r="M16" s="13"/>
      <c r="N16" s="13"/>
      <c r="O16" s="13"/>
      <c r="P16" s="13"/>
      <c r="W16" t="s">
        <v>499</v>
      </c>
      <c r="X16" t="str">
        <f t="shared" si="1"/>
        <v>*0.95</v>
      </c>
      <c r="Y16" t="str">
        <f t="shared" si="2"/>
        <v>*0.95</v>
      </c>
      <c r="Z16" t="str">
        <f t="shared" si="3"/>
        <v>*1.05</v>
      </c>
      <c r="AA16" t="str">
        <f t="shared" si="4"/>
        <v>*1.05</v>
      </c>
      <c r="AB16" t="str">
        <f t="shared" si="5"/>
        <v>*0.95</v>
      </c>
      <c r="AC16" t="str">
        <f t="shared" si="6"/>
        <v>*1.00</v>
      </c>
      <c r="AD16" t="str">
        <f t="shared" si="7"/>
        <v>*0.95</v>
      </c>
      <c r="AE16" t="str">
        <f t="shared" si="8"/>
        <v>*0.95</v>
      </c>
      <c r="AF16" t="str">
        <f t="shared" si="9"/>
        <v>*0.95</v>
      </c>
      <c r="AG16" t="str">
        <f t="shared" si="10"/>
        <v>*0.95</v>
      </c>
      <c r="AH16" t="str">
        <f t="shared" si="11"/>
        <v>*1.00</v>
      </c>
      <c r="AI16" t="str">
        <f t="shared" si="12"/>
        <v>*1.05</v>
      </c>
      <c r="AJ16" t="str">
        <f t="shared" si="13"/>
        <v>*0.95</v>
      </c>
      <c r="AK16" t="str">
        <f t="shared" si="14"/>
        <v>*0.95</v>
      </c>
      <c r="AL16" t="str">
        <f t="shared" si="15"/>
        <v>*1.05</v>
      </c>
      <c r="AM16" t="str">
        <f t="shared" si="16"/>
        <v>*0.95</v>
      </c>
      <c r="AN16" t="str">
        <f t="shared" si="17"/>
        <v>*1.00</v>
      </c>
      <c r="AO16" t="str">
        <f t="shared" si="18"/>
        <v>*1.00</v>
      </c>
      <c r="AP16" t="str">
        <f t="shared" si="19"/>
        <v>*1.00</v>
      </c>
      <c r="AQ16" t="str">
        <f t="shared" si="20"/>
        <v>*0.95</v>
      </c>
      <c r="AR16" t="str">
        <f t="shared" si="21"/>
        <v>*0.95</v>
      </c>
      <c r="AS16" t="str">
        <f t="shared" si="22"/>
        <v>*1.00</v>
      </c>
      <c r="AT16" t="str">
        <f t="shared" si="23"/>
        <v>*1.05</v>
      </c>
      <c r="AU16" t="str">
        <f t="shared" si="24"/>
        <v>*0.95</v>
      </c>
      <c r="AV16" t="str">
        <f t="shared" si="25"/>
        <v>*0.95</v>
      </c>
      <c r="AW16" t="str">
        <f t="shared" si="26"/>
        <v>*0.95</v>
      </c>
      <c r="AX16" t="str">
        <f t="shared" si="27"/>
        <v>*0.95</v>
      </c>
      <c r="AY16" t="str">
        <f t="shared" si="28"/>
        <v>*0.95</v>
      </c>
      <c r="AZ16" t="str">
        <f t="shared" si="29"/>
        <v>*1.00</v>
      </c>
      <c r="BA16" t="str">
        <f t="shared" si="30"/>
        <v>*1.00</v>
      </c>
      <c r="BB16" t="str">
        <f t="shared" si="31"/>
        <v>*1.05</v>
      </c>
      <c r="BC16" t="str">
        <f t="shared" si="32"/>
        <v>*0.95</v>
      </c>
      <c r="BD16" t="str">
        <f t="shared" si="33"/>
        <v>*1.00</v>
      </c>
      <c r="BE16" t="str">
        <f t="shared" si="34"/>
        <v>*0.95</v>
      </c>
      <c r="BF16" t="str">
        <f t="shared" si="35"/>
        <v>*0.95</v>
      </c>
    </row>
    <row r="17" ht="14.5" spans="5:58">
      <c r="E17" s="22"/>
      <c r="F17" s="1"/>
      <c r="G17" s="1"/>
      <c r="M17" s="13"/>
      <c r="N17" s="13"/>
      <c r="O17" s="13"/>
      <c r="P17" s="13"/>
      <c r="W17" t="s">
        <v>500</v>
      </c>
      <c r="X17" t="str">
        <f t="shared" si="1"/>
        <v>*0.95</v>
      </c>
      <c r="Y17" t="str">
        <f t="shared" si="2"/>
        <v>*0.95</v>
      </c>
      <c r="Z17" t="str">
        <f t="shared" si="3"/>
        <v>*1.05</v>
      </c>
      <c r="AA17" t="str">
        <f t="shared" si="4"/>
        <v>*1.05</v>
      </c>
      <c r="AB17" t="str">
        <f t="shared" si="5"/>
        <v>*0.95</v>
      </c>
      <c r="AC17" t="str">
        <f t="shared" si="6"/>
        <v>*1.00</v>
      </c>
      <c r="AD17" t="str">
        <f t="shared" si="7"/>
        <v>*0.95</v>
      </c>
      <c r="AE17" t="str">
        <f t="shared" si="8"/>
        <v>*0.95</v>
      </c>
      <c r="AF17" t="str">
        <f t="shared" si="9"/>
        <v>*0.95</v>
      </c>
      <c r="AG17" t="str">
        <f t="shared" si="10"/>
        <v>*0.95</v>
      </c>
      <c r="AH17" t="str">
        <f t="shared" si="11"/>
        <v>*1.00</v>
      </c>
      <c r="AI17" t="str">
        <f t="shared" si="12"/>
        <v>*1.05</v>
      </c>
      <c r="AJ17" t="str">
        <f t="shared" si="13"/>
        <v>*0.95</v>
      </c>
      <c r="AK17" t="str">
        <f t="shared" si="14"/>
        <v>*0.95</v>
      </c>
      <c r="AL17" t="str">
        <f t="shared" si="15"/>
        <v>*1.05</v>
      </c>
      <c r="AM17" t="str">
        <f t="shared" si="16"/>
        <v>*0.95</v>
      </c>
      <c r="AN17" t="str">
        <f t="shared" si="17"/>
        <v>*1.00</v>
      </c>
      <c r="AO17" t="str">
        <f t="shared" si="18"/>
        <v>*1.00</v>
      </c>
      <c r="AP17" t="str">
        <f t="shared" si="19"/>
        <v>*1.00</v>
      </c>
      <c r="AQ17" t="str">
        <f t="shared" si="20"/>
        <v>*0.95</v>
      </c>
      <c r="AR17" t="str">
        <f t="shared" si="21"/>
        <v>*0.95</v>
      </c>
      <c r="AS17" t="str">
        <f t="shared" si="22"/>
        <v>*1.00</v>
      </c>
      <c r="AT17" t="str">
        <f t="shared" si="23"/>
        <v>*1.05</v>
      </c>
      <c r="AU17" t="str">
        <f t="shared" si="24"/>
        <v>*0.95</v>
      </c>
      <c r="AV17" t="str">
        <f t="shared" si="25"/>
        <v>*0.95</v>
      </c>
      <c r="AW17" t="str">
        <f t="shared" si="26"/>
        <v>*0.95</v>
      </c>
      <c r="AX17" t="str">
        <f t="shared" si="27"/>
        <v>*0.95</v>
      </c>
      <c r="AY17" t="str">
        <f t="shared" si="28"/>
        <v>*0.95</v>
      </c>
      <c r="AZ17" t="str">
        <f t="shared" si="29"/>
        <v>*1.00</v>
      </c>
      <c r="BA17" t="str">
        <f t="shared" si="30"/>
        <v>*1.00</v>
      </c>
      <c r="BB17" t="str">
        <f t="shared" si="31"/>
        <v>*1.05</v>
      </c>
      <c r="BC17" t="str">
        <f t="shared" si="32"/>
        <v>*0.95</v>
      </c>
      <c r="BD17" t="str">
        <f t="shared" si="33"/>
        <v>*1.00</v>
      </c>
      <c r="BE17" t="str">
        <f t="shared" si="34"/>
        <v>*0.95</v>
      </c>
      <c r="BF17" t="str">
        <f t="shared" si="35"/>
        <v>*0.95</v>
      </c>
    </row>
    <row r="18" spans="5:58">
      <c r="W18" t="s">
        <v>501</v>
      </c>
      <c r="X18" t="str">
        <f t="shared" si="1"/>
        <v>*0.95</v>
      </c>
      <c r="Y18" t="str">
        <f t="shared" si="2"/>
        <v>*0.95</v>
      </c>
      <c r="Z18" t="str">
        <f t="shared" si="3"/>
        <v>*1.05</v>
      </c>
      <c r="AA18" t="str">
        <f t="shared" si="4"/>
        <v>*1.05</v>
      </c>
      <c r="AB18" t="str">
        <f t="shared" si="5"/>
        <v>*0.95</v>
      </c>
      <c r="AC18" t="str">
        <f t="shared" si="6"/>
        <v>*1.00</v>
      </c>
      <c r="AD18" t="str">
        <f t="shared" si="7"/>
        <v>*0.95</v>
      </c>
      <c r="AE18" t="str">
        <f t="shared" si="8"/>
        <v>*0.95</v>
      </c>
      <c r="AF18" t="str">
        <f t="shared" si="9"/>
        <v>*0.95</v>
      </c>
      <c r="AG18" t="str">
        <f t="shared" si="10"/>
        <v>*0.95</v>
      </c>
      <c r="AH18" t="str">
        <f t="shared" si="11"/>
        <v>*1.00</v>
      </c>
      <c r="AI18" t="str">
        <f t="shared" si="12"/>
        <v>*1.05</v>
      </c>
      <c r="AJ18" t="str">
        <f t="shared" si="13"/>
        <v>*0.95</v>
      </c>
      <c r="AK18" t="str">
        <f t="shared" si="14"/>
        <v>*0.95</v>
      </c>
      <c r="AL18" t="str">
        <f t="shared" si="15"/>
        <v>*1.05</v>
      </c>
      <c r="AM18" t="str">
        <f t="shared" si="16"/>
        <v>*0.95</v>
      </c>
      <c r="AN18" t="str">
        <f t="shared" si="17"/>
        <v>*1.00</v>
      </c>
      <c r="AO18" t="str">
        <f t="shared" si="18"/>
        <v>*1.00</v>
      </c>
      <c r="AP18" t="str">
        <f t="shared" si="19"/>
        <v>*1.00</v>
      </c>
      <c r="AQ18" t="str">
        <f t="shared" si="20"/>
        <v>*0.95</v>
      </c>
      <c r="AR18" t="str">
        <f t="shared" si="21"/>
        <v>*0.95</v>
      </c>
      <c r="AS18" t="str">
        <f t="shared" si="22"/>
        <v>*1.00</v>
      </c>
      <c r="AT18" t="str">
        <f t="shared" si="23"/>
        <v>*1.05</v>
      </c>
      <c r="AU18" t="str">
        <f t="shared" si="24"/>
        <v>*0.95</v>
      </c>
      <c r="AV18" t="str">
        <f t="shared" si="25"/>
        <v>*0.95</v>
      </c>
      <c r="AW18" t="str">
        <f t="shared" si="26"/>
        <v>*0.95</v>
      </c>
      <c r="AX18" t="str">
        <f t="shared" si="27"/>
        <v>*0.95</v>
      </c>
      <c r="AY18" t="str">
        <f t="shared" si="28"/>
        <v>*0.95</v>
      </c>
      <c r="AZ18" t="str">
        <f t="shared" si="29"/>
        <v>*1.00</v>
      </c>
      <c r="BA18" t="str">
        <f t="shared" si="30"/>
        <v>*1.00</v>
      </c>
      <c r="BB18" t="str">
        <f t="shared" si="31"/>
        <v>*1.05</v>
      </c>
      <c r="BC18" t="str">
        <f t="shared" si="32"/>
        <v>*0.95</v>
      </c>
      <c r="BD18" t="str">
        <f t="shared" si="33"/>
        <v>*1.00</v>
      </c>
      <c r="BE18" t="str">
        <f t="shared" si="34"/>
        <v>*0.95</v>
      </c>
      <c r="BF18" t="str">
        <f t="shared" si="35"/>
        <v>*0.95</v>
      </c>
    </row>
    <row r="19" spans="5:58">
      <c r="W19" t="s">
        <v>502</v>
      </c>
      <c r="X19" t="str">
        <f t="shared" si="1"/>
        <v>*0.95</v>
      </c>
      <c r="Y19" t="str">
        <f t="shared" si="2"/>
        <v>*0.95</v>
      </c>
      <c r="Z19" t="str">
        <f t="shared" si="3"/>
        <v>*1.05</v>
      </c>
      <c r="AA19" t="str">
        <f t="shared" si="4"/>
        <v>*1.05</v>
      </c>
      <c r="AB19" t="str">
        <f t="shared" si="5"/>
        <v>*0.95</v>
      </c>
      <c r="AC19" t="str">
        <f t="shared" si="6"/>
        <v>*1.00</v>
      </c>
      <c r="AD19" t="str">
        <f t="shared" si="7"/>
        <v>*0.95</v>
      </c>
      <c r="AE19" t="str">
        <f t="shared" si="8"/>
        <v>*0.95</v>
      </c>
      <c r="AF19" t="str">
        <f t="shared" si="9"/>
        <v>*0.95</v>
      </c>
      <c r="AG19" t="str">
        <f t="shared" si="10"/>
        <v>*0.95</v>
      </c>
      <c r="AH19" t="str">
        <f t="shared" si="11"/>
        <v>*1.00</v>
      </c>
      <c r="AI19" t="str">
        <f t="shared" si="12"/>
        <v>*1.05</v>
      </c>
      <c r="AJ19" t="str">
        <f t="shared" si="13"/>
        <v>*0.95</v>
      </c>
      <c r="AK19" t="str">
        <f t="shared" si="14"/>
        <v>*0.95</v>
      </c>
      <c r="AL19" t="str">
        <f t="shared" si="15"/>
        <v>*1.05</v>
      </c>
      <c r="AM19" t="str">
        <f t="shared" si="16"/>
        <v>*0.95</v>
      </c>
      <c r="AN19" t="str">
        <f t="shared" si="17"/>
        <v>*1.00</v>
      </c>
      <c r="AO19" t="str">
        <f t="shared" si="18"/>
        <v>*1.00</v>
      </c>
      <c r="AP19" t="str">
        <f t="shared" si="19"/>
        <v>*1.00</v>
      </c>
      <c r="AQ19" t="str">
        <f t="shared" si="20"/>
        <v>*0.95</v>
      </c>
      <c r="AR19" t="str">
        <f t="shared" si="21"/>
        <v>*0.95</v>
      </c>
      <c r="AS19" t="str">
        <f t="shared" si="22"/>
        <v>*1.00</v>
      </c>
      <c r="AT19" t="str">
        <f t="shared" si="23"/>
        <v>*1.05</v>
      </c>
      <c r="AU19" t="str">
        <f t="shared" si="24"/>
        <v>*0.95</v>
      </c>
      <c r="AV19" t="str">
        <f t="shared" si="25"/>
        <v>*0.95</v>
      </c>
      <c r="AW19" t="str">
        <f t="shared" si="26"/>
        <v>*0.95</v>
      </c>
      <c r="AX19" t="str">
        <f t="shared" si="27"/>
        <v>*0.95</v>
      </c>
      <c r="AY19" t="str">
        <f t="shared" si="28"/>
        <v>*0.95</v>
      </c>
      <c r="AZ19" t="str">
        <f t="shared" si="29"/>
        <v>*1.00</v>
      </c>
      <c r="BA19" t="str">
        <f t="shared" si="30"/>
        <v>*1.00</v>
      </c>
      <c r="BB19" t="str">
        <f t="shared" si="31"/>
        <v>*1.05</v>
      </c>
      <c r="BC19" t="str">
        <f t="shared" si="32"/>
        <v>*0.95</v>
      </c>
      <c r="BD19" t="str">
        <f t="shared" si="33"/>
        <v>*1.00</v>
      </c>
      <c r="BE19" t="str">
        <f t="shared" si="34"/>
        <v>*0.95</v>
      </c>
      <c r="BF19" t="str">
        <f t="shared" si="35"/>
        <v>*0.95</v>
      </c>
    </row>
    <row r="20" spans="5:58">
      <c r="W20" t="s">
        <v>503</v>
      </c>
      <c r="X20" t="str">
        <f t="shared" si="1"/>
        <v>*0.95</v>
      </c>
      <c r="Y20" t="str">
        <f t="shared" si="2"/>
        <v>*0.95</v>
      </c>
      <c r="Z20" t="str">
        <f t="shared" si="3"/>
        <v>*1.05</v>
      </c>
      <c r="AA20" t="str">
        <f t="shared" si="4"/>
        <v>*1.05</v>
      </c>
      <c r="AB20" t="str">
        <f t="shared" si="5"/>
        <v>*0.95</v>
      </c>
      <c r="AC20" t="str">
        <f t="shared" si="6"/>
        <v>*1.00</v>
      </c>
      <c r="AD20" t="str">
        <f t="shared" si="7"/>
        <v>*0.95</v>
      </c>
      <c r="AE20" t="str">
        <f t="shared" si="8"/>
        <v>*0.95</v>
      </c>
      <c r="AF20" t="str">
        <f t="shared" si="9"/>
        <v>*0.95</v>
      </c>
      <c r="AG20" t="str">
        <f t="shared" si="10"/>
        <v>*0.95</v>
      </c>
      <c r="AH20" t="str">
        <f t="shared" si="11"/>
        <v>*1.00</v>
      </c>
      <c r="AI20" t="str">
        <f t="shared" si="12"/>
        <v>*1.05</v>
      </c>
      <c r="AJ20" t="str">
        <f t="shared" si="13"/>
        <v>*0.95</v>
      </c>
      <c r="AK20" t="str">
        <f t="shared" si="14"/>
        <v>*0.95</v>
      </c>
      <c r="AL20" t="str">
        <f t="shared" si="15"/>
        <v>*1.05</v>
      </c>
      <c r="AM20" t="str">
        <f t="shared" si="16"/>
        <v>*0.95</v>
      </c>
      <c r="AN20" t="str">
        <f t="shared" si="17"/>
        <v>*1.00</v>
      </c>
      <c r="AO20" t="str">
        <f t="shared" si="18"/>
        <v>*1.00</v>
      </c>
      <c r="AP20" t="str">
        <f t="shared" si="19"/>
        <v>*1.00</v>
      </c>
      <c r="AQ20" t="str">
        <f t="shared" si="20"/>
        <v>*0.95</v>
      </c>
      <c r="AR20" t="str">
        <f t="shared" si="21"/>
        <v>*0.95</v>
      </c>
      <c r="AS20" t="str">
        <f t="shared" si="22"/>
        <v>*1.00</v>
      </c>
      <c r="AT20" t="str">
        <f t="shared" si="23"/>
        <v>*1.05</v>
      </c>
      <c r="AU20" t="str">
        <f t="shared" si="24"/>
        <v>*0.95</v>
      </c>
      <c r="AV20" t="str">
        <f t="shared" si="25"/>
        <v>*0.95</v>
      </c>
      <c r="AW20" t="str">
        <f t="shared" si="26"/>
        <v>*0.95</v>
      </c>
      <c r="AX20" t="str">
        <f t="shared" si="27"/>
        <v>*0.95</v>
      </c>
      <c r="AY20" t="str">
        <f t="shared" si="28"/>
        <v>*0.95</v>
      </c>
      <c r="AZ20" t="str">
        <f t="shared" si="29"/>
        <v>*1.00</v>
      </c>
      <c r="BA20" t="str">
        <f t="shared" si="30"/>
        <v>*1.00</v>
      </c>
      <c r="BB20" t="str">
        <f t="shared" si="31"/>
        <v>*1.05</v>
      </c>
      <c r="BC20" t="str">
        <f t="shared" si="32"/>
        <v>*0.95</v>
      </c>
      <c r="BD20" t="str">
        <f t="shared" si="33"/>
        <v>*1.00</v>
      </c>
      <c r="BE20" t="str">
        <f t="shared" si="34"/>
        <v>*0.95</v>
      </c>
      <c r="BF20" t="str">
        <f t="shared" si="35"/>
        <v>*0.95</v>
      </c>
    </row>
    <row r="21" spans="5:58">
      <c r="W21" t="s">
        <v>504</v>
      </c>
      <c r="X21" t="str">
        <f t="shared" si="1"/>
        <v>*0.95</v>
      </c>
      <c r="Y21" t="str">
        <f t="shared" si="2"/>
        <v>*0.95</v>
      </c>
      <c r="Z21" t="str">
        <f t="shared" si="3"/>
        <v>*1.05</v>
      </c>
      <c r="AA21" t="str">
        <f t="shared" si="4"/>
        <v>*1.05</v>
      </c>
      <c r="AB21" t="str">
        <f t="shared" si="5"/>
        <v>*0.95</v>
      </c>
      <c r="AC21" t="str">
        <f t="shared" si="6"/>
        <v>*1.00</v>
      </c>
      <c r="AD21" t="str">
        <f t="shared" si="7"/>
        <v>*0.95</v>
      </c>
      <c r="AE21" t="str">
        <f t="shared" si="8"/>
        <v>*0.95</v>
      </c>
      <c r="AF21" t="str">
        <f t="shared" si="9"/>
        <v>*0.95</v>
      </c>
      <c r="AG21" t="str">
        <f t="shared" si="10"/>
        <v>*0.95</v>
      </c>
      <c r="AH21" t="str">
        <f t="shared" si="11"/>
        <v>*1.00</v>
      </c>
      <c r="AI21" t="str">
        <f t="shared" si="12"/>
        <v>*1.05</v>
      </c>
      <c r="AJ21" t="str">
        <f t="shared" si="13"/>
        <v>*0.95</v>
      </c>
      <c r="AK21" t="str">
        <f t="shared" si="14"/>
        <v>*0.95</v>
      </c>
      <c r="AL21" t="str">
        <f t="shared" si="15"/>
        <v>*1.05</v>
      </c>
      <c r="AM21" t="str">
        <f t="shared" si="16"/>
        <v>*0.95</v>
      </c>
      <c r="AN21" t="str">
        <f t="shared" si="17"/>
        <v>*1.00</v>
      </c>
      <c r="AO21" t="str">
        <f t="shared" si="18"/>
        <v>*1.00</v>
      </c>
      <c r="AP21" t="str">
        <f t="shared" si="19"/>
        <v>*1.00</v>
      </c>
      <c r="AQ21" t="str">
        <f t="shared" si="20"/>
        <v>*0.95</v>
      </c>
      <c r="AR21" t="str">
        <f t="shared" si="21"/>
        <v>*0.95</v>
      </c>
      <c r="AS21" t="str">
        <f t="shared" si="22"/>
        <v>*1.00</v>
      </c>
      <c r="AT21" t="str">
        <f t="shared" si="23"/>
        <v>*1.05</v>
      </c>
      <c r="AU21" t="str">
        <f t="shared" si="24"/>
        <v>*0.95</v>
      </c>
      <c r="AV21" t="str">
        <f t="shared" si="25"/>
        <v>*0.95</v>
      </c>
      <c r="AW21" t="str">
        <f t="shared" si="26"/>
        <v>*0.95</v>
      </c>
      <c r="AX21" t="str">
        <f t="shared" si="27"/>
        <v>*0.95</v>
      </c>
      <c r="AY21" t="str">
        <f t="shared" si="28"/>
        <v>*0.95</v>
      </c>
      <c r="AZ21" t="str">
        <f t="shared" si="29"/>
        <v>*1.00</v>
      </c>
      <c r="BA21" t="str">
        <f t="shared" si="30"/>
        <v>*1.00</v>
      </c>
      <c r="BB21" t="str">
        <f t="shared" si="31"/>
        <v>*1.05</v>
      </c>
      <c r="BC21" t="str">
        <f t="shared" si="32"/>
        <v>*0.95</v>
      </c>
      <c r="BD21" t="str">
        <f t="shared" si="33"/>
        <v>*1.00</v>
      </c>
      <c r="BE21" t="str">
        <f t="shared" si="34"/>
        <v>*0.95</v>
      </c>
      <c r="BF21" t="str">
        <f t="shared" si="35"/>
        <v>*0.95</v>
      </c>
    </row>
    <row r="22" spans="5:58">
      <c r="W22" t="s">
        <v>505</v>
      </c>
      <c r="X22" t="str">
        <f t="shared" si="1"/>
        <v>*0.95</v>
      </c>
      <c r="Y22" t="str">
        <f t="shared" si="2"/>
        <v>*0.95</v>
      </c>
      <c r="Z22" t="str">
        <f t="shared" si="3"/>
        <v>*1.05</v>
      </c>
      <c r="AA22" t="str">
        <f t="shared" si="4"/>
        <v>*1.05</v>
      </c>
      <c r="AB22" t="str">
        <f t="shared" si="5"/>
        <v>*0.95</v>
      </c>
      <c r="AC22" t="str">
        <f t="shared" si="6"/>
        <v>*1.00</v>
      </c>
      <c r="AD22" t="str">
        <f t="shared" si="7"/>
        <v>*0.95</v>
      </c>
      <c r="AE22" t="str">
        <f t="shared" si="8"/>
        <v>*0.95</v>
      </c>
      <c r="AF22" t="str">
        <f t="shared" si="9"/>
        <v>*0.95</v>
      </c>
      <c r="AG22" t="str">
        <f t="shared" si="10"/>
        <v>*0.95</v>
      </c>
      <c r="AH22" t="str">
        <f t="shared" si="11"/>
        <v>*1.00</v>
      </c>
      <c r="AI22" t="str">
        <f t="shared" si="12"/>
        <v>*1.05</v>
      </c>
      <c r="AJ22" t="str">
        <f t="shared" si="13"/>
        <v>*0.95</v>
      </c>
      <c r="AK22" t="str">
        <f t="shared" si="14"/>
        <v>*0.95</v>
      </c>
      <c r="AL22" t="str">
        <f t="shared" si="15"/>
        <v>*1.05</v>
      </c>
      <c r="AM22" t="str">
        <f t="shared" si="16"/>
        <v>*0.95</v>
      </c>
      <c r="AN22" t="str">
        <f t="shared" si="17"/>
        <v>*1.00</v>
      </c>
      <c r="AO22" t="str">
        <f t="shared" si="18"/>
        <v>*1.00</v>
      </c>
      <c r="AP22" t="str">
        <f t="shared" si="19"/>
        <v>*1.00</v>
      </c>
      <c r="AQ22" t="str">
        <f t="shared" si="20"/>
        <v>*0.95</v>
      </c>
      <c r="AR22" t="str">
        <f t="shared" si="21"/>
        <v>*0.95</v>
      </c>
      <c r="AS22" t="str">
        <f t="shared" si="22"/>
        <v>*1.00</v>
      </c>
      <c r="AT22" t="str">
        <f t="shared" si="23"/>
        <v>*1.05</v>
      </c>
      <c r="AU22" t="str">
        <f t="shared" si="24"/>
        <v>*0.95</v>
      </c>
      <c r="AV22" t="str">
        <f t="shared" si="25"/>
        <v>*0.95</v>
      </c>
      <c r="AW22" t="str">
        <f t="shared" si="26"/>
        <v>*0.95</v>
      </c>
      <c r="AX22" t="str">
        <f t="shared" si="27"/>
        <v>*0.95</v>
      </c>
      <c r="AY22" t="str">
        <f t="shared" si="28"/>
        <v>*0.95</v>
      </c>
      <c r="AZ22" t="str">
        <f t="shared" si="29"/>
        <v>*1.00</v>
      </c>
      <c r="BA22" t="str">
        <f t="shared" si="30"/>
        <v>*1.00</v>
      </c>
      <c r="BB22" t="str">
        <f t="shared" si="31"/>
        <v>*1.05</v>
      </c>
      <c r="BC22" t="str">
        <f t="shared" si="32"/>
        <v>*0.95</v>
      </c>
      <c r="BD22" t="str">
        <f t="shared" si="33"/>
        <v>*1.00</v>
      </c>
      <c r="BE22" t="str">
        <f t="shared" si="34"/>
        <v>*0.95</v>
      </c>
      <c r="BF22" t="str">
        <f t="shared" si="35"/>
        <v>*0.95</v>
      </c>
    </row>
    <row r="23" spans="5:58">
      <c r="W23" t="s">
        <v>506</v>
      </c>
      <c r="X23" t="str">
        <f t="shared" si="1"/>
        <v>*0.95</v>
      </c>
      <c r="Y23" t="str">
        <f t="shared" si="2"/>
        <v>*0.95</v>
      </c>
      <c r="Z23" t="str">
        <f t="shared" si="3"/>
        <v>*1.05</v>
      </c>
      <c r="AA23" t="str">
        <f t="shared" si="4"/>
        <v>*1.05</v>
      </c>
      <c r="AB23" t="str">
        <f t="shared" si="5"/>
        <v>*0.95</v>
      </c>
      <c r="AC23" t="str">
        <f t="shared" si="6"/>
        <v>*1.00</v>
      </c>
      <c r="AD23" t="str">
        <f t="shared" si="7"/>
        <v>*0.95</v>
      </c>
      <c r="AE23" t="str">
        <f t="shared" si="8"/>
        <v>*0.95</v>
      </c>
      <c r="AF23" t="str">
        <f t="shared" si="9"/>
        <v>*0.95</v>
      </c>
      <c r="AG23" t="str">
        <f t="shared" si="10"/>
        <v>*0.95</v>
      </c>
      <c r="AH23" t="str">
        <f t="shared" si="11"/>
        <v>*1.00</v>
      </c>
      <c r="AI23" t="str">
        <f t="shared" si="12"/>
        <v>*1.05</v>
      </c>
      <c r="AJ23" t="str">
        <f t="shared" si="13"/>
        <v>*0.95</v>
      </c>
      <c r="AK23" t="str">
        <f t="shared" si="14"/>
        <v>*0.95</v>
      </c>
      <c r="AL23" t="str">
        <f t="shared" si="15"/>
        <v>*1.05</v>
      </c>
      <c r="AM23" t="str">
        <f t="shared" si="16"/>
        <v>*0.95</v>
      </c>
      <c r="AN23" t="str">
        <f t="shared" si="17"/>
        <v>*1.00</v>
      </c>
      <c r="AO23" t="str">
        <f t="shared" si="18"/>
        <v>*1.00</v>
      </c>
      <c r="AP23" t="str">
        <f t="shared" si="19"/>
        <v>*1.00</v>
      </c>
      <c r="AQ23" t="str">
        <f t="shared" si="20"/>
        <v>*0.95</v>
      </c>
      <c r="AR23" t="str">
        <f t="shared" si="21"/>
        <v>*0.95</v>
      </c>
      <c r="AS23" t="str">
        <f t="shared" si="22"/>
        <v>*1.00</v>
      </c>
      <c r="AT23" t="str">
        <f t="shared" si="23"/>
        <v>*1.05</v>
      </c>
      <c r="AU23" t="str">
        <f t="shared" si="24"/>
        <v>*0.95</v>
      </c>
      <c r="AV23" t="str">
        <f t="shared" si="25"/>
        <v>*0.95</v>
      </c>
      <c r="AW23" t="str">
        <f t="shared" si="26"/>
        <v>*0.95</v>
      </c>
      <c r="AX23" t="str">
        <f t="shared" si="27"/>
        <v>*0.95</v>
      </c>
      <c r="AY23" t="str">
        <f t="shared" si="28"/>
        <v>*0.95</v>
      </c>
      <c r="AZ23" t="str">
        <f t="shared" si="29"/>
        <v>*1.00</v>
      </c>
      <c r="BA23" t="str">
        <f t="shared" si="30"/>
        <v>*1.00</v>
      </c>
      <c r="BB23" t="str">
        <f t="shared" si="31"/>
        <v>*1.05</v>
      </c>
      <c r="BC23" t="str">
        <f t="shared" si="32"/>
        <v>*0.95</v>
      </c>
      <c r="BD23" t="str">
        <f t="shared" si="33"/>
        <v>*1.00</v>
      </c>
      <c r="BE23" t="str">
        <f t="shared" si="34"/>
        <v>*0.95</v>
      </c>
      <c r="BF23" t="str">
        <f t="shared" si="35"/>
        <v>*0.95</v>
      </c>
    </row>
    <row r="24" spans="5:58">
      <c r="W24" t="s">
        <v>507</v>
      </c>
      <c r="X24" t="str">
        <f t="shared" si="1"/>
        <v>*0.95</v>
      </c>
      <c r="Y24" t="str">
        <f t="shared" si="2"/>
        <v>*0.95</v>
      </c>
      <c r="Z24" t="str">
        <f t="shared" si="3"/>
        <v>*1.05</v>
      </c>
      <c r="AA24" t="str">
        <f t="shared" si="4"/>
        <v>*1.05</v>
      </c>
      <c r="AB24" t="str">
        <f t="shared" si="5"/>
        <v>*0.95</v>
      </c>
      <c r="AC24" t="str">
        <f t="shared" si="6"/>
        <v>*1.00</v>
      </c>
      <c r="AD24" t="str">
        <f t="shared" si="7"/>
        <v>*0.95</v>
      </c>
      <c r="AE24" t="str">
        <f t="shared" si="8"/>
        <v>*0.95</v>
      </c>
      <c r="AF24" t="str">
        <f t="shared" si="9"/>
        <v>*0.95</v>
      </c>
      <c r="AG24" t="str">
        <f t="shared" si="10"/>
        <v>*0.95</v>
      </c>
      <c r="AH24" t="str">
        <f t="shared" si="11"/>
        <v>*1.00</v>
      </c>
      <c r="AI24" t="str">
        <f t="shared" si="12"/>
        <v>*1.05</v>
      </c>
      <c r="AJ24" t="str">
        <f t="shared" si="13"/>
        <v>*0.95</v>
      </c>
      <c r="AK24" t="str">
        <f t="shared" si="14"/>
        <v>*0.95</v>
      </c>
      <c r="AL24" t="str">
        <f t="shared" si="15"/>
        <v>*1.05</v>
      </c>
      <c r="AM24" t="str">
        <f t="shared" si="16"/>
        <v>*0.95</v>
      </c>
      <c r="AN24" t="str">
        <f t="shared" si="17"/>
        <v>*1.00</v>
      </c>
      <c r="AO24" t="str">
        <f t="shared" si="18"/>
        <v>*1.00</v>
      </c>
      <c r="AP24" t="str">
        <f t="shared" si="19"/>
        <v>*1.00</v>
      </c>
      <c r="AQ24" t="str">
        <f t="shared" si="20"/>
        <v>*0.95</v>
      </c>
      <c r="AR24" t="str">
        <f t="shared" si="21"/>
        <v>*0.95</v>
      </c>
      <c r="AS24" t="str">
        <f t="shared" si="22"/>
        <v>*1.00</v>
      </c>
      <c r="AT24" t="str">
        <f t="shared" si="23"/>
        <v>*1.05</v>
      </c>
      <c r="AU24" t="str">
        <f t="shared" si="24"/>
        <v>*0.95</v>
      </c>
      <c r="AV24" t="str">
        <f t="shared" si="25"/>
        <v>*0.95</v>
      </c>
      <c r="AW24" t="str">
        <f t="shared" si="26"/>
        <v>*0.95</v>
      </c>
      <c r="AX24" t="str">
        <f t="shared" si="27"/>
        <v>*0.95</v>
      </c>
      <c r="AY24" t="str">
        <f t="shared" si="28"/>
        <v>*0.95</v>
      </c>
      <c r="AZ24" t="str">
        <f t="shared" si="29"/>
        <v>*1.00</v>
      </c>
      <c r="BA24" t="str">
        <f t="shared" si="30"/>
        <v>*1.00</v>
      </c>
      <c r="BB24" t="str">
        <f t="shared" si="31"/>
        <v>*1.05</v>
      </c>
      <c r="BC24" t="str">
        <f t="shared" si="32"/>
        <v>*0.95</v>
      </c>
      <c r="BD24" t="str">
        <f t="shared" si="33"/>
        <v>*1.00</v>
      </c>
      <c r="BE24" t="str">
        <f t="shared" si="34"/>
        <v>*0.95</v>
      </c>
      <c r="BF24" t="str">
        <f t="shared" si="35"/>
        <v>*0.95</v>
      </c>
    </row>
    <row r="25" spans="5:58">
      <c r="W25" t="s">
        <v>508</v>
      </c>
      <c r="X25" t="str">
        <f t="shared" si="1"/>
        <v>*0.95</v>
      </c>
      <c r="Y25" t="str">
        <f t="shared" si="2"/>
        <v>*0.95</v>
      </c>
      <c r="Z25" t="str">
        <f t="shared" si="3"/>
        <v>*1.05</v>
      </c>
      <c r="AA25" t="str">
        <f t="shared" si="4"/>
        <v>*1.05</v>
      </c>
      <c r="AB25" t="str">
        <f t="shared" si="5"/>
        <v>*0.95</v>
      </c>
      <c r="AC25" t="str">
        <f t="shared" si="6"/>
        <v>*1.00</v>
      </c>
      <c r="AD25" t="str">
        <f t="shared" si="7"/>
        <v>*0.95</v>
      </c>
      <c r="AE25" t="str">
        <f t="shared" si="8"/>
        <v>*0.95</v>
      </c>
      <c r="AF25" t="str">
        <f t="shared" si="9"/>
        <v>*0.95</v>
      </c>
      <c r="AG25" t="str">
        <f t="shared" si="10"/>
        <v>*0.95</v>
      </c>
      <c r="AH25" t="str">
        <f t="shared" si="11"/>
        <v>*1.00</v>
      </c>
      <c r="AI25" t="str">
        <f t="shared" si="12"/>
        <v>*1.05</v>
      </c>
      <c r="AJ25" t="str">
        <f t="shared" si="13"/>
        <v>*0.95</v>
      </c>
      <c r="AK25" t="str">
        <f t="shared" si="14"/>
        <v>*0.95</v>
      </c>
      <c r="AL25" t="str">
        <f t="shared" si="15"/>
        <v>*1.05</v>
      </c>
      <c r="AM25" t="str">
        <f t="shared" si="16"/>
        <v>*0.95</v>
      </c>
      <c r="AN25" t="str">
        <f t="shared" si="17"/>
        <v>*1.00</v>
      </c>
      <c r="AO25" t="str">
        <f t="shared" si="18"/>
        <v>*1.00</v>
      </c>
      <c r="AP25" t="str">
        <f t="shared" si="19"/>
        <v>*1.00</v>
      </c>
      <c r="AQ25" t="str">
        <f t="shared" si="20"/>
        <v>*0.95</v>
      </c>
      <c r="AR25" t="str">
        <f t="shared" si="21"/>
        <v>*0.95</v>
      </c>
      <c r="AS25" t="str">
        <f t="shared" si="22"/>
        <v>*1.00</v>
      </c>
      <c r="AT25" t="str">
        <f t="shared" si="23"/>
        <v>*1.05</v>
      </c>
      <c r="AU25" t="str">
        <f t="shared" si="24"/>
        <v>*0.95</v>
      </c>
      <c r="AV25" t="str">
        <f t="shared" si="25"/>
        <v>*0.95</v>
      </c>
      <c r="AW25" t="str">
        <f t="shared" si="26"/>
        <v>*0.95</v>
      </c>
      <c r="AX25" t="str">
        <f t="shared" si="27"/>
        <v>*0.95</v>
      </c>
      <c r="AY25" t="str">
        <f t="shared" si="28"/>
        <v>*0.95</v>
      </c>
      <c r="AZ25" t="str">
        <f t="shared" si="29"/>
        <v>*1.00</v>
      </c>
      <c r="BA25" t="str">
        <f t="shared" si="30"/>
        <v>*1.00</v>
      </c>
      <c r="BB25" t="str">
        <f t="shared" si="31"/>
        <v>*1.05</v>
      </c>
      <c r="BC25" t="str">
        <f t="shared" si="32"/>
        <v>*0.95</v>
      </c>
      <c r="BD25" t="str">
        <f t="shared" si="33"/>
        <v>*1.00</v>
      </c>
      <c r="BE25" t="str">
        <f t="shared" si="34"/>
        <v>*0.95</v>
      </c>
      <c r="BF25" t="str">
        <f t="shared" si="35"/>
        <v>*0.95</v>
      </c>
    </row>
    <row r="26" spans="5:58">
      <c r="W26" t="s">
        <v>509</v>
      </c>
      <c r="X26" t="str">
        <f t="shared" si="1"/>
        <v>*0.95</v>
      </c>
      <c r="Y26" t="str">
        <f t="shared" si="2"/>
        <v>*0.95</v>
      </c>
      <c r="Z26" t="str">
        <f t="shared" si="3"/>
        <v>*1.05</v>
      </c>
      <c r="AA26" t="str">
        <f t="shared" si="4"/>
        <v>*1.05</v>
      </c>
      <c r="AB26" t="str">
        <f t="shared" si="5"/>
        <v>*0.95</v>
      </c>
      <c r="AC26" t="str">
        <f t="shared" si="6"/>
        <v>*1.00</v>
      </c>
      <c r="AD26" t="str">
        <f t="shared" si="7"/>
        <v>*0.95</v>
      </c>
      <c r="AE26" t="str">
        <f t="shared" si="8"/>
        <v>*0.95</v>
      </c>
      <c r="AF26" t="str">
        <f t="shared" si="9"/>
        <v>*0.95</v>
      </c>
      <c r="AG26" t="str">
        <f t="shared" si="10"/>
        <v>*0.95</v>
      </c>
      <c r="AH26" t="str">
        <f t="shared" si="11"/>
        <v>*1.00</v>
      </c>
      <c r="AI26" t="str">
        <f t="shared" si="12"/>
        <v>*1.05</v>
      </c>
      <c r="AJ26" t="str">
        <f t="shared" si="13"/>
        <v>*0.95</v>
      </c>
      <c r="AK26" t="str">
        <f t="shared" si="14"/>
        <v>*0.95</v>
      </c>
      <c r="AL26" t="str">
        <f t="shared" si="15"/>
        <v>*1.05</v>
      </c>
      <c r="AM26" t="str">
        <f t="shared" si="16"/>
        <v>*0.95</v>
      </c>
      <c r="AN26" t="str">
        <f t="shared" si="17"/>
        <v>*1.00</v>
      </c>
      <c r="AO26" t="str">
        <f t="shared" si="18"/>
        <v>*1.00</v>
      </c>
      <c r="AP26" t="str">
        <f t="shared" si="19"/>
        <v>*1.00</v>
      </c>
      <c r="AQ26" t="str">
        <f t="shared" si="20"/>
        <v>*0.95</v>
      </c>
      <c r="AR26" t="str">
        <f t="shared" si="21"/>
        <v>*0.95</v>
      </c>
      <c r="AS26" t="str">
        <f t="shared" si="22"/>
        <v>*1.00</v>
      </c>
      <c r="AT26" t="str">
        <f t="shared" si="23"/>
        <v>*1.05</v>
      </c>
      <c r="AU26" t="str">
        <f t="shared" si="24"/>
        <v>*0.95</v>
      </c>
      <c r="AV26" t="str">
        <f t="shared" si="25"/>
        <v>*0.95</v>
      </c>
      <c r="AW26" t="str">
        <f t="shared" si="26"/>
        <v>*0.95</v>
      </c>
      <c r="AX26" t="str">
        <f t="shared" si="27"/>
        <v>*0.95</v>
      </c>
      <c r="AY26" t="str">
        <f t="shared" si="28"/>
        <v>*0.95</v>
      </c>
      <c r="AZ26" t="str">
        <f t="shared" si="29"/>
        <v>*1.00</v>
      </c>
      <c r="BA26" t="str">
        <f t="shared" si="30"/>
        <v>*1.00</v>
      </c>
      <c r="BB26" t="str">
        <f t="shared" si="31"/>
        <v>*1.05</v>
      </c>
      <c r="BC26" t="str">
        <f t="shared" si="32"/>
        <v>*0.95</v>
      </c>
      <c r="BD26" t="str">
        <f t="shared" si="33"/>
        <v>*1.00</v>
      </c>
      <c r="BE26" t="str">
        <f t="shared" si="34"/>
        <v>*0.95</v>
      </c>
      <c r="BF26" t="str">
        <f t="shared" si="35"/>
        <v>*0.95</v>
      </c>
    </row>
    <row r="27" spans="5:58">
      <c r="W27" t="s">
        <v>510</v>
      </c>
      <c r="X27" t="str">
        <f t="shared" si="1"/>
        <v>*0.95</v>
      </c>
      <c r="Y27" t="str">
        <f t="shared" si="2"/>
        <v>*0.95</v>
      </c>
      <c r="Z27" t="str">
        <f t="shared" si="3"/>
        <v>*1.05</v>
      </c>
      <c r="AA27" t="str">
        <f t="shared" si="4"/>
        <v>*1.05</v>
      </c>
      <c r="AB27" t="str">
        <f t="shared" si="5"/>
        <v>*0.95</v>
      </c>
      <c r="AC27" t="str">
        <f t="shared" si="6"/>
        <v>*1.00</v>
      </c>
      <c r="AD27" t="str">
        <f t="shared" si="7"/>
        <v>*0.95</v>
      </c>
      <c r="AE27" t="str">
        <f t="shared" si="8"/>
        <v>*0.95</v>
      </c>
      <c r="AF27" t="str">
        <f t="shared" si="9"/>
        <v>*0.95</v>
      </c>
      <c r="AG27" t="str">
        <f t="shared" si="10"/>
        <v>*0.95</v>
      </c>
      <c r="AH27" t="str">
        <f t="shared" si="11"/>
        <v>*1.00</v>
      </c>
      <c r="AI27" t="str">
        <f t="shared" si="12"/>
        <v>*1.05</v>
      </c>
      <c r="AJ27" t="str">
        <f t="shared" si="13"/>
        <v>*0.95</v>
      </c>
      <c r="AK27" t="str">
        <f t="shared" si="14"/>
        <v>*0.95</v>
      </c>
      <c r="AL27" t="str">
        <f t="shared" si="15"/>
        <v>*1.05</v>
      </c>
      <c r="AM27" t="str">
        <f t="shared" si="16"/>
        <v>*0.95</v>
      </c>
      <c r="AN27" t="str">
        <f t="shared" si="17"/>
        <v>*1.00</v>
      </c>
      <c r="AO27" t="str">
        <f t="shared" si="18"/>
        <v>*1.00</v>
      </c>
      <c r="AP27" t="str">
        <f t="shared" si="19"/>
        <v>*1.00</v>
      </c>
      <c r="AQ27" t="str">
        <f t="shared" si="20"/>
        <v>*0.95</v>
      </c>
      <c r="AR27" t="str">
        <f t="shared" si="21"/>
        <v>*0.95</v>
      </c>
      <c r="AS27" t="str">
        <f t="shared" si="22"/>
        <v>*1.00</v>
      </c>
      <c r="AT27" t="str">
        <f t="shared" si="23"/>
        <v>*1.05</v>
      </c>
      <c r="AU27" t="str">
        <f t="shared" si="24"/>
        <v>*0.95</v>
      </c>
      <c r="AV27" t="str">
        <f t="shared" si="25"/>
        <v>*0.95</v>
      </c>
      <c r="AW27" t="str">
        <f t="shared" si="26"/>
        <v>*0.95</v>
      </c>
      <c r="AX27" t="str">
        <f t="shared" si="27"/>
        <v>*0.95</v>
      </c>
      <c r="AY27" t="str">
        <f t="shared" si="28"/>
        <v>*0.95</v>
      </c>
      <c r="AZ27" t="str">
        <f t="shared" si="29"/>
        <v>*1.00</v>
      </c>
      <c r="BA27" t="str">
        <f t="shared" si="30"/>
        <v>*1.00</v>
      </c>
      <c r="BB27" t="str">
        <f t="shared" si="31"/>
        <v>*1.05</v>
      </c>
      <c r="BC27" t="str">
        <f t="shared" si="32"/>
        <v>*0.95</v>
      </c>
      <c r="BD27" t="str">
        <f t="shared" si="33"/>
        <v>*1.00</v>
      </c>
      <c r="BE27" t="str">
        <f t="shared" si="34"/>
        <v>*0.95</v>
      </c>
      <c r="BF27" t="str">
        <f t="shared" si="35"/>
        <v>*0.95</v>
      </c>
    </row>
    <row r="28" ht="39" spans="5:58">
      <c r="G28" s="23" t="s">
        <v>1</v>
      </c>
      <c r="H28" s="24" t="s">
        <v>511</v>
      </c>
      <c r="W28" t="s">
        <v>512</v>
      </c>
      <c r="X28" t="str">
        <f t="shared" si="1"/>
        <v>*0.95</v>
      </c>
      <c r="Y28" t="str">
        <f t="shared" si="2"/>
        <v>*0.95</v>
      </c>
      <c r="Z28" t="str">
        <f t="shared" si="3"/>
        <v>*1.05</v>
      </c>
      <c r="AA28" t="str">
        <f t="shared" si="4"/>
        <v>*1.05</v>
      </c>
      <c r="AB28" t="str">
        <f t="shared" si="5"/>
        <v>*0.95</v>
      </c>
      <c r="AC28" t="str">
        <f t="shared" si="6"/>
        <v>*1.00</v>
      </c>
      <c r="AD28" t="str">
        <f t="shared" si="7"/>
        <v>*0.95</v>
      </c>
      <c r="AE28" t="str">
        <f t="shared" si="8"/>
        <v>*0.95</v>
      </c>
      <c r="AF28" t="str">
        <f t="shared" si="9"/>
        <v>*0.95</v>
      </c>
      <c r="AG28" t="str">
        <f t="shared" si="10"/>
        <v>*0.95</v>
      </c>
      <c r="AH28" t="str">
        <f t="shared" si="11"/>
        <v>*1.00</v>
      </c>
      <c r="AI28" t="str">
        <f t="shared" si="12"/>
        <v>*1.05</v>
      </c>
      <c r="AJ28" t="str">
        <f t="shared" si="13"/>
        <v>*0.95</v>
      </c>
      <c r="AK28" t="str">
        <f t="shared" si="14"/>
        <v>*0.95</v>
      </c>
      <c r="AL28" t="str">
        <f t="shared" si="15"/>
        <v>*1.05</v>
      </c>
      <c r="AM28" t="str">
        <f t="shared" si="16"/>
        <v>*0.95</v>
      </c>
      <c r="AN28" t="str">
        <f t="shared" si="17"/>
        <v>*1.00</v>
      </c>
      <c r="AO28" t="str">
        <f t="shared" si="18"/>
        <v>*1.00</v>
      </c>
      <c r="AP28" t="str">
        <f t="shared" si="19"/>
        <v>*1.00</v>
      </c>
      <c r="AQ28" t="str">
        <f t="shared" si="20"/>
        <v>*0.95</v>
      </c>
      <c r="AR28" t="str">
        <f t="shared" si="21"/>
        <v>*0.95</v>
      </c>
      <c r="AS28" t="str">
        <f t="shared" si="22"/>
        <v>*1.00</v>
      </c>
      <c r="AT28" t="str">
        <f t="shared" si="23"/>
        <v>*1.05</v>
      </c>
      <c r="AU28" t="str">
        <f t="shared" si="24"/>
        <v>*0.95</v>
      </c>
      <c r="AV28" t="str">
        <f t="shared" si="25"/>
        <v>*0.95</v>
      </c>
      <c r="AW28" t="str">
        <f t="shared" si="26"/>
        <v>*0.95</v>
      </c>
      <c r="AX28" t="str">
        <f t="shared" si="27"/>
        <v>*0.95</v>
      </c>
      <c r="AY28" t="str">
        <f t="shared" si="28"/>
        <v>*0.95</v>
      </c>
      <c r="AZ28" t="str">
        <f t="shared" si="29"/>
        <v>*1.00</v>
      </c>
      <c r="BA28" t="str">
        <f t="shared" si="30"/>
        <v>*1.00</v>
      </c>
      <c r="BB28" t="str">
        <f t="shared" si="31"/>
        <v>*1.05</v>
      </c>
      <c r="BC28" t="str">
        <f t="shared" si="32"/>
        <v>*0.95</v>
      </c>
      <c r="BD28" t="str">
        <f t="shared" si="33"/>
        <v>*1.00</v>
      </c>
      <c r="BE28" t="str">
        <f t="shared" si="34"/>
        <v>*0.95</v>
      </c>
      <c r="BF28" t="str">
        <f t="shared" si="35"/>
        <v>*0.95</v>
      </c>
    </row>
    <row r="29" ht="13" spans="5:58">
      <c r="G29" s="25" t="s">
        <v>3</v>
      </c>
      <c r="H29" s="24" t="s">
        <v>513</v>
      </c>
      <c r="W29" t="s">
        <v>514</v>
      </c>
      <c r="X29" t="str">
        <f t="shared" si="1"/>
        <v>*0.95</v>
      </c>
      <c r="Y29" t="str">
        <f t="shared" si="2"/>
        <v>*0.95</v>
      </c>
      <c r="Z29" t="str">
        <f t="shared" si="3"/>
        <v>*1.05</v>
      </c>
      <c r="AA29" t="str">
        <f t="shared" si="4"/>
        <v>*1.05</v>
      </c>
      <c r="AB29" t="str">
        <f t="shared" si="5"/>
        <v>*0.95</v>
      </c>
      <c r="AC29" t="str">
        <f t="shared" si="6"/>
        <v>*1.00</v>
      </c>
      <c r="AD29" t="str">
        <f t="shared" si="7"/>
        <v>*0.95</v>
      </c>
      <c r="AE29" t="str">
        <f t="shared" si="8"/>
        <v>*0.95</v>
      </c>
      <c r="AF29" t="str">
        <f t="shared" si="9"/>
        <v>*0.95</v>
      </c>
      <c r="AG29" t="str">
        <f t="shared" si="10"/>
        <v>*0.95</v>
      </c>
      <c r="AH29" t="str">
        <f t="shared" si="11"/>
        <v>*1.00</v>
      </c>
      <c r="AI29" t="str">
        <f t="shared" si="12"/>
        <v>*1.05</v>
      </c>
      <c r="AJ29" t="str">
        <f t="shared" si="13"/>
        <v>*0.95</v>
      </c>
      <c r="AK29" t="str">
        <f t="shared" si="14"/>
        <v>*0.95</v>
      </c>
      <c r="AL29" t="str">
        <f t="shared" si="15"/>
        <v>*1.05</v>
      </c>
      <c r="AM29" t="str">
        <f t="shared" si="16"/>
        <v>*0.95</v>
      </c>
      <c r="AN29" t="str">
        <f t="shared" si="17"/>
        <v>*1.00</v>
      </c>
      <c r="AO29" t="str">
        <f t="shared" si="18"/>
        <v>*1.00</v>
      </c>
      <c r="AP29" t="str">
        <f t="shared" si="19"/>
        <v>*1.00</v>
      </c>
      <c r="AQ29" t="str">
        <f t="shared" si="20"/>
        <v>*0.95</v>
      </c>
      <c r="AR29" t="str">
        <f t="shared" si="21"/>
        <v>*0.95</v>
      </c>
      <c r="AS29" t="str">
        <f t="shared" si="22"/>
        <v>*1.00</v>
      </c>
      <c r="AT29" t="str">
        <f t="shared" si="23"/>
        <v>*1.05</v>
      </c>
      <c r="AU29" t="str">
        <f t="shared" si="24"/>
        <v>*0.95</v>
      </c>
      <c r="AV29" t="str">
        <f t="shared" si="25"/>
        <v>*0.95</v>
      </c>
      <c r="AW29" t="str">
        <f t="shared" si="26"/>
        <v>*0.95</v>
      </c>
      <c r="AX29" t="str">
        <f t="shared" si="27"/>
        <v>*0.95</v>
      </c>
      <c r="AY29" t="str">
        <f t="shared" si="28"/>
        <v>*0.95</v>
      </c>
      <c r="AZ29" t="str">
        <f t="shared" si="29"/>
        <v>*1.00</v>
      </c>
      <c r="BA29" t="str">
        <f t="shared" si="30"/>
        <v>*1.00</v>
      </c>
      <c r="BB29" t="str">
        <f t="shared" si="31"/>
        <v>*1.05</v>
      </c>
      <c r="BC29" t="str">
        <f t="shared" si="32"/>
        <v>*0.95</v>
      </c>
      <c r="BD29" t="str">
        <f t="shared" si="33"/>
        <v>*1.00</v>
      </c>
      <c r="BE29" t="str">
        <f t="shared" si="34"/>
        <v>*0.95</v>
      </c>
      <c r="BF29" t="str">
        <f t="shared" si="35"/>
        <v>*0.95</v>
      </c>
    </row>
    <row r="30" ht="13" spans="5:58">
      <c r="G30" s="25" t="s">
        <v>5</v>
      </c>
      <c r="H30" s="24" t="s">
        <v>515</v>
      </c>
      <c r="W30" t="s">
        <v>516</v>
      </c>
      <c r="X30" t="str">
        <f t="shared" si="1"/>
        <v>*0.95</v>
      </c>
      <c r="Y30" t="str">
        <f t="shared" si="2"/>
        <v>*0.95</v>
      </c>
      <c r="Z30" t="str">
        <f t="shared" si="3"/>
        <v>*1.05</v>
      </c>
      <c r="AA30" t="str">
        <f t="shared" si="4"/>
        <v>*1.05</v>
      </c>
      <c r="AB30" t="str">
        <f t="shared" si="5"/>
        <v>*0.95</v>
      </c>
      <c r="AC30" t="str">
        <f t="shared" si="6"/>
        <v>*1.00</v>
      </c>
      <c r="AD30" t="str">
        <f t="shared" si="7"/>
        <v>*0.95</v>
      </c>
      <c r="AE30" t="str">
        <f t="shared" si="8"/>
        <v>*0.95</v>
      </c>
      <c r="AF30" t="str">
        <f t="shared" si="9"/>
        <v>*0.95</v>
      </c>
      <c r="AG30" t="str">
        <f t="shared" si="10"/>
        <v>*0.95</v>
      </c>
      <c r="AH30" t="str">
        <f t="shared" si="11"/>
        <v>*1.00</v>
      </c>
      <c r="AI30" t="str">
        <f t="shared" si="12"/>
        <v>*1.05</v>
      </c>
      <c r="AJ30" t="str">
        <f t="shared" si="13"/>
        <v>*0.95</v>
      </c>
      <c r="AK30" t="str">
        <f t="shared" si="14"/>
        <v>*0.95</v>
      </c>
      <c r="AL30" t="str">
        <f t="shared" si="15"/>
        <v>*1.05</v>
      </c>
      <c r="AM30" t="str">
        <f t="shared" si="16"/>
        <v>*0.95</v>
      </c>
      <c r="AN30" t="str">
        <f t="shared" si="17"/>
        <v>*1.00</v>
      </c>
      <c r="AO30" t="str">
        <f t="shared" si="18"/>
        <v>*1.00</v>
      </c>
      <c r="AP30" t="str">
        <f t="shared" si="19"/>
        <v>*1.00</v>
      </c>
      <c r="AQ30" t="str">
        <f t="shared" si="20"/>
        <v>*0.95</v>
      </c>
      <c r="AR30" t="str">
        <f t="shared" si="21"/>
        <v>*0.95</v>
      </c>
      <c r="AS30" t="str">
        <f t="shared" si="22"/>
        <v>*1.00</v>
      </c>
      <c r="AT30" t="str">
        <f t="shared" si="23"/>
        <v>*1.05</v>
      </c>
      <c r="AU30" t="str">
        <f t="shared" si="24"/>
        <v>*0.95</v>
      </c>
      <c r="AV30" t="str">
        <f t="shared" si="25"/>
        <v>*0.95</v>
      </c>
      <c r="AW30" t="str">
        <f t="shared" si="26"/>
        <v>*0.95</v>
      </c>
      <c r="AX30" t="str">
        <f t="shared" si="27"/>
        <v>*0.95</v>
      </c>
      <c r="AY30" t="str">
        <f t="shared" si="28"/>
        <v>*0.95</v>
      </c>
      <c r="AZ30" t="str">
        <f t="shared" si="29"/>
        <v>*1.00</v>
      </c>
      <c r="BA30" t="str">
        <f t="shared" si="30"/>
        <v>*1.00</v>
      </c>
      <c r="BB30" t="str">
        <f t="shared" si="31"/>
        <v>*1.05</v>
      </c>
      <c r="BC30" t="str">
        <f t="shared" si="32"/>
        <v>*0.95</v>
      </c>
      <c r="BD30" t="str">
        <f t="shared" si="33"/>
        <v>*1.00</v>
      </c>
      <c r="BE30" t="str">
        <f t="shared" si="34"/>
        <v>*0.95</v>
      </c>
      <c r="BF30" t="str">
        <f t="shared" si="35"/>
        <v>*0.95</v>
      </c>
    </row>
    <row r="31" ht="13" spans="5:58">
      <c r="G31" s="25" t="s">
        <v>6</v>
      </c>
      <c r="H31" s="24" t="s">
        <v>492</v>
      </c>
      <c r="W31" t="s">
        <v>517</v>
      </c>
      <c r="X31" t="str">
        <f t="shared" si="1"/>
        <v>*0.95</v>
      </c>
      <c r="Y31" t="str">
        <f t="shared" si="2"/>
        <v>*0.95</v>
      </c>
      <c r="Z31" t="str">
        <f t="shared" si="3"/>
        <v>*1.05</v>
      </c>
      <c r="AA31" t="str">
        <f t="shared" si="4"/>
        <v>*1.05</v>
      </c>
      <c r="AB31" t="str">
        <f t="shared" si="5"/>
        <v>*0.95</v>
      </c>
      <c r="AC31" t="str">
        <f t="shared" si="6"/>
        <v>*1.00</v>
      </c>
      <c r="AD31" t="str">
        <f t="shared" si="7"/>
        <v>*0.95</v>
      </c>
      <c r="AE31" t="str">
        <f t="shared" si="8"/>
        <v>*0.95</v>
      </c>
      <c r="AF31" t="str">
        <f t="shared" si="9"/>
        <v>*0.95</v>
      </c>
      <c r="AG31" t="str">
        <f t="shared" si="10"/>
        <v>*0.95</v>
      </c>
      <c r="AH31" t="str">
        <f t="shared" si="11"/>
        <v>*1.00</v>
      </c>
      <c r="AI31" t="str">
        <f t="shared" si="12"/>
        <v>*1.05</v>
      </c>
      <c r="AJ31" t="str">
        <f t="shared" si="13"/>
        <v>*0.95</v>
      </c>
      <c r="AK31" t="str">
        <f t="shared" si="14"/>
        <v>*0.95</v>
      </c>
      <c r="AL31" t="str">
        <f t="shared" si="15"/>
        <v>*1.05</v>
      </c>
      <c r="AM31" t="str">
        <f t="shared" si="16"/>
        <v>*0.95</v>
      </c>
      <c r="AN31" t="str">
        <f t="shared" si="17"/>
        <v>*1.00</v>
      </c>
      <c r="AO31" t="str">
        <f t="shared" si="18"/>
        <v>*1.00</v>
      </c>
      <c r="AP31" t="str">
        <f t="shared" si="19"/>
        <v>*1.00</v>
      </c>
      <c r="AQ31" t="str">
        <f t="shared" si="20"/>
        <v>*0.95</v>
      </c>
      <c r="AR31" t="str">
        <f t="shared" si="21"/>
        <v>*0.95</v>
      </c>
      <c r="AS31" t="str">
        <f t="shared" si="22"/>
        <v>*1.00</v>
      </c>
      <c r="AT31" t="str">
        <f t="shared" si="23"/>
        <v>*1.05</v>
      </c>
      <c r="AU31" t="str">
        <f t="shared" si="24"/>
        <v>*0.95</v>
      </c>
      <c r="AV31" t="str">
        <f t="shared" si="25"/>
        <v>*0.95</v>
      </c>
      <c r="AW31" t="str">
        <f t="shared" si="26"/>
        <v>*0.95</v>
      </c>
      <c r="AX31" t="str">
        <f t="shared" si="27"/>
        <v>*0.95</v>
      </c>
      <c r="AY31" t="str">
        <f t="shared" si="28"/>
        <v>*0.95</v>
      </c>
      <c r="AZ31" t="str">
        <f t="shared" si="29"/>
        <v>*1.00</v>
      </c>
      <c r="BA31" t="str">
        <f t="shared" si="30"/>
        <v>*1.00</v>
      </c>
      <c r="BB31" t="str">
        <f t="shared" si="31"/>
        <v>*1.05</v>
      </c>
      <c r="BC31" t="str">
        <f t="shared" si="32"/>
        <v>*0.95</v>
      </c>
      <c r="BD31" t="str">
        <f t="shared" si="33"/>
        <v>*1.00</v>
      </c>
      <c r="BE31" t="str">
        <f t="shared" si="34"/>
        <v>*0.95</v>
      </c>
      <c r="BF31" t="str">
        <f t="shared" si="35"/>
        <v>*0.95</v>
      </c>
    </row>
    <row r="32" ht="13" spans="5:58">
      <c r="G32" s="25" t="s">
        <v>7</v>
      </c>
      <c r="H32" s="24" t="s">
        <v>492</v>
      </c>
      <c r="W32" t="s">
        <v>518</v>
      </c>
      <c r="X32" t="str">
        <f t="shared" si="1"/>
        <v>*0.95</v>
      </c>
      <c r="Y32" t="str">
        <f t="shared" si="2"/>
        <v>*0.95</v>
      </c>
      <c r="Z32" t="str">
        <f t="shared" si="3"/>
        <v>*1.05</v>
      </c>
      <c r="AA32" t="str">
        <f t="shared" si="4"/>
        <v>*1.05</v>
      </c>
      <c r="AB32" t="str">
        <f t="shared" si="5"/>
        <v>*0.95</v>
      </c>
      <c r="AC32" t="str">
        <f t="shared" si="6"/>
        <v>*1.00</v>
      </c>
      <c r="AD32" t="str">
        <f t="shared" si="7"/>
        <v>*0.95</v>
      </c>
      <c r="AE32" t="str">
        <f t="shared" si="8"/>
        <v>*0.95</v>
      </c>
      <c r="AF32" t="str">
        <f t="shared" si="9"/>
        <v>*0.95</v>
      </c>
      <c r="AG32" t="str">
        <f t="shared" si="10"/>
        <v>*0.95</v>
      </c>
      <c r="AH32" t="str">
        <f t="shared" si="11"/>
        <v>*1.00</v>
      </c>
      <c r="AI32" t="str">
        <f t="shared" si="12"/>
        <v>*1.05</v>
      </c>
      <c r="AJ32" t="str">
        <f t="shared" si="13"/>
        <v>*0.95</v>
      </c>
      <c r="AK32" t="str">
        <f t="shared" si="14"/>
        <v>*0.95</v>
      </c>
      <c r="AL32" t="str">
        <f t="shared" si="15"/>
        <v>*1.05</v>
      </c>
      <c r="AM32" t="str">
        <f t="shared" si="16"/>
        <v>*0.95</v>
      </c>
      <c r="AN32" t="str">
        <f t="shared" si="17"/>
        <v>*1.00</v>
      </c>
      <c r="AO32" t="str">
        <f t="shared" si="18"/>
        <v>*1.00</v>
      </c>
      <c r="AP32" t="str">
        <f t="shared" si="19"/>
        <v>*1.00</v>
      </c>
      <c r="AQ32" t="str">
        <f t="shared" si="20"/>
        <v>*0.95</v>
      </c>
      <c r="AR32" t="str">
        <f t="shared" si="21"/>
        <v>*0.95</v>
      </c>
      <c r="AS32" t="str">
        <f t="shared" si="22"/>
        <v>*1.00</v>
      </c>
      <c r="AT32" t="str">
        <f t="shared" si="23"/>
        <v>*1.05</v>
      </c>
      <c r="AU32" t="str">
        <f t="shared" si="24"/>
        <v>*0.95</v>
      </c>
      <c r="AV32" t="str">
        <f t="shared" si="25"/>
        <v>*0.95</v>
      </c>
      <c r="AW32" t="str">
        <f t="shared" si="26"/>
        <v>*0.95</v>
      </c>
      <c r="AX32" t="str">
        <f t="shared" si="27"/>
        <v>*0.95</v>
      </c>
      <c r="AY32" t="str">
        <f t="shared" si="28"/>
        <v>*0.95</v>
      </c>
      <c r="AZ32" t="str">
        <f t="shared" si="29"/>
        <v>*1.00</v>
      </c>
      <c r="BA32" t="str">
        <f t="shared" si="30"/>
        <v>*1.00</v>
      </c>
      <c r="BB32" t="str">
        <f t="shared" si="31"/>
        <v>*1.05</v>
      </c>
      <c r="BC32" t="str">
        <f t="shared" si="32"/>
        <v>*0.95</v>
      </c>
      <c r="BD32" t="str">
        <f t="shared" si="33"/>
        <v>*1.00</v>
      </c>
      <c r="BE32" t="str">
        <f t="shared" si="34"/>
        <v>*0.95</v>
      </c>
      <c r="BF32" t="str">
        <f t="shared" si="35"/>
        <v>*0.95</v>
      </c>
    </row>
    <row r="33" ht="13" spans="7:58">
      <c r="G33" s="25" t="s">
        <v>8</v>
      </c>
      <c r="H33" s="24" t="s">
        <v>491</v>
      </c>
      <c r="W33" t="s">
        <v>519</v>
      </c>
      <c r="X33" t="str">
        <f t="shared" si="1"/>
        <v>*0.95</v>
      </c>
      <c r="Y33" t="str">
        <f t="shared" si="2"/>
        <v>*0.95</v>
      </c>
      <c r="Z33" t="str">
        <f t="shared" si="3"/>
        <v>*1.05</v>
      </c>
      <c r="AA33" t="str">
        <f t="shared" si="4"/>
        <v>*1.05</v>
      </c>
      <c r="AB33" t="str">
        <f t="shared" si="5"/>
        <v>*0.95</v>
      </c>
      <c r="AC33" t="str">
        <f t="shared" si="6"/>
        <v>*1.00</v>
      </c>
      <c r="AD33" t="str">
        <f t="shared" si="7"/>
        <v>*0.95</v>
      </c>
      <c r="AE33" t="str">
        <f t="shared" si="8"/>
        <v>*0.95</v>
      </c>
      <c r="AF33" t="str">
        <f t="shared" si="9"/>
        <v>*0.95</v>
      </c>
      <c r="AG33" t="str">
        <f t="shared" si="10"/>
        <v>*0.95</v>
      </c>
      <c r="AH33" t="str">
        <f t="shared" si="11"/>
        <v>*1.00</v>
      </c>
      <c r="AI33" t="str">
        <f t="shared" si="12"/>
        <v>*1.05</v>
      </c>
      <c r="AJ33" t="str">
        <f t="shared" si="13"/>
        <v>*0.95</v>
      </c>
      <c r="AK33" t="str">
        <f t="shared" si="14"/>
        <v>*0.95</v>
      </c>
      <c r="AL33" t="str">
        <f t="shared" si="15"/>
        <v>*1.05</v>
      </c>
      <c r="AM33" t="str">
        <f t="shared" si="16"/>
        <v>*0.95</v>
      </c>
      <c r="AN33" t="str">
        <f t="shared" si="17"/>
        <v>*1.00</v>
      </c>
      <c r="AO33" t="str">
        <f t="shared" si="18"/>
        <v>*1.00</v>
      </c>
      <c r="AP33" t="str">
        <f t="shared" si="19"/>
        <v>*1.00</v>
      </c>
      <c r="AQ33" t="str">
        <f t="shared" si="20"/>
        <v>*0.95</v>
      </c>
      <c r="AR33" t="str">
        <f t="shared" si="21"/>
        <v>*0.95</v>
      </c>
      <c r="AS33" t="str">
        <f t="shared" si="22"/>
        <v>*1.00</v>
      </c>
      <c r="AT33" t="str">
        <f t="shared" si="23"/>
        <v>*1.05</v>
      </c>
      <c r="AU33" t="str">
        <f t="shared" si="24"/>
        <v>*0.95</v>
      </c>
      <c r="AV33" t="str">
        <f t="shared" si="25"/>
        <v>*0.95</v>
      </c>
      <c r="AW33" t="str">
        <f t="shared" si="26"/>
        <v>*0.95</v>
      </c>
      <c r="AX33" t="str">
        <f t="shared" si="27"/>
        <v>*0.95</v>
      </c>
      <c r="AY33" t="str">
        <f t="shared" si="28"/>
        <v>*0.95</v>
      </c>
      <c r="AZ33" t="str">
        <f t="shared" si="29"/>
        <v>*1.00</v>
      </c>
      <c r="BA33" t="str">
        <f t="shared" si="30"/>
        <v>*1.00</v>
      </c>
      <c r="BB33" t="str">
        <f t="shared" si="31"/>
        <v>*1.05</v>
      </c>
      <c r="BC33" t="str">
        <f t="shared" si="32"/>
        <v>*0.95</v>
      </c>
      <c r="BD33" t="str">
        <f t="shared" si="33"/>
        <v>*1.00</v>
      </c>
      <c r="BE33" t="str">
        <f t="shared" si="34"/>
        <v>*0.95</v>
      </c>
      <c r="BF33" t="str">
        <f t="shared" si="35"/>
        <v>*0.95</v>
      </c>
    </row>
    <row r="34" ht="13" spans="7:58">
      <c r="G34" s="25" t="s">
        <v>9</v>
      </c>
      <c r="H34" s="24" t="s">
        <v>492</v>
      </c>
      <c r="W34" t="s">
        <v>520</v>
      </c>
      <c r="X34" t="str">
        <f t="shared" si="1"/>
        <v>*0.95</v>
      </c>
      <c r="Y34" t="str">
        <f t="shared" si="2"/>
        <v>*0.95</v>
      </c>
      <c r="Z34" t="str">
        <f t="shared" si="3"/>
        <v>*1.05</v>
      </c>
      <c r="AA34" t="str">
        <f t="shared" si="4"/>
        <v>*1.05</v>
      </c>
      <c r="AB34" t="str">
        <f t="shared" si="5"/>
        <v>*0.95</v>
      </c>
      <c r="AC34" t="str">
        <f t="shared" si="6"/>
        <v>*1.00</v>
      </c>
      <c r="AD34" t="str">
        <f t="shared" si="7"/>
        <v>*0.95</v>
      </c>
      <c r="AE34" t="str">
        <f t="shared" si="8"/>
        <v>*0.95</v>
      </c>
      <c r="AF34" t="str">
        <f t="shared" si="9"/>
        <v>*0.95</v>
      </c>
      <c r="AG34" t="str">
        <f t="shared" si="10"/>
        <v>*0.95</v>
      </c>
      <c r="AH34" t="str">
        <f t="shared" si="11"/>
        <v>*1.00</v>
      </c>
      <c r="AI34" t="str">
        <f t="shared" si="12"/>
        <v>*1.05</v>
      </c>
      <c r="AJ34" t="str">
        <f t="shared" si="13"/>
        <v>*0.95</v>
      </c>
      <c r="AK34" t="str">
        <f t="shared" si="14"/>
        <v>*0.95</v>
      </c>
      <c r="AL34" t="str">
        <f t="shared" si="15"/>
        <v>*1.05</v>
      </c>
      <c r="AM34" t="str">
        <f t="shared" si="16"/>
        <v>*0.95</v>
      </c>
      <c r="AN34" t="str">
        <f t="shared" si="17"/>
        <v>*1.00</v>
      </c>
      <c r="AO34" t="str">
        <f t="shared" si="18"/>
        <v>*1.00</v>
      </c>
      <c r="AP34" t="str">
        <f t="shared" si="19"/>
        <v>*1.00</v>
      </c>
      <c r="AQ34" t="str">
        <f t="shared" si="20"/>
        <v>*0.95</v>
      </c>
      <c r="AR34" t="str">
        <f t="shared" si="21"/>
        <v>*0.95</v>
      </c>
      <c r="AS34" t="str">
        <f t="shared" si="22"/>
        <v>*1.00</v>
      </c>
      <c r="AT34" t="str">
        <f t="shared" si="23"/>
        <v>*1.05</v>
      </c>
      <c r="AU34" t="str">
        <f t="shared" si="24"/>
        <v>*0.95</v>
      </c>
      <c r="AV34" t="str">
        <f t="shared" si="25"/>
        <v>*0.95</v>
      </c>
      <c r="AW34" t="str">
        <f t="shared" si="26"/>
        <v>*0.95</v>
      </c>
      <c r="AX34" t="str">
        <f t="shared" si="27"/>
        <v>*0.95</v>
      </c>
      <c r="AY34" t="str">
        <f t="shared" si="28"/>
        <v>*0.95</v>
      </c>
      <c r="AZ34" t="str">
        <f t="shared" si="29"/>
        <v>*1.00</v>
      </c>
      <c r="BA34" t="str">
        <f t="shared" si="30"/>
        <v>*1.00</v>
      </c>
      <c r="BB34" t="str">
        <f t="shared" si="31"/>
        <v>*1.05</v>
      </c>
      <c r="BC34" t="str">
        <f t="shared" si="32"/>
        <v>*0.95</v>
      </c>
      <c r="BD34" t="str">
        <f t="shared" si="33"/>
        <v>*1.00</v>
      </c>
      <c r="BE34" t="str">
        <f t="shared" si="34"/>
        <v>*0.95</v>
      </c>
      <c r="BF34" t="str">
        <f t="shared" si="35"/>
        <v>*0.95</v>
      </c>
    </row>
    <row r="35" ht="13" spans="7:58">
      <c r="G35" s="25" t="s">
        <v>10</v>
      </c>
      <c r="H35" s="24" t="s">
        <v>521</v>
      </c>
      <c r="W35" t="s">
        <v>522</v>
      </c>
      <c r="X35" t="str">
        <f t="shared" si="1"/>
        <v>*0.95</v>
      </c>
      <c r="Y35" t="str">
        <f t="shared" si="2"/>
        <v>*0.95</v>
      </c>
      <c r="Z35" t="str">
        <f t="shared" si="3"/>
        <v>*1.05</v>
      </c>
      <c r="AA35" t="str">
        <f t="shared" si="4"/>
        <v>*1.05</v>
      </c>
      <c r="AB35" t="str">
        <f t="shared" si="5"/>
        <v>*0.95</v>
      </c>
      <c r="AC35" t="str">
        <f t="shared" si="6"/>
        <v>*1.00</v>
      </c>
      <c r="AD35" t="str">
        <f t="shared" si="7"/>
        <v>*0.95</v>
      </c>
      <c r="AE35" t="str">
        <f t="shared" si="8"/>
        <v>*0.95</v>
      </c>
      <c r="AF35" t="str">
        <f t="shared" si="9"/>
        <v>*0.95</v>
      </c>
      <c r="AG35" t="str">
        <f t="shared" si="10"/>
        <v>*0.95</v>
      </c>
      <c r="AH35" t="str">
        <f t="shared" si="11"/>
        <v>*1.00</v>
      </c>
      <c r="AI35" t="str">
        <f t="shared" si="12"/>
        <v>*1.05</v>
      </c>
      <c r="AJ35" t="str">
        <f t="shared" si="13"/>
        <v>*0.95</v>
      </c>
      <c r="AK35" t="str">
        <f t="shared" si="14"/>
        <v>*0.95</v>
      </c>
      <c r="AL35" t="str">
        <f t="shared" si="15"/>
        <v>*1.05</v>
      </c>
      <c r="AM35" t="str">
        <f t="shared" si="16"/>
        <v>*0.95</v>
      </c>
      <c r="AN35" t="str">
        <f t="shared" si="17"/>
        <v>*1.00</v>
      </c>
      <c r="AO35" t="str">
        <f t="shared" si="18"/>
        <v>*1.00</v>
      </c>
      <c r="AP35" t="str">
        <f t="shared" si="19"/>
        <v>*1.00</v>
      </c>
      <c r="AQ35" t="str">
        <f t="shared" si="20"/>
        <v>*0.95</v>
      </c>
      <c r="AR35" t="str">
        <f t="shared" si="21"/>
        <v>*0.95</v>
      </c>
      <c r="AS35" t="str">
        <f t="shared" si="22"/>
        <v>*1.00</v>
      </c>
      <c r="AT35" t="str">
        <f t="shared" si="23"/>
        <v>*1.05</v>
      </c>
      <c r="AU35" t="str">
        <f t="shared" si="24"/>
        <v>*0.95</v>
      </c>
      <c r="AV35" t="str">
        <f t="shared" si="25"/>
        <v>*0.95</v>
      </c>
      <c r="AW35" t="str">
        <f t="shared" si="26"/>
        <v>*0.95</v>
      </c>
      <c r="AX35" t="str">
        <f t="shared" si="27"/>
        <v>*0.95</v>
      </c>
      <c r="AY35" t="str">
        <f t="shared" si="28"/>
        <v>*0.95</v>
      </c>
      <c r="AZ35" t="str">
        <f t="shared" si="29"/>
        <v>*1.00</v>
      </c>
      <c r="BA35" t="str">
        <f t="shared" si="30"/>
        <v>*1.00</v>
      </c>
      <c r="BB35" t="str">
        <f t="shared" si="31"/>
        <v>*1.05</v>
      </c>
      <c r="BC35" t="str">
        <f t="shared" si="32"/>
        <v>*0.95</v>
      </c>
      <c r="BD35" t="str">
        <f t="shared" si="33"/>
        <v>*1.00</v>
      </c>
      <c r="BE35" t="str">
        <f t="shared" si="34"/>
        <v>*0.95</v>
      </c>
      <c r="BF35" t="str">
        <f t="shared" si="35"/>
        <v>*0.95</v>
      </c>
    </row>
    <row r="36" ht="13" spans="7:58">
      <c r="G36" s="25" t="s">
        <v>11</v>
      </c>
      <c r="H36" s="24" t="s">
        <v>513</v>
      </c>
      <c r="W36" t="s">
        <v>523</v>
      </c>
      <c r="X36" t="str">
        <f t="shared" si="1"/>
        <v>*0.95</v>
      </c>
      <c r="Y36" t="str">
        <f t="shared" si="2"/>
        <v>*0.95</v>
      </c>
      <c r="Z36" t="str">
        <f t="shared" si="3"/>
        <v>*1.05</v>
      </c>
      <c r="AA36" t="str">
        <f t="shared" si="4"/>
        <v>*1.05</v>
      </c>
      <c r="AB36" t="str">
        <f t="shared" si="5"/>
        <v>*0.95</v>
      </c>
      <c r="AC36" t="str">
        <f t="shared" si="6"/>
        <v>*1.00</v>
      </c>
      <c r="AD36" t="str">
        <f t="shared" si="7"/>
        <v>*0.95</v>
      </c>
      <c r="AE36" t="str">
        <f t="shared" si="8"/>
        <v>*0.95</v>
      </c>
      <c r="AF36" t="str">
        <f t="shared" si="9"/>
        <v>*0.95</v>
      </c>
      <c r="AG36" t="str">
        <f t="shared" si="10"/>
        <v>*0.95</v>
      </c>
      <c r="AH36" t="str">
        <f t="shared" si="11"/>
        <v>*1.00</v>
      </c>
      <c r="AI36" t="str">
        <f t="shared" si="12"/>
        <v>*1.05</v>
      </c>
      <c r="AJ36" t="str">
        <f t="shared" si="13"/>
        <v>*0.95</v>
      </c>
      <c r="AK36" t="str">
        <f t="shared" si="14"/>
        <v>*0.95</v>
      </c>
      <c r="AL36" t="str">
        <f t="shared" si="15"/>
        <v>*1.05</v>
      </c>
      <c r="AM36" t="str">
        <f t="shared" si="16"/>
        <v>*0.95</v>
      </c>
      <c r="AN36" t="str">
        <f t="shared" si="17"/>
        <v>*1.00</v>
      </c>
      <c r="AO36" t="str">
        <f t="shared" si="18"/>
        <v>*1.00</v>
      </c>
      <c r="AP36" t="str">
        <f t="shared" si="19"/>
        <v>*1.00</v>
      </c>
      <c r="AQ36" t="str">
        <f t="shared" si="20"/>
        <v>*0.95</v>
      </c>
      <c r="AR36" t="str">
        <f t="shared" si="21"/>
        <v>*0.95</v>
      </c>
      <c r="AS36" t="str">
        <f t="shared" si="22"/>
        <v>*1.00</v>
      </c>
      <c r="AT36" t="str">
        <f t="shared" si="23"/>
        <v>*1.05</v>
      </c>
      <c r="AU36" t="str">
        <f t="shared" si="24"/>
        <v>*0.95</v>
      </c>
      <c r="AV36" t="str">
        <f t="shared" si="25"/>
        <v>*0.95</v>
      </c>
      <c r="AW36" t="str">
        <f t="shared" si="26"/>
        <v>*0.95</v>
      </c>
      <c r="AX36" t="str">
        <f t="shared" si="27"/>
        <v>*0.95</v>
      </c>
      <c r="AY36" t="str">
        <f t="shared" si="28"/>
        <v>*0.95</v>
      </c>
      <c r="AZ36" t="str">
        <f t="shared" si="29"/>
        <v>*1.00</v>
      </c>
      <c r="BA36" t="str">
        <f t="shared" si="30"/>
        <v>*1.00</v>
      </c>
      <c r="BB36" t="str">
        <f t="shared" si="31"/>
        <v>*1.05</v>
      </c>
      <c r="BC36" t="str">
        <f t="shared" si="32"/>
        <v>*0.95</v>
      </c>
      <c r="BD36" t="str">
        <f t="shared" si="33"/>
        <v>*1.00</v>
      </c>
      <c r="BE36" t="str">
        <f t="shared" si="34"/>
        <v>*0.95</v>
      </c>
      <c r="BF36" t="str">
        <f t="shared" si="35"/>
        <v>*0.95</v>
      </c>
    </row>
    <row r="37" ht="13" spans="7:58">
      <c r="G37" s="25" t="s">
        <v>12</v>
      </c>
      <c r="H37" s="24" t="s">
        <v>524</v>
      </c>
      <c r="W37" t="s">
        <v>525</v>
      </c>
      <c r="X37" t="str">
        <f t="shared" si="1"/>
        <v>*0.95</v>
      </c>
      <c r="Y37" t="str">
        <f t="shared" si="2"/>
        <v>*0.95</v>
      </c>
      <c r="Z37" t="str">
        <f t="shared" si="3"/>
        <v>*1.05</v>
      </c>
      <c r="AA37" t="str">
        <f t="shared" si="4"/>
        <v>*1.05</v>
      </c>
      <c r="AB37" t="str">
        <f t="shared" si="5"/>
        <v>*0.95</v>
      </c>
      <c r="AC37" t="str">
        <f t="shared" si="6"/>
        <v>*1.00</v>
      </c>
      <c r="AD37" t="str">
        <f t="shared" si="7"/>
        <v>*0.95</v>
      </c>
      <c r="AE37" t="str">
        <f t="shared" si="8"/>
        <v>*0.95</v>
      </c>
      <c r="AF37" t="str">
        <f t="shared" si="9"/>
        <v>*0.95</v>
      </c>
      <c r="AG37" t="str">
        <f t="shared" si="10"/>
        <v>*0.95</v>
      </c>
      <c r="AH37" t="str">
        <f t="shared" si="11"/>
        <v>*1.00</v>
      </c>
      <c r="AI37" t="str">
        <f t="shared" si="12"/>
        <v>*1.05</v>
      </c>
      <c r="AJ37" t="str">
        <f t="shared" si="13"/>
        <v>*0.95</v>
      </c>
      <c r="AK37" t="str">
        <f t="shared" si="14"/>
        <v>*0.95</v>
      </c>
      <c r="AL37" t="str">
        <f t="shared" si="15"/>
        <v>*1.05</v>
      </c>
      <c r="AM37" t="str">
        <f t="shared" si="16"/>
        <v>*0.95</v>
      </c>
      <c r="AN37" t="str">
        <f t="shared" si="17"/>
        <v>*1.00</v>
      </c>
      <c r="AO37" t="str">
        <f t="shared" si="18"/>
        <v>*1.00</v>
      </c>
      <c r="AP37" t="str">
        <f t="shared" si="19"/>
        <v>*1.00</v>
      </c>
      <c r="AQ37" t="str">
        <f t="shared" si="20"/>
        <v>*0.95</v>
      </c>
      <c r="AR37" t="str">
        <f t="shared" si="21"/>
        <v>*0.95</v>
      </c>
      <c r="AS37" t="str">
        <f t="shared" si="22"/>
        <v>*1.00</v>
      </c>
      <c r="AT37" t="str">
        <f t="shared" si="23"/>
        <v>*1.05</v>
      </c>
      <c r="AU37" t="str">
        <f t="shared" si="24"/>
        <v>*0.95</v>
      </c>
      <c r="AV37" t="str">
        <f t="shared" si="25"/>
        <v>*0.95</v>
      </c>
      <c r="AW37" t="str">
        <f t="shared" si="26"/>
        <v>*0.95</v>
      </c>
      <c r="AX37" t="str">
        <f t="shared" si="27"/>
        <v>*0.95</v>
      </c>
      <c r="AY37" t="str">
        <f t="shared" si="28"/>
        <v>*0.95</v>
      </c>
      <c r="AZ37" t="str">
        <f t="shared" si="29"/>
        <v>*1.00</v>
      </c>
      <c r="BA37" t="str">
        <f t="shared" si="30"/>
        <v>*1.00</v>
      </c>
      <c r="BB37" t="str">
        <f t="shared" si="31"/>
        <v>*1.05</v>
      </c>
      <c r="BC37" t="str">
        <f t="shared" si="32"/>
        <v>*0.95</v>
      </c>
      <c r="BD37" t="str">
        <f t="shared" si="33"/>
        <v>*1.00</v>
      </c>
      <c r="BE37" t="str">
        <f t="shared" si="34"/>
        <v>*0.95</v>
      </c>
      <c r="BF37" t="str">
        <f t="shared" si="35"/>
        <v>*0.95</v>
      </c>
    </row>
    <row r="38" ht="13" spans="7:58">
      <c r="G38" s="25" t="s">
        <v>13</v>
      </c>
      <c r="H38" s="24" t="s">
        <v>524</v>
      </c>
      <c r="W38" t="s">
        <v>526</v>
      </c>
      <c r="X38" t="str">
        <f t="shared" si="1"/>
        <v>*0.95</v>
      </c>
      <c r="Y38" t="str">
        <f t="shared" si="2"/>
        <v>*0.95</v>
      </c>
      <c r="Z38" t="str">
        <f t="shared" si="3"/>
        <v>*1.05</v>
      </c>
      <c r="AA38" t="str">
        <f t="shared" si="4"/>
        <v>*1.05</v>
      </c>
      <c r="AB38" t="str">
        <f t="shared" si="5"/>
        <v>*0.95</v>
      </c>
      <c r="AC38" t="str">
        <f t="shared" si="6"/>
        <v>*1.00</v>
      </c>
      <c r="AD38" t="str">
        <f t="shared" si="7"/>
        <v>*0.95</v>
      </c>
      <c r="AE38" t="str">
        <f t="shared" si="8"/>
        <v>*0.95</v>
      </c>
      <c r="AF38" t="str">
        <f t="shared" si="9"/>
        <v>*0.95</v>
      </c>
      <c r="AG38" t="str">
        <f t="shared" si="10"/>
        <v>*0.95</v>
      </c>
      <c r="AH38" t="str">
        <f t="shared" si="11"/>
        <v>*1.00</v>
      </c>
      <c r="AI38" t="str">
        <f t="shared" si="12"/>
        <v>*1.05</v>
      </c>
      <c r="AJ38" t="str">
        <f t="shared" si="13"/>
        <v>*0.95</v>
      </c>
      <c r="AK38" t="str">
        <f t="shared" si="14"/>
        <v>*0.95</v>
      </c>
      <c r="AL38" t="str">
        <f t="shared" si="15"/>
        <v>*1.05</v>
      </c>
      <c r="AM38" t="str">
        <f t="shared" si="16"/>
        <v>*0.95</v>
      </c>
      <c r="AN38" t="str">
        <f t="shared" si="17"/>
        <v>*1.00</v>
      </c>
      <c r="AO38" t="str">
        <f t="shared" si="18"/>
        <v>*1.00</v>
      </c>
      <c r="AP38" t="str">
        <f t="shared" si="19"/>
        <v>*1.00</v>
      </c>
      <c r="AQ38" t="str">
        <f t="shared" si="20"/>
        <v>*0.95</v>
      </c>
      <c r="AR38" t="str">
        <f t="shared" si="21"/>
        <v>*0.95</v>
      </c>
      <c r="AS38" t="str">
        <f t="shared" si="22"/>
        <v>*1.00</v>
      </c>
      <c r="AT38" t="str">
        <f t="shared" si="23"/>
        <v>*1.05</v>
      </c>
      <c r="AU38" t="str">
        <f t="shared" si="24"/>
        <v>*0.95</v>
      </c>
      <c r="AV38" t="str">
        <f t="shared" si="25"/>
        <v>*0.95</v>
      </c>
      <c r="AW38" t="str">
        <f t="shared" si="26"/>
        <v>*0.95</v>
      </c>
      <c r="AX38" t="str">
        <f t="shared" si="27"/>
        <v>*0.95</v>
      </c>
      <c r="AY38" t="str">
        <f t="shared" si="28"/>
        <v>*0.95</v>
      </c>
      <c r="AZ38" t="str">
        <f t="shared" si="29"/>
        <v>*1.00</v>
      </c>
      <c r="BA38" t="str">
        <f t="shared" si="30"/>
        <v>*1.00</v>
      </c>
      <c r="BB38" t="str">
        <f t="shared" si="31"/>
        <v>*1.05</v>
      </c>
      <c r="BC38" t="str">
        <f t="shared" si="32"/>
        <v>*0.95</v>
      </c>
      <c r="BD38" t="str">
        <f t="shared" si="33"/>
        <v>*1.00</v>
      </c>
      <c r="BE38" t="str">
        <f t="shared" si="34"/>
        <v>*0.95</v>
      </c>
      <c r="BF38" t="str">
        <f t="shared" si="35"/>
        <v>*0.95</v>
      </c>
    </row>
    <row r="39" ht="13" spans="7:58">
      <c r="G39" s="25" t="s">
        <v>14</v>
      </c>
      <c r="H39" s="24" t="s">
        <v>493</v>
      </c>
      <c r="W39" t="s">
        <v>527</v>
      </c>
      <c r="X39" t="str">
        <f t="shared" si="1"/>
        <v>*0.95</v>
      </c>
      <c r="Y39" t="str">
        <f t="shared" si="2"/>
        <v>*0.95</v>
      </c>
      <c r="Z39" t="str">
        <f t="shared" si="3"/>
        <v>*1.05</v>
      </c>
      <c r="AA39" t="str">
        <f t="shared" si="4"/>
        <v>*1.05</v>
      </c>
      <c r="AB39" t="str">
        <f t="shared" si="5"/>
        <v>*0.95</v>
      </c>
      <c r="AC39" t="str">
        <f t="shared" si="6"/>
        <v>*1.00</v>
      </c>
      <c r="AD39" t="str">
        <f t="shared" si="7"/>
        <v>*0.95</v>
      </c>
      <c r="AE39" t="str">
        <f t="shared" si="8"/>
        <v>*0.95</v>
      </c>
      <c r="AF39" t="str">
        <f t="shared" si="9"/>
        <v>*0.95</v>
      </c>
      <c r="AG39" t="str">
        <f t="shared" si="10"/>
        <v>*0.95</v>
      </c>
      <c r="AH39" t="str">
        <f t="shared" si="11"/>
        <v>*1.00</v>
      </c>
      <c r="AI39" t="str">
        <f t="shared" si="12"/>
        <v>*1.05</v>
      </c>
      <c r="AJ39" t="str">
        <f t="shared" si="13"/>
        <v>*0.95</v>
      </c>
      <c r="AK39" t="str">
        <f t="shared" si="14"/>
        <v>*0.95</v>
      </c>
      <c r="AL39" t="str">
        <f t="shared" si="15"/>
        <v>*1.05</v>
      </c>
      <c r="AM39" t="str">
        <f t="shared" si="16"/>
        <v>*0.95</v>
      </c>
      <c r="AN39" t="str">
        <f t="shared" si="17"/>
        <v>*1.00</v>
      </c>
      <c r="AO39" t="str">
        <f t="shared" si="18"/>
        <v>*1.00</v>
      </c>
      <c r="AP39" t="str">
        <f t="shared" si="19"/>
        <v>*1.00</v>
      </c>
      <c r="AQ39" t="str">
        <f t="shared" si="20"/>
        <v>*0.95</v>
      </c>
      <c r="AR39" t="str">
        <f t="shared" si="21"/>
        <v>*0.95</v>
      </c>
      <c r="AS39" t="str">
        <f t="shared" si="22"/>
        <v>*1.00</v>
      </c>
      <c r="AT39" t="str">
        <f t="shared" si="23"/>
        <v>*1.05</v>
      </c>
      <c r="AU39" t="str">
        <f t="shared" si="24"/>
        <v>*0.95</v>
      </c>
      <c r="AV39" t="str">
        <f t="shared" si="25"/>
        <v>*0.95</v>
      </c>
      <c r="AW39" t="str">
        <f t="shared" si="26"/>
        <v>*0.95</v>
      </c>
      <c r="AX39" t="str">
        <f t="shared" si="27"/>
        <v>*0.95</v>
      </c>
      <c r="AY39" t="str">
        <f t="shared" si="28"/>
        <v>*0.95</v>
      </c>
      <c r="AZ39" t="str">
        <f t="shared" si="29"/>
        <v>*1.00</v>
      </c>
      <c r="BA39" t="str">
        <f t="shared" si="30"/>
        <v>*1.00</v>
      </c>
      <c r="BB39" t="str">
        <f t="shared" si="31"/>
        <v>*1.05</v>
      </c>
      <c r="BC39" t="str">
        <f t="shared" si="32"/>
        <v>*0.95</v>
      </c>
      <c r="BD39" t="str">
        <f t="shared" si="33"/>
        <v>*1.00</v>
      </c>
      <c r="BE39" t="str">
        <f t="shared" si="34"/>
        <v>*0.95</v>
      </c>
      <c r="BF39" t="str">
        <f t="shared" si="35"/>
        <v>*0.95</v>
      </c>
    </row>
    <row r="40" ht="13" spans="7:58">
      <c r="G40" s="25" t="s">
        <v>15</v>
      </c>
      <c r="H40" s="24" t="s">
        <v>492</v>
      </c>
      <c r="W40" t="s">
        <v>528</v>
      </c>
      <c r="X40" t="str">
        <f t="shared" si="1"/>
        <v>*0.95</v>
      </c>
      <c r="Y40" t="str">
        <f t="shared" si="2"/>
        <v>*0.95</v>
      </c>
      <c r="Z40" t="str">
        <f t="shared" si="3"/>
        <v>*1.05</v>
      </c>
      <c r="AA40" t="str">
        <f t="shared" si="4"/>
        <v>*1.05</v>
      </c>
      <c r="AB40" t="str">
        <f t="shared" si="5"/>
        <v>*0.95</v>
      </c>
      <c r="AC40" t="str">
        <f t="shared" si="6"/>
        <v>*1.00</v>
      </c>
      <c r="AD40" t="str">
        <f t="shared" si="7"/>
        <v>*0.95</v>
      </c>
      <c r="AE40" t="str">
        <f t="shared" si="8"/>
        <v>*0.95</v>
      </c>
      <c r="AF40" t="str">
        <f t="shared" si="9"/>
        <v>*0.95</v>
      </c>
      <c r="AG40" t="str">
        <f t="shared" si="10"/>
        <v>*0.95</v>
      </c>
      <c r="AH40" t="str">
        <f t="shared" si="11"/>
        <v>*1.00</v>
      </c>
      <c r="AI40" t="str">
        <f t="shared" si="12"/>
        <v>*1.05</v>
      </c>
      <c r="AJ40" t="str">
        <f t="shared" si="13"/>
        <v>*0.95</v>
      </c>
      <c r="AK40" t="str">
        <f t="shared" si="14"/>
        <v>*0.95</v>
      </c>
      <c r="AL40" t="str">
        <f t="shared" si="15"/>
        <v>*1.05</v>
      </c>
      <c r="AM40" t="str">
        <f t="shared" si="16"/>
        <v>*0.95</v>
      </c>
      <c r="AN40" t="str">
        <f t="shared" si="17"/>
        <v>*1.00</v>
      </c>
      <c r="AO40" t="str">
        <f t="shared" si="18"/>
        <v>*1.00</v>
      </c>
      <c r="AP40" t="str">
        <f t="shared" si="19"/>
        <v>*1.00</v>
      </c>
      <c r="AQ40" t="str">
        <f t="shared" si="20"/>
        <v>*0.95</v>
      </c>
      <c r="AR40" t="str">
        <f t="shared" si="21"/>
        <v>*0.95</v>
      </c>
      <c r="AS40" t="str">
        <f t="shared" si="22"/>
        <v>*1.00</v>
      </c>
      <c r="AT40" t="str">
        <f t="shared" si="23"/>
        <v>*1.05</v>
      </c>
      <c r="AU40" t="str">
        <f t="shared" si="24"/>
        <v>*0.95</v>
      </c>
      <c r="AV40" t="str">
        <f t="shared" si="25"/>
        <v>*0.95</v>
      </c>
      <c r="AW40" t="str">
        <f t="shared" si="26"/>
        <v>*0.95</v>
      </c>
      <c r="AX40" t="str">
        <f t="shared" si="27"/>
        <v>*0.95</v>
      </c>
      <c r="AY40" t="str">
        <f t="shared" si="28"/>
        <v>*0.95</v>
      </c>
      <c r="AZ40" t="str">
        <f t="shared" si="29"/>
        <v>*1.00</v>
      </c>
      <c r="BA40" t="str">
        <f t="shared" si="30"/>
        <v>*1.00</v>
      </c>
      <c r="BB40" t="str">
        <f t="shared" si="31"/>
        <v>*1.05</v>
      </c>
      <c r="BC40" t="str">
        <f t="shared" si="32"/>
        <v>*0.95</v>
      </c>
      <c r="BD40" t="str">
        <f t="shared" si="33"/>
        <v>*1.00</v>
      </c>
      <c r="BE40" t="str">
        <f t="shared" si="34"/>
        <v>*0.95</v>
      </c>
      <c r="BF40" t="str">
        <f t="shared" si="35"/>
        <v>*0.95</v>
      </c>
    </row>
    <row r="41" ht="13" spans="7:58">
      <c r="G41" s="25" t="s">
        <v>16</v>
      </c>
      <c r="H41" s="24" t="s">
        <v>524</v>
      </c>
      <c r="W41" t="s">
        <v>529</v>
      </c>
      <c r="X41" t="str">
        <f t="shared" si="1"/>
        <v>*0.95</v>
      </c>
      <c r="Y41" t="str">
        <f t="shared" si="2"/>
        <v>*0.95</v>
      </c>
      <c r="Z41" t="str">
        <f t="shared" si="3"/>
        <v>*1.05</v>
      </c>
      <c r="AA41" t="str">
        <f t="shared" si="4"/>
        <v>*1.05</v>
      </c>
      <c r="AB41" t="str">
        <f t="shared" si="5"/>
        <v>*0.95</v>
      </c>
      <c r="AC41" t="str">
        <f t="shared" si="6"/>
        <v>*1.00</v>
      </c>
      <c r="AD41" t="str">
        <f t="shared" si="7"/>
        <v>*0.95</v>
      </c>
      <c r="AE41" t="str">
        <f t="shared" si="8"/>
        <v>*0.95</v>
      </c>
      <c r="AF41" t="str">
        <f t="shared" si="9"/>
        <v>*0.95</v>
      </c>
      <c r="AG41" t="str">
        <f t="shared" si="10"/>
        <v>*0.95</v>
      </c>
      <c r="AH41" t="str">
        <f t="shared" si="11"/>
        <v>*1.00</v>
      </c>
      <c r="AI41" t="str">
        <f t="shared" si="12"/>
        <v>*1.05</v>
      </c>
      <c r="AJ41" t="str">
        <f t="shared" si="13"/>
        <v>*0.95</v>
      </c>
      <c r="AK41" t="str">
        <f t="shared" si="14"/>
        <v>*0.95</v>
      </c>
      <c r="AL41" t="str">
        <f t="shared" si="15"/>
        <v>*1.05</v>
      </c>
      <c r="AM41" t="str">
        <f t="shared" si="16"/>
        <v>*0.95</v>
      </c>
      <c r="AN41" t="str">
        <f t="shared" si="17"/>
        <v>*1.00</v>
      </c>
      <c r="AO41" t="str">
        <f t="shared" si="18"/>
        <v>*1.00</v>
      </c>
      <c r="AP41" t="str">
        <f t="shared" si="19"/>
        <v>*1.00</v>
      </c>
      <c r="AQ41" t="str">
        <f t="shared" si="20"/>
        <v>*0.95</v>
      </c>
      <c r="AR41" t="str">
        <f t="shared" si="21"/>
        <v>*0.95</v>
      </c>
      <c r="AS41" t="str">
        <f t="shared" si="22"/>
        <v>*1.00</v>
      </c>
      <c r="AT41" t="str">
        <f t="shared" si="23"/>
        <v>*1.05</v>
      </c>
      <c r="AU41" t="str">
        <f t="shared" si="24"/>
        <v>*0.95</v>
      </c>
      <c r="AV41" t="str">
        <f t="shared" si="25"/>
        <v>*0.95</v>
      </c>
      <c r="AW41" t="str">
        <f t="shared" si="26"/>
        <v>*0.95</v>
      </c>
      <c r="AX41" t="str">
        <f t="shared" si="27"/>
        <v>*0.95</v>
      </c>
      <c r="AY41" t="str">
        <f t="shared" si="28"/>
        <v>*0.95</v>
      </c>
      <c r="AZ41" t="str">
        <f t="shared" si="29"/>
        <v>*1.00</v>
      </c>
      <c r="BA41" t="str">
        <f t="shared" si="30"/>
        <v>*1.00</v>
      </c>
      <c r="BB41" t="str">
        <f t="shared" si="31"/>
        <v>*1.05</v>
      </c>
      <c r="BC41" t="str">
        <f t="shared" si="32"/>
        <v>*0.95</v>
      </c>
      <c r="BD41" t="str">
        <f t="shared" si="33"/>
        <v>*1.00</v>
      </c>
      <c r="BE41" t="str">
        <f t="shared" si="34"/>
        <v>*0.95</v>
      </c>
      <c r="BF41" t="str">
        <f t="shared" si="35"/>
        <v>*0.95</v>
      </c>
    </row>
    <row r="42" ht="13" spans="7:58">
      <c r="G42" s="25" t="s">
        <v>17</v>
      </c>
      <c r="H42" s="24" t="s">
        <v>521</v>
      </c>
      <c r="W42" t="s">
        <v>530</v>
      </c>
      <c r="X42" t="str">
        <f t="shared" si="1"/>
        <v>*0.95</v>
      </c>
      <c r="Y42" t="str">
        <f t="shared" si="2"/>
        <v>*0.95</v>
      </c>
      <c r="Z42" t="str">
        <f t="shared" si="3"/>
        <v>*1.05</v>
      </c>
      <c r="AA42" t="str">
        <f t="shared" si="4"/>
        <v>*1.05</v>
      </c>
      <c r="AB42" t="str">
        <f t="shared" si="5"/>
        <v>*0.95</v>
      </c>
      <c r="AC42" t="str">
        <f t="shared" si="6"/>
        <v>*1.00</v>
      </c>
      <c r="AD42" t="str">
        <f t="shared" si="7"/>
        <v>*0.95</v>
      </c>
      <c r="AE42" t="str">
        <f t="shared" si="8"/>
        <v>*0.95</v>
      </c>
      <c r="AF42" t="str">
        <f t="shared" si="9"/>
        <v>*0.95</v>
      </c>
      <c r="AG42" t="str">
        <f t="shared" si="10"/>
        <v>*0.95</v>
      </c>
      <c r="AH42" t="str">
        <f t="shared" si="11"/>
        <v>*1.00</v>
      </c>
      <c r="AI42" t="str">
        <f t="shared" si="12"/>
        <v>*1.05</v>
      </c>
      <c r="AJ42" t="str">
        <f t="shared" si="13"/>
        <v>*0.95</v>
      </c>
      <c r="AK42" t="str">
        <f t="shared" si="14"/>
        <v>*0.95</v>
      </c>
      <c r="AL42" t="str">
        <f t="shared" si="15"/>
        <v>*1.05</v>
      </c>
      <c r="AM42" t="str">
        <f t="shared" si="16"/>
        <v>*0.95</v>
      </c>
      <c r="AN42" t="str">
        <f t="shared" si="17"/>
        <v>*1.00</v>
      </c>
      <c r="AO42" t="str">
        <f t="shared" si="18"/>
        <v>*1.00</v>
      </c>
      <c r="AP42" t="str">
        <f t="shared" si="19"/>
        <v>*1.00</v>
      </c>
      <c r="AQ42" t="str">
        <f t="shared" si="20"/>
        <v>*0.95</v>
      </c>
      <c r="AR42" t="str">
        <f t="shared" si="21"/>
        <v>*0.95</v>
      </c>
      <c r="AS42" t="str">
        <f t="shared" si="22"/>
        <v>*1.00</v>
      </c>
      <c r="AT42" t="str">
        <f t="shared" si="23"/>
        <v>*1.05</v>
      </c>
      <c r="AU42" t="str">
        <f t="shared" si="24"/>
        <v>*0.95</v>
      </c>
      <c r="AV42" t="str">
        <f t="shared" si="25"/>
        <v>*0.95</v>
      </c>
      <c r="AW42" t="str">
        <f t="shared" si="26"/>
        <v>*0.95</v>
      </c>
      <c r="AX42" t="str">
        <f t="shared" si="27"/>
        <v>*0.95</v>
      </c>
      <c r="AY42" t="str">
        <f t="shared" si="28"/>
        <v>*0.95</v>
      </c>
      <c r="AZ42" t="str">
        <f t="shared" si="29"/>
        <v>*1.00</v>
      </c>
      <c r="BA42" t="str">
        <f t="shared" si="30"/>
        <v>*1.00</v>
      </c>
      <c r="BB42" t="str">
        <f t="shared" si="31"/>
        <v>*1.05</v>
      </c>
      <c r="BC42" t="str">
        <f t="shared" si="32"/>
        <v>*0.95</v>
      </c>
      <c r="BD42" t="str">
        <f t="shared" si="33"/>
        <v>*1.00</v>
      </c>
      <c r="BE42" t="str">
        <f t="shared" si="34"/>
        <v>*0.95</v>
      </c>
      <c r="BF42" t="str">
        <f t="shared" si="35"/>
        <v>*0.95</v>
      </c>
    </row>
    <row r="43" ht="13" spans="7:58">
      <c r="G43" s="25" t="s">
        <v>18</v>
      </c>
      <c r="H43" s="24" t="s">
        <v>531</v>
      </c>
      <c r="W43" t="s">
        <v>532</v>
      </c>
      <c r="X43" t="str">
        <f t="shared" si="1"/>
        <v>*0.95</v>
      </c>
      <c r="Y43" t="str">
        <f t="shared" si="2"/>
        <v>*0.95</v>
      </c>
      <c r="Z43" t="str">
        <f t="shared" si="3"/>
        <v>*1.05</v>
      </c>
      <c r="AA43" t="str">
        <f t="shared" si="4"/>
        <v>*1.05</v>
      </c>
      <c r="AB43" t="str">
        <f t="shared" si="5"/>
        <v>*0.95</v>
      </c>
      <c r="AC43" t="str">
        <f t="shared" si="6"/>
        <v>*1.00</v>
      </c>
      <c r="AD43" t="str">
        <f t="shared" si="7"/>
        <v>*0.95</v>
      </c>
      <c r="AE43" t="str">
        <f t="shared" si="8"/>
        <v>*0.95</v>
      </c>
      <c r="AF43" t="str">
        <f t="shared" si="9"/>
        <v>*0.95</v>
      </c>
      <c r="AG43" t="str">
        <f t="shared" si="10"/>
        <v>*0.95</v>
      </c>
      <c r="AH43" t="str">
        <f t="shared" si="11"/>
        <v>*1.00</v>
      </c>
      <c r="AI43" t="str">
        <f t="shared" si="12"/>
        <v>*1.05</v>
      </c>
      <c r="AJ43" t="str">
        <f t="shared" si="13"/>
        <v>*0.95</v>
      </c>
      <c r="AK43" t="str">
        <f t="shared" si="14"/>
        <v>*0.95</v>
      </c>
      <c r="AL43" t="str">
        <f t="shared" si="15"/>
        <v>*1.05</v>
      </c>
      <c r="AM43" t="str">
        <f t="shared" si="16"/>
        <v>*0.95</v>
      </c>
      <c r="AN43" t="str">
        <f t="shared" si="17"/>
        <v>*1.00</v>
      </c>
      <c r="AO43" t="str">
        <f t="shared" si="18"/>
        <v>*1.00</v>
      </c>
      <c r="AP43" t="str">
        <f t="shared" si="19"/>
        <v>*1.00</v>
      </c>
      <c r="AQ43" t="str">
        <f t="shared" si="20"/>
        <v>*0.95</v>
      </c>
      <c r="AR43" t="str">
        <f t="shared" si="21"/>
        <v>*0.95</v>
      </c>
      <c r="AS43" t="str">
        <f t="shared" si="22"/>
        <v>*1.00</v>
      </c>
      <c r="AT43" t="str">
        <f t="shared" si="23"/>
        <v>*1.05</v>
      </c>
      <c r="AU43" t="str">
        <f t="shared" si="24"/>
        <v>*0.95</v>
      </c>
      <c r="AV43" t="str">
        <f t="shared" si="25"/>
        <v>*0.95</v>
      </c>
      <c r="AW43" t="str">
        <f t="shared" si="26"/>
        <v>*0.95</v>
      </c>
      <c r="AX43" t="str">
        <f t="shared" si="27"/>
        <v>*0.95</v>
      </c>
      <c r="AY43" t="str">
        <f t="shared" si="28"/>
        <v>*0.95</v>
      </c>
      <c r="AZ43" t="str">
        <f t="shared" si="29"/>
        <v>*1.00</v>
      </c>
      <c r="BA43" t="str">
        <f t="shared" si="30"/>
        <v>*1.00</v>
      </c>
      <c r="BB43" t="str">
        <f t="shared" si="31"/>
        <v>*1.05</v>
      </c>
      <c r="BC43" t="str">
        <f t="shared" si="32"/>
        <v>*0.95</v>
      </c>
      <c r="BD43" t="str">
        <f t="shared" si="33"/>
        <v>*1.00</v>
      </c>
      <c r="BE43" t="str">
        <f t="shared" si="34"/>
        <v>*0.95</v>
      </c>
      <c r="BF43" t="str">
        <f t="shared" si="35"/>
        <v>*0.95</v>
      </c>
    </row>
    <row r="44" ht="13" spans="7:58">
      <c r="G44" s="25" t="s">
        <v>19</v>
      </c>
      <c r="H44" s="24" t="s">
        <v>533</v>
      </c>
      <c r="W44" t="s">
        <v>534</v>
      </c>
      <c r="X44" t="str">
        <f t="shared" ref="X44:X73" si="36" xml:space="preserve">X43</f>
        <v>*0.95</v>
      </c>
      <c r="Y44" t="str">
        <f t="shared" ref="Y44:Y73" si="37" xml:space="preserve">Y43</f>
        <v>*0.95</v>
      </c>
      <c r="Z44" t="str">
        <f t="shared" ref="Z44:Z73" si="38" xml:space="preserve">Z43</f>
        <v>*1.05</v>
      </c>
      <c r="AA44" t="str">
        <f t="shared" ref="AA44:AA73" si="39" xml:space="preserve">AA43</f>
        <v>*1.05</v>
      </c>
      <c r="AB44" t="str">
        <f t="shared" ref="AB44:AB73" si="40" xml:space="preserve">AB43</f>
        <v>*0.95</v>
      </c>
      <c r="AC44" t="str">
        <f t="shared" ref="AC44:AC73" si="41" xml:space="preserve">AC43</f>
        <v>*1.00</v>
      </c>
      <c r="AD44" t="str">
        <f t="shared" ref="AD44:AD73" si="42" xml:space="preserve">AD43</f>
        <v>*0.95</v>
      </c>
      <c r="AE44" t="str">
        <f t="shared" ref="AE44:AE73" si="43" xml:space="preserve">AE43</f>
        <v>*0.95</v>
      </c>
      <c r="AF44" t="str">
        <f t="shared" ref="AF44:AF73" si="44" xml:space="preserve">AF43</f>
        <v>*0.95</v>
      </c>
      <c r="AG44" t="str">
        <f t="shared" ref="AG44:AG73" si="45" xml:space="preserve">AG43</f>
        <v>*0.95</v>
      </c>
      <c r="AH44" t="str">
        <f t="shared" ref="AH44:AH73" si="46" xml:space="preserve">AH43</f>
        <v>*1.00</v>
      </c>
      <c r="AI44" t="str">
        <f t="shared" ref="AI44:AI73" si="47" xml:space="preserve">AI43</f>
        <v>*1.05</v>
      </c>
      <c r="AJ44" t="str">
        <f t="shared" ref="AJ44:AJ73" si="48" xml:space="preserve">AJ43</f>
        <v>*0.95</v>
      </c>
      <c r="AK44" t="str">
        <f t="shared" ref="AK44:AK73" si="49" xml:space="preserve">AK43</f>
        <v>*0.95</v>
      </c>
      <c r="AL44" t="str">
        <f t="shared" ref="AL44:AL73" si="50" xml:space="preserve">AL43</f>
        <v>*1.05</v>
      </c>
      <c r="AM44" t="str">
        <f t="shared" ref="AM44:AM73" si="51" xml:space="preserve">AM43</f>
        <v>*0.95</v>
      </c>
      <c r="AN44" t="str">
        <f t="shared" ref="AN44:AN73" si="52" xml:space="preserve">AN43</f>
        <v>*1.00</v>
      </c>
      <c r="AO44" t="str">
        <f t="shared" ref="AO44:AO73" si="53" xml:space="preserve">AO43</f>
        <v>*1.00</v>
      </c>
      <c r="AP44" t="str">
        <f t="shared" ref="AP44:AP73" si="54" xml:space="preserve">AP43</f>
        <v>*1.00</v>
      </c>
      <c r="AQ44" t="str">
        <f t="shared" ref="AQ44:AQ73" si="55" xml:space="preserve">AQ43</f>
        <v>*0.95</v>
      </c>
      <c r="AR44" t="str">
        <f t="shared" ref="AR44:AR73" si="56" xml:space="preserve">AR43</f>
        <v>*0.95</v>
      </c>
      <c r="AS44" t="str">
        <f t="shared" ref="AS44:AS73" si="57" xml:space="preserve">AS43</f>
        <v>*1.00</v>
      </c>
      <c r="AT44" t="str">
        <f t="shared" ref="AT44:AT73" si="58" xml:space="preserve">AT43</f>
        <v>*1.05</v>
      </c>
      <c r="AU44" t="str">
        <f t="shared" ref="AU44:AU73" si="59" xml:space="preserve">AU43</f>
        <v>*0.95</v>
      </c>
      <c r="AV44" t="str">
        <f t="shared" ref="AV44:AV73" si="60" xml:space="preserve">AV43</f>
        <v>*0.95</v>
      </c>
      <c r="AW44" t="str">
        <f t="shared" ref="AW44:AW73" si="61" xml:space="preserve">AW43</f>
        <v>*0.95</v>
      </c>
      <c r="AX44" t="str">
        <f t="shared" ref="AX44:AX73" si="62" xml:space="preserve">AX43</f>
        <v>*0.95</v>
      </c>
      <c r="AY44" t="str">
        <f t="shared" ref="AY44:AY73" si="63" xml:space="preserve">AY43</f>
        <v>*0.95</v>
      </c>
      <c r="AZ44" t="str">
        <f t="shared" ref="AZ44:AZ73" si="64" xml:space="preserve">AZ43</f>
        <v>*1.00</v>
      </c>
      <c r="BA44" t="str">
        <f t="shared" ref="BA44:BA73" si="65" xml:space="preserve">BA43</f>
        <v>*1.00</v>
      </c>
      <c r="BB44" t="str">
        <f t="shared" ref="BB44:BB73" si="66" xml:space="preserve">BB43</f>
        <v>*1.05</v>
      </c>
      <c r="BC44" t="str">
        <f t="shared" ref="BC44:BC73" si="67" xml:space="preserve">BC43</f>
        <v>*0.95</v>
      </c>
      <c r="BD44" t="str">
        <f t="shared" ref="BD44:BD73" si="68" xml:space="preserve">BD43</f>
        <v>*1.00</v>
      </c>
      <c r="BE44" t="str">
        <f t="shared" ref="BE44:BE73" si="69" xml:space="preserve">BE43</f>
        <v>*0.95</v>
      </c>
      <c r="BF44" t="str">
        <f t="shared" ref="BF44:BF73" si="70" xml:space="preserve">BF43</f>
        <v>*0.95</v>
      </c>
    </row>
    <row r="45" ht="13" spans="7:58">
      <c r="G45" s="25" t="s">
        <v>20</v>
      </c>
      <c r="H45" s="24" t="s">
        <v>493</v>
      </c>
      <c r="W45" t="s">
        <v>535</v>
      </c>
      <c r="X45" t="str">
        <f t="shared" si="36"/>
        <v>*0.95</v>
      </c>
      <c r="Y45" t="str">
        <f t="shared" si="37"/>
        <v>*0.95</v>
      </c>
      <c r="Z45" t="str">
        <f t="shared" si="38"/>
        <v>*1.05</v>
      </c>
      <c r="AA45" t="str">
        <f t="shared" si="39"/>
        <v>*1.05</v>
      </c>
      <c r="AB45" t="str">
        <f t="shared" si="40"/>
        <v>*0.95</v>
      </c>
      <c r="AC45" t="str">
        <f t="shared" si="41"/>
        <v>*1.00</v>
      </c>
      <c r="AD45" t="str">
        <f t="shared" si="42"/>
        <v>*0.95</v>
      </c>
      <c r="AE45" t="str">
        <f t="shared" si="43"/>
        <v>*0.95</v>
      </c>
      <c r="AF45" t="str">
        <f t="shared" si="44"/>
        <v>*0.95</v>
      </c>
      <c r="AG45" t="str">
        <f t="shared" si="45"/>
        <v>*0.95</v>
      </c>
      <c r="AH45" t="str">
        <f t="shared" si="46"/>
        <v>*1.00</v>
      </c>
      <c r="AI45" t="str">
        <f t="shared" si="47"/>
        <v>*1.05</v>
      </c>
      <c r="AJ45" t="str">
        <f t="shared" si="48"/>
        <v>*0.95</v>
      </c>
      <c r="AK45" t="str">
        <f t="shared" si="49"/>
        <v>*0.95</v>
      </c>
      <c r="AL45" t="str">
        <f t="shared" si="50"/>
        <v>*1.05</v>
      </c>
      <c r="AM45" t="str">
        <f t="shared" si="51"/>
        <v>*0.95</v>
      </c>
      <c r="AN45" t="str">
        <f t="shared" si="52"/>
        <v>*1.00</v>
      </c>
      <c r="AO45" t="str">
        <f t="shared" si="53"/>
        <v>*1.00</v>
      </c>
      <c r="AP45" t="str">
        <f t="shared" si="54"/>
        <v>*1.00</v>
      </c>
      <c r="AQ45" t="str">
        <f t="shared" si="55"/>
        <v>*0.95</v>
      </c>
      <c r="AR45" t="str">
        <f t="shared" si="56"/>
        <v>*0.95</v>
      </c>
      <c r="AS45" t="str">
        <f t="shared" si="57"/>
        <v>*1.00</v>
      </c>
      <c r="AT45" t="str">
        <f t="shared" si="58"/>
        <v>*1.05</v>
      </c>
      <c r="AU45" t="str">
        <f t="shared" si="59"/>
        <v>*0.95</v>
      </c>
      <c r="AV45" t="str">
        <f t="shared" si="60"/>
        <v>*0.95</v>
      </c>
      <c r="AW45" t="str">
        <f t="shared" si="61"/>
        <v>*0.95</v>
      </c>
      <c r="AX45" t="str">
        <f t="shared" si="62"/>
        <v>*0.95</v>
      </c>
      <c r="AY45" t="str">
        <f t="shared" si="63"/>
        <v>*0.95</v>
      </c>
      <c r="AZ45" t="str">
        <f t="shared" si="64"/>
        <v>*1.00</v>
      </c>
      <c r="BA45" t="str">
        <f t="shared" si="65"/>
        <v>*1.00</v>
      </c>
      <c r="BB45" t="str">
        <f t="shared" si="66"/>
        <v>*1.05</v>
      </c>
      <c r="BC45" t="str">
        <f t="shared" si="67"/>
        <v>*0.95</v>
      </c>
      <c r="BD45" t="str">
        <f t="shared" si="68"/>
        <v>*1.00</v>
      </c>
      <c r="BE45" t="str">
        <f t="shared" si="69"/>
        <v>*0.95</v>
      </c>
      <c r="BF45" t="str">
        <f t="shared" si="70"/>
        <v>*0.95</v>
      </c>
    </row>
    <row r="46" ht="13" spans="7:58">
      <c r="G46" s="25" t="s">
        <v>21</v>
      </c>
      <c r="H46" s="24" t="s">
        <v>491</v>
      </c>
      <c r="W46" t="s">
        <v>536</v>
      </c>
      <c r="X46" t="str">
        <f t="shared" si="36"/>
        <v>*0.95</v>
      </c>
      <c r="Y46" t="str">
        <f t="shared" si="37"/>
        <v>*0.95</v>
      </c>
      <c r="Z46" t="str">
        <f t="shared" si="38"/>
        <v>*1.05</v>
      </c>
      <c r="AA46" t="str">
        <f t="shared" si="39"/>
        <v>*1.05</v>
      </c>
      <c r="AB46" t="str">
        <f t="shared" si="40"/>
        <v>*0.95</v>
      </c>
      <c r="AC46" t="str">
        <f t="shared" si="41"/>
        <v>*1.00</v>
      </c>
      <c r="AD46" t="str">
        <f t="shared" si="42"/>
        <v>*0.95</v>
      </c>
      <c r="AE46" t="str">
        <f t="shared" si="43"/>
        <v>*0.95</v>
      </c>
      <c r="AF46" t="str">
        <f t="shared" si="44"/>
        <v>*0.95</v>
      </c>
      <c r="AG46" t="str">
        <f t="shared" si="45"/>
        <v>*0.95</v>
      </c>
      <c r="AH46" t="str">
        <f t="shared" si="46"/>
        <v>*1.00</v>
      </c>
      <c r="AI46" t="str">
        <f t="shared" si="47"/>
        <v>*1.05</v>
      </c>
      <c r="AJ46" t="str">
        <f t="shared" si="48"/>
        <v>*0.95</v>
      </c>
      <c r="AK46" t="str">
        <f t="shared" si="49"/>
        <v>*0.95</v>
      </c>
      <c r="AL46" t="str">
        <f t="shared" si="50"/>
        <v>*1.05</v>
      </c>
      <c r="AM46" t="str">
        <f t="shared" si="51"/>
        <v>*0.95</v>
      </c>
      <c r="AN46" t="str">
        <f t="shared" si="52"/>
        <v>*1.00</v>
      </c>
      <c r="AO46" t="str">
        <f t="shared" si="53"/>
        <v>*1.00</v>
      </c>
      <c r="AP46" t="str">
        <f t="shared" si="54"/>
        <v>*1.00</v>
      </c>
      <c r="AQ46" t="str">
        <f t="shared" si="55"/>
        <v>*0.95</v>
      </c>
      <c r="AR46" t="str">
        <f t="shared" si="56"/>
        <v>*0.95</v>
      </c>
      <c r="AS46" t="str">
        <f t="shared" si="57"/>
        <v>*1.00</v>
      </c>
      <c r="AT46" t="str">
        <f t="shared" si="58"/>
        <v>*1.05</v>
      </c>
      <c r="AU46" t="str">
        <f t="shared" si="59"/>
        <v>*0.95</v>
      </c>
      <c r="AV46" t="str">
        <f t="shared" si="60"/>
        <v>*0.95</v>
      </c>
      <c r="AW46" t="str">
        <f t="shared" si="61"/>
        <v>*0.95</v>
      </c>
      <c r="AX46" t="str">
        <f t="shared" si="62"/>
        <v>*0.95</v>
      </c>
      <c r="AY46" t="str">
        <f t="shared" si="63"/>
        <v>*0.95</v>
      </c>
      <c r="AZ46" t="str">
        <f t="shared" si="64"/>
        <v>*1.00</v>
      </c>
      <c r="BA46" t="str">
        <f t="shared" si="65"/>
        <v>*1.00</v>
      </c>
      <c r="BB46" t="str">
        <f t="shared" si="66"/>
        <v>*1.05</v>
      </c>
      <c r="BC46" t="str">
        <f t="shared" si="67"/>
        <v>*0.95</v>
      </c>
      <c r="BD46" t="str">
        <f t="shared" si="68"/>
        <v>*1.00</v>
      </c>
      <c r="BE46" t="str">
        <f t="shared" si="69"/>
        <v>*0.95</v>
      </c>
      <c r="BF46" t="str">
        <f t="shared" si="70"/>
        <v>*0.95</v>
      </c>
    </row>
    <row r="47" ht="13" spans="7:58">
      <c r="G47" s="25" t="s">
        <v>22</v>
      </c>
      <c r="H47" s="24" t="s">
        <v>493</v>
      </c>
      <c r="W47" t="s">
        <v>537</v>
      </c>
      <c r="X47" t="str">
        <f t="shared" si="36"/>
        <v>*0.95</v>
      </c>
      <c r="Y47" t="str">
        <f t="shared" si="37"/>
        <v>*0.95</v>
      </c>
      <c r="Z47" t="str">
        <f t="shared" si="38"/>
        <v>*1.05</v>
      </c>
      <c r="AA47" t="str">
        <f t="shared" si="39"/>
        <v>*1.05</v>
      </c>
      <c r="AB47" t="str">
        <f t="shared" si="40"/>
        <v>*0.95</v>
      </c>
      <c r="AC47" t="str">
        <f t="shared" si="41"/>
        <v>*1.00</v>
      </c>
      <c r="AD47" t="str">
        <f t="shared" si="42"/>
        <v>*0.95</v>
      </c>
      <c r="AE47" t="str">
        <f t="shared" si="43"/>
        <v>*0.95</v>
      </c>
      <c r="AF47" t="str">
        <f t="shared" si="44"/>
        <v>*0.95</v>
      </c>
      <c r="AG47" t="str">
        <f t="shared" si="45"/>
        <v>*0.95</v>
      </c>
      <c r="AH47" t="str">
        <f t="shared" si="46"/>
        <v>*1.00</v>
      </c>
      <c r="AI47" t="str">
        <f t="shared" si="47"/>
        <v>*1.05</v>
      </c>
      <c r="AJ47" t="str">
        <f t="shared" si="48"/>
        <v>*0.95</v>
      </c>
      <c r="AK47" t="str">
        <f t="shared" si="49"/>
        <v>*0.95</v>
      </c>
      <c r="AL47" t="str">
        <f t="shared" si="50"/>
        <v>*1.05</v>
      </c>
      <c r="AM47" t="str">
        <f t="shared" si="51"/>
        <v>*0.95</v>
      </c>
      <c r="AN47" t="str">
        <f t="shared" si="52"/>
        <v>*1.00</v>
      </c>
      <c r="AO47" t="str">
        <f t="shared" si="53"/>
        <v>*1.00</v>
      </c>
      <c r="AP47" t="str">
        <f t="shared" si="54"/>
        <v>*1.00</v>
      </c>
      <c r="AQ47" t="str">
        <f t="shared" si="55"/>
        <v>*0.95</v>
      </c>
      <c r="AR47" t="str">
        <f t="shared" si="56"/>
        <v>*0.95</v>
      </c>
      <c r="AS47" t="str">
        <f t="shared" si="57"/>
        <v>*1.00</v>
      </c>
      <c r="AT47" t="str">
        <f t="shared" si="58"/>
        <v>*1.05</v>
      </c>
      <c r="AU47" t="str">
        <f t="shared" si="59"/>
        <v>*0.95</v>
      </c>
      <c r="AV47" t="str">
        <f t="shared" si="60"/>
        <v>*0.95</v>
      </c>
      <c r="AW47" t="str">
        <f t="shared" si="61"/>
        <v>*0.95</v>
      </c>
      <c r="AX47" t="str">
        <f t="shared" si="62"/>
        <v>*0.95</v>
      </c>
      <c r="AY47" t="str">
        <f t="shared" si="63"/>
        <v>*0.95</v>
      </c>
      <c r="AZ47" t="str">
        <f t="shared" si="64"/>
        <v>*1.00</v>
      </c>
      <c r="BA47" t="str">
        <f t="shared" si="65"/>
        <v>*1.00</v>
      </c>
      <c r="BB47" t="str">
        <f t="shared" si="66"/>
        <v>*1.05</v>
      </c>
      <c r="BC47" t="str">
        <f t="shared" si="67"/>
        <v>*0.95</v>
      </c>
      <c r="BD47" t="str">
        <f t="shared" si="68"/>
        <v>*1.00</v>
      </c>
      <c r="BE47" t="str">
        <f t="shared" si="69"/>
        <v>*0.95</v>
      </c>
      <c r="BF47" t="str">
        <f t="shared" si="70"/>
        <v>*0.95</v>
      </c>
    </row>
    <row r="48" ht="13" spans="7:58">
      <c r="G48" s="25" t="s">
        <v>23</v>
      </c>
      <c r="H48" s="24" t="s">
        <v>521</v>
      </c>
      <c r="W48" t="s">
        <v>538</v>
      </c>
      <c r="X48" t="str">
        <f t="shared" si="36"/>
        <v>*0.95</v>
      </c>
      <c r="Y48" t="str">
        <f t="shared" si="37"/>
        <v>*0.95</v>
      </c>
      <c r="Z48" t="str">
        <f t="shared" si="38"/>
        <v>*1.05</v>
      </c>
      <c r="AA48" t="str">
        <f t="shared" si="39"/>
        <v>*1.05</v>
      </c>
      <c r="AB48" t="str">
        <f t="shared" si="40"/>
        <v>*0.95</v>
      </c>
      <c r="AC48" t="str">
        <f t="shared" si="41"/>
        <v>*1.00</v>
      </c>
      <c r="AD48" t="str">
        <f t="shared" si="42"/>
        <v>*0.95</v>
      </c>
      <c r="AE48" t="str">
        <f t="shared" si="43"/>
        <v>*0.95</v>
      </c>
      <c r="AF48" t="str">
        <f t="shared" si="44"/>
        <v>*0.95</v>
      </c>
      <c r="AG48" t="str">
        <f t="shared" si="45"/>
        <v>*0.95</v>
      </c>
      <c r="AH48" t="str">
        <f t="shared" si="46"/>
        <v>*1.00</v>
      </c>
      <c r="AI48" t="str">
        <f t="shared" si="47"/>
        <v>*1.05</v>
      </c>
      <c r="AJ48" t="str">
        <f t="shared" si="48"/>
        <v>*0.95</v>
      </c>
      <c r="AK48" t="str">
        <f t="shared" si="49"/>
        <v>*0.95</v>
      </c>
      <c r="AL48" t="str">
        <f t="shared" si="50"/>
        <v>*1.05</v>
      </c>
      <c r="AM48" t="str">
        <f t="shared" si="51"/>
        <v>*0.95</v>
      </c>
      <c r="AN48" t="str">
        <f t="shared" si="52"/>
        <v>*1.00</v>
      </c>
      <c r="AO48" t="str">
        <f t="shared" si="53"/>
        <v>*1.00</v>
      </c>
      <c r="AP48" t="str">
        <f t="shared" si="54"/>
        <v>*1.00</v>
      </c>
      <c r="AQ48" t="str">
        <f t="shared" si="55"/>
        <v>*0.95</v>
      </c>
      <c r="AR48" t="str">
        <f t="shared" si="56"/>
        <v>*0.95</v>
      </c>
      <c r="AS48" t="str">
        <f t="shared" si="57"/>
        <v>*1.00</v>
      </c>
      <c r="AT48" t="str">
        <f t="shared" si="58"/>
        <v>*1.05</v>
      </c>
      <c r="AU48" t="str">
        <f t="shared" si="59"/>
        <v>*0.95</v>
      </c>
      <c r="AV48" t="str">
        <f t="shared" si="60"/>
        <v>*0.95</v>
      </c>
      <c r="AW48" t="str">
        <f t="shared" si="61"/>
        <v>*0.95</v>
      </c>
      <c r="AX48" t="str">
        <f t="shared" si="62"/>
        <v>*0.95</v>
      </c>
      <c r="AY48" t="str">
        <f t="shared" si="63"/>
        <v>*0.95</v>
      </c>
      <c r="AZ48" t="str">
        <f t="shared" si="64"/>
        <v>*1.00</v>
      </c>
      <c r="BA48" t="str">
        <f t="shared" si="65"/>
        <v>*1.00</v>
      </c>
      <c r="BB48" t="str">
        <f t="shared" si="66"/>
        <v>*1.05</v>
      </c>
      <c r="BC48" t="str">
        <f t="shared" si="67"/>
        <v>*0.95</v>
      </c>
      <c r="BD48" t="str">
        <f t="shared" si="68"/>
        <v>*1.00</v>
      </c>
      <c r="BE48" t="str">
        <f t="shared" si="69"/>
        <v>*0.95</v>
      </c>
      <c r="BF48" t="str">
        <f t="shared" si="70"/>
        <v>*0.95</v>
      </c>
    </row>
    <row r="49" ht="13" spans="7:58">
      <c r="G49" s="25" t="s">
        <v>24</v>
      </c>
      <c r="H49" s="24" t="s">
        <v>524</v>
      </c>
      <c r="W49" t="s">
        <v>539</v>
      </c>
      <c r="X49" t="str">
        <f t="shared" si="36"/>
        <v>*0.95</v>
      </c>
      <c r="Y49" t="str">
        <f t="shared" si="37"/>
        <v>*0.95</v>
      </c>
      <c r="Z49" t="str">
        <f t="shared" si="38"/>
        <v>*1.05</v>
      </c>
      <c r="AA49" t="str">
        <f t="shared" si="39"/>
        <v>*1.05</v>
      </c>
      <c r="AB49" t="str">
        <f t="shared" si="40"/>
        <v>*0.95</v>
      </c>
      <c r="AC49" t="str">
        <f t="shared" si="41"/>
        <v>*1.00</v>
      </c>
      <c r="AD49" t="str">
        <f t="shared" si="42"/>
        <v>*0.95</v>
      </c>
      <c r="AE49" t="str">
        <f t="shared" si="43"/>
        <v>*0.95</v>
      </c>
      <c r="AF49" t="str">
        <f t="shared" si="44"/>
        <v>*0.95</v>
      </c>
      <c r="AG49" t="str">
        <f t="shared" si="45"/>
        <v>*0.95</v>
      </c>
      <c r="AH49" t="str">
        <f t="shared" si="46"/>
        <v>*1.00</v>
      </c>
      <c r="AI49" t="str">
        <f t="shared" si="47"/>
        <v>*1.05</v>
      </c>
      <c r="AJ49" t="str">
        <f t="shared" si="48"/>
        <v>*0.95</v>
      </c>
      <c r="AK49" t="str">
        <f t="shared" si="49"/>
        <v>*0.95</v>
      </c>
      <c r="AL49" t="str">
        <f t="shared" si="50"/>
        <v>*1.05</v>
      </c>
      <c r="AM49" t="str">
        <f t="shared" si="51"/>
        <v>*0.95</v>
      </c>
      <c r="AN49" t="str">
        <f t="shared" si="52"/>
        <v>*1.00</v>
      </c>
      <c r="AO49" t="str">
        <f t="shared" si="53"/>
        <v>*1.00</v>
      </c>
      <c r="AP49" t="str">
        <f t="shared" si="54"/>
        <v>*1.00</v>
      </c>
      <c r="AQ49" t="str">
        <f t="shared" si="55"/>
        <v>*0.95</v>
      </c>
      <c r="AR49" t="str">
        <f t="shared" si="56"/>
        <v>*0.95</v>
      </c>
      <c r="AS49" t="str">
        <f t="shared" si="57"/>
        <v>*1.00</v>
      </c>
      <c r="AT49" t="str">
        <f t="shared" si="58"/>
        <v>*1.05</v>
      </c>
      <c r="AU49" t="str">
        <f t="shared" si="59"/>
        <v>*0.95</v>
      </c>
      <c r="AV49" t="str">
        <f t="shared" si="60"/>
        <v>*0.95</v>
      </c>
      <c r="AW49" t="str">
        <f t="shared" si="61"/>
        <v>*0.95</v>
      </c>
      <c r="AX49" t="str">
        <f t="shared" si="62"/>
        <v>*0.95</v>
      </c>
      <c r="AY49" t="str">
        <f t="shared" si="63"/>
        <v>*0.95</v>
      </c>
      <c r="AZ49" t="str">
        <f t="shared" si="64"/>
        <v>*1.00</v>
      </c>
      <c r="BA49" t="str">
        <f t="shared" si="65"/>
        <v>*1.00</v>
      </c>
      <c r="BB49" t="str">
        <f t="shared" si="66"/>
        <v>*1.05</v>
      </c>
      <c r="BC49" t="str">
        <f t="shared" si="67"/>
        <v>*0.95</v>
      </c>
      <c r="BD49" t="str">
        <f t="shared" si="68"/>
        <v>*1.00</v>
      </c>
      <c r="BE49" t="str">
        <f t="shared" si="69"/>
        <v>*0.95</v>
      </c>
      <c r="BF49" t="str">
        <f t="shared" si="70"/>
        <v>*0.95</v>
      </c>
    </row>
    <row r="50" ht="13" spans="7:58">
      <c r="G50" s="25" t="s">
        <v>25</v>
      </c>
      <c r="H50" s="24" t="s">
        <v>493</v>
      </c>
      <c r="W50" t="s">
        <v>540</v>
      </c>
      <c r="X50" t="str">
        <f t="shared" si="36"/>
        <v>*0.95</v>
      </c>
      <c r="Y50" t="str">
        <f t="shared" si="37"/>
        <v>*0.95</v>
      </c>
      <c r="Z50" t="str">
        <f t="shared" si="38"/>
        <v>*1.05</v>
      </c>
      <c r="AA50" t="str">
        <f t="shared" si="39"/>
        <v>*1.05</v>
      </c>
      <c r="AB50" t="str">
        <f t="shared" si="40"/>
        <v>*0.95</v>
      </c>
      <c r="AC50" t="str">
        <f t="shared" si="41"/>
        <v>*1.00</v>
      </c>
      <c r="AD50" t="str">
        <f t="shared" si="42"/>
        <v>*0.95</v>
      </c>
      <c r="AE50" t="str">
        <f t="shared" si="43"/>
        <v>*0.95</v>
      </c>
      <c r="AF50" t="str">
        <f t="shared" si="44"/>
        <v>*0.95</v>
      </c>
      <c r="AG50" t="str">
        <f t="shared" si="45"/>
        <v>*0.95</v>
      </c>
      <c r="AH50" t="str">
        <f t="shared" si="46"/>
        <v>*1.00</v>
      </c>
      <c r="AI50" t="str">
        <f t="shared" si="47"/>
        <v>*1.05</v>
      </c>
      <c r="AJ50" t="str">
        <f t="shared" si="48"/>
        <v>*0.95</v>
      </c>
      <c r="AK50" t="str">
        <f t="shared" si="49"/>
        <v>*0.95</v>
      </c>
      <c r="AL50" t="str">
        <f t="shared" si="50"/>
        <v>*1.05</v>
      </c>
      <c r="AM50" t="str">
        <f t="shared" si="51"/>
        <v>*0.95</v>
      </c>
      <c r="AN50" t="str">
        <f t="shared" si="52"/>
        <v>*1.00</v>
      </c>
      <c r="AO50" t="str">
        <f t="shared" si="53"/>
        <v>*1.00</v>
      </c>
      <c r="AP50" t="str">
        <f t="shared" si="54"/>
        <v>*1.00</v>
      </c>
      <c r="AQ50" t="str">
        <f t="shared" si="55"/>
        <v>*0.95</v>
      </c>
      <c r="AR50" t="str">
        <f t="shared" si="56"/>
        <v>*0.95</v>
      </c>
      <c r="AS50" t="str">
        <f t="shared" si="57"/>
        <v>*1.00</v>
      </c>
      <c r="AT50" t="str">
        <f t="shared" si="58"/>
        <v>*1.05</v>
      </c>
      <c r="AU50" t="str">
        <f t="shared" si="59"/>
        <v>*0.95</v>
      </c>
      <c r="AV50" t="str">
        <f t="shared" si="60"/>
        <v>*0.95</v>
      </c>
      <c r="AW50" t="str">
        <f t="shared" si="61"/>
        <v>*0.95</v>
      </c>
      <c r="AX50" t="str">
        <f t="shared" si="62"/>
        <v>*0.95</v>
      </c>
      <c r="AY50" t="str">
        <f t="shared" si="63"/>
        <v>*0.95</v>
      </c>
      <c r="AZ50" t="str">
        <f t="shared" si="64"/>
        <v>*1.00</v>
      </c>
      <c r="BA50" t="str">
        <f t="shared" si="65"/>
        <v>*1.00</v>
      </c>
      <c r="BB50" t="str">
        <f t="shared" si="66"/>
        <v>*1.05</v>
      </c>
      <c r="BC50" t="str">
        <f t="shared" si="67"/>
        <v>*0.95</v>
      </c>
      <c r="BD50" t="str">
        <f t="shared" si="68"/>
        <v>*1.00</v>
      </c>
      <c r="BE50" t="str">
        <f t="shared" si="69"/>
        <v>*0.95</v>
      </c>
      <c r="BF50" t="str">
        <f t="shared" si="70"/>
        <v>*0.95</v>
      </c>
    </row>
    <row r="51" ht="13" spans="7:58">
      <c r="G51" s="25" t="s">
        <v>26</v>
      </c>
      <c r="H51" s="24" t="s">
        <v>531</v>
      </c>
      <c r="W51" t="s">
        <v>541</v>
      </c>
      <c r="X51" t="str">
        <f t="shared" si="36"/>
        <v>*0.95</v>
      </c>
      <c r="Y51" t="str">
        <f t="shared" si="37"/>
        <v>*0.95</v>
      </c>
      <c r="Z51" t="str">
        <f t="shared" si="38"/>
        <v>*1.05</v>
      </c>
      <c r="AA51" t="str">
        <f t="shared" si="39"/>
        <v>*1.05</v>
      </c>
      <c r="AB51" t="str">
        <f t="shared" si="40"/>
        <v>*0.95</v>
      </c>
      <c r="AC51" t="str">
        <f t="shared" si="41"/>
        <v>*1.00</v>
      </c>
      <c r="AD51" t="str">
        <f t="shared" si="42"/>
        <v>*0.95</v>
      </c>
      <c r="AE51" t="str">
        <f t="shared" si="43"/>
        <v>*0.95</v>
      </c>
      <c r="AF51" t="str">
        <f t="shared" si="44"/>
        <v>*0.95</v>
      </c>
      <c r="AG51" t="str">
        <f t="shared" si="45"/>
        <v>*0.95</v>
      </c>
      <c r="AH51" t="str">
        <f t="shared" si="46"/>
        <v>*1.00</v>
      </c>
      <c r="AI51" t="str">
        <f t="shared" si="47"/>
        <v>*1.05</v>
      </c>
      <c r="AJ51" t="str">
        <f t="shared" si="48"/>
        <v>*0.95</v>
      </c>
      <c r="AK51" t="str">
        <f t="shared" si="49"/>
        <v>*0.95</v>
      </c>
      <c r="AL51" t="str">
        <f t="shared" si="50"/>
        <v>*1.05</v>
      </c>
      <c r="AM51" t="str">
        <f t="shared" si="51"/>
        <v>*0.95</v>
      </c>
      <c r="AN51" t="str">
        <f t="shared" si="52"/>
        <v>*1.00</v>
      </c>
      <c r="AO51" t="str">
        <f t="shared" si="53"/>
        <v>*1.00</v>
      </c>
      <c r="AP51" t="str">
        <f t="shared" si="54"/>
        <v>*1.00</v>
      </c>
      <c r="AQ51" t="str">
        <f t="shared" si="55"/>
        <v>*0.95</v>
      </c>
      <c r="AR51" t="str">
        <f t="shared" si="56"/>
        <v>*0.95</v>
      </c>
      <c r="AS51" t="str">
        <f t="shared" si="57"/>
        <v>*1.00</v>
      </c>
      <c r="AT51" t="str">
        <f t="shared" si="58"/>
        <v>*1.05</v>
      </c>
      <c r="AU51" t="str">
        <f t="shared" si="59"/>
        <v>*0.95</v>
      </c>
      <c r="AV51" t="str">
        <f t="shared" si="60"/>
        <v>*0.95</v>
      </c>
      <c r="AW51" t="str">
        <f t="shared" si="61"/>
        <v>*0.95</v>
      </c>
      <c r="AX51" t="str">
        <f t="shared" si="62"/>
        <v>*0.95</v>
      </c>
      <c r="AY51" t="str">
        <f t="shared" si="63"/>
        <v>*0.95</v>
      </c>
      <c r="AZ51" t="str">
        <f t="shared" si="64"/>
        <v>*1.00</v>
      </c>
      <c r="BA51" t="str">
        <f t="shared" si="65"/>
        <v>*1.00</v>
      </c>
      <c r="BB51" t="str">
        <f t="shared" si="66"/>
        <v>*1.05</v>
      </c>
      <c r="BC51" t="str">
        <f t="shared" si="67"/>
        <v>*0.95</v>
      </c>
      <c r="BD51" t="str">
        <f t="shared" si="68"/>
        <v>*1.00</v>
      </c>
      <c r="BE51" t="str">
        <f t="shared" si="69"/>
        <v>*0.95</v>
      </c>
      <c r="BF51" t="str">
        <f t="shared" si="70"/>
        <v>*0.95</v>
      </c>
    </row>
    <row r="52" ht="13" spans="7:58">
      <c r="G52" s="25" t="s">
        <v>27</v>
      </c>
      <c r="H52" s="24" t="s">
        <v>524</v>
      </c>
      <c r="W52" t="s">
        <v>542</v>
      </c>
      <c r="X52" t="str">
        <f t="shared" si="36"/>
        <v>*0.95</v>
      </c>
      <c r="Y52" t="str">
        <f t="shared" si="37"/>
        <v>*0.95</v>
      </c>
      <c r="Z52" t="str">
        <f t="shared" si="38"/>
        <v>*1.05</v>
      </c>
      <c r="AA52" t="str">
        <f t="shared" si="39"/>
        <v>*1.05</v>
      </c>
      <c r="AB52" t="str">
        <f t="shared" si="40"/>
        <v>*0.95</v>
      </c>
      <c r="AC52" t="str">
        <f t="shared" si="41"/>
        <v>*1.00</v>
      </c>
      <c r="AD52" t="str">
        <f t="shared" si="42"/>
        <v>*0.95</v>
      </c>
      <c r="AE52" t="str">
        <f t="shared" si="43"/>
        <v>*0.95</v>
      </c>
      <c r="AF52" t="str">
        <f t="shared" si="44"/>
        <v>*0.95</v>
      </c>
      <c r="AG52" t="str">
        <f t="shared" si="45"/>
        <v>*0.95</v>
      </c>
      <c r="AH52" t="str">
        <f t="shared" si="46"/>
        <v>*1.00</v>
      </c>
      <c r="AI52" t="str">
        <f t="shared" si="47"/>
        <v>*1.05</v>
      </c>
      <c r="AJ52" t="str">
        <f t="shared" si="48"/>
        <v>*0.95</v>
      </c>
      <c r="AK52" t="str">
        <f t="shared" si="49"/>
        <v>*0.95</v>
      </c>
      <c r="AL52" t="str">
        <f t="shared" si="50"/>
        <v>*1.05</v>
      </c>
      <c r="AM52" t="str">
        <f t="shared" si="51"/>
        <v>*0.95</v>
      </c>
      <c r="AN52" t="str">
        <f t="shared" si="52"/>
        <v>*1.00</v>
      </c>
      <c r="AO52" t="str">
        <f t="shared" si="53"/>
        <v>*1.00</v>
      </c>
      <c r="AP52" t="str">
        <f t="shared" si="54"/>
        <v>*1.00</v>
      </c>
      <c r="AQ52" t="str">
        <f t="shared" si="55"/>
        <v>*0.95</v>
      </c>
      <c r="AR52" t="str">
        <f t="shared" si="56"/>
        <v>*0.95</v>
      </c>
      <c r="AS52" t="str">
        <f t="shared" si="57"/>
        <v>*1.00</v>
      </c>
      <c r="AT52" t="str">
        <f t="shared" si="58"/>
        <v>*1.05</v>
      </c>
      <c r="AU52" t="str">
        <f t="shared" si="59"/>
        <v>*0.95</v>
      </c>
      <c r="AV52" t="str">
        <f t="shared" si="60"/>
        <v>*0.95</v>
      </c>
      <c r="AW52" t="str">
        <f t="shared" si="61"/>
        <v>*0.95</v>
      </c>
      <c r="AX52" t="str">
        <f t="shared" si="62"/>
        <v>*0.95</v>
      </c>
      <c r="AY52" t="str">
        <f t="shared" si="63"/>
        <v>*0.95</v>
      </c>
      <c r="AZ52" t="str">
        <f t="shared" si="64"/>
        <v>*1.00</v>
      </c>
      <c r="BA52" t="str">
        <f t="shared" si="65"/>
        <v>*1.00</v>
      </c>
      <c r="BB52" t="str">
        <f t="shared" si="66"/>
        <v>*1.05</v>
      </c>
      <c r="BC52" t="str">
        <f t="shared" si="67"/>
        <v>*0.95</v>
      </c>
      <c r="BD52" t="str">
        <f t="shared" si="68"/>
        <v>*1.00</v>
      </c>
      <c r="BE52" t="str">
        <f t="shared" si="69"/>
        <v>*0.95</v>
      </c>
      <c r="BF52" t="str">
        <f t="shared" si="70"/>
        <v>*0.95</v>
      </c>
    </row>
    <row r="53" ht="13" spans="7:58">
      <c r="G53" s="25" t="s">
        <v>28</v>
      </c>
      <c r="H53" s="24" t="s">
        <v>524</v>
      </c>
      <c r="W53" t="s">
        <v>543</v>
      </c>
      <c r="X53" t="str">
        <f t="shared" si="36"/>
        <v>*0.95</v>
      </c>
      <c r="Y53" t="str">
        <f t="shared" si="37"/>
        <v>*0.95</v>
      </c>
      <c r="Z53" t="str">
        <f t="shared" si="38"/>
        <v>*1.05</v>
      </c>
      <c r="AA53" t="str">
        <f t="shared" si="39"/>
        <v>*1.05</v>
      </c>
      <c r="AB53" t="str">
        <f t="shared" si="40"/>
        <v>*0.95</v>
      </c>
      <c r="AC53" t="str">
        <f t="shared" si="41"/>
        <v>*1.00</v>
      </c>
      <c r="AD53" t="str">
        <f t="shared" si="42"/>
        <v>*0.95</v>
      </c>
      <c r="AE53" t="str">
        <f t="shared" si="43"/>
        <v>*0.95</v>
      </c>
      <c r="AF53" t="str">
        <f t="shared" si="44"/>
        <v>*0.95</v>
      </c>
      <c r="AG53" t="str">
        <f t="shared" si="45"/>
        <v>*0.95</v>
      </c>
      <c r="AH53" t="str">
        <f t="shared" si="46"/>
        <v>*1.00</v>
      </c>
      <c r="AI53" t="str">
        <f t="shared" si="47"/>
        <v>*1.05</v>
      </c>
      <c r="AJ53" t="str">
        <f t="shared" si="48"/>
        <v>*0.95</v>
      </c>
      <c r="AK53" t="str">
        <f t="shared" si="49"/>
        <v>*0.95</v>
      </c>
      <c r="AL53" t="str">
        <f t="shared" si="50"/>
        <v>*1.05</v>
      </c>
      <c r="AM53" t="str">
        <f t="shared" si="51"/>
        <v>*0.95</v>
      </c>
      <c r="AN53" t="str">
        <f t="shared" si="52"/>
        <v>*1.00</v>
      </c>
      <c r="AO53" t="str">
        <f t="shared" si="53"/>
        <v>*1.00</v>
      </c>
      <c r="AP53" t="str">
        <f t="shared" si="54"/>
        <v>*1.00</v>
      </c>
      <c r="AQ53" t="str">
        <f t="shared" si="55"/>
        <v>*0.95</v>
      </c>
      <c r="AR53" t="str">
        <f t="shared" si="56"/>
        <v>*0.95</v>
      </c>
      <c r="AS53" t="str">
        <f t="shared" si="57"/>
        <v>*1.00</v>
      </c>
      <c r="AT53" t="str">
        <f t="shared" si="58"/>
        <v>*1.05</v>
      </c>
      <c r="AU53" t="str">
        <f t="shared" si="59"/>
        <v>*0.95</v>
      </c>
      <c r="AV53" t="str">
        <f t="shared" si="60"/>
        <v>*0.95</v>
      </c>
      <c r="AW53" t="str">
        <f t="shared" si="61"/>
        <v>*0.95</v>
      </c>
      <c r="AX53" t="str">
        <f t="shared" si="62"/>
        <v>*0.95</v>
      </c>
      <c r="AY53" t="str">
        <f t="shared" si="63"/>
        <v>*0.95</v>
      </c>
      <c r="AZ53" t="str">
        <f t="shared" si="64"/>
        <v>*1.00</v>
      </c>
      <c r="BA53" t="str">
        <f t="shared" si="65"/>
        <v>*1.00</v>
      </c>
      <c r="BB53" t="str">
        <f t="shared" si="66"/>
        <v>*1.05</v>
      </c>
      <c r="BC53" t="str">
        <f t="shared" si="67"/>
        <v>*0.95</v>
      </c>
      <c r="BD53" t="str">
        <f t="shared" si="68"/>
        <v>*1.00</v>
      </c>
      <c r="BE53" t="str">
        <f t="shared" si="69"/>
        <v>*0.95</v>
      </c>
      <c r="BF53" t="str">
        <f t="shared" si="70"/>
        <v>*0.95</v>
      </c>
    </row>
    <row r="54" ht="13" spans="7:58">
      <c r="G54" s="25" t="s">
        <v>29</v>
      </c>
      <c r="H54" s="24" t="s">
        <v>521</v>
      </c>
      <c r="W54" t="s">
        <v>544</v>
      </c>
      <c r="X54" t="str">
        <f t="shared" si="36"/>
        <v>*0.95</v>
      </c>
      <c r="Y54" t="str">
        <f t="shared" si="37"/>
        <v>*0.95</v>
      </c>
      <c r="Z54" t="str">
        <f t="shared" si="38"/>
        <v>*1.05</v>
      </c>
      <c r="AA54" t="str">
        <f t="shared" si="39"/>
        <v>*1.05</v>
      </c>
      <c r="AB54" t="str">
        <f t="shared" si="40"/>
        <v>*0.95</v>
      </c>
      <c r="AC54" t="str">
        <f t="shared" si="41"/>
        <v>*1.00</v>
      </c>
      <c r="AD54" t="str">
        <f t="shared" si="42"/>
        <v>*0.95</v>
      </c>
      <c r="AE54" t="str">
        <f t="shared" si="43"/>
        <v>*0.95</v>
      </c>
      <c r="AF54" t="str">
        <f t="shared" si="44"/>
        <v>*0.95</v>
      </c>
      <c r="AG54" t="str">
        <f t="shared" si="45"/>
        <v>*0.95</v>
      </c>
      <c r="AH54" t="str">
        <f t="shared" si="46"/>
        <v>*1.00</v>
      </c>
      <c r="AI54" t="str">
        <f t="shared" si="47"/>
        <v>*1.05</v>
      </c>
      <c r="AJ54" t="str">
        <f t="shared" si="48"/>
        <v>*0.95</v>
      </c>
      <c r="AK54" t="str">
        <f t="shared" si="49"/>
        <v>*0.95</v>
      </c>
      <c r="AL54" t="str">
        <f t="shared" si="50"/>
        <v>*1.05</v>
      </c>
      <c r="AM54" t="str">
        <f t="shared" si="51"/>
        <v>*0.95</v>
      </c>
      <c r="AN54" t="str">
        <f t="shared" si="52"/>
        <v>*1.00</v>
      </c>
      <c r="AO54" t="str">
        <f t="shared" si="53"/>
        <v>*1.00</v>
      </c>
      <c r="AP54" t="str">
        <f t="shared" si="54"/>
        <v>*1.00</v>
      </c>
      <c r="AQ54" t="str">
        <f t="shared" si="55"/>
        <v>*0.95</v>
      </c>
      <c r="AR54" t="str">
        <f t="shared" si="56"/>
        <v>*0.95</v>
      </c>
      <c r="AS54" t="str">
        <f t="shared" si="57"/>
        <v>*1.00</v>
      </c>
      <c r="AT54" t="str">
        <f t="shared" si="58"/>
        <v>*1.05</v>
      </c>
      <c r="AU54" t="str">
        <f t="shared" si="59"/>
        <v>*0.95</v>
      </c>
      <c r="AV54" t="str">
        <f t="shared" si="60"/>
        <v>*0.95</v>
      </c>
      <c r="AW54" t="str">
        <f t="shared" si="61"/>
        <v>*0.95</v>
      </c>
      <c r="AX54" t="str">
        <f t="shared" si="62"/>
        <v>*0.95</v>
      </c>
      <c r="AY54" t="str">
        <f t="shared" si="63"/>
        <v>*0.95</v>
      </c>
      <c r="AZ54" t="str">
        <f t="shared" si="64"/>
        <v>*1.00</v>
      </c>
      <c r="BA54" t="str">
        <f t="shared" si="65"/>
        <v>*1.00</v>
      </c>
      <c r="BB54" t="str">
        <f t="shared" si="66"/>
        <v>*1.05</v>
      </c>
      <c r="BC54" t="str">
        <f t="shared" si="67"/>
        <v>*0.95</v>
      </c>
      <c r="BD54" t="str">
        <f t="shared" si="68"/>
        <v>*1.00</v>
      </c>
      <c r="BE54" t="str">
        <f t="shared" si="69"/>
        <v>*0.95</v>
      </c>
      <c r="BF54" t="str">
        <f t="shared" si="70"/>
        <v>*0.95</v>
      </c>
    </row>
    <row r="55" ht="13" spans="7:58">
      <c r="G55" s="25" t="s">
        <v>30</v>
      </c>
      <c r="H55" s="24" t="s">
        <v>491</v>
      </c>
      <c r="W55" t="s">
        <v>545</v>
      </c>
      <c r="X55" t="str">
        <f t="shared" si="36"/>
        <v>*0.95</v>
      </c>
      <c r="Y55" t="str">
        <f t="shared" si="37"/>
        <v>*0.95</v>
      </c>
      <c r="Z55" t="str">
        <f t="shared" si="38"/>
        <v>*1.05</v>
      </c>
      <c r="AA55" t="str">
        <f t="shared" si="39"/>
        <v>*1.05</v>
      </c>
      <c r="AB55" t="str">
        <f t="shared" si="40"/>
        <v>*0.95</v>
      </c>
      <c r="AC55" t="str">
        <f t="shared" si="41"/>
        <v>*1.00</v>
      </c>
      <c r="AD55" t="str">
        <f t="shared" si="42"/>
        <v>*0.95</v>
      </c>
      <c r="AE55" t="str">
        <f t="shared" si="43"/>
        <v>*0.95</v>
      </c>
      <c r="AF55" t="str">
        <f t="shared" si="44"/>
        <v>*0.95</v>
      </c>
      <c r="AG55" t="str">
        <f t="shared" si="45"/>
        <v>*0.95</v>
      </c>
      <c r="AH55" t="str">
        <f t="shared" si="46"/>
        <v>*1.00</v>
      </c>
      <c r="AI55" t="str">
        <f t="shared" si="47"/>
        <v>*1.05</v>
      </c>
      <c r="AJ55" t="str">
        <f t="shared" si="48"/>
        <v>*0.95</v>
      </c>
      <c r="AK55" t="str">
        <f t="shared" si="49"/>
        <v>*0.95</v>
      </c>
      <c r="AL55" t="str">
        <f t="shared" si="50"/>
        <v>*1.05</v>
      </c>
      <c r="AM55" t="str">
        <f t="shared" si="51"/>
        <v>*0.95</v>
      </c>
      <c r="AN55" t="str">
        <f t="shared" si="52"/>
        <v>*1.00</v>
      </c>
      <c r="AO55" t="str">
        <f t="shared" si="53"/>
        <v>*1.00</v>
      </c>
      <c r="AP55" t="str">
        <f t="shared" si="54"/>
        <v>*1.00</v>
      </c>
      <c r="AQ55" t="str">
        <f t="shared" si="55"/>
        <v>*0.95</v>
      </c>
      <c r="AR55" t="str">
        <f t="shared" si="56"/>
        <v>*0.95</v>
      </c>
      <c r="AS55" t="str">
        <f t="shared" si="57"/>
        <v>*1.00</v>
      </c>
      <c r="AT55" t="str">
        <f t="shared" si="58"/>
        <v>*1.05</v>
      </c>
      <c r="AU55" t="str">
        <f t="shared" si="59"/>
        <v>*0.95</v>
      </c>
      <c r="AV55" t="str">
        <f t="shared" si="60"/>
        <v>*0.95</v>
      </c>
      <c r="AW55" t="str">
        <f t="shared" si="61"/>
        <v>*0.95</v>
      </c>
      <c r="AX55" t="str">
        <f t="shared" si="62"/>
        <v>*0.95</v>
      </c>
      <c r="AY55" t="str">
        <f t="shared" si="63"/>
        <v>*0.95</v>
      </c>
      <c r="AZ55" t="str">
        <f t="shared" si="64"/>
        <v>*1.00</v>
      </c>
      <c r="BA55" t="str">
        <f t="shared" si="65"/>
        <v>*1.00</v>
      </c>
      <c r="BB55" t="str">
        <f t="shared" si="66"/>
        <v>*1.05</v>
      </c>
      <c r="BC55" t="str">
        <f t="shared" si="67"/>
        <v>*0.95</v>
      </c>
      <c r="BD55" t="str">
        <f t="shared" si="68"/>
        <v>*1.00</v>
      </c>
      <c r="BE55" t="str">
        <f t="shared" si="69"/>
        <v>*0.95</v>
      </c>
      <c r="BF55" t="str">
        <f t="shared" si="70"/>
        <v>*0.95</v>
      </c>
    </row>
    <row r="56" ht="13" spans="7:58">
      <c r="G56" s="25" t="s">
        <v>31</v>
      </c>
      <c r="H56" s="24" t="s">
        <v>521</v>
      </c>
      <c r="W56" t="s">
        <v>546</v>
      </c>
      <c r="X56" t="str">
        <f t="shared" si="36"/>
        <v>*0.95</v>
      </c>
      <c r="Y56" t="str">
        <f t="shared" si="37"/>
        <v>*0.95</v>
      </c>
      <c r="Z56" t="str">
        <f t="shared" si="38"/>
        <v>*1.05</v>
      </c>
      <c r="AA56" t="str">
        <f t="shared" si="39"/>
        <v>*1.05</v>
      </c>
      <c r="AB56" t="str">
        <f t="shared" si="40"/>
        <v>*0.95</v>
      </c>
      <c r="AC56" t="str">
        <f t="shared" si="41"/>
        <v>*1.00</v>
      </c>
      <c r="AD56" t="str">
        <f t="shared" si="42"/>
        <v>*0.95</v>
      </c>
      <c r="AE56" t="str">
        <f t="shared" si="43"/>
        <v>*0.95</v>
      </c>
      <c r="AF56" t="str">
        <f t="shared" si="44"/>
        <v>*0.95</v>
      </c>
      <c r="AG56" t="str">
        <f t="shared" si="45"/>
        <v>*0.95</v>
      </c>
      <c r="AH56" t="str">
        <f t="shared" si="46"/>
        <v>*1.00</v>
      </c>
      <c r="AI56" t="str">
        <f t="shared" si="47"/>
        <v>*1.05</v>
      </c>
      <c r="AJ56" t="str">
        <f t="shared" si="48"/>
        <v>*0.95</v>
      </c>
      <c r="AK56" t="str">
        <f t="shared" si="49"/>
        <v>*0.95</v>
      </c>
      <c r="AL56" t="str">
        <f t="shared" si="50"/>
        <v>*1.05</v>
      </c>
      <c r="AM56" t="str">
        <f t="shared" si="51"/>
        <v>*0.95</v>
      </c>
      <c r="AN56" t="str">
        <f t="shared" si="52"/>
        <v>*1.00</v>
      </c>
      <c r="AO56" t="str">
        <f t="shared" si="53"/>
        <v>*1.00</v>
      </c>
      <c r="AP56" t="str">
        <f t="shared" si="54"/>
        <v>*1.00</v>
      </c>
      <c r="AQ56" t="str">
        <f t="shared" si="55"/>
        <v>*0.95</v>
      </c>
      <c r="AR56" t="str">
        <f t="shared" si="56"/>
        <v>*0.95</v>
      </c>
      <c r="AS56" t="str">
        <f t="shared" si="57"/>
        <v>*1.00</v>
      </c>
      <c r="AT56" t="str">
        <f t="shared" si="58"/>
        <v>*1.05</v>
      </c>
      <c r="AU56" t="str">
        <f t="shared" si="59"/>
        <v>*0.95</v>
      </c>
      <c r="AV56" t="str">
        <f t="shared" si="60"/>
        <v>*0.95</v>
      </c>
      <c r="AW56" t="str">
        <f t="shared" si="61"/>
        <v>*0.95</v>
      </c>
      <c r="AX56" t="str">
        <f t="shared" si="62"/>
        <v>*0.95</v>
      </c>
      <c r="AY56" t="str">
        <f t="shared" si="63"/>
        <v>*0.95</v>
      </c>
      <c r="AZ56" t="str">
        <f t="shared" si="64"/>
        <v>*1.00</v>
      </c>
      <c r="BA56" t="str">
        <f t="shared" si="65"/>
        <v>*1.00</v>
      </c>
      <c r="BB56" t="str">
        <f t="shared" si="66"/>
        <v>*1.05</v>
      </c>
      <c r="BC56" t="str">
        <f t="shared" si="67"/>
        <v>*0.95</v>
      </c>
      <c r="BD56" t="str">
        <f t="shared" si="68"/>
        <v>*1.00</v>
      </c>
      <c r="BE56" t="str">
        <f t="shared" si="69"/>
        <v>*0.95</v>
      </c>
      <c r="BF56" t="str">
        <f t="shared" si="70"/>
        <v>*0.95</v>
      </c>
    </row>
    <row r="57" ht="13" spans="7:58">
      <c r="G57" s="25" t="s">
        <v>32</v>
      </c>
      <c r="H57" s="24" t="s">
        <v>491</v>
      </c>
      <c r="W57" t="s">
        <v>547</v>
      </c>
      <c r="X57" t="str">
        <f t="shared" si="36"/>
        <v>*0.95</v>
      </c>
      <c r="Y57" t="str">
        <f t="shared" si="37"/>
        <v>*0.95</v>
      </c>
      <c r="Z57" t="str">
        <f t="shared" si="38"/>
        <v>*1.05</v>
      </c>
      <c r="AA57" t="str">
        <f t="shared" si="39"/>
        <v>*1.05</v>
      </c>
      <c r="AB57" t="str">
        <f t="shared" si="40"/>
        <v>*0.95</v>
      </c>
      <c r="AC57" t="str">
        <f t="shared" si="41"/>
        <v>*1.00</v>
      </c>
      <c r="AD57" t="str">
        <f t="shared" si="42"/>
        <v>*0.95</v>
      </c>
      <c r="AE57" t="str">
        <f t="shared" si="43"/>
        <v>*0.95</v>
      </c>
      <c r="AF57" t="str">
        <f t="shared" si="44"/>
        <v>*0.95</v>
      </c>
      <c r="AG57" t="str">
        <f t="shared" si="45"/>
        <v>*0.95</v>
      </c>
      <c r="AH57" t="str">
        <f t="shared" si="46"/>
        <v>*1.00</v>
      </c>
      <c r="AI57" t="str">
        <f t="shared" si="47"/>
        <v>*1.05</v>
      </c>
      <c r="AJ57" t="str">
        <f t="shared" si="48"/>
        <v>*0.95</v>
      </c>
      <c r="AK57" t="str">
        <f t="shared" si="49"/>
        <v>*0.95</v>
      </c>
      <c r="AL57" t="str">
        <f t="shared" si="50"/>
        <v>*1.05</v>
      </c>
      <c r="AM57" t="str">
        <f t="shared" si="51"/>
        <v>*0.95</v>
      </c>
      <c r="AN57" t="str">
        <f t="shared" si="52"/>
        <v>*1.00</v>
      </c>
      <c r="AO57" t="str">
        <f t="shared" si="53"/>
        <v>*1.00</v>
      </c>
      <c r="AP57" t="str">
        <f t="shared" si="54"/>
        <v>*1.00</v>
      </c>
      <c r="AQ57" t="str">
        <f t="shared" si="55"/>
        <v>*0.95</v>
      </c>
      <c r="AR57" t="str">
        <f t="shared" si="56"/>
        <v>*0.95</v>
      </c>
      <c r="AS57" t="str">
        <f t="shared" si="57"/>
        <v>*1.00</v>
      </c>
      <c r="AT57" t="str">
        <f t="shared" si="58"/>
        <v>*1.05</v>
      </c>
      <c r="AU57" t="str">
        <f t="shared" si="59"/>
        <v>*0.95</v>
      </c>
      <c r="AV57" t="str">
        <f t="shared" si="60"/>
        <v>*0.95</v>
      </c>
      <c r="AW57" t="str">
        <f t="shared" si="61"/>
        <v>*0.95</v>
      </c>
      <c r="AX57" t="str">
        <f t="shared" si="62"/>
        <v>*0.95</v>
      </c>
      <c r="AY57" t="str">
        <f t="shared" si="63"/>
        <v>*0.95</v>
      </c>
      <c r="AZ57" t="str">
        <f t="shared" si="64"/>
        <v>*1.00</v>
      </c>
      <c r="BA57" t="str">
        <f t="shared" si="65"/>
        <v>*1.00</v>
      </c>
      <c r="BB57" t="str">
        <f t="shared" si="66"/>
        <v>*1.05</v>
      </c>
      <c r="BC57" t="str">
        <f t="shared" si="67"/>
        <v>*0.95</v>
      </c>
      <c r="BD57" t="str">
        <f t="shared" si="68"/>
        <v>*1.00</v>
      </c>
      <c r="BE57" t="str">
        <f t="shared" si="69"/>
        <v>*0.95</v>
      </c>
      <c r="BF57" t="str">
        <f t="shared" si="70"/>
        <v>*0.95</v>
      </c>
    </row>
    <row r="58" ht="13" spans="7:58">
      <c r="G58" s="25" t="s">
        <v>33</v>
      </c>
      <c r="H58" s="24" t="s">
        <v>492</v>
      </c>
      <c r="W58" t="s">
        <v>548</v>
      </c>
      <c r="X58" t="str">
        <f t="shared" si="36"/>
        <v>*0.95</v>
      </c>
      <c r="Y58" t="str">
        <f t="shared" si="37"/>
        <v>*0.95</v>
      </c>
      <c r="Z58" t="str">
        <f t="shared" si="38"/>
        <v>*1.05</v>
      </c>
      <c r="AA58" t="str">
        <f t="shared" si="39"/>
        <v>*1.05</v>
      </c>
      <c r="AB58" t="str">
        <f t="shared" si="40"/>
        <v>*0.95</v>
      </c>
      <c r="AC58" t="str">
        <f t="shared" si="41"/>
        <v>*1.00</v>
      </c>
      <c r="AD58" t="str">
        <f t="shared" si="42"/>
        <v>*0.95</v>
      </c>
      <c r="AE58" t="str">
        <f t="shared" si="43"/>
        <v>*0.95</v>
      </c>
      <c r="AF58" t="str">
        <f t="shared" si="44"/>
        <v>*0.95</v>
      </c>
      <c r="AG58" t="str">
        <f t="shared" si="45"/>
        <v>*0.95</v>
      </c>
      <c r="AH58" t="str">
        <f t="shared" si="46"/>
        <v>*1.00</v>
      </c>
      <c r="AI58" t="str">
        <f t="shared" si="47"/>
        <v>*1.05</v>
      </c>
      <c r="AJ58" t="str">
        <f t="shared" si="48"/>
        <v>*0.95</v>
      </c>
      <c r="AK58" t="str">
        <f t="shared" si="49"/>
        <v>*0.95</v>
      </c>
      <c r="AL58" t="str">
        <f t="shared" si="50"/>
        <v>*1.05</v>
      </c>
      <c r="AM58" t="str">
        <f t="shared" si="51"/>
        <v>*0.95</v>
      </c>
      <c r="AN58" t="str">
        <f t="shared" si="52"/>
        <v>*1.00</v>
      </c>
      <c r="AO58" t="str">
        <f t="shared" si="53"/>
        <v>*1.00</v>
      </c>
      <c r="AP58" t="str">
        <f t="shared" si="54"/>
        <v>*1.00</v>
      </c>
      <c r="AQ58" t="str">
        <f t="shared" si="55"/>
        <v>*0.95</v>
      </c>
      <c r="AR58" t="str">
        <f t="shared" si="56"/>
        <v>*0.95</v>
      </c>
      <c r="AS58" t="str">
        <f t="shared" si="57"/>
        <v>*1.00</v>
      </c>
      <c r="AT58" t="str">
        <f t="shared" si="58"/>
        <v>*1.05</v>
      </c>
      <c r="AU58" t="str">
        <f t="shared" si="59"/>
        <v>*0.95</v>
      </c>
      <c r="AV58" t="str">
        <f t="shared" si="60"/>
        <v>*0.95</v>
      </c>
      <c r="AW58" t="str">
        <f t="shared" si="61"/>
        <v>*0.95</v>
      </c>
      <c r="AX58" t="str">
        <f t="shared" si="62"/>
        <v>*0.95</v>
      </c>
      <c r="AY58" t="str">
        <f t="shared" si="63"/>
        <v>*0.95</v>
      </c>
      <c r="AZ58" t="str">
        <f t="shared" si="64"/>
        <v>*1.00</v>
      </c>
      <c r="BA58" t="str">
        <f t="shared" si="65"/>
        <v>*1.00</v>
      </c>
      <c r="BB58" t="str">
        <f t="shared" si="66"/>
        <v>*1.05</v>
      </c>
      <c r="BC58" t="str">
        <f t="shared" si="67"/>
        <v>*0.95</v>
      </c>
      <c r="BD58" t="str">
        <f t="shared" si="68"/>
        <v>*1.00</v>
      </c>
      <c r="BE58" t="str">
        <f t="shared" si="69"/>
        <v>*0.95</v>
      </c>
      <c r="BF58" t="str">
        <f t="shared" si="70"/>
        <v>*0.95</v>
      </c>
    </row>
    <row r="59" ht="13" spans="7:58">
      <c r="G59" s="25" t="s">
        <v>34</v>
      </c>
      <c r="H59" s="24" t="s">
        <v>531</v>
      </c>
      <c r="W59" t="s">
        <v>549</v>
      </c>
      <c r="X59" t="str">
        <f t="shared" si="36"/>
        <v>*0.95</v>
      </c>
      <c r="Y59" t="str">
        <f t="shared" si="37"/>
        <v>*0.95</v>
      </c>
      <c r="Z59" t="str">
        <f t="shared" si="38"/>
        <v>*1.05</v>
      </c>
      <c r="AA59" t="str">
        <f t="shared" si="39"/>
        <v>*1.05</v>
      </c>
      <c r="AB59" t="str">
        <f t="shared" si="40"/>
        <v>*0.95</v>
      </c>
      <c r="AC59" t="str">
        <f t="shared" si="41"/>
        <v>*1.00</v>
      </c>
      <c r="AD59" t="str">
        <f t="shared" si="42"/>
        <v>*0.95</v>
      </c>
      <c r="AE59" t="str">
        <f t="shared" si="43"/>
        <v>*0.95</v>
      </c>
      <c r="AF59" t="str">
        <f t="shared" si="44"/>
        <v>*0.95</v>
      </c>
      <c r="AG59" t="str">
        <f t="shared" si="45"/>
        <v>*0.95</v>
      </c>
      <c r="AH59" t="str">
        <f t="shared" si="46"/>
        <v>*1.00</v>
      </c>
      <c r="AI59" t="str">
        <f t="shared" si="47"/>
        <v>*1.05</v>
      </c>
      <c r="AJ59" t="str">
        <f t="shared" si="48"/>
        <v>*0.95</v>
      </c>
      <c r="AK59" t="str">
        <f t="shared" si="49"/>
        <v>*0.95</v>
      </c>
      <c r="AL59" t="str">
        <f t="shared" si="50"/>
        <v>*1.05</v>
      </c>
      <c r="AM59" t="str">
        <f t="shared" si="51"/>
        <v>*0.95</v>
      </c>
      <c r="AN59" t="str">
        <f t="shared" si="52"/>
        <v>*1.00</v>
      </c>
      <c r="AO59" t="str">
        <f t="shared" si="53"/>
        <v>*1.00</v>
      </c>
      <c r="AP59" t="str">
        <f t="shared" si="54"/>
        <v>*1.00</v>
      </c>
      <c r="AQ59" t="str">
        <f t="shared" si="55"/>
        <v>*0.95</v>
      </c>
      <c r="AR59" t="str">
        <f t="shared" si="56"/>
        <v>*0.95</v>
      </c>
      <c r="AS59" t="str">
        <f t="shared" si="57"/>
        <v>*1.00</v>
      </c>
      <c r="AT59" t="str">
        <f t="shared" si="58"/>
        <v>*1.05</v>
      </c>
      <c r="AU59" t="str">
        <f t="shared" si="59"/>
        <v>*0.95</v>
      </c>
      <c r="AV59" t="str">
        <f t="shared" si="60"/>
        <v>*0.95</v>
      </c>
      <c r="AW59" t="str">
        <f t="shared" si="61"/>
        <v>*0.95</v>
      </c>
      <c r="AX59" t="str">
        <f t="shared" si="62"/>
        <v>*0.95</v>
      </c>
      <c r="AY59" t="str">
        <f t="shared" si="63"/>
        <v>*0.95</v>
      </c>
      <c r="AZ59" t="str">
        <f t="shared" si="64"/>
        <v>*1.00</v>
      </c>
      <c r="BA59" t="str">
        <f t="shared" si="65"/>
        <v>*1.00</v>
      </c>
      <c r="BB59" t="str">
        <f t="shared" si="66"/>
        <v>*1.05</v>
      </c>
      <c r="BC59" t="str">
        <f t="shared" si="67"/>
        <v>*0.95</v>
      </c>
      <c r="BD59" t="str">
        <f t="shared" si="68"/>
        <v>*1.00</v>
      </c>
      <c r="BE59" t="str">
        <f t="shared" si="69"/>
        <v>*0.95</v>
      </c>
      <c r="BF59" t="str">
        <f t="shared" si="70"/>
        <v>*0.95</v>
      </c>
    </row>
    <row r="60" ht="13" spans="7:58">
      <c r="G60" s="25" t="s">
        <v>35</v>
      </c>
      <c r="H60" s="24" t="s">
        <v>521</v>
      </c>
      <c r="W60" t="s">
        <v>550</v>
      </c>
      <c r="X60" t="str">
        <f t="shared" si="36"/>
        <v>*0.95</v>
      </c>
      <c r="Y60" t="str">
        <f t="shared" si="37"/>
        <v>*0.95</v>
      </c>
      <c r="Z60" t="str">
        <f t="shared" si="38"/>
        <v>*1.05</v>
      </c>
      <c r="AA60" t="str">
        <f t="shared" si="39"/>
        <v>*1.05</v>
      </c>
      <c r="AB60" t="str">
        <f t="shared" si="40"/>
        <v>*0.95</v>
      </c>
      <c r="AC60" t="str">
        <f t="shared" si="41"/>
        <v>*1.00</v>
      </c>
      <c r="AD60" t="str">
        <f t="shared" si="42"/>
        <v>*0.95</v>
      </c>
      <c r="AE60" t="str">
        <f t="shared" si="43"/>
        <v>*0.95</v>
      </c>
      <c r="AF60" t="str">
        <f t="shared" si="44"/>
        <v>*0.95</v>
      </c>
      <c r="AG60" t="str">
        <f t="shared" si="45"/>
        <v>*0.95</v>
      </c>
      <c r="AH60" t="str">
        <f t="shared" si="46"/>
        <v>*1.00</v>
      </c>
      <c r="AI60" t="str">
        <f t="shared" si="47"/>
        <v>*1.05</v>
      </c>
      <c r="AJ60" t="str">
        <f t="shared" si="48"/>
        <v>*0.95</v>
      </c>
      <c r="AK60" t="str">
        <f t="shared" si="49"/>
        <v>*0.95</v>
      </c>
      <c r="AL60" t="str">
        <f t="shared" si="50"/>
        <v>*1.05</v>
      </c>
      <c r="AM60" t="str">
        <f t="shared" si="51"/>
        <v>*0.95</v>
      </c>
      <c r="AN60" t="str">
        <f t="shared" si="52"/>
        <v>*1.00</v>
      </c>
      <c r="AO60" t="str">
        <f t="shared" si="53"/>
        <v>*1.00</v>
      </c>
      <c r="AP60" t="str">
        <f t="shared" si="54"/>
        <v>*1.00</v>
      </c>
      <c r="AQ60" t="str">
        <f t="shared" si="55"/>
        <v>*0.95</v>
      </c>
      <c r="AR60" t="str">
        <f t="shared" si="56"/>
        <v>*0.95</v>
      </c>
      <c r="AS60" t="str">
        <f t="shared" si="57"/>
        <v>*1.00</v>
      </c>
      <c r="AT60" t="str">
        <f t="shared" si="58"/>
        <v>*1.05</v>
      </c>
      <c r="AU60" t="str">
        <f t="shared" si="59"/>
        <v>*0.95</v>
      </c>
      <c r="AV60" t="str">
        <f t="shared" si="60"/>
        <v>*0.95</v>
      </c>
      <c r="AW60" t="str">
        <f t="shared" si="61"/>
        <v>*0.95</v>
      </c>
      <c r="AX60" t="str">
        <f t="shared" si="62"/>
        <v>*0.95</v>
      </c>
      <c r="AY60" t="str">
        <f t="shared" si="63"/>
        <v>*0.95</v>
      </c>
      <c r="AZ60" t="str">
        <f t="shared" si="64"/>
        <v>*1.00</v>
      </c>
      <c r="BA60" t="str">
        <f t="shared" si="65"/>
        <v>*1.00</v>
      </c>
      <c r="BB60" t="str">
        <f t="shared" si="66"/>
        <v>*1.05</v>
      </c>
      <c r="BC60" t="str">
        <f t="shared" si="67"/>
        <v>*0.95</v>
      </c>
      <c r="BD60" t="str">
        <f t="shared" si="68"/>
        <v>*1.00</v>
      </c>
      <c r="BE60" t="str">
        <f t="shared" si="69"/>
        <v>*0.95</v>
      </c>
      <c r="BF60" t="str">
        <f t="shared" si="70"/>
        <v>*0.95</v>
      </c>
    </row>
    <row r="61" ht="13" spans="7:58">
      <c r="G61" s="25" t="s">
        <v>36</v>
      </c>
      <c r="H61" s="24" t="s">
        <v>493</v>
      </c>
      <c r="W61" t="s">
        <v>551</v>
      </c>
      <c r="X61" t="str">
        <f t="shared" si="36"/>
        <v>*0.95</v>
      </c>
      <c r="Y61" t="str">
        <f t="shared" si="37"/>
        <v>*0.95</v>
      </c>
      <c r="Z61" t="str">
        <f t="shared" si="38"/>
        <v>*1.05</v>
      </c>
      <c r="AA61" t="str">
        <f t="shared" si="39"/>
        <v>*1.05</v>
      </c>
      <c r="AB61" t="str">
        <f t="shared" si="40"/>
        <v>*0.95</v>
      </c>
      <c r="AC61" t="str">
        <f t="shared" si="41"/>
        <v>*1.00</v>
      </c>
      <c r="AD61" t="str">
        <f t="shared" si="42"/>
        <v>*0.95</v>
      </c>
      <c r="AE61" t="str">
        <f t="shared" si="43"/>
        <v>*0.95</v>
      </c>
      <c r="AF61" t="str">
        <f t="shared" si="44"/>
        <v>*0.95</v>
      </c>
      <c r="AG61" t="str">
        <f t="shared" si="45"/>
        <v>*0.95</v>
      </c>
      <c r="AH61" t="str">
        <f t="shared" si="46"/>
        <v>*1.00</v>
      </c>
      <c r="AI61" t="str">
        <f t="shared" si="47"/>
        <v>*1.05</v>
      </c>
      <c r="AJ61" t="str">
        <f t="shared" si="48"/>
        <v>*0.95</v>
      </c>
      <c r="AK61" t="str">
        <f t="shared" si="49"/>
        <v>*0.95</v>
      </c>
      <c r="AL61" t="str">
        <f t="shared" si="50"/>
        <v>*1.05</v>
      </c>
      <c r="AM61" t="str">
        <f t="shared" si="51"/>
        <v>*0.95</v>
      </c>
      <c r="AN61" t="str">
        <f t="shared" si="52"/>
        <v>*1.00</v>
      </c>
      <c r="AO61" t="str">
        <f t="shared" si="53"/>
        <v>*1.00</v>
      </c>
      <c r="AP61" t="str">
        <f t="shared" si="54"/>
        <v>*1.00</v>
      </c>
      <c r="AQ61" t="str">
        <f t="shared" si="55"/>
        <v>*0.95</v>
      </c>
      <c r="AR61" t="str">
        <f t="shared" si="56"/>
        <v>*0.95</v>
      </c>
      <c r="AS61" t="str">
        <f t="shared" si="57"/>
        <v>*1.00</v>
      </c>
      <c r="AT61" t="str">
        <f t="shared" si="58"/>
        <v>*1.05</v>
      </c>
      <c r="AU61" t="str">
        <f t="shared" si="59"/>
        <v>*0.95</v>
      </c>
      <c r="AV61" t="str">
        <f t="shared" si="60"/>
        <v>*0.95</v>
      </c>
      <c r="AW61" t="str">
        <f t="shared" si="61"/>
        <v>*0.95</v>
      </c>
      <c r="AX61" t="str">
        <f t="shared" si="62"/>
        <v>*0.95</v>
      </c>
      <c r="AY61" t="str">
        <f t="shared" si="63"/>
        <v>*0.95</v>
      </c>
      <c r="AZ61" t="str">
        <f t="shared" si="64"/>
        <v>*1.00</v>
      </c>
      <c r="BA61" t="str">
        <f t="shared" si="65"/>
        <v>*1.00</v>
      </c>
      <c r="BB61" t="str">
        <f t="shared" si="66"/>
        <v>*1.05</v>
      </c>
      <c r="BC61" t="str">
        <f t="shared" si="67"/>
        <v>*0.95</v>
      </c>
      <c r="BD61" t="str">
        <f t="shared" si="68"/>
        <v>*1.00</v>
      </c>
      <c r="BE61" t="str">
        <f t="shared" si="69"/>
        <v>*0.95</v>
      </c>
      <c r="BF61" t="str">
        <f t="shared" si="70"/>
        <v>*0.95</v>
      </c>
    </row>
    <row r="62" ht="13" spans="7:58">
      <c r="G62" s="25" t="s">
        <v>37</v>
      </c>
      <c r="H62" s="24" t="s">
        <v>513</v>
      </c>
      <c r="W62" t="s">
        <v>552</v>
      </c>
      <c r="X62" t="str">
        <f t="shared" si="36"/>
        <v>*0.95</v>
      </c>
      <c r="Y62" t="str">
        <f t="shared" si="37"/>
        <v>*0.95</v>
      </c>
      <c r="Z62" t="str">
        <f t="shared" si="38"/>
        <v>*1.05</v>
      </c>
      <c r="AA62" t="str">
        <f t="shared" si="39"/>
        <v>*1.05</v>
      </c>
      <c r="AB62" t="str">
        <f t="shared" si="40"/>
        <v>*0.95</v>
      </c>
      <c r="AC62" t="str">
        <f t="shared" si="41"/>
        <v>*1.00</v>
      </c>
      <c r="AD62" t="str">
        <f t="shared" si="42"/>
        <v>*0.95</v>
      </c>
      <c r="AE62" t="str">
        <f t="shared" si="43"/>
        <v>*0.95</v>
      </c>
      <c r="AF62" t="str">
        <f t="shared" si="44"/>
        <v>*0.95</v>
      </c>
      <c r="AG62" t="str">
        <f t="shared" si="45"/>
        <v>*0.95</v>
      </c>
      <c r="AH62" t="str">
        <f t="shared" si="46"/>
        <v>*1.00</v>
      </c>
      <c r="AI62" t="str">
        <f t="shared" si="47"/>
        <v>*1.05</v>
      </c>
      <c r="AJ62" t="str">
        <f t="shared" si="48"/>
        <v>*0.95</v>
      </c>
      <c r="AK62" t="str">
        <f t="shared" si="49"/>
        <v>*0.95</v>
      </c>
      <c r="AL62" t="str">
        <f t="shared" si="50"/>
        <v>*1.05</v>
      </c>
      <c r="AM62" t="str">
        <f t="shared" si="51"/>
        <v>*0.95</v>
      </c>
      <c r="AN62" t="str">
        <f t="shared" si="52"/>
        <v>*1.00</v>
      </c>
      <c r="AO62" t="str">
        <f t="shared" si="53"/>
        <v>*1.00</v>
      </c>
      <c r="AP62" t="str">
        <f t="shared" si="54"/>
        <v>*1.00</v>
      </c>
      <c r="AQ62" t="str">
        <f t="shared" si="55"/>
        <v>*0.95</v>
      </c>
      <c r="AR62" t="str">
        <f t="shared" si="56"/>
        <v>*0.95</v>
      </c>
      <c r="AS62" t="str">
        <f t="shared" si="57"/>
        <v>*1.00</v>
      </c>
      <c r="AT62" t="str">
        <f t="shared" si="58"/>
        <v>*1.05</v>
      </c>
      <c r="AU62" t="str">
        <f t="shared" si="59"/>
        <v>*0.95</v>
      </c>
      <c r="AV62" t="str">
        <f t="shared" si="60"/>
        <v>*0.95</v>
      </c>
      <c r="AW62" t="str">
        <f t="shared" si="61"/>
        <v>*0.95</v>
      </c>
      <c r="AX62" t="str">
        <f t="shared" si="62"/>
        <v>*0.95</v>
      </c>
      <c r="AY62" t="str">
        <f t="shared" si="63"/>
        <v>*0.95</v>
      </c>
      <c r="AZ62" t="str">
        <f t="shared" si="64"/>
        <v>*1.00</v>
      </c>
      <c r="BA62" t="str">
        <f t="shared" si="65"/>
        <v>*1.00</v>
      </c>
      <c r="BB62" t="str">
        <f t="shared" si="66"/>
        <v>*1.05</v>
      </c>
      <c r="BC62" t="str">
        <f t="shared" si="67"/>
        <v>*0.95</v>
      </c>
      <c r="BD62" t="str">
        <f t="shared" si="68"/>
        <v>*1.00</v>
      </c>
      <c r="BE62" t="str">
        <f t="shared" si="69"/>
        <v>*0.95</v>
      </c>
      <c r="BF62" t="str">
        <f t="shared" si="70"/>
        <v>*0.95</v>
      </c>
    </row>
    <row r="63" ht="13" spans="7:58">
      <c r="G63" s="25" t="s">
        <v>38</v>
      </c>
      <c r="H63" s="24" t="s">
        <v>513</v>
      </c>
      <c r="W63" t="s">
        <v>553</v>
      </c>
      <c r="X63" t="str">
        <f t="shared" si="36"/>
        <v>*0.95</v>
      </c>
      <c r="Y63" t="str">
        <f t="shared" si="37"/>
        <v>*0.95</v>
      </c>
      <c r="Z63" t="str">
        <f t="shared" si="38"/>
        <v>*1.05</v>
      </c>
      <c r="AA63" t="str">
        <f t="shared" si="39"/>
        <v>*1.05</v>
      </c>
      <c r="AB63" t="str">
        <f t="shared" si="40"/>
        <v>*0.95</v>
      </c>
      <c r="AC63" t="str">
        <f t="shared" si="41"/>
        <v>*1.00</v>
      </c>
      <c r="AD63" t="str">
        <f t="shared" si="42"/>
        <v>*0.95</v>
      </c>
      <c r="AE63" t="str">
        <f t="shared" si="43"/>
        <v>*0.95</v>
      </c>
      <c r="AF63" t="str">
        <f t="shared" si="44"/>
        <v>*0.95</v>
      </c>
      <c r="AG63" t="str">
        <f t="shared" si="45"/>
        <v>*0.95</v>
      </c>
      <c r="AH63" t="str">
        <f t="shared" si="46"/>
        <v>*1.00</v>
      </c>
      <c r="AI63" t="str">
        <f t="shared" si="47"/>
        <v>*1.05</v>
      </c>
      <c r="AJ63" t="str">
        <f t="shared" si="48"/>
        <v>*0.95</v>
      </c>
      <c r="AK63" t="str">
        <f t="shared" si="49"/>
        <v>*0.95</v>
      </c>
      <c r="AL63" t="str">
        <f t="shared" si="50"/>
        <v>*1.05</v>
      </c>
      <c r="AM63" t="str">
        <f t="shared" si="51"/>
        <v>*0.95</v>
      </c>
      <c r="AN63" t="str">
        <f t="shared" si="52"/>
        <v>*1.00</v>
      </c>
      <c r="AO63" t="str">
        <f t="shared" si="53"/>
        <v>*1.00</v>
      </c>
      <c r="AP63" t="str">
        <f t="shared" si="54"/>
        <v>*1.00</v>
      </c>
      <c r="AQ63" t="str">
        <f t="shared" si="55"/>
        <v>*0.95</v>
      </c>
      <c r="AR63" t="str">
        <f t="shared" si="56"/>
        <v>*0.95</v>
      </c>
      <c r="AS63" t="str">
        <f t="shared" si="57"/>
        <v>*1.00</v>
      </c>
      <c r="AT63" t="str">
        <f t="shared" si="58"/>
        <v>*1.05</v>
      </c>
      <c r="AU63" t="str">
        <f t="shared" si="59"/>
        <v>*0.95</v>
      </c>
      <c r="AV63" t="str">
        <f t="shared" si="60"/>
        <v>*0.95</v>
      </c>
      <c r="AW63" t="str">
        <f t="shared" si="61"/>
        <v>*0.95</v>
      </c>
      <c r="AX63" t="str">
        <f t="shared" si="62"/>
        <v>*0.95</v>
      </c>
      <c r="AY63" t="str">
        <f t="shared" si="63"/>
        <v>*0.95</v>
      </c>
      <c r="AZ63" t="str">
        <f t="shared" si="64"/>
        <v>*1.00</v>
      </c>
      <c r="BA63" t="str">
        <f t="shared" si="65"/>
        <v>*1.00</v>
      </c>
      <c r="BB63" t="str">
        <f t="shared" si="66"/>
        <v>*1.05</v>
      </c>
      <c r="BC63" t="str">
        <f t="shared" si="67"/>
        <v>*0.95</v>
      </c>
      <c r="BD63" t="str">
        <f t="shared" si="68"/>
        <v>*1.00</v>
      </c>
      <c r="BE63" t="str">
        <f t="shared" si="69"/>
        <v>*0.95</v>
      </c>
      <c r="BF63" t="str">
        <f t="shared" si="70"/>
        <v>*0.95</v>
      </c>
    </row>
    <row r="64" spans="7:58">
      <c r="W64" t="s">
        <v>554</v>
      </c>
      <c r="X64" t="str">
        <f t="shared" si="36"/>
        <v>*0.95</v>
      </c>
      <c r="Y64" t="str">
        <f t="shared" si="37"/>
        <v>*0.95</v>
      </c>
      <c r="Z64" t="str">
        <f t="shared" si="38"/>
        <v>*1.05</v>
      </c>
      <c r="AA64" t="str">
        <f t="shared" si="39"/>
        <v>*1.05</v>
      </c>
      <c r="AB64" t="str">
        <f t="shared" si="40"/>
        <v>*0.95</v>
      </c>
      <c r="AC64" t="str">
        <f t="shared" si="41"/>
        <v>*1.00</v>
      </c>
      <c r="AD64" t="str">
        <f t="shared" si="42"/>
        <v>*0.95</v>
      </c>
      <c r="AE64" t="str">
        <f t="shared" si="43"/>
        <v>*0.95</v>
      </c>
      <c r="AF64" t="str">
        <f t="shared" si="44"/>
        <v>*0.95</v>
      </c>
      <c r="AG64" t="str">
        <f t="shared" si="45"/>
        <v>*0.95</v>
      </c>
      <c r="AH64" t="str">
        <f t="shared" si="46"/>
        <v>*1.00</v>
      </c>
      <c r="AI64" t="str">
        <f t="shared" si="47"/>
        <v>*1.05</v>
      </c>
      <c r="AJ64" t="str">
        <f t="shared" si="48"/>
        <v>*0.95</v>
      </c>
      <c r="AK64" t="str">
        <f t="shared" si="49"/>
        <v>*0.95</v>
      </c>
      <c r="AL64" t="str">
        <f t="shared" si="50"/>
        <v>*1.05</v>
      </c>
      <c r="AM64" t="str">
        <f t="shared" si="51"/>
        <v>*0.95</v>
      </c>
      <c r="AN64" t="str">
        <f t="shared" si="52"/>
        <v>*1.00</v>
      </c>
      <c r="AO64" t="str">
        <f t="shared" si="53"/>
        <v>*1.00</v>
      </c>
      <c r="AP64" t="str">
        <f t="shared" si="54"/>
        <v>*1.00</v>
      </c>
      <c r="AQ64" t="str">
        <f t="shared" si="55"/>
        <v>*0.95</v>
      </c>
      <c r="AR64" t="str">
        <f t="shared" si="56"/>
        <v>*0.95</v>
      </c>
      <c r="AS64" t="str">
        <f t="shared" si="57"/>
        <v>*1.00</v>
      </c>
      <c r="AT64" t="str">
        <f t="shared" si="58"/>
        <v>*1.05</v>
      </c>
      <c r="AU64" t="str">
        <f t="shared" si="59"/>
        <v>*0.95</v>
      </c>
      <c r="AV64" t="str">
        <f t="shared" si="60"/>
        <v>*0.95</v>
      </c>
      <c r="AW64" t="str">
        <f t="shared" si="61"/>
        <v>*0.95</v>
      </c>
      <c r="AX64" t="str">
        <f t="shared" si="62"/>
        <v>*0.95</v>
      </c>
      <c r="AY64" t="str">
        <f t="shared" si="63"/>
        <v>*0.95</v>
      </c>
      <c r="AZ64" t="str">
        <f t="shared" si="64"/>
        <v>*1.00</v>
      </c>
      <c r="BA64" t="str">
        <f t="shared" si="65"/>
        <v>*1.00</v>
      </c>
      <c r="BB64" t="str">
        <f t="shared" si="66"/>
        <v>*1.05</v>
      </c>
      <c r="BC64" t="str">
        <f t="shared" si="67"/>
        <v>*0.95</v>
      </c>
      <c r="BD64" t="str">
        <f t="shared" si="68"/>
        <v>*1.00</v>
      </c>
      <c r="BE64" t="str">
        <f t="shared" si="69"/>
        <v>*0.95</v>
      </c>
      <c r="BF64" t="str">
        <f t="shared" si="70"/>
        <v>*0.95</v>
      </c>
    </row>
    <row r="65" spans="23:58">
      <c r="W65" t="s">
        <v>555</v>
      </c>
      <c r="X65" t="str">
        <f t="shared" si="36"/>
        <v>*0.95</v>
      </c>
      <c r="Y65" t="str">
        <f t="shared" si="37"/>
        <v>*0.95</v>
      </c>
      <c r="Z65" t="str">
        <f t="shared" si="38"/>
        <v>*1.05</v>
      </c>
      <c r="AA65" t="str">
        <f t="shared" si="39"/>
        <v>*1.05</v>
      </c>
      <c r="AB65" t="str">
        <f t="shared" si="40"/>
        <v>*0.95</v>
      </c>
      <c r="AC65" t="str">
        <f t="shared" si="41"/>
        <v>*1.00</v>
      </c>
      <c r="AD65" t="str">
        <f t="shared" si="42"/>
        <v>*0.95</v>
      </c>
      <c r="AE65" t="str">
        <f t="shared" si="43"/>
        <v>*0.95</v>
      </c>
      <c r="AF65" t="str">
        <f t="shared" si="44"/>
        <v>*0.95</v>
      </c>
      <c r="AG65" t="str">
        <f t="shared" si="45"/>
        <v>*0.95</v>
      </c>
      <c r="AH65" t="str">
        <f t="shared" si="46"/>
        <v>*1.00</v>
      </c>
      <c r="AI65" t="str">
        <f t="shared" si="47"/>
        <v>*1.05</v>
      </c>
      <c r="AJ65" t="str">
        <f t="shared" si="48"/>
        <v>*0.95</v>
      </c>
      <c r="AK65" t="str">
        <f t="shared" si="49"/>
        <v>*0.95</v>
      </c>
      <c r="AL65" t="str">
        <f t="shared" si="50"/>
        <v>*1.05</v>
      </c>
      <c r="AM65" t="str">
        <f t="shared" si="51"/>
        <v>*0.95</v>
      </c>
      <c r="AN65" t="str">
        <f t="shared" si="52"/>
        <v>*1.00</v>
      </c>
      <c r="AO65" t="str">
        <f t="shared" si="53"/>
        <v>*1.00</v>
      </c>
      <c r="AP65" t="str">
        <f t="shared" si="54"/>
        <v>*1.00</v>
      </c>
      <c r="AQ65" t="str">
        <f t="shared" si="55"/>
        <v>*0.95</v>
      </c>
      <c r="AR65" t="str">
        <f t="shared" si="56"/>
        <v>*0.95</v>
      </c>
      <c r="AS65" t="str">
        <f t="shared" si="57"/>
        <v>*1.00</v>
      </c>
      <c r="AT65" t="str">
        <f t="shared" si="58"/>
        <v>*1.05</v>
      </c>
      <c r="AU65" t="str">
        <f t="shared" si="59"/>
        <v>*0.95</v>
      </c>
      <c r="AV65" t="str">
        <f t="shared" si="60"/>
        <v>*0.95</v>
      </c>
      <c r="AW65" t="str">
        <f t="shared" si="61"/>
        <v>*0.95</v>
      </c>
      <c r="AX65" t="str">
        <f t="shared" si="62"/>
        <v>*0.95</v>
      </c>
      <c r="AY65" t="str">
        <f t="shared" si="63"/>
        <v>*0.95</v>
      </c>
      <c r="AZ65" t="str">
        <f t="shared" si="64"/>
        <v>*1.00</v>
      </c>
      <c r="BA65" t="str">
        <f t="shared" si="65"/>
        <v>*1.00</v>
      </c>
      <c r="BB65" t="str">
        <f t="shared" si="66"/>
        <v>*1.05</v>
      </c>
      <c r="BC65" t="str">
        <f t="shared" si="67"/>
        <v>*0.95</v>
      </c>
      <c r="BD65" t="str">
        <f t="shared" si="68"/>
        <v>*1.00</v>
      </c>
      <c r="BE65" t="str">
        <f t="shared" si="69"/>
        <v>*0.95</v>
      </c>
      <c r="BF65" t="str">
        <f t="shared" si="70"/>
        <v>*0.95</v>
      </c>
    </row>
    <row r="66" spans="23:58">
      <c r="W66" t="s">
        <v>556</v>
      </c>
      <c r="X66" t="str">
        <f t="shared" si="36"/>
        <v>*0.95</v>
      </c>
      <c r="Y66" t="str">
        <f t="shared" si="37"/>
        <v>*0.95</v>
      </c>
      <c r="Z66" t="str">
        <f t="shared" si="38"/>
        <v>*1.05</v>
      </c>
      <c r="AA66" t="str">
        <f t="shared" si="39"/>
        <v>*1.05</v>
      </c>
      <c r="AB66" t="str">
        <f t="shared" si="40"/>
        <v>*0.95</v>
      </c>
      <c r="AC66" t="str">
        <f t="shared" si="41"/>
        <v>*1.00</v>
      </c>
      <c r="AD66" t="str">
        <f t="shared" si="42"/>
        <v>*0.95</v>
      </c>
      <c r="AE66" t="str">
        <f t="shared" si="43"/>
        <v>*0.95</v>
      </c>
      <c r="AF66" t="str">
        <f t="shared" si="44"/>
        <v>*0.95</v>
      </c>
      <c r="AG66" t="str">
        <f t="shared" si="45"/>
        <v>*0.95</v>
      </c>
      <c r="AH66" t="str">
        <f t="shared" si="46"/>
        <v>*1.00</v>
      </c>
      <c r="AI66" t="str">
        <f t="shared" si="47"/>
        <v>*1.05</v>
      </c>
      <c r="AJ66" t="str">
        <f t="shared" si="48"/>
        <v>*0.95</v>
      </c>
      <c r="AK66" t="str">
        <f t="shared" si="49"/>
        <v>*0.95</v>
      </c>
      <c r="AL66" t="str">
        <f t="shared" si="50"/>
        <v>*1.05</v>
      </c>
      <c r="AM66" t="str">
        <f t="shared" si="51"/>
        <v>*0.95</v>
      </c>
      <c r="AN66" t="str">
        <f t="shared" si="52"/>
        <v>*1.00</v>
      </c>
      <c r="AO66" t="str">
        <f t="shared" si="53"/>
        <v>*1.00</v>
      </c>
      <c r="AP66" t="str">
        <f t="shared" si="54"/>
        <v>*1.00</v>
      </c>
      <c r="AQ66" t="str">
        <f t="shared" si="55"/>
        <v>*0.95</v>
      </c>
      <c r="AR66" t="str">
        <f t="shared" si="56"/>
        <v>*0.95</v>
      </c>
      <c r="AS66" t="str">
        <f t="shared" si="57"/>
        <v>*1.00</v>
      </c>
      <c r="AT66" t="str">
        <f t="shared" si="58"/>
        <v>*1.05</v>
      </c>
      <c r="AU66" t="str">
        <f t="shared" si="59"/>
        <v>*0.95</v>
      </c>
      <c r="AV66" t="str">
        <f t="shared" si="60"/>
        <v>*0.95</v>
      </c>
      <c r="AW66" t="str">
        <f t="shared" si="61"/>
        <v>*0.95</v>
      </c>
      <c r="AX66" t="str">
        <f t="shared" si="62"/>
        <v>*0.95</v>
      </c>
      <c r="AY66" t="str">
        <f t="shared" si="63"/>
        <v>*0.95</v>
      </c>
      <c r="AZ66" t="str">
        <f t="shared" si="64"/>
        <v>*1.00</v>
      </c>
      <c r="BA66" t="str">
        <f t="shared" si="65"/>
        <v>*1.00</v>
      </c>
      <c r="BB66" t="str">
        <f t="shared" si="66"/>
        <v>*1.05</v>
      </c>
      <c r="BC66" t="str">
        <f t="shared" si="67"/>
        <v>*0.95</v>
      </c>
      <c r="BD66" t="str">
        <f t="shared" si="68"/>
        <v>*1.00</v>
      </c>
      <c r="BE66" t="str">
        <f t="shared" si="69"/>
        <v>*0.95</v>
      </c>
      <c r="BF66" t="str">
        <f t="shared" si="70"/>
        <v>*0.95</v>
      </c>
    </row>
    <row r="67" spans="23:58">
      <c r="W67" t="s">
        <v>557</v>
      </c>
      <c r="X67" t="str">
        <f t="shared" si="36"/>
        <v>*0.95</v>
      </c>
      <c r="Y67" t="str">
        <f t="shared" si="37"/>
        <v>*0.95</v>
      </c>
      <c r="Z67" t="str">
        <f t="shared" si="38"/>
        <v>*1.05</v>
      </c>
      <c r="AA67" t="str">
        <f t="shared" si="39"/>
        <v>*1.05</v>
      </c>
      <c r="AB67" t="str">
        <f t="shared" si="40"/>
        <v>*0.95</v>
      </c>
      <c r="AC67" t="str">
        <f t="shared" si="41"/>
        <v>*1.00</v>
      </c>
      <c r="AD67" t="str">
        <f t="shared" si="42"/>
        <v>*0.95</v>
      </c>
      <c r="AE67" t="str">
        <f t="shared" si="43"/>
        <v>*0.95</v>
      </c>
      <c r="AF67" t="str">
        <f t="shared" si="44"/>
        <v>*0.95</v>
      </c>
      <c r="AG67" t="str">
        <f t="shared" si="45"/>
        <v>*0.95</v>
      </c>
      <c r="AH67" t="str">
        <f t="shared" si="46"/>
        <v>*1.00</v>
      </c>
      <c r="AI67" t="str">
        <f t="shared" si="47"/>
        <v>*1.05</v>
      </c>
      <c r="AJ67" t="str">
        <f t="shared" si="48"/>
        <v>*0.95</v>
      </c>
      <c r="AK67" t="str">
        <f t="shared" si="49"/>
        <v>*0.95</v>
      </c>
      <c r="AL67" t="str">
        <f t="shared" si="50"/>
        <v>*1.05</v>
      </c>
      <c r="AM67" t="str">
        <f t="shared" si="51"/>
        <v>*0.95</v>
      </c>
      <c r="AN67" t="str">
        <f t="shared" si="52"/>
        <v>*1.00</v>
      </c>
      <c r="AO67" t="str">
        <f t="shared" si="53"/>
        <v>*1.00</v>
      </c>
      <c r="AP67" t="str">
        <f t="shared" si="54"/>
        <v>*1.00</v>
      </c>
      <c r="AQ67" t="str">
        <f t="shared" si="55"/>
        <v>*0.95</v>
      </c>
      <c r="AR67" t="str">
        <f t="shared" si="56"/>
        <v>*0.95</v>
      </c>
      <c r="AS67" t="str">
        <f t="shared" si="57"/>
        <v>*1.00</v>
      </c>
      <c r="AT67" t="str">
        <f t="shared" si="58"/>
        <v>*1.05</v>
      </c>
      <c r="AU67" t="str">
        <f t="shared" si="59"/>
        <v>*0.95</v>
      </c>
      <c r="AV67" t="str">
        <f t="shared" si="60"/>
        <v>*0.95</v>
      </c>
      <c r="AW67" t="str">
        <f t="shared" si="61"/>
        <v>*0.95</v>
      </c>
      <c r="AX67" t="str">
        <f t="shared" si="62"/>
        <v>*0.95</v>
      </c>
      <c r="AY67" t="str">
        <f t="shared" si="63"/>
        <v>*0.95</v>
      </c>
      <c r="AZ67" t="str">
        <f t="shared" si="64"/>
        <v>*1.00</v>
      </c>
      <c r="BA67" t="str">
        <f t="shared" si="65"/>
        <v>*1.00</v>
      </c>
      <c r="BB67" t="str">
        <f t="shared" si="66"/>
        <v>*1.05</v>
      </c>
      <c r="BC67" t="str">
        <f t="shared" si="67"/>
        <v>*0.95</v>
      </c>
      <c r="BD67" t="str">
        <f t="shared" si="68"/>
        <v>*1.00</v>
      </c>
      <c r="BE67" t="str">
        <f t="shared" si="69"/>
        <v>*0.95</v>
      </c>
      <c r="BF67" t="str">
        <f t="shared" si="70"/>
        <v>*0.95</v>
      </c>
    </row>
    <row r="68" spans="23:58">
      <c r="W68" t="s">
        <v>558</v>
      </c>
      <c r="X68" t="str">
        <f t="shared" si="36"/>
        <v>*0.95</v>
      </c>
      <c r="Y68" t="str">
        <f t="shared" si="37"/>
        <v>*0.95</v>
      </c>
      <c r="Z68" t="str">
        <f t="shared" si="38"/>
        <v>*1.05</v>
      </c>
      <c r="AA68" t="str">
        <f t="shared" si="39"/>
        <v>*1.05</v>
      </c>
      <c r="AB68" t="str">
        <f t="shared" si="40"/>
        <v>*0.95</v>
      </c>
      <c r="AC68" t="str">
        <f t="shared" si="41"/>
        <v>*1.00</v>
      </c>
      <c r="AD68" t="str">
        <f t="shared" si="42"/>
        <v>*0.95</v>
      </c>
      <c r="AE68" t="str">
        <f t="shared" si="43"/>
        <v>*0.95</v>
      </c>
      <c r="AF68" t="str">
        <f t="shared" si="44"/>
        <v>*0.95</v>
      </c>
      <c r="AG68" t="str">
        <f t="shared" si="45"/>
        <v>*0.95</v>
      </c>
      <c r="AH68" t="str">
        <f t="shared" si="46"/>
        <v>*1.00</v>
      </c>
      <c r="AI68" t="str">
        <f t="shared" si="47"/>
        <v>*1.05</v>
      </c>
      <c r="AJ68" t="str">
        <f t="shared" si="48"/>
        <v>*0.95</v>
      </c>
      <c r="AK68" t="str">
        <f t="shared" si="49"/>
        <v>*0.95</v>
      </c>
      <c r="AL68" t="str">
        <f t="shared" si="50"/>
        <v>*1.05</v>
      </c>
      <c r="AM68" t="str">
        <f t="shared" si="51"/>
        <v>*0.95</v>
      </c>
      <c r="AN68" t="str">
        <f t="shared" si="52"/>
        <v>*1.00</v>
      </c>
      <c r="AO68" t="str">
        <f t="shared" si="53"/>
        <v>*1.00</v>
      </c>
      <c r="AP68" t="str">
        <f t="shared" si="54"/>
        <v>*1.00</v>
      </c>
      <c r="AQ68" t="str">
        <f t="shared" si="55"/>
        <v>*0.95</v>
      </c>
      <c r="AR68" t="str">
        <f t="shared" si="56"/>
        <v>*0.95</v>
      </c>
      <c r="AS68" t="str">
        <f t="shared" si="57"/>
        <v>*1.00</v>
      </c>
      <c r="AT68" t="str">
        <f t="shared" si="58"/>
        <v>*1.05</v>
      </c>
      <c r="AU68" t="str">
        <f t="shared" si="59"/>
        <v>*0.95</v>
      </c>
      <c r="AV68" t="str">
        <f t="shared" si="60"/>
        <v>*0.95</v>
      </c>
      <c r="AW68" t="str">
        <f t="shared" si="61"/>
        <v>*0.95</v>
      </c>
      <c r="AX68" t="str">
        <f t="shared" si="62"/>
        <v>*0.95</v>
      </c>
      <c r="AY68" t="str">
        <f t="shared" si="63"/>
        <v>*0.95</v>
      </c>
      <c r="AZ68" t="str">
        <f t="shared" si="64"/>
        <v>*1.00</v>
      </c>
      <c r="BA68" t="str">
        <f t="shared" si="65"/>
        <v>*1.00</v>
      </c>
      <c r="BB68" t="str">
        <f t="shared" si="66"/>
        <v>*1.05</v>
      </c>
      <c r="BC68" t="str">
        <f t="shared" si="67"/>
        <v>*0.95</v>
      </c>
      <c r="BD68" t="str">
        <f t="shared" si="68"/>
        <v>*1.00</v>
      </c>
      <c r="BE68" t="str">
        <f t="shared" si="69"/>
        <v>*0.95</v>
      </c>
      <c r="BF68" t="str">
        <f t="shared" si="70"/>
        <v>*0.95</v>
      </c>
    </row>
    <row r="69" spans="23:58">
      <c r="W69" t="s">
        <v>559</v>
      </c>
      <c r="X69" t="str">
        <f t="shared" si="36"/>
        <v>*0.95</v>
      </c>
      <c r="Y69" t="str">
        <f t="shared" si="37"/>
        <v>*0.95</v>
      </c>
      <c r="Z69" t="str">
        <f t="shared" si="38"/>
        <v>*1.05</v>
      </c>
      <c r="AA69" t="str">
        <f t="shared" si="39"/>
        <v>*1.05</v>
      </c>
      <c r="AB69" t="str">
        <f t="shared" si="40"/>
        <v>*0.95</v>
      </c>
      <c r="AC69" t="str">
        <f t="shared" si="41"/>
        <v>*1.00</v>
      </c>
      <c r="AD69" t="str">
        <f t="shared" si="42"/>
        <v>*0.95</v>
      </c>
      <c r="AE69" t="str">
        <f t="shared" si="43"/>
        <v>*0.95</v>
      </c>
      <c r="AF69" t="str">
        <f t="shared" si="44"/>
        <v>*0.95</v>
      </c>
      <c r="AG69" t="str">
        <f t="shared" si="45"/>
        <v>*0.95</v>
      </c>
      <c r="AH69" t="str">
        <f t="shared" si="46"/>
        <v>*1.00</v>
      </c>
      <c r="AI69" t="str">
        <f t="shared" si="47"/>
        <v>*1.05</v>
      </c>
      <c r="AJ69" t="str">
        <f t="shared" si="48"/>
        <v>*0.95</v>
      </c>
      <c r="AK69" t="str">
        <f t="shared" si="49"/>
        <v>*0.95</v>
      </c>
      <c r="AL69" t="str">
        <f t="shared" si="50"/>
        <v>*1.05</v>
      </c>
      <c r="AM69" t="str">
        <f t="shared" si="51"/>
        <v>*0.95</v>
      </c>
      <c r="AN69" t="str">
        <f t="shared" si="52"/>
        <v>*1.00</v>
      </c>
      <c r="AO69" t="str">
        <f t="shared" si="53"/>
        <v>*1.00</v>
      </c>
      <c r="AP69" t="str">
        <f t="shared" si="54"/>
        <v>*1.00</v>
      </c>
      <c r="AQ69" t="str">
        <f t="shared" si="55"/>
        <v>*0.95</v>
      </c>
      <c r="AR69" t="str">
        <f t="shared" si="56"/>
        <v>*0.95</v>
      </c>
      <c r="AS69" t="str">
        <f t="shared" si="57"/>
        <v>*1.00</v>
      </c>
      <c r="AT69" t="str">
        <f t="shared" si="58"/>
        <v>*1.05</v>
      </c>
      <c r="AU69" t="str">
        <f t="shared" si="59"/>
        <v>*0.95</v>
      </c>
      <c r="AV69" t="str">
        <f t="shared" si="60"/>
        <v>*0.95</v>
      </c>
      <c r="AW69" t="str">
        <f t="shared" si="61"/>
        <v>*0.95</v>
      </c>
      <c r="AX69" t="str">
        <f t="shared" si="62"/>
        <v>*0.95</v>
      </c>
      <c r="AY69" t="str">
        <f t="shared" si="63"/>
        <v>*0.95</v>
      </c>
      <c r="AZ69" t="str">
        <f t="shared" si="64"/>
        <v>*1.00</v>
      </c>
      <c r="BA69" t="str">
        <f t="shared" si="65"/>
        <v>*1.00</v>
      </c>
      <c r="BB69" t="str">
        <f t="shared" si="66"/>
        <v>*1.05</v>
      </c>
      <c r="BC69" t="str">
        <f t="shared" si="67"/>
        <v>*0.95</v>
      </c>
      <c r="BD69" t="str">
        <f t="shared" si="68"/>
        <v>*1.00</v>
      </c>
      <c r="BE69" t="str">
        <f t="shared" si="69"/>
        <v>*0.95</v>
      </c>
      <c r="BF69" t="str">
        <f t="shared" si="70"/>
        <v>*0.95</v>
      </c>
    </row>
    <row r="70" spans="23:58">
      <c r="W70" t="s">
        <v>560</v>
      </c>
      <c r="X70" t="str">
        <f t="shared" si="36"/>
        <v>*0.95</v>
      </c>
      <c r="Y70" t="str">
        <f t="shared" si="37"/>
        <v>*0.95</v>
      </c>
      <c r="Z70" t="str">
        <f t="shared" si="38"/>
        <v>*1.05</v>
      </c>
      <c r="AA70" t="str">
        <f t="shared" si="39"/>
        <v>*1.05</v>
      </c>
      <c r="AB70" t="str">
        <f t="shared" si="40"/>
        <v>*0.95</v>
      </c>
      <c r="AC70" t="str">
        <f t="shared" si="41"/>
        <v>*1.00</v>
      </c>
      <c r="AD70" t="str">
        <f t="shared" si="42"/>
        <v>*0.95</v>
      </c>
      <c r="AE70" t="str">
        <f t="shared" si="43"/>
        <v>*0.95</v>
      </c>
      <c r="AF70" t="str">
        <f t="shared" si="44"/>
        <v>*0.95</v>
      </c>
      <c r="AG70" t="str">
        <f t="shared" si="45"/>
        <v>*0.95</v>
      </c>
      <c r="AH70" t="str">
        <f t="shared" si="46"/>
        <v>*1.00</v>
      </c>
      <c r="AI70" t="str">
        <f t="shared" si="47"/>
        <v>*1.05</v>
      </c>
      <c r="AJ70" t="str">
        <f t="shared" si="48"/>
        <v>*0.95</v>
      </c>
      <c r="AK70" t="str">
        <f t="shared" si="49"/>
        <v>*0.95</v>
      </c>
      <c r="AL70" t="str">
        <f t="shared" si="50"/>
        <v>*1.05</v>
      </c>
      <c r="AM70" t="str">
        <f t="shared" si="51"/>
        <v>*0.95</v>
      </c>
      <c r="AN70" t="str">
        <f t="shared" si="52"/>
        <v>*1.00</v>
      </c>
      <c r="AO70" t="str">
        <f t="shared" si="53"/>
        <v>*1.00</v>
      </c>
      <c r="AP70" t="str">
        <f t="shared" si="54"/>
        <v>*1.00</v>
      </c>
      <c r="AQ70" t="str">
        <f t="shared" si="55"/>
        <v>*0.95</v>
      </c>
      <c r="AR70" t="str">
        <f t="shared" si="56"/>
        <v>*0.95</v>
      </c>
      <c r="AS70" t="str">
        <f t="shared" si="57"/>
        <v>*1.00</v>
      </c>
      <c r="AT70" t="str">
        <f t="shared" si="58"/>
        <v>*1.05</v>
      </c>
      <c r="AU70" t="str">
        <f t="shared" si="59"/>
        <v>*0.95</v>
      </c>
      <c r="AV70" t="str">
        <f t="shared" si="60"/>
        <v>*0.95</v>
      </c>
      <c r="AW70" t="str">
        <f t="shared" si="61"/>
        <v>*0.95</v>
      </c>
      <c r="AX70" t="str">
        <f t="shared" si="62"/>
        <v>*0.95</v>
      </c>
      <c r="AY70" t="str">
        <f t="shared" si="63"/>
        <v>*0.95</v>
      </c>
      <c r="AZ70" t="str">
        <f t="shared" si="64"/>
        <v>*1.00</v>
      </c>
      <c r="BA70" t="str">
        <f t="shared" si="65"/>
        <v>*1.00</v>
      </c>
      <c r="BB70" t="str">
        <f t="shared" si="66"/>
        <v>*1.05</v>
      </c>
      <c r="BC70" t="str">
        <f t="shared" si="67"/>
        <v>*0.95</v>
      </c>
      <c r="BD70" t="str">
        <f t="shared" si="68"/>
        <v>*1.00</v>
      </c>
      <c r="BE70" t="str">
        <f t="shared" si="69"/>
        <v>*0.95</v>
      </c>
      <c r="BF70" t="str">
        <f t="shared" si="70"/>
        <v>*0.95</v>
      </c>
    </row>
    <row r="71" spans="23:58">
      <c r="W71" t="s">
        <v>561</v>
      </c>
      <c r="X71" t="str">
        <f t="shared" si="36"/>
        <v>*0.95</v>
      </c>
      <c r="Y71" t="str">
        <f t="shared" si="37"/>
        <v>*0.95</v>
      </c>
      <c r="Z71" t="str">
        <f t="shared" si="38"/>
        <v>*1.05</v>
      </c>
      <c r="AA71" t="str">
        <f t="shared" si="39"/>
        <v>*1.05</v>
      </c>
      <c r="AB71" t="str">
        <f t="shared" si="40"/>
        <v>*0.95</v>
      </c>
      <c r="AC71" t="str">
        <f t="shared" si="41"/>
        <v>*1.00</v>
      </c>
      <c r="AD71" t="str">
        <f t="shared" si="42"/>
        <v>*0.95</v>
      </c>
      <c r="AE71" t="str">
        <f t="shared" si="43"/>
        <v>*0.95</v>
      </c>
      <c r="AF71" t="str">
        <f t="shared" si="44"/>
        <v>*0.95</v>
      </c>
      <c r="AG71" t="str">
        <f t="shared" si="45"/>
        <v>*0.95</v>
      </c>
      <c r="AH71" t="str">
        <f t="shared" si="46"/>
        <v>*1.00</v>
      </c>
      <c r="AI71" t="str">
        <f t="shared" si="47"/>
        <v>*1.05</v>
      </c>
      <c r="AJ71" t="str">
        <f t="shared" si="48"/>
        <v>*0.95</v>
      </c>
      <c r="AK71" t="str">
        <f t="shared" si="49"/>
        <v>*0.95</v>
      </c>
      <c r="AL71" t="str">
        <f t="shared" si="50"/>
        <v>*1.05</v>
      </c>
      <c r="AM71" t="str">
        <f t="shared" si="51"/>
        <v>*0.95</v>
      </c>
      <c r="AN71" t="str">
        <f t="shared" si="52"/>
        <v>*1.00</v>
      </c>
      <c r="AO71" t="str">
        <f t="shared" si="53"/>
        <v>*1.00</v>
      </c>
      <c r="AP71" t="str">
        <f t="shared" si="54"/>
        <v>*1.00</v>
      </c>
      <c r="AQ71" t="str">
        <f t="shared" si="55"/>
        <v>*0.95</v>
      </c>
      <c r="AR71" t="str">
        <f t="shared" si="56"/>
        <v>*0.95</v>
      </c>
      <c r="AS71" t="str">
        <f t="shared" si="57"/>
        <v>*1.00</v>
      </c>
      <c r="AT71" t="str">
        <f t="shared" si="58"/>
        <v>*1.05</v>
      </c>
      <c r="AU71" t="str">
        <f t="shared" si="59"/>
        <v>*0.95</v>
      </c>
      <c r="AV71" t="str">
        <f t="shared" si="60"/>
        <v>*0.95</v>
      </c>
      <c r="AW71" t="str">
        <f t="shared" si="61"/>
        <v>*0.95</v>
      </c>
      <c r="AX71" t="str">
        <f t="shared" si="62"/>
        <v>*0.95</v>
      </c>
      <c r="AY71" t="str">
        <f t="shared" si="63"/>
        <v>*0.95</v>
      </c>
      <c r="AZ71" t="str">
        <f t="shared" si="64"/>
        <v>*1.00</v>
      </c>
      <c r="BA71" t="str">
        <f t="shared" si="65"/>
        <v>*1.00</v>
      </c>
      <c r="BB71" t="str">
        <f t="shared" si="66"/>
        <v>*1.05</v>
      </c>
      <c r="BC71" t="str">
        <f t="shared" si="67"/>
        <v>*0.95</v>
      </c>
      <c r="BD71" t="str">
        <f t="shared" si="68"/>
        <v>*1.00</v>
      </c>
      <c r="BE71" t="str">
        <f t="shared" si="69"/>
        <v>*0.95</v>
      </c>
      <c r="BF71" t="str">
        <f t="shared" si="70"/>
        <v>*0.95</v>
      </c>
    </row>
    <row r="72" spans="23:58">
      <c r="W72" t="s">
        <v>562</v>
      </c>
      <c r="X72" t="str">
        <f t="shared" si="36"/>
        <v>*0.95</v>
      </c>
      <c r="Y72" t="str">
        <f t="shared" si="37"/>
        <v>*0.95</v>
      </c>
      <c r="Z72" t="str">
        <f t="shared" si="38"/>
        <v>*1.05</v>
      </c>
      <c r="AA72" t="str">
        <f t="shared" si="39"/>
        <v>*1.05</v>
      </c>
      <c r="AB72" t="str">
        <f t="shared" si="40"/>
        <v>*0.95</v>
      </c>
      <c r="AC72" t="str">
        <f t="shared" si="41"/>
        <v>*1.00</v>
      </c>
      <c r="AD72" t="str">
        <f t="shared" si="42"/>
        <v>*0.95</v>
      </c>
      <c r="AE72" t="str">
        <f t="shared" si="43"/>
        <v>*0.95</v>
      </c>
      <c r="AF72" t="str">
        <f t="shared" si="44"/>
        <v>*0.95</v>
      </c>
      <c r="AG72" t="str">
        <f t="shared" si="45"/>
        <v>*0.95</v>
      </c>
      <c r="AH72" t="str">
        <f t="shared" si="46"/>
        <v>*1.00</v>
      </c>
      <c r="AI72" t="str">
        <f t="shared" si="47"/>
        <v>*1.05</v>
      </c>
      <c r="AJ72" t="str">
        <f t="shared" si="48"/>
        <v>*0.95</v>
      </c>
      <c r="AK72" t="str">
        <f t="shared" si="49"/>
        <v>*0.95</v>
      </c>
      <c r="AL72" t="str">
        <f t="shared" si="50"/>
        <v>*1.05</v>
      </c>
      <c r="AM72" t="str">
        <f t="shared" si="51"/>
        <v>*0.95</v>
      </c>
      <c r="AN72" t="str">
        <f t="shared" si="52"/>
        <v>*1.00</v>
      </c>
      <c r="AO72" t="str">
        <f t="shared" si="53"/>
        <v>*1.00</v>
      </c>
      <c r="AP72" t="str">
        <f t="shared" si="54"/>
        <v>*1.00</v>
      </c>
      <c r="AQ72" t="str">
        <f t="shared" si="55"/>
        <v>*0.95</v>
      </c>
      <c r="AR72" t="str">
        <f t="shared" si="56"/>
        <v>*0.95</v>
      </c>
      <c r="AS72" t="str">
        <f t="shared" si="57"/>
        <v>*1.00</v>
      </c>
      <c r="AT72" t="str">
        <f t="shared" si="58"/>
        <v>*1.05</v>
      </c>
      <c r="AU72" t="str">
        <f t="shared" si="59"/>
        <v>*0.95</v>
      </c>
      <c r="AV72" t="str">
        <f t="shared" si="60"/>
        <v>*0.95</v>
      </c>
      <c r="AW72" t="str">
        <f t="shared" si="61"/>
        <v>*0.95</v>
      </c>
      <c r="AX72" t="str">
        <f t="shared" si="62"/>
        <v>*0.95</v>
      </c>
      <c r="AY72" t="str">
        <f t="shared" si="63"/>
        <v>*0.95</v>
      </c>
      <c r="AZ72" t="str">
        <f t="shared" si="64"/>
        <v>*1.00</v>
      </c>
      <c r="BA72" t="str">
        <f t="shared" si="65"/>
        <v>*1.00</v>
      </c>
      <c r="BB72" t="str">
        <f t="shared" si="66"/>
        <v>*1.05</v>
      </c>
      <c r="BC72" t="str">
        <f t="shared" si="67"/>
        <v>*0.95</v>
      </c>
      <c r="BD72" t="str">
        <f t="shared" si="68"/>
        <v>*1.00</v>
      </c>
      <c r="BE72" t="str">
        <f t="shared" si="69"/>
        <v>*0.95</v>
      </c>
      <c r="BF72" t="str">
        <f t="shared" si="70"/>
        <v>*0.95</v>
      </c>
    </row>
    <row r="73" spans="23:58">
      <c r="W73" t="s">
        <v>563</v>
      </c>
      <c r="X73" t="str">
        <f t="shared" si="36"/>
        <v>*0.95</v>
      </c>
      <c r="Y73" t="str">
        <f t="shared" si="37"/>
        <v>*0.95</v>
      </c>
      <c r="Z73" t="str">
        <f t="shared" si="38"/>
        <v>*1.05</v>
      </c>
      <c r="AA73" t="str">
        <f t="shared" si="39"/>
        <v>*1.05</v>
      </c>
      <c r="AB73" t="str">
        <f t="shared" si="40"/>
        <v>*0.95</v>
      </c>
      <c r="AC73" t="str">
        <f t="shared" si="41"/>
        <v>*1.00</v>
      </c>
      <c r="AD73" t="str">
        <f t="shared" si="42"/>
        <v>*0.95</v>
      </c>
      <c r="AE73" t="str">
        <f t="shared" si="43"/>
        <v>*0.95</v>
      </c>
      <c r="AF73" t="str">
        <f t="shared" si="44"/>
        <v>*0.95</v>
      </c>
      <c r="AG73" t="str">
        <f t="shared" si="45"/>
        <v>*0.95</v>
      </c>
      <c r="AH73" t="str">
        <f t="shared" si="46"/>
        <v>*1.00</v>
      </c>
      <c r="AI73" t="str">
        <f t="shared" si="47"/>
        <v>*1.05</v>
      </c>
      <c r="AJ73" t="str">
        <f t="shared" si="48"/>
        <v>*0.95</v>
      </c>
      <c r="AK73" t="str">
        <f t="shared" si="49"/>
        <v>*0.95</v>
      </c>
      <c r="AL73" t="str">
        <f t="shared" si="50"/>
        <v>*1.05</v>
      </c>
      <c r="AM73" t="str">
        <f t="shared" si="51"/>
        <v>*0.95</v>
      </c>
      <c r="AN73" t="str">
        <f t="shared" si="52"/>
        <v>*1.00</v>
      </c>
      <c r="AO73" t="str">
        <f t="shared" si="53"/>
        <v>*1.00</v>
      </c>
      <c r="AP73" t="str">
        <f t="shared" si="54"/>
        <v>*1.00</v>
      </c>
      <c r="AQ73" t="str">
        <f t="shared" si="55"/>
        <v>*0.95</v>
      </c>
      <c r="AR73" t="str">
        <f t="shared" si="56"/>
        <v>*0.95</v>
      </c>
      <c r="AS73" t="str">
        <f t="shared" si="57"/>
        <v>*1.00</v>
      </c>
      <c r="AT73" t="str">
        <f t="shared" si="58"/>
        <v>*1.05</v>
      </c>
      <c r="AU73" t="str">
        <f t="shared" si="59"/>
        <v>*0.95</v>
      </c>
      <c r="AV73" t="str">
        <f t="shared" si="60"/>
        <v>*0.95</v>
      </c>
      <c r="AW73" t="str">
        <f t="shared" si="61"/>
        <v>*0.95</v>
      </c>
      <c r="AX73" t="str">
        <f t="shared" si="62"/>
        <v>*0.95</v>
      </c>
      <c r="AY73" t="str">
        <f t="shared" si="63"/>
        <v>*0.95</v>
      </c>
      <c r="AZ73" t="str">
        <f t="shared" si="64"/>
        <v>*1.00</v>
      </c>
      <c r="BA73" t="str">
        <f t="shared" si="65"/>
        <v>*1.00</v>
      </c>
      <c r="BB73" t="str">
        <f t="shared" si="66"/>
        <v>*1.05</v>
      </c>
      <c r="BC73" t="str">
        <f t="shared" si="67"/>
        <v>*0.95</v>
      </c>
      <c r="BD73" t="str">
        <f t="shared" si="68"/>
        <v>*1.00</v>
      </c>
      <c r="BE73" t="str">
        <f t="shared" si="69"/>
        <v>*0.95</v>
      </c>
      <c r="BF73" t="str">
        <f t="shared" si="70"/>
        <v>*0.95</v>
      </c>
    </row>
  </sheetData>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DM266"/>
  <sheetViews>
    <sheetView tabSelected="1" zoomScale="58" zoomScaleNormal="58" topLeftCell="AU14" workbookViewId="0">
      <selection activeCell="AW47" sqref="AW47"/>
    </sheetView>
  </sheetViews>
  <sheetFormatPr defaultColWidth="8.72727272727273" defaultRowHeight="14.5"/>
  <cols>
    <col min="4" max="4" width="56.5727272727273" customWidth="1"/>
    <col min="5" max="5" width="32.8545454545455" customWidth="1"/>
    <col min="6" max="6" width="28.5727272727273" customWidth="1"/>
    <col min="7" max="11" width="12.8545454545455"/>
    <col min="12" max="12" width="32.8545454545455" customWidth="1"/>
    <col min="13" max="38" width="12.8545454545455"/>
    <col min="40" max="42" width="12.8545454545455"/>
    <col min="44" max="44" width="32.4272727272727" customWidth="1"/>
    <col min="47" max="47" width="123.427272727273" customWidth="1"/>
    <col min="48" max="48" width="32.8545454545455" customWidth="1"/>
    <col min="49" max="49" width="12.8545454545455"/>
    <col min="51" max="51" width="12.8545454545455"/>
    <col min="52" max="52" width="21.8545454545455" customWidth="1"/>
    <col min="53" max="53" width="11.7181818181818"/>
    <col min="54" max="87" width="12.8545454545455"/>
    <col min="89" max="91" width="12.8545454545455"/>
    <col min="113" max="115" width="9.85454545454546" style="6"/>
    <col min="116" max="116" width="29.8545454545455" style="6" customWidth="1"/>
    <col min="117" max="117" width="9.85454545454546" style="6"/>
  </cols>
  <sheetData>
    <row r="1" spans="5:117">
      <c r="DI1" s="6" t="s">
        <v>564</v>
      </c>
      <c r="DJ1" s="6" t="s">
        <v>565</v>
      </c>
      <c r="DK1" s="6" t="s">
        <v>199</v>
      </c>
      <c r="DL1" s="6" t="s">
        <v>566</v>
      </c>
      <c r="DM1" s="6" t="s">
        <v>567</v>
      </c>
    </row>
    <row r="2" spans="5:117">
      <c r="DI2" s="6" t="s">
        <v>568</v>
      </c>
      <c r="DJ2" s="6">
        <v>2010</v>
      </c>
      <c r="DK2" s="6">
        <v>0.001</v>
      </c>
      <c r="DL2" s="6" t="s">
        <v>569</v>
      </c>
      <c r="DM2" s="6" t="s">
        <v>570</v>
      </c>
    </row>
    <row r="3" spans="5:117">
      <c r="DI3" s="6" t="s">
        <v>568</v>
      </c>
      <c r="DJ3" s="6">
        <v>2011</v>
      </c>
      <c r="DK3" s="6">
        <v>0.004</v>
      </c>
      <c r="DL3" s="6" t="s">
        <v>569</v>
      </c>
      <c r="DM3" s="6" t="s">
        <v>570</v>
      </c>
    </row>
    <row r="4" spans="5:117">
      <c r="DI4" s="6" t="s">
        <v>568</v>
      </c>
      <c r="DJ4" s="6">
        <v>2012</v>
      </c>
      <c r="DK4" s="6">
        <v>0.009</v>
      </c>
      <c r="DL4" s="6" t="s">
        <v>569</v>
      </c>
      <c r="DM4" s="6" t="s">
        <v>570</v>
      </c>
    </row>
    <row r="5" spans="5:117">
      <c r="DI5" s="6" t="s">
        <v>568</v>
      </c>
      <c r="DJ5" s="6">
        <v>2013</v>
      </c>
      <c r="DK5" s="6">
        <v>0.017</v>
      </c>
      <c r="DL5" s="6" t="s">
        <v>569</v>
      </c>
      <c r="DM5" s="6" t="s">
        <v>570</v>
      </c>
    </row>
    <row r="6" spans="5:117">
      <c r="E6" s="14"/>
      <c r="F6" s="14"/>
      <c r="G6" s="14"/>
      <c r="H6" s="14"/>
      <c r="DI6" s="6" t="s">
        <v>568</v>
      </c>
      <c r="DJ6" s="6">
        <v>2014</v>
      </c>
      <c r="DK6" s="6">
        <v>0.029</v>
      </c>
      <c r="DL6" s="6" t="s">
        <v>569</v>
      </c>
      <c r="DM6" s="6" t="s">
        <v>570</v>
      </c>
    </row>
    <row r="7" spans="5:117">
      <c r="E7" s="14" t="s">
        <v>193</v>
      </c>
      <c r="F7" s="14"/>
      <c r="G7" s="14"/>
      <c r="H7" s="14" t="s">
        <v>571</v>
      </c>
      <c r="DI7" s="6" t="s">
        <v>568</v>
      </c>
      <c r="DJ7" s="6">
        <v>2015</v>
      </c>
      <c r="DK7" s="6">
        <v>0.058</v>
      </c>
      <c r="DL7" s="6" t="s">
        <v>569</v>
      </c>
      <c r="DM7" s="6" t="s">
        <v>570</v>
      </c>
    </row>
    <row r="8" spans="5:117">
      <c r="E8" s="14" t="s">
        <v>572</v>
      </c>
      <c r="F8" s="14" t="s">
        <v>573</v>
      </c>
      <c r="G8" s="14"/>
      <c r="H8" s="14" t="str">
        <f xml:space="preserve">"*"&amp;1/10/[4]storage!$J$2</f>
        <v>*0.1</v>
      </c>
      <c r="DI8" s="6" t="s">
        <v>568</v>
      </c>
      <c r="DJ8" s="6">
        <v>2016</v>
      </c>
      <c r="DK8" s="6">
        <v>0.09</v>
      </c>
      <c r="DL8" s="6" t="s">
        <v>569</v>
      </c>
      <c r="DM8" s="6" t="s">
        <v>570</v>
      </c>
    </row>
    <row r="9" spans="5:117">
      <c r="E9" s="14" t="s">
        <v>572</v>
      </c>
      <c r="F9" s="14" t="str">
        <f t="shared" ref="F9:F17" si="0" xml:space="preserve">F8</f>
        <v>*virgin*, -Tra_EV_Batt-Sodium*</v>
      </c>
      <c r="G9" s="14"/>
      <c r="H9" s="14" t="str">
        <f xml:space="preserve">"*"&amp;1/10/[4]storage!$J$2</f>
        <v>*0.1</v>
      </c>
      <c r="AZ9" t="s">
        <v>574</v>
      </c>
      <c r="DI9" s="6" t="s">
        <v>568</v>
      </c>
      <c r="DJ9" s="6">
        <v>2017</v>
      </c>
      <c r="DK9" s="6">
        <v>0.163</v>
      </c>
      <c r="DL9" s="6" t="s">
        <v>569</v>
      </c>
      <c r="DM9" s="6" t="s">
        <v>570</v>
      </c>
    </row>
    <row r="10" spans="5:117">
      <c r="E10" s="14" t="s">
        <v>572</v>
      </c>
      <c r="F10" s="14" t="str">
        <f t="shared" si="0"/>
        <v>*virgin*, -Tra_EV_Batt-Sodium*</v>
      </c>
      <c r="G10" s="14"/>
      <c r="H10" s="14" t="str">
        <f xml:space="preserve">"*"&amp;1/10/[4]storage!$J$2</f>
        <v>*0.1</v>
      </c>
      <c r="DI10" s="6" t="s">
        <v>568</v>
      </c>
      <c r="DJ10" s="6">
        <v>2018</v>
      </c>
      <c r="DK10" s="6">
        <v>0.301</v>
      </c>
      <c r="DL10" s="6" t="s">
        <v>569</v>
      </c>
      <c r="DM10" s="6" t="s">
        <v>570</v>
      </c>
    </row>
    <row r="11" spans="5:117">
      <c r="E11" s="14" t="s">
        <v>572</v>
      </c>
      <c r="F11" s="14" t="str">
        <f t="shared" si="0"/>
        <v>*virgin*, -Tra_EV_Batt-Sodium*</v>
      </c>
      <c r="G11" s="14"/>
      <c r="H11" s="14" t="str">
        <f xml:space="preserve">"*"&amp;1/10/[4]storage!$J$2</f>
        <v>*0.1</v>
      </c>
      <c r="DI11" s="6" t="s">
        <v>568</v>
      </c>
      <c r="DJ11" s="6">
        <v>2019</v>
      </c>
      <c r="DK11" s="6">
        <v>0.328</v>
      </c>
      <c r="DL11" s="6" t="s">
        <v>569</v>
      </c>
      <c r="DM11" s="6" t="s">
        <v>570</v>
      </c>
    </row>
    <row r="12" spans="5:117">
      <c r="E12" s="14" t="s">
        <v>572</v>
      </c>
      <c r="F12" s="14" t="str">
        <f t="shared" si="0"/>
        <v>*virgin*, -Tra_EV_Batt-Sodium*</v>
      </c>
      <c r="G12" s="14"/>
      <c r="H12" s="14" t="str">
        <f xml:space="preserve">"*"&amp;1/10/[4]storage!$J$2</f>
        <v>*0.1</v>
      </c>
      <c r="AZ12" s="1" t="s">
        <v>66</v>
      </c>
      <c r="BA12" s="1" t="s">
        <v>3</v>
      </c>
      <c r="BB12" s="1" t="s">
        <v>5</v>
      </c>
      <c r="BC12" s="1" t="s">
        <v>6</v>
      </c>
      <c r="BD12" s="1" t="s">
        <v>7</v>
      </c>
      <c r="BE12" s="1" t="s">
        <v>8</v>
      </c>
      <c r="BF12" s="1" t="s">
        <v>9</v>
      </c>
      <c r="BG12" s="1" t="s">
        <v>10</v>
      </c>
      <c r="BH12" s="1" t="s">
        <v>11</v>
      </c>
      <c r="BI12" s="1" t="s">
        <v>12</v>
      </c>
      <c r="BJ12" s="1" t="s">
        <v>13</v>
      </c>
      <c r="BK12" s="1" t="s">
        <v>14</v>
      </c>
      <c r="BL12" s="1" t="s">
        <v>15</v>
      </c>
      <c r="BM12" s="1" t="s">
        <v>16</v>
      </c>
      <c r="BN12" s="1" t="s">
        <v>17</v>
      </c>
      <c r="BO12" s="1" t="s">
        <v>18</v>
      </c>
      <c r="BP12" s="1" t="s">
        <v>19</v>
      </c>
      <c r="BQ12" s="1" t="s">
        <v>20</v>
      </c>
      <c r="BR12" s="1" t="s">
        <v>21</v>
      </c>
      <c r="BS12" s="1" t="s">
        <v>22</v>
      </c>
      <c r="BT12" s="1" t="s">
        <v>23</v>
      </c>
      <c r="BU12" s="1" t="s">
        <v>24</v>
      </c>
      <c r="BV12" s="1" t="s">
        <v>25</v>
      </c>
      <c r="BW12" s="1" t="s">
        <v>26</v>
      </c>
      <c r="BX12" s="1" t="s">
        <v>27</v>
      </c>
      <c r="BY12" s="1" t="s">
        <v>28</v>
      </c>
      <c r="BZ12" s="1" t="s">
        <v>29</v>
      </c>
      <c r="CA12" s="1" t="s">
        <v>30</v>
      </c>
      <c r="CB12" s="1" t="s">
        <v>31</v>
      </c>
      <c r="CC12" s="1" t="s">
        <v>32</v>
      </c>
      <c r="CD12" s="1" t="s">
        <v>33</v>
      </c>
      <c r="CE12" s="1" t="s">
        <v>34</v>
      </c>
      <c r="CF12" s="1" t="s">
        <v>35</v>
      </c>
      <c r="CG12" s="1" t="s">
        <v>36</v>
      </c>
      <c r="CH12" s="1" t="s">
        <v>37</v>
      </c>
      <c r="CI12" s="4" t="s">
        <v>38</v>
      </c>
      <c r="DI12" s="6" t="s">
        <v>575</v>
      </c>
      <c r="DJ12" s="6">
        <v>2010</v>
      </c>
      <c r="DK12" s="6">
        <v>0</v>
      </c>
      <c r="DL12" s="6" t="s">
        <v>576</v>
      </c>
      <c r="DM12" s="6" t="s">
        <v>577</v>
      </c>
    </row>
    <row r="13" spans="5:117">
      <c r="E13" s="14" t="s">
        <v>572</v>
      </c>
      <c r="F13" s="14" t="str">
        <f t="shared" si="0"/>
        <v>*virgin*, -Tra_EV_Batt-Sodium*</v>
      </c>
      <c r="G13" s="14"/>
      <c r="H13" s="14" t="str">
        <f xml:space="preserve">"*"&amp;1/10/[4]storage!$J$2</f>
        <v>*0.1</v>
      </c>
      <c r="AZ13" s="1" t="s">
        <v>249</v>
      </c>
      <c r="BA13" s="1">
        <v>0</v>
      </c>
      <c r="BB13" s="1">
        <v>24.7</v>
      </c>
      <c r="BC13" s="1">
        <v>88</v>
      </c>
      <c r="BD13" s="1">
        <v>0</v>
      </c>
      <c r="BE13" s="1">
        <v>0</v>
      </c>
      <c r="BF13" s="1">
        <v>0</v>
      </c>
      <c r="BG13" s="1">
        <v>10</v>
      </c>
      <c r="BH13" s="1">
        <v>41</v>
      </c>
      <c r="BI13" s="1">
        <v>0</v>
      </c>
      <c r="BJ13" s="1">
        <v>0</v>
      </c>
      <c r="BK13" s="1">
        <v>0</v>
      </c>
      <c r="BL13" s="1">
        <v>0</v>
      </c>
      <c r="BM13" s="1">
        <v>0</v>
      </c>
      <c r="BN13" s="1">
        <v>0</v>
      </c>
      <c r="BO13" s="1">
        <v>0</v>
      </c>
      <c r="BP13" s="1">
        <v>0</v>
      </c>
      <c r="BQ13" s="1">
        <v>0</v>
      </c>
      <c r="BR13" s="1">
        <v>0</v>
      </c>
      <c r="BS13" s="1">
        <v>0</v>
      </c>
      <c r="BT13" s="1">
        <v>67</v>
      </c>
      <c r="BU13" s="1">
        <v>0</v>
      </c>
      <c r="BV13" s="1">
        <v>4.3</v>
      </c>
      <c r="BW13" s="1">
        <v>0</v>
      </c>
      <c r="BX13" s="1">
        <v>0</v>
      </c>
      <c r="BY13" s="1">
        <v>4.6</v>
      </c>
      <c r="BZ13" s="1">
        <v>0</v>
      </c>
      <c r="CA13" s="1">
        <v>0</v>
      </c>
      <c r="CB13" s="1">
        <v>0</v>
      </c>
      <c r="CC13" s="1">
        <v>0.4</v>
      </c>
      <c r="CD13" s="1">
        <v>0</v>
      </c>
      <c r="CE13" s="1">
        <v>0</v>
      </c>
      <c r="CF13" s="1">
        <v>0</v>
      </c>
      <c r="CG13" s="1">
        <v>0</v>
      </c>
      <c r="CH13" s="1">
        <v>0</v>
      </c>
      <c r="CI13" s="1">
        <v>0</v>
      </c>
      <c r="DI13" s="6" t="s">
        <v>575</v>
      </c>
      <c r="DJ13" s="6">
        <v>2011</v>
      </c>
      <c r="DK13" s="6">
        <v>0</v>
      </c>
      <c r="DL13" s="6" t="s">
        <v>576</v>
      </c>
      <c r="DM13" s="6" t="s">
        <v>577</v>
      </c>
    </row>
    <row r="14" spans="5:117">
      <c r="E14" s="14" t="s">
        <v>572</v>
      </c>
      <c r="F14" s="14" t="str">
        <f t="shared" si="0"/>
        <v>*virgin*, -Tra_EV_Batt-Sodium*</v>
      </c>
      <c r="G14" s="14"/>
      <c r="H14" s="14" t="str">
        <f xml:space="preserve">"*"&amp;1/10/[4]storage!$J$2</f>
        <v>*0.1</v>
      </c>
      <c r="AZ14" s="1" t="s">
        <v>251</v>
      </c>
      <c r="BA14" s="1">
        <v>0</v>
      </c>
      <c r="BB14" s="1">
        <v>0</v>
      </c>
      <c r="BC14" s="1">
        <v>110</v>
      </c>
      <c r="BD14" s="1">
        <v>0</v>
      </c>
      <c r="BE14" s="1">
        <v>0</v>
      </c>
      <c r="BF14" s="1">
        <v>0</v>
      </c>
      <c r="BG14" s="1">
        <v>77</v>
      </c>
      <c r="BH14" s="1">
        <v>120</v>
      </c>
      <c r="BI14" s="1">
        <v>0</v>
      </c>
      <c r="BJ14" s="1">
        <v>0</v>
      </c>
      <c r="BK14" s="1">
        <v>0</v>
      </c>
      <c r="BL14" s="1">
        <v>0</v>
      </c>
      <c r="BM14" s="1">
        <v>0</v>
      </c>
      <c r="BN14" s="1">
        <v>0</v>
      </c>
      <c r="BO14" s="1">
        <v>0</v>
      </c>
      <c r="BP14" s="1">
        <v>0</v>
      </c>
      <c r="BQ14" s="1">
        <v>0</v>
      </c>
      <c r="BR14" s="1">
        <v>0</v>
      </c>
      <c r="BS14" s="1">
        <v>0</v>
      </c>
      <c r="BT14" s="1">
        <v>0</v>
      </c>
      <c r="BU14" s="1">
        <v>0</v>
      </c>
      <c r="BV14" s="1">
        <v>198</v>
      </c>
      <c r="BW14" s="1">
        <v>0</v>
      </c>
      <c r="BX14" s="1">
        <v>0</v>
      </c>
      <c r="BY14" s="1">
        <v>2985</v>
      </c>
      <c r="BZ14" s="1">
        <v>210</v>
      </c>
      <c r="CA14" s="1">
        <v>0</v>
      </c>
      <c r="CB14" s="1">
        <v>0</v>
      </c>
      <c r="CC14" s="1">
        <v>0</v>
      </c>
      <c r="CD14" s="1">
        <v>0</v>
      </c>
      <c r="CE14" s="1">
        <v>0</v>
      </c>
      <c r="CF14" s="1">
        <v>0</v>
      </c>
      <c r="CG14" s="1">
        <v>0</v>
      </c>
      <c r="CH14" s="1">
        <v>0</v>
      </c>
      <c r="CI14" s="1">
        <v>0</v>
      </c>
      <c r="DI14" s="6" t="s">
        <v>575</v>
      </c>
      <c r="DJ14" s="6">
        <v>2012</v>
      </c>
      <c r="DK14" s="6">
        <v>0.005</v>
      </c>
      <c r="DL14" s="6" t="s">
        <v>576</v>
      </c>
      <c r="DM14" s="6" t="s">
        <v>577</v>
      </c>
    </row>
    <row r="15" spans="5:117">
      <c r="E15" s="14" t="s">
        <v>572</v>
      </c>
      <c r="F15" s="14" t="str">
        <f t="shared" si="0"/>
        <v>*virgin*, -Tra_EV_Batt-Sodium*</v>
      </c>
      <c r="G15" s="14"/>
      <c r="H15" s="14" t="str">
        <f xml:space="preserve">"*"&amp;1/10/[4]storage!$J$2</f>
        <v>*0.1</v>
      </c>
      <c r="AZ15" s="1" t="s">
        <v>253</v>
      </c>
      <c r="BA15" s="1">
        <v>0</v>
      </c>
      <c r="BB15" s="1">
        <v>222.6</v>
      </c>
      <c r="BC15" s="1">
        <v>3.6</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3.5</v>
      </c>
      <c r="BU15" s="1">
        <v>0</v>
      </c>
      <c r="BV15" s="1">
        <v>4.8</v>
      </c>
      <c r="BW15" s="1">
        <v>0</v>
      </c>
      <c r="BX15" s="1">
        <v>0</v>
      </c>
      <c r="BY15" s="1">
        <v>43.8</v>
      </c>
      <c r="BZ15" s="1">
        <v>8.7</v>
      </c>
      <c r="CA15" s="1">
        <v>0</v>
      </c>
      <c r="CB15" s="1">
        <v>0</v>
      </c>
      <c r="CC15" s="1">
        <v>0</v>
      </c>
      <c r="CD15" s="1">
        <v>0</v>
      </c>
      <c r="CE15" s="1">
        <v>0</v>
      </c>
      <c r="CF15" s="1">
        <v>2.7</v>
      </c>
      <c r="CG15" s="1">
        <v>0</v>
      </c>
      <c r="CH15" s="1">
        <v>0</v>
      </c>
      <c r="CI15" s="1">
        <v>0</v>
      </c>
      <c r="DI15" s="6" t="s">
        <v>575</v>
      </c>
      <c r="DJ15" s="6">
        <v>2013</v>
      </c>
      <c r="DK15" s="6">
        <v>0.015</v>
      </c>
      <c r="DL15" s="6" t="s">
        <v>576</v>
      </c>
      <c r="DM15" s="6" t="s">
        <v>577</v>
      </c>
    </row>
    <row r="16" spans="5:117">
      <c r="E16" s="14" t="s">
        <v>572</v>
      </c>
      <c r="F16" s="14" t="str">
        <f t="shared" si="0"/>
        <v>*virgin*, -Tra_EV_Batt-Sodium*</v>
      </c>
      <c r="G16" s="14"/>
      <c r="H16" s="14" t="str">
        <f xml:space="preserve">"*"&amp;1/10/[4]storage!$J$2</f>
        <v>*0.1</v>
      </c>
      <c r="AZ16" s="1" t="s">
        <v>256</v>
      </c>
      <c r="BA16" s="1">
        <v>0</v>
      </c>
      <c r="BB16" s="1">
        <v>5780</v>
      </c>
      <c r="BC16" s="1">
        <v>2800</v>
      </c>
      <c r="BD16" s="1">
        <v>0</v>
      </c>
      <c r="BE16" s="1">
        <v>0</v>
      </c>
      <c r="BF16" s="1">
        <v>0</v>
      </c>
      <c r="BG16" s="1">
        <v>590</v>
      </c>
      <c r="BH16" s="1">
        <v>770</v>
      </c>
      <c r="BI16" s="1">
        <v>0</v>
      </c>
      <c r="BJ16" s="1">
        <v>0</v>
      </c>
      <c r="BK16" s="1">
        <v>0</v>
      </c>
      <c r="BL16" s="1">
        <v>0</v>
      </c>
      <c r="BM16" s="1">
        <v>0</v>
      </c>
      <c r="BN16" s="1">
        <v>0</v>
      </c>
      <c r="BO16" s="1">
        <v>0</v>
      </c>
      <c r="BP16" s="1">
        <v>800</v>
      </c>
      <c r="BQ16" s="1">
        <v>0</v>
      </c>
      <c r="BR16" s="1">
        <v>0</v>
      </c>
      <c r="BS16" s="1">
        <v>0</v>
      </c>
      <c r="BT16" s="1">
        <v>0</v>
      </c>
      <c r="BU16" s="1">
        <v>0</v>
      </c>
      <c r="BV16" s="1">
        <v>0</v>
      </c>
      <c r="BW16" s="1">
        <v>0</v>
      </c>
      <c r="BX16" s="1">
        <v>0</v>
      </c>
      <c r="BY16" s="1">
        <v>2060</v>
      </c>
      <c r="BZ16" s="1">
        <v>0</v>
      </c>
      <c r="CA16" s="1">
        <v>0</v>
      </c>
      <c r="CB16" s="1">
        <v>7400</v>
      </c>
      <c r="CC16" s="1">
        <v>0</v>
      </c>
      <c r="CD16" s="1">
        <v>0</v>
      </c>
      <c r="CE16" s="1">
        <v>0</v>
      </c>
      <c r="CF16" s="1">
        <v>0</v>
      </c>
      <c r="CG16" s="1">
        <v>0</v>
      </c>
      <c r="CH16" s="1">
        <v>0</v>
      </c>
      <c r="CI16" s="1">
        <v>0</v>
      </c>
      <c r="DI16" s="6" t="s">
        <v>575</v>
      </c>
      <c r="DJ16" s="6">
        <v>2014</v>
      </c>
      <c r="DK16" s="6">
        <v>0.04</v>
      </c>
      <c r="DL16" s="6" t="s">
        <v>576</v>
      </c>
      <c r="DM16" s="6" t="s">
        <v>577</v>
      </c>
    </row>
    <row r="17" spans="5:117">
      <c r="E17" s="14" t="s">
        <v>572</v>
      </c>
      <c r="F17" s="14" t="str">
        <f t="shared" si="0"/>
        <v>*virgin*, -Tra_EV_Batt-Sodium*</v>
      </c>
      <c r="G17" s="14"/>
      <c r="H17" s="14" t="str">
        <f xml:space="preserve">"*"&amp;1/10/[4]storage!$J$2</f>
        <v>*0.1</v>
      </c>
      <c r="AZ17" s="1" t="s">
        <v>258</v>
      </c>
      <c r="BA17" s="1">
        <v>0</v>
      </c>
      <c r="BB17" s="1">
        <v>159</v>
      </c>
      <c r="BC17" s="1">
        <v>9522</v>
      </c>
      <c r="BD17" s="1">
        <v>0</v>
      </c>
      <c r="BE17" s="1">
        <v>0</v>
      </c>
      <c r="BF17" s="1">
        <v>0</v>
      </c>
      <c r="BG17" s="1">
        <v>5819</v>
      </c>
      <c r="BH17" s="1">
        <v>44436</v>
      </c>
      <c r="BI17" s="1">
        <v>0</v>
      </c>
      <c r="BJ17" s="1">
        <v>0</v>
      </c>
      <c r="BK17" s="1">
        <v>0</v>
      </c>
      <c r="BL17" s="1">
        <v>508</v>
      </c>
      <c r="BM17" s="1">
        <v>455</v>
      </c>
      <c r="BN17" s="1">
        <v>0</v>
      </c>
      <c r="BO17" s="1">
        <v>0</v>
      </c>
      <c r="BP17" s="1">
        <v>4020</v>
      </c>
      <c r="BQ17" s="1">
        <v>846</v>
      </c>
      <c r="BR17" s="1">
        <v>0</v>
      </c>
      <c r="BS17" s="1">
        <v>0</v>
      </c>
      <c r="BT17" s="1">
        <v>0</v>
      </c>
      <c r="BU17" s="1">
        <v>1270</v>
      </c>
      <c r="BV17" s="1">
        <v>1175</v>
      </c>
      <c r="BW17" s="1">
        <v>0</v>
      </c>
      <c r="BX17" s="1">
        <v>0</v>
      </c>
      <c r="BY17" s="1">
        <v>3015</v>
      </c>
      <c r="BZ17" s="1">
        <v>1534</v>
      </c>
      <c r="CA17" s="1">
        <v>952</v>
      </c>
      <c r="CB17" s="1">
        <v>0</v>
      </c>
      <c r="CC17" s="1">
        <v>434</v>
      </c>
      <c r="CD17" s="1">
        <v>0</v>
      </c>
      <c r="CE17" s="1">
        <v>0</v>
      </c>
      <c r="CF17" s="1">
        <v>169</v>
      </c>
      <c r="CG17" s="1">
        <v>0</v>
      </c>
      <c r="CH17" s="1">
        <v>0</v>
      </c>
      <c r="CI17" s="1">
        <v>0</v>
      </c>
      <c r="DI17" s="6" t="s">
        <v>575</v>
      </c>
      <c r="DJ17" s="6">
        <v>2015</v>
      </c>
      <c r="DK17" s="6">
        <v>0.14</v>
      </c>
      <c r="DL17" s="6" t="s">
        <v>576</v>
      </c>
      <c r="DM17" s="6" t="s">
        <v>577</v>
      </c>
    </row>
    <row r="18" spans="5:117">
      <c r="E18" s="14"/>
      <c r="F18" s="14"/>
      <c r="G18" s="14"/>
      <c r="H18" s="14"/>
      <c r="AZ18" s="1" t="s">
        <v>260</v>
      </c>
      <c r="BA18" s="1">
        <v>0</v>
      </c>
      <c r="BB18" s="1">
        <v>3980</v>
      </c>
      <c r="BC18" s="1">
        <v>800</v>
      </c>
      <c r="BD18" s="1">
        <v>0</v>
      </c>
      <c r="BE18" s="1">
        <v>0</v>
      </c>
      <c r="BF18" s="1">
        <v>0</v>
      </c>
      <c r="BG18" s="1">
        <v>0</v>
      </c>
      <c r="BH18" s="1">
        <v>1800</v>
      </c>
      <c r="BI18" s="1">
        <v>0</v>
      </c>
      <c r="BJ18" s="1">
        <v>0</v>
      </c>
      <c r="BK18" s="1">
        <v>0</v>
      </c>
      <c r="BL18" s="1">
        <v>0</v>
      </c>
      <c r="BM18" s="1">
        <v>0</v>
      </c>
      <c r="BN18" s="1">
        <v>0</v>
      </c>
      <c r="BO18" s="1">
        <v>0</v>
      </c>
      <c r="BP18" s="1">
        <v>30</v>
      </c>
      <c r="BQ18" s="1">
        <v>0</v>
      </c>
      <c r="BR18" s="1">
        <v>0</v>
      </c>
      <c r="BS18" s="1">
        <v>0</v>
      </c>
      <c r="BT18" s="1">
        <v>7900</v>
      </c>
      <c r="BU18" s="1">
        <v>0</v>
      </c>
      <c r="BV18" s="1">
        <v>2250</v>
      </c>
      <c r="BW18" s="1">
        <v>0</v>
      </c>
      <c r="BX18" s="1">
        <v>410</v>
      </c>
      <c r="BY18" s="1">
        <v>4700</v>
      </c>
      <c r="BZ18" s="1">
        <v>930</v>
      </c>
      <c r="CA18" s="1">
        <v>0</v>
      </c>
      <c r="CB18" s="1">
        <v>0</v>
      </c>
      <c r="CC18" s="1">
        <v>0</v>
      </c>
      <c r="CD18" s="1">
        <v>0</v>
      </c>
      <c r="CE18" s="1">
        <v>0</v>
      </c>
      <c r="CF18" s="1">
        <v>0</v>
      </c>
      <c r="CG18" s="1">
        <v>0</v>
      </c>
      <c r="CH18" s="1">
        <v>0</v>
      </c>
      <c r="CI18" s="1">
        <v>0</v>
      </c>
      <c r="DI18" s="6" t="s">
        <v>575</v>
      </c>
      <c r="DJ18" s="6">
        <v>2016</v>
      </c>
      <c r="DK18" s="6">
        <v>0.22</v>
      </c>
      <c r="DL18" s="6" t="s">
        <v>576</v>
      </c>
      <c r="DM18" s="6" t="s">
        <v>577</v>
      </c>
    </row>
    <row r="19" spans="5:117">
      <c r="E19" s="14"/>
      <c r="F19" s="14"/>
      <c r="G19" s="14"/>
      <c r="H19" s="14"/>
      <c r="AZ19" s="1" t="s">
        <v>262</v>
      </c>
      <c r="BA19" s="1">
        <v>0</v>
      </c>
      <c r="BB19" s="1">
        <v>189</v>
      </c>
      <c r="BC19" s="1">
        <v>0</v>
      </c>
      <c r="BD19" s="1">
        <v>0.5</v>
      </c>
      <c r="BE19" s="1">
        <v>0</v>
      </c>
      <c r="BF19" s="1">
        <v>0</v>
      </c>
      <c r="BG19" s="1">
        <v>68</v>
      </c>
      <c r="BH19" s="1">
        <v>1270</v>
      </c>
      <c r="BI19" s="1">
        <v>0</v>
      </c>
      <c r="BJ19" s="1">
        <v>0</v>
      </c>
      <c r="BK19" s="1">
        <v>0</v>
      </c>
      <c r="BL19" s="1">
        <v>0.2</v>
      </c>
      <c r="BM19" s="1">
        <v>0</v>
      </c>
      <c r="BN19" s="1">
        <v>0</v>
      </c>
      <c r="BO19" s="1">
        <v>0</v>
      </c>
      <c r="BP19" s="1">
        <v>28</v>
      </c>
      <c r="BQ19" s="1">
        <v>0</v>
      </c>
      <c r="BR19" s="1">
        <v>0</v>
      </c>
      <c r="BS19" s="1">
        <v>0</v>
      </c>
      <c r="BT19" s="1">
        <v>0</v>
      </c>
      <c r="BU19" s="1">
        <v>0</v>
      </c>
      <c r="BV19" s="1">
        <v>20.9</v>
      </c>
      <c r="BW19" s="1">
        <v>7</v>
      </c>
      <c r="BX19" s="1">
        <v>0</v>
      </c>
      <c r="BY19" s="1">
        <v>22.9</v>
      </c>
      <c r="BZ19" s="1">
        <v>20</v>
      </c>
      <c r="CA19" s="1">
        <v>0</v>
      </c>
      <c r="CB19" s="1">
        <v>0</v>
      </c>
      <c r="CC19" s="1">
        <v>0</v>
      </c>
      <c r="CD19" s="1">
        <v>0</v>
      </c>
      <c r="CE19" s="1">
        <v>0</v>
      </c>
      <c r="CF19" s="1">
        <v>3</v>
      </c>
      <c r="CG19" s="1">
        <v>0</v>
      </c>
      <c r="CH19" s="1">
        <v>1.2</v>
      </c>
      <c r="CI19" s="1">
        <v>0</v>
      </c>
      <c r="DI19" s="6" t="s">
        <v>575</v>
      </c>
      <c r="DJ19" s="6">
        <v>2017</v>
      </c>
      <c r="DK19" s="6">
        <v>0.25</v>
      </c>
      <c r="DL19" s="6" t="s">
        <v>576</v>
      </c>
      <c r="DM19" s="6" t="s">
        <v>577</v>
      </c>
    </row>
    <row r="20" spans="5:117">
      <c r="E20" s="14"/>
      <c r="F20" s="14"/>
      <c r="G20" s="14"/>
      <c r="H20" s="14"/>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DI20" s="6" t="s">
        <v>575</v>
      </c>
      <c r="DJ20" s="6">
        <v>2018</v>
      </c>
      <c r="DK20" s="6">
        <v>0.21</v>
      </c>
      <c r="DL20" s="6" t="s">
        <v>576</v>
      </c>
      <c r="DM20" s="6" t="s">
        <v>577</v>
      </c>
    </row>
    <row r="21" spans="5:117">
      <c r="E21" s="14"/>
      <c r="F21" s="14"/>
      <c r="G21" s="14"/>
      <c r="H21" s="14"/>
      <c r="DI21" s="6" t="s">
        <v>575</v>
      </c>
      <c r="DJ21" s="6">
        <v>2019</v>
      </c>
      <c r="DK21" s="6">
        <v>0.12</v>
      </c>
      <c r="DL21" s="6" t="s">
        <v>576</v>
      </c>
      <c r="DM21" s="6" t="s">
        <v>577</v>
      </c>
    </row>
    <row r="22" spans="5:117">
      <c r="E22" s="14"/>
      <c r="F22" s="14"/>
      <c r="G22" s="14"/>
      <c r="H22" s="14"/>
      <c r="DI22" s="6" t="s">
        <v>578</v>
      </c>
      <c r="DJ22" s="6">
        <v>2010</v>
      </c>
      <c r="DK22" s="6">
        <v>0</v>
      </c>
      <c r="DL22" s="6" t="s">
        <v>579</v>
      </c>
      <c r="DM22" s="6" t="s">
        <v>580</v>
      </c>
    </row>
    <row r="23" spans="5:117">
      <c r="E23" s="14"/>
      <c r="F23" s="14"/>
      <c r="G23" s="14"/>
      <c r="H23" s="14"/>
      <c r="DI23" s="6" t="s">
        <v>578</v>
      </c>
      <c r="DJ23" s="6">
        <v>2011</v>
      </c>
      <c r="DK23" s="6">
        <v>0</v>
      </c>
      <c r="DL23" s="6" t="s">
        <v>579</v>
      </c>
      <c r="DM23" s="6" t="s">
        <v>580</v>
      </c>
    </row>
    <row r="24" spans="5:117">
      <c r="E24" s="14"/>
      <c r="F24" s="14"/>
      <c r="G24" s="14"/>
      <c r="H24" s="14"/>
      <c r="DI24" s="6" t="s">
        <v>578</v>
      </c>
      <c r="DJ24" s="6">
        <v>2012</v>
      </c>
      <c r="DK24" s="6">
        <v>0</v>
      </c>
      <c r="DL24" s="6" t="s">
        <v>579</v>
      </c>
      <c r="DM24" s="6" t="s">
        <v>580</v>
      </c>
    </row>
    <row r="25" spans="5:117">
      <c r="E25" s="14" t="s">
        <v>193</v>
      </c>
      <c r="F25" s="14" t="s">
        <v>207</v>
      </c>
      <c r="G25" s="14" t="s">
        <v>362</v>
      </c>
      <c r="H25" s="14" t="s">
        <v>571</v>
      </c>
      <c r="DI25" s="6" t="s">
        <v>578</v>
      </c>
      <c r="DJ25" s="6">
        <v>2013</v>
      </c>
      <c r="DK25" s="6">
        <v>0.019</v>
      </c>
      <c r="DL25" s="6" t="s">
        <v>579</v>
      </c>
      <c r="DM25" s="6" t="s">
        <v>581</v>
      </c>
    </row>
    <row r="26" spans="5:117">
      <c r="E26" s="14" t="s">
        <v>572</v>
      </c>
      <c r="F26" s="14" t="s">
        <v>582</v>
      </c>
      <c r="G26" s="14">
        <v>2019</v>
      </c>
      <c r="H26" s="14" t="str">
        <f xml:space="preserve">"*"&amp;1/10/[4]storage!$J$2</f>
        <v>*0.1</v>
      </c>
      <c r="DI26" s="6" t="s">
        <v>578</v>
      </c>
      <c r="DJ26" s="6">
        <v>2014</v>
      </c>
      <c r="DK26" s="6">
        <v>0.037</v>
      </c>
      <c r="DL26" s="6" t="s">
        <v>579</v>
      </c>
      <c r="DM26" s="6" t="s">
        <v>581</v>
      </c>
    </row>
    <row r="27" spans="5:117">
      <c r="E27" s="14" t="s">
        <v>572</v>
      </c>
      <c r="F27" s="14" t="str">
        <f t="shared" ref="F27:F35" si="1" xml:space="preserve">F26</f>
        <v>MINBatMaterials*</v>
      </c>
      <c r="G27" s="14">
        <f t="shared" ref="G27:G34" si="2" xml:space="preserve">G26-1</f>
        <v>2018</v>
      </c>
      <c r="H27" s="14" t="str">
        <f xml:space="preserve">"*"&amp;1/10/[4]storage!$J$2</f>
        <v>*0.1</v>
      </c>
      <c r="DI27" s="6" t="s">
        <v>578</v>
      </c>
      <c r="DJ27" s="6">
        <v>2015</v>
      </c>
      <c r="DK27" s="6">
        <v>0.065</v>
      </c>
      <c r="DL27" s="6" t="s">
        <v>579</v>
      </c>
      <c r="DM27" s="6" t="s">
        <v>581</v>
      </c>
    </row>
    <row r="28" spans="5:117">
      <c r="E28" s="14" t="s">
        <v>572</v>
      </c>
      <c r="F28" s="14" t="str">
        <f t="shared" si="1"/>
        <v>MINBatMaterials*</v>
      </c>
      <c r="G28" s="14">
        <f t="shared" si="2"/>
        <v>2017</v>
      </c>
      <c r="H28" s="14" t="str">
        <f xml:space="preserve">"*"&amp;1/10/[4]storage!$J$2</f>
        <v>*0.1</v>
      </c>
      <c r="AV28" s="15" t="s">
        <v>583</v>
      </c>
      <c r="DI28" s="6" t="s">
        <v>578</v>
      </c>
      <c r="DJ28" s="6">
        <v>2016</v>
      </c>
      <c r="DK28" s="6">
        <v>0.121</v>
      </c>
      <c r="DL28" s="6" t="s">
        <v>579</v>
      </c>
      <c r="DM28" s="6" t="s">
        <v>581</v>
      </c>
    </row>
    <row r="29" spans="5:117">
      <c r="E29" s="14" t="s">
        <v>572</v>
      </c>
      <c r="F29" s="14" t="str">
        <f t="shared" si="1"/>
        <v>MINBatMaterials*</v>
      </c>
      <c r="G29" s="14">
        <f t="shared" si="2"/>
        <v>2016</v>
      </c>
      <c r="H29" s="14" t="str">
        <f xml:space="preserve">"*"&amp;1/10/[4]storage!$J$2</f>
        <v>*0.1</v>
      </c>
      <c r="DI29" s="6" t="s">
        <v>578</v>
      </c>
      <c r="DJ29" s="6">
        <v>2017</v>
      </c>
      <c r="DK29" s="6">
        <v>0.159</v>
      </c>
      <c r="DL29" s="6" t="s">
        <v>579</v>
      </c>
      <c r="DM29" s="6" t="s">
        <v>581</v>
      </c>
    </row>
    <row r="30" spans="5:117">
      <c r="E30" s="14" t="s">
        <v>572</v>
      </c>
      <c r="F30" s="14" t="str">
        <f t="shared" si="1"/>
        <v>MINBatMaterials*</v>
      </c>
      <c r="G30" s="14">
        <f t="shared" si="2"/>
        <v>2015</v>
      </c>
      <c r="H30" s="14" t="str">
        <f xml:space="preserve">"*"&amp;1/10/[4]storage!$J$2</f>
        <v>*0.1</v>
      </c>
      <c r="AV30" t="s">
        <v>66</v>
      </c>
      <c r="AW30" t="s">
        <v>3</v>
      </c>
      <c r="AX30" t="s">
        <v>5</v>
      </c>
      <c r="AY30" t="s">
        <v>6</v>
      </c>
      <c r="AZ30" t="s">
        <v>7</v>
      </c>
      <c r="BA30" t="s">
        <v>8</v>
      </c>
      <c r="BB30" t="s">
        <v>9</v>
      </c>
      <c r="BC30" t="s">
        <v>10</v>
      </c>
      <c r="BD30" t="s">
        <v>11</v>
      </c>
      <c r="BE30" t="s">
        <v>12</v>
      </c>
      <c r="BF30" t="s">
        <v>13</v>
      </c>
      <c r="BG30" t="s">
        <v>14</v>
      </c>
      <c r="BH30" t="s">
        <v>15</v>
      </c>
      <c r="BI30" t="s">
        <v>16</v>
      </c>
      <c r="BJ30" t="s">
        <v>17</v>
      </c>
      <c r="BK30" t="s">
        <v>18</v>
      </c>
      <c r="BL30" t="s">
        <v>19</v>
      </c>
      <c r="BM30" t="s">
        <v>20</v>
      </c>
      <c r="BN30" t="s">
        <v>21</v>
      </c>
      <c r="BO30" t="s">
        <v>22</v>
      </c>
      <c r="BP30" t="s">
        <v>23</v>
      </c>
      <c r="BQ30" t="s">
        <v>24</v>
      </c>
      <c r="BR30" t="s">
        <v>25</v>
      </c>
      <c r="BS30" t="s">
        <v>26</v>
      </c>
      <c r="BT30" t="s">
        <v>27</v>
      </c>
      <c r="BU30" t="s">
        <v>28</v>
      </c>
      <c r="BV30" t="s">
        <v>29</v>
      </c>
      <c r="BW30" t="s">
        <v>30</v>
      </c>
      <c r="BX30" t="s">
        <v>31</v>
      </c>
      <c r="BY30" t="s">
        <v>32</v>
      </c>
      <c r="BZ30" t="s">
        <v>33</v>
      </c>
      <c r="CA30" t="s">
        <v>34</v>
      </c>
      <c r="CB30" t="s">
        <v>35</v>
      </c>
      <c r="CC30" t="s">
        <v>36</v>
      </c>
      <c r="CD30" t="s">
        <v>37</v>
      </c>
      <c r="CE30" t="s">
        <v>38</v>
      </c>
      <c r="DI30" s="6" t="s">
        <v>578</v>
      </c>
      <c r="DJ30" s="6">
        <v>2018</v>
      </c>
      <c r="DK30" s="6">
        <v>0.308</v>
      </c>
      <c r="DL30" s="6" t="s">
        <v>579</v>
      </c>
      <c r="DM30" s="6" t="s">
        <v>581</v>
      </c>
    </row>
    <row r="31" spans="5:117">
      <c r="E31" s="14" t="s">
        <v>572</v>
      </c>
      <c r="F31" s="14" t="str">
        <f t="shared" si="1"/>
        <v>MINBatMaterials*</v>
      </c>
      <c r="G31" s="14">
        <f t="shared" si="2"/>
        <v>2014</v>
      </c>
      <c r="H31" s="14" t="str">
        <f xml:space="preserve">"*"&amp;1/10/[4]storage!$J$2</f>
        <v>*0.1</v>
      </c>
      <c r="AV31" t="s">
        <v>69</v>
      </c>
      <c r="AW31">
        <v>0</v>
      </c>
      <c r="AX31">
        <v>0</v>
      </c>
      <c r="AY31">
        <v>0.004</v>
      </c>
      <c r="AZ31">
        <v>0.01</v>
      </c>
      <c r="BA31">
        <v>0.004</v>
      </c>
      <c r="BB31">
        <v>0.104</v>
      </c>
      <c r="BC31">
        <v>0.01</v>
      </c>
      <c r="BD31">
        <v>122.238</v>
      </c>
      <c r="BE31">
        <v>0</v>
      </c>
      <c r="BF31">
        <v>0.01</v>
      </c>
      <c r="BG31">
        <v>0.063</v>
      </c>
      <c r="BH31">
        <v>0.052</v>
      </c>
      <c r="BI31">
        <v>0</v>
      </c>
      <c r="BJ31">
        <v>0.01</v>
      </c>
      <c r="BK31">
        <v>0</v>
      </c>
      <c r="BL31">
        <v>0.125</v>
      </c>
      <c r="BM31">
        <v>0</v>
      </c>
      <c r="BN31">
        <v>0.021</v>
      </c>
      <c r="BO31">
        <v>0.01</v>
      </c>
      <c r="BP31">
        <v>0.047</v>
      </c>
      <c r="BQ31">
        <v>0.004</v>
      </c>
      <c r="BR31">
        <v>0.147</v>
      </c>
      <c r="BS31">
        <v>0.021</v>
      </c>
      <c r="BT31">
        <v>0.057</v>
      </c>
      <c r="BU31">
        <v>0.063</v>
      </c>
      <c r="BV31">
        <v>0.02</v>
      </c>
      <c r="BW31">
        <v>0</v>
      </c>
      <c r="BX31">
        <v>0</v>
      </c>
      <c r="BY31">
        <v>0.031</v>
      </c>
      <c r="BZ31">
        <v>0.063</v>
      </c>
      <c r="CA31">
        <v>0.01</v>
      </c>
      <c r="CB31">
        <v>0.01</v>
      </c>
      <c r="CC31">
        <v>0.084</v>
      </c>
      <c r="CD31">
        <v>0</v>
      </c>
      <c r="CE31">
        <v>0</v>
      </c>
      <c r="DI31" s="6" t="s">
        <v>578</v>
      </c>
      <c r="DJ31" s="6">
        <v>2019</v>
      </c>
      <c r="DK31" s="6">
        <v>0.291</v>
      </c>
      <c r="DL31" s="6" t="s">
        <v>579</v>
      </c>
      <c r="DM31" s="6" t="s">
        <v>581</v>
      </c>
    </row>
    <row r="32" spans="5:117">
      <c r="E32" s="14" t="s">
        <v>572</v>
      </c>
      <c r="F32" s="14" t="str">
        <f t="shared" si="1"/>
        <v>MINBatMaterials*</v>
      </c>
      <c r="G32" s="14">
        <f t="shared" si="2"/>
        <v>2013</v>
      </c>
      <c r="H32" s="14" t="str">
        <f xml:space="preserve">"*"&amp;1/10/[4]storage!$J$2</f>
        <v>*0.1</v>
      </c>
      <c r="AV32" t="s">
        <v>82</v>
      </c>
      <c r="AW32">
        <v>0.003</v>
      </c>
      <c r="AX32">
        <v>0.003</v>
      </c>
      <c r="AY32">
        <v>0.102</v>
      </c>
      <c r="AZ32">
        <v>0.342</v>
      </c>
      <c r="BA32">
        <v>0.039</v>
      </c>
      <c r="BB32">
        <v>1.564</v>
      </c>
      <c r="BC32">
        <v>0.012</v>
      </c>
      <c r="BD32">
        <v>21.06</v>
      </c>
      <c r="BE32">
        <v>0.028</v>
      </c>
      <c r="BF32">
        <v>0.044</v>
      </c>
      <c r="BG32">
        <v>2.52</v>
      </c>
      <c r="BH32">
        <v>1.977</v>
      </c>
      <c r="BI32">
        <v>0.006</v>
      </c>
      <c r="BJ32">
        <v>0.085</v>
      </c>
      <c r="BK32">
        <v>0.125</v>
      </c>
      <c r="BL32">
        <v>0.07</v>
      </c>
      <c r="BM32">
        <v>0.082</v>
      </c>
      <c r="BN32">
        <v>0.256</v>
      </c>
      <c r="BO32">
        <v>2.283</v>
      </c>
      <c r="BP32">
        <v>0.045</v>
      </c>
      <c r="BQ32">
        <v>0.039</v>
      </c>
      <c r="BR32">
        <v>6.931</v>
      </c>
      <c r="BS32">
        <v>2.708</v>
      </c>
      <c r="BT32">
        <v>0.053</v>
      </c>
      <c r="BU32">
        <v>0.474</v>
      </c>
      <c r="BV32">
        <v>0.056</v>
      </c>
      <c r="BW32">
        <v>0.002</v>
      </c>
      <c r="BX32">
        <v>0.009</v>
      </c>
      <c r="BY32">
        <v>0.523</v>
      </c>
      <c r="BZ32">
        <v>0.89</v>
      </c>
      <c r="CA32">
        <v>0.337</v>
      </c>
      <c r="CB32">
        <v>0.012</v>
      </c>
      <c r="CC32">
        <v>1.589</v>
      </c>
      <c r="CD32">
        <v>0.112</v>
      </c>
      <c r="CE32">
        <v>0.005</v>
      </c>
    </row>
    <row r="33" spans="4:91">
      <c r="E33" s="14" t="s">
        <v>572</v>
      </c>
      <c r="F33" s="14" t="str">
        <f t="shared" si="1"/>
        <v>MINBatMaterials*</v>
      </c>
      <c r="G33" s="14">
        <f t="shared" si="2"/>
        <v>2012</v>
      </c>
      <c r="H33" s="14" t="str">
        <f xml:space="preserve">"*"&amp;1/10/[4]storage!$J$2</f>
        <v>*0.1</v>
      </c>
      <c r="AV33" t="s">
        <v>87</v>
      </c>
      <c r="AW33">
        <v>0.003</v>
      </c>
      <c r="AX33">
        <v>0.003</v>
      </c>
      <c r="AY33">
        <v>0.085</v>
      </c>
      <c r="AZ33">
        <v>0.279</v>
      </c>
      <c r="BA33">
        <v>0.033</v>
      </c>
      <c r="BB33">
        <v>1.287</v>
      </c>
      <c r="BC33">
        <v>0.01</v>
      </c>
      <c r="BD33">
        <v>45.589</v>
      </c>
      <c r="BE33">
        <v>0.024</v>
      </c>
      <c r="BF33">
        <v>0.035</v>
      </c>
      <c r="BG33">
        <v>1.911</v>
      </c>
      <c r="BH33">
        <v>1.573</v>
      </c>
      <c r="BI33">
        <v>0.005</v>
      </c>
      <c r="BJ33">
        <v>0.069</v>
      </c>
      <c r="BK33">
        <v>0.104</v>
      </c>
      <c r="BL33">
        <v>0.007</v>
      </c>
      <c r="BM33">
        <v>0.067</v>
      </c>
      <c r="BN33">
        <v>0.203</v>
      </c>
      <c r="BO33">
        <v>0.422</v>
      </c>
      <c r="BP33">
        <v>0.039</v>
      </c>
      <c r="BQ33">
        <v>0.033</v>
      </c>
      <c r="BR33">
        <v>4.852</v>
      </c>
      <c r="BS33">
        <v>1.621</v>
      </c>
      <c r="BT33">
        <v>0.046</v>
      </c>
      <c r="BU33">
        <v>1.542</v>
      </c>
      <c r="BV33">
        <v>0.048</v>
      </c>
      <c r="BW33">
        <v>0.001</v>
      </c>
      <c r="BX33">
        <v>0.007</v>
      </c>
      <c r="BY33">
        <v>0.424</v>
      </c>
      <c r="BZ33">
        <v>0.723</v>
      </c>
      <c r="CA33">
        <v>0.275</v>
      </c>
      <c r="CB33">
        <v>0.011</v>
      </c>
      <c r="CC33">
        <v>1.293</v>
      </c>
      <c r="CD33">
        <v>0.019</v>
      </c>
      <c r="CE33">
        <v>0.004</v>
      </c>
    </row>
    <row r="34" spans="4:91">
      <c r="E34" s="14" t="s">
        <v>572</v>
      </c>
      <c r="F34" s="14" t="str">
        <f t="shared" si="1"/>
        <v>MINBatMaterials*</v>
      </c>
      <c r="G34" s="14">
        <f t="shared" si="2"/>
        <v>2011</v>
      </c>
      <c r="H34" s="14" t="str">
        <f xml:space="preserve">"*"&amp;1/10/[4]storage!$J$2</f>
        <v>*0.1</v>
      </c>
      <c r="AV34" t="s">
        <v>91</v>
      </c>
      <c r="AW34">
        <v>0.001</v>
      </c>
      <c r="AX34">
        <v>0.001</v>
      </c>
      <c r="AY34">
        <v>0.017</v>
      </c>
      <c r="AZ34">
        <v>0.053</v>
      </c>
      <c r="BA34">
        <v>0.006</v>
      </c>
      <c r="BB34">
        <v>0.244</v>
      </c>
      <c r="BC34">
        <v>0.001</v>
      </c>
      <c r="BD34">
        <v>9.391</v>
      </c>
      <c r="BE34">
        <v>0.005</v>
      </c>
      <c r="BF34">
        <v>0.006</v>
      </c>
      <c r="BG34">
        <v>0.32</v>
      </c>
      <c r="BH34">
        <v>0.288</v>
      </c>
      <c r="BI34">
        <v>0.001</v>
      </c>
      <c r="BJ34">
        <v>0.012</v>
      </c>
      <c r="BK34">
        <v>0.021</v>
      </c>
      <c r="BL34">
        <v>0</v>
      </c>
      <c r="BM34">
        <v>0.013</v>
      </c>
      <c r="BN34">
        <v>0.036</v>
      </c>
      <c r="BO34">
        <v>0</v>
      </c>
      <c r="BP34">
        <v>0.004</v>
      </c>
      <c r="BQ34">
        <v>0.006</v>
      </c>
      <c r="BR34">
        <v>4.766</v>
      </c>
      <c r="BS34">
        <v>0.527</v>
      </c>
      <c r="BT34">
        <v>0.005</v>
      </c>
      <c r="BU34">
        <v>1.079</v>
      </c>
      <c r="BV34">
        <v>0.008</v>
      </c>
      <c r="BW34">
        <v>0</v>
      </c>
      <c r="BX34">
        <v>0.001</v>
      </c>
      <c r="BY34">
        <v>0.079</v>
      </c>
      <c r="BZ34">
        <v>0.134</v>
      </c>
      <c r="CA34">
        <v>0.052</v>
      </c>
      <c r="CB34">
        <v>0.002</v>
      </c>
      <c r="CC34">
        <v>0.243</v>
      </c>
      <c r="CD34">
        <v>0</v>
      </c>
      <c r="CE34">
        <v>0.001</v>
      </c>
    </row>
    <row r="35" spans="4:91">
      <c r="E35" s="14" t="s">
        <v>572</v>
      </c>
      <c r="F35" s="14" t="str">
        <f t="shared" si="1"/>
        <v>MINBatMaterials*</v>
      </c>
      <c r="G35" s="14">
        <v>2020</v>
      </c>
      <c r="H35" s="14" t="str">
        <f xml:space="preserve">"*"&amp;1/10/[4]storage!$J$2</f>
        <v>*0.1</v>
      </c>
      <c r="AV35" t="s">
        <v>95</v>
      </c>
      <c r="AW35">
        <v>0</v>
      </c>
      <c r="AX35">
        <v>0</v>
      </c>
      <c r="AY35">
        <v>0</v>
      </c>
      <c r="AZ35">
        <v>0</v>
      </c>
      <c r="BA35">
        <v>0</v>
      </c>
      <c r="BB35">
        <v>0</v>
      </c>
      <c r="BC35">
        <v>0</v>
      </c>
      <c r="BD35">
        <v>1.701</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row>
    <row r="36" spans="4:91">
      <c r="AV36" t="s">
        <v>78</v>
      </c>
      <c r="AW36">
        <v>0.002</v>
      </c>
      <c r="AX36">
        <v>0.002</v>
      </c>
      <c r="AY36">
        <v>0.067</v>
      </c>
      <c r="AZ36">
        <v>0.212</v>
      </c>
      <c r="BA36">
        <v>0.025</v>
      </c>
      <c r="BB36">
        <v>0.976</v>
      </c>
      <c r="BC36">
        <v>0.006</v>
      </c>
      <c r="BD36">
        <v>2.551</v>
      </c>
      <c r="BE36">
        <v>0.019</v>
      </c>
      <c r="BF36">
        <v>0.022</v>
      </c>
      <c r="BG36">
        <v>1.282</v>
      </c>
      <c r="BH36">
        <v>1.151</v>
      </c>
      <c r="BI36">
        <v>0.004</v>
      </c>
      <c r="BJ36">
        <v>0.05</v>
      </c>
      <c r="BK36">
        <v>0.084</v>
      </c>
      <c r="BL36">
        <v>0</v>
      </c>
      <c r="BM36">
        <v>0.052</v>
      </c>
      <c r="BN36">
        <v>0.143</v>
      </c>
      <c r="BO36">
        <v>0.722</v>
      </c>
      <c r="BP36">
        <v>0.017</v>
      </c>
      <c r="BQ36">
        <v>0.025</v>
      </c>
      <c r="BR36">
        <v>44.259</v>
      </c>
      <c r="BS36">
        <v>3.688</v>
      </c>
      <c r="BT36">
        <v>0.019</v>
      </c>
      <c r="BU36">
        <v>1.079</v>
      </c>
      <c r="BV36">
        <v>0.033</v>
      </c>
      <c r="BW36">
        <v>0.001</v>
      </c>
      <c r="BX36">
        <v>0.006</v>
      </c>
      <c r="BY36">
        <v>0.315</v>
      </c>
      <c r="BZ36">
        <v>0.535</v>
      </c>
      <c r="CA36">
        <v>0.208</v>
      </c>
      <c r="CB36">
        <v>0.006</v>
      </c>
      <c r="CC36">
        <v>0.97</v>
      </c>
      <c r="CD36">
        <v>0.037</v>
      </c>
      <c r="CE36">
        <v>0.003</v>
      </c>
    </row>
    <row r="37" spans="4:91">
      <c r="AV37" t="s">
        <v>74</v>
      </c>
      <c r="AW37">
        <v>0.002</v>
      </c>
      <c r="AX37">
        <v>0.002</v>
      </c>
      <c r="AY37">
        <v>0.067</v>
      </c>
      <c r="AZ37">
        <v>0.233</v>
      </c>
      <c r="BA37">
        <v>0.025</v>
      </c>
      <c r="BB37">
        <v>1.041</v>
      </c>
      <c r="BC37">
        <v>0.006</v>
      </c>
      <c r="BD37">
        <v>1.701</v>
      </c>
      <c r="BE37">
        <v>0.019</v>
      </c>
      <c r="BF37">
        <v>0.029</v>
      </c>
      <c r="BG37">
        <v>1.859</v>
      </c>
      <c r="BH37">
        <v>1.384</v>
      </c>
      <c r="BI37">
        <v>0.004</v>
      </c>
      <c r="BJ37">
        <v>0.057</v>
      </c>
      <c r="BK37">
        <v>0.084</v>
      </c>
      <c r="BL37">
        <v>0.042</v>
      </c>
      <c r="BM37">
        <v>0.056</v>
      </c>
      <c r="BN37">
        <v>0.178</v>
      </c>
      <c r="BO37">
        <v>4.084</v>
      </c>
      <c r="BP37">
        <v>0.021</v>
      </c>
      <c r="BQ37">
        <v>0.025</v>
      </c>
      <c r="BR37">
        <v>7.563</v>
      </c>
      <c r="BS37">
        <v>2.175</v>
      </c>
      <c r="BT37">
        <v>0.025</v>
      </c>
      <c r="BU37">
        <v>0.237</v>
      </c>
      <c r="BV37">
        <v>0.033</v>
      </c>
      <c r="BW37">
        <v>0.001</v>
      </c>
      <c r="BX37">
        <v>0.006</v>
      </c>
      <c r="BY37">
        <v>0.355</v>
      </c>
      <c r="BZ37">
        <v>0.601</v>
      </c>
      <c r="CA37">
        <v>0.229</v>
      </c>
      <c r="CB37">
        <v>0.006</v>
      </c>
      <c r="CC37">
        <v>1.076</v>
      </c>
      <c r="CD37">
        <v>0.205</v>
      </c>
      <c r="CE37">
        <v>0.003</v>
      </c>
    </row>
    <row r="43" spans="4:91">
      <c r="E43" t="s">
        <v>584</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CG43" s="16" t="s">
        <v>585</v>
      </c>
      <c r="CH43" s="16"/>
      <c r="CI43" s="16"/>
      <c r="CJ43" s="16"/>
      <c r="CK43" s="16"/>
      <c r="CL43" s="16"/>
    </row>
    <row r="44" spans="4:91">
      <c r="D44" t="s">
        <v>41</v>
      </c>
      <c r="E44" t="s">
        <v>207</v>
      </c>
      <c r="F44" s="1" t="s">
        <v>3</v>
      </c>
      <c r="G44" s="1" t="s">
        <v>5</v>
      </c>
      <c r="H44" s="1" t="s">
        <v>6</v>
      </c>
      <c r="I44" s="1" t="s">
        <v>7</v>
      </c>
      <c r="J44" s="1" t="s">
        <v>8</v>
      </c>
      <c r="K44" s="1" t="s">
        <v>9</v>
      </c>
      <c r="L44" s="1" t="s">
        <v>10</v>
      </c>
      <c r="M44" s="1" t="s">
        <v>11</v>
      </c>
      <c r="N44" s="1" t="s">
        <v>12</v>
      </c>
      <c r="O44" s="1" t="s">
        <v>13</v>
      </c>
      <c r="P44" s="1" t="s">
        <v>14</v>
      </c>
      <c r="Q44" s="1" t="s">
        <v>15</v>
      </c>
      <c r="R44" s="1" t="s">
        <v>16</v>
      </c>
      <c r="S44" s="1" t="s">
        <v>17</v>
      </c>
      <c r="T44" s="1" t="s">
        <v>18</v>
      </c>
      <c r="U44" s="1" t="s">
        <v>19</v>
      </c>
      <c r="V44" s="1" t="s">
        <v>20</v>
      </c>
      <c r="W44" s="1" t="s">
        <v>21</v>
      </c>
      <c r="X44" s="1" t="s">
        <v>22</v>
      </c>
      <c r="Y44" s="1" t="s">
        <v>23</v>
      </c>
      <c r="Z44" s="1" t="s">
        <v>24</v>
      </c>
      <c r="AA44" s="1" t="s">
        <v>25</v>
      </c>
      <c r="AB44" s="1" t="s">
        <v>26</v>
      </c>
      <c r="AC44" s="1" t="s">
        <v>27</v>
      </c>
      <c r="AD44" s="1" t="s">
        <v>28</v>
      </c>
      <c r="AE44" s="1" t="s">
        <v>29</v>
      </c>
      <c r="AF44" s="1" t="s">
        <v>30</v>
      </c>
      <c r="AG44" s="1" t="s">
        <v>31</v>
      </c>
      <c r="AH44" s="1" t="s">
        <v>32</v>
      </c>
      <c r="AI44" s="1" t="s">
        <v>33</v>
      </c>
      <c r="AJ44" s="1" t="s">
        <v>34</v>
      </c>
      <c r="AK44" s="1" t="s">
        <v>35</v>
      </c>
      <c r="AL44" s="1" t="s">
        <v>36</v>
      </c>
      <c r="AM44" s="1" t="s">
        <v>37</v>
      </c>
      <c r="AN44" s="4" t="s">
        <v>38</v>
      </c>
      <c r="AO44" s="1"/>
      <c r="AV44" s="1" t="s">
        <v>66</v>
      </c>
      <c r="AW44" s="1" t="s">
        <v>3</v>
      </c>
      <c r="AX44" s="1" t="s">
        <v>5</v>
      </c>
      <c r="AY44" s="1" t="s">
        <v>6</v>
      </c>
      <c r="AZ44" s="1" t="s">
        <v>7</v>
      </c>
      <c r="BA44" s="1" t="s">
        <v>8</v>
      </c>
      <c r="BB44" s="1" t="s">
        <v>9</v>
      </c>
      <c r="BC44" s="1" t="s">
        <v>10</v>
      </c>
      <c r="BD44" s="1" t="s">
        <v>11</v>
      </c>
      <c r="BE44" s="1" t="s">
        <v>12</v>
      </c>
      <c r="BF44" s="1" t="s">
        <v>13</v>
      </c>
      <c r="BG44" s="1" t="s">
        <v>14</v>
      </c>
      <c r="BH44" s="1" t="s">
        <v>15</v>
      </c>
      <c r="BI44" s="1" t="s">
        <v>16</v>
      </c>
      <c r="BJ44" s="1" t="s">
        <v>17</v>
      </c>
      <c r="BK44" s="1" t="s">
        <v>18</v>
      </c>
      <c r="BL44" s="1" t="s">
        <v>19</v>
      </c>
      <c r="BM44" s="1" t="s">
        <v>20</v>
      </c>
      <c r="BN44" s="1" t="s">
        <v>21</v>
      </c>
      <c r="BO44" s="1" t="s">
        <v>22</v>
      </c>
      <c r="BP44" s="1" t="s">
        <v>23</v>
      </c>
      <c r="BQ44" s="1" t="s">
        <v>24</v>
      </c>
      <c r="BR44" s="1" t="s">
        <v>25</v>
      </c>
      <c r="BS44" s="1" t="s">
        <v>26</v>
      </c>
      <c r="BT44" s="1" t="s">
        <v>27</v>
      </c>
      <c r="BU44" s="1" t="s">
        <v>28</v>
      </c>
      <c r="BV44" s="1" t="s">
        <v>29</v>
      </c>
      <c r="BW44" s="1" t="s">
        <v>30</v>
      </c>
      <c r="BX44" s="1" t="s">
        <v>31</v>
      </c>
      <c r="BY44" s="1" t="s">
        <v>32</v>
      </c>
      <c r="BZ44" s="1" t="s">
        <v>33</v>
      </c>
      <c r="CA44" s="1" t="s">
        <v>34</v>
      </c>
      <c r="CB44" s="1" t="s">
        <v>35</v>
      </c>
      <c r="CC44" s="1" t="s">
        <v>36</v>
      </c>
      <c r="CD44" s="1" t="s">
        <v>37</v>
      </c>
      <c r="CE44" s="4" t="s">
        <v>38</v>
      </c>
      <c r="CG44" s="6" t="s">
        <v>41</v>
      </c>
      <c r="CH44" s="6" t="s">
        <v>207</v>
      </c>
      <c r="CI44" s="6" t="s">
        <v>586</v>
      </c>
      <c r="CJ44" s="6" t="s">
        <v>587</v>
      </c>
      <c r="CK44" s="6" t="s">
        <v>588</v>
      </c>
      <c r="CL44" s="6" t="s">
        <v>589</v>
      </c>
      <c r="CM44" s="6" t="s">
        <v>590</v>
      </c>
    </row>
    <row r="45" spans="4:91">
      <c r="D45" s="17">
        <v>2016</v>
      </c>
      <c r="E45" s="1" t="s">
        <v>249</v>
      </c>
      <c r="F45" s="1">
        <f xml:space="preserve">AW45*$AS$45</f>
        <v>0</v>
      </c>
      <c r="G45" s="1">
        <f xml:space="preserve">AX45*$AS$45</f>
        <v>1.611675</v>
      </c>
      <c r="H45" s="1">
        <f t="shared" ref="H45:AN45" si="3" xml:space="preserve">AY45*$AS$45</f>
        <v>5.742</v>
      </c>
      <c r="I45" s="1">
        <f t="shared" si="3"/>
        <v>0</v>
      </c>
      <c r="J45" s="1">
        <f t="shared" si="3"/>
        <v>0</v>
      </c>
      <c r="K45" s="1">
        <f t="shared" si="3"/>
        <v>0</v>
      </c>
      <c r="L45" s="1">
        <f t="shared" si="3"/>
        <v>0.6525</v>
      </c>
      <c r="M45" s="1">
        <f xml:space="preserve">BD45*$CI45</f>
        <v>2.67525</v>
      </c>
      <c r="N45" s="1">
        <f t="shared" si="3"/>
        <v>0</v>
      </c>
      <c r="O45" s="1">
        <f t="shared" si="3"/>
        <v>0</v>
      </c>
      <c r="P45" s="1">
        <f t="shared" si="3"/>
        <v>0</v>
      </c>
      <c r="Q45" s="1">
        <f t="shared" si="3"/>
        <v>0</v>
      </c>
      <c r="R45" s="1">
        <f t="shared" si="3"/>
        <v>0</v>
      </c>
      <c r="S45" s="1">
        <f t="shared" si="3"/>
        <v>0</v>
      </c>
      <c r="T45" s="1">
        <f t="shared" si="3"/>
        <v>0</v>
      </c>
      <c r="U45" s="1">
        <f t="shared" si="3"/>
        <v>0</v>
      </c>
      <c r="V45" s="1">
        <f t="shared" si="3"/>
        <v>0</v>
      </c>
      <c r="W45" s="1">
        <f t="shared" si="3"/>
        <v>0</v>
      </c>
      <c r="X45" s="1">
        <f t="shared" si="3"/>
        <v>0</v>
      </c>
      <c r="Y45" s="1">
        <f t="shared" si="3"/>
        <v>4.37175</v>
      </c>
      <c r="Z45" s="1">
        <f t="shared" si="3"/>
        <v>0</v>
      </c>
      <c r="AA45" s="1">
        <f t="shared" si="3"/>
        <v>0.280575</v>
      </c>
      <c r="AB45" s="1">
        <f t="shared" si="3"/>
        <v>0</v>
      </c>
      <c r="AC45" s="1">
        <f t="shared" si="3"/>
        <v>0</v>
      </c>
      <c r="AD45" s="1">
        <f t="shared" si="3"/>
        <v>0.30015</v>
      </c>
      <c r="AE45" s="1">
        <f t="shared" si="3"/>
        <v>0</v>
      </c>
      <c r="AF45" s="1">
        <f t="shared" si="3"/>
        <v>0</v>
      </c>
      <c r="AG45" s="1">
        <f t="shared" si="3"/>
        <v>0</v>
      </c>
      <c r="AH45" s="1">
        <f t="shared" si="3"/>
        <v>0.0261</v>
      </c>
      <c r="AI45" s="1">
        <f t="shared" si="3"/>
        <v>0</v>
      </c>
      <c r="AJ45" s="1">
        <f t="shared" si="3"/>
        <v>0</v>
      </c>
      <c r="AK45" s="1">
        <f t="shared" si="3"/>
        <v>0</v>
      </c>
      <c r="AL45" s="1">
        <f t="shared" si="3"/>
        <v>0</v>
      </c>
      <c r="AM45" s="1">
        <f t="shared" si="3"/>
        <v>0</v>
      </c>
      <c r="AN45" s="1">
        <f t="shared" si="3"/>
        <v>0</v>
      </c>
      <c r="AO45" s="1"/>
      <c r="AQ45" s="6">
        <v>2011</v>
      </c>
      <c r="AR45" s="6" t="s">
        <v>249</v>
      </c>
      <c r="AS45" s="6">
        <v>0.075</v>
      </c>
      <c r="AT45" s="6" t="s">
        <v>591</v>
      </c>
      <c r="AU45" s="6" t="s">
        <v>592</v>
      </c>
      <c r="AV45" s="1" t="s">
        <v>249</v>
      </c>
      <c r="AW45" s="1">
        <f xml:space="preserve">BA13*87%</f>
        <v>0</v>
      </c>
      <c r="AX45" s="1">
        <f t="shared" ref="AX45:CE45" si="4" xml:space="preserve">BB13*87%</f>
        <v>21.489</v>
      </c>
      <c r="AY45" s="1">
        <f t="shared" si="4"/>
        <v>76.56</v>
      </c>
      <c r="AZ45" s="1">
        <f t="shared" si="4"/>
        <v>0</v>
      </c>
      <c r="BA45" s="1">
        <f t="shared" si="4"/>
        <v>0</v>
      </c>
      <c r="BB45" s="1">
        <f t="shared" si="4"/>
        <v>0</v>
      </c>
      <c r="BC45" s="1">
        <f t="shared" si="4"/>
        <v>8.7</v>
      </c>
      <c r="BD45" s="1">
        <f t="shared" si="4"/>
        <v>35.67</v>
      </c>
      <c r="BE45" s="1">
        <f t="shared" si="4"/>
        <v>0</v>
      </c>
      <c r="BF45" s="1">
        <f t="shared" si="4"/>
        <v>0</v>
      </c>
      <c r="BG45" s="1">
        <f t="shared" si="4"/>
        <v>0</v>
      </c>
      <c r="BH45" s="1">
        <f t="shared" si="4"/>
        <v>0</v>
      </c>
      <c r="BI45" s="1">
        <f t="shared" si="4"/>
        <v>0</v>
      </c>
      <c r="BJ45" s="1">
        <f t="shared" si="4"/>
        <v>0</v>
      </c>
      <c r="BK45" s="1">
        <f t="shared" si="4"/>
        <v>0</v>
      </c>
      <c r="BL45" s="1">
        <f t="shared" si="4"/>
        <v>0</v>
      </c>
      <c r="BM45" s="1">
        <f t="shared" si="4"/>
        <v>0</v>
      </c>
      <c r="BN45" s="1">
        <f t="shared" si="4"/>
        <v>0</v>
      </c>
      <c r="BO45" s="1">
        <f t="shared" si="4"/>
        <v>0</v>
      </c>
      <c r="BP45" s="1">
        <f t="shared" si="4"/>
        <v>58.29</v>
      </c>
      <c r="BQ45" s="1">
        <f t="shared" si="4"/>
        <v>0</v>
      </c>
      <c r="BR45" s="1">
        <f t="shared" si="4"/>
        <v>3.741</v>
      </c>
      <c r="BS45" s="1">
        <f t="shared" si="4"/>
        <v>0</v>
      </c>
      <c r="BT45" s="1">
        <f t="shared" si="4"/>
        <v>0</v>
      </c>
      <c r="BU45" s="1">
        <f t="shared" si="4"/>
        <v>4.002</v>
      </c>
      <c r="BV45" s="1">
        <f t="shared" si="4"/>
        <v>0</v>
      </c>
      <c r="BW45" s="1">
        <f t="shared" si="4"/>
        <v>0</v>
      </c>
      <c r="BX45" s="1">
        <f t="shared" si="4"/>
        <v>0</v>
      </c>
      <c r="BY45" s="1">
        <f t="shared" si="4"/>
        <v>0.348</v>
      </c>
      <c r="BZ45" s="1">
        <f t="shared" si="4"/>
        <v>0</v>
      </c>
      <c r="CA45" s="1">
        <f t="shared" si="4"/>
        <v>0</v>
      </c>
      <c r="CB45" s="1">
        <f t="shared" si="4"/>
        <v>0</v>
      </c>
      <c r="CC45" s="1">
        <f t="shared" si="4"/>
        <v>0</v>
      </c>
      <c r="CD45" s="1">
        <f t="shared" si="4"/>
        <v>0</v>
      </c>
      <c r="CE45" s="1">
        <f t="shared" si="4"/>
        <v>0</v>
      </c>
      <c r="CG45" s="6">
        <v>2011</v>
      </c>
      <c r="CH45" s="6" t="s">
        <v>249</v>
      </c>
      <c r="CI45" s="6">
        <v>0.075</v>
      </c>
      <c r="CJ45" s="6">
        <v>0.075</v>
      </c>
      <c r="CK45" s="6" t="s">
        <v>591</v>
      </c>
      <c r="CL45" s="6" t="s">
        <v>591</v>
      </c>
      <c r="CM45" s="6" t="s">
        <v>593</v>
      </c>
    </row>
    <row r="46" spans="4:91">
      <c r="D46">
        <f xml:space="preserve">D45</f>
        <v>2016</v>
      </c>
      <c r="E46" s="1" t="s">
        <v>251</v>
      </c>
      <c r="F46" s="1">
        <f xml:space="preserve">AW46*$AS46</f>
        <v>0</v>
      </c>
      <c r="G46" s="1">
        <f xml:space="preserve">AX46*$AS46</f>
        <v>0</v>
      </c>
      <c r="H46" s="1">
        <f t="shared" ref="H46:AN46" si="5" xml:space="preserve">AY46*$AS46</f>
        <v>1.2375</v>
      </c>
      <c r="I46" s="1">
        <f t="shared" si="5"/>
        <v>0</v>
      </c>
      <c r="J46" s="1">
        <f t="shared" si="5"/>
        <v>0</v>
      </c>
      <c r="K46" s="1">
        <f t="shared" si="5"/>
        <v>0</v>
      </c>
      <c r="L46" s="1">
        <f t="shared" si="5"/>
        <v>0.86625</v>
      </c>
      <c r="M46" s="1">
        <f t="shared" ref="M46:M109" si="6" xml:space="preserve">BD46*$CI46</f>
        <v>1.35</v>
      </c>
      <c r="N46" s="1">
        <f t="shared" si="5"/>
        <v>0</v>
      </c>
      <c r="O46" s="1">
        <f t="shared" si="5"/>
        <v>0</v>
      </c>
      <c r="P46" s="1">
        <f t="shared" si="5"/>
        <v>0</v>
      </c>
      <c r="Q46" s="1">
        <f t="shared" si="5"/>
        <v>0</v>
      </c>
      <c r="R46" s="1">
        <f t="shared" si="5"/>
        <v>0</v>
      </c>
      <c r="S46" s="1">
        <f t="shared" si="5"/>
        <v>0</v>
      </c>
      <c r="T46" s="1">
        <f t="shared" si="5"/>
        <v>0</v>
      </c>
      <c r="U46" s="1">
        <f t="shared" si="5"/>
        <v>0</v>
      </c>
      <c r="V46" s="1">
        <f t="shared" si="5"/>
        <v>0</v>
      </c>
      <c r="W46" s="1">
        <f t="shared" si="5"/>
        <v>0</v>
      </c>
      <c r="X46" s="1">
        <f t="shared" si="5"/>
        <v>0</v>
      </c>
      <c r="Y46" s="1">
        <f t="shared" si="5"/>
        <v>0</v>
      </c>
      <c r="Z46" s="1">
        <f t="shared" si="5"/>
        <v>0</v>
      </c>
      <c r="AA46" s="1">
        <f t="shared" si="5"/>
        <v>2.2275</v>
      </c>
      <c r="AB46" s="1">
        <f t="shared" si="5"/>
        <v>0</v>
      </c>
      <c r="AC46" s="1">
        <f t="shared" si="5"/>
        <v>0</v>
      </c>
      <c r="AD46" s="1">
        <f t="shared" si="5"/>
        <v>33.58125</v>
      </c>
      <c r="AE46" s="1">
        <f t="shared" si="5"/>
        <v>2.3625</v>
      </c>
      <c r="AF46" s="1">
        <f t="shared" si="5"/>
        <v>0</v>
      </c>
      <c r="AG46" s="1">
        <f t="shared" si="5"/>
        <v>0</v>
      </c>
      <c r="AH46" s="1">
        <f t="shared" si="5"/>
        <v>0</v>
      </c>
      <c r="AI46" s="1">
        <f t="shared" si="5"/>
        <v>0</v>
      </c>
      <c r="AJ46" s="1">
        <f t="shared" si="5"/>
        <v>0</v>
      </c>
      <c r="AK46" s="1">
        <f t="shared" si="5"/>
        <v>0</v>
      </c>
      <c r="AL46" s="1">
        <f t="shared" si="5"/>
        <v>0</v>
      </c>
      <c r="AM46" s="1">
        <f t="shared" si="5"/>
        <v>0</v>
      </c>
      <c r="AN46" s="1">
        <f t="shared" si="5"/>
        <v>0</v>
      </c>
      <c r="AO46" s="1"/>
      <c r="AQ46" s="6">
        <v>2011</v>
      </c>
      <c r="AR46" s="6" t="s">
        <v>251</v>
      </c>
      <c r="AS46" s="6">
        <v>0.075</v>
      </c>
      <c r="AT46" s="6" t="s">
        <v>591</v>
      </c>
      <c r="AU46" s="6" t="s">
        <v>592</v>
      </c>
      <c r="AV46" s="1" t="s">
        <v>251</v>
      </c>
      <c r="AW46" s="1">
        <f xml:space="preserve">BA14*15%</f>
        <v>0</v>
      </c>
      <c r="AX46" s="1">
        <f t="shared" ref="AX46:CE46" si="7" xml:space="preserve">BB14*15%</f>
        <v>0</v>
      </c>
      <c r="AY46" s="1">
        <f t="shared" si="7"/>
        <v>16.5</v>
      </c>
      <c r="AZ46" s="1">
        <f t="shared" si="7"/>
        <v>0</v>
      </c>
      <c r="BA46" s="1">
        <f t="shared" si="7"/>
        <v>0</v>
      </c>
      <c r="BB46" s="1">
        <f t="shared" si="7"/>
        <v>0</v>
      </c>
      <c r="BC46" s="1">
        <f t="shared" si="7"/>
        <v>11.55</v>
      </c>
      <c r="BD46" s="1">
        <f t="shared" si="7"/>
        <v>18</v>
      </c>
      <c r="BE46" s="1">
        <f t="shared" si="7"/>
        <v>0</v>
      </c>
      <c r="BF46" s="1">
        <f t="shared" si="7"/>
        <v>0</v>
      </c>
      <c r="BG46" s="1">
        <f t="shared" si="7"/>
        <v>0</v>
      </c>
      <c r="BH46" s="1">
        <f t="shared" si="7"/>
        <v>0</v>
      </c>
      <c r="BI46" s="1">
        <f t="shared" si="7"/>
        <v>0</v>
      </c>
      <c r="BJ46" s="1">
        <f t="shared" si="7"/>
        <v>0</v>
      </c>
      <c r="BK46" s="1">
        <f t="shared" si="7"/>
        <v>0</v>
      </c>
      <c r="BL46" s="1">
        <f t="shared" si="7"/>
        <v>0</v>
      </c>
      <c r="BM46" s="1">
        <f t="shared" si="7"/>
        <v>0</v>
      </c>
      <c r="BN46" s="1">
        <f t="shared" si="7"/>
        <v>0</v>
      </c>
      <c r="BO46" s="1">
        <f t="shared" si="7"/>
        <v>0</v>
      </c>
      <c r="BP46" s="1">
        <f t="shared" si="7"/>
        <v>0</v>
      </c>
      <c r="BQ46" s="1">
        <f t="shared" si="7"/>
        <v>0</v>
      </c>
      <c r="BR46" s="1">
        <f t="shared" si="7"/>
        <v>29.7</v>
      </c>
      <c r="BS46" s="1">
        <f t="shared" si="7"/>
        <v>0</v>
      </c>
      <c r="BT46" s="1">
        <f t="shared" si="7"/>
        <v>0</v>
      </c>
      <c r="BU46" s="1">
        <f t="shared" si="7"/>
        <v>447.75</v>
      </c>
      <c r="BV46" s="1">
        <f t="shared" si="7"/>
        <v>31.5</v>
      </c>
      <c r="BW46" s="1">
        <f t="shared" si="7"/>
        <v>0</v>
      </c>
      <c r="BX46" s="1">
        <f t="shared" si="7"/>
        <v>0</v>
      </c>
      <c r="BY46" s="1">
        <f t="shared" si="7"/>
        <v>0</v>
      </c>
      <c r="BZ46" s="1">
        <f t="shared" si="7"/>
        <v>0</v>
      </c>
      <c r="CA46" s="1">
        <f t="shared" si="7"/>
        <v>0</v>
      </c>
      <c r="CB46" s="1">
        <f t="shared" si="7"/>
        <v>0</v>
      </c>
      <c r="CC46" s="1">
        <f t="shared" si="7"/>
        <v>0</v>
      </c>
      <c r="CD46" s="1">
        <f t="shared" si="7"/>
        <v>0</v>
      </c>
      <c r="CE46" s="1">
        <f t="shared" si="7"/>
        <v>0</v>
      </c>
      <c r="CG46" s="6">
        <v>2011</v>
      </c>
      <c r="CH46" s="6" t="s">
        <v>251</v>
      </c>
      <c r="CI46" s="6">
        <v>0.075</v>
      </c>
      <c r="CJ46" s="6">
        <v>0.075</v>
      </c>
      <c r="CK46" s="6" t="s">
        <v>591</v>
      </c>
      <c r="CL46" s="6" t="s">
        <v>591</v>
      </c>
      <c r="CM46" s="6" t="s">
        <v>593</v>
      </c>
    </row>
    <row r="47" ht="16" spans="4:91">
      <c r="D47">
        <f t="shared" ref="D47:D65" si="8" xml:space="preserve">D46</f>
        <v>2016</v>
      </c>
      <c r="E47" s="18" t="s">
        <v>255</v>
      </c>
      <c r="F47" s="1">
        <f xml:space="preserve">AW47*$AS47</f>
        <v>0</v>
      </c>
      <c r="G47" s="1">
        <f xml:space="preserve">AX47*$AS47</f>
        <v>12.6882</v>
      </c>
      <c r="H47" s="1">
        <f t="shared" ref="H47:AN47" si="9" xml:space="preserve">AY47*$AS47</f>
        <v>0.2052</v>
      </c>
      <c r="I47" s="1">
        <f t="shared" si="9"/>
        <v>0</v>
      </c>
      <c r="J47" s="1">
        <f t="shared" si="9"/>
        <v>0</v>
      </c>
      <c r="K47" s="1">
        <f t="shared" si="9"/>
        <v>0</v>
      </c>
      <c r="L47" s="1">
        <f t="shared" si="9"/>
        <v>0</v>
      </c>
      <c r="M47" s="1">
        <f t="shared" si="6"/>
        <v>0</v>
      </c>
      <c r="N47" s="1">
        <f t="shared" si="9"/>
        <v>0</v>
      </c>
      <c r="O47" s="1">
        <f t="shared" si="9"/>
        <v>0</v>
      </c>
      <c r="P47" s="1">
        <f t="shared" si="9"/>
        <v>0</v>
      </c>
      <c r="Q47" s="1">
        <f t="shared" si="9"/>
        <v>0</v>
      </c>
      <c r="R47" s="1">
        <f t="shared" si="9"/>
        <v>0</v>
      </c>
      <c r="S47" s="1">
        <f t="shared" si="9"/>
        <v>0</v>
      </c>
      <c r="T47" s="1">
        <f t="shared" si="9"/>
        <v>0</v>
      </c>
      <c r="U47" s="1">
        <f t="shared" si="9"/>
        <v>0</v>
      </c>
      <c r="V47" s="1">
        <f t="shared" si="9"/>
        <v>0</v>
      </c>
      <c r="W47" s="1">
        <f t="shared" si="9"/>
        <v>0</v>
      </c>
      <c r="X47" s="1">
        <f t="shared" si="9"/>
        <v>0</v>
      </c>
      <c r="Y47" s="1">
        <f t="shared" si="9"/>
        <v>0.1995</v>
      </c>
      <c r="Z47" s="1">
        <f t="shared" si="9"/>
        <v>0</v>
      </c>
      <c r="AA47" s="1">
        <f t="shared" si="9"/>
        <v>0.2736</v>
      </c>
      <c r="AB47" s="1">
        <f t="shared" si="9"/>
        <v>0</v>
      </c>
      <c r="AC47" s="1">
        <f t="shared" si="9"/>
        <v>0</v>
      </c>
      <c r="AD47" s="1">
        <f t="shared" si="9"/>
        <v>2.4966</v>
      </c>
      <c r="AE47" s="1">
        <f t="shared" si="9"/>
        <v>0.4959</v>
      </c>
      <c r="AF47" s="1">
        <f t="shared" si="9"/>
        <v>0</v>
      </c>
      <c r="AG47" s="1">
        <f t="shared" si="9"/>
        <v>0</v>
      </c>
      <c r="AH47" s="1">
        <f t="shared" si="9"/>
        <v>0</v>
      </c>
      <c r="AI47" s="1">
        <f t="shared" si="9"/>
        <v>0</v>
      </c>
      <c r="AJ47" s="1">
        <f t="shared" si="9"/>
        <v>0</v>
      </c>
      <c r="AK47" s="1">
        <f t="shared" si="9"/>
        <v>0.1539</v>
      </c>
      <c r="AL47" s="1">
        <f t="shared" si="9"/>
        <v>0</v>
      </c>
      <c r="AM47" s="1">
        <f t="shared" si="9"/>
        <v>0</v>
      </c>
      <c r="AN47" s="1">
        <f t="shared" si="9"/>
        <v>0</v>
      </c>
      <c r="AO47" s="1"/>
      <c r="AQ47" s="6">
        <v>2011</v>
      </c>
      <c r="AR47" s="6" t="s">
        <v>255</v>
      </c>
      <c r="AS47" s="6">
        <v>0.075</v>
      </c>
      <c r="AT47" s="6" t="s">
        <v>591</v>
      </c>
      <c r="AU47" s="6" t="s">
        <v>592</v>
      </c>
      <c r="AV47" s="1" t="s">
        <v>253</v>
      </c>
      <c r="AW47" s="1">
        <f xml:space="preserve">BA15*76%</f>
        <v>0</v>
      </c>
      <c r="AX47" s="1">
        <f t="shared" ref="AX47:CE47" si="10" xml:space="preserve">BB15*76%</f>
        <v>169.176</v>
      </c>
      <c r="AY47" s="1">
        <f t="shared" si="10"/>
        <v>2.736</v>
      </c>
      <c r="AZ47" s="1">
        <f t="shared" si="10"/>
        <v>0</v>
      </c>
      <c r="BA47" s="1">
        <f t="shared" si="10"/>
        <v>0</v>
      </c>
      <c r="BB47" s="1">
        <f t="shared" si="10"/>
        <v>0</v>
      </c>
      <c r="BC47" s="1">
        <f t="shared" si="10"/>
        <v>0</v>
      </c>
      <c r="BD47" s="1">
        <f t="shared" si="10"/>
        <v>0</v>
      </c>
      <c r="BE47" s="1">
        <f t="shared" si="10"/>
        <v>0</v>
      </c>
      <c r="BF47" s="1">
        <f t="shared" si="10"/>
        <v>0</v>
      </c>
      <c r="BG47" s="1">
        <f t="shared" si="10"/>
        <v>0</v>
      </c>
      <c r="BH47" s="1">
        <f t="shared" si="10"/>
        <v>0</v>
      </c>
      <c r="BI47" s="1">
        <f t="shared" si="10"/>
        <v>0</v>
      </c>
      <c r="BJ47" s="1">
        <f t="shared" si="10"/>
        <v>0</v>
      </c>
      <c r="BK47" s="1">
        <f t="shared" si="10"/>
        <v>0</v>
      </c>
      <c r="BL47" s="1">
        <f t="shared" si="10"/>
        <v>0</v>
      </c>
      <c r="BM47" s="1">
        <f t="shared" si="10"/>
        <v>0</v>
      </c>
      <c r="BN47" s="1">
        <f t="shared" si="10"/>
        <v>0</v>
      </c>
      <c r="BO47" s="1">
        <f t="shared" si="10"/>
        <v>0</v>
      </c>
      <c r="BP47" s="1">
        <f t="shared" si="10"/>
        <v>2.66</v>
      </c>
      <c r="BQ47" s="1">
        <f t="shared" si="10"/>
        <v>0</v>
      </c>
      <c r="BR47" s="1">
        <f t="shared" si="10"/>
        <v>3.648</v>
      </c>
      <c r="BS47" s="1">
        <f t="shared" si="10"/>
        <v>0</v>
      </c>
      <c r="BT47" s="1">
        <f t="shared" si="10"/>
        <v>0</v>
      </c>
      <c r="BU47" s="1">
        <f t="shared" si="10"/>
        <v>33.288</v>
      </c>
      <c r="BV47" s="1">
        <f t="shared" si="10"/>
        <v>6.612</v>
      </c>
      <c r="BW47" s="1">
        <f t="shared" si="10"/>
        <v>0</v>
      </c>
      <c r="BX47" s="1">
        <f t="shared" si="10"/>
        <v>0</v>
      </c>
      <c r="BY47" s="1">
        <f t="shared" si="10"/>
        <v>0</v>
      </c>
      <c r="BZ47" s="1">
        <f t="shared" si="10"/>
        <v>0</v>
      </c>
      <c r="CA47" s="1">
        <f t="shared" si="10"/>
        <v>0</v>
      </c>
      <c r="CB47" s="1">
        <f t="shared" si="10"/>
        <v>2.052</v>
      </c>
      <c r="CC47" s="1">
        <f t="shared" si="10"/>
        <v>0</v>
      </c>
      <c r="CD47" s="1">
        <f t="shared" si="10"/>
        <v>0</v>
      </c>
      <c r="CE47" s="1">
        <f t="shared" si="10"/>
        <v>0</v>
      </c>
      <c r="CG47" s="6">
        <v>2011</v>
      </c>
      <c r="CH47" s="6" t="s">
        <v>255</v>
      </c>
      <c r="CI47" s="6">
        <v>0.075</v>
      </c>
      <c r="CJ47" s="6">
        <v>0.075</v>
      </c>
      <c r="CK47" s="6" t="s">
        <v>591</v>
      </c>
      <c r="CL47" s="6" t="s">
        <v>591</v>
      </c>
      <c r="CM47" s="6" t="s">
        <v>593</v>
      </c>
    </row>
    <row r="48" spans="4:91">
      <c r="D48">
        <f t="shared" si="8"/>
        <v>2016</v>
      </c>
      <c r="E48" s="1" t="s">
        <v>256</v>
      </c>
      <c r="F48" s="1">
        <f t="shared" ref="F48:F111" si="11" xml:space="preserve">AW48*$AS48</f>
        <v>0</v>
      </c>
      <c r="G48" s="1">
        <f t="shared" ref="G48:G111" si="12" xml:space="preserve">AX48*$AS48</f>
        <v>4.335</v>
      </c>
      <c r="H48" s="1">
        <f t="shared" ref="H48:H111" si="13" xml:space="preserve">AY48*$AS48</f>
        <v>2.1</v>
      </c>
      <c r="I48" s="1">
        <f t="shared" ref="I48:I111" si="14" xml:space="preserve">AZ48*$AS48</f>
        <v>0</v>
      </c>
      <c r="J48" s="1">
        <f t="shared" ref="J48:J111" si="15" xml:space="preserve">BA48*$AS48</f>
        <v>0</v>
      </c>
      <c r="K48" s="1">
        <f t="shared" ref="K48:K111" si="16" xml:space="preserve">BB48*$AS48</f>
        <v>0</v>
      </c>
      <c r="L48" s="1">
        <f t="shared" ref="L48:L111" si="17" xml:space="preserve">BC48*$AS48</f>
        <v>0.4425</v>
      </c>
      <c r="M48" s="1">
        <f t="shared" si="6"/>
        <v>0.5775</v>
      </c>
      <c r="N48" s="1">
        <f t="shared" ref="N48:N111" si="18" xml:space="preserve">BE48*$AS48</f>
        <v>0</v>
      </c>
      <c r="O48" s="1">
        <f t="shared" ref="O48:O111" si="19" xml:space="preserve">BF48*$AS48</f>
        <v>0</v>
      </c>
      <c r="P48" s="1">
        <f t="shared" ref="P48:P111" si="20" xml:space="preserve">BG48*$AS48</f>
        <v>0</v>
      </c>
      <c r="Q48" s="1">
        <f t="shared" ref="Q48:Q111" si="21" xml:space="preserve">BH48*$AS48</f>
        <v>0</v>
      </c>
      <c r="R48" s="1">
        <f t="shared" ref="R48:R111" si="22" xml:space="preserve">BI48*$AS48</f>
        <v>0</v>
      </c>
      <c r="S48" s="1">
        <f t="shared" ref="S48:S111" si="23" xml:space="preserve">BJ48*$AS48</f>
        <v>0</v>
      </c>
      <c r="T48" s="1">
        <f t="shared" ref="T48:T111" si="24" xml:space="preserve">BK48*$AS48</f>
        <v>0</v>
      </c>
      <c r="U48" s="1">
        <f t="shared" ref="U48:U111" si="25" xml:space="preserve">BL48*$AS48</f>
        <v>0.6</v>
      </c>
      <c r="V48" s="1">
        <f t="shared" ref="V48:V111" si="26" xml:space="preserve">BM48*$AS48</f>
        <v>0</v>
      </c>
      <c r="W48" s="1">
        <f t="shared" ref="W48:W111" si="27" xml:space="preserve">BN48*$AS48</f>
        <v>0</v>
      </c>
      <c r="X48" s="1">
        <f t="shared" ref="X48:X111" si="28" xml:space="preserve">BO48*$AS48</f>
        <v>0</v>
      </c>
      <c r="Y48" s="1">
        <f t="shared" ref="Y48:Y111" si="29" xml:space="preserve">BP48*$AS48</f>
        <v>0</v>
      </c>
      <c r="Z48" s="1">
        <f t="shared" ref="Z48:Z111" si="30" xml:space="preserve">BQ48*$AS48</f>
        <v>0</v>
      </c>
      <c r="AA48" s="1">
        <f t="shared" ref="AA48:AA111" si="31" xml:space="preserve">BR48*$AS48</f>
        <v>0</v>
      </c>
      <c r="AB48" s="1">
        <f t="shared" ref="AB48:AB111" si="32" xml:space="preserve">BS48*$AS48</f>
        <v>0</v>
      </c>
      <c r="AC48" s="1">
        <f t="shared" ref="AC48:AC111" si="33" xml:space="preserve">BT48*$AS48</f>
        <v>0</v>
      </c>
      <c r="AD48" s="1">
        <f t="shared" ref="AD48:AD111" si="34" xml:space="preserve">BU48*$AS48</f>
        <v>1.545</v>
      </c>
      <c r="AE48" s="1">
        <f t="shared" ref="AE48:AE111" si="35" xml:space="preserve">BV48*$AS48</f>
        <v>0</v>
      </c>
      <c r="AF48" s="1">
        <f t="shared" ref="AF48:AF111" si="36" xml:space="preserve">BW48*$AS48</f>
        <v>0</v>
      </c>
      <c r="AG48" s="1">
        <f t="shared" ref="AG48:AG111" si="37" xml:space="preserve">BX48*$AS48</f>
        <v>5.55</v>
      </c>
      <c r="AH48" s="1">
        <f t="shared" ref="AH48:AH111" si="38" xml:space="preserve">BY48*$AS48</f>
        <v>0</v>
      </c>
      <c r="AI48" s="1">
        <f t="shared" ref="AI48:AI111" si="39" xml:space="preserve">BZ48*$AS48</f>
        <v>0</v>
      </c>
      <c r="AJ48" s="1">
        <f t="shared" ref="AJ48:AJ111" si="40" xml:space="preserve">CA48*$AS48</f>
        <v>0</v>
      </c>
      <c r="AK48" s="1">
        <f t="shared" ref="AK48:AK111" si="41" xml:space="preserve">CB48*$AS48</f>
        <v>0</v>
      </c>
      <c r="AL48" s="1">
        <f t="shared" ref="AL48:AL111" si="42" xml:space="preserve">CC48*$AS48</f>
        <v>0</v>
      </c>
      <c r="AM48" s="1">
        <f t="shared" ref="AM48:AM111" si="43" xml:space="preserve">CD48*$AS48</f>
        <v>0</v>
      </c>
      <c r="AN48" s="1">
        <f t="shared" ref="AN48:AN111" si="44" xml:space="preserve">CE48*$AS48</f>
        <v>0</v>
      </c>
      <c r="AO48" s="1"/>
      <c r="AQ48" s="6">
        <v>2011</v>
      </c>
      <c r="AR48" s="6" t="s">
        <v>256</v>
      </c>
      <c r="AS48" s="6">
        <v>0.075</v>
      </c>
      <c r="AT48" s="6" t="s">
        <v>591</v>
      </c>
      <c r="AU48" s="6" t="s">
        <v>592</v>
      </c>
      <c r="AV48" s="1" t="s">
        <v>256</v>
      </c>
      <c r="AW48" s="1">
        <f xml:space="preserve">BA16*1%</f>
        <v>0</v>
      </c>
      <c r="AX48" s="1">
        <f t="shared" ref="AX48:CE48" si="45" xml:space="preserve">BB16*1%</f>
        <v>57.8</v>
      </c>
      <c r="AY48" s="1">
        <f t="shared" si="45"/>
        <v>28</v>
      </c>
      <c r="AZ48" s="1">
        <f t="shared" si="45"/>
        <v>0</v>
      </c>
      <c r="BA48" s="1">
        <f t="shared" si="45"/>
        <v>0</v>
      </c>
      <c r="BB48" s="1">
        <f t="shared" si="45"/>
        <v>0</v>
      </c>
      <c r="BC48" s="1">
        <f t="shared" si="45"/>
        <v>5.9</v>
      </c>
      <c r="BD48" s="1">
        <f t="shared" si="45"/>
        <v>7.7</v>
      </c>
      <c r="BE48" s="1">
        <f t="shared" si="45"/>
        <v>0</v>
      </c>
      <c r="BF48" s="1">
        <f t="shared" si="45"/>
        <v>0</v>
      </c>
      <c r="BG48" s="1">
        <f t="shared" si="45"/>
        <v>0</v>
      </c>
      <c r="BH48" s="1">
        <f t="shared" si="45"/>
        <v>0</v>
      </c>
      <c r="BI48" s="1">
        <f t="shared" si="45"/>
        <v>0</v>
      </c>
      <c r="BJ48" s="1">
        <f t="shared" si="45"/>
        <v>0</v>
      </c>
      <c r="BK48" s="1">
        <f t="shared" si="45"/>
        <v>0</v>
      </c>
      <c r="BL48" s="1">
        <f t="shared" si="45"/>
        <v>8</v>
      </c>
      <c r="BM48" s="1">
        <f t="shared" si="45"/>
        <v>0</v>
      </c>
      <c r="BN48" s="1">
        <f t="shared" si="45"/>
        <v>0</v>
      </c>
      <c r="BO48" s="1">
        <f t="shared" si="45"/>
        <v>0</v>
      </c>
      <c r="BP48" s="1">
        <f t="shared" si="45"/>
        <v>0</v>
      </c>
      <c r="BQ48" s="1">
        <f t="shared" si="45"/>
        <v>0</v>
      </c>
      <c r="BR48" s="1">
        <f t="shared" si="45"/>
        <v>0</v>
      </c>
      <c r="BS48" s="1">
        <f t="shared" si="45"/>
        <v>0</v>
      </c>
      <c r="BT48" s="1">
        <f t="shared" si="45"/>
        <v>0</v>
      </c>
      <c r="BU48" s="1">
        <f t="shared" si="45"/>
        <v>20.6</v>
      </c>
      <c r="BV48" s="1">
        <f t="shared" si="45"/>
        <v>0</v>
      </c>
      <c r="BW48" s="1">
        <f t="shared" si="45"/>
        <v>0</v>
      </c>
      <c r="BX48" s="1">
        <f t="shared" si="45"/>
        <v>74</v>
      </c>
      <c r="BY48" s="1">
        <f t="shared" si="45"/>
        <v>0</v>
      </c>
      <c r="BZ48" s="1">
        <f t="shared" si="45"/>
        <v>0</v>
      </c>
      <c r="CA48" s="1">
        <f t="shared" si="45"/>
        <v>0</v>
      </c>
      <c r="CB48" s="1">
        <f t="shared" si="45"/>
        <v>0</v>
      </c>
      <c r="CC48" s="1">
        <f t="shared" si="45"/>
        <v>0</v>
      </c>
      <c r="CD48" s="1">
        <f t="shared" si="45"/>
        <v>0</v>
      </c>
      <c r="CE48" s="1">
        <f t="shared" si="45"/>
        <v>0</v>
      </c>
      <c r="CG48" s="6">
        <v>2011</v>
      </c>
      <c r="CH48" s="6" t="s">
        <v>256</v>
      </c>
      <c r="CI48" s="6">
        <v>0.075</v>
      </c>
      <c r="CJ48" s="6">
        <v>0.075</v>
      </c>
      <c r="CK48" s="6" t="s">
        <v>591</v>
      </c>
      <c r="CL48" s="6" t="s">
        <v>591</v>
      </c>
      <c r="CM48" s="6" t="s">
        <v>593</v>
      </c>
    </row>
    <row r="49" spans="4:91">
      <c r="D49">
        <f t="shared" si="8"/>
        <v>2016</v>
      </c>
      <c r="E49" s="1" t="s">
        <v>258</v>
      </c>
      <c r="F49" s="1">
        <f t="shared" si="11"/>
        <v>0</v>
      </c>
      <c r="G49" s="1">
        <f t="shared" si="12"/>
        <v>0.2385</v>
      </c>
      <c r="H49" s="1">
        <f t="shared" si="13"/>
        <v>14.283</v>
      </c>
      <c r="I49" s="1">
        <f t="shared" si="14"/>
        <v>0</v>
      </c>
      <c r="J49" s="1">
        <f t="shared" si="15"/>
        <v>0</v>
      </c>
      <c r="K49" s="1">
        <f t="shared" si="16"/>
        <v>0</v>
      </c>
      <c r="L49" s="1">
        <f t="shared" si="17"/>
        <v>8.7285</v>
      </c>
      <c r="M49" s="1">
        <f t="shared" si="6"/>
        <v>66.654</v>
      </c>
      <c r="N49" s="1">
        <f t="shared" si="18"/>
        <v>0</v>
      </c>
      <c r="O49" s="1">
        <f t="shared" si="19"/>
        <v>0</v>
      </c>
      <c r="P49" s="1">
        <f t="shared" si="20"/>
        <v>0</v>
      </c>
      <c r="Q49" s="1">
        <f t="shared" si="21"/>
        <v>0.762</v>
      </c>
      <c r="R49" s="1">
        <f t="shared" si="22"/>
        <v>0.6825</v>
      </c>
      <c r="S49" s="1">
        <f t="shared" si="23"/>
        <v>0</v>
      </c>
      <c r="T49" s="1">
        <f t="shared" si="24"/>
        <v>0</v>
      </c>
      <c r="U49" s="1">
        <f t="shared" si="25"/>
        <v>6.03</v>
      </c>
      <c r="V49" s="1">
        <f t="shared" si="26"/>
        <v>1.269</v>
      </c>
      <c r="W49" s="1">
        <f t="shared" si="27"/>
        <v>0</v>
      </c>
      <c r="X49" s="1">
        <f t="shared" si="28"/>
        <v>0</v>
      </c>
      <c r="Y49" s="1">
        <f t="shared" si="29"/>
        <v>0</v>
      </c>
      <c r="Z49" s="1">
        <f t="shared" si="30"/>
        <v>1.905</v>
      </c>
      <c r="AA49" s="1">
        <f t="shared" si="31"/>
        <v>1.7625</v>
      </c>
      <c r="AB49" s="1">
        <f t="shared" si="32"/>
        <v>0</v>
      </c>
      <c r="AC49" s="1">
        <f t="shared" si="33"/>
        <v>0</v>
      </c>
      <c r="AD49" s="1">
        <f t="shared" si="34"/>
        <v>4.5225</v>
      </c>
      <c r="AE49" s="1">
        <f t="shared" si="35"/>
        <v>2.301</v>
      </c>
      <c r="AF49" s="1">
        <f t="shared" si="36"/>
        <v>1.428</v>
      </c>
      <c r="AG49" s="1">
        <f t="shared" si="37"/>
        <v>0</v>
      </c>
      <c r="AH49" s="1">
        <f t="shared" si="38"/>
        <v>0.651</v>
      </c>
      <c r="AI49" s="1">
        <f t="shared" si="39"/>
        <v>0</v>
      </c>
      <c r="AJ49" s="1">
        <f t="shared" si="40"/>
        <v>0</v>
      </c>
      <c r="AK49" s="1">
        <f t="shared" si="41"/>
        <v>0.2535</v>
      </c>
      <c r="AL49" s="1">
        <f t="shared" si="42"/>
        <v>0</v>
      </c>
      <c r="AM49" s="1">
        <f t="shared" si="43"/>
        <v>0</v>
      </c>
      <c r="AN49" s="1">
        <f t="shared" si="44"/>
        <v>0</v>
      </c>
      <c r="AO49" s="1"/>
      <c r="AQ49" s="6">
        <v>2011</v>
      </c>
      <c r="AR49" s="6" t="s">
        <v>258</v>
      </c>
      <c r="AS49" s="6">
        <v>0.075</v>
      </c>
      <c r="AT49" s="6" t="s">
        <v>591</v>
      </c>
      <c r="AU49" s="6" t="s">
        <v>592</v>
      </c>
      <c r="AV49" s="1" t="s">
        <v>258</v>
      </c>
      <c r="AW49" s="1">
        <f xml:space="preserve">BA17*2%</f>
        <v>0</v>
      </c>
      <c r="AX49" s="1">
        <f t="shared" ref="AX49:CE49" si="46" xml:space="preserve">BB17*2%</f>
        <v>3.18</v>
      </c>
      <c r="AY49" s="1">
        <f t="shared" si="46"/>
        <v>190.44</v>
      </c>
      <c r="AZ49" s="1">
        <f t="shared" si="46"/>
        <v>0</v>
      </c>
      <c r="BA49" s="1">
        <f t="shared" si="46"/>
        <v>0</v>
      </c>
      <c r="BB49" s="1">
        <f t="shared" si="46"/>
        <v>0</v>
      </c>
      <c r="BC49" s="1">
        <f t="shared" si="46"/>
        <v>116.38</v>
      </c>
      <c r="BD49" s="1">
        <f t="shared" si="46"/>
        <v>888.72</v>
      </c>
      <c r="BE49" s="1">
        <f t="shared" si="46"/>
        <v>0</v>
      </c>
      <c r="BF49" s="1">
        <f t="shared" si="46"/>
        <v>0</v>
      </c>
      <c r="BG49" s="1">
        <f t="shared" si="46"/>
        <v>0</v>
      </c>
      <c r="BH49" s="1">
        <f t="shared" si="46"/>
        <v>10.16</v>
      </c>
      <c r="BI49" s="1">
        <f t="shared" si="46"/>
        <v>9.1</v>
      </c>
      <c r="BJ49" s="1">
        <f t="shared" si="46"/>
        <v>0</v>
      </c>
      <c r="BK49" s="1">
        <f t="shared" si="46"/>
        <v>0</v>
      </c>
      <c r="BL49" s="1">
        <f t="shared" si="46"/>
        <v>80.4</v>
      </c>
      <c r="BM49" s="1">
        <f t="shared" si="46"/>
        <v>16.92</v>
      </c>
      <c r="BN49" s="1">
        <f t="shared" si="46"/>
        <v>0</v>
      </c>
      <c r="BO49" s="1">
        <f t="shared" si="46"/>
        <v>0</v>
      </c>
      <c r="BP49" s="1">
        <f t="shared" si="46"/>
        <v>0</v>
      </c>
      <c r="BQ49" s="1">
        <f t="shared" si="46"/>
        <v>25.4</v>
      </c>
      <c r="BR49" s="1">
        <f t="shared" si="46"/>
        <v>23.5</v>
      </c>
      <c r="BS49" s="1">
        <f t="shared" si="46"/>
        <v>0</v>
      </c>
      <c r="BT49" s="1">
        <f t="shared" si="46"/>
        <v>0</v>
      </c>
      <c r="BU49" s="1">
        <f t="shared" si="46"/>
        <v>60.3</v>
      </c>
      <c r="BV49" s="1">
        <f t="shared" si="46"/>
        <v>30.68</v>
      </c>
      <c r="BW49" s="1">
        <f t="shared" si="46"/>
        <v>19.04</v>
      </c>
      <c r="BX49" s="1">
        <f t="shared" si="46"/>
        <v>0</v>
      </c>
      <c r="BY49" s="1">
        <f t="shared" si="46"/>
        <v>8.68</v>
      </c>
      <c r="BZ49" s="1">
        <f t="shared" si="46"/>
        <v>0</v>
      </c>
      <c r="CA49" s="1">
        <f t="shared" si="46"/>
        <v>0</v>
      </c>
      <c r="CB49" s="1">
        <f t="shared" si="46"/>
        <v>3.38</v>
      </c>
      <c r="CC49" s="1">
        <f t="shared" si="46"/>
        <v>0</v>
      </c>
      <c r="CD49" s="1">
        <f t="shared" si="46"/>
        <v>0</v>
      </c>
      <c r="CE49" s="1">
        <f t="shared" si="46"/>
        <v>0</v>
      </c>
      <c r="CG49" s="6">
        <v>2011</v>
      </c>
      <c r="CH49" s="6" t="s">
        <v>258</v>
      </c>
      <c r="CI49" s="6">
        <v>0.075</v>
      </c>
      <c r="CJ49" s="6">
        <v>0.075</v>
      </c>
      <c r="CK49" s="6" t="s">
        <v>591</v>
      </c>
      <c r="CL49" s="6" t="s">
        <v>591</v>
      </c>
      <c r="CM49" s="6" t="s">
        <v>593</v>
      </c>
    </row>
    <row r="50" spans="4:91">
      <c r="D50">
        <f t="shared" si="8"/>
        <v>2016</v>
      </c>
      <c r="E50" s="1" t="s">
        <v>260</v>
      </c>
      <c r="F50" s="1">
        <f t="shared" si="11"/>
        <v>0</v>
      </c>
      <c r="G50" s="1">
        <f t="shared" si="12"/>
        <v>7.4625</v>
      </c>
      <c r="H50" s="1">
        <f t="shared" si="13"/>
        <v>1.5</v>
      </c>
      <c r="I50" s="1">
        <f t="shared" si="14"/>
        <v>0</v>
      </c>
      <c r="J50" s="1">
        <f t="shared" si="15"/>
        <v>0</v>
      </c>
      <c r="K50" s="1">
        <f t="shared" si="16"/>
        <v>0</v>
      </c>
      <c r="L50" s="1">
        <f t="shared" si="17"/>
        <v>0</v>
      </c>
      <c r="M50" s="1">
        <f t="shared" si="6"/>
        <v>3.375</v>
      </c>
      <c r="N50" s="1">
        <f t="shared" si="18"/>
        <v>0</v>
      </c>
      <c r="O50" s="1">
        <f t="shared" si="19"/>
        <v>0</v>
      </c>
      <c r="P50" s="1">
        <f t="shared" si="20"/>
        <v>0</v>
      </c>
      <c r="Q50" s="1">
        <f t="shared" si="21"/>
        <v>0</v>
      </c>
      <c r="R50" s="1">
        <f t="shared" si="22"/>
        <v>0</v>
      </c>
      <c r="S50" s="1">
        <f t="shared" si="23"/>
        <v>0</v>
      </c>
      <c r="T50" s="1">
        <f t="shared" si="24"/>
        <v>0</v>
      </c>
      <c r="U50" s="1">
        <f t="shared" si="25"/>
        <v>0.05625</v>
      </c>
      <c r="V50" s="1">
        <f t="shared" si="26"/>
        <v>0</v>
      </c>
      <c r="W50" s="1">
        <f t="shared" si="27"/>
        <v>0</v>
      </c>
      <c r="X50" s="1">
        <f t="shared" si="28"/>
        <v>0</v>
      </c>
      <c r="Y50" s="1">
        <f t="shared" si="29"/>
        <v>14.8125</v>
      </c>
      <c r="Z50" s="1">
        <f t="shared" si="30"/>
        <v>0</v>
      </c>
      <c r="AA50" s="1">
        <f t="shared" si="31"/>
        <v>4.21875</v>
      </c>
      <c r="AB50" s="1">
        <f t="shared" si="32"/>
        <v>0</v>
      </c>
      <c r="AC50" s="1">
        <f t="shared" si="33"/>
        <v>0.76875</v>
      </c>
      <c r="AD50" s="1">
        <f t="shared" si="34"/>
        <v>8.8125</v>
      </c>
      <c r="AE50" s="1">
        <f t="shared" si="35"/>
        <v>1.74375</v>
      </c>
      <c r="AF50" s="1">
        <f t="shared" si="36"/>
        <v>0</v>
      </c>
      <c r="AG50" s="1">
        <f t="shared" si="37"/>
        <v>0</v>
      </c>
      <c r="AH50" s="1">
        <f t="shared" si="38"/>
        <v>0</v>
      </c>
      <c r="AI50" s="1">
        <f t="shared" si="39"/>
        <v>0</v>
      </c>
      <c r="AJ50" s="1">
        <f t="shared" si="40"/>
        <v>0</v>
      </c>
      <c r="AK50" s="1">
        <f t="shared" si="41"/>
        <v>0</v>
      </c>
      <c r="AL50" s="1">
        <f t="shared" si="42"/>
        <v>0</v>
      </c>
      <c r="AM50" s="1">
        <f t="shared" si="43"/>
        <v>0</v>
      </c>
      <c r="AN50" s="1">
        <f t="shared" si="44"/>
        <v>0</v>
      </c>
      <c r="AO50" s="1"/>
      <c r="AQ50" s="6">
        <v>2011</v>
      </c>
      <c r="AR50" s="6" t="s">
        <v>260</v>
      </c>
      <c r="AS50" s="6">
        <v>0.075</v>
      </c>
      <c r="AT50" s="6" t="s">
        <v>591</v>
      </c>
      <c r="AU50" s="6" t="s">
        <v>592</v>
      </c>
      <c r="AV50" s="1" t="s">
        <v>260</v>
      </c>
      <c r="AW50" s="1">
        <f xml:space="preserve">BA18*2.5%</f>
        <v>0</v>
      </c>
      <c r="AX50" s="1">
        <f t="shared" ref="AX50:CE50" si="47" xml:space="preserve">BB18*2.5%</f>
        <v>99.5</v>
      </c>
      <c r="AY50" s="1">
        <f t="shared" si="47"/>
        <v>20</v>
      </c>
      <c r="AZ50" s="1">
        <f t="shared" si="47"/>
        <v>0</v>
      </c>
      <c r="BA50" s="1">
        <f t="shared" si="47"/>
        <v>0</v>
      </c>
      <c r="BB50" s="1">
        <f t="shared" si="47"/>
        <v>0</v>
      </c>
      <c r="BC50" s="1">
        <f t="shared" si="47"/>
        <v>0</v>
      </c>
      <c r="BD50" s="1">
        <f t="shared" si="47"/>
        <v>45</v>
      </c>
      <c r="BE50" s="1">
        <f t="shared" si="47"/>
        <v>0</v>
      </c>
      <c r="BF50" s="1">
        <f t="shared" si="47"/>
        <v>0</v>
      </c>
      <c r="BG50" s="1">
        <f t="shared" si="47"/>
        <v>0</v>
      </c>
      <c r="BH50" s="1">
        <f t="shared" si="47"/>
        <v>0</v>
      </c>
      <c r="BI50" s="1">
        <f t="shared" si="47"/>
        <v>0</v>
      </c>
      <c r="BJ50" s="1">
        <f t="shared" si="47"/>
        <v>0</v>
      </c>
      <c r="BK50" s="1">
        <f t="shared" si="47"/>
        <v>0</v>
      </c>
      <c r="BL50" s="1">
        <f t="shared" si="47"/>
        <v>0.75</v>
      </c>
      <c r="BM50" s="1">
        <f t="shared" si="47"/>
        <v>0</v>
      </c>
      <c r="BN50" s="1">
        <f t="shared" si="47"/>
        <v>0</v>
      </c>
      <c r="BO50" s="1">
        <f t="shared" si="47"/>
        <v>0</v>
      </c>
      <c r="BP50" s="1">
        <f t="shared" si="47"/>
        <v>197.5</v>
      </c>
      <c r="BQ50" s="1">
        <f t="shared" si="47"/>
        <v>0</v>
      </c>
      <c r="BR50" s="1">
        <f t="shared" si="47"/>
        <v>56.25</v>
      </c>
      <c r="BS50" s="1">
        <f t="shared" si="47"/>
        <v>0</v>
      </c>
      <c r="BT50" s="1">
        <f t="shared" si="47"/>
        <v>10.25</v>
      </c>
      <c r="BU50" s="1">
        <f t="shared" si="47"/>
        <v>117.5</v>
      </c>
      <c r="BV50" s="1">
        <f t="shared" si="47"/>
        <v>23.25</v>
      </c>
      <c r="BW50" s="1">
        <f t="shared" si="47"/>
        <v>0</v>
      </c>
      <c r="BX50" s="1">
        <f t="shared" si="47"/>
        <v>0</v>
      </c>
      <c r="BY50" s="1">
        <f t="shared" si="47"/>
        <v>0</v>
      </c>
      <c r="BZ50" s="1">
        <f t="shared" si="47"/>
        <v>0</v>
      </c>
      <c r="CA50" s="1">
        <f t="shared" si="47"/>
        <v>0</v>
      </c>
      <c r="CB50" s="1">
        <f t="shared" si="47"/>
        <v>0</v>
      </c>
      <c r="CC50" s="1">
        <f t="shared" si="47"/>
        <v>0</v>
      </c>
      <c r="CD50" s="1">
        <f t="shared" si="47"/>
        <v>0</v>
      </c>
      <c r="CE50" s="1">
        <f t="shared" si="47"/>
        <v>0</v>
      </c>
      <c r="CG50" s="6">
        <v>2011</v>
      </c>
      <c r="CH50" s="6" t="s">
        <v>260</v>
      </c>
      <c r="CI50" s="6">
        <v>0.075</v>
      </c>
      <c r="CJ50" s="6">
        <v>0.075</v>
      </c>
      <c r="CK50" s="6" t="s">
        <v>591</v>
      </c>
      <c r="CL50" s="6" t="s">
        <v>591</v>
      </c>
      <c r="CM50" s="6" t="s">
        <v>593</v>
      </c>
    </row>
    <row r="51" spans="4:91">
      <c r="D51">
        <f t="shared" si="8"/>
        <v>2016</v>
      </c>
      <c r="E51" s="1" t="s">
        <v>262</v>
      </c>
      <c r="F51" s="1">
        <f t="shared" si="11"/>
        <v>0</v>
      </c>
      <c r="G51" s="1">
        <f t="shared" si="12"/>
        <v>12.7575</v>
      </c>
      <c r="H51" s="1">
        <f t="shared" si="13"/>
        <v>0</v>
      </c>
      <c r="I51" s="1">
        <f t="shared" si="14"/>
        <v>0.03375</v>
      </c>
      <c r="J51" s="1">
        <f t="shared" si="15"/>
        <v>0</v>
      </c>
      <c r="K51" s="1">
        <f t="shared" si="16"/>
        <v>0</v>
      </c>
      <c r="L51" s="1">
        <f t="shared" si="17"/>
        <v>4.59</v>
      </c>
      <c r="M51" s="1">
        <f t="shared" si="6"/>
        <v>85.725</v>
      </c>
      <c r="N51" s="1">
        <f t="shared" si="18"/>
        <v>0</v>
      </c>
      <c r="O51" s="1">
        <f t="shared" si="19"/>
        <v>0</v>
      </c>
      <c r="P51" s="1">
        <f t="shared" si="20"/>
        <v>0</v>
      </c>
      <c r="Q51" s="1">
        <f t="shared" si="21"/>
        <v>0.0135</v>
      </c>
      <c r="R51" s="1">
        <f t="shared" si="22"/>
        <v>0</v>
      </c>
      <c r="S51" s="1">
        <f t="shared" si="23"/>
        <v>0</v>
      </c>
      <c r="T51" s="1">
        <f t="shared" si="24"/>
        <v>0</v>
      </c>
      <c r="U51" s="1">
        <f t="shared" si="25"/>
        <v>1.89</v>
      </c>
      <c r="V51" s="1">
        <f t="shared" si="26"/>
        <v>0</v>
      </c>
      <c r="W51" s="1">
        <f t="shared" si="27"/>
        <v>0</v>
      </c>
      <c r="X51" s="1">
        <f t="shared" si="28"/>
        <v>0</v>
      </c>
      <c r="Y51" s="1">
        <f t="shared" si="29"/>
        <v>0</v>
      </c>
      <c r="Z51" s="1">
        <f t="shared" si="30"/>
        <v>0</v>
      </c>
      <c r="AA51" s="1">
        <f t="shared" si="31"/>
        <v>1.41075</v>
      </c>
      <c r="AB51" s="1">
        <f t="shared" si="32"/>
        <v>0.4725</v>
      </c>
      <c r="AC51" s="1">
        <f t="shared" si="33"/>
        <v>0</v>
      </c>
      <c r="AD51" s="1">
        <f t="shared" si="34"/>
        <v>1.54575</v>
      </c>
      <c r="AE51" s="1">
        <f t="shared" si="35"/>
        <v>1.35</v>
      </c>
      <c r="AF51" s="1">
        <f t="shared" si="36"/>
        <v>0</v>
      </c>
      <c r="AG51" s="1">
        <f t="shared" si="37"/>
        <v>0</v>
      </c>
      <c r="AH51" s="1">
        <f t="shared" si="38"/>
        <v>0</v>
      </c>
      <c r="AI51" s="1">
        <f t="shared" si="39"/>
        <v>0</v>
      </c>
      <c r="AJ51" s="1">
        <f t="shared" si="40"/>
        <v>0</v>
      </c>
      <c r="AK51" s="1">
        <f t="shared" si="41"/>
        <v>0.2025</v>
      </c>
      <c r="AL51" s="1">
        <f t="shared" si="42"/>
        <v>0</v>
      </c>
      <c r="AM51" s="1">
        <f t="shared" si="43"/>
        <v>0.081</v>
      </c>
      <c r="AN51" s="1">
        <f t="shared" si="44"/>
        <v>0</v>
      </c>
      <c r="AO51" s="1"/>
      <c r="AQ51" s="6">
        <v>2011</v>
      </c>
      <c r="AR51" s="6" t="s">
        <v>262</v>
      </c>
      <c r="AS51" s="6">
        <v>0.075</v>
      </c>
      <c r="AT51" s="6" t="s">
        <v>591</v>
      </c>
      <c r="AU51" s="6" t="s">
        <v>592</v>
      </c>
      <c r="AV51" s="1" t="s">
        <v>262</v>
      </c>
      <c r="AW51" s="1">
        <f xml:space="preserve">BA19*90%</f>
        <v>0</v>
      </c>
      <c r="AX51" s="1">
        <f t="shared" ref="AX51:CE51" si="48" xml:space="preserve">BB19*90%</f>
        <v>170.1</v>
      </c>
      <c r="AY51" s="1">
        <f t="shared" si="48"/>
        <v>0</v>
      </c>
      <c r="AZ51" s="1">
        <f t="shared" si="48"/>
        <v>0.45</v>
      </c>
      <c r="BA51" s="1">
        <f t="shared" si="48"/>
        <v>0</v>
      </c>
      <c r="BB51" s="1">
        <f t="shared" si="48"/>
        <v>0</v>
      </c>
      <c r="BC51" s="1">
        <f t="shared" si="48"/>
        <v>61.2</v>
      </c>
      <c r="BD51" s="1">
        <f t="shared" si="48"/>
        <v>1143</v>
      </c>
      <c r="BE51" s="1">
        <f t="shared" si="48"/>
        <v>0</v>
      </c>
      <c r="BF51" s="1">
        <f t="shared" si="48"/>
        <v>0</v>
      </c>
      <c r="BG51" s="1">
        <f t="shared" si="48"/>
        <v>0</v>
      </c>
      <c r="BH51" s="1">
        <f t="shared" si="48"/>
        <v>0.18</v>
      </c>
      <c r="BI51" s="1">
        <f t="shared" si="48"/>
        <v>0</v>
      </c>
      <c r="BJ51" s="1">
        <f t="shared" si="48"/>
        <v>0</v>
      </c>
      <c r="BK51" s="1">
        <f t="shared" si="48"/>
        <v>0</v>
      </c>
      <c r="BL51" s="1">
        <f t="shared" si="48"/>
        <v>25.2</v>
      </c>
      <c r="BM51" s="1">
        <f t="shared" si="48"/>
        <v>0</v>
      </c>
      <c r="BN51" s="1">
        <f t="shared" si="48"/>
        <v>0</v>
      </c>
      <c r="BO51" s="1">
        <f t="shared" si="48"/>
        <v>0</v>
      </c>
      <c r="BP51" s="1">
        <f t="shared" si="48"/>
        <v>0</v>
      </c>
      <c r="BQ51" s="1">
        <f t="shared" si="48"/>
        <v>0</v>
      </c>
      <c r="BR51" s="1">
        <f t="shared" si="48"/>
        <v>18.81</v>
      </c>
      <c r="BS51" s="1">
        <f t="shared" si="48"/>
        <v>6.3</v>
      </c>
      <c r="BT51" s="1">
        <f t="shared" si="48"/>
        <v>0</v>
      </c>
      <c r="BU51" s="1">
        <f t="shared" si="48"/>
        <v>20.61</v>
      </c>
      <c r="BV51" s="1">
        <f t="shared" si="48"/>
        <v>18</v>
      </c>
      <c r="BW51" s="1">
        <f t="shared" si="48"/>
        <v>0</v>
      </c>
      <c r="BX51" s="1">
        <f t="shared" si="48"/>
        <v>0</v>
      </c>
      <c r="BY51" s="1">
        <f t="shared" si="48"/>
        <v>0</v>
      </c>
      <c r="BZ51" s="1">
        <f t="shared" si="48"/>
        <v>0</v>
      </c>
      <c r="CA51" s="1">
        <f t="shared" si="48"/>
        <v>0</v>
      </c>
      <c r="CB51" s="1">
        <f t="shared" si="48"/>
        <v>2.7</v>
      </c>
      <c r="CC51" s="1">
        <f t="shared" si="48"/>
        <v>0</v>
      </c>
      <c r="CD51" s="1">
        <f t="shared" si="48"/>
        <v>1.08</v>
      </c>
      <c r="CE51" s="1">
        <f t="shared" si="48"/>
        <v>0</v>
      </c>
      <c r="CG51" s="6">
        <v>2011</v>
      </c>
      <c r="CH51" s="6" t="s">
        <v>262</v>
      </c>
      <c r="CI51" s="6">
        <v>0.075</v>
      </c>
      <c r="CJ51" s="6">
        <v>0.075</v>
      </c>
      <c r="CK51" s="6" t="s">
        <v>591</v>
      </c>
      <c r="CL51" s="6" t="s">
        <v>591</v>
      </c>
      <c r="CM51" s="6" t="s">
        <v>593</v>
      </c>
    </row>
    <row r="52" spans="4:91">
      <c r="D52">
        <v>2011</v>
      </c>
      <c r="E52" t="s">
        <v>68</v>
      </c>
      <c r="F52" s="1">
        <f t="shared" si="11"/>
        <v>0</v>
      </c>
      <c r="G52" s="1">
        <f t="shared" si="12"/>
        <v>0</v>
      </c>
      <c r="H52" s="1">
        <f t="shared" si="13"/>
        <v>1.6e-5</v>
      </c>
      <c r="I52" s="1">
        <f t="shared" si="14"/>
        <v>4e-5</v>
      </c>
      <c r="J52" s="1">
        <f t="shared" si="15"/>
        <v>1.6e-5</v>
      </c>
      <c r="K52" s="1">
        <f t="shared" si="16"/>
        <v>0.000416</v>
      </c>
      <c r="L52" s="1">
        <f t="shared" si="17"/>
        <v>4e-5</v>
      </c>
      <c r="M52" s="1">
        <f t="shared" si="6"/>
        <v>0.488952</v>
      </c>
      <c r="N52" s="1">
        <f t="shared" si="18"/>
        <v>0</v>
      </c>
      <c r="O52" s="1">
        <f t="shared" si="19"/>
        <v>4e-5</v>
      </c>
      <c r="P52" s="1">
        <f t="shared" si="20"/>
        <v>0.000252</v>
      </c>
      <c r="Q52" s="1">
        <f t="shared" si="21"/>
        <v>0.000208</v>
      </c>
      <c r="R52" s="1">
        <f t="shared" si="22"/>
        <v>0</v>
      </c>
      <c r="S52" s="1">
        <f t="shared" si="23"/>
        <v>4e-5</v>
      </c>
      <c r="T52" s="1">
        <f t="shared" si="24"/>
        <v>0</v>
      </c>
      <c r="U52" s="1">
        <f t="shared" si="25"/>
        <v>0.0005</v>
      </c>
      <c r="V52" s="1">
        <f t="shared" si="26"/>
        <v>0</v>
      </c>
      <c r="W52" s="1">
        <f t="shared" si="27"/>
        <v>8.4e-5</v>
      </c>
      <c r="X52" s="1">
        <f t="shared" si="28"/>
        <v>4e-5</v>
      </c>
      <c r="Y52" s="1">
        <f t="shared" si="29"/>
        <v>0.000188</v>
      </c>
      <c r="Z52" s="1">
        <f t="shared" si="30"/>
        <v>1.6e-5</v>
      </c>
      <c r="AA52" s="1">
        <f t="shared" si="31"/>
        <v>0.000588</v>
      </c>
      <c r="AB52" s="1">
        <f t="shared" si="32"/>
        <v>8.4e-5</v>
      </c>
      <c r="AC52" s="1">
        <f t="shared" si="33"/>
        <v>0.000228</v>
      </c>
      <c r="AD52" s="1">
        <f t="shared" si="34"/>
        <v>0.000252</v>
      </c>
      <c r="AE52" s="1">
        <f t="shared" si="35"/>
        <v>8e-5</v>
      </c>
      <c r="AF52" s="1">
        <f t="shared" si="36"/>
        <v>0</v>
      </c>
      <c r="AG52" s="1">
        <f t="shared" si="37"/>
        <v>0</v>
      </c>
      <c r="AH52" s="1">
        <f t="shared" si="38"/>
        <v>0.000124</v>
      </c>
      <c r="AI52" s="1">
        <f t="shared" si="39"/>
        <v>0.000252</v>
      </c>
      <c r="AJ52" s="1">
        <f t="shared" si="40"/>
        <v>4e-5</v>
      </c>
      <c r="AK52" s="1">
        <f t="shared" si="41"/>
        <v>4e-5</v>
      </c>
      <c r="AL52" s="1">
        <f t="shared" si="42"/>
        <v>0.000336</v>
      </c>
      <c r="AM52" s="1">
        <f t="shared" si="43"/>
        <v>0</v>
      </c>
      <c r="AN52" s="1">
        <f t="shared" si="44"/>
        <v>0</v>
      </c>
      <c r="AO52" s="1"/>
      <c r="AQ52" s="6">
        <v>2011</v>
      </c>
      <c r="AR52" s="6" t="s">
        <v>68</v>
      </c>
      <c r="AS52" s="6">
        <v>0.004</v>
      </c>
      <c r="AT52" s="6" t="s">
        <v>568</v>
      </c>
      <c r="AU52" s="6" t="s">
        <v>594</v>
      </c>
      <c r="AV52" s="1" t="s">
        <v>68</v>
      </c>
      <c r="AW52">
        <v>0</v>
      </c>
      <c r="AX52">
        <v>0</v>
      </c>
      <c r="AY52">
        <v>0.004</v>
      </c>
      <c r="AZ52">
        <v>0.01</v>
      </c>
      <c r="BA52">
        <v>0.004</v>
      </c>
      <c r="BB52">
        <v>0.104</v>
      </c>
      <c r="BC52">
        <v>0.01</v>
      </c>
      <c r="BD52">
        <v>122.238</v>
      </c>
      <c r="BE52">
        <v>0</v>
      </c>
      <c r="BF52">
        <v>0.01</v>
      </c>
      <c r="BG52">
        <v>0.063</v>
      </c>
      <c r="BH52">
        <v>0.052</v>
      </c>
      <c r="BI52">
        <v>0</v>
      </c>
      <c r="BJ52">
        <v>0.01</v>
      </c>
      <c r="BK52">
        <v>0</v>
      </c>
      <c r="BL52">
        <v>0.125</v>
      </c>
      <c r="BM52">
        <v>0</v>
      </c>
      <c r="BN52">
        <v>0.021</v>
      </c>
      <c r="BO52">
        <v>0.01</v>
      </c>
      <c r="BP52">
        <v>0.047</v>
      </c>
      <c r="BQ52">
        <v>0.004</v>
      </c>
      <c r="BR52">
        <v>0.147</v>
      </c>
      <c r="BS52">
        <v>0.021</v>
      </c>
      <c r="BT52">
        <v>0.057</v>
      </c>
      <c r="BU52">
        <v>0.063</v>
      </c>
      <c r="BV52">
        <v>0.02</v>
      </c>
      <c r="BW52">
        <v>0</v>
      </c>
      <c r="BX52">
        <v>0</v>
      </c>
      <c r="BY52">
        <v>0.031</v>
      </c>
      <c r="BZ52">
        <v>0.063</v>
      </c>
      <c r="CA52">
        <v>0.01</v>
      </c>
      <c r="CB52">
        <v>0.01</v>
      </c>
      <c r="CC52">
        <v>0.084</v>
      </c>
      <c r="CD52">
        <v>0</v>
      </c>
      <c r="CE52">
        <v>0</v>
      </c>
      <c r="CG52" s="6">
        <v>2011</v>
      </c>
      <c r="CH52" s="6" t="s">
        <v>68</v>
      </c>
      <c r="CI52" s="6">
        <v>0.004</v>
      </c>
      <c r="CJ52" s="6">
        <v>0.003</v>
      </c>
      <c r="CK52" s="6" t="s">
        <v>595</v>
      </c>
      <c r="CL52" s="6" t="s">
        <v>596</v>
      </c>
      <c r="CM52" s="6" t="s">
        <v>597</v>
      </c>
    </row>
    <row r="53" spans="4:91">
      <c r="D53">
        <f t="shared" si="8"/>
        <v>2011</v>
      </c>
      <c r="E53" t="s">
        <v>90</v>
      </c>
      <c r="F53" s="1">
        <f t="shared" si="11"/>
        <v>1.2e-5</v>
      </c>
      <c r="G53" s="1">
        <f t="shared" si="12"/>
        <v>1.2e-5</v>
      </c>
      <c r="H53" s="1">
        <f t="shared" si="13"/>
        <v>0.000408</v>
      </c>
      <c r="I53" s="1">
        <f t="shared" si="14"/>
        <v>0.001368</v>
      </c>
      <c r="J53" s="1">
        <f t="shared" si="15"/>
        <v>0.000156</v>
      </c>
      <c r="K53" s="1">
        <f t="shared" si="16"/>
        <v>0.006256</v>
      </c>
      <c r="L53" s="1">
        <f t="shared" si="17"/>
        <v>4.8e-5</v>
      </c>
      <c r="M53" s="1">
        <f t="shared" si="6"/>
        <v>0.08424</v>
      </c>
      <c r="N53" s="1">
        <f t="shared" si="18"/>
        <v>0.000112</v>
      </c>
      <c r="O53" s="1">
        <f t="shared" si="19"/>
        <v>0.000176</v>
      </c>
      <c r="P53" s="1">
        <f t="shared" si="20"/>
        <v>0.01008</v>
      </c>
      <c r="Q53" s="1">
        <f t="shared" si="21"/>
        <v>0.007908</v>
      </c>
      <c r="R53" s="1">
        <f t="shared" si="22"/>
        <v>2.4e-5</v>
      </c>
      <c r="S53" s="1">
        <f t="shared" si="23"/>
        <v>0.00034</v>
      </c>
      <c r="T53" s="1">
        <f t="shared" si="24"/>
        <v>0.0005</v>
      </c>
      <c r="U53" s="1">
        <f t="shared" si="25"/>
        <v>0.00028</v>
      </c>
      <c r="V53" s="1">
        <f t="shared" si="26"/>
        <v>0.000328</v>
      </c>
      <c r="W53" s="1">
        <f t="shared" si="27"/>
        <v>0.001024</v>
      </c>
      <c r="X53" s="1">
        <f t="shared" si="28"/>
        <v>0.009132</v>
      </c>
      <c r="Y53" s="1">
        <f t="shared" si="29"/>
        <v>0.00018</v>
      </c>
      <c r="Z53" s="1">
        <f t="shared" si="30"/>
        <v>0.000156</v>
      </c>
      <c r="AA53" s="1">
        <f t="shared" si="31"/>
        <v>0.027724</v>
      </c>
      <c r="AB53" s="1">
        <f t="shared" si="32"/>
        <v>0.010832</v>
      </c>
      <c r="AC53" s="1">
        <f t="shared" si="33"/>
        <v>0.000212</v>
      </c>
      <c r="AD53" s="1">
        <f t="shared" si="34"/>
        <v>0.001896</v>
      </c>
      <c r="AE53" s="1">
        <f t="shared" si="35"/>
        <v>0.000224</v>
      </c>
      <c r="AF53" s="1">
        <f t="shared" si="36"/>
        <v>8e-6</v>
      </c>
      <c r="AG53" s="1">
        <f t="shared" si="37"/>
        <v>3.6e-5</v>
      </c>
      <c r="AH53" s="1">
        <f t="shared" si="38"/>
        <v>0.002092</v>
      </c>
      <c r="AI53" s="1">
        <f t="shared" si="39"/>
        <v>0.00356</v>
      </c>
      <c r="AJ53" s="1">
        <f t="shared" si="40"/>
        <v>0.001348</v>
      </c>
      <c r="AK53" s="1">
        <f t="shared" si="41"/>
        <v>4.8e-5</v>
      </c>
      <c r="AL53" s="1">
        <f t="shared" si="42"/>
        <v>0.006356</v>
      </c>
      <c r="AM53" s="1">
        <f t="shared" si="43"/>
        <v>0.000448</v>
      </c>
      <c r="AN53" s="1">
        <f t="shared" si="44"/>
        <v>2e-5</v>
      </c>
      <c r="AO53" s="1"/>
      <c r="AQ53" s="6">
        <v>2011</v>
      </c>
      <c r="AR53" s="6" t="s">
        <v>90</v>
      </c>
      <c r="AS53" s="6">
        <v>0.004</v>
      </c>
      <c r="AT53" s="6" t="s">
        <v>568</v>
      </c>
      <c r="AU53" s="6" t="s">
        <v>594</v>
      </c>
      <c r="AV53" s="1" t="s">
        <v>90</v>
      </c>
      <c r="AW53">
        <v>0.003</v>
      </c>
      <c r="AX53">
        <v>0.003</v>
      </c>
      <c r="AY53">
        <v>0.102</v>
      </c>
      <c r="AZ53">
        <v>0.342</v>
      </c>
      <c r="BA53">
        <v>0.039</v>
      </c>
      <c r="BB53">
        <v>1.564</v>
      </c>
      <c r="BC53">
        <v>0.012</v>
      </c>
      <c r="BD53">
        <v>21.06</v>
      </c>
      <c r="BE53">
        <v>0.028</v>
      </c>
      <c r="BF53">
        <v>0.044</v>
      </c>
      <c r="BG53">
        <v>2.52</v>
      </c>
      <c r="BH53">
        <v>1.977</v>
      </c>
      <c r="BI53">
        <v>0.006</v>
      </c>
      <c r="BJ53">
        <v>0.085</v>
      </c>
      <c r="BK53">
        <v>0.125</v>
      </c>
      <c r="BL53">
        <v>0.07</v>
      </c>
      <c r="BM53">
        <v>0.082</v>
      </c>
      <c r="BN53">
        <v>0.256</v>
      </c>
      <c r="BO53">
        <v>2.283</v>
      </c>
      <c r="BP53">
        <v>0.045</v>
      </c>
      <c r="BQ53">
        <v>0.039</v>
      </c>
      <c r="BR53">
        <v>6.931</v>
      </c>
      <c r="BS53">
        <v>2.708</v>
      </c>
      <c r="BT53">
        <v>0.053</v>
      </c>
      <c r="BU53">
        <v>0.474</v>
      </c>
      <c r="BV53">
        <v>0.056</v>
      </c>
      <c r="BW53">
        <v>0.002</v>
      </c>
      <c r="BX53">
        <v>0.009</v>
      </c>
      <c r="BY53">
        <v>0.523</v>
      </c>
      <c r="BZ53">
        <v>0.89</v>
      </c>
      <c r="CA53">
        <v>0.337</v>
      </c>
      <c r="CB53">
        <v>0.012</v>
      </c>
      <c r="CC53">
        <v>1.589</v>
      </c>
      <c r="CD53">
        <v>0.112</v>
      </c>
      <c r="CE53">
        <v>0.005</v>
      </c>
      <c r="CG53" s="6">
        <v>2011</v>
      </c>
      <c r="CH53" s="6" t="s">
        <v>90</v>
      </c>
      <c r="CI53" s="6">
        <v>0.004</v>
      </c>
      <c r="CJ53" s="6">
        <v>0.003</v>
      </c>
      <c r="CK53" s="6" t="s">
        <v>595</v>
      </c>
      <c r="CL53" s="6" t="s">
        <v>596</v>
      </c>
      <c r="CM53" s="6" t="s">
        <v>597</v>
      </c>
    </row>
    <row r="54" spans="4:91">
      <c r="D54">
        <f t="shared" si="8"/>
        <v>2011</v>
      </c>
      <c r="E54" t="s">
        <v>94</v>
      </c>
      <c r="F54" s="1">
        <f t="shared" si="11"/>
        <v>1.2e-5</v>
      </c>
      <c r="G54" s="1">
        <f t="shared" si="12"/>
        <v>1.2e-5</v>
      </c>
      <c r="H54" s="1">
        <f t="shared" si="13"/>
        <v>0.00034</v>
      </c>
      <c r="I54" s="1">
        <f t="shared" si="14"/>
        <v>0.001116</v>
      </c>
      <c r="J54" s="1">
        <f t="shared" si="15"/>
        <v>0.000132</v>
      </c>
      <c r="K54" s="1">
        <f t="shared" si="16"/>
        <v>0.005148</v>
      </c>
      <c r="L54" s="1">
        <f t="shared" si="17"/>
        <v>4e-5</v>
      </c>
      <c r="M54" s="1">
        <f t="shared" si="6"/>
        <v>0.182356</v>
      </c>
      <c r="N54" s="1">
        <f t="shared" si="18"/>
        <v>9.6e-5</v>
      </c>
      <c r="O54" s="1">
        <f t="shared" si="19"/>
        <v>0.00014</v>
      </c>
      <c r="P54" s="1">
        <f t="shared" si="20"/>
        <v>0.007644</v>
      </c>
      <c r="Q54" s="1">
        <f t="shared" si="21"/>
        <v>0.006292</v>
      </c>
      <c r="R54" s="1">
        <f t="shared" si="22"/>
        <v>2e-5</v>
      </c>
      <c r="S54" s="1">
        <f t="shared" si="23"/>
        <v>0.000276</v>
      </c>
      <c r="T54" s="1">
        <f t="shared" si="24"/>
        <v>0.000416</v>
      </c>
      <c r="U54" s="1">
        <f t="shared" si="25"/>
        <v>2.8e-5</v>
      </c>
      <c r="V54" s="1">
        <f t="shared" si="26"/>
        <v>0.000268</v>
      </c>
      <c r="W54" s="1">
        <f t="shared" si="27"/>
        <v>0.000812</v>
      </c>
      <c r="X54" s="1">
        <f t="shared" si="28"/>
        <v>0.001688</v>
      </c>
      <c r="Y54" s="1">
        <f t="shared" si="29"/>
        <v>0.000156</v>
      </c>
      <c r="Z54" s="1">
        <f t="shared" si="30"/>
        <v>0.000132</v>
      </c>
      <c r="AA54" s="1">
        <f t="shared" si="31"/>
        <v>0.019408</v>
      </c>
      <c r="AB54" s="1">
        <f t="shared" si="32"/>
        <v>0.006484</v>
      </c>
      <c r="AC54" s="1">
        <f t="shared" si="33"/>
        <v>0.000184</v>
      </c>
      <c r="AD54" s="1">
        <f t="shared" si="34"/>
        <v>0.006168</v>
      </c>
      <c r="AE54" s="1">
        <f t="shared" si="35"/>
        <v>0.000192</v>
      </c>
      <c r="AF54" s="1">
        <f t="shared" si="36"/>
        <v>4e-6</v>
      </c>
      <c r="AG54" s="1">
        <f t="shared" si="37"/>
        <v>2.8e-5</v>
      </c>
      <c r="AH54" s="1">
        <f t="shared" si="38"/>
        <v>0.001696</v>
      </c>
      <c r="AI54" s="1">
        <f t="shared" si="39"/>
        <v>0.002892</v>
      </c>
      <c r="AJ54" s="1">
        <f t="shared" si="40"/>
        <v>0.0011</v>
      </c>
      <c r="AK54" s="1">
        <f t="shared" si="41"/>
        <v>4.4e-5</v>
      </c>
      <c r="AL54" s="1">
        <f t="shared" si="42"/>
        <v>0.005172</v>
      </c>
      <c r="AM54" s="1">
        <f t="shared" si="43"/>
        <v>7.6e-5</v>
      </c>
      <c r="AN54" s="1">
        <f t="shared" si="44"/>
        <v>1.6e-5</v>
      </c>
      <c r="AO54" s="1"/>
      <c r="AQ54" s="6">
        <v>2011</v>
      </c>
      <c r="AR54" s="6" t="s">
        <v>94</v>
      </c>
      <c r="AS54" s="6">
        <v>0.004</v>
      </c>
      <c r="AT54" s="6" t="s">
        <v>568</v>
      </c>
      <c r="AU54" s="6" t="s">
        <v>594</v>
      </c>
      <c r="AV54" s="1" t="s">
        <v>94</v>
      </c>
      <c r="AW54">
        <v>0.003</v>
      </c>
      <c r="AX54">
        <v>0.003</v>
      </c>
      <c r="AY54">
        <v>0.085</v>
      </c>
      <c r="AZ54">
        <v>0.279</v>
      </c>
      <c r="BA54">
        <v>0.033</v>
      </c>
      <c r="BB54">
        <v>1.287</v>
      </c>
      <c r="BC54">
        <v>0.01</v>
      </c>
      <c r="BD54">
        <v>45.589</v>
      </c>
      <c r="BE54">
        <v>0.024</v>
      </c>
      <c r="BF54">
        <v>0.035</v>
      </c>
      <c r="BG54">
        <v>1.911</v>
      </c>
      <c r="BH54">
        <v>1.573</v>
      </c>
      <c r="BI54">
        <v>0.005</v>
      </c>
      <c r="BJ54">
        <v>0.069</v>
      </c>
      <c r="BK54">
        <v>0.104</v>
      </c>
      <c r="BL54">
        <v>0.007</v>
      </c>
      <c r="BM54">
        <v>0.067</v>
      </c>
      <c r="BN54">
        <v>0.203</v>
      </c>
      <c r="BO54">
        <v>0.422</v>
      </c>
      <c r="BP54">
        <v>0.039</v>
      </c>
      <c r="BQ54">
        <v>0.033</v>
      </c>
      <c r="BR54">
        <v>4.852</v>
      </c>
      <c r="BS54">
        <v>1.621</v>
      </c>
      <c r="BT54">
        <v>0.046</v>
      </c>
      <c r="BU54">
        <v>1.542</v>
      </c>
      <c r="BV54">
        <v>0.048</v>
      </c>
      <c r="BW54">
        <v>0.001</v>
      </c>
      <c r="BX54">
        <v>0.007</v>
      </c>
      <c r="BY54">
        <v>0.424</v>
      </c>
      <c r="BZ54">
        <v>0.723</v>
      </c>
      <c r="CA54">
        <v>0.275</v>
      </c>
      <c r="CB54">
        <v>0.011</v>
      </c>
      <c r="CC54">
        <v>1.293</v>
      </c>
      <c r="CD54">
        <v>0.019</v>
      </c>
      <c r="CE54">
        <v>0.004</v>
      </c>
      <c r="CG54" s="6">
        <v>2011</v>
      </c>
      <c r="CH54" s="6" t="s">
        <v>94</v>
      </c>
      <c r="CI54" s="6">
        <v>0.004</v>
      </c>
      <c r="CJ54" s="6">
        <v>0.003</v>
      </c>
      <c r="CK54" s="6" t="s">
        <v>595</v>
      </c>
      <c r="CL54" s="6" t="s">
        <v>596</v>
      </c>
      <c r="CM54" s="6" t="s">
        <v>597</v>
      </c>
    </row>
    <row r="55" spans="4:91">
      <c r="D55">
        <f t="shared" si="8"/>
        <v>2011</v>
      </c>
      <c r="E55" t="s">
        <v>86</v>
      </c>
      <c r="F55" s="1">
        <f t="shared" si="11"/>
        <v>4e-6</v>
      </c>
      <c r="G55" s="1">
        <f t="shared" si="12"/>
        <v>4e-6</v>
      </c>
      <c r="H55" s="1">
        <f t="shared" si="13"/>
        <v>6.8e-5</v>
      </c>
      <c r="I55" s="1">
        <f t="shared" si="14"/>
        <v>0.000212</v>
      </c>
      <c r="J55" s="1">
        <f t="shared" si="15"/>
        <v>2.4e-5</v>
      </c>
      <c r="K55" s="1">
        <f t="shared" si="16"/>
        <v>0.000976</v>
      </c>
      <c r="L55" s="1">
        <f t="shared" si="17"/>
        <v>4e-6</v>
      </c>
      <c r="M55" s="1">
        <f t="shared" si="6"/>
        <v>0.037564</v>
      </c>
      <c r="N55" s="1">
        <f t="shared" si="18"/>
        <v>2e-5</v>
      </c>
      <c r="O55" s="1">
        <f t="shared" si="19"/>
        <v>2.4e-5</v>
      </c>
      <c r="P55" s="1">
        <f t="shared" si="20"/>
        <v>0.00128</v>
      </c>
      <c r="Q55" s="1">
        <f t="shared" si="21"/>
        <v>0.001152</v>
      </c>
      <c r="R55" s="1">
        <f t="shared" si="22"/>
        <v>4e-6</v>
      </c>
      <c r="S55" s="1">
        <f t="shared" si="23"/>
        <v>4.8e-5</v>
      </c>
      <c r="T55" s="1">
        <f t="shared" si="24"/>
        <v>8.4e-5</v>
      </c>
      <c r="U55" s="1">
        <f t="shared" si="25"/>
        <v>0</v>
      </c>
      <c r="V55" s="1">
        <f t="shared" si="26"/>
        <v>5.2e-5</v>
      </c>
      <c r="W55" s="1">
        <f t="shared" si="27"/>
        <v>0.000144</v>
      </c>
      <c r="X55" s="1">
        <f t="shared" si="28"/>
        <v>0</v>
      </c>
      <c r="Y55" s="1">
        <f t="shared" si="29"/>
        <v>1.6e-5</v>
      </c>
      <c r="Z55" s="1">
        <f t="shared" si="30"/>
        <v>2.4e-5</v>
      </c>
      <c r="AA55" s="1">
        <f t="shared" si="31"/>
        <v>0.019064</v>
      </c>
      <c r="AB55" s="1">
        <f t="shared" si="32"/>
        <v>0.002108</v>
      </c>
      <c r="AC55" s="1">
        <f t="shared" si="33"/>
        <v>2e-5</v>
      </c>
      <c r="AD55" s="1">
        <f t="shared" si="34"/>
        <v>0.004316</v>
      </c>
      <c r="AE55" s="1">
        <f t="shared" si="35"/>
        <v>3.2e-5</v>
      </c>
      <c r="AF55" s="1">
        <f t="shared" si="36"/>
        <v>0</v>
      </c>
      <c r="AG55" s="1">
        <f t="shared" si="37"/>
        <v>4e-6</v>
      </c>
      <c r="AH55" s="1">
        <f t="shared" si="38"/>
        <v>0.000316</v>
      </c>
      <c r="AI55" s="1">
        <f t="shared" si="39"/>
        <v>0.000536</v>
      </c>
      <c r="AJ55" s="1">
        <f t="shared" si="40"/>
        <v>0.000208</v>
      </c>
      <c r="AK55" s="1">
        <f t="shared" si="41"/>
        <v>8e-6</v>
      </c>
      <c r="AL55" s="1">
        <f t="shared" si="42"/>
        <v>0.000972</v>
      </c>
      <c r="AM55" s="1">
        <f t="shared" si="43"/>
        <v>0</v>
      </c>
      <c r="AN55" s="1">
        <f t="shared" si="44"/>
        <v>4e-6</v>
      </c>
      <c r="AO55" s="1"/>
      <c r="AQ55" s="6">
        <v>2011</v>
      </c>
      <c r="AR55" s="6" t="s">
        <v>86</v>
      </c>
      <c r="AS55" s="6">
        <v>0.004</v>
      </c>
      <c r="AT55" s="6" t="s">
        <v>568</v>
      </c>
      <c r="AU55" s="6" t="s">
        <v>594</v>
      </c>
      <c r="AV55" s="1" t="s">
        <v>86</v>
      </c>
      <c r="AW55">
        <v>0.001</v>
      </c>
      <c r="AX55">
        <v>0.001</v>
      </c>
      <c r="AY55">
        <v>0.017</v>
      </c>
      <c r="AZ55">
        <v>0.053</v>
      </c>
      <c r="BA55">
        <v>0.006</v>
      </c>
      <c r="BB55">
        <v>0.244</v>
      </c>
      <c r="BC55">
        <v>0.001</v>
      </c>
      <c r="BD55">
        <v>9.391</v>
      </c>
      <c r="BE55">
        <v>0.005</v>
      </c>
      <c r="BF55">
        <v>0.006</v>
      </c>
      <c r="BG55">
        <v>0.32</v>
      </c>
      <c r="BH55">
        <v>0.288</v>
      </c>
      <c r="BI55">
        <v>0.001</v>
      </c>
      <c r="BJ55">
        <v>0.012</v>
      </c>
      <c r="BK55">
        <v>0.021</v>
      </c>
      <c r="BL55">
        <v>0</v>
      </c>
      <c r="BM55">
        <v>0.013</v>
      </c>
      <c r="BN55">
        <v>0.036</v>
      </c>
      <c r="BO55">
        <v>0</v>
      </c>
      <c r="BP55">
        <v>0.004</v>
      </c>
      <c r="BQ55">
        <v>0.006</v>
      </c>
      <c r="BR55">
        <v>4.766</v>
      </c>
      <c r="BS55">
        <v>0.527</v>
      </c>
      <c r="BT55">
        <v>0.005</v>
      </c>
      <c r="BU55">
        <v>1.079</v>
      </c>
      <c r="BV55">
        <v>0.008</v>
      </c>
      <c r="BW55">
        <v>0</v>
      </c>
      <c r="BX55">
        <v>0.001</v>
      </c>
      <c r="BY55">
        <v>0.079</v>
      </c>
      <c r="BZ55">
        <v>0.134</v>
      </c>
      <c r="CA55">
        <v>0.052</v>
      </c>
      <c r="CB55">
        <v>0.002</v>
      </c>
      <c r="CC55">
        <v>0.243</v>
      </c>
      <c r="CD55">
        <v>0</v>
      </c>
      <c r="CE55">
        <v>0.001</v>
      </c>
      <c r="CG55" s="6">
        <v>2011</v>
      </c>
      <c r="CH55" s="6" t="s">
        <v>86</v>
      </c>
      <c r="CI55" s="6">
        <v>0.004</v>
      </c>
      <c r="CJ55" s="6">
        <v>0.003</v>
      </c>
      <c r="CK55" s="6" t="s">
        <v>595</v>
      </c>
      <c r="CL55" s="6" t="s">
        <v>596</v>
      </c>
      <c r="CM55" s="6" t="s">
        <v>597</v>
      </c>
    </row>
    <row r="56" spans="4:91">
      <c r="D56">
        <f t="shared" si="8"/>
        <v>2011</v>
      </c>
      <c r="E56" t="s">
        <v>77</v>
      </c>
      <c r="F56" s="1">
        <f t="shared" si="11"/>
        <v>0</v>
      </c>
      <c r="G56" s="1">
        <f t="shared" si="12"/>
        <v>0</v>
      </c>
      <c r="H56" s="1">
        <f t="shared" si="13"/>
        <v>0</v>
      </c>
      <c r="I56" s="1">
        <f t="shared" si="14"/>
        <v>0</v>
      </c>
      <c r="J56" s="1">
        <f t="shared" si="15"/>
        <v>0</v>
      </c>
      <c r="K56" s="1">
        <f t="shared" si="16"/>
        <v>0</v>
      </c>
      <c r="L56" s="1">
        <f t="shared" si="17"/>
        <v>0</v>
      </c>
      <c r="M56" s="1">
        <f t="shared" si="6"/>
        <v>0.006804</v>
      </c>
      <c r="N56" s="1">
        <f t="shared" si="18"/>
        <v>0</v>
      </c>
      <c r="O56" s="1">
        <f t="shared" si="19"/>
        <v>0</v>
      </c>
      <c r="P56" s="1">
        <f t="shared" si="20"/>
        <v>0</v>
      </c>
      <c r="Q56" s="1">
        <f t="shared" si="21"/>
        <v>0</v>
      </c>
      <c r="R56" s="1">
        <f t="shared" si="22"/>
        <v>0</v>
      </c>
      <c r="S56" s="1">
        <f t="shared" si="23"/>
        <v>0</v>
      </c>
      <c r="T56" s="1">
        <f t="shared" si="24"/>
        <v>0</v>
      </c>
      <c r="U56" s="1">
        <f t="shared" si="25"/>
        <v>0</v>
      </c>
      <c r="V56" s="1">
        <f t="shared" si="26"/>
        <v>0</v>
      </c>
      <c r="W56" s="1">
        <f t="shared" si="27"/>
        <v>0</v>
      </c>
      <c r="X56" s="1">
        <f t="shared" si="28"/>
        <v>0</v>
      </c>
      <c r="Y56" s="1">
        <f t="shared" si="29"/>
        <v>0</v>
      </c>
      <c r="Z56" s="1">
        <f t="shared" si="30"/>
        <v>0</v>
      </c>
      <c r="AA56" s="1">
        <f t="shared" si="31"/>
        <v>0</v>
      </c>
      <c r="AB56" s="1">
        <f t="shared" si="32"/>
        <v>0</v>
      </c>
      <c r="AC56" s="1">
        <f t="shared" si="33"/>
        <v>0</v>
      </c>
      <c r="AD56" s="1">
        <f t="shared" si="34"/>
        <v>0</v>
      </c>
      <c r="AE56" s="1">
        <f t="shared" si="35"/>
        <v>0</v>
      </c>
      <c r="AF56" s="1">
        <f t="shared" si="36"/>
        <v>0</v>
      </c>
      <c r="AG56" s="1">
        <f t="shared" si="37"/>
        <v>0</v>
      </c>
      <c r="AH56" s="1">
        <f t="shared" si="38"/>
        <v>0</v>
      </c>
      <c r="AI56" s="1">
        <f t="shared" si="39"/>
        <v>0</v>
      </c>
      <c r="AJ56" s="1">
        <f t="shared" si="40"/>
        <v>0</v>
      </c>
      <c r="AK56" s="1">
        <f t="shared" si="41"/>
        <v>0</v>
      </c>
      <c r="AL56" s="1">
        <f t="shared" si="42"/>
        <v>0</v>
      </c>
      <c r="AM56" s="1">
        <f t="shared" si="43"/>
        <v>0</v>
      </c>
      <c r="AN56" s="1">
        <f t="shared" si="44"/>
        <v>0</v>
      </c>
      <c r="AO56" s="1"/>
      <c r="AQ56" s="6">
        <v>2011</v>
      </c>
      <c r="AR56" s="6" t="s">
        <v>77</v>
      </c>
      <c r="AS56" s="6">
        <v>0.004</v>
      </c>
      <c r="AT56" s="6" t="s">
        <v>568</v>
      </c>
      <c r="AU56" s="6" t="s">
        <v>594</v>
      </c>
      <c r="AV56" s="1" t="s">
        <v>77</v>
      </c>
      <c r="AW56">
        <v>0</v>
      </c>
      <c r="AX56">
        <v>0</v>
      </c>
      <c r="AY56">
        <v>0</v>
      </c>
      <c r="AZ56">
        <v>0</v>
      </c>
      <c r="BA56">
        <v>0</v>
      </c>
      <c r="BB56">
        <v>0</v>
      </c>
      <c r="BC56">
        <v>0</v>
      </c>
      <c r="BD56">
        <v>1.701</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G56" s="6">
        <v>2011</v>
      </c>
      <c r="CH56" s="6" t="s">
        <v>77</v>
      </c>
      <c r="CI56" s="6">
        <v>0.004</v>
      </c>
      <c r="CJ56" s="6">
        <v>0.003</v>
      </c>
      <c r="CK56" s="6" t="s">
        <v>595</v>
      </c>
      <c r="CL56" s="6" t="s">
        <v>596</v>
      </c>
      <c r="CM56" s="6" t="s">
        <v>597</v>
      </c>
    </row>
    <row r="57" spans="4:91">
      <c r="D57">
        <f t="shared" si="8"/>
        <v>2011</v>
      </c>
      <c r="E57" t="s">
        <v>73</v>
      </c>
      <c r="F57" s="1">
        <f t="shared" si="11"/>
        <v>8e-6</v>
      </c>
      <c r="G57" s="1">
        <f t="shared" si="12"/>
        <v>8e-6</v>
      </c>
      <c r="H57" s="1">
        <f t="shared" si="13"/>
        <v>0.000268</v>
      </c>
      <c r="I57" s="1">
        <f t="shared" si="14"/>
        <v>0.000848</v>
      </c>
      <c r="J57" s="1">
        <f t="shared" si="15"/>
        <v>0.0001</v>
      </c>
      <c r="K57" s="1">
        <f t="shared" si="16"/>
        <v>0.003904</v>
      </c>
      <c r="L57" s="1">
        <f t="shared" si="17"/>
        <v>2.4e-5</v>
      </c>
      <c r="M57" s="1">
        <f t="shared" si="6"/>
        <v>0.010204</v>
      </c>
      <c r="N57" s="1">
        <f t="shared" si="18"/>
        <v>7.6e-5</v>
      </c>
      <c r="O57" s="1">
        <f t="shared" si="19"/>
        <v>8.8e-5</v>
      </c>
      <c r="P57" s="1">
        <f t="shared" si="20"/>
        <v>0.005128</v>
      </c>
      <c r="Q57" s="1">
        <f t="shared" si="21"/>
        <v>0.004604</v>
      </c>
      <c r="R57" s="1">
        <f t="shared" si="22"/>
        <v>1.6e-5</v>
      </c>
      <c r="S57" s="1">
        <f t="shared" si="23"/>
        <v>0.0002</v>
      </c>
      <c r="T57" s="1">
        <f t="shared" si="24"/>
        <v>0.000336</v>
      </c>
      <c r="U57" s="1">
        <f t="shared" si="25"/>
        <v>0</v>
      </c>
      <c r="V57" s="1">
        <f t="shared" si="26"/>
        <v>0.000208</v>
      </c>
      <c r="W57" s="1">
        <f t="shared" si="27"/>
        <v>0.000572</v>
      </c>
      <c r="X57" s="1">
        <f t="shared" si="28"/>
        <v>0.002888</v>
      </c>
      <c r="Y57" s="1">
        <f t="shared" si="29"/>
        <v>6.8e-5</v>
      </c>
      <c r="Z57" s="1">
        <f t="shared" si="30"/>
        <v>0.0001</v>
      </c>
      <c r="AA57" s="1">
        <f t="shared" si="31"/>
        <v>0.177036</v>
      </c>
      <c r="AB57" s="1">
        <f t="shared" si="32"/>
        <v>0.014752</v>
      </c>
      <c r="AC57" s="1">
        <f t="shared" si="33"/>
        <v>7.6e-5</v>
      </c>
      <c r="AD57" s="1">
        <f t="shared" si="34"/>
        <v>0.004316</v>
      </c>
      <c r="AE57" s="1">
        <f t="shared" si="35"/>
        <v>0.000132</v>
      </c>
      <c r="AF57" s="1">
        <f t="shared" si="36"/>
        <v>4e-6</v>
      </c>
      <c r="AG57" s="1">
        <f t="shared" si="37"/>
        <v>2.4e-5</v>
      </c>
      <c r="AH57" s="1">
        <f t="shared" si="38"/>
        <v>0.00126</v>
      </c>
      <c r="AI57" s="1">
        <f t="shared" si="39"/>
        <v>0.00214</v>
      </c>
      <c r="AJ57" s="1">
        <f t="shared" si="40"/>
        <v>0.000832</v>
      </c>
      <c r="AK57" s="1">
        <f t="shared" si="41"/>
        <v>2.4e-5</v>
      </c>
      <c r="AL57" s="1">
        <f t="shared" si="42"/>
        <v>0.00388</v>
      </c>
      <c r="AM57" s="1">
        <f t="shared" si="43"/>
        <v>0.000148</v>
      </c>
      <c r="AN57" s="1">
        <f t="shared" si="44"/>
        <v>1.2e-5</v>
      </c>
      <c r="AO57" s="1"/>
      <c r="AQ57" s="6">
        <v>2011</v>
      </c>
      <c r="AR57" s="6" t="s">
        <v>73</v>
      </c>
      <c r="AS57" s="6">
        <v>0.004</v>
      </c>
      <c r="AT57" s="6" t="s">
        <v>568</v>
      </c>
      <c r="AU57" s="6" t="s">
        <v>594</v>
      </c>
      <c r="AV57" s="1" t="s">
        <v>73</v>
      </c>
      <c r="AW57">
        <v>0.002</v>
      </c>
      <c r="AX57">
        <v>0.002</v>
      </c>
      <c r="AY57">
        <v>0.067</v>
      </c>
      <c r="AZ57">
        <v>0.212</v>
      </c>
      <c r="BA57">
        <v>0.025</v>
      </c>
      <c r="BB57">
        <v>0.976</v>
      </c>
      <c r="BC57">
        <v>0.006</v>
      </c>
      <c r="BD57">
        <v>2.551</v>
      </c>
      <c r="BE57">
        <v>0.019</v>
      </c>
      <c r="BF57">
        <v>0.022</v>
      </c>
      <c r="BG57">
        <v>1.282</v>
      </c>
      <c r="BH57">
        <v>1.151</v>
      </c>
      <c r="BI57">
        <v>0.004</v>
      </c>
      <c r="BJ57">
        <v>0.05</v>
      </c>
      <c r="BK57">
        <v>0.084</v>
      </c>
      <c r="BL57">
        <v>0</v>
      </c>
      <c r="BM57">
        <v>0.052</v>
      </c>
      <c r="BN57">
        <v>0.143</v>
      </c>
      <c r="BO57">
        <v>0.722</v>
      </c>
      <c r="BP57">
        <v>0.017</v>
      </c>
      <c r="BQ57">
        <v>0.025</v>
      </c>
      <c r="BR57">
        <v>44.259</v>
      </c>
      <c r="BS57">
        <v>3.688</v>
      </c>
      <c r="BT57">
        <v>0.019</v>
      </c>
      <c r="BU57">
        <v>1.079</v>
      </c>
      <c r="BV57">
        <v>0.033</v>
      </c>
      <c r="BW57">
        <v>0.001</v>
      </c>
      <c r="BX57">
        <v>0.006</v>
      </c>
      <c r="BY57">
        <v>0.315</v>
      </c>
      <c r="BZ57">
        <v>0.535</v>
      </c>
      <c r="CA57">
        <v>0.208</v>
      </c>
      <c r="CB57">
        <v>0.006</v>
      </c>
      <c r="CC57">
        <v>0.97</v>
      </c>
      <c r="CD57">
        <v>0.037</v>
      </c>
      <c r="CE57">
        <v>0.003</v>
      </c>
      <c r="CG57" s="6">
        <v>2011</v>
      </c>
      <c r="CH57" s="6" t="s">
        <v>73</v>
      </c>
      <c r="CI57" s="6">
        <v>0.004</v>
      </c>
      <c r="CJ57" s="6">
        <v>0.003</v>
      </c>
      <c r="CK57" s="6" t="s">
        <v>595</v>
      </c>
      <c r="CL57" s="6" t="s">
        <v>596</v>
      </c>
      <c r="CM57" s="6" t="s">
        <v>597</v>
      </c>
    </row>
    <row r="58" spans="4:91">
      <c r="D58">
        <f t="shared" si="8"/>
        <v>2011</v>
      </c>
      <c r="E58" t="s">
        <v>81</v>
      </c>
      <c r="F58" s="1">
        <f t="shared" si="11"/>
        <v>8e-6</v>
      </c>
      <c r="G58" s="1">
        <f t="shared" si="12"/>
        <v>8e-6</v>
      </c>
      <c r="H58" s="1">
        <f t="shared" si="13"/>
        <v>0.000268</v>
      </c>
      <c r="I58" s="1">
        <f t="shared" si="14"/>
        <v>0.000932</v>
      </c>
      <c r="J58" s="1">
        <f t="shared" si="15"/>
        <v>0.0001</v>
      </c>
      <c r="K58" s="1">
        <f t="shared" si="16"/>
        <v>0.004164</v>
      </c>
      <c r="L58" s="1">
        <f t="shared" si="17"/>
        <v>2.4e-5</v>
      </c>
      <c r="M58" s="1">
        <f t="shared" si="6"/>
        <v>0.006804</v>
      </c>
      <c r="N58" s="1">
        <f t="shared" si="18"/>
        <v>7.6e-5</v>
      </c>
      <c r="O58" s="1">
        <f t="shared" si="19"/>
        <v>0.000116</v>
      </c>
      <c r="P58" s="1">
        <f t="shared" si="20"/>
        <v>0.007436</v>
      </c>
      <c r="Q58" s="1">
        <f t="shared" si="21"/>
        <v>0.005536</v>
      </c>
      <c r="R58" s="1">
        <f t="shared" si="22"/>
        <v>1.6e-5</v>
      </c>
      <c r="S58" s="1">
        <f t="shared" si="23"/>
        <v>0.000228</v>
      </c>
      <c r="T58" s="1">
        <f t="shared" si="24"/>
        <v>0.000336</v>
      </c>
      <c r="U58" s="1">
        <f t="shared" si="25"/>
        <v>0.000168</v>
      </c>
      <c r="V58" s="1">
        <f t="shared" si="26"/>
        <v>0.000224</v>
      </c>
      <c r="W58" s="1">
        <f t="shared" si="27"/>
        <v>0.000712</v>
      </c>
      <c r="X58" s="1">
        <f t="shared" si="28"/>
        <v>0.016336</v>
      </c>
      <c r="Y58" s="1">
        <f t="shared" si="29"/>
        <v>8.4e-5</v>
      </c>
      <c r="Z58" s="1">
        <f t="shared" si="30"/>
        <v>0.0001</v>
      </c>
      <c r="AA58" s="1">
        <f t="shared" si="31"/>
        <v>0.030252</v>
      </c>
      <c r="AB58" s="1">
        <f t="shared" si="32"/>
        <v>0.0087</v>
      </c>
      <c r="AC58" s="1">
        <f t="shared" si="33"/>
        <v>0.0001</v>
      </c>
      <c r="AD58" s="1">
        <f t="shared" si="34"/>
        <v>0.000948</v>
      </c>
      <c r="AE58" s="1">
        <f t="shared" si="35"/>
        <v>0.000132</v>
      </c>
      <c r="AF58" s="1">
        <f t="shared" si="36"/>
        <v>4e-6</v>
      </c>
      <c r="AG58" s="1">
        <f t="shared" si="37"/>
        <v>2.4e-5</v>
      </c>
      <c r="AH58" s="1">
        <f t="shared" si="38"/>
        <v>0.00142</v>
      </c>
      <c r="AI58" s="1">
        <f t="shared" si="39"/>
        <v>0.002404</v>
      </c>
      <c r="AJ58" s="1">
        <f t="shared" si="40"/>
        <v>0.000916</v>
      </c>
      <c r="AK58" s="1">
        <f t="shared" si="41"/>
        <v>2.4e-5</v>
      </c>
      <c r="AL58" s="1">
        <f t="shared" si="42"/>
        <v>0.004304</v>
      </c>
      <c r="AM58" s="1">
        <f t="shared" si="43"/>
        <v>0.00082</v>
      </c>
      <c r="AN58" s="1">
        <f t="shared" si="44"/>
        <v>1.2e-5</v>
      </c>
      <c r="AO58" s="1"/>
      <c r="AQ58" s="6">
        <v>2011</v>
      </c>
      <c r="AR58" s="6" t="s">
        <v>81</v>
      </c>
      <c r="AS58" s="6">
        <v>0.004</v>
      </c>
      <c r="AT58" s="6" t="s">
        <v>568</v>
      </c>
      <c r="AU58" s="6" t="s">
        <v>594</v>
      </c>
      <c r="AV58" s="1" t="s">
        <v>81</v>
      </c>
      <c r="AW58">
        <v>0.002</v>
      </c>
      <c r="AX58">
        <v>0.002</v>
      </c>
      <c r="AY58">
        <v>0.067</v>
      </c>
      <c r="AZ58">
        <v>0.233</v>
      </c>
      <c r="BA58">
        <v>0.025</v>
      </c>
      <c r="BB58">
        <v>1.041</v>
      </c>
      <c r="BC58">
        <v>0.006</v>
      </c>
      <c r="BD58">
        <v>1.701</v>
      </c>
      <c r="BE58">
        <v>0.019</v>
      </c>
      <c r="BF58">
        <v>0.029</v>
      </c>
      <c r="BG58">
        <v>1.859</v>
      </c>
      <c r="BH58">
        <v>1.384</v>
      </c>
      <c r="BI58">
        <v>0.004</v>
      </c>
      <c r="BJ58">
        <v>0.057</v>
      </c>
      <c r="BK58">
        <v>0.084</v>
      </c>
      <c r="BL58">
        <v>0.042</v>
      </c>
      <c r="BM58">
        <v>0.056</v>
      </c>
      <c r="BN58">
        <v>0.178</v>
      </c>
      <c r="BO58">
        <v>4.084</v>
      </c>
      <c r="BP58">
        <v>0.021</v>
      </c>
      <c r="BQ58">
        <v>0.025</v>
      </c>
      <c r="BR58">
        <v>7.563</v>
      </c>
      <c r="BS58">
        <v>2.175</v>
      </c>
      <c r="BT58">
        <v>0.025</v>
      </c>
      <c r="BU58">
        <v>0.237</v>
      </c>
      <c r="BV58">
        <v>0.033</v>
      </c>
      <c r="BW58">
        <v>0.001</v>
      </c>
      <c r="BX58">
        <v>0.006</v>
      </c>
      <c r="BY58">
        <v>0.355</v>
      </c>
      <c r="BZ58">
        <v>0.601</v>
      </c>
      <c r="CA58">
        <v>0.229</v>
      </c>
      <c r="CB58">
        <v>0.006</v>
      </c>
      <c r="CC58">
        <v>1.076</v>
      </c>
      <c r="CD58">
        <v>0.205</v>
      </c>
      <c r="CE58">
        <v>0.003</v>
      </c>
      <c r="CG58" s="6">
        <v>2011</v>
      </c>
      <c r="CH58" s="6" t="s">
        <v>81</v>
      </c>
      <c r="CI58" s="6">
        <v>0.004</v>
      </c>
      <c r="CJ58" s="6">
        <v>0.003</v>
      </c>
      <c r="CK58" s="6" t="s">
        <v>595</v>
      </c>
      <c r="CL58" s="6" t="s">
        <v>596</v>
      </c>
      <c r="CM58" s="6" t="s">
        <v>597</v>
      </c>
    </row>
    <row r="59" spans="4:91">
      <c r="D59">
        <f t="shared" si="8"/>
        <v>2011</v>
      </c>
      <c r="E59" t="s">
        <v>69</v>
      </c>
      <c r="F59" s="1">
        <f t="shared" si="11"/>
        <v>0</v>
      </c>
      <c r="G59" s="1">
        <f t="shared" si="12"/>
        <v>0</v>
      </c>
      <c r="H59" s="1">
        <f t="shared" si="13"/>
        <v>1.6e-5</v>
      </c>
      <c r="I59" s="1">
        <f t="shared" si="14"/>
        <v>4e-5</v>
      </c>
      <c r="J59" s="1">
        <f t="shared" si="15"/>
        <v>1.6e-5</v>
      </c>
      <c r="K59" s="1">
        <f t="shared" si="16"/>
        <v>0.000416</v>
      </c>
      <c r="L59" s="1">
        <f t="shared" si="17"/>
        <v>4e-5</v>
      </c>
      <c r="M59" s="1">
        <f t="shared" si="6"/>
        <v>0.488952</v>
      </c>
      <c r="N59" s="1">
        <f t="shared" si="18"/>
        <v>0</v>
      </c>
      <c r="O59" s="1">
        <f t="shared" si="19"/>
        <v>4e-5</v>
      </c>
      <c r="P59" s="1">
        <f t="shared" si="20"/>
        <v>0.000252</v>
      </c>
      <c r="Q59" s="1">
        <f t="shared" si="21"/>
        <v>0.000208</v>
      </c>
      <c r="R59" s="1">
        <f t="shared" si="22"/>
        <v>0</v>
      </c>
      <c r="S59" s="1">
        <f t="shared" si="23"/>
        <v>4e-5</v>
      </c>
      <c r="T59" s="1">
        <f t="shared" si="24"/>
        <v>0</v>
      </c>
      <c r="U59" s="1">
        <f t="shared" si="25"/>
        <v>0.0005</v>
      </c>
      <c r="V59" s="1">
        <f t="shared" si="26"/>
        <v>0</v>
      </c>
      <c r="W59" s="1">
        <f t="shared" si="27"/>
        <v>8.4e-5</v>
      </c>
      <c r="X59" s="1">
        <f t="shared" si="28"/>
        <v>4e-5</v>
      </c>
      <c r="Y59" s="1">
        <f t="shared" si="29"/>
        <v>0.000188</v>
      </c>
      <c r="Z59" s="1">
        <f t="shared" si="30"/>
        <v>1.6e-5</v>
      </c>
      <c r="AA59" s="1">
        <f t="shared" si="31"/>
        <v>0.000588</v>
      </c>
      <c r="AB59" s="1">
        <f t="shared" si="32"/>
        <v>8.4e-5</v>
      </c>
      <c r="AC59" s="1">
        <f t="shared" si="33"/>
        <v>0.000228</v>
      </c>
      <c r="AD59" s="1">
        <f t="shared" si="34"/>
        <v>0.000252</v>
      </c>
      <c r="AE59" s="1">
        <f t="shared" si="35"/>
        <v>8e-5</v>
      </c>
      <c r="AF59" s="1">
        <f t="shared" si="36"/>
        <v>0</v>
      </c>
      <c r="AG59" s="1">
        <f t="shared" si="37"/>
        <v>0</v>
      </c>
      <c r="AH59" s="1">
        <f t="shared" si="38"/>
        <v>0.000124</v>
      </c>
      <c r="AI59" s="1">
        <f t="shared" si="39"/>
        <v>0.000252</v>
      </c>
      <c r="AJ59" s="1">
        <f t="shared" si="40"/>
        <v>4e-5</v>
      </c>
      <c r="AK59" s="1">
        <f t="shared" si="41"/>
        <v>4e-5</v>
      </c>
      <c r="AL59" s="1">
        <f t="shared" si="42"/>
        <v>0.000336</v>
      </c>
      <c r="AM59" s="1">
        <f t="shared" si="43"/>
        <v>0</v>
      </c>
      <c r="AN59" s="1">
        <f t="shared" si="44"/>
        <v>0</v>
      </c>
      <c r="AO59" s="1"/>
      <c r="AQ59" s="6">
        <v>2011</v>
      </c>
      <c r="AR59" s="6" t="s">
        <v>69</v>
      </c>
      <c r="AS59" s="6">
        <v>0.004</v>
      </c>
      <c r="AT59" s="6" t="s">
        <v>568</v>
      </c>
      <c r="AU59" s="6" t="s">
        <v>594</v>
      </c>
      <c r="AV59" s="1" t="s">
        <v>69</v>
      </c>
      <c r="AW59">
        <v>0</v>
      </c>
      <c r="AX59">
        <v>0</v>
      </c>
      <c r="AY59">
        <v>0.004</v>
      </c>
      <c r="AZ59">
        <v>0.01</v>
      </c>
      <c r="BA59">
        <v>0.004</v>
      </c>
      <c r="BB59">
        <v>0.104</v>
      </c>
      <c r="BC59">
        <v>0.01</v>
      </c>
      <c r="BD59">
        <v>122.238</v>
      </c>
      <c r="BE59">
        <v>0</v>
      </c>
      <c r="BF59">
        <v>0.01</v>
      </c>
      <c r="BG59">
        <v>0.063</v>
      </c>
      <c r="BH59">
        <v>0.052</v>
      </c>
      <c r="BI59">
        <v>0</v>
      </c>
      <c r="BJ59">
        <v>0.01</v>
      </c>
      <c r="BK59">
        <v>0</v>
      </c>
      <c r="BL59">
        <v>0.125</v>
      </c>
      <c r="BM59">
        <v>0</v>
      </c>
      <c r="BN59">
        <v>0.021</v>
      </c>
      <c r="BO59">
        <v>0.01</v>
      </c>
      <c r="BP59">
        <v>0.047</v>
      </c>
      <c r="BQ59">
        <v>0.004</v>
      </c>
      <c r="BR59">
        <v>0.147</v>
      </c>
      <c r="BS59">
        <v>0.021</v>
      </c>
      <c r="BT59">
        <v>0.057</v>
      </c>
      <c r="BU59">
        <v>0.063</v>
      </c>
      <c r="BV59">
        <v>0.02</v>
      </c>
      <c r="BW59">
        <v>0</v>
      </c>
      <c r="BX59">
        <v>0</v>
      </c>
      <c r="BY59">
        <v>0.031</v>
      </c>
      <c r="BZ59">
        <v>0.063</v>
      </c>
      <c r="CA59">
        <v>0.01</v>
      </c>
      <c r="CB59">
        <v>0.01</v>
      </c>
      <c r="CC59">
        <v>0.084</v>
      </c>
      <c r="CD59">
        <v>0</v>
      </c>
      <c r="CE59">
        <v>0</v>
      </c>
      <c r="CG59" s="6">
        <v>2011</v>
      </c>
      <c r="CH59" s="6" t="s">
        <v>69</v>
      </c>
      <c r="CI59" s="6">
        <v>0.004</v>
      </c>
      <c r="CJ59" s="6">
        <v>0.003</v>
      </c>
      <c r="CK59" s="6" t="s">
        <v>595</v>
      </c>
      <c r="CL59" s="6" t="s">
        <v>596</v>
      </c>
      <c r="CM59" s="6" t="s">
        <v>597</v>
      </c>
    </row>
    <row r="60" spans="4:91">
      <c r="D60">
        <f t="shared" si="8"/>
        <v>2011</v>
      </c>
      <c r="E60" t="s">
        <v>91</v>
      </c>
      <c r="F60" s="1">
        <f t="shared" si="11"/>
        <v>1.2e-5</v>
      </c>
      <c r="G60" s="1">
        <f t="shared" si="12"/>
        <v>1.2e-5</v>
      </c>
      <c r="H60" s="1">
        <f t="shared" si="13"/>
        <v>0.000408</v>
      </c>
      <c r="I60" s="1">
        <f t="shared" si="14"/>
        <v>0.001368</v>
      </c>
      <c r="J60" s="1">
        <f t="shared" si="15"/>
        <v>0.000156</v>
      </c>
      <c r="K60" s="1">
        <f t="shared" si="16"/>
        <v>0.006256</v>
      </c>
      <c r="L60" s="1">
        <f t="shared" si="17"/>
        <v>4.8e-5</v>
      </c>
      <c r="M60" s="1">
        <f t="shared" si="6"/>
        <v>0.08424</v>
      </c>
      <c r="N60" s="1">
        <f t="shared" si="18"/>
        <v>0.000112</v>
      </c>
      <c r="O60" s="1">
        <f t="shared" si="19"/>
        <v>0.000176</v>
      </c>
      <c r="P60" s="1">
        <f t="shared" si="20"/>
        <v>0.01008</v>
      </c>
      <c r="Q60" s="1">
        <f t="shared" si="21"/>
        <v>0.007908</v>
      </c>
      <c r="R60" s="1">
        <f t="shared" si="22"/>
        <v>2.4e-5</v>
      </c>
      <c r="S60" s="1">
        <f t="shared" si="23"/>
        <v>0.00034</v>
      </c>
      <c r="T60" s="1">
        <f t="shared" si="24"/>
        <v>0.0005</v>
      </c>
      <c r="U60" s="1">
        <f t="shared" si="25"/>
        <v>0.00028</v>
      </c>
      <c r="V60" s="1">
        <f t="shared" si="26"/>
        <v>0.000328</v>
      </c>
      <c r="W60" s="1">
        <f t="shared" si="27"/>
        <v>0.001024</v>
      </c>
      <c r="X60" s="1">
        <f t="shared" si="28"/>
        <v>0.009132</v>
      </c>
      <c r="Y60" s="1">
        <f t="shared" si="29"/>
        <v>0.00018</v>
      </c>
      <c r="Z60" s="1">
        <f t="shared" si="30"/>
        <v>0.000156</v>
      </c>
      <c r="AA60" s="1">
        <f t="shared" si="31"/>
        <v>0.027724</v>
      </c>
      <c r="AB60" s="1">
        <f t="shared" si="32"/>
        <v>0.010832</v>
      </c>
      <c r="AC60" s="1">
        <f t="shared" si="33"/>
        <v>0.000212</v>
      </c>
      <c r="AD60" s="1">
        <f t="shared" si="34"/>
        <v>0.001896</v>
      </c>
      <c r="AE60" s="1">
        <f t="shared" si="35"/>
        <v>0.000224</v>
      </c>
      <c r="AF60" s="1">
        <f t="shared" si="36"/>
        <v>8e-6</v>
      </c>
      <c r="AG60" s="1">
        <f t="shared" si="37"/>
        <v>3.6e-5</v>
      </c>
      <c r="AH60" s="1">
        <f t="shared" si="38"/>
        <v>0.002092</v>
      </c>
      <c r="AI60" s="1">
        <f t="shared" si="39"/>
        <v>0.00356</v>
      </c>
      <c r="AJ60" s="1">
        <f t="shared" si="40"/>
        <v>0.001348</v>
      </c>
      <c r="AK60" s="1">
        <f t="shared" si="41"/>
        <v>4.8e-5</v>
      </c>
      <c r="AL60" s="1">
        <f t="shared" si="42"/>
        <v>0.006356</v>
      </c>
      <c r="AM60" s="1">
        <f t="shared" si="43"/>
        <v>0.000448</v>
      </c>
      <c r="AN60" s="1">
        <f t="shared" si="44"/>
        <v>2e-5</v>
      </c>
      <c r="AO60" s="1"/>
      <c r="AQ60" s="6">
        <v>2011</v>
      </c>
      <c r="AR60" s="6" t="s">
        <v>91</v>
      </c>
      <c r="AS60" s="6">
        <v>0.004</v>
      </c>
      <c r="AT60" s="6" t="s">
        <v>568</v>
      </c>
      <c r="AU60" s="6" t="s">
        <v>594</v>
      </c>
      <c r="AV60" s="1" t="s">
        <v>91</v>
      </c>
      <c r="AW60">
        <v>0.003</v>
      </c>
      <c r="AX60">
        <v>0.003</v>
      </c>
      <c r="AY60">
        <v>0.102</v>
      </c>
      <c r="AZ60">
        <v>0.342</v>
      </c>
      <c r="BA60">
        <v>0.039</v>
      </c>
      <c r="BB60">
        <v>1.564</v>
      </c>
      <c r="BC60">
        <v>0.012</v>
      </c>
      <c r="BD60">
        <v>21.06</v>
      </c>
      <c r="BE60">
        <v>0.028</v>
      </c>
      <c r="BF60">
        <v>0.044</v>
      </c>
      <c r="BG60">
        <v>2.52</v>
      </c>
      <c r="BH60">
        <v>1.977</v>
      </c>
      <c r="BI60">
        <v>0.006</v>
      </c>
      <c r="BJ60">
        <v>0.085</v>
      </c>
      <c r="BK60">
        <v>0.125</v>
      </c>
      <c r="BL60">
        <v>0.07</v>
      </c>
      <c r="BM60">
        <v>0.082</v>
      </c>
      <c r="BN60">
        <v>0.256</v>
      </c>
      <c r="BO60">
        <v>2.283</v>
      </c>
      <c r="BP60">
        <v>0.045</v>
      </c>
      <c r="BQ60">
        <v>0.039</v>
      </c>
      <c r="BR60">
        <v>6.931</v>
      </c>
      <c r="BS60">
        <v>2.708</v>
      </c>
      <c r="BT60">
        <v>0.053</v>
      </c>
      <c r="BU60">
        <v>0.474</v>
      </c>
      <c r="BV60">
        <v>0.056</v>
      </c>
      <c r="BW60">
        <v>0.002</v>
      </c>
      <c r="BX60">
        <v>0.009</v>
      </c>
      <c r="BY60">
        <v>0.523</v>
      </c>
      <c r="BZ60">
        <v>0.89</v>
      </c>
      <c r="CA60">
        <v>0.337</v>
      </c>
      <c r="CB60">
        <v>0.012</v>
      </c>
      <c r="CC60">
        <v>1.589</v>
      </c>
      <c r="CD60">
        <v>0.112</v>
      </c>
      <c r="CE60">
        <v>0.005</v>
      </c>
      <c r="CG60" s="6">
        <v>2011</v>
      </c>
      <c r="CH60" s="6" t="s">
        <v>91</v>
      </c>
      <c r="CI60" s="6">
        <v>0.004</v>
      </c>
      <c r="CJ60" s="6">
        <v>0.003</v>
      </c>
      <c r="CK60" s="6" t="s">
        <v>595</v>
      </c>
      <c r="CL60" s="6" t="s">
        <v>596</v>
      </c>
      <c r="CM60" s="6" t="s">
        <v>597</v>
      </c>
    </row>
    <row r="61" spans="4:91">
      <c r="D61">
        <f t="shared" si="8"/>
        <v>2011</v>
      </c>
      <c r="E61" t="s">
        <v>95</v>
      </c>
      <c r="F61" s="1">
        <f t="shared" si="11"/>
        <v>1.2e-5</v>
      </c>
      <c r="G61" s="1">
        <f t="shared" si="12"/>
        <v>1.2e-5</v>
      </c>
      <c r="H61" s="1">
        <f t="shared" si="13"/>
        <v>0.00034</v>
      </c>
      <c r="I61" s="1">
        <f t="shared" si="14"/>
        <v>0.001116</v>
      </c>
      <c r="J61" s="1">
        <f t="shared" si="15"/>
        <v>0.000132</v>
      </c>
      <c r="K61" s="1">
        <f t="shared" si="16"/>
        <v>0.005148</v>
      </c>
      <c r="L61" s="1">
        <f t="shared" si="17"/>
        <v>4e-5</v>
      </c>
      <c r="M61" s="1">
        <f t="shared" si="6"/>
        <v>0.182356</v>
      </c>
      <c r="N61" s="1">
        <f t="shared" si="18"/>
        <v>9.6e-5</v>
      </c>
      <c r="O61" s="1">
        <f t="shared" si="19"/>
        <v>0.00014</v>
      </c>
      <c r="P61" s="1">
        <f t="shared" si="20"/>
        <v>0.007644</v>
      </c>
      <c r="Q61" s="1">
        <f t="shared" si="21"/>
        <v>0.006292</v>
      </c>
      <c r="R61" s="1">
        <f t="shared" si="22"/>
        <v>2e-5</v>
      </c>
      <c r="S61" s="1">
        <f t="shared" si="23"/>
        <v>0.000276</v>
      </c>
      <c r="T61" s="1">
        <f t="shared" si="24"/>
        <v>0.000416</v>
      </c>
      <c r="U61" s="1">
        <f t="shared" si="25"/>
        <v>2.8e-5</v>
      </c>
      <c r="V61" s="1">
        <f t="shared" si="26"/>
        <v>0.000268</v>
      </c>
      <c r="W61" s="1">
        <f t="shared" si="27"/>
        <v>0.000812</v>
      </c>
      <c r="X61" s="1">
        <f t="shared" si="28"/>
        <v>0.001688</v>
      </c>
      <c r="Y61" s="1">
        <f t="shared" si="29"/>
        <v>0.000156</v>
      </c>
      <c r="Z61" s="1">
        <f t="shared" si="30"/>
        <v>0.000132</v>
      </c>
      <c r="AA61" s="1">
        <f t="shared" si="31"/>
        <v>0.019408</v>
      </c>
      <c r="AB61" s="1">
        <f t="shared" si="32"/>
        <v>0.006484</v>
      </c>
      <c r="AC61" s="1">
        <f t="shared" si="33"/>
        <v>0.000184</v>
      </c>
      <c r="AD61" s="1">
        <f t="shared" si="34"/>
        <v>0.006168</v>
      </c>
      <c r="AE61" s="1">
        <f t="shared" si="35"/>
        <v>0.000192</v>
      </c>
      <c r="AF61" s="1">
        <f t="shared" si="36"/>
        <v>4e-6</v>
      </c>
      <c r="AG61" s="1">
        <f t="shared" si="37"/>
        <v>2.8e-5</v>
      </c>
      <c r="AH61" s="1">
        <f t="shared" si="38"/>
        <v>0.001696</v>
      </c>
      <c r="AI61" s="1">
        <f t="shared" si="39"/>
        <v>0.002892</v>
      </c>
      <c r="AJ61" s="1">
        <f t="shared" si="40"/>
        <v>0.0011</v>
      </c>
      <c r="AK61" s="1">
        <f t="shared" si="41"/>
        <v>4.4e-5</v>
      </c>
      <c r="AL61" s="1">
        <f t="shared" si="42"/>
        <v>0.005172</v>
      </c>
      <c r="AM61" s="1">
        <f t="shared" si="43"/>
        <v>7.6e-5</v>
      </c>
      <c r="AN61" s="1">
        <f t="shared" si="44"/>
        <v>1.6e-5</v>
      </c>
      <c r="AO61" s="1"/>
      <c r="AQ61" s="6">
        <v>2011</v>
      </c>
      <c r="AR61" s="6" t="s">
        <v>95</v>
      </c>
      <c r="AS61" s="6">
        <v>0.004</v>
      </c>
      <c r="AT61" s="6" t="s">
        <v>568</v>
      </c>
      <c r="AU61" s="6" t="s">
        <v>594</v>
      </c>
      <c r="AV61" s="1" t="s">
        <v>95</v>
      </c>
      <c r="AW61">
        <v>0.003</v>
      </c>
      <c r="AX61">
        <v>0.003</v>
      </c>
      <c r="AY61">
        <v>0.085</v>
      </c>
      <c r="AZ61">
        <v>0.279</v>
      </c>
      <c r="BA61">
        <v>0.033</v>
      </c>
      <c r="BB61">
        <v>1.287</v>
      </c>
      <c r="BC61">
        <v>0.01</v>
      </c>
      <c r="BD61">
        <v>45.589</v>
      </c>
      <c r="BE61">
        <v>0.024</v>
      </c>
      <c r="BF61">
        <v>0.035</v>
      </c>
      <c r="BG61">
        <v>1.911</v>
      </c>
      <c r="BH61">
        <v>1.573</v>
      </c>
      <c r="BI61">
        <v>0.005</v>
      </c>
      <c r="BJ61">
        <v>0.069</v>
      </c>
      <c r="BK61">
        <v>0.104</v>
      </c>
      <c r="BL61">
        <v>0.007</v>
      </c>
      <c r="BM61">
        <v>0.067</v>
      </c>
      <c r="BN61">
        <v>0.203</v>
      </c>
      <c r="BO61">
        <v>0.422</v>
      </c>
      <c r="BP61">
        <v>0.039</v>
      </c>
      <c r="BQ61">
        <v>0.033</v>
      </c>
      <c r="BR61">
        <v>4.852</v>
      </c>
      <c r="BS61">
        <v>1.621</v>
      </c>
      <c r="BT61">
        <v>0.046</v>
      </c>
      <c r="BU61">
        <v>1.542</v>
      </c>
      <c r="BV61">
        <v>0.048</v>
      </c>
      <c r="BW61">
        <v>0.001</v>
      </c>
      <c r="BX61">
        <v>0.007</v>
      </c>
      <c r="BY61">
        <v>0.424</v>
      </c>
      <c r="BZ61">
        <v>0.723</v>
      </c>
      <c r="CA61">
        <v>0.275</v>
      </c>
      <c r="CB61">
        <v>0.011</v>
      </c>
      <c r="CC61">
        <v>1.293</v>
      </c>
      <c r="CD61">
        <v>0.019</v>
      </c>
      <c r="CE61">
        <v>0.004</v>
      </c>
      <c r="CG61" s="6">
        <v>2011</v>
      </c>
      <c r="CH61" s="6" t="s">
        <v>95</v>
      </c>
      <c r="CI61" s="6">
        <v>0.004</v>
      </c>
      <c r="CJ61" s="6">
        <v>0.003</v>
      </c>
      <c r="CK61" s="6" t="s">
        <v>595</v>
      </c>
      <c r="CL61" s="6" t="s">
        <v>596</v>
      </c>
      <c r="CM61" s="6" t="s">
        <v>597</v>
      </c>
    </row>
    <row r="62" spans="4:91">
      <c r="D62">
        <f t="shared" si="8"/>
        <v>2011</v>
      </c>
      <c r="E62" t="s">
        <v>87</v>
      </c>
      <c r="F62" s="1">
        <f t="shared" si="11"/>
        <v>4e-6</v>
      </c>
      <c r="G62" s="1">
        <f t="shared" si="12"/>
        <v>4e-6</v>
      </c>
      <c r="H62" s="1">
        <f t="shared" si="13"/>
        <v>6.8e-5</v>
      </c>
      <c r="I62" s="1">
        <f t="shared" si="14"/>
        <v>0.000212</v>
      </c>
      <c r="J62" s="1">
        <f t="shared" si="15"/>
        <v>2.4e-5</v>
      </c>
      <c r="K62" s="1">
        <f t="shared" si="16"/>
        <v>0.000976</v>
      </c>
      <c r="L62" s="1">
        <f t="shared" si="17"/>
        <v>4e-6</v>
      </c>
      <c r="M62" s="1">
        <f t="shared" si="6"/>
        <v>0.037564</v>
      </c>
      <c r="N62" s="1">
        <f t="shared" si="18"/>
        <v>2e-5</v>
      </c>
      <c r="O62" s="1">
        <f t="shared" si="19"/>
        <v>2.4e-5</v>
      </c>
      <c r="P62" s="1">
        <f t="shared" si="20"/>
        <v>0.00128</v>
      </c>
      <c r="Q62" s="1">
        <f t="shared" si="21"/>
        <v>0.001152</v>
      </c>
      <c r="R62" s="1">
        <f t="shared" si="22"/>
        <v>4e-6</v>
      </c>
      <c r="S62" s="1">
        <f t="shared" si="23"/>
        <v>4.8e-5</v>
      </c>
      <c r="T62" s="1">
        <f t="shared" si="24"/>
        <v>8.4e-5</v>
      </c>
      <c r="U62" s="1">
        <f t="shared" si="25"/>
        <v>0</v>
      </c>
      <c r="V62" s="1">
        <f t="shared" si="26"/>
        <v>5.2e-5</v>
      </c>
      <c r="W62" s="1">
        <f t="shared" si="27"/>
        <v>0.000144</v>
      </c>
      <c r="X62" s="1">
        <f t="shared" si="28"/>
        <v>0</v>
      </c>
      <c r="Y62" s="1">
        <f t="shared" si="29"/>
        <v>1.6e-5</v>
      </c>
      <c r="Z62" s="1">
        <f t="shared" si="30"/>
        <v>2.4e-5</v>
      </c>
      <c r="AA62" s="1">
        <f t="shared" si="31"/>
        <v>0.019064</v>
      </c>
      <c r="AB62" s="1">
        <f t="shared" si="32"/>
        <v>0.002108</v>
      </c>
      <c r="AC62" s="1">
        <f t="shared" si="33"/>
        <v>2e-5</v>
      </c>
      <c r="AD62" s="1">
        <f t="shared" si="34"/>
        <v>0.004316</v>
      </c>
      <c r="AE62" s="1">
        <f t="shared" si="35"/>
        <v>3.2e-5</v>
      </c>
      <c r="AF62" s="1">
        <f t="shared" si="36"/>
        <v>0</v>
      </c>
      <c r="AG62" s="1">
        <f t="shared" si="37"/>
        <v>4e-6</v>
      </c>
      <c r="AH62" s="1">
        <f t="shared" si="38"/>
        <v>0.000316</v>
      </c>
      <c r="AI62" s="1">
        <f t="shared" si="39"/>
        <v>0.000536</v>
      </c>
      <c r="AJ62" s="1">
        <f t="shared" si="40"/>
        <v>0.000208</v>
      </c>
      <c r="AK62" s="1">
        <f t="shared" si="41"/>
        <v>8e-6</v>
      </c>
      <c r="AL62" s="1">
        <f t="shared" si="42"/>
        <v>0.000972</v>
      </c>
      <c r="AM62" s="1">
        <f t="shared" si="43"/>
        <v>0</v>
      </c>
      <c r="AN62" s="1">
        <f t="shared" si="44"/>
        <v>4e-6</v>
      </c>
      <c r="AO62" s="1"/>
      <c r="AQ62" s="6">
        <v>2011</v>
      </c>
      <c r="AR62" s="6" t="s">
        <v>87</v>
      </c>
      <c r="AS62" s="6">
        <v>0.004</v>
      </c>
      <c r="AT62" s="6" t="s">
        <v>568</v>
      </c>
      <c r="AU62" s="6" t="s">
        <v>594</v>
      </c>
      <c r="AV62" s="1" t="s">
        <v>598</v>
      </c>
      <c r="AW62">
        <v>0.001</v>
      </c>
      <c r="AX62">
        <v>0.001</v>
      </c>
      <c r="AY62">
        <v>0.017</v>
      </c>
      <c r="AZ62">
        <v>0.053</v>
      </c>
      <c r="BA62">
        <v>0.006</v>
      </c>
      <c r="BB62">
        <v>0.244</v>
      </c>
      <c r="BC62">
        <v>0.001</v>
      </c>
      <c r="BD62">
        <v>9.391</v>
      </c>
      <c r="BE62">
        <v>0.005</v>
      </c>
      <c r="BF62">
        <v>0.006</v>
      </c>
      <c r="BG62">
        <v>0.32</v>
      </c>
      <c r="BH62">
        <v>0.288</v>
      </c>
      <c r="BI62">
        <v>0.001</v>
      </c>
      <c r="BJ62">
        <v>0.012</v>
      </c>
      <c r="BK62">
        <v>0.021</v>
      </c>
      <c r="BL62">
        <v>0</v>
      </c>
      <c r="BM62">
        <v>0.013</v>
      </c>
      <c r="BN62">
        <v>0.036</v>
      </c>
      <c r="BO62">
        <v>0</v>
      </c>
      <c r="BP62">
        <v>0.004</v>
      </c>
      <c r="BQ62">
        <v>0.006</v>
      </c>
      <c r="BR62">
        <v>4.766</v>
      </c>
      <c r="BS62">
        <v>0.527</v>
      </c>
      <c r="BT62">
        <v>0.005</v>
      </c>
      <c r="BU62">
        <v>1.079</v>
      </c>
      <c r="BV62">
        <v>0.008</v>
      </c>
      <c r="BW62">
        <v>0</v>
      </c>
      <c r="BX62">
        <v>0.001</v>
      </c>
      <c r="BY62">
        <v>0.079</v>
      </c>
      <c r="BZ62">
        <v>0.134</v>
      </c>
      <c r="CA62">
        <v>0.052</v>
      </c>
      <c r="CB62">
        <v>0.002</v>
      </c>
      <c r="CC62">
        <v>0.243</v>
      </c>
      <c r="CD62">
        <v>0</v>
      </c>
      <c r="CE62">
        <v>0.001</v>
      </c>
      <c r="CG62" s="6">
        <v>2011</v>
      </c>
      <c r="CH62" s="6" t="s">
        <v>87</v>
      </c>
      <c r="CI62" s="6">
        <v>0.004</v>
      </c>
      <c r="CJ62" s="6">
        <v>0.003</v>
      </c>
      <c r="CK62" s="6" t="s">
        <v>595</v>
      </c>
      <c r="CL62" s="6" t="s">
        <v>596</v>
      </c>
      <c r="CM62" s="6" t="s">
        <v>597</v>
      </c>
    </row>
    <row r="63" spans="4:91">
      <c r="D63">
        <f t="shared" si="8"/>
        <v>2011</v>
      </c>
      <c r="E63" t="s">
        <v>78</v>
      </c>
      <c r="F63" s="1">
        <f t="shared" si="11"/>
        <v>0</v>
      </c>
      <c r="G63" s="1">
        <f t="shared" si="12"/>
        <v>0</v>
      </c>
      <c r="H63" s="1">
        <f t="shared" si="13"/>
        <v>0</v>
      </c>
      <c r="I63" s="1">
        <f t="shared" si="14"/>
        <v>0</v>
      </c>
      <c r="J63" s="1">
        <f t="shared" si="15"/>
        <v>0</v>
      </c>
      <c r="K63" s="1">
        <f t="shared" si="16"/>
        <v>0</v>
      </c>
      <c r="L63" s="1">
        <f t="shared" si="17"/>
        <v>0</v>
      </c>
      <c r="M63" s="1">
        <f t="shared" si="6"/>
        <v>0.006804</v>
      </c>
      <c r="N63" s="1">
        <f t="shared" si="18"/>
        <v>0</v>
      </c>
      <c r="O63" s="1">
        <f t="shared" si="19"/>
        <v>0</v>
      </c>
      <c r="P63" s="1">
        <f t="shared" si="20"/>
        <v>0</v>
      </c>
      <c r="Q63" s="1">
        <f t="shared" si="21"/>
        <v>0</v>
      </c>
      <c r="R63" s="1">
        <f t="shared" si="22"/>
        <v>0</v>
      </c>
      <c r="S63" s="1">
        <f t="shared" si="23"/>
        <v>0</v>
      </c>
      <c r="T63" s="1">
        <f t="shared" si="24"/>
        <v>0</v>
      </c>
      <c r="U63" s="1">
        <f t="shared" si="25"/>
        <v>0</v>
      </c>
      <c r="V63" s="1">
        <f t="shared" si="26"/>
        <v>0</v>
      </c>
      <c r="W63" s="1">
        <f t="shared" si="27"/>
        <v>0</v>
      </c>
      <c r="X63" s="1">
        <f t="shared" si="28"/>
        <v>0</v>
      </c>
      <c r="Y63" s="1">
        <f t="shared" si="29"/>
        <v>0</v>
      </c>
      <c r="Z63" s="1">
        <f t="shared" si="30"/>
        <v>0</v>
      </c>
      <c r="AA63" s="1">
        <f t="shared" si="31"/>
        <v>0</v>
      </c>
      <c r="AB63" s="1">
        <f t="shared" si="32"/>
        <v>0</v>
      </c>
      <c r="AC63" s="1">
        <f t="shared" si="33"/>
        <v>0</v>
      </c>
      <c r="AD63" s="1">
        <f t="shared" si="34"/>
        <v>0</v>
      </c>
      <c r="AE63" s="1">
        <f t="shared" si="35"/>
        <v>0</v>
      </c>
      <c r="AF63" s="1">
        <f t="shared" si="36"/>
        <v>0</v>
      </c>
      <c r="AG63" s="1">
        <f t="shared" si="37"/>
        <v>0</v>
      </c>
      <c r="AH63" s="1">
        <f t="shared" si="38"/>
        <v>0</v>
      </c>
      <c r="AI63" s="1">
        <f t="shared" si="39"/>
        <v>0</v>
      </c>
      <c r="AJ63" s="1">
        <f t="shared" si="40"/>
        <v>0</v>
      </c>
      <c r="AK63" s="1">
        <f t="shared" si="41"/>
        <v>0</v>
      </c>
      <c r="AL63" s="1">
        <f t="shared" si="42"/>
        <v>0</v>
      </c>
      <c r="AM63" s="1">
        <f t="shared" si="43"/>
        <v>0</v>
      </c>
      <c r="AN63" s="1">
        <f t="shared" si="44"/>
        <v>0</v>
      </c>
      <c r="AO63" s="1"/>
      <c r="AQ63" s="6">
        <v>2011</v>
      </c>
      <c r="AR63" s="6" t="s">
        <v>78</v>
      </c>
      <c r="AS63" s="6">
        <v>0.004</v>
      </c>
      <c r="AT63" s="6" t="s">
        <v>568</v>
      </c>
      <c r="AU63" s="6" t="s">
        <v>594</v>
      </c>
      <c r="AV63" s="1" t="s">
        <v>78</v>
      </c>
      <c r="AW63">
        <v>0</v>
      </c>
      <c r="AX63">
        <v>0</v>
      </c>
      <c r="AY63">
        <v>0</v>
      </c>
      <c r="AZ63">
        <v>0</v>
      </c>
      <c r="BA63">
        <v>0</v>
      </c>
      <c r="BB63">
        <v>0</v>
      </c>
      <c r="BC63">
        <v>0</v>
      </c>
      <c r="BD63">
        <v>1.701</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G63" s="6">
        <v>2011</v>
      </c>
      <c r="CH63" s="6" t="s">
        <v>78</v>
      </c>
      <c r="CI63" s="6">
        <v>0.004</v>
      </c>
      <c r="CJ63" s="6">
        <v>0.003</v>
      </c>
      <c r="CK63" s="6" t="s">
        <v>595</v>
      </c>
      <c r="CL63" s="6" t="s">
        <v>596</v>
      </c>
      <c r="CM63" s="6" t="s">
        <v>597</v>
      </c>
    </row>
    <row r="64" spans="4:91">
      <c r="D64">
        <f t="shared" si="8"/>
        <v>2011</v>
      </c>
      <c r="E64" t="s">
        <v>74</v>
      </c>
      <c r="F64" s="1">
        <f t="shared" si="11"/>
        <v>8e-6</v>
      </c>
      <c r="G64" s="1">
        <f t="shared" si="12"/>
        <v>8e-6</v>
      </c>
      <c r="H64" s="1">
        <f t="shared" si="13"/>
        <v>0.000268</v>
      </c>
      <c r="I64" s="1">
        <f t="shared" si="14"/>
        <v>0.000848</v>
      </c>
      <c r="J64" s="1">
        <f t="shared" si="15"/>
        <v>0.0001</v>
      </c>
      <c r="K64" s="1">
        <f t="shared" si="16"/>
        <v>0.003904</v>
      </c>
      <c r="L64" s="1">
        <f t="shared" si="17"/>
        <v>2.4e-5</v>
      </c>
      <c r="M64" s="1">
        <f t="shared" si="6"/>
        <v>0.010204</v>
      </c>
      <c r="N64" s="1">
        <f t="shared" si="18"/>
        <v>7.6e-5</v>
      </c>
      <c r="O64" s="1">
        <f t="shared" si="19"/>
        <v>8.8e-5</v>
      </c>
      <c r="P64" s="1">
        <f t="shared" si="20"/>
        <v>0.005128</v>
      </c>
      <c r="Q64" s="1">
        <f t="shared" si="21"/>
        <v>0.004604</v>
      </c>
      <c r="R64" s="1">
        <f t="shared" si="22"/>
        <v>1.6e-5</v>
      </c>
      <c r="S64" s="1">
        <f t="shared" si="23"/>
        <v>0.0002</v>
      </c>
      <c r="T64" s="1">
        <f t="shared" si="24"/>
        <v>0.000336</v>
      </c>
      <c r="U64" s="1">
        <f t="shared" si="25"/>
        <v>0</v>
      </c>
      <c r="V64" s="1">
        <f t="shared" si="26"/>
        <v>0.000208</v>
      </c>
      <c r="W64" s="1">
        <f t="shared" si="27"/>
        <v>0.000572</v>
      </c>
      <c r="X64" s="1">
        <f t="shared" si="28"/>
        <v>0.002888</v>
      </c>
      <c r="Y64" s="1">
        <f t="shared" si="29"/>
        <v>6.8e-5</v>
      </c>
      <c r="Z64" s="1">
        <f t="shared" si="30"/>
        <v>0.0001</v>
      </c>
      <c r="AA64" s="1">
        <f t="shared" si="31"/>
        <v>0.177036</v>
      </c>
      <c r="AB64" s="1">
        <f t="shared" si="32"/>
        <v>0.014752</v>
      </c>
      <c r="AC64" s="1">
        <f t="shared" si="33"/>
        <v>7.6e-5</v>
      </c>
      <c r="AD64" s="1">
        <f t="shared" si="34"/>
        <v>0.004316</v>
      </c>
      <c r="AE64" s="1">
        <f t="shared" si="35"/>
        <v>0.000132</v>
      </c>
      <c r="AF64" s="1">
        <f t="shared" si="36"/>
        <v>4e-6</v>
      </c>
      <c r="AG64" s="1">
        <f t="shared" si="37"/>
        <v>2.4e-5</v>
      </c>
      <c r="AH64" s="1">
        <f t="shared" si="38"/>
        <v>0.00126</v>
      </c>
      <c r="AI64" s="1">
        <f t="shared" si="39"/>
        <v>0.00214</v>
      </c>
      <c r="AJ64" s="1">
        <f t="shared" si="40"/>
        <v>0.000832</v>
      </c>
      <c r="AK64" s="1">
        <f t="shared" si="41"/>
        <v>2.4e-5</v>
      </c>
      <c r="AL64" s="1">
        <f t="shared" si="42"/>
        <v>0.00388</v>
      </c>
      <c r="AM64" s="1">
        <f t="shared" si="43"/>
        <v>0.000148</v>
      </c>
      <c r="AN64" s="1">
        <f t="shared" si="44"/>
        <v>1.2e-5</v>
      </c>
      <c r="AO64" s="1"/>
      <c r="AQ64" s="6">
        <v>2011</v>
      </c>
      <c r="AR64" s="6" t="s">
        <v>74</v>
      </c>
      <c r="AS64" s="6">
        <v>0.004</v>
      </c>
      <c r="AT64" s="6" t="s">
        <v>568</v>
      </c>
      <c r="AU64" s="6" t="s">
        <v>594</v>
      </c>
      <c r="AV64" s="1" t="s">
        <v>599</v>
      </c>
      <c r="AW64">
        <v>0.002</v>
      </c>
      <c r="AX64">
        <v>0.002</v>
      </c>
      <c r="AY64">
        <v>0.067</v>
      </c>
      <c r="AZ64">
        <v>0.212</v>
      </c>
      <c r="BA64">
        <v>0.025</v>
      </c>
      <c r="BB64">
        <v>0.976</v>
      </c>
      <c r="BC64">
        <v>0.006</v>
      </c>
      <c r="BD64">
        <v>2.551</v>
      </c>
      <c r="BE64">
        <v>0.019</v>
      </c>
      <c r="BF64">
        <v>0.022</v>
      </c>
      <c r="BG64">
        <v>1.282</v>
      </c>
      <c r="BH64">
        <v>1.151</v>
      </c>
      <c r="BI64">
        <v>0.004</v>
      </c>
      <c r="BJ64">
        <v>0.05</v>
      </c>
      <c r="BK64">
        <v>0.084</v>
      </c>
      <c r="BL64">
        <v>0</v>
      </c>
      <c r="BM64">
        <v>0.052</v>
      </c>
      <c r="BN64">
        <v>0.143</v>
      </c>
      <c r="BO64">
        <v>0.722</v>
      </c>
      <c r="BP64">
        <v>0.017</v>
      </c>
      <c r="BQ64">
        <v>0.025</v>
      </c>
      <c r="BR64">
        <v>44.259</v>
      </c>
      <c r="BS64">
        <v>3.688</v>
      </c>
      <c r="BT64">
        <v>0.019</v>
      </c>
      <c r="BU64">
        <v>1.079</v>
      </c>
      <c r="BV64">
        <v>0.033</v>
      </c>
      <c r="BW64">
        <v>0.001</v>
      </c>
      <c r="BX64">
        <v>0.006</v>
      </c>
      <c r="BY64">
        <v>0.315</v>
      </c>
      <c r="BZ64">
        <v>0.535</v>
      </c>
      <c r="CA64">
        <v>0.208</v>
      </c>
      <c r="CB64">
        <v>0.006</v>
      </c>
      <c r="CC64">
        <v>0.97</v>
      </c>
      <c r="CD64">
        <v>0.037</v>
      </c>
      <c r="CE64">
        <v>0.003</v>
      </c>
      <c r="CG64" s="6">
        <v>2011</v>
      </c>
      <c r="CH64" s="6" t="s">
        <v>74</v>
      </c>
      <c r="CI64" s="6">
        <v>0.004</v>
      </c>
      <c r="CJ64" s="6">
        <v>0.003</v>
      </c>
      <c r="CK64" s="6" t="s">
        <v>595</v>
      </c>
      <c r="CL64" s="6" t="s">
        <v>596</v>
      </c>
      <c r="CM64" s="6" t="s">
        <v>597</v>
      </c>
    </row>
    <row r="65" spans="4:91">
      <c r="D65">
        <f t="shared" si="8"/>
        <v>2011</v>
      </c>
      <c r="E65" t="s">
        <v>82</v>
      </c>
      <c r="F65" s="1">
        <f t="shared" si="11"/>
        <v>8e-6</v>
      </c>
      <c r="G65" s="1">
        <f t="shared" si="12"/>
        <v>8e-6</v>
      </c>
      <c r="H65" s="1">
        <f t="shared" si="13"/>
        <v>0.000268</v>
      </c>
      <c r="I65" s="1">
        <f t="shared" si="14"/>
        <v>0.000932</v>
      </c>
      <c r="J65" s="1">
        <f t="shared" si="15"/>
        <v>0.0001</v>
      </c>
      <c r="K65" s="1">
        <f t="shared" si="16"/>
        <v>0.004164</v>
      </c>
      <c r="L65" s="1">
        <f t="shared" si="17"/>
        <v>2.4e-5</v>
      </c>
      <c r="M65" s="1">
        <f t="shared" si="6"/>
        <v>0.006804</v>
      </c>
      <c r="N65" s="1">
        <f t="shared" si="18"/>
        <v>7.6e-5</v>
      </c>
      <c r="O65" s="1">
        <f t="shared" si="19"/>
        <v>0.000116</v>
      </c>
      <c r="P65" s="1">
        <f t="shared" si="20"/>
        <v>0.007436</v>
      </c>
      <c r="Q65" s="1">
        <f t="shared" si="21"/>
        <v>0.005536</v>
      </c>
      <c r="R65" s="1">
        <f t="shared" si="22"/>
        <v>1.6e-5</v>
      </c>
      <c r="S65" s="1">
        <f t="shared" si="23"/>
        <v>0.000228</v>
      </c>
      <c r="T65" s="1">
        <f t="shared" si="24"/>
        <v>0.000336</v>
      </c>
      <c r="U65" s="1">
        <f t="shared" si="25"/>
        <v>0.000168</v>
      </c>
      <c r="V65" s="1">
        <f t="shared" si="26"/>
        <v>0.000224</v>
      </c>
      <c r="W65" s="1">
        <f t="shared" si="27"/>
        <v>0.000712</v>
      </c>
      <c r="X65" s="1">
        <f t="shared" si="28"/>
        <v>0.016336</v>
      </c>
      <c r="Y65" s="1">
        <f t="shared" si="29"/>
        <v>8.4e-5</v>
      </c>
      <c r="Z65" s="1">
        <f t="shared" si="30"/>
        <v>0.0001</v>
      </c>
      <c r="AA65" s="1">
        <f t="shared" si="31"/>
        <v>0.030252</v>
      </c>
      <c r="AB65" s="1">
        <f t="shared" si="32"/>
        <v>0.0087</v>
      </c>
      <c r="AC65" s="1">
        <f t="shared" si="33"/>
        <v>0.0001</v>
      </c>
      <c r="AD65" s="1">
        <f t="shared" si="34"/>
        <v>0.000948</v>
      </c>
      <c r="AE65" s="1">
        <f t="shared" si="35"/>
        <v>0.000132</v>
      </c>
      <c r="AF65" s="1">
        <f t="shared" si="36"/>
        <v>4e-6</v>
      </c>
      <c r="AG65" s="1">
        <f t="shared" si="37"/>
        <v>2.4e-5</v>
      </c>
      <c r="AH65" s="1">
        <f t="shared" si="38"/>
        <v>0.00142</v>
      </c>
      <c r="AI65" s="1">
        <f t="shared" si="39"/>
        <v>0.002404</v>
      </c>
      <c r="AJ65" s="1">
        <f t="shared" si="40"/>
        <v>0.000916</v>
      </c>
      <c r="AK65" s="1">
        <f t="shared" si="41"/>
        <v>2.4e-5</v>
      </c>
      <c r="AL65" s="1">
        <f t="shared" si="42"/>
        <v>0.004304</v>
      </c>
      <c r="AM65" s="1">
        <f t="shared" si="43"/>
        <v>0.00082</v>
      </c>
      <c r="AN65" s="1">
        <f t="shared" si="44"/>
        <v>1.2e-5</v>
      </c>
      <c r="AO65" s="1"/>
      <c r="AQ65" s="6">
        <v>2011</v>
      </c>
      <c r="AR65" s="6" t="s">
        <v>82</v>
      </c>
      <c r="AS65" s="6">
        <v>0.004</v>
      </c>
      <c r="AT65" s="6" t="s">
        <v>568</v>
      </c>
      <c r="AU65" s="6" t="s">
        <v>594</v>
      </c>
      <c r="AV65" s="1" t="s">
        <v>82</v>
      </c>
      <c r="AW65">
        <v>0.002</v>
      </c>
      <c r="AX65">
        <v>0.002</v>
      </c>
      <c r="AY65">
        <v>0.067</v>
      </c>
      <c r="AZ65">
        <v>0.233</v>
      </c>
      <c r="BA65">
        <v>0.025</v>
      </c>
      <c r="BB65">
        <v>1.041</v>
      </c>
      <c r="BC65">
        <v>0.006</v>
      </c>
      <c r="BD65">
        <v>1.701</v>
      </c>
      <c r="BE65">
        <v>0.019</v>
      </c>
      <c r="BF65">
        <v>0.029</v>
      </c>
      <c r="BG65">
        <v>1.859</v>
      </c>
      <c r="BH65">
        <v>1.384</v>
      </c>
      <c r="BI65">
        <v>0.004</v>
      </c>
      <c r="BJ65">
        <v>0.057</v>
      </c>
      <c r="BK65">
        <v>0.084</v>
      </c>
      <c r="BL65">
        <v>0.042</v>
      </c>
      <c r="BM65">
        <v>0.056</v>
      </c>
      <c r="BN65">
        <v>0.178</v>
      </c>
      <c r="BO65">
        <v>4.084</v>
      </c>
      <c r="BP65">
        <v>0.021</v>
      </c>
      <c r="BQ65">
        <v>0.025</v>
      </c>
      <c r="BR65">
        <v>7.563</v>
      </c>
      <c r="BS65">
        <v>2.175</v>
      </c>
      <c r="BT65">
        <v>0.025</v>
      </c>
      <c r="BU65">
        <v>0.237</v>
      </c>
      <c r="BV65">
        <v>0.033</v>
      </c>
      <c r="BW65">
        <v>0.001</v>
      </c>
      <c r="BX65">
        <v>0.006</v>
      </c>
      <c r="BY65">
        <v>0.355</v>
      </c>
      <c r="BZ65">
        <v>0.601</v>
      </c>
      <c r="CA65">
        <v>0.229</v>
      </c>
      <c r="CB65">
        <v>0.006</v>
      </c>
      <c r="CC65">
        <v>1.076</v>
      </c>
      <c r="CD65">
        <v>0.205</v>
      </c>
      <c r="CE65">
        <v>0.003</v>
      </c>
      <c r="CG65" s="6">
        <v>2011</v>
      </c>
      <c r="CH65" s="6" t="s">
        <v>82</v>
      </c>
      <c r="CI65" s="6">
        <v>0.004</v>
      </c>
      <c r="CJ65" s="6">
        <v>0.003</v>
      </c>
      <c r="CK65" s="6" t="s">
        <v>595</v>
      </c>
      <c r="CL65" s="6" t="s">
        <v>596</v>
      </c>
      <c r="CM65" s="6" t="s">
        <v>597</v>
      </c>
    </row>
    <row r="66" spans="4:91">
      <c r="D66">
        <v>2017</v>
      </c>
      <c r="E66" t="str">
        <f t="shared" ref="E66:E72" si="49" xml:space="preserve">E45</f>
        <v>MINBatMaterials_LI</v>
      </c>
      <c r="F66" s="1">
        <f t="shared" si="11"/>
        <v>0</v>
      </c>
      <c r="G66" s="1">
        <f t="shared" si="12"/>
        <v>1.71912</v>
      </c>
      <c r="H66" s="1">
        <f t="shared" si="13"/>
        <v>6.1248</v>
      </c>
      <c r="I66" s="1">
        <f t="shared" si="14"/>
        <v>0</v>
      </c>
      <c r="J66" s="1">
        <f t="shared" si="15"/>
        <v>0</v>
      </c>
      <c r="K66" s="1">
        <f t="shared" si="16"/>
        <v>0</v>
      </c>
      <c r="L66" s="1">
        <f t="shared" si="17"/>
        <v>0.696</v>
      </c>
      <c r="M66" s="1">
        <f t="shared" si="6"/>
        <v>2.8536</v>
      </c>
      <c r="N66" s="1">
        <f t="shared" si="18"/>
        <v>0</v>
      </c>
      <c r="O66" s="1">
        <f t="shared" si="19"/>
        <v>0</v>
      </c>
      <c r="P66" s="1">
        <f t="shared" si="20"/>
        <v>0</v>
      </c>
      <c r="Q66" s="1">
        <f t="shared" si="21"/>
        <v>0</v>
      </c>
      <c r="R66" s="1">
        <f t="shared" si="22"/>
        <v>0</v>
      </c>
      <c r="S66" s="1">
        <f t="shared" si="23"/>
        <v>0</v>
      </c>
      <c r="T66" s="1">
        <f t="shared" si="24"/>
        <v>0</v>
      </c>
      <c r="U66" s="1">
        <f t="shared" si="25"/>
        <v>0</v>
      </c>
      <c r="V66" s="1">
        <f t="shared" si="26"/>
        <v>0</v>
      </c>
      <c r="W66" s="1">
        <f t="shared" si="27"/>
        <v>0</v>
      </c>
      <c r="X66" s="1">
        <f t="shared" si="28"/>
        <v>0</v>
      </c>
      <c r="Y66" s="1">
        <f t="shared" si="29"/>
        <v>4.6632</v>
      </c>
      <c r="Z66" s="1">
        <f t="shared" si="30"/>
        <v>0</v>
      </c>
      <c r="AA66" s="1">
        <f t="shared" si="31"/>
        <v>0.29928</v>
      </c>
      <c r="AB66" s="1">
        <f t="shared" si="32"/>
        <v>0</v>
      </c>
      <c r="AC66" s="1">
        <f t="shared" si="33"/>
        <v>0</v>
      </c>
      <c r="AD66" s="1">
        <f t="shared" si="34"/>
        <v>0.32016</v>
      </c>
      <c r="AE66" s="1">
        <f t="shared" si="35"/>
        <v>0</v>
      </c>
      <c r="AF66" s="1">
        <f t="shared" si="36"/>
        <v>0</v>
      </c>
      <c r="AG66" s="1">
        <f t="shared" si="37"/>
        <v>0</v>
      </c>
      <c r="AH66" s="1">
        <f t="shared" si="38"/>
        <v>0.02784</v>
      </c>
      <c r="AI66" s="1">
        <f t="shared" si="39"/>
        <v>0</v>
      </c>
      <c r="AJ66" s="1">
        <f t="shared" si="40"/>
        <v>0</v>
      </c>
      <c r="AK66" s="1">
        <f t="shared" si="41"/>
        <v>0</v>
      </c>
      <c r="AL66" s="1">
        <f t="shared" si="42"/>
        <v>0</v>
      </c>
      <c r="AM66" s="1">
        <f t="shared" si="43"/>
        <v>0</v>
      </c>
      <c r="AN66" s="1">
        <f t="shared" si="44"/>
        <v>0</v>
      </c>
      <c r="AQ66" s="6">
        <v>2012</v>
      </c>
      <c r="AR66" s="6" t="s">
        <v>249</v>
      </c>
      <c r="AS66" s="6">
        <v>0.08</v>
      </c>
      <c r="AT66" s="6" t="s">
        <v>591</v>
      </c>
      <c r="AU66" s="6" t="s">
        <v>592</v>
      </c>
      <c r="AV66" t="str">
        <f xml:space="preserve">AV45</f>
        <v>MINBatMaterials_LI</v>
      </c>
      <c r="AW66">
        <f t="shared" ref="AW66:CE66" si="50" xml:space="preserve">AW45</f>
        <v>0</v>
      </c>
      <c r="AX66">
        <f t="shared" si="50"/>
        <v>21.489</v>
      </c>
      <c r="AY66">
        <f t="shared" si="50"/>
        <v>76.56</v>
      </c>
      <c r="AZ66">
        <f t="shared" si="50"/>
        <v>0</v>
      </c>
      <c r="BA66">
        <f t="shared" si="50"/>
        <v>0</v>
      </c>
      <c r="BB66">
        <f t="shared" si="50"/>
        <v>0</v>
      </c>
      <c r="BC66">
        <f t="shared" si="50"/>
        <v>8.7</v>
      </c>
      <c r="BD66">
        <f t="shared" si="50"/>
        <v>35.67</v>
      </c>
      <c r="BE66">
        <f t="shared" si="50"/>
        <v>0</v>
      </c>
      <c r="BF66">
        <f t="shared" si="50"/>
        <v>0</v>
      </c>
      <c r="BG66">
        <f t="shared" si="50"/>
        <v>0</v>
      </c>
      <c r="BH66">
        <f t="shared" si="50"/>
        <v>0</v>
      </c>
      <c r="BI66">
        <f t="shared" si="50"/>
        <v>0</v>
      </c>
      <c r="BJ66">
        <f t="shared" si="50"/>
        <v>0</v>
      </c>
      <c r="BK66">
        <f t="shared" si="50"/>
        <v>0</v>
      </c>
      <c r="BL66">
        <f t="shared" si="50"/>
        <v>0</v>
      </c>
      <c r="BM66">
        <f t="shared" si="50"/>
        <v>0</v>
      </c>
      <c r="BN66">
        <f t="shared" si="50"/>
        <v>0</v>
      </c>
      <c r="BO66">
        <f t="shared" si="50"/>
        <v>0</v>
      </c>
      <c r="BP66">
        <f t="shared" si="50"/>
        <v>58.29</v>
      </c>
      <c r="BQ66">
        <f t="shared" si="50"/>
        <v>0</v>
      </c>
      <c r="BR66">
        <f t="shared" si="50"/>
        <v>3.741</v>
      </c>
      <c r="BS66">
        <f t="shared" si="50"/>
        <v>0</v>
      </c>
      <c r="BT66">
        <f t="shared" si="50"/>
        <v>0</v>
      </c>
      <c r="BU66">
        <f t="shared" si="50"/>
        <v>4.002</v>
      </c>
      <c r="BV66">
        <f t="shared" si="50"/>
        <v>0</v>
      </c>
      <c r="BW66">
        <f t="shared" si="50"/>
        <v>0</v>
      </c>
      <c r="BX66">
        <f t="shared" si="50"/>
        <v>0</v>
      </c>
      <c r="BY66">
        <f t="shared" si="50"/>
        <v>0.348</v>
      </c>
      <c r="BZ66">
        <f t="shared" si="50"/>
        <v>0</v>
      </c>
      <c r="CA66">
        <f t="shared" si="50"/>
        <v>0</v>
      </c>
      <c r="CB66">
        <f t="shared" si="50"/>
        <v>0</v>
      </c>
      <c r="CC66">
        <f t="shared" si="50"/>
        <v>0</v>
      </c>
      <c r="CD66">
        <f t="shared" si="50"/>
        <v>0</v>
      </c>
      <c r="CE66">
        <f t="shared" si="50"/>
        <v>0</v>
      </c>
      <c r="CG66" s="6">
        <v>2012</v>
      </c>
      <c r="CH66" s="6" t="s">
        <v>249</v>
      </c>
      <c r="CI66" s="6">
        <v>0.08</v>
      </c>
      <c r="CJ66" s="6">
        <v>0.08</v>
      </c>
      <c r="CK66" s="6" t="s">
        <v>591</v>
      </c>
      <c r="CL66" s="6" t="s">
        <v>591</v>
      </c>
      <c r="CM66" s="6" t="s">
        <v>593</v>
      </c>
    </row>
    <row r="67" spans="4:91">
      <c r="D67">
        <f xml:space="preserve">D66</f>
        <v>2017</v>
      </c>
      <c r="E67" t="str">
        <f t="shared" si="49"/>
        <v>MINBatMaterials_NI</v>
      </c>
      <c r="F67" s="1">
        <f t="shared" si="11"/>
        <v>0</v>
      </c>
      <c r="G67" s="1">
        <f t="shared" si="12"/>
        <v>0</v>
      </c>
      <c r="H67" s="1">
        <f t="shared" si="13"/>
        <v>1.32</v>
      </c>
      <c r="I67" s="1">
        <f t="shared" si="14"/>
        <v>0</v>
      </c>
      <c r="J67" s="1">
        <f t="shared" si="15"/>
        <v>0</v>
      </c>
      <c r="K67" s="1">
        <f t="shared" si="16"/>
        <v>0</v>
      </c>
      <c r="L67" s="1">
        <f t="shared" si="17"/>
        <v>0.924</v>
      </c>
      <c r="M67" s="1">
        <f t="shared" si="6"/>
        <v>1.44</v>
      </c>
      <c r="N67" s="1">
        <f t="shared" si="18"/>
        <v>0</v>
      </c>
      <c r="O67" s="1">
        <f t="shared" si="19"/>
        <v>0</v>
      </c>
      <c r="P67" s="1">
        <f t="shared" si="20"/>
        <v>0</v>
      </c>
      <c r="Q67" s="1">
        <f t="shared" si="21"/>
        <v>0</v>
      </c>
      <c r="R67" s="1">
        <f t="shared" si="22"/>
        <v>0</v>
      </c>
      <c r="S67" s="1">
        <f t="shared" si="23"/>
        <v>0</v>
      </c>
      <c r="T67" s="1">
        <f t="shared" si="24"/>
        <v>0</v>
      </c>
      <c r="U67" s="1">
        <f t="shared" si="25"/>
        <v>0</v>
      </c>
      <c r="V67" s="1">
        <f t="shared" si="26"/>
        <v>0</v>
      </c>
      <c r="W67" s="1">
        <f t="shared" si="27"/>
        <v>0</v>
      </c>
      <c r="X67" s="1">
        <f t="shared" si="28"/>
        <v>0</v>
      </c>
      <c r="Y67" s="1">
        <f t="shared" si="29"/>
        <v>0</v>
      </c>
      <c r="Z67" s="1">
        <f t="shared" si="30"/>
        <v>0</v>
      </c>
      <c r="AA67" s="1">
        <f t="shared" si="31"/>
        <v>2.376</v>
      </c>
      <c r="AB67" s="1">
        <f t="shared" si="32"/>
        <v>0</v>
      </c>
      <c r="AC67" s="1">
        <f t="shared" si="33"/>
        <v>0</v>
      </c>
      <c r="AD67" s="1">
        <f t="shared" si="34"/>
        <v>35.82</v>
      </c>
      <c r="AE67" s="1">
        <f t="shared" si="35"/>
        <v>2.52</v>
      </c>
      <c r="AF67" s="1">
        <f t="shared" si="36"/>
        <v>0</v>
      </c>
      <c r="AG67" s="1">
        <f t="shared" si="37"/>
        <v>0</v>
      </c>
      <c r="AH67" s="1">
        <f t="shared" si="38"/>
        <v>0</v>
      </c>
      <c r="AI67" s="1">
        <f t="shared" si="39"/>
        <v>0</v>
      </c>
      <c r="AJ67" s="1">
        <f t="shared" si="40"/>
        <v>0</v>
      </c>
      <c r="AK67" s="1">
        <f t="shared" si="41"/>
        <v>0</v>
      </c>
      <c r="AL67" s="1">
        <f t="shared" si="42"/>
        <v>0</v>
      </c>
      <c r="AM67" s="1">
        <f t="shared" si="43"/>
        <v>0</v>
      </c>
      <c r="AN67" s="1">
        <f t="shared" si="44"/>
        <v>0</v>
      </c>
      <c r="AQ67" s="6">
        <v>2012</v>
      </c>
      <c r="AR67" s="6" t="s">
        <v>251</v>
      </c>
      <c r="AS67" s="6">
        <v>0.08</v>
      </c>
      <c r="AT67" s="6" t="s">
        <v>591</v>
      </c>
      <c r="AU67" s="6" t="s">
        <v>592</v>
      </c>
      <c r="AV67" t="str">
        <f t="shared" ref="AV67:AV86" si="51" xml:space="preserve">AV46</f>
        <v>MINBatMaterials_NI</v>
      </c>
      <c r="AW67">
        <f t="shared" ref="AW67:CE67" si="52" xml:space="preserve">AW46</f>
        <v>0</v>
      </c>
      <c r="AX67">
        <f t="shared" si="52"/>
        <v>0</v>
      </c>
      <c r="AY67">
        <f t="shared" si="52"/>
        <v>16.5</v>
      </c>
      <c r="AZ67">
        <f t="shared" si="52"/>
        <v>0</v>
      </c>
      <c r="BA67">
        <f t="shared" si="52"/>
        <v>0</v>
      </c>
      <c r="BB67">
        <f t="shared" si="52"/>
        <v>0</v>
      </c>
      <c r="BC67">
        <f t="shared" si="52"/>
        <v>11.55</v>
      </c>
      <c r="BD67">
        <f t="shared" si="52"/>
        <v>18</v>
      </c>
      <c r="BE67">
        <f t="shared" si="52"/>
        <v>0</v>
      </c>
      <c r="BF67">
        <f t="shared" si="52"/>
        <v>0</v>
      </c>
      <c r="BG67">
        <f t="shared" si="52"/>
        <v>0</v>
      </c>
      <c r="BH67">
        <f t="shared" si="52"/>
        <v>0</v>
      </c>
      <c r="BI67">
        <f t="shared" si="52"/>
        <v>0</v>
      </c>
      <c r="BJ67">
        <f t="shared" si="52"/>
        <v>0</v>
      </c>
      <c r="BK67">
        <f t="shared" si="52"/>
        <v>0</v>
      </c>
      <c r="BL67">
        <f t="shared" si="52"/>
        <v>0</v>
      </c>
      <c r="BM67">
        <f t="shared" si="52"/>
        <v>0</v>
      </c>
      <c r="BN67">
        <f t="shared" si="52"/>
        <v>0</v>
      </c>
      <c r="BO67">
        <f t="shared" si="52"/>
        <v>0</v>
      </c>
      <c r="BP67">
        <f t="shared" si="52"/>
        <v>0</v>
      </c>
      <c r="BQ67">
        <f t="shared" si="52"/>
        <v>0</v>
      </c>
      <c r="BR67">
        <f t="shared" si="52"/>
        <v>29.7</v>
      </c>
      <c r="BS67">
        <f t="shared" si="52"/>
        <v>0</v>
      </c>
      <c r="BT67">
        <f t="shared" si="52"/>
        <v>0</v>
      </c>
      <c r="BU67">
        <f t="shared" si="52"/>
        <v>447.75</v>
      </c>
      <c r="BV67">
        <f t="shared" si="52"/>
        <v>31.5</v>
      </c>
      <c r="BW67">
        <f t="shared" si="52"/>
        <v>0</v>
      </c>
      <c r="BX67">
        <f t="shared" si="52"/>
        <v>0</v>
      </c>
      <c r="BY67">
        <f t="shared" si="52"/>
        <v>0</v>
      </c>
      <c r="BZ67">
        <f t="shared" si="52"/>
        <v>0</v>
      </c>
      <c r="CA67">
        <f t="shared" si="52"/>
        <v>0</v>
      </c>
      <c r="CB67">
        <f t="shared" si="52"/>
        <v>0</v>
      </c>
      <c r="CC67">
        <f t="shared" si="52"/>
        <v>0</v>
      </c>
      <c r="CD67">
        <f t="shared" si="52"/>
        <v>0</v>
      </c>
      <c r="CE67">
        <f t="shared" si="52"/>
        <v>0</v>
      </c>
      <c r="CG67" s="6">
        <v>2012</v>
      </c>
      <c r="CH67" s="6" t="s">
        <v>251</v>
      </c>
      <c r="CI67" s="6">
        <v>0.08</v>
      </c>
      <c r="CJ67" s="6">
        <v>0.08</v>
      </c>
      <c r="CK67" s="6" t="s">
        <v>591</v>
      </c>
      <c r="CL67" s="6" t="s">
        <v>591</v>
      </c>
      <c r="CM67" s="6" t="s">
        <v>593</v>
      </c>
    </row>
    <row r="68" spans="4:91">
      <c r="D68">
        <f t="shared" ref="D68:D86" si="53" xml:space="preserve">D67</f>
        <v>2017</v>
      </c>
      <c r="E68" t="str">
        <f t="shared" si="49"/>
        <v>MINBatMaterials_COB_direct</v>
      </c>
      <c r="F68" s="1">
        <f t="shared" si="11"/>
        <v>0</v>
      </c>
      <c r="G68" s="1">
        <f t="shared" si="12"/>
        <v>13.53408</v>
      </c>
      <c r="H68" s="1">
        <f t="shared" si="13"/>
        <v>0.21888</v>
      </c>
      <c r="I68" s="1">
        <f t="shared" si="14"/>
        <v>0</v>
      </c>
      <c r="J68" s="1">
        <f t="shared" si="15"/>
        <v>0</v>
      </c>
      <c r="K68" s="1">
        <f t="shared" si="16"/>
        <v>0</v>
      </c>
      <c r="L68" s="1">
        <f t="shared" si="17"/>
        <v>0</v>
      </c>
      <c r="M68" s="1">
        <f t="shared" si="6"/>
        <v>0</v>
      </c>
      <c r="N68" s="1">
        <f t="shared" si="18"/>
        <v>0</v>
      </c>
      <c r="O68" s="1">
        <f t="shared" si="19"/>
        <v>0</v>
      </c>
      <c r="P68" s="1">
        <f t="shared" si="20"/>
        <v>0</v>
      </c>
      <c r="Q68" s="1">
        <f t="shared" si="21"/>
        <v>0</v>
      </c>
      <c r="R68" s="1">
        <f t="shared" si="22"/>
        <v>0</v>
      </c>
      <c r="S68" s="1">
        <f t="shared" si="23"/>
        <v>0</v>
      </c>
      <c r="T68" s="1">
        <f t="shared" si="24"/>
        <v>0</v>
      </c>
      <c r="U68" s="1">
        <f t="shared" si="25"/>
        <v>0</v>
      </c>
      <c r="V68" s="1">
        <f t="shared" si="26"/>
        <v>0</v>
      </c>
      <c r="W68" s="1">
        <f t="shared" si="27"/>
        <v>0</v>
      </c>
      <c r="X68" s="1">
        <f t="shared" si="28"/>
        <v>0</v>
      </c>
      <c r="Y68" s="1">
        <f t="shared" si="29"/>
        <v>0.2128</v>
      </c>
      <c r="Z68" s="1">
        <f t="shared" si="30"/>
        <v>0</v>
      </c>
      <c r="AA68" s="1">
        <f t="shared" si="31"/>
        <v>0.29184</v>
      </c>
      <c r="AB68" s="1">
        <f t="shared" si="32"/>
        <v>0</v>
      </c>
      <c r="AC68" s="1">
        <f t="shared" si="33"/>
        <v>0</v>
      </c>
      <c r="AD68" s="1">
        <f t="shared" si="34"/>
        <v>2.66304</v>
      </c>
      <c r="AE68" s="1">
        <f t="shared" si="35"/>
        <v>0.52896</v>
      </c>
      <c r="AF68" s="1">
        <f t="shared" si="36"/>
        <v>0</v>
      </c>
      <c r="AG68" s="1">
        <f t="shared" si="37"/>
        <v>0</v>
      </c>
      <c r="AH68" s="1">
        <f t="shared" si="38"/>
        <v>0</v>
      </c>
      <c r="AI68" s="1">
        <f t="shared" si="39"/>
        <v>0</v>
      </c>
      <c r="AJ68" s="1">
        <f t="shared" si="40"/>
        <v>0</v>
      </c>
      <c r="AK68" s="1">
        <f t="shared" si="41"/>
        <v>0.16416</v>
      </c>
      <c r="AL68" s="1">
        <f t="shared" si="42"/>
        <v>0</v>
      </c>
      <c r="AM68" s="1">
        <f t="shared" si="43"/>
        <v>0</v>
      </c>
      <c r="AN68" s="1">
        <f t="shared" si="44"/>
        <v>0</v>
      </c>
      <c r="AQ68" s="6">
        <v>2012</v>
      </c>
      <c r="AR68" s="6" t="s">
        <v>255</v>
      </c>
      <c r="AS68" s="6">
        <v>0.08</v>
      </c>
      <c r="AT68" s="6" t="s">
        <v>591</v>
      </c>
      <c r="AU68" s="6" t="s">
        <v>592</v>
      </c>
      <c r="AV68" t="str">
        <f t="shared" si="51"/>
        <v>MINBatMaterials_COB</v>
      </c>
      <c r="AW68">
        <f t="shared" ref="AW68:CE68" si="54" xml:space="preserve">AW47</f>
        <v>0</v>
      </c>
      <c r="AX68">
        <f t="shared" si="54"/>
        <v>169.176</v>
      </c>
      <c r="AY68">
        <f t="shared" si="54"/>
        <v>2.736</v>
      </c>
      <c r="AZ68">
        <f t="shared" si="54"/>
        <v>0</v>
      </c>
      <c r="BA68">
        <f t="shared" si="54"/>
        <v>0</v>
      </c>
      <c r="BB68">
        <f t="shared" si="54"/>
        <v>0</v>
      </c>
      <c r="BC68">
        <f t="shared" si="54"/>
        <v>0</v>
      </c>
      <c r="BD68">
        <f t="shared" si="54"/>
        <v>0</v>
      </c>
      <c r="BE68">
        <f t="shared" si="54"/>
        <v>0</v>
      </c>
      <c r="BF68">
        <f t="shared" si="54"/>
        <v>0</v>
      </c>
      <c r="BG68">
        <f t="shared" si="54"/>
        <v>0</v>
      </c>
      <c r="BH68">
        <f t="shared" si="54"/>
        <v>0</v>
      </c>
      <c r="BI68">
        <f t="shared" si="54"/>
        <v>0</v>
      </c>
      <c r="BJ68">
        <f t="shared" si="54"/>
        <v>0</v>
      </c>
      <c r="BK68">
        <f t="shared" si="54"/>
        <v>0</v>
      </c>
      <c r="BL68">
        <f t="shared" si="54"/>
        <v>0</v>
      </c>
      <c r="BM68">
        <f t="shared" si="54"/>
        <v>0</v>
      </c>
      <c r="BN68">
        <f t="shared" si="54"/>
        <v>0</v>
      </c>
      <c r="BO68">
        <f t="shared" si="54"/>
        <v>0</v>
      </c>
      <c r="BP68">
        <f t="shared" si="54"/>
        <v>2.66</v>
      </c>
      <c r="BQ68">
        <f t="shared" si="54"/>
        <v>0</v>
      </c>
      <c r="BR68">
        <f t="shared" si="54"/>
        <v>3.648</v>
      </c>
      <c r="BS68">
        <f t="shared" si="54"/>
        <v>0</v>
      </c>
      <c r="BT68">
        <f t="shared" si="54"/>
        <v>0</v>
      </c>
      <c r="BU68">
        <f t="shared" si="54"/>
        <v>33.288</v>
      </c>
      <c r="BV68">
        <f t="shared" si="54"/>
        <v>6.612</v>
      </c>
      <c r="BW68">
        <f t="shared" si="54"/>
        <v>0</v>
      </c>
      <c r="BX68">
        <f t="shared" si="54"/>
        <v>0</v>
      </c>
      <c r="BY68">
        <f t="shared" si="54"/>
        <v>0</v>
      </c>
      <c r="BZ68">
        <f t="shared" si="54"/>
        <v>0</v>
      </c>
      <c r="CA68">
        <f t="shared" si="54"/>
        <v>0</v>
      </c>
      <c r="CB68">
        <f t="shared" si="54"/>
        <v>2.052</v>
      </c>
      <c r="CC68">
        <f t="shared" si="54"/>
        <v>0</v>
      </c>
      <c r="CD68">
        <f t="shared" si="54"/>
        <v>0</v>
      </c>
      <c r="CE68">
        <f t="shared" si="54"/>
        <v>0</v>
      </c>
      <c r="CG68" s="6">
        <v>2012</v>
      </c>
      <c r="CH68" s="6" t="s">
        <v>255</v>
      </c>
      <c r="CI68" s="6">
        <v>0.08</v>
      </c>
      <c r="CJ68" s="6">
        <v>0.08</v>
      </c>
      <c r="CK68" s="6" t="s">
        <v>591</v>
      </c>
      <c r="CL68" s="6" t="s">
        <v>591</v>
      </c>
      <c r="CM68" s="6" t="s">
        <v>593</v>
      </c>
    </row>
    <row r="69" spans="4:91">
      <c r="D69">
        <f t="shared" si="53"/>
        <v>2017</v>
      </c>
      <c r="E69" t="str">
        <f t="shared" si="49"/>
        <v>MINBatMaterials_MN</v>
      </c>
      <c r="F69" s="1">
        <f t="shared" si="11"/>
        <v>0</v>
      </c>
      <c r="G69" s="1">
        <f t="shared" si="12"/>
        <v>4.624</v>
      </c>
      <c r="H69" s="1">
        <f t="shared" si="13"/>
        <v>2.24</v>
      </c>
      <c r="I69" s="1">
        <f t="shared" si="14"/>
        <v>0</v>
      </c>
      <c r="J69" s="1">
        <f t="shared" si="15"/>
        <v>0</v>
      </c>
      <c r="K69" s="1">
        <f t="shared" si="16"/>
        <v>0</v>
      </c>
      <c r="L69" s="1">
        <f t="shared" si="17"/>
        <v>0.472</v>
      </c>
      <c r="M69" s="1">
        <f t="shared" si="6"/>
        <v>0.616</v>
      </c>
      <c r="N69" s="1">
        <f t="shared" si="18"/>
        <v>0</v>
      </c>
      <c r="O69" s="1">
        <f t="shared" si="19"/>
        <v>0</v>
      </c>
      <c r="P69" s="1">
        <f t="shared" si="20"/>
        <v>0</v>
      </c>
      <c r="Q69" s="1">
        <f t="shared" si="21"/>
        <v>0</v>
      </c>
      <c r="R69" s="1">
        <f t="shared" si="22"/>
        <v>0</v>
      </c>
      <c r="S69" s="1">
        <f t="shared" si="23"/>
        <v>0</v>
      </c>
      <c r="T69" s="1">
        <f t="shared" si="24"/>
        <v>0</v>
      </c>
      <c r="U69" s="1">
        <f t="shared" si="25"/>
        <v>0.64</v>
      </c>
      <c r="V69" s="1">
        <f t="shared" si="26"/>
        <v>0</v>
      </c>
      <c r="W69" s="1">
        <f t="shared" si="27"/>
        <v>0</v>
      </c>
      <c r="X69" s="1">
        <f t="shared" si="28"/>
        <v>0</v>
      </c>
      <c r="Y69" s="1">
        <f t="shared" si="29"/>
        <v>0</v>
      </c>
      <c r="Z69" s="1">
        <f t="shared" si="30"/>
        <v>0</v>
      </c>
      <c r="AA69" s="1">
        <f t="shared" si="31"/>
        <v>0</v>
      </c>
      <c r="AB69" s="1">
        <f t="shared" si="32"/>
        <v>0</v>
      </c>
      <c r="AC69" s="1">
        <f t="shared" si="33"/>
        <v>0</v>
      </c>
      <c r="AD69" s="1">
        <f t="shared" si="34"/>
        <v>1.648</v>
      </c>
      <c r="AE69" s="1">
        <f t="shared" si="35"/>
        <v>0</v>
      </c>
      <c r="AF69" s="1">
        <f t="shared" si="36"/>
        <v>0</v>
      </c>
      <c r="AG69" s="1">
        <f t="shared" si="37"/>
        <v>5.92</v>
      </c>
      <c r="AH69" s="1">
        <f t="shared" si="38"/>
        <v>0</v>
      </c>
      <c r="AI69" s="1">
        <f t="shared" si="39"/>
        <v>0</v>
      </c>
      <c r="AJ69" s="1">
        <f t="shared" si="40"/>
        <v>0</v>
      </c>
      <c r="AK69" s="1">
        <f t="shared" si="41"/>
        <v>0</v>
      </c>
      <c r="AL69" s="1">
        <f t="shared" si="42"/>
        <v>0</v>
      </c>
      <c r="AM69" s="1">
        <f t="shared" si="43"/>
        <v>0</v>
      </c>
      <c r="AN69" s="1">
        <f t="shared" si="44"/>
        <v>0</v>
      </c>
      <c r="AQ69" s="6">
        <v>2012</v>
      </c>
      <c r="AR69" s="6" t="s">
        <v>256</v>
      </c>
      <c r="AS69" s="6">
        <v>0.08</v>
      </c>
      <c r="AT69" s="6" t="s">
        <v>591</v>
      </c>
      <c r="AU69" s="6" t="s">
        <v>592</v>
      </c>
      <c r="AV69" t="str">
        <f t="shared" si="51"/>
        <v>MINBatMaterials_MN</v>
      </c>
      <c r="AW69">
        <f t="shared" ref="AW69:CE69" si="55" xml:space="preserve">AW48</f>
        <v>0</v>
      </c>
      <c r="AX69">
        <f t="shared" si="55"/>
        <v>57.8</v>
      </c>
      <c r="AY69">
        <f t="shared" si="55"/>
        <v>28</v>
      </c>
      <c r="AZ69">
        <f t="shared" si="55"/>
        <v>0</v>
      </c>
      <c r="BA69">
        <f t="shared" si="55"/>
        <v>0</v>
      </c>
      <c r="BB69">
        <f t="shared" si="55"/>
        <v>0</v>
      </c>
      <c r="BC69">
        <f t="shared" si="55"/>
        <v>5.9</v>
      </c>
      <c r="BD69">
        <f t="shared" si="55"/>
        <v>7.7</v>
      </c>
      <c r="BE69">
        <f t="shared" si="55"/>
        <v>0</v>
      </c>
      <c r="BF69">
        <f t="shared" si="55"/>
        <v>0</v>
      </c>
      <c r="BG69">
        <f t="shared" si="55"/>
        <v>0</v>
      </c>
      <c r="BH69">
        <f t="shared" si="55"/>
        <v>0</v>
      </c>
      <c r="BI69">
        <f t="shared" si="55"/>
        <v>0</v>
      </c>
      <c r="BJ69">
        <f t="shared" si="55"/>
        <v>0</v>
      </c>
      <c r="BK69">
        <f t="shared" si="55"/>
        <v>0</v>
      </c>
      <c r="BL69">
        <f t="shared" si="55"/>
        <v>8</v>
      </c>
      <c r="BM69">
        <f t="shared" si="55"/>
        <v>0</v>
      </c>
      <c r="BN69">
        <f t="shared" si="55"/>
        <v>0</v>
      </c>
      <c r="BO69">
        <f t="shared" si="55"/>
        <v>0</v>
      </c>
      <c r="BP69">
        <f t="shared" si="55"/>
        <v>0</v>
      </c>
      <c r="BQ69">
        <f t="shared" si="55"/>
        <v>0</v>
      </c>
      <c r="BR69">
        <f t="shared" si="55"/>
        <v>0</v>
      </c>
      <c r="BS69">
        <f t="shared" si="55"/>
        <v>0</v>
      </c>
      <c r="BT69">
        <f t="shared" si="55"/>
        <v>0</v>
      </c>
      <c r="BU69">
        <f t="shared" si="55"/>
        <v>20.6</v>
      </c>
      <c r="BV69">
        <f t="shared" si="55"/>
        <v>0</v>
      </c>
      <c r="BW69">
        <f t="shared" si="55"/>
        <v>0</v>
      </c>
      <c r="BX69">
        <f t="shared" si="55"/>
        <v>74</v>
      </c>
      <c r="BY69">
        <f t="shared" si="55"/>
        <v>0</v>
      </c>
      <c r="BZ69">
        <f t="shared" si="55"/>
        <v>0</v>
      </c>
      <c r="CA69">
        <f t="shared" si="55"/>
        <v>0</v>
      </c>
      <c r="CB69">
        <f t="shared" si="55"/>
        <v>0</v>
      </c>
      <c r="CC69">
        <f t="shared" si="55"/>
        <v>0</v>
      </c>
      <c r="CD69">
        <f t="shared" si="55"/>
        <v>0</v>
      </c>
      <c r="CE69">
        <f t="shared" si="55"/>
        <v>0</v>
      </c>
      <c r="CG69" s="6">
        <v>2012</v>
      </c>
      <c r="CH69" s="6" t="s">
        <v>256</v>
      </c>
      <c r="CI69" s="6">
        <v>0.08</v>
      </c>
      <c r="CJ69" s="6">
        <v>0.08</v>
      </c>
      <c r="CK69" s="6" t="s">
        <v>591</v>
      </c>
      <c r="CL69" s="6" t="s">
        <v>591</v>
      </c>
      <c r="CM69" s="6" t="s">
        <v>593</v>
      </c>
    </row>
    <row r="70" spans="4:91">
      <c r="D70">
        <f t="shared" si="53"/>
        <v>2017</v>
      </c>
      <c r="E70" t="str">
        <f t="shared" si="49"/>
        <v>MINBatMaterials_AL</v>
      </c>
      <c r="F70" s="1">
        <f t="shared" si="11"/>
        <v>0</v>
      </c>
      <c r="G70" s="1">
        <f t="shared" si="12"/>
        <v>0.2544</v>
      </c>
      <c r="H70" s="1">
        <f t="shared" si="13"/>
        <v>15.2352</v>
      </c>
      <c r="I70" s="1">
        <f t="shared" si="14"/>
        <v>0</v>
      </c>
      <c r="J70" s="1">
        <f t="shared" si="15"/>
        <v>0</v>
      </c>
      <c r="K70" s="1">
        <f t="shared" si="16"/>
        <v>0</v>
      </c>
      <c r="L70" s="1">
        <f t="shared" si="17"/>
        <v>9.3104</v>
      </c>
      <c r="M70" s="1">
        <f t="shared" si="6"/>
        <v>71.0976</v>
      </c>
      <c r="N70" s="1">
        <f t="shared" si="18"/>
        <v>0</v>
      </c>
      <c r="O70" s="1">
        <f t="shared" si="19"/>
        <v>0</v>
      </c>
      <c r="P70" s="1">
        <f t="shared" si="20"/>
        <v>0</v>
      </c>
      <c r="Q70" s="1">
        <f t="shared" si="21"/>
        <v>0.8128</v>
      </c>
      <c r="R70" s="1">
        <f t="shared" si="22"/>
        <v>0.728</v>
      </c>
      <c r="S70" s="1">
        <f t="shared" si="23"/>
        <v>0</v>
      </c>
      <c r="T70" s="1">
        <f t="shared" si="24"/>
        <v>0</v>
      </c>
      <c r="U70" s="1">
        <f t="shared" si="25"/>
        <v>6.432</v>
      </c>
      <c r="V70" s="1">
        <f t="shared" si="26"/>
        <v>1.3536</v>
      </c>
      <c r="W70" s="1">
        <f t="shared" si="27"/>
        <v>0</v>
      </c>
      <c r="X70" s="1">
        <f t="shared" si="28"/>
        <v>0</v>
      </c>
      <c r="Y70" s="1">
        <f t="shared" si="29"/>
        <v>0</v>
      </c>
      <c r="Z70" s="1">
        <f t="shared" si="30"/>
        <v>2.032</v>
      </c>
      <c r="AA70" s="1">
        <f t="shared" si="31"/>
        <v>1.88</v>
      </c>
      <c r="AB70" s="1">
        <f t="shared" si="32"/>
        <v>0</v>
      </c>
      <c r="AC70" s="1">
        <f t="shared" si="33"/>
        <v>0</v>
      </c>
      <c r="AD70" s="1">
        <f t="shared" si="34"/>
        <v>4.824</v>
      </c>
      <c r="AE70" s="1">
        <f t="shared" si="35"/>
        <v>2.4544</v>
      </c>
      <c r="AF70" s="1">
        <f t="shared" si="36"/>
        <v>1.5232</v>
      </c>
      <c r="AG70" s="1">
        <f t="shared" si="37"/>
        <v>0</v>
      </c>
      <c r="AH70" s="1">
        <f t="shared" si="38"/>
        <v>0.6944</v>
      </c>
      <c r="AI70" s="1">
        <f t="shared" si="39"/>
        <v>0</v>
      </c>
      <c r="AJ70" s="1">
        <f t="shared" si="40"/>
        <v>0</v>
      </c>
      <c r="AK70" s="1">
        <f t="shared" si="41"/>
        <v>0.2704</v>
      </c>
      <c r="AL70" s="1">
        <f t="shared" si="42"/>
        <v>0</v>
      </c>
      <c r="AM70" s="1">
        <f t="shared" si="43"/>
        <v>0</v>
      </c>
      <c r="AN70" s="1">
        <f t="shared" si="44"/>
        <v>0</v>
      </c>
      <c r="AQ70" s="6">
        <v>2012</v>
      </c>
      <c r="AR70" s="6" t="s">
        <v>258</v>
      </c>
      <c r="AS70" s="6">
        <v>0.08</v>
      </c>
      <c r="AT70" s="6" t="s">
        <v>591</v>
      </c>
      <c r="AU70" s="6" t="s">
        <v>592</v>
      </c>
      <c r="AV70" t="str">
        <f t="shared" si="51"/>
        <v>MINBatMaterials_AL</v>
      </c>
      <c r="AW70">
        <f t="shared" ref="AW70:CE70" si="56" xml:space="preserve">AW49</f>
        <v>0</v>
      </c>
      <c r="AX70">
        <f t="shared" si="56"/>
        <v>3.18</v>
      </c>
      <c r="AY70">
        <f t="shared" si="56"/>
        <v>190.44</v>
      </c>
      <c r="AZ70">
        <f t="shared" si="56"/>
        <v>0</v>
      </c>
      <c r="BA70">
        <f t="shared" si="56"/>
        <v>0</v>
      </c>
      <c r="BB70">
        <f t="shared" si="56"/>
        <v>0</v>
      </c>
      <c r="BC70">
        <f t="shared" si="56"/>
        <v>116.38</v>
      </c>
      <c r="BD70">
        <f t="shared" si="56"/>
        <v>888.72</v>
      </c>
      <c r="BE70">
        <f t="shared" si="56"/>
        <v>0</v>
      </c>
      <c r="BF70">
        <f t="shared" si="56"/>
        <v>0</v>
      </c>
      <c r="BG70">
        <f t="shared" si="56"/>
        <v>0</v>
      </c>
      <c r="BH70">
        <f t="shared" si="56"/>
        <v>10.16</v>
      </c>
      <c r="BI70">
        <f t="shared" si="56"/>
        <v>9.1</v>
      </c>
      <c r="BJ70">
        <f t="shared" si="56"/>
        <v>0</v>
      </c>
      <c r="BK70">
        <f t="shared" si="56"/>
        <v>0</v>
      </c>
      <c r="BL70">
        <f t="shared" si="56"/>
        <v>80.4</v>
      </c>
      <c r="BM70">
        <f t="shared" si="56"/>
        <v>16.92</v>
      </c>
      <c r="BN70">
        <f t="shared" si="56"/>
        <v>0</v>
      </c>
      <c r="BO70">
        <f t="shared" si="56"/>
        <v>0</v>
      </c>
      <c r="BP70">
        <f t="shared" si="56"/>
        <v>0</v>
      </c>
      <c r="BQ70">
        <f t="shared" si="56"/>
        <v>25.4</v>
      </c>
      <c r="BR70">
        <f t="shared" si="56"/>
        <v>23.5</v>
      </c>
      <c r="BS70">
        <f t="shared" si="56"/>
        <v>0</v>
      </c>
      <c r="BT70">
        <f t="shared" si="56"/>
        <v>0</v>
      </c>
      <c r="BU70">
        <f t="shared" si="56"/>
        <v>60.3</v>
      </c>
      <c r="BV70">
        <f t="shared" si="56"/>
        <v>30.68</v>
      </c>
      <c r="BW70">
        <f t="shared" si="56"/>
        <v>19.04</v>
      </c>
      <c r="BX70">
        <f t="shared" si="56"/>
        <v>0</v>
      </c>
      <c r="BY70">
        <f t="shared" si="56"/>
        <v>8.68</v>
      </c>
      <c r="BZ70">
        <f t="shared" si="56"/>
        <v>0</v>
      </c>
      <c r="CA70">
        <f t="shared" si="56"/>
        <v>0</v>
      </c>
      <c r="CB70">
        <f t="shared" si="56"/>
        <v>3.38</v>
      </c>
      <c r="CC70">
        <f t="shared" si="56"/>
        <v>0</v>
      </c>
      <c r="CD70">
        <f t="shared" si="56"/>
        <v>0</v>
      </c>
      <c r="CE70">
        <f t="shared" si="56"/>
        <v>0</v>
      </c>
      <c r="CG70" s="6">
        <v>2012</v>
      </c>
      <c r="CH70" s="6" t="s">
        <v>258</v>
      </c>
      <c r="CI70" s="6">
        <v>0.08</v>
      </c>
      <c r="CJ70" s="6">
        <v>0.08</v>
      </c>
      <c r="CK70" s="6" t="s">
        <v>591</v>
      </c>
      <c r="CL70" s="6" t="s">
        <v>591</v>
      </c>
      <c r="CM70" s="6" t="s">
        <v>593</v>
      </c>
    </row>
    <row r="71" spans="4:91">
      <c r="D71">
        <f t="shared" si="53"/>
        <v>2017</v>
      </c>
      <c r="E71" t="str">
        <f t="shared" si="49"/>
        <v>MINBatMaterials_COP</v>
      </c>
      <c r="F71" s="1">
        <f t="shared" si="11"/>
        <v>0</v>
      </c>
      <c r="G71" s="1">
        <f t="shared" si="12"/>
        <v>7.96</v>
      </c>
      <c r="H71" s="1">
        <f t="shared" si="13"/>
        <v>1.6</v>
      </c>
      <c r="I71" s="1">
        <f t="shared" si="14"/>
        <v>0</v>
      </c>
      <c r="J71" s="1">
        <f t="shared" si="15"/>
        <v>0</v>
      </c>
      <c r="K71" s="1">
        <f t="shared" si="16"/>
        <v>0</v>
      </c>
      <c r="L71" s="1">
        <f t="shared" si="17"/>
        <v>0</v>
      </c>
      <c r="M71" s="1">
        <f t="shared" si="6"/>
        <v>3.6</v>
      </c>
      <c r="N71" s="1">
        <f t="shared" si="18"/>
        <v>0</v>
      </c>
      <c r="O71" s="1">
        <f t="shared" si="19"/>
        <v>0</v>
      </c>
      <c r="P71" s="1">
        <f t="shared" si="20"/>
        <v>0</v>
      </c>
      <c r="Q71" s="1">
        <f t="shared" si="21"/>
        <v>0</v>
      </c>
      <c r="R71" s="1">
        <f t="shared" si="22"/>
        <v>0</v>
      </c>
      <c r="S71" s="1">
        <f t="shared" si="23"/>
        <v>0</v>
      </c>
      <c r="T71" s="1">
        <f t="shared" si="24"/>
        <v>0</v>
      </c>
      <c r="U71" s="1">
        <f t="shared" si="25"/>
        <v>0.06</v>
      </c>
      <c r="V71" s="1">
        <f t="shared" si="26"/>
        <v>0</v>
      </c>
      <c r="W71" s="1">
        <f t="shared" si="27"/>
        <v>0</v>
      </c>
      <c r="X71" s="1">
        <f t="shared" si="28"/>
        <v>0</v>
      </c>
      <c r="Y71" s="1">
        <f t="shared" si="29"/>
        <v>15.8</v>
      </c>
      <c r="Z71" s="1">
        <f t="shared" si="30"/>
        <v>0</v>
      </c>
      <c r="AA71" s="1">
        <f t="shared" si="31"/>
        <v>4.5</v>
      </c>
      <c r="AB71" s="1">
        <f t="shared" si="32"/>
        <v>0</v>
      </c>
      <c r="AC71" s="1">
        <f t="shared" si="33"/>
        <v>0.82</v>
      </c>
      <c r="AD71" s="1">
        <f t="shared" si="34"/>
        <v>9.4</v>
      </c>
      <c r="AE71" s="1">
        <f t="shared" si="35"/>
        <v>1.86</v>
      </c>
      <c r="AF71" s="1">
        <f t="shared" si="36"/>
        <v>0</v>
      </c>
      <c r="AG71" s="1">
        <f t="shared" si="37"/>
        <v>0</v>
      </c>
      <c r="AH71" s="1">
        <f t="shared" si="38"/>
        <v>0</v>
      </c>
      <c r="AI71" s="1">
        <f t="shared" si="39"/>
        <v>0</v>
      </c>
      <c r="AJ71" s="1">
        <f t="shared" si="40"/>
        <v>0</v>
      </c>
      <c r="AK71" s="1">
        <f t="shared" si="41"/>
        <v>0</v>
      </c>
      <c r="AL71" s="1">
        <f t="shared" si="42"/>
        <v>0</v>
      </c>
      <c r="AM71" s="1">
        <f t="shared" si="43"/>
        <v>0</v>
      </c>
      <c r="AN71" s="1">
        <f t="shared" si="44"/>
        <v>0</v>
      </c>
      <c r="AQ71" s="6">
        <v>2012</v>
      </c>
      <c r="AR71" s="6" t="s">
        <v>260</v>
      </c>
      <c r="AS71" s="6">
        <v>0.08</v>
      </c>
      <c r="AT71" s="6" t="s">
        <v>591</v>
      </c>
      <c r="AU71" s="6" t="s">
        <v>592</v>
      </c>
      <c r="AV71" t="str">
        <f t="shared" si="51"/>
        <v>MINBatMaterials_COP</v>
      </c>
      <c r="AW71">
        <f t="shared" ref="AW71:CE71" si="57" xml:space="preserve">AW50</f>
        <v>0</v>
      </c>
      <c r="AX71">
        <f t="shared" si="57"/>
        <v>99.5</v>
      </c>
      <c r="AY71">
        <f t="shared" si="57"/>
        <v>20</v>
      </c>
      <c r="AZ71">
        <f t="shared" si="57"/>
        <v>0</v>
      </c>
      <c r="BA71">
        <f t="shared" si="57"/>
        <v>0</v>
      </c>
      <c r="BB71">
        <f t="shared" si="57"/>
        <v>0</v>
      </c>
      <c r="BC71">
        <f t="shared" si="57"/>
        <v>0</v>
      </c>
      <c r="BD71">
        <f t="shared" si="57"/>
        <v>45</v>
      </c>
      <c r="BE71">
        <f t="shared" si="57"/>
        <v>0</v>
      </c>
      <c r="BF71">
        <f t="shared" si="57"/>
        <v>0</v>
      </c>
      <c r="BG71">
        <f t="shared" si="57"/>
        <v>0</v>
      </c>
      <c r="BH71">
        <f t="shared" si="57"/>
        <v>0</v>
      </c>
      <c r="BI71">
        <f t="shared" si="57"/>
        <v>0</v>
      </c>
      <c r="BJ71">
        <f t="shared" si="57"/>
        <v>0</v>
      </c>
      <c r="BK71">
        <f t="shared" si="57"/>
        <v>0</v>
      </c>
      <c r="BL71">
        <f t="shared" si="57"/>
        <v>0.75</v>
      </c>
      <c r="BM71">
        <f t="shared" si="57"/>
        <v>0</v>
      </c>
      <c r="BN71">
        <f t="shared" si="57"/>
        <v>0</v>
      </c>
      <c r="BO71">
        <f t="shared" si="57"/>
        <v>0</v>
      </c>
      <c r="BP71">
        <f t="shared" si="57"/>
        <v>197.5</v>
      </c>
      <c r="BQ71">
        <f t="shared" si="57"/>
        <v>0</v>
      </c>
      <c r="BR71">
        <f t="shared" si="57"/>
        <v>56.25</v>
      </c>
      <c r="BS71">
        <f t="shared" si="57"/>
        <v>0</v>
      </c>
      <c r="BT71">
        <f t="shared" si="57"/>
        <v>10.25</v>
      </c>
      <c r="BU71">
        <f t="shared" si="57"/>
        <v>117.5</v>
      </c>
      <c r="BV71">
        <f t="shared" si="57"/>
        <v>23.25</v>
      </c>
      <c r="BW71">
        <f t="shared" si="57"/>
        <v>0</v>
      </c>
      <c r="BX71">
        <f t="shared" si="57"/>
        <v>0</v>
      </c>
      <c r="BY71">
        <f t="shared" si="57"/>
        <v>0</v>
      </c>
      <c r="BZ71">
        <f t="shared" si="57"/>
        <v>0</v>
      </c>
      <c r="CA71">
        <f t="shared" si="57"/>
        <v>0</v>
      </c>
      <c r="CB71">
        <f t="shared" si="57"/>
        <v>0</v>
      </c>
      <c r="CC71">
        <f t="shared" si="57"/>
        <v>0</v>
      </c>
      <c r="CD71">
        <f t="shared" si="57"/>
        <v>0</v>
      </c>
      <c r="CE71">
        <f t="shared" si="57"/>
        <v>0</v>
      </c>
      <c r="CG71" s="6">
        <v>2012</v>
      </c>
      <c r="CH71" s="6" t="s">
        <v>260</v>
      </c>
      <c r="CI71" s="6">
        <v>0.08</v>
      </c>
      <c r="CJ71" s="6">
        <v>0.08</v>
      </c>
      <c r="CK71" s="6" t="s">
        <v>591</v>
      </c>
      <c r="CL71" s="6" t="s">
        <v>591</v>
      </c>
      <c r="CM71" s="6" t="s">
        <v>593</v>
      </c>
    </row>
    <row r="72" spans="4:91">
      <c r="D72">
        <f t="shared" si="53"/>
        <v>2017</v>
      </c>
      <c r="E72" t="str">
        <f t="shared" si="49"/>
        <v>MINBatMaterials_GR</v>
      </c>
      <c r="F72" s="1">
        <f t="shared" si="11"/>
        <v>0</v>
      </c>
      <c r="G72" s="1">
        <f t="shared" si="12"/>
        <v>13.608</v>
      </c>
      <c r="H72" s="1">
        <f t="shared" si="13"/>
        <v>0</v>
      </c>
      <c r="I72" s="1">
        <f t="shared" si="14"/>
        <v>0.036</v>
      </c>
      <c r="J72" s="1">
        <f t="shared" si="15"/>
        <v>0</v>
      </c>
      <c r="K72" s="1">
        <f t="shared" si="16"/>
        <v>0</v>
      </c>
      <c r="L72" s="1">
        <f t="shared" si="17"/>
        <v>4.896</v>
      </c>
      <c r="M72" s="1">
        <f t="shared" si="6"/>
        <v>91.44</v>
      </c>
      <c r="N72" s="1">
        <f t="shared" si="18"/>
        <v>0</v>
      </c>
      <c r="O72" s="1">
        <f t="shared" si="19"/>
        <v>0</v>
      </c>
      <c r="P72" s="1">
        <f t="shared" si="20"/>
        <v>0</v>
      </c>
      <c r="Q72" s="1">
        <f t="shared" si="21"/>
        <v>0.0144</v>
      </c>
      <c r="R72" s="1">
        <f t="shared" si="22"/>
        <v>0</v>
      </c>
      <c r="S72" s="1">
        <f t="shared" si="23"/>
        <v>0</v>
      </c>
      <c r="T72" s="1">
        <f t="shared" si="24"/>
        <v>0</v>
      </c>
      <c r="U72" s="1">
        <f t="shared" si="25"/>
        <v>2.016</v>
      </c>
      <c r="V72" s="1">
        <f t="shared" si="26"/>
        <v>0</v>
      </c>
      <c r="W72" s="1">
        <f t="shared" si="27"/>
        <v>0</v>
      </c>
      <c r="X72" s="1">
        <f t="shared" si="28"/>
        <v>0</v>
      </c>
      <c r="Y72" s="1">
        <f t="shared" si="29"/>
        <v>0</v>
      </c>
      <c r="Z72" s="1">
        <f t="shared" si="30"/>
        <v>0</v>
      </c>
      <c r="AA72" s="1">
        <f t="shared" si="31"/>
        <v>1.5048</v>
      </c>
      <c r="AB72" s="1">
        <f t="shared" si="32"/>
        <v>0.504</v>
      </c>
      <c r="AC72" s="1">
        <f t="shared" si="33"/>
        <v>0</v>
      </c>
      <c r="AD72" s="1">
        <f t="shared" si="34"/>
        <v>1.6488</v>
      </c>
      <c r="AE72" s="1">
        <f t="shared" si="35"/>
        <v>1.44</v>
      </c>
      <c r="AF72" s="1">
        <f t="shared" si="36"/>
        <v>0</v>
      </c>
      <c r="AG72" s="1">
        <f t="shared" si="37"/>
        <v>0</v>
      </c>
      <c r="AH72" s="1">
        <f t="shared" si="38"/>
        <v>0</v>
      </c>
      <c r="AI72" s="1">
        <f t="shared" si="39"/>
        <v>0</v>
      </c>
      <c r="AJ72" s="1">
        <f t="shared" si="40"/>
        <v>0</v>
      </c>
      <c r="AK72" s="1">
        <f t="shared" si="41"/>
        <v>0.216</v>
      </c>
      <c r="AL72" s="1">
        <f t="shared" si="42"/>
        <v>0</v>
      </c>
      <c r="AM72" s="1">
        <f t="shared" si="43"/>
        <v>0.0864</v>
      </c>
      <c r="AN72" s="1">
        <f t="shared" si="44"/>
        <v>0</v>
      </c>
      <c r="AQ72" s="6">
        <v>2012</v>
      </c>
      <c r="AR72" s="6" t="s">
        <v>262</v>
      </c>
      <c r="AS72" s="6">
        <v>0.08</v>
      </c>
      <c r="AT72" s="6" t="s">
        <v>591</v>
      </c>
      <c r="AU72" s="6" t="s">
        <v>592</v>
      </c>
      <c r="AV72" t="str">
        <f t="shared" si="51"/>
        <v>MINBatMaterials_GR</v>
      </c>
      <c r="AW72">
        <f t="shared" ref="AW72:CE72" si="58" xml:space="preserve">AW51</f>
        <v>0</v>
      </c>
      <c r="AX72">
        <f t="shared" si="58"/>
        <v>170.1</v>
      </c>
      <c r="AY72">
        <f t="shared" si="58"/>
        <v>0</v>
      </c>
      <c r="AZ72">
        <f t="shared" si="58"/>
        <v>0.45</v>
      </c>
      <c r="BA72">
        <f t="shared" si="58"/>
        <v>0</v>
      </c>
      <c r="BB72">
        <f t="shared" si="58"/>
        <v>0</v>
      </c>
      <c r="BC72">
        <f t="shared" si="58"/>
        <v>61.2</v>
      </c>
      <c r="BD72">
        <f t="shared" si="58"/>
        <v>1143</v>
      </c>
      <c r="BE72">
        <f t="shared" si="58"/>
        <v>0</v>
      </c>
      <c r="BF72">
        <f t="shared" si="58"/>
        <v>0</v>
      </c>
      <c r="BG72">
        <f t="shared" si="58"/>
        <v>0</v>
      </c>
      <c r="BH72">
        <f t="shared" si="58"/>
        <v>0.18</v>
      </c>
      <c r="BI72">
        <f t="shared" si="58"/>
        <v>0</v>
      </c>
      <c r="BJ72">
        <f t="shared" si="58"/>
        <v>0</v>
      </c>
      <c r="BK72">
        <f t="shared" si="58"/>
        <v>0</v>
      </c>
      <c r="BL72">
        <f t="shared" si="58"/>
        <v>25.2</v>
      </c>
      <c r="BM72">
        <f t="shared" si="58"/>
        <v>0</v>
      </c>
      <c r="BN72">
        <f t="shared" si="58"/>
        <v>0</v>
      </c>
      <c r="BO72">
        <f t="shared" si="58"/>
        <v>0</v>
      </c>
      <c r="BP72">
        <f t="shared" si="58"/>
        <v>0</v>
      </c>
      <c r="BQ72">
        <f t="shared" si="58"/>
        <v>0</v>
      </c>
      <c r="BR72">
        <f t="shared" si="58"/>
        <v>18.81</v>
      </c>
      <c r="BS72">
        <f t="shared" si="58"/>
        <v>6.3</v>
      </c>
      <c r="BT72">
        <f t="shared" si="58"/>
        <v>0</v>
      </c>
      <c r="BU72">
        <f t="shared" si="58"/>
        <v>20.61</v>
      </c>
      <c r="BV72">
        <f t="shared" si="58"/>
        <v>18</v>
      </c>
      <c r="BW72">
        <f t="shared" si="58"/>
        <v>0</v>
      </c>
      <c r="BX72">
        <f t="shared" si="58"/>
        <v>0</v>
      </c>
      <c r="BY72">
        <f t="shared" si="58"/>
        <v>0</v>
      </c>
      <c r="BZ72">
        <f t="shared" si="58"/>
        <v>0</v>
      </c>
      <c r="CA72">
        <f t="shared" si="58"/>
        <v>0</v>
      </c>
      <c r="CB72">
        <f t="shared" si="58"/>
        <v>2.7</v>
      </c>
      <c r="CC72">
        <f t="shared" si="58"/>
        <v>0</v>
      </c>
      <c r="CD72">
        <f t="shared" si="58"/>
        <v>1.08</v>
      </c>
      <c r="CE72">
        <f t="shared" si="58"/>
        <v>0</v>
      </c>
      <c r="CG72" s="6">
        <v>2012</v>
      </c>
      <c r="CH72" s="6" t="s">
        <v>262</v>
      </c>
      <c r="CI72" s="6">
        <v>0.08</v>
      </c>
      <c r="CJ72" s="6">
        <v>0.08</v>
      </c>
      <c r="CK72" s="6" t="s">
        <v>591</v>
      </c>
      <c r="CL72" s="6" t="s">
        <v>591</v>
      </c>
      <c r="CM72" s="6" t="s">
        <v>593</v>
      </c>
    </row>
    <row r="73" spans="4:91">
      <c r="D73">
        <v>2012</v>
      </c>
      <c r="E73" t="s">
        <v>68</v>
      </c>
      <c r="F73" s="1">
        <f t="shared" si="11"/>
        <v>0</v>
      </c>
      <c r="G73" s="1">
        <f t="shared" si="12"/>
        <v>0</v>
      </c>
      <c r="H73" s="1">
        <f t="shared" si="13"/>
        <v>3.6e-5</v>
      </c>
      <c r="I73" s="1">
        <f t="shared" si="14"/>
        <v>9e-5</v>
      </c>
      <c r="J73" s="1">
        <f t="shared" si="15"/>
        <v>3.6e-5</v>
      </c>
      <c r="K73" s="1">
        <f t="shared" si="16"/>
        <v>0.000936</v>
      </c>
      <c r="L73" s="1">
        <f t="shared" si="17"/>
        <v>9e-5</v>
      </c>
      <c r="M73" s="1">
        <f t="shared" si="6"/>
        <v>1.100142</v>
      </c>
      <c r="N73" s="1">
        <f t="shared" si="18"/>
        <v>0</v>
      </c>
      <c r="O73" s="1">
        <f t="shared" si="19"/>
        <v>9e-5</v>
      </c>
      <c r="P73" s="1">
        <f t="shared" si="20"/>
        <v>0.000567</v>
      </c>
      <c r="Q73" s="1">
        <f t="shared" si="21"/>
        <v>0.000468</v>
      </c>
      <c r="R73" s="1">
        <f t="shared" si="22"/>
        <v>0</v>
      </c>
      <c r="S73" s="1">
        <f t="shared" si="23"/>
        <v>9e-5</v>
      </c>
      <c r="T73" s="1">
        <f t="shared" si="24"/>
        <v>0</v>
      </c>
      <c r="U73" s="1">
        <f t="shared" si="25"/>
        <v>0.001125</v>
      </c>
      <c r="V73" s="1">
        <f t="shared" si="26"/>
        <v>0</v>
      </c>
      <c r="W73" s="1">
        <f t="shared" si="27"/>
        <v>0.000189</v>
      </c>
      <c r="X73" s="1">
        <f t="shared" si="28"/>
        <v>9e-5</v>
      </c>
      <c r="Y73" s="1">
        <f t="shared" si="29"/>
        <v>0.000423</v>
      </c>
      <c r="Z73" s="1">
        <f t="shared" si="30"/>
        <v>3.6e-5</v>
      </c>
      <c r="AA73" s="1">
        <f t="shared" si="31"/>
        <v>0.001323</v>
      </c>
      <c r="AB73" s="1">
        <f t="shared" si="32"/>
        <v>0.000189</v>
      </c>
      <c r="AC73" s="1">
        <f t="shared" si="33"/>
        <v>0.000513</v>
      </c>
      <c r="AD73" s="1">
        <f t="shared" si="34"/>
        <v>0.000567</v>
      </c>
      <c r="AE73" s="1">
        <f t="shared" si="35"/>
        <v>0.00018</v>
      </c>
      <c r="AF73" s="1">
        <f t="shared" si="36"/>
        <v>0</v>
      </c>
      <c r="AG73" s="1">
        <f t="shared" si="37"/>
        <v>0</v>
      </c>
      <c r="AH73" s="1">
        <f t="shared" si="38"/>
        <v>0.000279</v>
      </c>
      <c r="AI73" s="1">
        <f t="shared" si="39"/>
        <v>0.000567</v>
      </c>
      <c r="AJ73" s="1">
        <f t="shared" si="40"/>
        <v>9e-5</v>
      </c>
      <c r="AK73" s="1">
        <f t="shared" si="41"/>
        <v>9e-5</v>
      </c>
      <c r="AL73" s="1">
        <f t="shared" si="42"/>
        <v>0.000756</v>
      </c>
      <c r="AM73" s="1">
        <f t="shared" si="43"/>
        <v>0</v>
      </c>
      <c r="AN73" s="1">
        <f t="shared" si="44"/>
        <v>0</v>
      </c>
      <c r="AQ73" s="6">
        <v>2012</v>
      </c>
      <c r="AR73" s="6" t="s">
        <v>68</v>
      </c>
      <c r="AS73" s="6">
        <v>0.009</v>
      </c>
      <c r="AT73" s="6" t="s">
        <v>568</v>
      </c>
      <c r="AU73" s="6" t="s">
        <v>594</v>
      </c>
      <c r="AV73" t="str">
        <f t="shared" si="51"/>
        <v>Tra_EV_Batt-LFP_virgin</v>
      </c>
      <c r="AW73">
        <f t="shared" ref="AW73:CE73" si="59" xml:space="preserve">AW52</f>
        <v>0</v>
      </c>
      <c r="AX73">
        <f t="shared" si="59"/>
        <v>0</v>
      </c>
      <c r="AY73">
        <f t="shared" si="59"/>
        <v>0.004</v>
      </c>
      <c r="AZ73">
        <f t="shared" si="59"/>
        <v>0.01</v>
      </c>
      <c r="BA73">
        <f t="shared" si="59"/>
        <v>0.004</v>
      </c>
      <c r="BB73">
        <f t="shared" si="59"/>
        <v>0.104</v>
      </c>
      <c r="BC73">
        <f t="shared" si="59"/>
        <v>0.01</v>
      </c>
      <c r="BD73">
        <f t="shared" si="59"/>
        <v>122.238</v>
      </c>
      <c r="BE73">
        <f t="shared" si="59"/>
        <v>0</v>
      </c>
      <c r="BF73">
        <f t="shared" si="59"/>
        <v>0.01</v>
      </c>
      <c r="BG73">
        <f t="shared" si="59"/>
        <v>0.063</v>
      </c>
      <c r="BH73">
        <f t="shared" si="59"/>
        <v>0.052</v>
      </c>
      <c r="BI73">
        <f t="shared" si="59"/>
        <v>0</v>
      </c>
      <c r="BJ73">
        <f t="shared" si="59"/>
        <v>0.01</v>
      </c>
      <c r="BK73">
        <f t="shared" si="59"/>
        <v>0</v>
      </c>
      <c r="BL73">
        <f t="shared" si="59"/>
        <v>0.125</v>
      </c>
      <c r="BM73">
        <f t="shared" si="59"/>
        <v>0</v>
      </c>
      <c r="BN73">
        <f t="shared" si="59"/>
        <v>0.021</v>
      </c>
      <c r="BO73">
        <f t="shared" si="59"/>
        <v>0.01</v>
      </c>
      <c r="BP73">
        <f t="shared" si="59"/>
        <v>0.047</v>
      </c>
      <c r="BQ73">
        <f t="shared" si="59"/>
        <v>0.004</v>
      </c>
      <c r="BR73">
        <f t="shared" si="59"/>
        <v>0.147</v>
      </c>
      <c r="BS73">
        <f t="shared" si="59"/>
        <v>0.021</v>
      </c>
      <c r="BT73">
        <f t="shared" si="59"/>
        <v>0.057</v>
      </c>
      <c r="BU73">
        <f t="shared" si="59"/>
        <v>0.063</v>
      </c>
      <c r="BV73">
        <f t="shared" si="59"/>
        <v>0.02</v>
      </c>
      <c r="BW73">
        <f t="shared" si="59"/>
        <v>0</v>
      </c>
      <c r="BX73">
        <f t="shared" si="59"/>
        <v>0</v>
      </c>
      <c r="BY73">
        <f t="shared" si="59"/>
        <v>0.031</v>
      </c>
      <c r="BZ73">
        <f t="shared" si="59"/>
        <v>0.063</v>
      </c>
      <c r="CA73">
        <f t="shared" si="59"/>
        <v>0.01</v>
      </c>
      <c r="CB73">
        <f t="shared" si="59"/>
        <v>0.01</v>
      </c>
      <c r="CC73">
        <f t="shared" si="59"/>
        <v>0.084</v>
      </c>
      <c r="CD73">
        <f t="shared" si="59"/>
        <v>0</v>
      </c>
      <c r="CE73">
        <f t="shared" si="59"/>
        <v>0</v>
      </c>
      <c r="CG73" s="6">
        <v>2012</v>
      </c>
      <c r="CH73" s="6" t="s">
        <v>68</v>
      </c>
      <c r="CI73" s="6">
        <v>0.009</v>
      </c>
      <c r="CJ73" s="6">
        <v>0.007</v>
      </c>
      <c r="CK73" s="6" t="s">
        <v>595</v>
      </c>
      <c r="CL73" s="6" t="s">
        <v>596</v>
      </c>
      <c r="CM73" s="6" t="s">
        <v>597</v>
      </c>
    </row>
    <row r="74" spans="4:91">
      <c r="D74">
        <f t="shared" si="53"/>
        <v>2012</v>
      </c>
      <c r="E74" t="s">
        <v>90</v>
      </c>
      <c r="F74" s="1">
        <f t="shared" si="11"/>
        <v>2.7e-5</v>
      </c>
      <c r="G74" s="1">
        <f t="shared" si="12"/>
        <v>2.7e-5</v>
      </c>
      <c r="H74" s="1">
        <f t="shared" si="13"/>
        <v>0.000918</v>
      </c>
      <c r="I74" s="1">
        <f t="shared" si="14"/>
        <v>0.003078</v>
      </c>
      <c r="J74" s="1">
        <f t="shared" si="15"/>
        <v>0.000351</v>
      </c>
      <c r="K74" s="1">
        <f t="shared" si="16"/>
        <v>0.014076</v>
      </c>
      <c r="L74" s="1">
        <f t="shared" si="17"/>
        <v>0.000108</v>
      </c>
      <c r="M74" s="1">
        <f t="shared" si="6"/>
        <v>0.18954</v>
      </c>
      <c r="N74" s="1">
        <f t="shared" si="18"/>
        <v>0.000252</v>
      </c>
      <c r="O74" s="1">
        <f t="shared" si="19"/>
        <v>0.000396</v>
      </c>
      <c r="P74" s="1">
        <f t="shared" si="20"/>
        <v>0.02268</v>
      </c>
      <c r="Q74" s="1">
        <f t="shared" si="21"/>
        <v>0.017793</v>
      </c>
      <c r="R74" s="1">
        <f t="shared" si="22"/>
        <v>5.4e-5</v>
      </c>
      <c r="S74" s="1">
        <f t="shared" si="23"/>
        <v>0.000765</v>
      </c>
      <c r="T74" s="1">
        <f t="shared" si="24"/>
        <v>0.001125</v>
      </c>
      <c r="U74" s="1">
        <f t="shared" si="25"/>
        <v>0.00063</v>
      </c>
      <c r="V74" s="1">
        <f t="shared" si="26"/>
        <v>0.000738</v>
      </c>
      <c r="W74" s="1">
        <f t="shared" si="27"/>
        <v>0.002304</v>
      </c>
      <c r="X74" s="1">
        <f t="shared" si="28"/>
        <v>0.020547</v>
      </c>
      <c r="Y74" s="1">
        <f t="shared" si="29"/>
        <v>0.000405</v>
      </c>
      <c r="Z74" s="1">
        <f t="shared" si="30"/>
        <v>0.000351</v>
      </c>
      <c r="AA74" s="1">
        <f t="shared" si="31"/>
        <v>0.062379</v>
      </c>
      <c r="AB74" s="1">
        <f t="shared" si="32"/>
        <v>0.024372</v>
      </c>
      <c r="AC74" s="1">
        <f t="shared" si="33"/>
        <v>0.000477</v>
      </c>
      <c r="AD74" s="1">
        <f t="shared" si="34"/>
        <v>0.004266</v>
      </c>
      <c r="AE74" s="1">
        <f t="shared" si="35"/>
        <v>0.000504</v>
      </c>
      <c r="AF74" s="1">
        <f t="shared" si="36"/>
        <v>1.8e-5</v>
      </c>
      <c r="AG74" s="1">
        <f t="shared" si="37"/>
        <v>8.1e-5</v>
      </c>
      <c r="AH74" s="1">
        <f t="shared" si="38"/>
        <v>0.004707</v>
      </c>
      <c r="AI74" s="1">
        <f t="shared" si="39"/>
        <v>0.00801</v>
      </c>
      <c r="AJ74" s="1">
        <f t="shared" si="40"/>
        <v>0.003033</v>
      </c>
      <c r="AK74" s="1">
        <f t="shared" si="41"/>
        <v>0.000108</v>
      </c>
      <c r="AL74" s="1">
        <f t="shared" si="42"/>
        <v>0.014301</v>
      </c>
      <c r="AM74" s="1">
        <f t="shared" si="43"/>
        <v>0.001008</v>
      </c>
      <c r="AN74" s="1">
        <f t="shared" si="44"/>
        <v>4.5e-5</v>
      </c>
      <c r="AQ74" s="6">
        <v>2012</v>
      </c>
      <c r="AR74" s="6" t="s">
        <v>90</v>
      </c>
      <c r="AS74" s="6">
        <v>0.009</v>
      </c>
      <c r="AT74" s="6" t="s">
        <v>568</v>
      </c>
      <c r="AU74" s="6" t="s">
        <v>594</v>
      </c>
      <c r="AV74" t="str">
        <f t="shared" si="51"/>
        <v>Tra_EV_Batt-NMC622_virgin</v>
      </c>
      <c r="AW74">
        <f t="shared" ref="AW74:CE74" si="60" xml:space="preserve">AW53</f>
        <v>0.003</v>
      </c>
      <c r="AX74">
        <f t="shared" si="60"/>
        <v>0.003</v>
      </c>
      <c r="AY74">
        <f t="shared" si="60"/>
        <v>0.102</v>
      </c>
      <c r="AZ74">
        <f t="shared" si="60"/>
        <v>0.342</v>
      </c>
      <c r="BA74">
        <f t="shared" si="60"/>
        <v>0.039</v>
      </c>
      <c r="BB74">
        <f t="shared" si="60"/>
        <v>1.564</v>
      </c>
      <c r="BC74">
        <f t="shared" si="60"/>
        <v>0.012</v>
      </c>
      <c r="BD74">
        <f t="shared" si="60"/>
        <v>21.06</v>
      </c>
      <c r="BE74">
        <f t="shared" si="60"/>
        <v>0.028</v>
      </c>
      <c r="BF74">
        <f t="shared" si="60"/>
        <v>0.044</v>
      </c>
      <c r="BG74">
        <f t="shared" si="60"/>
        <v>2.52</v>
      </c>
      <c r="BH74">
        <f t="shared" si="60"/>
        <v>1.977</v>
      </c>
      <c r="BI74">
        <f t="shared" si="60"/>
        <v>0.006</v>
      </c>
      <c r="BJ74">
        <f t="shared" si="60"/>
        <v>0.085</v>
      </c>
      <c r="BK74">
        <f t="shared" si="60"/>
        <v>0.125</v>
      </c>
      <c r="BL74">
        <f t="shared" si="60"/>
        <v>0.07</v>
      </c>
      <c r="BM74">
        <f t="shared" si="60"/>
        <v>0.082</v>
      </c>
      <c r="BN74">
        <f t="shared" si="60"/>
        <v>0.256</v>
      </c>
      <c r="BO74">
        <f t="shared" si="60"/>
        <v>2.283</v>
      </c>
      <c r="BP74">
        <f t="shared" si="60"/>
        <v>0.045</v>
      </c>
      <c r="BQ74">
        <f t="shared" si="60"/>
        <v>0.039</v>
      </c>
      <c r="BR74">
        <f t="shared" si="60"/>
        <v>6.931</v>
      </c>
      <c r="BS74">
        <f t="shared" si="60"/>
        <v>2.708</v>
      </c>
      <c r="BT74">
        <f t="shared" si="60"/>
        <v>0.053</v>
      </c>
      <c r="BU74">
        <f t="shared" si="60"/>
        <v>0.474</v>
      </c>
      <c r="BV74">
        <f t="shared" si="60"/>
        <v>0.056</v>
      </c>
      <c r="BW74">
        <f t="shared" si="60"/>
        <v>0.002</v>
      </c>
      <c r="BX74">
        <f t="shared" si="60"/>
        <v>0.009</v>
      </c>
      <c r="BY74">
        <f t="shared" si="60"/>
        <v>0.523</v>
      </c>
      <c r="BZ74">
        <f t="shared" si="60"/>
        <v>0.89</v>
      </c>
      <c r="CA74">
        <f t="shared" si="60"/>
        <v>0.337</v>
      </c>
      <c r="CB74">
        <f t="shared" si="60"/>
        <v>0.012</v>
      </c>
      <c r="CC74">
        <f t="shared" si="60"/>
        <v>1.589</v>
      </c>
      <c r="CD74">
        <f t="shared" si="60"/>
        <v>0.112</v>
      </c>
      <c r="CE74">
        <f t="shared" si="60"/>
        <v>0.005</v>
      </c>
      <c r="CG74" s="6">
        <v>2012</v>
      </c>
      <c r="CH74" s="6" t="s">
        <v>90</v>
      </c>
      <c r="CI74" s="6">
        <v>0.009</v>
      </c>
      <c r="CJ74" s="6">
        <v>0.007</v>
      </c>
      <c r="CK74" s="6" t="s">
        <v>595</v>
      </c>
      <c r="CL74" s="6" t="s">
        <v>596</v>
      </c>
      <c r="CM74" s="6" t="s">
        <v>597</v>
      </c>
    </row>
    <row r="75" spans="4:91">
      <c r="D75">
        <f t="shared" si="53"/>
        <v>2012</v>
      </c>
      <c r="E75" t="s">
        <v>94</v>
      </c>
      <c r="F75" s="1">
        <f t="shared" si="11"/>
        <v>2.7e-5</v>
      </c>
      <c r="G75" s="1">
        <f t="shared" si="12"/>
        <v>2.7e-5</v>
      </c>
      <c r="H75" s="1">
        <f t="shared" si="13"/>
        <v>0.000765</v>
      </c>
      <c r="I75" s="1">
        <f t="shared" si="14"/>
        <v>0.002511</v>
      </c>
      <c r="J75" s="1">
        <f t="shared" si="15"/>
        <v>0.000297</v>
      </c>
      <c r="K75" s="1">
        <f t="shared" si="16"/>
        <v>0.011583</v>
      </c>
      <c r="L75" s="1">
        <f t="shared" si="17"/>
        <v>9e-5</v>
      </c>
      <c r="M75" s="1">
        <f t="shared" si="6"/>
        <v>0.410301</v>
      </c>
      <c r="N75" s="1">
        <f t="shared" si="18"/>
        <v>0.000216</v>
      </c>
      <c r="O75" s="1">
        <f t="shared" si="19"/>
        <v>0.000315</v>
      </c>
      <c r="P75" s="1">
        <f t="shared" si="20"/>
        <v>0.017199</v>
      </c>
      <c r="Q75" s="1">
        <f t="shared" si="21"/>
        <v>0.014157</v>
      </c>
      <c r="R75" s="1">
        <f t="shared" si="22"/>
        <v>4.5e-5</v>
      </c>
      <c r="S75" s="1">
        <f t="shared" si="23"/>
        <v>0.000621</v>
      </c>
      <c r="T75" s="1">
        <f t="shared" si="24"/>
        <v>0.000936</v>
      </c>
      <c r="U75" s="1">
        <f t="shared" si="25"/>
        <v>6.3e-5</v>
      </c>
      <c r="V75" s="1">
        <f t="shared" si="26"/>
        <v>0.000603</v>
      </c>
      <c r="W75" s="1">
        <f t="shared" si="27"/>
        <v>0.001827</v>
      </c>
      <c r="X75" s="1">
        <f t="shared" si="28"/>
        <v>0.003798</v>
      </c>
      <c r="Y75" s="1">
        <f t="shared" si="29"/>
        <v>0.000351</v>
      </c>
      <c r="Z75" s="1">
        <f t="shared" si="30"/>
        <v>0.000297</v>
      </c>
      <c r="AA75" s="1">
        <f t="shared" si="31"/>
        <v>0.043668</v>
      </c>
      <c r="AB75" s="1">
        <f t="shared" si="32"/>
        <v>0.014589</v>
      </c>
      <c r="AC75" s="1">
        <f t="shared" si="33"/>
        <v>0.000414</v>
      </c>
      <c r="AD75" s="1">
        <f t="shared" si="34"/>
        <v>0.013878</v>
      </c>
      <c r="AE75" s="1">
        <f t="shared" si="35"/>
        <v>0.000432</v>
      </c>
      <c r="AF75" s="1">
        <f t="shared" si="36"/>
        <v>9e-6</v>
      </c>
      <c r="AG75" s="1">
        <f t="shared" si="37"/>
        <v>6.3e-5</v>
      </c>
      <c r="AH75" s="1">
        <f t="shared" si="38"/>
        <v>0.003816</v>
      </c>
      <c r="AI75" s="1">
        <f t="shared" si="39"/>
        <v>0.006507</v>
      </c>
      <c r="AJ75" s="1">
        <f t="shared" si="40"/>
        <v>0.002475</v>
      </c>
      <c r="AK75" s="1">
        <f t="shared" si="41"/>
        <v>9.9e-5</v>
      </c>
      <c r="AL75" s="1">
        <f t="shared" si="42"/>
        <v>0.011637</v>
      </c>
      <c r="AM75" s="1">
        <f t="shared" si="43"/>
        <v>0.000171</v>
      </c>
      <c r="AN75" s="1">
        <f t="shared" si="44"/>
        <v>3.6e-5</v>
      </c>
      <c r="AQ75" s="6">
        <v>2012</v>
      </c>
      <c r="AR75" s="6" t="s">
        <v>94</v>
      </c>
      <c r="AS75" s="6">
        <v>0.009</v>
      </c>
      <c r="AT75" s="6" t="s">
        <v>568</v>
      </c>
      <c r="AU75" s="6" t="s">
        <v>594</v>
      </c>
      <c r="AV75" t="str">
        <f t="shared" si="51"/>
        <v>Tra_EV_Batt-NMC811_virgin</v>
      </c>
      <c r="AW75">
        <f t="shared" ref="AW75:CE75" si="61" xml:space="preserve">AW54</f>
        <v>0.003</v>
      </c>
      <c r="AX75">
        <f t="shared" si="61"/>
        <v>0.003</v>
      </c>
      <c r="AY75">
        <f t="shared" si="61"/>
        <v>0.085</v>
      </c>
      <c r="AZ75">
        <f t="shared" si="61"/>
        <v>0.279</v>
      </c>
      <c r="BA75">
        <f t="shared" si="61"/>
        <v>0.033</v>
      </c>
      <c r="BB75">
        <f t="shared" si="61"/>
        <v>1.287</v>
      </c>
      <c r="BC75">
        <f t="shared" si="61"/>
        <v>0.01</v>
      </c>
      <c r="BD75">
        <f t="shared" si="61"/>
        <v>45.589</v>
      </c>
      <c r="BE75">
        <f t="shared" si="61"/>
        <v>0.024</v>
      </c>
      <c r="BF75">
        <f t="shared" si="61"/>
        <v>0.035</v>
      </c>
      <c r="BG75">
        <f t="shared" si="61"/>
        <v>1.911</v>
      </c>
      <c r="BH75">
        <f t="shared" si="61"/>
        <v>1.573</v>
      </c>
      <c r="BI75">
        <f t="shared" si="61"/>
        <v>0.005</v>
      </c>
      <c r="BJ75">
        <f t="shared" si="61"/>
        <v>0.069</v>
      </c>
      <c r="BK75">
        <f t="shared" si="61"/>
        <v>0.104</v>
      </c>
      <c r="BL75">
        <f t="shared" si="61"/>
        <v>0.007</v>
      </c>
      <c r="BM75">
        <f t="shared" si="61"/>
        <v>0.067</v>
      </c>
      <c r="BN75">
        <f t="shared" si="61"/>
        <v>0.203</v>
      </c>
      <c r="BO75">
        <f t="shared" si="61"/>
        <v>0.422</v>
      </c>
      <c r="BP75">
        <f t="shared" si="61"/>
        <v>0.039</v>
      </c>
      <c r="BQ75">
        <f t="shared" si="61"/>
        <v>0.033</v>
      </c>
      <c r="BR75">
        <f t="shared" si="61"/>
        <v>4.852</v>
      </c>
      <c r="BS75">
        <f t="shared" si="61"/>
        <v>1.621</v>
      </c>
      <c r="BT75">
        <f t="shared" si="61"/>
        <v>0.046</v>
      </c>
      <c r="BU75">
        <f t="shared" si="61"/>
        <v>1.542</v>
      </c>
      <c r="BV75">
        <f t="shared" si="61"/>
        <v>0.048</v>
      </c>
      <c r="BW75">
        <f t="shared" si="61"/>
        <v>0.001</v>
      </c>
      <c r="BX75">
        <f t="shared" si="61"/>
        <v>0.007</v>
      </c>
      <c r="BY75">
        <f t="shared" si="61"/>
        <v>0.424</v>
      </c>
      <c r="BZ75">
        <f t="shared" si="61"/>
        <v>0.723</v>
      </c>
      <c r="CA75">
        <f t="shared" si="61"/>
        <v>0.275</v>
      </c>
      <c r="CB75">
        <f t="shared" si="61"/>
        <v>0.011</v>
      </c>
      <c r="CC75">
        <f t="shared" si="61"/>
        <v>1.293</v>
      </c>
      <c r="CD75">
        <f t="shared" si="61"/>
        <v>0.019</v>
      </c>
      <c r="CE75">
        <f t="shared" si="61"/>
        <v>0.004</v>
      </c>
      <c r="CG75" s="6">
        <v>2012</v>
      </c>
      <c r="CH75" s="6" t="s">
        <v>94</v>
      </c>
      <c r="CI75" s="6">
        <v>0.009</v>
      </c>
      <c r="CJ75" s="6">
        <v>0.007</v>
      </c>
      <c r="CK75" s="6" t="s">
        <v>595</v>
      </c>
      <c r="CL75" s="6" t="s">
        <v>596</v>
      </c>
      <c r="CM75" s="6" t="s">
        <v>597</v>
      </c>
    </row>
    <row r="76" spans="4:91">
      <c r="D76">
        <f t="shared" si="53"/>
        <v>2012</v>
      </c>
      <c r="E76" t="s">
        <v>86</v>
      </c>
      <c r="F76" s="1">
        <f t="shared" si="11"/>
        <v>9e-6</v>
      </c>
      <c r="G76" s="1">
        <f t="shared" si="12"/>
        <v>9e-6</v>
      </c>
      <c r="H76" s="1">
        <f t="shared" si="13"/>
        <v>0.000153</v>
      </c>
      <c r="I76" s="1">
        <f t="shared" si="14"/>
        <v>0.000477</v>
      </c>
      <c r="J76" s="1">
        <f t="shared" si="15"/>
        <v>5.4e-5</v>
      </c>
      <c r="K76" s="1">
        <f t="shared" si="16"/>
        <v>0.002196</v>
      </c>
      <c r="L76" s="1">
        <f t="shared" si="17"/>
        <v>9e-6</v>
      </c>
      <c r="M76" s="1">
        <f t="shared" si="6"/>
        <v>0.084519</v>
      </c>
      <c r="N76" s="1">
        <f t="shared" si="18"/>
        <v>4.5e-5</v>
      </c>
      <c r="O76" s="1">
        <f t="shared" si="19"/>
        <v>5.4e-5</v>
      </c>
      <c r="P76" s="1">
        <f t="shared" si="20"/>
        <v>0.00288</v>
      </c>
      <c r="Q76" s="1">
        <f t="shared" si="21"/>
        <v>0.002592</v>
      </c>
      <c r="R76" s="1">
        <f t="shared" si="22"/>
        <v>9e-6</v>
      </c>
      <c r="S76" s="1">
        <f t="shared" si="23"/>
        <v>0.000108</v>
      </c>
      <c r="T76" s="1">
        <f t="shared" si="24"/>
        <v>0.000189</v>
      </c>
      <c r="U76" s="1">
        <f t="shared" si="25"/>
        <v>0</v>
      </c>
      <c r="V76" s="1">
        <f t="shared" si="26"/>
        <v>0.000117</v>
      </c>
      <c r="W76" s="1">
        <f t="shared" si="27"/>
        <v>0.000324</v>
      </c>
      <c r="X76" s="1">
        <f t="shared" si="28"/>
        <v>0</v>
      </c>
      <c r="Y76" s="1">
        <f t="shared" si="29"/>
        <v>3.6e-5</v>
      </c>
      <c r="Z76" s="1">
        <f t="shared" si="30"/>
        <v>5.4e-5</v>
      </c>
      <c r="AA76" s="1">
        <f t="shared" si="31"/>
        <v>0.042894</v>
      </c>
      <c r="AB76" s="1">
        <f t="shared" si="32"/>
        <v>0.004743</v>
      </c>
      <c r="AC76" s="1">
        <f t="shared" si="33"/>
        <v>4.5e-5</v>
      </c>
      <c r="AD76" s="1">
        <f t="shared" si="34"/>
        <v>0.009711</v>
      </c>
      <c r="AE76" s="1">
        <f t="shared" si="35"/>
        <v>7.2e-5</v>
      </c>
      <c r="AF76" s="1">
        <f t="shared" si="36"/>
        <v>0</v>
      </c>
      <c r="AG76" s="1">
        <f t="shared" si="37"/>
        <v>9e-6</v>
      </c>
      <c r="AH76" s="1">
        <f t="shared" si="38"/>
        <v>0.000711</v>
      </c>
      <c r="AI76" s="1">
        <f t="shared" si="39"/>
        <v>0.001206</v>
      </c>
      <c r="AJ76" s="1">
        <f t="shared" si="40"/>
        <v>0.000468</v>
      </c>
      <c r="AK76" s="1">
        <f t="shared" si="41"/>
        <v>1.8e-5</v>
      </c>
      <c r="AL76" s="1">
        <f t="shared" si="42"/>
        <v>0.002187</v>
      </c>
      <c r="AM76" s="1">
        <f t="shared" si="43"/>
        <v>0</v>
      </c>
      <c r="AN76" s="1">
        <f t="shared" si="44"/>
        <v>9e-6</v>
      </c>
      <c r="AQ76" s="6">
        <v>2012</v>
      </c>
      <c r="AR76" s="6" t="s">
        <v>86</v>
      </c>
      <c r="AS76" s="6">
        <v>0.009</v>
      </c>
      <c r="AT76" s="6" t="s">
        <v>568</v>
      </c>
      <c r="AU76" s="6" t="s">
        <v>594</v>
      </c>
      <c r="AV76" t="str">
        <f t="shared" si="51"/>
        <v>Tra_EV_Batt-NMC532_virgin</v>
      </c>
      <c r="AW76">
        <f t="shared" ref="AW76:CE76" si="62" xml:space="preserve">AW55</f>
        <v>0.001</v>
      </c>
      <c r="AX76">
        <f t="shared" si="62"/>
        <v>0.001</v>
      </c>
      <c r="AY76">
        <f t="shared" si="62"/>
        <v>0.017</v>
      </c>
      <c r="AZ76">
        <f t="shared" si="62"/>
        <v>0.053</v>
      </c>
      <c r="BA76">
        <f t="shared" si="62"/>
        <v>0.006</v>
      </c>
      <c r="BB76">
        <f t="shared" si="62"/>
        <v>0.244</v>
      </c>
      <c r="BC76">
        <f t="shared" si="62"/>
        <v>0.001</v>
      </c>
      <c r="BD76">
        <f t="shared" si="62"/>
        <v>9.391</v>
      </c>
      <c r="BE76">
        <f t="shared" si="62"/>
        <v>0.005</v>
      </c>
      <c r="BF76">
        <f t="shared" si="62"/>
        <v>0.006</v>
      </c>
      <c r="BG76">
        <f t="shared" si="62"/>
        <v>0.32</v>
      </c>
      <c r="BH76">
        <f t="shared" si="62"/>
        <v>0.288</v>
      </c>
      <c r="BI76">
        <f t="shared" si="62"/>
        <v>0.001</v>
      </c>
      <c r="BJ76">
        <f t="shared" si="62"/>
        <v>0.012</v>
      </c>
      <c r="BK76">
        <f t="shared" si="62"/>
        <v>0.021</v>
      </c>
      <c r="BL76">
        <f t="shared" si="62"/>
        <v>0</v>
      </c>
      <c r="BM76">
        <f t="shared" si="62"/>
        <v>0.013</v>
      </c>
      <c r="BN76">
        <f t="shared" si="62"/>
        <v>0.036</v>
      </c>
      <c r="BO76">
        <f t="shared" si="62"/>
        <v>0</v>
      </c>
      <c r="BP76">
        <f t="shared" si="62"/>
        <v>0.004</v>
      </c>
      <c r="BQ76">
        <f t="shared" si="62"/>
        <v>0.006</v>
      </c>
      <c r="BR76">
        <f t="shared" si="62"/>
        <v>4.766</v>
      </c>
      <c r="BS76">
        <f t="shared" si="62"/>
        <v>0.527</v>
      </c>
      <c r="BT76">
        <f t="shared" si="62"/>
        <v>0.005</v>
      </c>
      <c r="BU76">
        <f t="shared" si="62"/>
        <v>1.079</v>
      </c>
      <c r="BV76">
        <f t="shared" si="62"/>
        <v>0.008</v>
      </c>
      <c r="BW76">
        <f t="shared" si="62"/>
        <v>0</v>
      </c>
      <c r="BX76">
        <f t="shared" si="62"/>
        <v>0.001</v>
      </c>
      <c r="BY76">
        <f t="shared" si="62"/>
        <v>0.079</v>
      </c>
      <c r="BZ76">
        <f t="shared" si="62"/>
        <v>0.134</v>
      </c>
      <c r="CA76">
        <f t="shared" si="62"/>
        <v>0.052</v>
      </c>
      <c r="CB76">
        <f t="shared" si="62"/>
        <v>0.002</v>
      </c>
      <c r="CC76">
        <f t="shared" si="62"/>
        <v>0.243</v>
      </c>
      <c r="CD76">
        <f t="shared" si="62"/>
        <v>0</v>
      </c>
      <c r="CE76">
        <f t="shared" si="62"/>
        <v>0.001</v>
      </c>
      <c r="CG76" s="6">
        <v>2012</v>
      </c>
      <c r="CH76" s="6" t="s">
        <v>86</v>
      </c>
      <c r="CI76" s="6">
        <v>0.009</v>
      </c>
      <c r="CJ76" s="6">
        <v>0.007</v>
      </c>
      <c r="CK76" s="6" t="s">
        <v>595</v>
      </c>
      <c r="CL76" s="6" t="s">
        <v>596</v>
      </c>
      <c r="CM76" s="6" t="s">
        <v>597</v>
      </c>
    </row>
    <row r="77" spans="4:91">
      <c r="D77">
        <f t="shared" si="53"/>
        <v>2012</v>
      </c>
      <c r="E77" t="s">
        <v>77</v>
      </c>
      <c r="F77" s="1">
        <f t="shared" si="11"/>
        <v>0</v>
      </c>
      <c r="G77" s="1">
        <f t="shared" si="12"/>
        <v>0</v>
      </c>
      <c r="H77" s="1">
        <f t="shared" si="13"/>
        <v>0</v>
      </c>
      <c r="I77" s="1">
        <f t="shared" si="14"/>
        <v>0</v>
      </c>
      <c r="J77" s="1">
        <f t="shared" si="15"/>
        <v>0</v>
      </c>
      <c r="K77" s="1">
        <f t="shared" si="16"/>
        <v>0</v>
      </c>
      <c r="L77" s="1">
        <f t="shared" si="17"/>
        <v>0</v>
      </c>
      <c r="M77" s="1">
        <f t="shared" si="6"/>
        <v>0.015309</v>
      </c>
      <c r="N77" s="1">
        <f t="shared" si="18"/>
        <v>0</v>
      </c>
      <c r="O77" s="1">
        <f t="shared" si="19"/>
        <v>0</v>
      </c>
      <c r="P77" s="1">
        <f t="shared" si="20"/>
        <v>0</v>
      </c>
      <c r="Q77" s="1">
        <f t="shared" si="21"/>
        <v>0</v>
      </c>
      <c r="R77" s="1">
        <f t="shared" si="22"/>
        <v>0</v>
      </c>
      <c r="S77" s="1">
        <f t="shared" si="23"/>
        <v>0</v>
      </c>
      <c r="T77" s="1">
        <f t="shared" si="24"/>
        <v>0</v>
      </c>
      <c r="U77" s="1">
        <f t="shared" si="25"/>
        <v>0</v>
      </c>
      <c r="V77" s="1">
        <f t="shared" si="26"/>
        <v>0</v>
      </c>
      <c r="W77" s="1">
        <f t="shared" si="27"/>
        <v>0</v>
      </c>
      <c r="X77" s="1">
        <f t="shared" si="28"/>
        <v>0</v>
      </c>
      <c r="Y77" s="1">
        <f t="shared" si="29"/>
        <v>0</v>
      </c>
      <c r="Z77" s="1">
        <f t="shared" si="30"/>
        <v>0</v>
      </c>
      <c r="AA77" s="1">
        <f t="shared" si="31"/>
        <v>0</v>
      </c>
      <c r="AB77" s="1">
        <f t="shared" si="32"/>
        <v>0</v>
      </c>
      <c r="AC77" s="1">
        <f t="shared" si="33"/>
        <v>0</v>
      </c>
      <c r="AD77" s="1">
        <f t="shared" si="34"/>
        <v>0</v>
      </c>
      <c r="AE77" s="1">
        <f t="shared" si="35"/>
        <v>0</v>
      </c>
      <c r="AF77" s="1">
        <f t="shared" si="36"/>
        <v>0</v>
      </c>
      <c r="AG77" s="1">
        <f t="shared" si="37"/>
        <v>0</v>
      </c>
      <c r="AH77" s="1">
        <f t="shared" si="38"/>
        <v>0</v>
      </c>
      <c r="AI77" s="1">
        <f t="shared" si="39"/>
        <v>0</v>
      </c>
      <c r="AJ77" s="1">
        <f t="shared" si="40"/>
        <v>0</v>
      </c>
      <c r="AK77" s="1">
        <f t="shared" si="41"/>
        <v>0</v>
      </c>
      <c r="AL77" s="1">
        <f t="shared" si="42"/>
        <v>0</v>
      </c>
      <c r="AM77" s="1">
        <f t="shared" si="43"/>
        <v>0</v>
      </c>
      <c r="AN77" s="1">
        <f t="shared" si="44"/>
        <v>0</v>
      </c>
      <c r="AQ77" s="6">
        <v>2012</v>
      </c>
      <c r="AR77" s="6" t="s">
        <v>77</v>
      </c>
      <c r="AS77" s="6">
        <v>0.009</v>
      </c>
      <c r="AT77" s="6" t="s">
        <v>568</v>
      </c>
      <c r="AU77" s="6" t="s">
        <v>594</v>
      </c>
      <c r="AV77" t="str">
        <f t="shared" si="51"/>
        <v>Tra_EV_Batt-NCA_virgin</v>
      </c>
      <c r="AW77">
        <f t="shared" ref="AW77:CE77" si="63" xml:space="preserve">AW56</f>
        <v>0</v>
      </c>
      <c r="AX77">
        <f t="shared" si="63"/>
        <v>0</v>
      </c>
      <c r="AY77">
        <f t="shared" si="63"/>
        <v>0</v>
      </c>
      <c r="AZ77">
        <f t="shared" si="63"/>
        <v>0</v>
      </c>
      <c r="BA77">
        <f t="shared" si="63"/>
        <v>0</v>
      </c>
      <c r="BB77">
        <f t="shared" si="63"/>
        <v>0</v>
      </c>
      <c r="BC77">
        <f t="shared" si="63"/>
        <v>0</v>
      </c>
      <c r="BD77">
        <f t="shared" si="63"/>
        <v>1.701</v>
      </c>
      <c r="BE77">
        <f t="shared" si="63"/>
        <v>0</v>
      </c>
      <c r="BF77">
        <f t="shared" si="63"/>
        <v>0</v>
      </c>
      <c r="BG77">
        <f t="shared" si="63"/>
        <v>0</v>
      </c>
      <c r="BH77">
        <f t="shared" si="63"/>
        <v>0</v>
      </c>
      <c r="BI77">
        <f t="shared" si="63"/>
        <v>0</v>
      </c>
      <c r="BJ77">
        <f t="shared" si="63"/>
        <v>0</v>
      </c>
      <c r="BK77">
        <f t="shared" si="63"/>
        <v>0</v>
      </c>
      <c r="BL77">
        <f t="shared" si="63"/>
        <v>0</v>
      </c>
      <c r="BM77">
        <f t="shared" si="63"/>
        <v>0</v>
      </c>
      <c r="BN77">
        <f t="shared" si="63"/>
        <v>0</v>
      </c>
      <c r="BO77">
        <f t="shared" si="63"/>
        <v>0</v>
      </c>
      <c r="BP77">
        <f t="shared" si="63"/>
        <v>0</v>
      </c>
      <c r="BQ77">
        <f t="shared" si="63"/>
        <v>0</v>
      </c>
      <c r="BR77">
        <f t="shared" si="63"/>
        <v>0</v>
      </c>
      <c r="BS77">
        <f t="shared" si="63"/>
        <v>0</v>
      </c>
      <c r="BT77">
        <f t="shared" si="63"/>
        <v>0</v>
      </c>
      <c r="BU77">
        <f t="shared" si="63"/>
        <v>0</v>
      </c>
      <c r="BV77">
        <f t="shared" si="63"/>
        <v>0</v>
      </c>
      <c r="BW77">
        <f t="shared" si="63"/>
        <v>0</v>
      </c>
      <c r="BX77">
        <f t="shared" si="63"/>
        <v>0</v>
      </c>
      <c r="BY77">
        <f t="shared" si="63"/>
        <v>0</v>
      </c>
      <c r="BZ77">
        <f t="shared" si="63"/>
        <v>0</v>
      </c>
      <c r="CA77">
        <f t="shared" si="63"/>
        <v>0</v>
      </c>
      <c r="CB77">
        <f t="shared" si="63"/>
        <v>0</v>
      </c>
      <c r="CC77">
        <f t="shared" si="63"/>
        <v>0</v>
      </c>
      <c r="CD77">
        <f t="shared" si="63"/>
        <v>0</v>
      </c>
      <c r="CE77">
        <f t="shared" si="63"/>
        <v>0</v>
      </c>
      <c r="CG77" s="6">
        <v>2012</v>
      </c>
      <c r="CH77" s="6" t="s">
        <v>77</v>
      </c>
      <c r="CI77" s="6">
        <v>0.009</v>
      </c>
      <c r="CJ77" s="6">
        <v>0.007</v>
      </c>
      <c r="CK77" s="6" t="s">
        <v>595</v>
      </c>
      <c r="CL77" s="6" t="s">
        <v>596</v>
      </c>
      <c r="CM77" s="6" t="s">
        <v>597</v>
      </c>
    </row>
    <row r="78" spans="4:91">
      <c r="D78">
        <f t="shared" si="53"/>
        <v>2012</v>
      </c>
      <c r="E78" t="s">
        <v>73</v>
      </c>
      <c r="F78" s="1">
        <f t="shared" si="11"/>
        <v>1.8e-5</v>
      </c>
      <c r="G78" s="1">
        <f t="shared" si="12"/>
        <v>1.8e-5</v>
      </c>
      <c r="H78" s="1">
        <f t="shared" si="13"/>
        <v>0.000603</v>
      </c>
      <c r="I78" s="1">
        <f t="shared" si="14"/>
        <v>0.001908</v>
      </c>
      <c r="J78" s="1">
        <f t="shared" si="15"/>
        <v>0.000225</v>
      </c>
      <c r="K78" s="1">
        <f t="shared" si="16"/>
        <v>0.008784</v>
      </c>
      <c r="L78" s="1">
        <f t="shared" si="17"/>
        <v>5.4e-5</v>
      </c>
      <c r="M78" s="1">
        <f t="shared" si="6"/>
        <v>0.022959</v>
      </c>
      <c r="N78" s="1">
        <f t="shared" si="18"/>
        <v>0.000171</v>
      </c>
      <c r="O78" s="1">
        <f t="shared" si="19"/>
        <v>0.000198</v>
      </c>
      <c r="P78" s="1">
        <f t="shared" si="20"/>
        <v>0.011538</v>
      </c>
      <c r="Q78" s="1">
        <f t="shared" si="21"/>
        <v>0.010359</v>
      </c>
      <c r="R78" s="1">
        <f t="shared" si="22"/>
        <v>3.6e-5</v>
      </c>
      <c r="S78" s="1">
        <f t="shared" si="23"/>
        <v>0.00045</v>
      </c>
      <c r="T78" s="1">
        <f t="shared" si="24"/>
        <v>0.000756</v>
      </c>
      <c r="U78" s="1">
        <f t="shared" si="25"/>
        <v>0</v>
      </c>
      <c r="V78" s="1">
        <f t="shared" si="26"/>
        <v>0.000468</v>
      </c>
      <c r="W78" s="1">
        <f t="shared" si="27"/>
        <v>0.001287</v>
      </c>
      <c r="X78" s="1">
        <f t="shared" si="28"/>
        <v>0.006498</v>
      </c>
      <c r="Y78" s="1">
        <f t="shared" si="29"/>
        <v>0.000153</v>
      </c>
      <c r="Z78" s="1">
        <f t="shared" si="30"/>
        <v>0.000225</v>
      </c>
      <c r="AA78" s="1">
        <f t="shared" si="31"/>
        <v>0.398331</v>
      </c>
      <c r="AB78" s="1">
        <f t="shared" si="32"/>
        <v>0.033192</v>
      </c>
      <c r="AC78" s="1">
        <f t="shared" si="33"/>
        <v>0.000171</v>
      </c>
      <c r="AD78" s="1">
        <f t="shared" si="34"/>
        <v>0.009711</v>
      </c>
      <c r="AE78" s="1">
        <f t="shared" si="35"/>
        <v>0.000297</v>
      </c>
      <c r="AF78" s="1">
        <f t="shared" si="36"/>
        <v>9e-6</v>
      </c>
      <c r="AG78" s="1">
        <f t="shared" si="37"/>
        <v>5.4e-5</v>
      </c>
      <c r="AH78" s="1">
        <f t="shared" si="38"/>
        <v>0.002835</v>
      </c>
      <c r="AI78" s="1">
        <f t="shared" si="39"/>
        <v>0.004815</v>
      </c>
      <c r="AJ78" s="1">
        <f t="shared" si="40"/>
        <v>0.001872</v>
      </c>
      <c r="AK78" s="1">
        <f t="shared" si="41"/>
        <v>5.4e-5</v>
      </c>
      <c r="AL78" s="1">
        <f t="shared" si="42"/>
        <v>0.00873</v>
      </c>
      <c r="AM78" s="1">
        <f t="shared" si="43"/>
        <v>0.000333</v>
      </c>
      <c r="AN78" s="1">
        <f t="shared" si="44"/>
        <v>2.7e-5</v>
      </c>
      <c r="AQ78" s="6">
        <v>2012</v>
      </c>
      <c r="AR78" s="6" t="s">
        <v>73</v>
      </c>
      <c r="AS78" s="6">
        <v>0.009</v>
      </c>
      <c r="AT78" s="6" t="s">
        <v>568</v>
      </c>
      <c r="AU78" s="6" t="s">
        <v>594</v>
      </c>
      <c r="AV78" t="str">
        <f t="shared" si="51"/>
        <v>Tra_EV_Batt-LMO_virgin</v>
      </c>
      <c r="AW78">
        <f t="shared" ref="AW78:CE78" si="64" xml:space="preserve">AW57</f>
        <v>0.002</v>
      </c>
      <c r="AX78">
        <f t="shared" si="64"/>
        <v>0.002</v>
      </c>
      <c r="AY78">
        <f t="shared" si="64"/>
        <v>0.067</v>
      </c>
      <c r="AZ78">
        <f t="shared" si="64"/>
        <v>0.212</v>
      </c>
      <c r="BA78">
        <f t="shared" si="64"/>
        <v>0.025</v>
      </c>
      <c r="BB78">
        <f t="shared" si="64"/>
        <v>0.976</v>
      </c>
      <c r="BC78">
        <f t="shared" si="64"/>
        <v>0.006</v>
      </c>
      <c r="BD78">
        <f t="shared" si="64"/>
        <v>2.551</v>
      </c>
      <c r="BE78">
        <f t="shared" si="64"/>
        <v>0.019</v>
      </c>
      <c r="BF78">
        <f t="shared" si="64"/>
        <v>0.022</v>
      </c>
      <c r="BG78">
        <f t="shared" si="64"/>
        <v>1.282</v>
      </c>
      <c r="BH78">
        <f t="shared" si="64"/>
        <v>1.151</v>
      </c>
      <c r="BI78">
        <f t="shared" si="64"/>
        <v>0.004</v>
      </c>
      <c r="BJ78">
        <f t="shared" si="64"/>
        <v>0.05</v>
      </c>
      <c r="BK78">
        <f t="shared" si="64"/>
        <v>0.084</v>
      </c>
      <c r="BL78">
        <f t="shared" si="64"/>
        <v>0</v>
      </c>
      <c r="BM78">
        <f t="shared" si="64"/>
        <v>0.052</v>
      </c>
      <c r="BN78">
        <f t="shared" si="64"/>
        <v>0.143</v>
      </c>
      <c r="BO78">
        <f t="shared" si="64"/>
        <v>0.722</v>
      </c>
      <c r="BP78">
        <f t="shared" si="64"/>
        <v>0.017</v>
      </c>
      <c r="BQ78">
        <f t="shared" si="64"/>
        <v>0.025</v>
      </c>
      <c r="BR78">
        <f t="shared" si="64"/>
        <v>44.259</v>
      </c>
      <c r="BS78">
        <f t="shared" si="64"/>
        <v>3.688</v>
      </c>
      <c r="BT78">
        <f t="shared" si="64"/>
        <v>0.019</v>
      </c>
      <c r="BU78">
        <f t="shared" si="64"/>
        <v>1.079</v>
      </c>
      <c r="BV78">
        <f t="shared" si="64"/>
        <v>0.033</v>
      </c>
      <c r="BW78">
        <f t="shared" si="64"/>
        <v>0.001</v>
      </c>
      <c r="BX78">
        <f t="shared" si="64"/>
        <v>0.006</v>
      </c>
      <c r="BY78">
        <f t="shared" si="64"/>
        <v>0.315</v>
      </c>
      <c r="BZ78">
        <f t="shared" si="64"/>
        <v>0.535</v>
      </c>
      <c r="CA78">
        <f t="shared" si="64"/>
        <v>0.208</v>
      </c>
      <c r="CB78">
        <f t="shared" si="64"/>
        <v>0.006</v>
      </c>
      <c r="CC78">
        <f t="shared" si="64"/>
        <v>0.97</v>
      </c>
      <c r="CD78">
        <f t="shared" si="64"/>
        <v>0.037</v>
      </c>
      <c r="CE78">
        <f t="shared" si="64"/>
        <v>0.003</v>
      </c>
      <c r="CG78" s="6">
        <v>2012</v>
      </c>
      <c r="CH78" s="6" t="s">
        <v>73</v>
      </c>
      <c r="CI78" s="6">
        <v>0.009</v>
      </c>
      <c r="CJ78" s="6">
        <v>0.007</v>
      </c>
      <c r="CK78" s="6" t="s">
        <v>595</v>
      </c>
      <c r="CL78" s="6" t="s">
        <v>596</v>
      </c>
      <c r="CM78" s="6" t="s">
        <v>597</v>
      </c>
    </row>
    <row r="79" spans="4:91">
      <c r="D79">
        <f t="shared" si="53"/>
        <v>2012</v>
      </c>
      <c r="E79" t="s">
        <v>81</v>
      </c>
      <c r="F79" s="1">
        <f t="shared" si="11"/>
        <v>1.8e-5</v>
      </c>
      <c r="G79" s="1">
        <f t="shared" si="12"/>
        <v>1.8e-5</v>
      </c>
      <c r="H79" s="1">
        <f t="shared" si="13"/>
        <v>0.000603</v>
      </c>
      <c r="I79" s="1">
        <f t="shared" si="14"/>
        <v>0.002097</v>
      </c>
      <c r="J79" s="1">
        <f t="shared" si="15"/>
        <v>0.000225</v>
      </c>
      <c r="K79" s="1">
        <f t="shared" si="16"/>
        <v>0.009369</v>
      </c>
      <c r="L79" s="1">
        <f t="shared" si="17"/>
        <v>5.4e-5</v>
      </c>
      <c r="M79" s="1">
        <f t="shared" si="6"/>
        <v>0.015309</v>
      </c>
      <c r="N79" s="1">
        <f t="shared" si="18"/>
        <v>0.000171</v>
      </c>
      <c r="O79" s="1">
        <f t="shared" si="19"/>
        <v>0.000261</v>
      </c>
      <c r="P79" s="1">
        <f t="shared" si="20"/>
        <v>0.016731</v>
      </c>
      <c r="Q79" s="1">
        <f t="shared" si="21"/>
        <v>0.012456</v>
      </c>
      <c r="R79" s="1">
        <f t="shared" si="22"/>
        <v>3.6e-5</v>
      </c>
      <c r="S79" s="1">
        <f t="shared" si="23"/>
        <v>0.000513</v>
      </c>
      <c r="T79" s="1">
        <f t="shared" si="24"/>
        <v>0.000756</v>
      </c>
      <c r="U79" s="1">
        <f t="shared" si="25"/>
        <v>0.000378</v>
      </c>
      <c r="V79" s="1">
        <f t="shared" si="26"/>
        <v>0.000504</v>
      </c>
      <c r="W79" s="1">
        <f t="shared" si="27"/>
        <v>0.001602</v>
      </c>
      <c r="X79" s="1">
        <f t="shared" si="28"/>
        <v>0.036756</v>
      </c>
      <c r="Y79" s="1">
        <f t="shared" si="29"/>
        <v>0.000189</v>
      </c>
      <c r="Z79" s="1">
        <f t="shared" si="30"/>
        <v>0.000225</v>
      </c>
      <c r="AA79" s="1">
        <f t="shared" si="31"/>
        <v>0.068067</v>
      </c>
      <c r="AB79" s="1">
        <f t="shared" si="32"/>
        <v>0.019575</v>
      </c>
      <c r="AC79" s="1">
        <f t="shared" si="33"/>
        <v>0.000225</v>
      </c>
      <c r="AD79" s="1">
        <f t="shared" si="34"/>
        <v>0.002133</v>
      </c>
      <c r="AE79" s="1">
        <f t="shared" si="35"/>
        <v>0.000297</v>
      </c>
      <c r="AF79" s="1">
        <f t="shared" si="36"/>
        <v>9e-6</v>
      </c>
      <c r="AG79" s="1">
        <f t="shared" si="37"/>
        <v>5.4e-5</v>
      </c>
      <c r="AH79" s="1">
        <f t="shared" si="38"/>
        <v>0.003195</v>
      </c>
      <c r="AI79" s="1">
        <f t="shared" si="39"/>
        <v>0.005409</v>
      </c>
      <c r="AJ79" s="1">
        <f t="shared" si="40"/>
        <v>0.002061</v>
      </c>
      <c r="AK79" s="1">
        <f t="shared" si="41"/>
        <v>5.4e-5</v>
      </c>
      <c r="AL79" s="1">
        <f t="shared" si="42"/>
        <v>0.009684</v>
      </c>
      <c r="AM79" s="1">
        <f t="shared" si="43"/>
        <v>0.001845</v>
      </c>
      <c r="AN79" s="1">
        <f t="shared" si="44"/>
        <v>2.7e-5</v>
      </c>
      <c r="AQ79" s="6">
        <v>2012</v>
      </c>
      <c r="AR79" s="6" t="s">
        <v>81</v>
      </c>
      <c r="AS79" s="6">
        <v>0.009</v>
      </c>
      <c r="AT79" s="6" t="s">
        <v>568</v>
      </c>
      <c r="AU79" s="6" t="s">
        <v>594</v>
      </c>
      <c r="AV79" t="str">
        <f t="shared" si="51"/>
        <v>Tra_EV_Batt-NMC111_virgin</v>
      </c>
      <c r="AW79">
        <f t="shared" ref="AW79:CE79" si="65" xml:space="preserve">AW58</f>
        <v>0.002</v>
      </c>
      <c r="AX79">
        <f t="shared" si="65"/>
        <v>0.002</v>
      </c>
      <c r="AY79">
        <f t="shared" si="65"/>
        <v>0.067</v>
      </c>
      <c r="AZ79">
        <f t="shared" si="65"/>
        <v>0.233</v>
      </c>
      <c r="BA79">
        <f t="shared" si="65"/>
        <v>0.025</v>
      </c>
      <c r="BB79">
        <f t="shared" si="65"/>
        <v>1.041</v>
      </c>
      <c r="BC79">
        <f t="shared" si="65"/>
        <v>0.006</v>
      </c>
      <c r="BD79">
        <f t="shared" si="65"/>
        <v>1.701</v>
      </c>
      <c r="BE79">
        <f t="shared" si="65"/>
        <v>0.019</v>
      </c>
      <c r="BF79">
        <f t="shared" si="65"/>
        <v>0.029</v>
      </c>
      <c r="BG79">
        <f t="shared" si="65"/>
        <v>1.859</v>
      </c>
      <c r="BH79">
        <f t="shared" si="65"/>
        <v>1.384</v>
      </c>
      <c r="BI79">
        <f t="shared" si="65"/>
        <v>0.004</v>
      </c>
      <c r="BJ79">
        <f t="shared" si="65"/>
        <v>0.057</v>
      </c>
      <c r="BK79">
        <f t="shared" si="65"/>
        <v>0.084</v>
      </c>
      <c r="BL79">
        <f t="shared" si="65"/>
        <v>0.042</v>
      </c>
      <c r="BM79">
        <f t="shared" si="65"/>
        <v>0.056</v>
      </c>
      <c r="BN79">
        <f t="shared" si="65"/>
        <v>0.178</v>
      </c>
      <c r="BO79">
        <f t="shared" si="65"/>
        <v>4.084</v>
      </c>
      <c r="BP79">
        <f t="shared" si="65"/>
        <v>0.021</v>
      </c>
      <c r="BQ79">
        <f t="shared" si="65"/>
        <v>0.025</v>
      </c>
      <c r="BR79">
        <f t="shared" si="65"/>
        <v>7.563</v>
      </c>
      <c r="BS79">
        <f t="shared" si="65"/>
        <v>2.175</v>
      </c>
      <c r="BT79">
        <f t="shared" si="65"/>
        <v>0.025</v>
      </c>
      <c r="BU79">
        <f t="shared" si="65"/>
        <v>0.237</v>
      </c>
      <c r="BV79">
        <f t="shared" si="65"/>
        <v>0.033</v>
      </c>
      <c r="BW79">
        <f t="shared" si="65"/>
        <v>0.001</v>
      </c>
      <c r="BX79">
        <f t="shared" si="65"/>
        <v>0.006</v>
      </c>
      <c r="BY79">
        <f t="shared" si="65"/>
        <v>0.355</v>
      </c>
      <c r="BZ79">
        <f t="shared" si="65"/>
        <v>0.601</v>
      </c>
      <c r="CA79">
        <f t="shared" si="65"/>
        <v>0.229</v>
      </c>
      <c r="CB79">
        <f t="shared" si="65"/>
        <v>0.006</v>
      </c>
      <c r="CC79">
        <f t="shared" si="65"/>
        <v>1.076</v>
      </c>
      <c r="CD79">
        <f t="shared" si="65"/>
        <v>0.205</v>
      </c>
      <c r="CE79">
        <f t="shared" si="65"/>
        <v>0.003</v>
      </c>
      <c r="CG79" s="6">
        <v>2012</v>
      </c>
      <c r="CH79" s="6" t="s">
        <v>81</v>
      </c>
      <c r="CI79" s="6">
        <v>0.009</v>
      </c>
      <c r="CJ79" s="6">
        <v>0.007</v>
      </c>
      <c r="CK79" s="6" t="s">
        <v>595</v>
      </c>
      <c r="CL79" s="6" t="s">
        <v>596</v>
      </c>
      <c r="CM79" s="6" t="s">
        <v>597</v>
      </c>
    </row>
    <row r="80" spans="4:91">
      <c r="D80">
        <f t="shared" si="53"/>
        <v>2012</v>
      </c>
      <c r="E80" t="s">
        <v>69</v>
      </c>
      <c r="F80" s="1">
        <f t="shared" si="11"/>
        <v>0</v>
      </c>
      <c r="G80" s="1">
        <f t="shared" si="12"/>
        <v>0</v>
      </c>
      <c r="H80" s="1">
        <f t="shared" si="13"/>
        <v>3.6e-5</v>
      </c>
      <c r="I80" s="1">
        <f t="shared" si="14"/>
        <v>9e-5</v>
      </c>
      <c r="J80" s="1">
        <f t="shared" si="15"/>
        <v>3.6e-5</v>
      </c>
      <c r="K80" s="1">
        <f t="shared" si="16"/>
        <v>0.000936</v>
      </c>
      <c r="L80" s="1">
        <f t="shared" si="17"/>
        <v>9e-5</v>
      </c>
      <c r="M80" s="1">
        <f t="shared" si="6"/>
        <v>1.100142</v>
      </c>
      <c r="N80" s="1">
        <f t="shared" si="18"/>
        <v>0</v>
      </c>
      <c r="O80" s="1">
        <f t="shared" si="19"/>
        <v>9e-5</v>
      </c>
      <c r="P80" s="1">
        <f t="shared" si="20"/>
        <v>0.000567</v>
      </c>
      <c r="Q80" s="1">
        <f t="shared" si="21"/>
        <v>0.000468</v>
      </c>
      <c r="R80" s="1">
        <f t="shared" si="22"/>
        <v>0</v>
      </c>
      <c r="S80" s="1">
        <f t="shared" si="23"/>
        <v>9e-5</v>
      </c>
      <c r="T80" s="1">
        <f t="shared" si="24"/>
        <v>0</v>
      </c>
      <c r="U80" s="1">
        <f t="shared" si="25"/>
        <v>0.001125</v>
      </c>
      <c r="V80" s="1">
        <f t="shared" si="26"/>
        <v>0</v>
      </c>
      <c r="W80" s="1">
        <f t="shared" si="27"/>
        <v>0.000189</v>
      </c>
      <c r="X80" s="1">
        <f t="shared" si="28"/>
        <v>9e-5</v>
      </c>
      <c r="Y80" s="1">
        <f t="shared" si="29"/>
        <v>0.000423</v>
      </c>
      <c r="Z80" s="1">
        <f t="shared" si="30"/>
        <v>3.6e-5</v>
      </c>
      <c r="AA80" s="1">
        <f t="shared" si="31"/>
        <v>0.001323</v>
      </c>
      <c r="AB80" s="1">
        <f t="shared" si="32"/>
        <v>0.000189</v>
      </c>
      <c r="AC80" s="1">
        <f t="shared" si="33"/>
        <v>0.000513</v>
      </c>
      <c r="AD80" s="1">
        <f t="shared" si="34"/>
        <v>0.000567</v>
      </c>
      <c r="AE80" s="1">
        <f t="shared" si="35"/>
        <v>0.00018</v>
      </c>
      <c r="AF80" s="1">
        <f t="shared" si="36"/>
        <v>0</v>
      </c>
      <c r="AG80" s="1">
        <f t="shared" si="37"/>
        <v>0</v>
      </c>
      <c r="AH80" s="1">
        <f t="shared" si="38"/>
        <v>0.000279</v>
      </c>
      <c r="AI80" s="1">
        <f t="shared" si="39"/>
        <v>0.000567</v>
      </c>
      <c r="AJ80" s="1">
        <f t="shared" si="40"/>
        <v>9e-5</v>
      </c>
      <c r="AK80" s="1">
        <f t="shared" si="41"/>
        <v>9e-5</v>
      </c>
      <c r="AL80" s="1">
        <f t="shared" si="42"/>
        <v>0.000756</v>
      </c>
      <c r="AM80" s="1">
        <f t="shared" si="43"/>
        <v>0</v>
      </c>
      <c r="AN80" s="1">
        <f t="shared" si="44"/>
        <v>0</v>
      </c>
      <c r="AQ80" s="6">
        <v>2012</v>
      </c>
      <c r="AR80" s="6" t="s">
        <v>69</v>
      </c>
      <c r="AS80" s="6">
        <v>0.009</v>
      </c>
      <c r="AT80" s="6" t="s">
        <v>568</v>
      </c>
      <c r="AU80" s="6" t="s">
        <v>594</v>
      </c>
      <c r="AV80" t="str">
        <f t="shared" si="51"/>
        <v>Tra_EV_Batt-LFP_virgin_pack</v>
      </c>
      <c r="AW80">
        <f t="shared" ref="AW80:CE80" si="66" xml:space="preserve">AW59</f>
        <v>0</v>
      </c>
      <c r="AX80">
        <f t="shared" si="66"/>
        <v>0</v>
      </c>
      <c r="AY80">
        <f t="shared" si="66"/>
        <v>0.004</v>
      </c>
      <c r="AZ80">
        <f t="shared" si="66"/>
        <v>0.01</v>
      </c>
      <c r="BA80">
        <f t="shared" si="66"/>
        <v>0.004</v>
      </c>
      <c r="BB80">
        <f t="shared" si="66"/>
        <v>0.104</v>
      </c>
      <c r="BC80">
        <f t="shared" si="66"/>
        <v>0.01</v>
      </c>
      <c r="BD80">
        <f t="shared" si="66"/>
        <v>122.238</v>
      </c>
      <c r="BE80">
        <f t="shared" si="66"/>
        <v>0</v>
      </c>
      <c r="BF80">
        <f t="shared" si="66"/>
        <v>0.01</v>
      </c>
      <c r="BG80">
        <f t="shared" si="66"/>
        <v>0.063</v>
      </c>
      <c r="BH80">
        <f t="shared" si="66"/>
        <v>0.052</v>
      </c>
      <c r="BI80">
        <f t="shared" si="66"/>
        <v>0</v>
      </c>
      <c r="BJ80">
        <f t="shared" si="66"/>
        <v>0.01</v>
      </c>
      <c r="BK80">
        <f t="shared" si="66"/>
        <v>0</v>
      </c>
      <c r="BL80">
        <f t="shared" si="66"/>
        <v>0.125</v>
      </c>
      <c r="BM80">
        <f t="shared" si="66"/>
        <v>0</v>
      </c>
      <c r="BN80">
        <f t="shared" si="66"/>
        <v>0.021</v>
      </c>
      <c r="BO80">
        <f t="shared" si="66"/>
        <v>0.01</v>
      </c>
      <c r="BP80">
        <f t="shared" si="66"/>
        <v>0.047</v>
      </c>
      <c r="BQ80">
        <f t="shared" si="66"/>
        <v>0.004</v>
      </c>
      <c r="BR80">
        <f t="shared" si="66"/>
        <v>0.147</v>
      </c>
      <c r="BS80">
        <f t="shared" si="66"/>
        <v>0.021</v>
      </c>
      <c r="BT80">
        <f t="shared" si="66"/>
        <v>0.057</v>
      </c>
      <c r="BU80">
        <f t="shared" si="66"/>
        <v>0.063</v>
      </c>
      <c r="BV80">
        <f t="shared" si="66"/>
        <v>0.02</v>
      </c>
      <c r="BW80">
        <f t="shared" si="66"/>
        <v>0</v>
      </c>
      <c r="BX80">
        <f t="shared" si="66"/>
        <v>0</v>
      </c>
      <c r="BY80">
        <f t="shared" si="66"/>
        <v>0.031</v>
      </c>
      <c r="BZ80">
        <f t="shared" si="66"/>
        <v>0.063</v>
      </c>
      <c r="CA80">
        <f t="shared" si="66"/>
        <v>0.01</v>
      </c>
      <c r="CB80">
        <f t="shared" si="66"/>
        <v>0.01</v>
      </c>
      <c r="CC80">
        <f t="shared" si="66"/>
        <v>0.084</v>
      </c>
      <c r="CD80">
        <f t="shared" si="66"/>
        <v>0</v>
      </c>
      <c r="CE80">
        <f t="shared" si="66"/>
        <v>0</v>
      </c>
      <c r="CG80" s="6">
        <v>2012</v>
      </c>
      <c r="CH80" s="6" t="s">
        <v>69</v>
      </c>
      <c r="CI80" s="6">
        <v>0.009</v>
      </c>
      <c r="CJ80" s="6">
        <v>0.007</v>
      </c>
      <c r="CK80" s="6" t="s">
        <v>595</v>
      </c>
      <c r="CL80" s="6" t="s">
        <v>596</v>
      </c>
      <c r="CM80" s="6" t="s">
        <v>597</v>
      </c>
    </row>
    <row r="81" spans="4:91">
      <c r="D81">
        <f t="shared" si="53"/>
        <v>2012</v>
      </c>
      <c r="E81" t="s">
        <v>91</v>
      </c>
      <c r="F81" s="1">
        <f t="shared" si="11"/>
        <v>2.7e-5</v>
      </c>
      <c r="G81" s="1">
        <f t="shared" si="12"/>
        <v>2.7e-5</v>
      </c>
      <c r="H81" s="1">
        <f t="shared" si="13"/>
        <v>0.000918</v>
      </c>
      <c r="I81" s="1">
        <f t="shared" si="14"/>
        <v>0.003078</v>
      </c>
      <c r="J81" s="1">
        <f t="shared" si="15"/>
        <v>0.000351</v>
      </c>
      <c r="K81" s="1">
        <f t="shared" si="16"/>
        <v>0.014076</v>
      </c>
      <c r="L81" s="1">
        <f t="shared" si="17"/>
        <v>0.000108</v>
      </c>
      <c r="M81" s="1">
        <f t="shared" si="6"/>
        <v>0.18954</v>
      </c>
      <c r="N81" s="1">
        <f t="shared" si="18"/>
        <v>0.000252</v>
      </c>
      <c r="O81" s="1">
        <f t="shared" si="19"/>
        <v>0.000396</v>
      </c>
      <c r="P81" s="1">
        <f t="shared" si="20"/>
        <v>0.02268</v>
      </c>
      <c r="Q81" s="1">
        <f t="shared" si="21"/>
        <v>0.017793</v>
      </c>
      <c r="R81" s="1">
        <f t="shared" si="22"/>
        <v>5.4e-5</v>
      </c>
      <c r="S81" s="1">
        <f t="shared" si="23"/>
        <v>0.000765</v>
      </c>
      <c r="T81" s="1">
        <f t="shared" si="24"/>
        <v>0.001125</v>
      </c>
      <c r="U81" s="1">
        <f t="shared" si="25"/>
        <v>0.00063</v>
      </c>
      <c r="V81" s="1">
        <f t="shared" si="26"/>
        <v>0.000738</v>
      </c>
      <c r="W81" s="1">
        <f t="shared" si="27"/>
        <v>0.002304</v>
      </c>
      <c r="X81" s="1">
        <f t="shared" si="28"/>
        <v>0.020547</v>
      </c>
      <c r="Y81" s="1">
        <f t="shared" si="29"/>
        <v>0.000405</v>
      </c>
      <c r="Z81" s="1">
        <f t="shared" si="30"/>
        <v>0.000351</v>
      </c>
      <c r="AA81" s="1">
        <f t="shared" si="31"/>
        <v>0.062379</v>
      </c>
      <c r="AB81" s="1">
        <f t="shared" si="32"/>
        <v>0.024372</v>
      </c>
      <c r="AC81" s="1">
        <f t="shared" si="33"/>
        <v>0.000477</v>
      </c>
      <c r="AD81" s="1">
        <f t="shared" si="34"/>
        <v>0.004266</v>
      </c>
      <c r="AE81" s="1">
        <f t="shared" si="35"/>
        <v>0.000504</v>
      </c>
      <c r="AF81" s="1">
        <f t="shared" si="36"/>
        <v>1.8e-5</v>
      </c>
      <c r="AG81" s="1">
        <f t="shared" si="37"/>
        <v>8.1e-5</v>
      </c>
      <c r="AH81" s="1">
        <f t="shared" si="38"/>
        <v>0.004707</v>
      </c>
      <c r="AI81" s="1">
        <f t="shared" si="39"/>
        <v>0.00801</v>
      </c>
      <c r="AJ81" s="1">
        <f t="shared" si="40"/>
        <v>0.003033</v>
      </c>
      <c r="AK81" s="1">
        <f t="shared" si="41"/>
        <v>0.000108</v>
      </c>
      <c r="AL81" s="1">
        <f t="shared" si="42"/>
        <v>0.014301</v>
      </c>
      <c r="AM81" s="1">
        <f t="shared" si="43"/>
        <v>0.001008</v>
      </c>
      <c r="AN81" s="1">
        <f t="shared" si="44"/>
        <v>4.5e-5</v>
      </c>
      <c r="AQ81" s="6">
        <v>2012</v>
      </c>
      <c r="AR81" s="6" t="s">
        <v>91</v>
      </c>
      <c r="AS81" s="6">
        <v>0.009</v>
      </c>
      <c r="AT81" s="6" t="s">
        <v>568</v>
      </c>
      <c r="AU81" s="6" t="s">
        <v>594</v>
      </c>
      <c r="AV81" t="str">
        <f t="shared" si="51"/>
        <v>Tra_EV_Batt-NMC622_virgin_pack</v>
      </c>
      <c r="AW81">
        <f t="shared" ref="AW81:CE81" si="67" xml:space="preserve">AW60</f>
        <v>0.003</v>
      </c>
      <c r="AX81">
        <f t="shared" si="67"/>
        <v>0.003</v>
      </c>
      <c r="AY81">
        <f t="shared" si="67"/>
        <v>0.102</v>
      </c>
      <c r="AZ81">
        <f t="shared" si="67"/>
        <v>0.342</v>
      </c>
      <c r="BA81">
        <f t="shared" si="67"/>
        <v>0.039</v>
      </c>
      <c r="BB81">
        <f t="shared" si="67"/>
        <v>1.564</v>
      </c>
      <c r="BC81">
        <f t="shared" si="67"/>
        <v>0.012</v>
      </c>
      <c r="BD81">
        <f t="shared" si="67"/>
        <v>21.06</v>
      </c>
      <c r="BE81">
        <f t="shared" si="67"/>
        <v>0.028</v>
      </c>
      <c r="BF81">
        <f t="shared" si="67"/>
        <v>0.044</v>
      </c>
      <c r="BG81">
        <f t="shared" si="67"/>
        <v>2.52</v>
      </c>
      <c r="BH81">
        <f t="shared" si="67"/>
        <v>1.977</v>
      </c>
      <c r="BI81">
        <f t="shared" si="67"/>
        <v>0.006</v>
      </c>
      <c r="BJ81">
        <f t="shared" si="67"/>
        <v>0.085</v>
      </c>
      <c r="BK81">
        <f t="shared" si="67"/>
        <v>0.125</v>
      </c>
      <c r="BL81">
        <f t="shared" si="67"/>
        <v>0.07</v>
      </c>
      <c r="BM81">
        <f t="shared" si="67"/>
        <v>0.082</v>
      </c>
      <c r="BN81">
        <f t="shared" si="67"/>
        <v>0.256</v>
      </c>
      <c r="BO81">
        <f t="shared" si="67"/>
        <v>2.283</v>
      </c>
      <c r="BP81">
        <f t="shared" si="67"/>
        <v>0.045</v>
      </c>
      <c r="BQ81">
        <f t="shared" si="67"/>
        <v>0.039</v>
      </c>
      <c r="BR81">
        <f t="shared" si="67"/>
        <v>6.931</v>
      </c>
      <c r="BS81">
        <f t="shared" si="67"/>
        <v>2.708</v>
      </c>
      <c r="BT81">
        <f t="shared" si="67"/>
        <v>0.053</v>
      </c>
      <c r="BU81">
        <f t="shared" si="67"/>
        <v>0.474</v>
      </c>
      <c r="BV81">
        <f t="shared" si="67"/>
        <v>0.056</v>
      </c>
      <c r="BW81">
        <f t="shared" si="67"/>
        <v>0.002</v>
      </c>
      <c r="BX81">
        <f t="shared" si="67"/>
        <v>0.009</v>
      </c>
      <c r="BY81">
        <f t="shared" si="67"/>
        <v>0.523</v>
      </c>
      <c r="BZ81">
        <f t="shared" si="67"/>
        <v>0.89</v>
      </c>
      <c r="CA81">
        <f t="shared" si="67"/>
        <v>0.337</v>
      </c>
      <c r="CB81">
        <f t="shared" si="67"/>
        <v>0.012</v>
      </c>
      <c r="CC81">
        <f t="shared" si="67"/>
        <v>1.589</v>
      </c>
      <c r="CD81">
        <f t="shared" si="67"/>
        <v>0.112</v>
      </c>
      <c r="CE81">
        <f t="shared" si="67"/>
        <v>0.005</v>
      </c>
      <c r="CG81" s="6">
        <v>2012</v>
      </c>
      <c r="CH81" s="6" t="s">
        <v>91</v>
      </c>
      <c r="CI81" s="6">
        <v>0.009</v>
      </c>
      <c r="CJ81" s="6">
        <v>0.007</v>
      </c>
      <c r="CK81" s="6" t="s">
        <v>595</v>
      </c>
      <c r="CL81" s="6" t="s">
        <v>596</v>
      </c>
      <c r="CM81" s="6" t="s">
        <v>597</v>
      </c>
    </row>
    <row r="82" spans="4:91">
      <c r="D82">
        <f t="shared" si="53"/>
        <v>2012</v>
      </c>
      <c r="E82" t="s">
        <v>95</v>
      </c>
      <c r="F82" s="1">
        <f t="shared" si="11"/>
        <v>2.7e-5</v>
      </c>
      <c r="G82" s="1">
        <f t="shared" si="12"/>
        <v>2.7e-5</v>
      </c>
      <c r="H82" s="1">
        <f t="shared" si="13"/>
        <v>0.000765</v>
      </c>
      <c r="I82" s="1">
        <f t="shared" si="14"/>
        <v>0.002511</v>
      </c>
      <c r="J82" s="1">
        <f t="shared" si="15"/>
        <v>0.000297</v>
      </c>
      <c r="K82" s="1">
        <f t="shared" si="16"/>
        <v>0.011583</v>
      </c>
      <c r="L82" s="1">
        <f t="shared" si="17"/>
        <v>9e-5</v>
      </c>
      <c r="M82" s="1">
        <f t="shared" si="6"/>
        <v>0.410301</v>
      </c>
      <c r="N82" s="1">
        <f t="shared" si="18"/>
        <v>0.000216</v>
      </c>
      <c r="O82" s="1">
        <f t="shared" si="19"/>
        <v>0.000315</v>
      </c>
      <c r="P82" s="1">
        <f t="shared" si="20"/>
        <v>0.017199</v>
      </c>
      <c r="Q82" s="1">
        <f t="shared" si="21"/>
        <v>0.014157</v>
      </c>
      <c r="R82" s="1">
        <f t="shared" si="22"/>
        <v>4.5e-5</v>
      </c>
      <c r="S82" s="1">
        <f t="shared" si="23"/>
        <v>0.000621</v>
      </c>
      <c r="T82" s="1">
        <f t="shared" si="24"/>
        <v>0.000936</v>
      </c>
      <c r="U82" s="1">
        <f t="shared" si="25"/>
        <v>6.3e-5</v>
      </c>
      <c r="V82" s="1">
        <f t="shared" si="26"/>
        <v>0.000603</v>
      </c>
      <c r="W82" s="1">
        <f t="shared" si="27"/>
        <v>0.001827</v>
      </c>
      <c r="X82" s="1">
        <f t="shared" si="28"/>
        <v>0.003798</v>
      </c>
      <c r="Y82" s="1">
        <f t="shared" si="29"/>
        <v>0.000351</v>
      </c>
      <c r="Z82" s="1">
        <f t="shared" si="30"/>
        <v>0.000297</v>
      </c>
      <c r="AA82" s="1">
        <f t="shared" si="31"/>
        <v>0.043668</v>
      </c>
      <c r="AB82" s="1">
        <f t="shared" si="32"/>
        <v>0.014589</v>
      </c>
      <c r="AC82" s="1">
        <f t="shared" si="33"/>
        <v>0.000414</v>
      </c>
      <c r="AD82" s="1">
        <f t="shared" si="34"/>
        <v>0.013878</v>
      </c>
      <c r="AE82" s="1">
        <f t="shared" si="35"/>
        <v>0.000432</v>
      </c>
      <c r="AF82" s="1">
        <f t="shared" si="36"/>
        <v>9e-6</v>
      </c>
      <c r="AG82" s="1">
        <f t="shared" si="37"/>
        <v>6.3e-5</v>
      </c>
      <c r="AH82" s="1">
        <f t="shared" si="38"/>
        <v>0.003816</v>
      </c>
      <c r="AI82" s="1">
        <f t="shared" si="39"/>
        <v>0.006507</v>
      </c>
      <c r="AJ82" s="1">
        <f t="shared" si="40"/>
        <v>0.002475</v>
      </c>
      <c r="AK82" s="1">
        <f t="shared" si="41"/>
        <v>9.9e-5</v>
      </c>
      <c r="AL82" s="1">
        <f t="shared" si="42"/>
        <v>0.011637</v>
      </c>
      <c r="AM82" s="1">
        <f t="shared" si="43"/>
        <v>0.000171</v>
      </c>
      <c r="AN82" s="1">
        <f t="shared" si="44"/>
        <v>3.6e-5</v>
      </c>
      <c r="AQ82" s="6">
        <v>2012</v>
      </c>
      <c r="AR82" s="6" t="s">
        <v>95</v>
      </c>
      <c r="AS82" s="6">
        <v>0.009</v>
      </c>
      <c r="AT82" s="6" t="s">
        <v>568</v>
      </c>
      <c r="AU82" s="6" t="s">
        <v>594</v>
      </c>
      <c r="AV82" t="str">
        <f t="shared" si="51"/>
        <v>Tra_EV_Batt-NMC811_virgin_pack</v>
      </c>
      <c r="AW82">
        <f t="shared" ref="AW82:CE82" si="68" xml:space="preserve">AW61</f>
        <v>0.003</v>
      </c>
      <c r="AX82">
        <f t="shared" si="68"/>
        <v>0.003</v>
      </c>
      <c r="AY82">
        <f t="shared" si="68"/>
        <v>0.085</v>
      </c>
      <c r="AZ82">
        <f t="shared" si="68"/>
        <v>0.279</v>
      </c>
      <c r="BA82">
        <f t="shared" si="68"/>
        <v>0.033</v>
      </c>
      <c r="BB82">
        <f t="shared" si="68"/>
        <v>1.287</v>
      </c>
      <c r="BC82">
        <f t="shared" si="68"/>
        <v>0.01</v>
      </c>
      <c r="BD82">
        <f t="shared" si="68"/>
        <v>45.589</v>
      </c>
      <c r="BE82">
        <f t="shared" si="68"/>
        <v>0.024</v>
      </c>
      <c r="BF82">
        <f t="shared" si="68"/>
        <v>0.035</v>
      </c>
      <c r="BG82">
        <f t="shared" si="68"/>
        <v>1.911</v>
      </c>
      <c r="BH82">
        <f t="shared" si="68"/>
        <v>1.573</v>
      </c>
      <c r="BI82">
        <f t="shared" si="68"/>
        <v>0.005</v>
      </c>
      <c r="BJ82">
        <f t="shared" si="68"/>
        <v>0.069</v>
      </c>
      <c r="BK82">
        <f t="shared" si="68"/>
        <v>0.104</v>
      </c>
      <c r="BL82">
        <f t="shared" si="68"/>
        <v>0.007</v>
      </c>
      <c r="BM82">
        <f t="shared" si="68"/>
        <v>0.067</v>
      </c>
      <c r="BN82">
        <f t="shared" si="68"/>
        <v>0.203</v>
      </c>
      <c r="BO82">
        <f t="shared" si="68"/>
        <v>0.422</v>
      </c>
      <c r="BP82">
        <f t="shared" si="68"/>
        <v>0.039</v>
      </c>
      <c r="BQ82">
        <f t="shared" si="68"/>
        <v>0.033</v>
      </c>
      <c r="BR82">
        <f t="shared" si="68"/>
        <v>4.852</v>
      </c>
      <c r="BS82">
        <f t="shared" si="68"/>
        <v>1.621</v>
      </c>
      <c r="BT82">
        <f t="shared" si="68"/>
        <v>0.046</v>
      </c>
      <c r="BU82">
        <f t="shared" si="68"/>
        <v>1.542</v>
      </c>
      <c r="BV82">
        <f t="shared" si="68"/>
        <v>0.048</v>
      </c>
      <c r="BW82">
        <f t="shared" si="68"/>
        <v>0.001</v>
      </c>
      <c r="BX82">
        <f t="shared" si="68"/>
        <v>0.007</v>
      </c>
      <c r="BY82">
        <f t="shared" si="68"/>
        <v>0.424</v>
      </c>
      <c r="BZ82">
        <f t="shared" si="68"/>
        <v>0.723</v>
      </c>
      <c r="CA82">
        <f t="shared" si="68"/>
        <v>0.275</v>
      </c>
      <c r="CB82">
        <f t="shared" si="68"/>
        <v>0.011</v>
      </c>
      <c r="CC82">
        <f t="shared" si="68"/>
        <v>1.293</v>
      </c>
      <c r="CD82">
        <f t="shared" si="68"/>
        <v>0.019</v>
      </c>
      <c r="CE82">
        <f t="shared" si="68"/>
        <v>0.004</v>
      </c>
      <c r="CG82" s="6">
        <v>2012</v>
      </c>
      <c r="CH82" s="6" t="s">
        <v>95</v>
      </c>
      <c r="CI82" s="6">
        <v>0.009</v>
      </c>
      <c r="CJ82" s="6">
        <v>0.007</v>
      </c>
      <c r="CK82" s="6" t="s">
        <v>595</v>
      </c>
      <c r="CL82" s="6" t="s">
        <v>596</v>
      </c>
      <c r="CM82" s="6" t="s">
        <v>597</v>
      </c>
    </row>
    <row r="83" spans="4:91">
      <c r="D83">
        <f t="shared" si="53"/>
        <v>2012</v>
      </c>
      <c r="E83" t="s">
        <v>87</v>
      </c>
      <c r="F83" s="1">
        <f t="shared" si="11"/>
        <v>9e-6</v>
      </c>
      <c r="G83" s="1">
        <f t="shared" si="12"/>
        <v>9e-6</v>
      </c>
      <c r="H83" s="1">
        <f t="shared" si="13"/>
        <v>0.000153</v>
      </c>
      <c r="I83" s="1">
        <f t="shared" si="14"/>
        <v>0.000477</v>
      </c>
      <c r="J83" s="1">
        <f t="shared" si="15"/>
        <v>5.4e-5</v>
      </c>
      <c r="K83" s="1">
        <f t="shared" si="16"/>
        <v>0.002196</v>
      </c>
      <c r="L83" s="1">
        <f t="shared" si="17"/>
        <v>9e-6</v>
      </c>
      <c r="M83" s="1">
        <f t="shared" si="6"/>
        <v>0.084519</v>
      </c>
      <c r="N83" s="1">
        <f t="shared" si="18"/>
        <v>4.5e-5</v>
      </c>
      <c r="O83" s="1">
        <f t="shared" si="19"/>
        <v>5.4e-5</v>
      </c>
      <c r="P83" s="1">
        <f t="shared" si="20"/>
        <v>0.00288</v>
      </c>
      <c r="Q83" s="1">
        <f t="shared" si="21"/>
        <v>0.002592</v>
      </c>
      <c r="R83" s="1">
        <f t="shared" si="22"/>
        <v>9e-6</v>
      </c>
      <c r="S83" s="1">
        <f t="shared" si="23"/>
        <v>0.000108</v>
      </c>
      <c r="T83" s="1">
        <f t="shared" si="24"/>
        <v>0.000189</v>
      </c>
      <c r="U83" s="1">
        <f t="shared" si="25"/>
        <v>0</v>
      </c>
      <c r="V83" s="1">
        <f t="shared" si="26"/>
        <v>0.000117</v>
      </c>
      <c r="W83" s="1">
        <f t="shared" si="27"/>
        <v>0.000324</v>
      </c>
      <c r="X83" s="1">
        <f t="shared" si="28"/>
        <v>0</v>
      </c>
      <c r="Y83" s="1">
        <f t="shared" si="29"/>
        <v>3.6e-5</v>
      </c>
      <c r="Z83" s="1">
        <f t="shared" si="30"/>
        <v>5.4e-5</v>
      </c>
      <c r="AA83" s="1">
        <f t="shared" si="31"/>
        <v>0.042894</v>
      </c>
      <c r="AB83" s="1">
        <f t="shared" si="32"/>
        <v>0.004743</v>
      </c>
      <c r="AC83" s="1">
        <f t="shared" si="33"/>
        <v>4.5e-5</v>
      </c>
      <c r="AD83" s="1">
        <f t="shared" si="34"/>
        <v>0.009711</v>
      </c>
      <c r="AE83" s="1">
        <f t="shared" si="35"/>
        <v>7.2e-5</v>
      </c>
      <c r="AF83" s="1">
        <f t="shared" si="36"/>
        <v>0</v>
      </c>
      <c r="AG83" s="1">
        <f t="shared" si="37"/>
        <v>9e-6</v>
      </c>
      <c r="AH83" s="1">
        <f t="shared" si="38"/>
        <v>0.000711</v>
      </c>
      <c r="AI83" s="1">
        <f t="shared" si="39"/>
        <v>0.001206</v>
      </c>
      <c r="AJ83" s="1">
        <f t="shared" si="40"/>
        <v>0.000468</v>
      </c>
      <c r="AK83" s="1">
        <f t="shared" si="41"/>
        <v>1.8e-5</v>
      </c>
      <c r="AL83" s="1">
        <f t="shared" si="42"/>
        <v>0.002187</v>
      </c>
      <c r="AM83" s="1">
        <f t="shared" si="43"/>
        <v>0</v>
      </c>
      <c r="AN83" s="1">
        <f t="shared" si="44"/>
        <v>9e-6</v>
      </c>
      <c r="AQ83" s="6">
        <v>2012</v>
      </c>
      <c r="AR83" s="6" t="s">
        <v>87</v>
      </c>
      <c r="AS83" s="6">
        <v>0.009</v>
      </c>
      <c r="AT83" s="6" t="s">
        <v>568</v>
      </c>
      <c r="AU83" s="6" t="s">
        <v>594</v>
      </c>
      <c r="AV83" t="str">
        <f t="shared" si="51"/>
        <v> Tra_EV_Batt-NMC532_virgin_pack</v>
      </c>
      <c r="AW83">
        <f t="shared" ref="AW83:CE83" si="69" xml:space="preserve">AW62</f>
        <v>0.001</v>
      </c>
      <c r="AX83">
        <f t="shared" si="69"/>
        <v>0.001</v>
      </c>
      <c r="AY83">
        <f t="shared" si="69"/>
        <v>0.017</v>
      </c>
      <c r="AZ83">
        <f t="shared" si="69"/>
        <v>0.053</v>
      </c>
      <c r="BA83">
        <f t="shared" si="69"/>
        <v>0.006</v>
      </c>
      <c r="BB83">
        <f t="shared" si="69"/>
        <v>0.244</v>
      </c>
      <c r="BC83">
        <f t="shared" si="69"/>
        <v>0.001</v>
      </c>
      <c r="BD83">
        <f t="shared" si="69"/>
        <v>9.391</v>
      </c>
      <c r="BE83">
        <f t="shared" si="69"/>
        <v>0.005</v>
      </c>
      <c r="BF83">
        <f t="shared" si="69"/>
        <v>0.006</v>
      </c>
      <c r="BG83">
        <f t="shared" si="69"/>
        <v>0.32</v>
      </c>
      <c r="BH83">
        <f t="shared" si="69"/>
        <v>0.288</v>
      </c>
      <c r="BI83">
        <f t="shared" si="69"/>
        <v>0.001</v>
      </c>
      <c r="BJ83">
        <f t="shared" si="69"/>
        <v>0.012</v>
      </c>
      <c r="BK83">
        <f t="shared" si="69"/>
        <v>0.021</v>
      </c>
      <c r="BL83">
        <f t="shared" si="69"/>
        <v>0</v>
      </c>
      <c r="BM83">
        <f t="shared" si="69"/>
        <v>0.013</v>
      </c>
      <c r="BN83">
        <f t="shared" si="69"/>
        <v>0.036</v>
      </c>
      <c r="BO83">
        <f t="shared" si="69"/>
        <v>0</v>
      </c>
      <c r="BP83">
        <f t="shared" si="69"/>
        <v>0.004</v>
      </c>
      <c r="BQ83">
        <f t="shared" si="69"/>
        <v>0.006</v>
      </c>
      <c r="BR83">
        <f t="shared" si="69"/>
        <v>4.766</v>
      </c>
      <c r="BS83">
        <f t="shared" si="69"/>
        <v>0.527</v>
      </c>
      <c r="BT83">
        <f t="shared" si="69"/>
        <v>0.005</v>
      </c>
      <c r="BU83">
        <f t="shared" si="69"/>
        <v>1.079</v>
      </c>
      <c r="BV83">
        <f t="shared" si="69"/>
        <v>0.008</v>
      </c>
      <c r="BW83">
        <f t="shared" si="69"/>
        <v>0</v>
      </c>
      <c r="BX83">
        <f t="shared" si="69"/>
        <v>0.001</v>
      </c>
      <c r="BY83">
        <f t="shared" si="69"/>
        <v>0.079</v>
      </c>
      <c r="BZ83">
        <f t="shared" si="69"/>
        <v>0.134</v>
      </c>
      <c r="CA83">
        <f t="shared" si="69"/>
        <v>0.052</v>
      </c>
      <c r="CB83">
        <f t="shared" si="69"/>
        <v>0.002</v>
      </c>
      <c r="CC83">
        <f t="shared" si="69"/>
        <v>0.243</v>
      </c>
      <c r="CD83">
        <f t="shared" si="69"/>
        <v>0</v>
      </c>
      <c r="CE83">
        <f t="shared" si="69"/>
        <v>0.001</v>
      </c>
      <c r="CG83" s="6">
        <v>2012</v>
      </c>
      <c r="CH83" s="6" t="s">
        <v>87</v>
      </c>
      <c r="CI83" s="6">
        <v>0.009</v>
      </c>
      <c r="CJ83" s="6">
        <v>0.007</v>
      </c>
      <c r="CK83" s="6" t="s">
        <v>595</v>
      </c>
      <c r="CL83" s="6" t="s">
        <v>596</v>
      </c>
      <c r="CM83" s="6" t="s">
        <v>597</v>
      </c>
    </row>
    <row r="84" spans="4:91">
      <c r="D84">
        <f t="shared" si="53"/>
        <v>2012</v>
      </c>
      <c r="E84" t="s">
        <v>78</v>
      </c>
      <c r="F84" s="1">
        <f t="shared" si="11"/>
        <v>0</v>
      </c>
      <c r="G84" s="1">
        <f t="shared" si="12"/>
        <v>0</v>
      </c>
      <c r="H84" s="1">
        <f t="shared" si="13"/>
        <v>0</v>
      </c>
      <c r="I84" s="1">
        <f t="shared" si="14"/>
        <v>0</v>
      </c>
      <c r="J84" s="1">
        <f t="shared" si="15"/>
        <v>0</v>
      </c>
      <c r="K84" s="1">
        <f t="shared" si="16"/>
        <v>0</v>
      </c>
      <c r="L84" s="1">
        <f t="shared" si="17"/>
        <v>0</v>
      </c>
      <c r="M84" s="1">
        <f t="shared" si="6"/>
        <v>0.015309</v>
      </c>
      <c r="N84" s="1">
        <f t="shared" si="18"/>
        <v>0</v>
      </c>
      <c r="O84" s="1">
        <f t="shared" si="19"/>
        <v>0</v>
      </c>
      <c r="P84" s="1">
        <f t="shared" si="20"/>
        <v>0</v>
      </c>
      <c r="Q84" s="1">
        <f t="shared" si="21"/>
        <v>0</v>
      </c>
      <c r="R84" s="1">
        <f t="shared" si="22"/>
        <v>0</v>
      </c>
      <c r="S84" s="1">
        <f t="shared" si="23"/>
        <v>0</v>
      </c>
      <c r="T84" s="1">
        <f t="shared" si="24"/>
        <v>0</v>
      </c>
      <c r="U84" s="1">
        <f t="shared" si="25"/>
        <v>0</v>
      </c>
      <c r="V84" s="1">
        <f t="shared" si="26"/>
        <v>0</v>
      </c>
      <c r="W84" s="1">
        <f t="shared" si="27"/>
        <v>0</v>
      </c>
      <c r="X84" s="1">
        <f t="shared" si="28"/>
        <v>0</v>
      </c>
      <c r="Y84" s="1">
        <f t="shared" si="29"/>
        <v>0</v>
      </c>
      <c r="Z84" s="1">
        <f t="shared" si="30"/>
        <v>0</v>
      </c>
      <c r="AA84" s="1">
        <f t="shared" si="31"/>
        <v>0</v>
      </c>
      <c r="AB84" s="1">
        <f t="shared" si="32"/>
        <v>0</v>
      </c>
      <c r="AC84" s="1">
        <f t="shared" si="33"/>
        <v>0</v>
      </c>
      <c r="AD84" s="1">
        <f t="shared" si="34"/>
        <v>0</v>
      </c>
      <c r="AE84" s="1">
        <f t="shared" si="35"/>
        <v>0</v>
      </c>
      <c r="AF84" s="1">
        <f t="shared" si="36"/>
        <v>0</v>
      </c>
      <c r="AG84" s="1">
        <f t="shared" si="37"/>
        <v>0</v>
      </c>
      <c r="AH84" s="1">
        <f t="shared" si="38"/>
        <v>0</v>
      </c>
      <c r="AI84" s="1">
        <f t="shared" si="39"/>
        <v>0</v>
      </c>
      <c r="AJ84" s="1">
        <f t="shared" si="40"/>
        <v>0</v>
      </c>
      <c r="AK84" s="1">
        <f t="shared" si="41"/>
        <v>0</v>
      </c>
      <c r="AL84" s="1">
        <f t="shared" si="42"/>
        <v>0</v>
      </c>
      <c r="AM84" s="1">
        <f t="shared" si="43"/>
        <v>0</v>
      </c>
      <c r="AN84" s="1">
        <f t="shared" si="44"/>
        <v>0</v>
      </c>
      <c r="AQ84" s="6">
        <v>2012</v>
      </c>
      <c r="AR84" s="6" t="s">
        <v>78</v>
      </c>
      <c r="AS84" s="6">
        <v>0.009</v>
      </c>
      <c r="AT84" s="6" t="s">
        <v>568</v>
      </c>
      <c r="AU84" s="6" t="s">
        <v>594</v>
      </c>
      <c r="AV84" t="str">
        <f t="shared" si="51"/>
        <v>Tra_EV_Batt-NCA_virgin_pack</v>
      </c>
      <c r="AW84">
        <f t="shared" ref="AW84:CE84" si="70" xml:space="preserve">AW63</f>
        <v>0</v>
      </c>
      <c r="AX84">
        <f t="shared" si="70"/>
        <v>0</v>
      </c>
      <c r="AY84">
        <f t="shared" si="70"/>
        <v>0</v>
      </c>
      <c r="AZ84">
        <f t="shared" si="70"/>
        <v>0</v>
      </c>
      <c r="BA84">
        <f t="shared" si="70"/>
        <v>0</v>
      </c>
      <c r="BB84">
        <f t="shared" si="70"/>
        <v>0</v>
      </c>
      <c r="BC84">
        <f t="shared" si="70"/>
        <v>0</v>
      </c>
      <c r="BD84">
        <f t="shared" si="70"/>
        <v>1.701</v>
      </c>
      <c r="BE84">
        <f t="shared" si="70"/>
        <v>0</v>
      </c>
      <c r="BF84">
        <f t="shared" si="70"/>
        <v>0</v>
      </c>
      <c r="BG84">
        <f t="shared" si="70"/>
        <v>0</v>
      </c>
      <c r="BH84">
        <f t="shared" si="70"/>
        <v>0</v>
      </c>
      <c r="BI84">
        <f t="shared" si="70"/>
        <v>0</v>
      </c>
      <c r="BJ84">
        <f t="shared" si="70"/>
        <v>0</v>
      </c>
      <c r="BK84">
        <f t="shared" si="70"/>
        <v>0</v>
      </c>
      <c r="BL84">
        <f t="shared" si="70"/>
        <v>0</v>
      </c>
      <c r="BM84">
        <f t="shared" si="70"/>
        <v>0</v>
      </c>
      <c r="BN84">
        <f t="shared" si="70"/>
        <v>0</v>
      </c>
      <c r="BO84">
        <f t="shared" si="70"/>
        <v>0</v>
      </c>
      <c r="BP84">
        <f t="shared" si="70"/>
        <v>0</v>
      </c>
      <c r="BQ84">
        <f t="shared" si="70"/>
        <v>0</v>
      </c>
      <c r="BR84">
        <f t="shared" si="70"/>
        <v>0</v>
      </c>
      <c r="BS84">
        <f t="shared" si="70"/>
        <v>0</v>
      </c>
      <c r="BT84">
        <f t="shared" si="70"/>
        <v>0</v>
      </c>
      <c r="BU84">
        <f t="shared" si="70"/>
        <v>0</v>
      </c>
      <c r="BV84">
        <f t="shared" si="70"/>
        <v>0</v>
      </c>
      <c r="BW84">
        <f t="shared" si="70"/>
        <v>0</v>
      </c>
      <c r="BX84">
        <f t="shared" si="70"/>
        <v>0</v>
      </c>
      <c r="BY84">
        <f t="shared" si="70"/>
        <v>0</v>
      </c>
      <c r="BZ84">
        <f t="shared" si="70"/>
        <v>0</v>
      </c>
      <c r="CA84">
        <f t="shared" si="70"/>
        <v>0</v>
      </c>
      <c r="CB84">
        <f t="shared" si="70"/>
        <v>0</v>
      </c>
      <c r="CC84">
        <f t="shared" si="70"/>
        <v>0</v>
      </c>
      <c r="CD84">
        <f t="shared" si="70"/>
        <v>0</v>
      </c>
      <c r="CE84">
        <f t="shared" si="70"/>
        <v>0</v>
      </c>
      <c r="CG84" s="6">
        <v>2012</v>
      </c>
      <c r="CH84" s="6" t="s">
        <v>78</v>
      </c>
      <c r="CI84" s="6">
        <v>0.009</v>
      </c>
      <c r="CJ84" s="6">
        <v>0.007</v>
      </c>
      <c r="CK84" s="6" t="s">
        <v>595</v>
      </c>
      <c r="CL84" s="6" t="s">
        <v>596</v>
      </c>
      <c r="CM84" s="6" t="s">
        <v>597</v>
      </c>
    </row>
    <row r="85" spans="4:91">
      <c r="D85">
        <f t="shared" si="53"/>
        <v>2012</v>
      </c>
      <c r="E85" t="s">
        <v>74</v>
      </c>
      <c r="F85" s="1">
        <f t="shared" si="11"/>
        <v>1.8e-5</v>
      </c>
      <c r="G85" s="1">
        <f t="shared" si="12"/>
        <v>1.8e-5</v>
      </c>
      <c r="H85" s="1">
        <f t="shared" si="13"/>
        <v>0.000603</v>
      </c>
      <c r="I85" s="1">
        <f t="shared" si="14"/>
        <v>0.001908</v>
      </c>
      <c r="J85" s="1">
        <f t="shared" si="15"/>
        <v>0.000225</v>
      </c>
      <c r="K85" s="1">
        <f t="shared" si="16"/>
        <v>0.008784</v>
      </c>
      <c r="L85" s="1">
        <f t="shared" si="17"/>
        <v>5.4e-5</v>
      </c>
      <c r="M85" s="1">
        <f t="shared" si="6"/>
        <v>0.022959</v>
      </c>
      <c r="N85" s="1">
        <f t="shared" si="18"/>
        <v>0.000171</v>
      </c>
      <c r="O85" s="1">
        <f t="shared" si="19"/>
        <v>0.000198</v>
      </c>
      <c r="P85" s="1">
        <f t="shared" si="20"/>
        <v>0.011538</v>
      </c>
      <c r="Q85" s="1">
        <f t="shared" si="21"/>
        <v>0.010359</v>
      </c>
      <c r="R85" s="1">
        <f t="shared" si="22"/>
        <v>3.6e-5</v>
      </c>
      <c r="S85" s="1">
        <f t="shared" si="23"/>
        <v>0.00045</v>
      </c>
      <c r="T85" s="1">
        <f t="shared" si="24"/>
        <v>0.000756</v>
      </c>
      <c r="U85" s="1">
        <f t="shared" si="25"/>
        <v>0</v>
      </c>
      <c r="V85" s="1">
        <f t="shared" si="26"/>
        <v>0.000468</v>
      </c>
      <c r="W85" s="1">
        <f t="shared" si="27"/>
        <v>0.001287</v>
      </c>
      <c r="X85" s="1">
        <f t="shared" si="28"/>
        <v>0.006498</v>
      </c>
      <c r="Y85" s="1">
        <f t="shared" si="29"/>
        <v>0.000153</v>
      </c>
      <c r="Z85" s="1">
        <f t="shared" si="30"/>
        <v>0.000225</v>
      </c>
      <c r="AA85" s="1">
        <f t="shared" si="31"/>
        <v>0.398331</v>
      </c>
      <c r="AB85" s="1">
        <f t="shared" si="32"/>
        <v>0.033192</v>
      </c>
      <c r="AC85" s="1">
        <f t="shared" si="33"/>
        <v>0.000171</v>
      </c>
      <c r="AD85" s="1">
        <f t="shared" si="34"/>
        <v>0.009711</v>
      </c>
      <c r="AE85" s="1">
        <f t="shared" si="35"/>
        <v>0.000297</v>
      </c>
      <c r="AF85" s="1">
        <f t="shared" si="36"/>
        <v>9e-6</v>
      </c>
      <c r="AG85" s="1">
        <f t="shared" si="37"/>
        <v>5.4e-5</v>
      </c>
      <c r="AH85" s="1">
        <f t="shared" si="38"/>
        <v>0.002835</v>
      </c>
      <c r="AI85" s="1">
        <f t="shared" si="39"/>
        <v>0.004815</v>
      </c>
      <c r="AJ85" s="1">
        <f t="shared" si="40"/>
        <v>0.001872</v>
      </c>
      <c r="AK85" s="1">
        <f t="shared" si="41"/>
        <v>5.4e-5</v>
      </c>
      <c r="AL85" s="1">
        <f t="shared" si="42"/>
        <v>0.00873</v>
      </c>
      <c r="AM85" s="1">
        <f t="shared" si="43"/>
        <v>0.000333</v>
      </c>
      <c r="AN85" s="1">
        <f t="shared" si="44"/>
        <v>2.7e-5</v>
      </c>
      <c r="AQ85" s="6">
        <v>2012</v>
      </c>
      <c r="AR85" s="6" t="s">
        <v>74</v>
      </c>
      <c r="AS85" s="6">
        <v>0.009</v>
      </c>
      <c r="AT85" s="6" t="s">
        <v>568</v>
      </c>
      <c r="AU85" s="6" t="s">
        <v>594</v>
      </c>
      <c r="AV85" t="str">
        <f t="shared" si="51"/>
        <v> Tra_EV_Batt-LMO_virgin_pack</v>
      </c>
      <c r="AW85">
        <f t="shared" ref="AW85:CE85" si="71" xml:space="preserve">AW64</f>
        <v>0.002</v>
      </c>
      <c r="AX85">
        <f t="shared" si="71"/>
        <v>0.002</v>
      </c>
      <c r="AY85">
        <f t="shared" si="71"/>
        <v>0.067</v>
      </c>
      <c r="AZ85">
        <f t="shared" si="71"/>
        <v>0.212</v>
      </c>
      <c r="BA85">
        <f t="shared" si="71"/>
        <v>0.025</v>
      </c>
      <c r="BB85">
        <f t="shared" si="71"/>
        <v>0.976</v>
      </c>
      <c r="BC85">
        <f t="shared" si="71"/>
        <v>0.006</v>
      </c>
      <c r="BD85">
        <f t="shared" si="71"/>
        <v>2.551</v>
      </c>
      <c r="BE85">
        <f t="shared" si="71"/>
        <v>0.019</v>
      </c>
      <c r="BF85">
        <f t="shared" si="71"/>
        <v>0.022</v>
      </c>
      <c r="BG85">
        <f t="shared" si="71"/>
        <v>1.282</v>
      </c>
      <c r="BH85">
        <f t="shared" si="71"/>
        <v>1.151</v>
      </c>
      <c r="BI85">
        <f t="shared" si="71"/>
        <v>0.004</v>
      </c>
      <c r="BJ85">
        <f t="shared" si="71"/>
        <v>0.05</v>
      </c>
      <c r="BK85">
        <f t="shared" si="71"/>
        <v>0.084</v>
      </c>
      <c r="BL85">
        <f t="shared" si="71"/>
        <v>0</v>
      </c>
      <c r="BM85">
        <f t="shared" si="71"/>
        <v>0.052</v>
      </c>
      <c r="BN85">
        <f t="shared" si="71"/>
        <v>0.143</v>
      </c>
      <c r="BO85">
        <f t="shared" si="71"/>
        <v>0.722</v>
      </c>
      <c r="BP85">
        <f t="shared" si="71"/>
        <v>0.017</v>
      </c>
      <c r="BQ85">
        <f t="shared" si="71"/>
        <v>0.025</v>
      </c>
      <c r="BR85">
        <f t="shared" si="71"/>
        <v>44.259</v>
      </c>
      <c r="BS85">
        <f t="shared" si="71"/>
        <v>3.688</v>
      </c>
      <c r="BT85">
        <f t="shared" si="71"/>
        <v>0.019</v>
      </c>
      <c r="BU85">
        <f t="shared" si="71"/>
        <v>1.079</v>
      </c>
      <c r="BV85">
        <f t="shared" si="71"/>
        <v>0.033</v>
      </c>
      <c r="BW85">
        <f t="shared" si="71"/>
        <v>0.001</v>
      </c>
      <c r="BX85">
        <f t="shared" si="71"/>
        <v>0.006</v>
      </c>
      <c r="BY85">
        <f t="shared" si="71"/>
        <v>0.315</v>
      </c>
      <c r="BZ85">
        <f t="shared" si="71"/>
        <v>0.535</v>
      </c>
      <c r="CA85">
        <f t="shared" si="71"/>
        <v>0.208</v>
      </c>
      <c r="CB85">
        <f t="shared" si="71"/>
        <v>0.006</v>
      </c>
      <c r="CC85">
        <f t="shared" si="71"/>
        <v>0.97</v>
      </c>
      <c r="CD85">
        <f t="shared" si="71"/>
        <v>0.037</v>
      </c>
      <c r="CE85">
        <f t="shared" si="71"/>
        <v>0.003</v>
      </c>
      <c r="CG85" s="6">
        <v>2012</v>
      </c>
      <c r="CH85" s="6" t="s">
        <v>74</v>
      </c>
      <c r="CI85" s="6">
        <v>0.009</v>
      </c>
      <c r="CJ85" s="6">
        <v>0.007</v>
      </c>
      <c r="CK85" s="6" t="s">
        <v>595</v>
      </c>
      <c r="CL85" s="6" t="s">
        <v>596</v>
      </c>
      <c r="CM85" s="6" t="s">
        <v>597</v>
      </c>
    </row>
    <row r="86" spans="4:91">
      <c r="D86">
        <f t="shared" si="53"/>
        <v>2012</v>
      </c>
      <c r="E86" t="s">
        <v>82</v>
      </c>
      <c r="F86" s="1">
        <f t="shared" si="11"/>
        <v>1.8e-5</v>
      </c>
      <c r="G86" s="1">
        <f t="shared" si="12"/>
        <v>1.8e-5</v>
      </c>
      <c r="H86" s="1">
        <f t="shared" si="13"/>
        <v>0.000603</v>
      </c>
      <c r="I86" s="1">
        <f t="shared" si="14"/>
        <v>0.002097</v>
      </c>
      <c r="J86" s="1">
        <f t="shared" si="15"/>
        <v>0.000225</v>
      </c>
      <c r="K86" s="1">
        <f t="shared" si="16"/>
        <v>0.009369</v>
      </c>
      <c r="L86" s="1">
        <f t="shared" si="17"/>
        <v>5.4e-5</v>
      </c>
      <c r="M86" s="1">
        <f t="shared" si="6"/>
        <v>0.015309</v>
      </c>
      <c r="N86" s="1">
        <f t="shared" si="18"/>
        <v>0.000171</v>
      </c>
      <c r="O86" s="1">
        <f t="shared" si="19"/>
        <v>0.000261</v>
      </c>
      <c r="P86" s="1">
        <f t="shared" si="20"/>
        <v>0.016731</v>
      </c>
      <c r="Q86" s="1">
        <f t="shared" si="21"/>
        <v>0.012456</v>
      </c>
      <c r="R86" s="1">
        <f t="shared" si="22"/>
        <v>3.6e-5</v>
      </c>
      <c r="S86" s="1">
        <f t="shared" si="23"/>
        <v>0.000513</v>
      </c>
      <c r="T86" s="1">
        <f t="shared" si="24"/>
        <v>0.000756</v>
      </c>
      <c r="U86" s="1">
        <f t="shared" si="25"/>
        <v>0.000378</v>
      </c>
      <c r="V86" s="1">
        <f t="shared" si="26"/>
        <v>0.000504</v>
      </c>
      <c r="W86" s="1">
        <f t="shared" si="27"/>
        <v>0.001602</v>
      </c>
      <c r="X86" s="1">
        <f t="shared" si="28"/>
        <v>0.036756</v>
      </c>
      <c r="Y86" s="1">
        <f t="shared" si="29"/>
        <v>0.000189</v>
      </c>
      <c r="Z86" s="1">
        <f t="shared" si="30"/>
        <v>0.000225</v>
      </c>
      <c r="AA86" s="1">
        <f t="shared" si="31"/>
        <v>0.068067</v>
      </c>
      <c r="AB86" s="1">
        <f t="shared" si="32"/>
        <v>0.019575</v>
      </c>
      <c r="AC86" s="1">
        <f t="shared" si="33"/>
        <v>0.000225</v>
      </c>
      <c r="AD86" s="1">
        <f t="shared" si="34"/>
        <v>0.002133</v>
      </c>
      <c r="AE86" s="1">
        <f t="shared" si="35"/>
        <v>0.000297</v>
      </c>
      <c r="AF86" s="1">
        <f t="shared" si="36"/>
        <v>9e-6</v>
      </c>
      <c r="AG86" s="1">
        <f t="shared" si="37"/>
        <v>5.4e-5</v>
      </c>
      <c r="AH86" s="1">
        <f t="shared" si="38"/>
        <v>0.003195</v>
      </c>
      <c r="AI86" s="1">
        <f t="shared" si="39"/>
        <v>0.005409</v>
      </c>
      <c r="AJ86" s="1">
        <f t="shared" si="40"/>
        <v>0.002061</v>
      </c>
      <c r="AK86" s="1">
        <f t="shared" si="41"/>
        <v>5.4e-5</v>
      </c>
      <c r="AL86" s="1">
        <f t="shared" si="42"/>
        <v>0.009684</v>
      </c>
      <c r="AM86" s="1">
        <f t="shared" si="43"/>
        <v>0.001845</v>
      </c>
      <c r="AN86" s="1">
        <f t="shared" si="44"/>
        <v>2.7e-5</v>
      </c>
      <c r="AQ86" s="6">
        <v>2012</v>
      </c>
      <c r="AR86" s="6" t="s">
        <v>82</v>
      </c>
      <c r="AS86" s="6">
        <v>0.009</v>
      </c>
      <c r="AT86" s="6" t="s">
        <v>568</v>
      </c>
      <c r="AU86" s="6" t="s">
        <v>594</v>
      </c>
      <c r="AV86" t="str">
        <f t="shared" si="51"/>
        <v>Tra_EV_Batt-NMC111_virgin_pack</v>
      </c>
      <c r="AW86">
        <f t="shared" ref="AW86:CE86" si="72" xml:space="preserve">AW65</f>
        <v>0.002</v>
      </c>
      <c r="AX86">
        <f t="shared" si="72"/>
        <v>0.002</v>
      </c>
      <c r="AY86">
        <f t="shared" si="72"/>
        <v>0.067</v>
      </c>
      <c r="AZ86">
        <f t="shared" si="72"/>
        <v>0.233</v>
      </c>
      <c r="BA86">
        <f t="shared" si="72"/>
        <v>0.025</v>
      </c>
      <c r="BB86">
        <f t="shared" si="72"/>
        <v>1.041</v>
      </c>
      <c r="BC86">
        <f t="shared" si="72"/>
        <v>0.006</v>
      </c>
      <c r="BD86">
        <f t="shared" si="72"/>
        <v>1.701</v>
      </c>
      <c r="BE86">
        <f t="shared" si="72"/>
        <v>0.019</v>
      </c>
      <c r="BF86">
        <f t="shared" si="72"/>
        <v>0.029</v>
      </c>
      <c r="BG86">
        <f t="shared" si="72"/>
        <v>1.859</v>
      </c>
      <c r="BH86">
        <f t="shared" si="72"/>
        <v>1.384</v>
      </c>
      <c r="BI86">
        <f t="shared" si="72"/>
        <v>0.004</v>
      </c>
      <c r="BJ86">
        <f t="shared" si="72"/>
        <v>0.057</v>
      </c>
      <c r="BK86">
        <f t="shared" si="72"/>
        <v>0.084</v>
      </c>
      <c r="BL86">
        <f t="shared" si="72"/>
        <v>0.042</v>
      </c>
      <c r="BM86">
        <f t="shared" si="72"/>
        <v>0.056</v>
      </c>
      <c r="BN86">
        <f t="shared" si="72"/>
        <v>0.178</v>
      </c>
      <c r="BO86">
        <f t="shared" si="72"/>
        <v>4.084</v>
      </c>
      <c r="BP86">
        <f t="shared" si="72"/>
        <v>0.021</v>
      </c>
      <c r="BQ86">
        <f t="shared" si="72"/>
        <v>0.025</v>
      </c>
      <c r="BR86">
        <f t="shared" si="72"/>
        <v>7.563</v>
      </c>
      <c r="BS86">
        <f t="shared" si="72"/>
        <v>2.175</v>
      </c>
      <c r="BT86">
        <f t="shared" si="72"/>
        <v>0.025</v>
      </c>
      <c r="BU86">
        <f t="shared" si="72"/>
        <v>0.237</v>
      </c>
      <c r="BV86">
        <f t="shared" si="72"/>
        <v>0.033</v>
      </c>
      <c r="BW86">
        <f t="shared" si="72"/>
        <v>0.001</v>
      </c>
      <c r="BX86">
        <f t="shared" si="72"/>
        <v>0.006</v>
      </c>
      <c r="BY86">
        <f t="shared" si="72"/>
        <v>0.355</v>
      </c>
      <c r="BZ86">
        <f t="shared" si="72"/>
        <v>0.601</v>
      </c>
      <c r="CA86">
        <f t="shared" si="72"/>
        <v>0.229</v>
      </c>
      <c r="CB86">
        <f t="shared" si="72"/>
        <v>0.006</v>
      </c>
      <c r="CC86">
        <f t="shared" si="72"/>
        <v>1.076</v>
      </c>
      <c r="CD86">
        <f t="shared" si="72"/>
        <v>0.205</v>
      </c>
      <c r="CE86">
        <f t="shared" si="72"/>
        <v>0.003</v>
      </c>
      <c r="CG86" s="6">
        <v>2012</v>
      </c>
      <c r="CH86" s="6" t="s">
        <v>82</v>
      </c>
      <c r="CI86" s="6">
        <v>0.009</v>
      </c>
      <c r="CJ86" s="6">
        <v>0.007</v>
      </c>
      <c r="CK86" s="6" t="s">
        <v>595</v>
      </c>
      <c r="CL86" s="6" t="s">
        <v>596</v>
      </c>
      <c r="CM86" s="6" t="s">
        <v>597</v>
      </c>
    </row>
    <row r="87" spans="4:91">
      <c r="D87">
        <v>2018</v>
      </c>
      <c r="E87" t="s">
        <v>249</v>
      </c>
      <c r="F87" s="1">
        <f t="shared" si="11"/>
        <v>0</v>
      </c>
      <c r="G87" s="1">
        <f t="shared" si="12"/>
        <v>1.826565</v>
      </c>
      <c r="H87" s="1">
        <f t="shared" si="13"/>
        <v>6.5076</v>
      </c>
      <c r="I87" s="1">
        <f t="shared" si="14"/>
        <v>0</v>
      </c>
      <c r="J87" s="1">
        <f t="shared" si="15"/>
        <v>0</v>
      </c>
      <c r="K87" s="1">
        <f t="shared" si="16"/>
        <v>0</v>
      </c>
      <c r="L87" s="1">
        <f t="shared" si="17"/>
        <v>0.7395</v>
      </c>
      <c r="M87" s="1">
        <f t="shared" si="6"/>
        <v>3.03195</v>
      </c>
      <c r="N87" s="1">
        <f t="shared" si="18"/>
        <v>0</v>
      </c>
      <c r="O87" s="1">
        <f t="shared" si="19"/>
        <v>0</v>
      </c>
      <c r="P87" s="1">
        <f t="shared" si="20"/>
        <v>0</v>
      </c>
      <c r="Q87" s="1">
        <f t="shared" si="21"/>
        <v>0</v>
      </c>
      <c r="R87" s="1">
        <f t="shared" si="22"/>
        <v>0</v>
      </c>
      <c r="S87" s="1">
        <f t="shared" si="23"/>
        <v>0</v>
      </c>
      <c r="T87" s="1">
        <f t="shared" si="24"/>
        <v>0</v>
      </c>
      <c r="U87" s="1">
        <f t="shared" si="25"/>
        <v>0</v>
      </c>
      <c r="V87" s="1">
        <f t="shared" si="26"/>
        <v>0</v>
      </c>
      <c r="W87" s="1">
        <f t="shared" si="27"/>
        <v>0</v>
      </c>
      <c r="X87" s="1">
        <f t="shared" si="28"/>
        <v>0</v>
      </c>
      <c r="Y87" s="1">
        <f t="shared" si="29"/>
        <v>4.95465</v>
      </c>
      <c r="Z87" s="1">
        <f t="shared" si="30"/>
        <v>0</v>
      </c>
      <c r="AA87" s="1">
        <f t="shared" si="31"/>
        <v>0.317985</v>
      </c>
      <c r="AB87" s="1">
        <f t="shared" si="32"/>
        <v>0</v>
      </c>
      <c r="AC87" s="1">
        <f t="shared" si="33"/>
        <v>0</v>
      </c>
      <c r="AD87" s="1">
        <f t="shared" si="34"/>
        <v>0.34017</v>
      </c>
      <c r="AE87" s="1">
        <f t="shared" si="35"/>
        <v>0</v>
      </c>
      <c r="AF87" s="1">
        <f t="shared" si="36"/>
        <v>0</v>
      </c>
      <c r="AG87" s="1">
        <f t="shared" si="37"/>
        <v>0</v>
      </c>
      <c r="AH87" s="1">
        <f t="shared" si="38"/>
        <v>0.02958</v>
      </c>
      <c r="AI87" s="1">
        <f t="shared" si="39"/>
        <v>0</v>
      </c>
      <c r="AJ87" s="1">
        <f t="shared" si="40"/>
        <v>0</v>
      </c>
      <c r="AK87" s="1">
        <f t="shared" si="41"/>
        <v>0</v>
      </c>
      <c r="AL87" s="1">
        <f t="shared" si="42"/>
        <v>0</v>
      </c>
      <c r="AM87" s="1">
        <f t="shared" si="43"/>
        <v>0</v>
      </c>
      <c r="AN87" s="1">
        <f t="shared" si="44"/>
        <v>0</v>
      </c>
      <c r="AQ87" s="6">
        <v>2013</v>
      </c>
      <c r="AR87" s="6" t="s">
        <v>249</v>
      </c>
      <c r="AS87" s="6">
        <v>0.085</v>
      </c>
      <c r="AT87" s="6" t="s">
        <v>591</v>
      </c>
      <c r="AU87" s="6" t="s">
        <v>592</v>
      </c>
      <c r="AV87" t="str">
        <f t="shared" ref="AV87:AV118" si="73" xml:space="preserve">AV66</f>
        <v>MINBatMaterials_LI</v>
      </c>
      <c r="AW87">
        <f xml:space="preserve">AW66</f>
        <v>0</v>
      </c>
      <c r="AX87">
        <f t="shared" ref="AX87:AX118" si="74" xml:space="preserve">AX66</f>
        <v>21.489</v>
      </c>
      <c r="AY87">
        <f t="shared" ref="AY87:AY118" si="75" xml:space="preserve">AY66</f>
        <v>76.56</v>
      </c>
      <c r="AZ87">
        <f t="shared" ref="AZ87:AZ118" si="76" xml:space="preserve">AZ66</f>
        <v>0</v>
      </c>
      <c r="BA87">
        <f t="shared" ref="BA87:BA118" si="77" xml:space="preserve">BA66</f>
        <v>0</v>
      </c>
      <c r="BB87">
        <f t="shared" ref="BB87:BB118" si="78" xml:space="preserve">BB66</f>
        <v>0</v>
      </c>
      <c r="BC87">
        <f t="shared" ref="BC87:BC118" si="79" xml:space="preserve">BC66</f>
        <v>8.7</v>
      </c>
      <c r="BD87">
        <f t="shared" ref="BD87:BD118" si="80" xml:space="preserve">BD66</f>
        <v>35.67</v>
      </c>
      <c r="BE87">
        <f t="shared" ref="BE87:BE118" si="81" xml:space="preserve">BE66</f>
        <v>0</v>
      </c>
      <c r="BF87">
        <f t="shared" ref="BF87:BF118" si="82" xml:space="preserve">BF66</f>
        <v>0</v>
      </c>
      <c r="BG87">
        <f t="shared" ref="BG87:BG118" si="83" xml:space="preserve">BG66</f>
        <v>0</v>
      </c>
      <c r="BH87">
        <f t="shared" ref="BH87:BH118" si="84" xml:space="preserve">BH66</f>
        <v>0</v>
      </c>
      <c r="BI87">
        <f t="shared" ref="BI87:BI118" si="85" xml:space="preserve">BI66</f>
        <v>0</v>
      </c>
      <c r="BJ87">
        <f t="shared" ref="BJ87:BJ118" si="86" xml:space="preserve">BJ66</f>
        <v>0</v>
      </c>
      <c r="BK87">
        <f t="shared" ref="BK87:BK118" si="87" xml:space="preserve">BK66</f>
        <v>0</v>
      </c>
      <c r="BL87">
        <f t="shared" ref="BL87:BL118" si="88" xml:space="preserve">BL66</f>
        <v>0</v>
      </c>
      <c r="BM87">
        <f t="shared" ref="BM87:BM118" si="89" xml:space="preserve">BM66</f>
        <v>0</v>
      </c>
      <c r="BN87">
        <f t="shared" ref="BN87:BN118" si="90" xml:space="preserve">BN66</f>
        <v>0</v>
      </c>
      <c r="BO87">
        <f t="shared" ref="BO87:BO118" si="91" xml:space="preserve">BO66</f>
        <v>0</v>
      </c>
      <c r="BP87">
        <f t="shared" ref="BP87:BP118" si="92" xml:space="preserve">BP66</f>
        <v>58.29</v>
      </c>
      <c r="BQ87">
        <f t="shared" ref="BQ87:BQ118" si="93" xml:space="preserve">BQ66</f>
        <v>0</v>
      </c>
      <c r="BR87">
        <f t="shared" ref="BR87:BR118" si="94" xml:space="preserve">BR66</f>
        <v>3.741</v>
      </c>
      <c r="BS87">
        <f t="shared" ref="BS87:BS118" si="95" xml:space="preserve">BS66</f>
        <v>0</v>
      </c>
      <c r="BT87">
        <f t="shared" ref="BT87:BT118" si="96" xml:space="preserve">BT66</f>
        <v>0</v>
      </c>
      <c r="BU87">
        <f t="shared" ref="BU87:BU118" si="97" xml:space="preserve">BU66</f>
        <v>4.002</v>
      </c>
      <c r="BV87">
        <f t="shared" ref="BV87:BV118" si="98" xml:space="preserve">BV66</f>
        <v>0</v>
      </c>
      <c r="BW87">
        <f t="shared" ref="BW87:BW118" si="99" xml:space="preserve">BW66</f>
        <v>0</v>
      </c>
      <c r="BX87">
        <f t="shared" ref="BX87:BX118" si="100" xml:space="preserve">BX66</f>
        <v>0</v>
      </c>
      <c r="BY87">
        <f t="shared" ref="BY87:BY118" si="101" xml:space="preserve">BY66</f>
        <v>0.348</v>
      </c>
      <c r="BZ87">
        <f t="shared" ref="BZ87:BZ118" si="102" xml:space="preserve">BZ66</f>
        <v>0</v>
      </c>
      <c r="CA87">
        <f t="shared" ref="CA87:CA118" si="103" xml:space="preserve">CA66</f>
        <v>0</v>
      </c>
      <c r="CB87">
        <f t="shared" ref="CB87:CB118" si="104" xml:space="preserve">CB66</f>
        <v>0</v>
      </c>
      <c r="CC87">
        <f t="shared" ref="CC87:CC118" si="105" xml:space="preserve">CC66</f>
        <v>0</v>
      </c>
      <c r="CD87">
        <f t="shared" ref="CD87:CD118" si="106" xml:space="preserve">CD66</f>
        <v>0</v>
      </c>
      <c r="CE87">
        <f t="shared" ref="CE87:CE118" si="107" xml:space="preserve">CE66</f>
        <v>0</v>
      </c>
      <c r="CG87" s="6">
        <v>2013</v>
      </c>
      <c r="CH87" s="6" t="s">
        <v>249</v>
      </c>
      <c r="CI87" s="6">
        <v>0.085</v>
      </c>
      <c r="CJ87" s="6">
        <v>0.085</v>
      </c>
      <c r="CK87" s="6" t="s">
        <v>591</v>
      </c>
      <c r="CL87" s="6" t="s">
        <v>591</v>
      </c>
      <c r="CM87" s="6" t="s">
        <v>593</v>
      </c>
    </row>
    <row r="88" spans="4:91">
      <c r="D88">
        <f xml:space="preserve">D87</f>
        <v>2018</v>
      </c>
      <c r="E88" t="s">
        <v>251</v>
      </c>
      <c r="F88" s="1">
        <f t="shared" si="11"/>
        <v>0</v>
      </c>
      <c r="G88" s="1">
        <f t="shared" si="12"/>
        <v>0</v>
      </c>
      <c r="H88" s="1">
        <f t="shared" si="13"/>
        <v>1.4025</v>
      </c>
      <c r="I88" s="1">
        <f t="shared" si="14"/>
        <v>0</v>
      </c>
      <c r="J88" s="1">
        <f t="shared" si="15"/>
        <v>0</v>
      </c>
      <c r="K88" s="1">
        <f t="shared" si="16"/>
        <v>0</v>
      </c>
      <c r="L88" s="1">
        <f t="shared" si="17"/>
        <v>0.98175</v>
      </c>
      <c r="M88" s="1">
        <f t="shared" si="6"/>
        <v>1.53</v>
      </c>
      <c r="N88" s="1">
        <f t="shared" si="18"/>
        <v>0</v>
      </c>
      <c r="O88" s="1">
        <f t="shared" si="19"/>
        <v>0</v>
      </c>
      <c r="P88" s="1">
        <f t="shared" si="20"/>
        <v>0</v>
      </c>
      <c r="Q88" s="1">
        <f t="shared" si="21"/>
        <v>0</v>
      </c>
      <c r="R88" s="1">
        <f t="shared" si="22"/>
        <v>0</v>
      </c>
      <c r="S88" s="1">
        <f t="shared" si="23"/>
        <v>0</v>
      </c>
      <c r="T88" s="1">
        <f t="shared" si="24"/>
        <v>0</v>
      </c>
      <c r="U88" s="1">
        <f t="shared" si="25"/>
        <v>0</v>
      </c>
      <c r="V88" s="1">
        <f t="shared" si="26"/>
        <v>0</v>
      </c>
      <c r="W88" s="1">
        <f t="shared" si="27"/>
        <v>0</v>
      </c>
      <c r="X88" s="1">
        <f t="shared" si="28"/>
        <v>0</v>
      </c>
      <c r="Y88" s="1">
        <f t="shared" si="29"/>
        <v>0</v>
      </c>
      <c r="Z88" s="1">
        <f t="shared" si="30"/>
        <v>0</v>
      </c>
      <c r="AA88" s="1">
        <f t="shared" si="31"/>
        <v>2.5245</v>
      </c>
      <c r="AB88" s="1">
        <f t="shared" si="32"/>
        <v>0</v>
      </c>
      <c r="AC88" s="1">
        <f t="shared" si="33"/>
        <v>0</v>
      </c>
      <c r="AD88" s="1">
        <f t="shared" si="34"/>
        <v>38.05875</v>
      </c>
      <c r="AE88" s="1">
        <f t="shared" si="35"/>
        <v>2.6775</v>
      </c>
      <c r="AF88" s="1">
        <f t="shared" si="36"/>
        <v>0</v>
      </c>
      <c r="AG88" s="1">
        <f t="shared" si="37"/>
        <v>0</v>
      </c>
      <c r="AH88" s="1">
        <f t="shared" si="38"/>
        <v>0</v>
      </c>
      <c r="AI88" s="1">
        <f t="shared" si="39"/>
        <v>0</v>
      </c>
      <c r="AJ88" s="1">
        <f t="shared" si="40"/>
        <v>0</v>
      </c>
      <c r="AK88" s="1">
        <f t="shared" si="41"/>
        <v>0</v>
      </c>
      <c r="AL88" s="1">
        <f t="shared" si="42"/>
        <v>0</v>
      </c>
      <c r="AM88" s="1">
        <f t="shared" si="43"/>
        <v>0</v>
      </c>
      <c r="AN88" s="1">
        <f t="shared" si="44"/>
        <v>0</v>
      </c>
      <c r="AQ88" s="6">
        <v>2013</v>
      </c>
      <c r="AR88" s="6" t="s">
        <v>251</v>
      </c>
      <c r="AS88" s="6">
        <v>0.085</v>
      </c>
      <c r="AT88" s="6" t="s">
        <v>591</v>
      </c>
      <c r="AU88" s="6" t="s">
        <v>592</v>
      </c>
      <c r="AV88" t="str">
        <f t="shared" si="73"/>
        <v>MINBatMaterials_NI</v>
      </c>
      <c r="AW88">
        <f t="shared" ref="AW87:AW118" si="108" xml:space="preserve">AW67</f>
        <v>0</v>
      </c>
      <c r="AX88">
        <f t="shared" si="74"/>
        <v>0</v>
      </c>
      <c r="AY88">
        <f t="shared" si="75"/>
        <v>16.5</v>
      </c>
      <c r="AZ88">
        <f t="shared" si="76"/>
        <v>0</v>
      </c>
      <c r="BA88">
        <f t="shared" si="77"/>
        <v>0</v>
      </c>
      <c r="BB88">
        <f t="shared" si="78"/>
        <v>0</v>
      </c>
      <c r="BC88">
        <f t="shared" si="79"/>
        <v>11.55</v>
      </c>
      <c r="BD88">
        <f t="shared" si="80"/>
        <v>18</v>
      </c>
      <c r="BE88">
        <f t="shared" si="81"/>
        <v>0</v>
      </c>
      <c r="BF88">
        <f t="shared" si="82"/>
        <v>0</v>
      </c>
      <c r="BG88">
        <f t="shared" si="83"/>
        <v>0</v>
      </c>
      <c r="BH88">
        <f t="shared" si="84"/>
        <v>0</v>
      </c>
      <c r="BI88">
        <f t="shared" si="85"/>
        <v>0</v>
      </c>
      <c r="BJ88">
        <f t="shared" si="86"/>
        <v>0</v>
      </c>
      <c r="BK88">
        <f t="shared" si="87"/>
        <v>0</v>
      </c>
      <c r="BL88">
        <f t="shared" si="88"/>
        <v>0</v>
      </c>
      <c r="BM88">
        <f t="shared" si="89"/>
        <v>0</v>
      </c>
      <c r="BN88">
        <f t="shared" si="90"/>
        <v>0</v>
      </c>
      <c r="BO88">
        <f t="shared" si="91"/>
        <v>0</v>
      </c>
      <c r="BP88">
        <f t="shared" si="92"/>
        <v>0</v>
      </c>
      <c r="BQ88">
        <f t="shared" si="93"/>
        <v>0</v>
      </c>
      <c r="BR88">
        <f t="shared" si="94"/>
        <v>29.7</v>
      </c>
      <c r="BS88">
        <f t="shared" si="95"/>
        <v>0</v>
      </c>
      <c r="BT88">
        <f t="shared" si="96"/>
        <v>0</v>
      </c>
      <c r="BU88">
        <f t="shared" si="97"/>
        <v>447.75</v>
      </c>
      <c r="BV88">
        <f t="shared" si="98"/>
        <v>31.5</v>
      </c>
      <c r="BW88">
        <f t="shared" si="99"/>
        <v>0</v>
      </c>
      <c r="BX88">
        <f t="shared" si="100"/>
        <v>0</v>
      </c>
      <c r="BY88">
        <f t="shared" si="101"/>
        <v>0</v>
      </c>
      <c r="BZ88">
        <f t="shared" si="102"/>
        <v>0</v>
      </c>
      <c r="CA88">
        <f t="shared" si="103"/>
        <v>0</v>
      </c>
      <c r="CB88">
        <f t="shared" si="104"/>
        <v>0</v>
      </c>
      <c r="CC88">
        <f t="shared" si="105"/>
        <v>0</v>
      </c>
      <c r="CD88">
        <f t="shared" si="106"/>
        <v>0</v>
      </c>
      <c r="CE88">
        <f t="shared" si="107"/>
        <v>0</v>
      </c>
      <c r="CG88" s="6">
        <v>2013</v>
      </c>
      <c r="CH88" s="6" t="s">
        <v>251</v>
      </c>
      <c r="CI88" s="6">
        <v>0.085</v>
      </c>
      <c r="CJ88" s="6">
        <v>0.085</v>
      </c>
      <c r="CK88" s="6" t="s">
        <v>591</v>
      </c>
      <c r="CL88" s="6" t="s">
        <v>591</v>
      </c>
      <c r="CM88" s="6" t="s">
        <v>593</v>
      </c>
    </row>
    <row r="89" ht="16" spans="4:91">
      <c r="D89">
        <f t="shared" ref="D89:D107" si="109" xml:space="preserve">D88</f>
        <v>2018</v>
      </c>
      <c r="E89" s="18" t="s">
        <v>255</v>
      </c>
      <c r="F89" s="1">
        <f t="shared" si="11"/>
        <v>0</v>
      </c>
      <c r="G89" s="1">
        <f t="shared" si="12"/>
        <v>14.37996</v>
      </c>
      <c r="H89" s="1">
        <f t="shared" si="13"/>
        <v>0.23256</v>
      </c>
      <c r="I89" s="1">
        <f t="shared" si="14"/>
        <v>0</v>
      </c>
      <c r="J89" s="1">
        <f t="shared" si="15"/>
        <v>0</v>
      </c>
      <c r="K89" s="1">
        <f t="shared" si="16"/>
        <v>0</v>
      </c>
      <c r="L89" s="1">
        <f t="shared" si="17"/>
        <v>0</v>
      </c>
      <c r="M89" s="1">
        <f t="shared" si="6"/>
        <v>0</v>
      </c>
      <c r="N89" s="1">
        <f t="shared" si="18"/>
        <v>0</v>
      </c>
      <c r="O89" s="1">
        <f t="shared" si="19"/>
        <v>0</v>
      </c>
      <c r="P89" s="1">
        <f t="shared" si="20"/>
        <v>0</v>
      </c>
      <c r="Q89" s="1">
        <f t="shared" si="21"/>
        <v>0</v>
      </c>
      <c r="R89" s="1">
        <f t="shared" si="22"/>
        <v>0</v>
      </c>
      <c r="S89" s="1">
        <f t="shared" si="23"/>
        <v>0</v>
      </c>
      <c r="T89" s="1">
        <f t="shared" si="24"/>
        <v>0</v>
      </c>
      <c r="U89" s="1">
        <f t="shared" si="25"/>
        <v>0</v>
      </c>
      <c r="V89" s="1">
        <f t="shared" si="26"/>
        <v>0</v>
      </c>
      <c r="W89" s="1">
        <f t="shared" si="27"/>
        <v>0</v>
      </c>
      <c r="X89" s="1">
        <f t="shared" si="28"/>
        <v>0</v>
      </c>
      <c r="Y89" s="1">
        <f t="shared" si="29"/>
        <v>0.2261</v>
      </c>
      <c r="Z89" s="1">
        <f t="shared" si="30"/>
        <v>0</v>
      </c>
      <c r="AA89" s="1">
        <f t="shared" si="31"/>
        <v>0.31008</v>
      </c>
      <c r="AB89" s="1">
        <f t="shared" si="32"/>
        <v>0</v>
      </c>
      <c r="AC89" s="1">
        <f t="shared" si="33"/>
        <v>0</v>
      </c>
      <c r="AD89" s="1">
        <f t="shared" si="34"/>
        <v>2.82948</v>
      </c>
      <c r="AE89" s="1">
        <f t="shared" si="35"/>
        <v>0.56202</v>
      </c>
      <c r="AF89" s="1">
        <f t="shared" si="36"/>
        <v>0</v>
      </c>
      <c r="AG89" s="1">
        <f t="shared" si="37"/>
        <v>0</v>
      </c>
      <c r="AH89" s="1">
        <f t="shared" si="38"/>
        <v>0</v>
      </c>
      <c r="AI89" s="1">
        <f t="shared" si="39"/>
        <v>0</v>
      </c>
      <c r="AJ89" s="1">
        <f t="shared" si="40"/>
        <v>0</v>
      </c>
      <c r="AK89" s="1">
        <f t="shared" si="41"/>
        <v>0.17442</v>
      </c>
      <c r="AL89" s="1">
        <f t="shared" si="42"/>
        <v>0</v>
      </c>
      <c r="AM89" s="1">
        <f t="shared" si="43"/>
        <v>0</v>
      </c>
      <c r="AN89" s="1">
        <f t="shared" si="44"/>
        <v>0</v>
      </c>
      <c r="AQ89" s="6">
        <v>2013</v>
      </c>
      <c r="AR89" s="6" t="s">
        <v>255</v>
      </c>
      <c r="AS89" s="6">
        <v>0.085</v>
      </c>
      <c r="AT89" s="6" t="s">
        <v>591</v>
      </c>
      <c r="AU89" s="6" t="s">
        <v>592</v>
      </c>
      <c r="AV89" t="str">
        <f t="shared" si="73"/>
        <v>MINBatMaterials_COB</v>
      </c>
      <c r="AW89">
        <f t="shared" si="108"/>
        <v>0</v>
      </c>
      <c r="AX89">
        <f t="shared" si="74"/>
        <v>169.176</v>
      </c>
      <c r="AY89">
        <f t="shared" si="75"/>
        <v>2.736</v>
      </c>
      <c r="AZ89">
        <f t="shared" si="76"/>
        <v>0</v>
      </c>
      <c r="BA89">
        <f t="shared" si="77"/>
        <v>0</v>
      </c>
      <c r="BB89">
        <f t="shared" si="78"/>
        <v>0</v>
      </c>
      <c r="BC89">
        <f t="shared" si="79"/>
        <v>0</v>
      </c>
      <c r="BD89">
        <f t="shared" si="80"/>
        <v>0</v>
      </c>
      <c r="BE89">
        <f t="shared" si="81"/>
        <v>0</v>
      </c>
      <c r="BF89">
        <f t="shared" si="82"/>
        <v>0</v>
      </c>
      <c r="BG89">
        <f t="shared" si="83"/>
        <v>0</v>
      </c>
      <c r="BH89">
        <f t="shared" si="84"/>
        <v>0</v>
      </c>
      <c r="BI89">
        <f t="shared" si="85"/>
        <v>0</v>
      </c>
      <c r="BJ89">
        <f t="shared" si="86"/>
        <v>0</v>
      </c>
      <c r="BK89">
        <f t="shared" si="87"/>
        <v>0</v>
      </c>
      <c r="BL89">
        <f t="shared" si="88"/>
        <v>0</v>
      </c>
      <c r="BM89">
        <f t="shared" si="89"/>
        <v>0</v>
      </c>
      <c r="BN89">
        <f t="shared" si="90"/>
        <v>0</v>
      </c>
      <c r="BO89">
        <f t="shared" si="91"/>
        <v>0</v>
      </c>
      <c r="BP89">
        <f t="shared" si="92"/>
        <v>2.66</v>
      </c>
      <c r="BQ89">
        <f t="shared" si="93"/>
        <v>0</v>
      </c>
      <c r="BR89">
        <f t="shared" si="94"/>
        <v>3.648</v>
      </c>
      <c r="BS89">
        <f t="shared" si="95"/>
        <v>0</v>
      </c>
      <c r="BT89">
        <f t="shared" si="96"/>
        <v>0</v>
      </c>
      <c r="BU89">
        <f t="shared" si="97"/>
        <v>33.288</v>
      </c>
      <c r="BV89">
        <f t="shared" si="98"/>
        <v>6.612</v>
      </c>
      <c r="BW89">
        <f t="shared" si="99"/>
        <v>0</v>
      </c>
      <c r="BX89">
        <f t="shared" si="100"/>
        <v>0</v>
      </c>
      <c r="BY89">
        <f t="shared" si="101"/>
        <v>0</v>
      </c>
      <c r="BZ89">
        <f t="shared" si="102"/>
        <v>0</v>
      </c>
      <c r="CA89">
        <f t="shared" si="103"/>
        <v>0</v>
      </c>
      <c r="CB89">
        <f t="shared" si="104"/>
        <v>2.052</v>
      </c>
      <c r="CC89">
        <f t="shared" si="105"/>
        <v>0</v>
      </c>
      <c r="CD89">
        <f t="shared" si="106"/>
        <v>0</v>
      </c>
      <c r="CE89">
        <f t="shared" si="107"/>
        <v>0</v>
      </c>
      <c r="CG89" s="6">
        <v>2013</v>
      </c>
      <c r="CH89" s="6" t="s">
        <v>255</v>
      </c>
      <c r="CI89" s="6">
        <v>0.085</v>
      </c>
      <c r="CJ89" s="6">
        <v>0.085</v>
      </c>
      <c r="CK89" s="6" t="s">
        <v>591</v>
      </c>
      <c r="CL89" s="6" t="s">
        <v>591</v>
      </c>
      <c r="CM89" s="6" t="s">
        <v>593</v>
      </c>
    </row>
    <row r="90" spans="4:91">
      <c r="D90">
        <f t="shared" si="109"/>
        <v>2018</v>
      </c>
      <c r="E90" t="s">
        <v>256</v>
      </c>
      <c r="F90" s="1">
        <f t="shared" si="11"/>
        <v>0</v>
      </c>
      <c r="G90" s="1">
        <f t="shared" si="12"/>
        <v>4.913</v>
      </c>
      <c r="H90" s="1">
        <f t="shared" si="13"/>
        <v>2.38</v>
      </c>
      <c r="I90" s="1">
        <f t="shared" si="14"/>
        <v>0</v>
      </c>
      <c r="J90" s="1">
        <f t="shared" si="15"/>
        <v>0</v>
      </c>
      <c r="K90" s="1">
        <f t="shared" si="16"/>
        <v>0</v>
      </c>
      <c r="L90" s="1">
        <f t="shared" si="17"/>
        <v>0.5015</v>
      </c>
      <c r="M90" s="1">
        <f t="shared" si="6"/>
        <v>0.6545</v>
      </c>
      <c r="N90" s="1">
        <f t="shared" si="18"/>
        <v>0</v>
      </c>
      <c r="O90" s="1">
        <f t="shared" si="19"/>
        <v>0</v>
      </c>
      <c r="P90" s="1">
        <f t="shared" si="20"/>
        <v>0</v>
      </c>
      <c r="Q90" s="1">
        <f t="shared" si="21"/>
        <v>0</v>
      </c>
      <c r="R90" s="1">
        <f t="shared" si="22"/>
        <v>0</v>
      </c>
      <c r="S90" s="1">
        <f t="shared" si="23"/>
        <v>0</v>
      </c>
      <c r="T90" s="1">
        <f t="shared" si="24"/>
        <v>0</v>
      </c>
      <c r="U90" s="1">
        <f t="shared" si="25"/>
        <v>0.68</v>
      </c>
      <c r="V90" s="1">
        <f t="shared" si="26"/>
        <v>0</v>
      </c>
      <c r="W90" s="1">
        <f t="shared" si="27"/>
        <v>0</v>
      </c>
      <c r="X90" s="1">
        <f t="shared" si="28"/>
        <v>0</v>
      </c>
      <c r="Y90" s="1">
        <f t="shared" si="29"/>
        <v>0</v>
      </c>
      <c r="Z90" s="1">
        <f t="shared" si="30"/>
        <v>0</v>
      </c>
      <c r="AA90" s="1">
        <f t="shared" si="31"/>
        <v>0</v>
      </c>
      <c r="AB90" s="1">
        <f t="shared" si="32"/>
        <v>0</v>
      </c>
      <c r="AC90" s="1">
        <f t="shared" si="33"/>
        <v>0</v>
      </c>
      <c r="AD90" s="1">
        <f t="shared" si="34"/>
        <v>1.751</v>
      </c>
      <c r="AE90" s="1">
        <f t="shared" si="35"/>
        <v>0</v>
      </c>
      <c r="AF90" s="1">
        <f t="shared" si="36"/>
        <v>0</v>
      </c>
      <c r="AG90" s="1">
        <f t="shared" si="37"/>
        <v>6.29</v>
      </c>
      <c r="AH90" s="1">
        <f t="shared" si="38"/>
        <v>0</v>
      </c>
      <c r="AI90" s="1">
        <f t="shared" si="39"/>
        <v>0</v>
      </c>
      <c r="AJ90" s="1">
        <f t="shared" si="40"/>
        <v>0</v>
      </c>
      <c r="AK90" s="1">
        <f t="shared" si="41"/>
        <v>0</v>
      </c>
      <c r="AL90" s="1">
        <f t="shared" si="42"/>
        <v>0</v>
      </c>
      <c r="AM90" s="1">
        <f t="shared" si="43"/>
        <v>0</v>
      </c>
      <c r="AN90" s="1">
        <f t="shared" si="44"/>
        <v>0</v>
      </c>
      <c r="AQ90" s="6">
        <v>2013</v>
      </c>
      <c r="AR90" s="6" t="s">
        <v>256</v>
      </c>
      <c r="AS90" s="6">
        <v>0.085</v>
      </c>
      <c r="AT90" s="6" t="s">
        <v>591</v>
      </c>
      <c r="AU90" s="6" t="s">
        <v>592</v>
      </c>
      <c r="AV90" t="str">
        <f t="shared" si="73"/>
        <v>MINBatMaterials_MN</v>
      </c>
      <c r="AW90">
        <f t="shared" si="108"/>
        <v>0</v>
      </c>
      <c r="AX90">
        <f t="shared" si="74"/>
        <v>57.8</v>
      </c>
      <c r="AY90">
        <f t="shared" si="75"/>
        <v>28</v>
      </c>
      <c r="AZ90">
        <f t="shared" si="76"/>
        <v>0</v>
      </c>
      <c r="BA90">
        <f t="shared" si="77"/>
        <v>0</v>
      </c>
      <c r="BB90">
        <f t="shared" si="78"/>
        <v>0</v>
      </c>
      <c r="BC90">
        <f t="shared" si="79"/>
        <v>5.9</v>
      </c>
      <c r="BD90">
        <f t="shared" si="80"/>
        <v>7.7</v>
      </c>
      <c r="BE90">
        <f t="shared" si="81"/>
        <v>0</v>
      </c>
      <c r="BF90">
        <f t="shared" si="82"/>
        <v>0</v>
      </c>
      <c r="BG90">
        <f t="shared" si="83"/>
        <v>0</v>
      </c>
      <c r="BH90">
        <f t="shared" si="84"/>
        <v>0</v>
      </c>
      <c r="BI90">
        <f t="shared" si="85"/>
        <v>0</v>
      </c>
      <c r="BJ90">
        <f t="shared" si="86"/>
        <v>0</v>
      </c>
      <c r="BK90">
        <f t="shared" si="87"/>
        <v>0</v>
      </c>
      <c r="BL90">
        <f t="shared" si="88"/>
        <v>8</v>
      </c>
      <c r="BM90">
        <f t="shared" si="89"/>
        <v>0</v>
      </c>
      <c r="BN90">
        <f t="shared" si="90"/>
        <v>0</v>
      </c>
      <c r="BO90">
        <f t="shared" si="91"/>
        <v>0</v>
      </c>
      <c r="BP90">
        <f t="shared" si="92"/>
        <v>0</v>
      </c>
      <c r="BQ90">
        <f t="shared" si="93"/>
        <v>0</v>
      </c>
      <c r="BR90">
        <f t="shared" si="94"/>
        <v>0</v>
      </c>
      <c r="BS90">
        <f t="shared" si="95"/>
        <v>0</v>
      </c>
      <c r="BT90">
        <f t="shared" si="96"/>
        <v>0</v>
      </c>
      <c r="BU90">
        <f t="shared" si="97"/>
        <v>20.6</v>
      </c>
      <c r="BV90">
        <f t="shared" si="98"/>
        <v>0</v>
      </c>
      <c r="BW90">
        <f t="shared" si="99"/>
        <v>0</v>
      </c>
      <c r="BX90">
        <f t="shared" si="100"/>
        <v>74</v>
      </c>
      <c r="BY90">
        <f t="shared" si="101"/>
        <v>0</v>
      </c>
      <c r="BZ90">
        <f t="shared" si="102"/>
        <v>0</v>
      </c>
      <c r="CA90">
        <f t="shared" si="103"/>
        <v>0</v>
      </c>
      <c r="CB90">
        <f t="shared" si="104"/>
        <v>0</v>
      </c>
      <c r="CC90">
        <f t="shared" si="105"/>
        <v>0</v>
      </c>
      <c r="CD90">
        <f t="shared" si="106"/>
        <v>0</v>
      </c>
      <c r="CE90">
        <f t="shared" si="107"/>
        <v>0</v>
      </c>
      <c r="CG90" s="6">
        <v>2013</v>
      </c>
      <c r="CH90" s="6" t="s">
        <v>256</v>
      </c>
      <c r="CI90" s="6">
        <v>0.085</v>
      </c>
      <c r="CJ90" s="6">
        <v>0.085</v>
      </c>
      <c r="CK90" s="6" t="s">
        <v>591</v>
      </c>
      <c r="CL90" s="6" t="s">
        <v>591</v>
      </c>
      <c r="CM90" s="6" t="s">
        <v>593</v>
      </c>
    </row>
    <row r="91" spans="4:91">
      <c r="D91">
        <f t="shared" si="109"/>
        <v>2018</v>
      </c>
      <c r="E91" t="s">
        <v>258</v>
      </c>
      <c r="F91" s="1">
        <f t="shared" si="11"/>
        <v>0</v>
      </c>
      <c r="G91" s="1">
        <f t="shared" si="12"/>
        <v>0.2703</v>
      </c>
      <c r="H91" s="1">
        <f t="shared" si="13"/>
        <v>16.1874</v>
      </c>
      <c r="I91" s="1">
        <f t="shared" si="14"/>
        <v>0</v>
      </c>
      <c r="J91" s="1">
        <f t="shared" si="15"/>
        <v>0</v>
      </c>
      <c r="K91" s="1">
        <f t="shared" si="16"/>
        <v>0</v>
      </c>
      <c r="L91" s="1">
        <f t="shared" si="17"/>
        <v>9.8923</v>
      </c>
      <c r="M91" s="1">
        <f t="shared" si="6"/>
        <v>75.5412</v>
      </c>
      <c r="N91" s="1">
        <f t="shared" si="18"/>
        <v>0</v>
      </c>
      <c r="O91" s="1">
        <f t="shared" si="19"/>
        <v>0</v>
      </c>
      <c r="P91" s="1">
        <f t="shared" si="20"/>
        <v>0</v>
      </c>
      <c r="Q91" s="1">
        <f t="shared" si="21"/>
        <v>0.8636</v>
      </c>
      <c r="R91" s="1">
        <f t="shared" si="22"/>
        <v>0.7735</v>
      </c>
      <c r="S91" s="1">
        <f t="shared" si="23"/>
        <v>0</v>
      </c>
      <c r="T91" s="1">
        <f t="shared" si="24"/>
        <v>0</v>
      </c>
      <c r="U91" s="1">
        <f t="shared" si="25"/>
        <v>6.834</v>
      </c>
      <c r="V91" s="1">
        <f t="shared" si="26"/>
        <v>1.4382</v>
      </c>
      <c r="W91" s="1">
        <f t="shared" si="27"/>
        <v>0</v>
      </c>
      <c r="X91" s="1">
        <f t="shared" si="28"/>
        <v>0</v>
      </c>
      <c r="Y91" s="1">
        <f t="shared" si="29"/>
        <v>0</v>
      </c>
      <c r="Z91" s="1">
        <f t="shared" si="30"/>
        <v>2.159</v>
      </c>
      <c r="AA91" s="1">
        <f t="shared" si="31"/>
        <v>1.9975</v>
      </c>
      <c r="AB91" s="1">
        <f t="shared" si="32"/>
        <v>0</v>
      </c>
      <c r="AC91" s="1">
        <f t="shared" si="33"/>
        <v>0</v>
      </c>
      <c r="AD91" s="1">
        <f t="shared" si="34"/>
        <v>5.1255</v>
      </c>
      <c r="AE91" s="1">
        <f t="shared" si="35"/>
        <v>2.6078</v>
      </c>
      <c r="AF91" s="1">
        <f t="shared" si="36"/>
        <v>1.6184</v>
      </c>
      <c r="AG91" s="1">
        <f t="shared" si="37"/>
        <v>0</v>
      </c>
      <c r="AH91" s="1">
        <f t="shared" si="38"/>
        <v>0.7378</v>
      </c>
      <c r="AI91" s="1">
        <f t="shared" si="39"/>
        <v>0</v>
      </c>
      <c r="AJ91" s="1">
        <f t="shared" si="40"/>
        <v>0</v>
      </c>
      <c r="AK91" s="1">
        <f t="shared" si="41"/>
        <v>0.2873</v>
      </c>
      <c r="AL91" s="1">
        <f t="shared" si="42"/>
        <v>0</v>
      </c>
      <c r="AM91" s="1">
        <f t="shared" si="43"/>
        <v>0</v>
      </c>
      <c r="AN91" s="1">
        <f t="shared" si="44"/>
        <v>0</v>
      </c>
      <c r="AQ91" s="6">
        <v>2013</v>
      </c>
      <c r="AR91" s="6" t="s">
        <v>258</v>
      </c>
      <c r="AS91" s="6">
        <v>0.085</v>
      </c>
      <c r="AT91" s="6" t="s">
        <v>591</v>
      </c>
      <c r="AU91" s="6" t="s">
        <v>592</v>
      </c>
      <c r="AV91" t="str">
        <f t="shared" si="73"/>
        <v>MINBatMaterials_AL</v>
      </c>
      <c r="AW91">
        <f t="shared" si="108"/>
        <v>0</v>
      </c>
      <c r="AX91">
        <f t="shared" si="74"/>
        <v>3.18</v>
      </c>
      <c r="AY91">
        <f t="shared" si="75"/>
        <v>190.44</v>
      </c>
      <c r="AZ91">
        <f t="shared" si="76"/>
        <v>0</v>
      </c>
      <c r="BA91">
        <f t="shared" si="77"/>
        <v>0</v>
      </c>
      <c r="BB91">
        <f t="shared" si="78"/>
        <v>0</v>
      </c>
      <c r="BC91">
        <f t="shared" si="79"/>
        <v>116.38</v>
      </c>
      <c r="BD91">
        <f t="shared" si="80"/>
        <v>888.72</v>
      </c>
      <c r="BE91">
        <f t="shared" si="81"/>
        <v>0</v>
      </c>
      <c r="BF91">
        <f t="shared" si="82"/>
        <v>0</v>
      </c>
      <c r="BG91">
        <f t="shared" si="83"/>
        <v>0</v>
      </c>
      <c r="BH91">
        <f t="shared" si="84"/>
        <v>10.16</v>
      </c>
      <c r="BI91">
        <f t="shared" si="85"/>
        <v>9.1</v>
      </c>
      <c r="BJ91">
        <f t="shared" si="86"/>
        <v>0</v>
      </c>
      <c r="BK91">
        <f t="shared" si="87"/>
        <v>0</v>
      </c>
      <c r="BL91">
        <f t="shared" si="88"/>
        <v>80.4</v>
      </c>
      <c r="BM91">
        <f t="shared" si="89"/>
        <v>16.92</v>
      </c>
      <c r="BN91">
        <f t="shared" si="90"/>
        <v>0</v>
      </c>
      <c r="BO91">
        <f t="shared" si="91"/>
        <v>0</v>
      </c>
      <c r="BP91">
        <f t="shared" si="92"/>
        <v>0</v>
      </c>
      <c r="BQ91">
        <f t="shared" si="93"/>
        <v>25.4</v>
      </c>
      <c r="BR91">
        <f t="shared" si="94"/>
        <v>23.5</v>
      </c>
      <c r="BS91">
        <f t="shared" si="95"/>
        <v>0</v>
      </c>
      <c r="BT91">
        <f t="shared" si="96"/>
        <v>0</v>
      </c>
      <c r="BU91">
        <f t="shared" si="97"/>
        <v>60.3</v>
      </c>
      <c r="BV91">
        <f t="shared" si="98"/>
        <v>30.68</v>
      </c>
      <c r="BW91">
        <f t="shared" si="99"/>
        <v>19.04</v>
      </c>
      <c r="BX91">
        <f t="shared" si="100"/>
        <v>0</v>
      </c>
      <c r="BY91">
        <f t="shared" si="101"/>
        <v>8.68</v>
      </c>
      <c r="BZ91">
        <f t="shared" si="102"/>
        <v>0</v>
      </c>
      <c r="CA91">
        <f t="shared" si="103"/>
        <v>0</v>
      </c>
      <c r="CB91">
        <f t="shared" si="104"/>
        <v>3.38</v>
      </c>
      <c r="CC91">
        <f t="shared" si="105"/>
        <v>0</v>
      </c>
      <c r="CD91">
        <f t="shared" si="106"/>
        <v>0</v>
      </c>
      <c r="CE91">
        <f t="shared" si="107"/>
        <v>0</v>
      </c>
      <c r="CG91" s="6">
        <v>2013</v>
      </c>
      <c r="CH91" s="6" t="s">
        <v>258</v>
      </c>
      <c r="CI91" s="6">
        <v>0.085</v>
      </c>
      <c r="CJ91" s="6">
        <v>0.085</v>
      </c>
      <c r="CK91" s="6" t="s">
        <v>591</v>
      </c>
      <c r="CL91" s="6" t="s">
        <v>591</v>
      </c>
      <c r="CM91" s="6" t="s">
        <v>593</v>
      </c>
    </row>
    <row r="92" spans="4:91">
      <c r="D92">
        <f t="shared" si="109"/>
        <v>2018</v>
      </c>
      <c r="E92" t="s">
        <v>260</v>
      </c>
      <c r="F92" s="1">
        <f t="shared" si="11"/>
        <v>0</v>
      </c>
      <c r="G92" s="1">
        <f t="shared" si="12"/>
        <v>8.4575</v>
      </c>
      <c r="H92" s="1">
        <f t="shared" si="13"/>
        <v>1.7</v>
      </c>
      <c r="I92" s="1">
        <f t="shared" si="14"/>
        <v>0</v>
      </c>
      <c r="J92" s="1">
        <f t="shared" si="15"/>
        <v>0</v>
      </c>
      <c r="K92" s="1">
        <f t="shared" si="16"/>
        <v>0</v>
      </c>
      <c r="L92" s="1">
        <f t="shared" si="17"/>
        <v>0</v>
      </c>
      <c r="M92" s="1">
        <f t="shared" si="6"/>
        <v>3.825</v>
      </c>
      <c r="N92" s="1">
        <f t="shared" si="18"/>
        <v>0</v>
      </c>
      <c r="O92" s="1">
        <f t="shared" si="19"/>
        <v>0</v>
      </c>
      <c r="P92" s="1">
        <f t="shared" si="20"/>
        <v>0</v>
      </c>
      <c r="Q92" s="1">
        <f t="shared" si="21"/>
        <v>0</v>
      </c>
      <c r="R92" s="1">
        <f t="shared" si="22"/>
        <v>0</v>
      </c>
      <c r="S92" s="1">
        <f t="shared" si="23"/>
        <v>0</v>
      </c>
      <c r="T92" s="1">
        <f t="shared" si="24"/>
        <v>0</v>
      </c>
      <c r="U92" s="1">
        <f t="shared" si="25"/>
        <v>0.06375</v>
      </c>
      <c r="V92" s="1">
        <f t="shared" si="26"/>
        <v>0</v>
      </c>
      <c r="W92" s="1">
        <f t="shared" si="27"/>
        <v>0</v>
      </c>
      <c r="X92" s="1">
        <f t="shared" si="28"/>
        <v>0</v>
      </c>
      <c r="Y92" s="1">
        <f t="shared" si="29"/>
        <v>16.7875</v>
      </c>
      <c r="Z92" s="1">
        <f t="shared" si="30"/>
        <v>0</v>
      </c>
      <c r="AA92" s="1">
        <f t="shared" si="31"/>
        <v>4.78125</v>
      </c>
      <c r="AB92" s="1">
        <f t="shared" si="32"/>
        <v>0</v>
      </c>
      <c r="AC92" s="1">
        <f t="shared" si="33"/>
        <v>0.87125</v>
      </c>
      <c r="AD92" s="1">
        <f t="shared" si="34"/>
        <v>9.9875</v>
      </c>
      <c r="AE92" s="1">
        <f t="shared" si="35"/>
        <v>1.97625</v>
      </c>
      <c r="AF92" s="1">
        <f t="shared" si="36"/>
        <v>0</v>
      </c>
      <c r="AG92" s="1">
        <f t="shared" si="37"/>
        <v>0</v>
      </c>
      <c r="AH92" s="1">
        <f t="shared" si="38"/>
        <v>0</v>
      </c>
      <c r="AI92" s="1">
        <f t="shared" si="39"/>
        <v>0</v>
      </c>
      <c r="AJ92" s="1">
        <f t="shared" si="40"/>
        <v>0</v>
      </c>
      <c r="AK92" s="1">
        <f t="shared" si="41"/>
        <v>0</v>
      </c>
      <c r="AL92" s="1">
        <f t="shared" si="42"/>
        <v>0</v>
      </c>
      <c r="AM92" s="1">
        <f t="shared" si="43"/>
        <v>0</v>
      </c>
      <c r="AN92" s="1">
        <f t="shared" si="44"/>
        <v>0</v>
      </c>
      <c r="AQ92" s="6">
        <v>2013</v>
      </c>
      <c r="AR92" s="6" t="s">
        <v>260</v>
      </c>
      <c r="AS92" s="6">
        <v>0.085</v>
      </c>
      <c r="AT92" s="6" t="s">
        <v>591</v>
      </c>
      <c r="AU92" s="6" t="s">
        <v>592</v>
      </c>
      <c r="AV92" t="str">
        <f t="shared" si="73"/>
        <v>MINBatMaterials_COP</v>
      </c>
      <c r="AW92">
        <f t="shared" si="108"/>
        <v>0</v>
      </c>
      <c r="AX92">
        <f t="shared" si="74"/>
        <v>99.5</v>
      </c>
      <c r="AY92">
        <f t="shared" si="75"/>
        <v>20</v>
      </c>
      <c r="AZ92">
        <f t="shared" si="76"/>
        <v>0</v>
      </c>
      <c r="BA92">
        <f t="shared" si="77"/>
        <v>0</v>
      </c>
      <c r="BB92">
        <f t="shared" si="78"/>
        <v>0</v>
      </c>
      <c r="BC92">
        <f t="shared" si="79"/>
        <v>0</v>
      </c>
      <c r="BD92">
        <f t="shared" si="80"/>
        <v>45</v>
      </c>
      <c r="BE92">
        <f t="shared" si="81"/>
        <v>0</v>
      </c>
      <c r="BF92">
        <f t="shared" si="82"/>
        <v>0</v>
      </c>
      <c r="BG92">
        <f t="shared" si="83"/>
        <v>0</v>
      </c>
      <c r="BH92">
        <f t="shared" si="84"/>
        <v>0</v>
      </c>
      <c r="BI92">
        <f t="shared" si="85"/>
        <v>0</v>
      </c>
      <c r="BJ92">
        <f t="shared" si="86"/>
        <v>0</v>
      </c>
      <c r="BK92">
        <f t="shared" si="87"/>
        <v>0</v>
      </c>
      <c r="BL92">
        <f t="shared" si="88"/>
        <v>0.75</v>
      </c>
      <c r="BM92">
        <f t="shared" si="89"/>
        <v>0</v>
      </c>
      <c r="BN92">
        <f t="shared" si="90"/>
        <v>0</v>
      </c>
      <c r="BO92">
        <f t="shared" si="91"/>
        <v>0</v>
      </c>
      <c r="BP92">
        <f t="shared" si="92"/>
        <v>197.5</v>
      </c>
      <c r="BQ92">
        <f t="shared" si="93"/>
        <v>0</v>
      </c>
      <c r="BR92">
        <f t="shared" si="94"/>
        <v>56.25</v>
      </c>
      <c r="BS92">
        <f t="shared" si="95"/>
        <v>0</v>
      </c>
      <c r="BT92">
        <f t="shared" si="96"/>
        <v>10.25</v>
      </c>
      <c r="BU92">
        <f t="shared" si="97"/>
        <v>117.5</v>
      </c>
      <c r="BV92">
        <f t="shared" si="98"/>
        <v>23.25</v>
      </c>
      <c r="BW92">
        <f t="shared" si="99"/>
        <v>0</v>
      </c>
      <c r="BX92">
        <f t="shared" si="100"/>
        <v>0</v>
      </c>
      <c r="BY92">
        <f t="shared" si="101"/>
        <v>0</v>
      </c>
      <c r="BZ92">
        <f t="shared" si="102"/>
        <v>0</v>
      </c>
      <c r="CA92">
        <f t="shared" si="103"/>
        <v>0</v>
      </c>
      <c r="CB92">
        <f t="shared" si="104"/>
        <v>0</v>
      </c>
      <c r="CC92">
        <f t="shared" si="105"/>
        <v>0</v>
      </c>
      <c r="CD92">
        <f t="shared" si="106"/>
        <v>0</v>
      </c>
      <c r="CE92">
        <f t="shared" si="107"/>
        <v>0</v>
      </c>
      <c r="CG92" s="6">
        <v>2013</v>
      </c>
      <c r="CH92" s="6" t="s">
        <v>260</v>
      </c>
      <c r="CI92" s="6">
        <v>0.085</v>
      </c>
      <c r="CJ92" s="6">
        <v>0.085</v>
      </c>
      <c r="CK92" s="6" t="s">
        <v>591</v>
      </c>
      <c r="CL92" s="6" t="s">
        <v>591</v>
      </c>
      <c r="CM92" s="6" t="s">
        <v>593</v>
      </c>
    </row>
    <row r="93" spans="4:91">
      <c r="D93">
        <f t="shared" si="109"/>
        <v>2018</v>
      </c>
      <c r="E93" t="s">
        <v>262</v>
      </c>
      <c r="F93" s="1">
        <f t="shared" si="11"/>
        <v>0</v>
      </c>
      <c r="G93" s="1">
        <f t="shared" si="12"/>
        <v>14.4585</v>
      </c>
      <c r="H93" s="1">
        <f t="shared" si="13"/>
        <v>0</v>
      </c>
      <c r="I93" s="1">
        <f t="shared" si="14"/>
        <v>0.03825</v>
      </c>
      <c r="J93" s="1">
        <f t="shared" si="15"/>
        <v>0</v>
      </c>
      <c r="K93" s="1">
        <f t="shared" si="16"/>
        <v>0</v>
      </c>
      <c r="L93" s="1">
        <f t="shared" si="17"/>
        <v>5.202</v>
      </c>
      <c r="M93" s="1">
        <f t="shared" si="6"/>
        <v>97.155</v>
      </c>
      <c r="N93" s="1">
        <f t="shared" si="18"/>
        <v>0</v>
      </c>
      <c r="O93" s="1">
        <f t="shared" si="19"/>
        <v>0</v>
      </c>
      <c r="P93" s="1">
        <f t="shared" si="20"/>
        <v>0</v>
      </c>
      <c r="Q93" s="1">
        <f t="shared" si="21"/>
        <v>0.0153</v>
      </c>
      <c r="R93" s="1">
        <f t="shared" si="22"/>
        <v>0</v>
      </c>
      <c r="S93" s="1">
        <f t="shared" si="23"/>
        <v>0</v>
      </c>
      <c r="T93" s="1">
        <f t="shared" si="24"/>
        <v>0</v>
      </c>
      <c r="U93" s="1">
        <f t="shared" si="25"/>
        <v>2.142</v>
      </c>
      <c r="V93" s="1">
        <f t="shared" si="26"/>
        <v>0</v>
      </c>
      <c r="W93" s="1">
        <f t="shared" si="27"/>
        <v>0</v>
      </c>
      <c r="X93" s="1">
        <f t="shared" si="28"/>
        <v>0</v>
      </c>
      <c r="Y93" s="1">
        <f t="shared" si="29"/>
        <v>0</v>
      </c>
      <c r="Z93" s="1">
        <f t="shared" si="30"/>
        <v>0</v>
      </c>
      <c r="AA93" s="1">
        <f t="shared" si="31"/>
        <v>1.59885</v>
      </c>
      <c r="AB93" s="1">
        <f t="shared" si="32"/>
        <v>0.5355</v>
      </c>
      <c r="AC93" s="1">
        <f t="shared" si="33"/>
        <v>0</v>
      </c>
      <c r="AD93" s="1">
        <f t="shared" si="34"/>
        <v>1.75185</v>
      </c>
      <c r="AE93" s="1">
        <f t="shared" si="35"/>
        <v>1.53</v>
      </c>
      <c r="AF93" s="1">
        <f t="shared" si="36"/>
        <v>0</v>
      </c>
      <c r="AG93" s="1">
        <f t="shared" si="37"/>
        <v>0</v>
      </c>
      <c r="AH93" s="1">
        <f t="shared" si="38"/>
        <v>0</v>
      </c>
      <c r="AI93" s="1">
        <f t="shared" si="39"/>
        <v>0</v>
      </c>
      <c r="AJ93" s="1">
        <f t="shared" si="40"/>
        <v>0</v>
      </c>
      <c r="AK93" s="1">
        <f t="shared" si="41"/>
        <v>0.2295</v>
      </c>
      <c r="AL93" s="1">
        <f t="shared" si="42"/>
        <v>0</v>
      </c>
      <c r="AM93" s="1">
        <f t="shared" si="43"/>
        <v>0.0918</v>
      </c>
      <c r="AN93" s="1">
        <f t="shared" si="44"/>
        <v>0</v>
      </c>
      <c r="AQ93" s="6">
        <v>2013</v>
      </c>
      <c r="AR93" s="6" t="s">
        <v>262</v>
      </c>
      <c r="AS93" s="6">
        <v>0.085</v>
      </c>
      <c r="AT93" s="6" t="s">
        <v>591</v>
      </c>
      <c r="AU93" s="6" t="s">
        <v>592</v>
      </c>
      <c r="AV93" t="str">
        <f t="shared" si="73"/>
        <v>MINBatMaterials_GR</v>
      </c>
      <c r="AW93">
        <f t="shared" si="108"/>
        <v>0</v>
      </c>
      <c r="AX93">
        <f t="shared" si="74"/>
        <v>170.1</v>
      </c>
      <c r="AY93">
        <f t="shared" si="75"/>
        <v>0</v>
      </c>
      <c r="AZ93">
        <f t="shared" si="76"/>
        <v>0.45</v>
      </c>
      <c r="BA93">
        <f t="shared" si="77"/>
        <v>0</v>
      </c>
      <c r="BB93">
        <f t="shared" si="78"/>
        <v>0</v>
      </c>
      <c r="BC93">
        <f t="shared" si="79"/>
        <v>61.2</v>
      </c>
      <c r="BD93">
        <f t="shared" si="80"/>
        <v>1143</v>
      </c>
      <c r="BE93">
        <f t="shared" si="81"/>
        <v>0</v>
      </c>
      <c r="BF93">
        <f t="shared" si="82"/>
        <v>0</v>
      </c>
      <c r="BG93">
        <f t="shared" si="83"/>
        <v>0</v>
      </c>
      <c r="BH93">
        <f t="shared" si="84"/>
        <v>0.18</v>
      </c>
      <c r="BI93">
        <f t="shared" si="85"/>
        <v>0</v>
      </c>
      <c r="BJ93">
        <f t="shared" si="86"/>
        <v>0</v>
      </c>
      <c r="BK93">
        <f t="shared" si="87"/>
        <v>0</v>
      </c>
      <c r="BL93">
        <f t="shared" si="88"/>
        <v>25.2</v>
      </c>
      <c r="BM93">
        <f t="shared" si="89"/>
        <v>0</v>
      </c>
      <c r="BN93">
        <f t="shared" si="90"/>
        <v>0</v>
      </c>
      <c r="BO93">
        <f t="shared" si="91"/>
        <v>0</v>
      </c>
      <c r="BP93">
        <f t="shared" si="92"/>
        <v>0</v>
      </c>
      <c r="BQ93">
        <f t="shared" si="93"/>
        <v>0</v>
      </c>
      <c r="BR93">
        <f t="shared" si="94"/>
        <v>18.81</v>
      </c>
      <c r="BS93">
        <f t="shared" si="95"/>
        <v>6.3</v>
      </c>
      <c r="BT93">
        <f t="shared" si="96"/>
        <v>0</v>
      </c>
      <c r="BU93">
        <f t="shared" si="97"/>
        <v>20.61</v>
      </c>
      <c r="BV93">
        <f t="shared" si="98"/>
        <v>18</v>
      </c>
      <c r="BW93">
        <f t="shared" si="99"/>
        <v>0</v>
      </c>
      <c r="BX93">
        <f t="shared" si="100"/>
        <v>0</v>
      </c>
      <c r="BY93">
        <f t="shared" si="101"/>
        <v>0</v>
      </c>
      <c r="BZ93">
        <f t="shared" si="102"/>
        <v>0</v>
      </c>
      <c r="CA93">
        <f t="shared" si="103"/>
        <v>0</v>
      </c>
      <c r="CB93">
        <f t="shared" si="104"/>
        <v>2.7</v>
      </c>
      <c r="CC93">
        <f t="shared" si="105"/>
        <v>0</v>
      </c>
      <c r="CD93">
        <f t="shared" si="106"/>
        <v>1.08</v>
      </c>
      <c r="CE93">
        <f t="shared" si="107"/>
        <v>0</v>
      </c>
      <c r="CG93" s="6">
        <v>2013</v>
      </c>
      <c r="CH93" s="6" t="s">
        <v>262</v>
      </c>
      <c r="CI93" s="6">
        <v>0.085</v>
      </c>
      <c r="CJ93" s="6">
        <v>0.085</v>
      </c>
      <c r="CK93" s="6" t="s">
        <v>591</v>
      </c>
      <c r="CL93" s="6" t="s">
        <v>591</v>
      </c>
      <c r="CM93" s="6" t="s">
        <v>593</v>
      </c>
    </row>
    <row r="94" spans="4:91">
      <c r="D94">
        <v>2013</v>
      </c>
      <c r="E94" t="s">
        <v>68</v>
      </c>
      <c r="F94" s="1">
        <f t="shared" si="11"/>
        <v>0</v>
      </c>
      <c r="G94" s="1">
        <f t="shared" si="12"/>
        <v>0</v>
      </c>
      <c r="H94" s="1">
        <f t="shared" si="13"/>
        <v>6.8e-5</v>
      </c>
      <c r="I94" s="1">
        <f t="shared" si="14"/>
        <v>0.00017</v>
      </c>
      <c r="J94" s="1">
        <f t="shared" si="15"/>
        <v>6.8e-5</v>
      </c>
      <c r="K94" s="1">
        <f t="shared" si="16"/>
        <v>0.001768</v>
      </c>
      <c r="L94" s="1">
        <f t="shared" si="17"/>
        <v>0.00017</v>
      </c>
      <c r="M94" s="1">
        <f t="shared" si="6"/>
        <v>2.078046</v>
      </c>
      <c r="N94" s="1">
        <f t="shared" si="18"/>
        <v>0</v>
      </c>
      <c r="O94" s="1">
        <f t="shared" si="19"/>
        <v>0.00017</v>
      </c>
      <c r="P94" s="1">
        <f t="shared" si="20"/>
        <v>0.001071</v>
      </c>
      <c r="Q94" s="1">
        <f t="shared" si="21"/>
        <v>0.000884</v>
      </c>
      <c r="R94" s="1">
        <f t="shared" si="22"/>
        <v>0</v>
      </c>
      <c r="S94" s="1">
        <f t="shared" si="23"/>
        <v>0.00017</v>
      </c>
      <c r="T94" s="1">
        <f t="shared" si="24"/>
        <v>0</v>
      </c>
      <c r="U94" s="1">
        <f t="shared" si="25"/>
        <v>0.002125</v>
      </c>
      <c r="V94" s="1">
        <f t="shared" si="26"/>
        <v>0</v>
      </c>
      <c r="W94" s="1">
        <f t="shared" si="27"/>
        <v>0.000357</v>
      </c>
      <c r="X94" s="1">
        <f t="shared" si="28"/>
        <v>0.00017</v>
      </c>
      <c r="Y94" s="1">
        <f t="shared" si="29"/>
        <v>0.000799</v>
      </c>
      <c r="Z94" s="1">
        <f t="shared" si="30"/>
        <v>6.8e-5</v>
      </c>
      <c r="AA94" s="1">
        <f t="shared" si="31"/>
        <v>0.002499</v>
      </c>
      <c r="AB94" s="1">
        <f t="shared" si="32"/>
        <v>0.000357</v>
      </c>
      <c r="AC94" s="1">
        <f t="shared" si="33"/>
        <v>0.000969</v>
      </c>
      <c r="AD94" s="1">
        <f t="shared" si="34"/>
        <v>0.001071</v>
      </c>
      <c r="AE94" s="1">
        <f t="shared" si="35"/>
        <v>0.00034</v>
      </c>
      <c r="AF94" s="1">
        <f t="shared" si="36"/>
        <v>0</v>
      </c>
      <c r="AG94" s="1">
        <f t="shared" si="37"/>
        <v>0</v>
      </c>
      <c r="AH94" s="1">
        <f t="shared" si="38"/>
        <v>0.000527</v>
      </c>
      <c r="AI94" s="1">
        <f t="shared" si="39"/>
        <v>0.001071</v>
      </c>
      <c r="AJ94" s="1">
        <f t="shared" si="40"/>
        <v>0.00017</v>
      </c>
      <c r="AK94" s="1">
        <f t="shared" si="41"/>
        <v>0.00017</v>
      </c>
      <c r="AL94" s="1">
        <f t="shared" si="42"/>
        <v>0.001428</v>
      </c>
      <c r="AM94" s="1">
        <f t="shared" si="43"/>
        <v>0</v>
      </c>
      <c r="AN94" s="1">
        <f t="shared" si="44"/>
        <v>0</v>
      </c>
      <c r="AQ94" s="6">
        <v>2013</v>
      </c>
      <c r="AR94" s="6" t="s">
        <v>68</v>
      </c>
      <c r="AS94" s="6">
        <v>0.017</v>
      </c>
      <c r="AT94" s="6" t="s">
        <v>568</v>
      </c>
      <c r="AU94" s="6" t="s">
        <v>594</v>
      </c>
      <c r="AV94" t="str">
        <f t="shared" si="73"/>
        <v>Tra_EV_Batt-LFP_virgin</v>
      </c>
      <c r="AW94">
        <f t="shared" si="108"/>
        <v>0</v>
      </c>
      <c r="AX94">
        <f t="shared" si="74"/>
        <v>0</v>
      </c>
      <c r="AY94">
        <f t="shared" si="75"/>
        <v>0.004</v>
      </c>
      <c r="AZ94">
        <f t="shared" si="76"/>
        <v>0.01</v>
      </c>
      <c r="BA94">
        <f t="shared" si="77"/>
        <v>0.004</v>
      </c>
      <c r="BB94">
        <f t="shared" si="78"/>
        <v>0.104</v>
      </c>
      <c r="BC94">
        <f t="shared" si="79"/>
        <v>0.01</v>
      </c>
      <c r="BD94">
        <f t="shared" si="80"/>
        <v>122.238</v>
      </c>
      <c r="BE94">
        <f t="shared" si="81"/>
        <v>0</v>
      </c>
      <c r="BF94">
        <f t="shared" si="82"/>
        <v>0.01</v>
      </c>
      <c r="BG94">
        <f t="shared" si="83"/>
        <v>0.063</v>
      </c>
      <c r="BH94">
        <f t="shared" si="84"/>
        <v>0.052</v>
      </c>
      <c r="BI94">
        <f t="shared" si="85"/>
        <v>0</v>
      </c>
      <c r="BJ94">
        <f t="shared" si="86"/>
        <v>0.01</v>
      </c>
      <c r="BK94">
        <f t="shared" si="87"/>
        <v>0</v>
      </c>
      <c r="BL94">
        <f t="shared" si="88"/>
        <v>0.125</v>
      </c>
      <c r="BM94">
        <f t="shared" si="89"/>
        <v>0</v>
      </c>
      <c r="BN94">
        <f t="shared" si="90"/>
        <v>0.021</v>
      </c>
      <c r="BO94">
        <f t="shared" si="91"/>
        <v>0.01</v>
      </c>
      <c r="BP94">
        <f t="shared" si="92"/>
        <v>0.047</v>
      </c>
      <c r="BQ94">
        <f t="shared" si="93"/>
        <v>0.004</v>
      </c>
      <c r="BR94">
        <f t="shared" si="94"/>
        <v>0.147</v>
      </c>
      <c r="BS94">
        <f t="shared" si="95"/>
        <v>0.021</v>
      </c>
      <c r="BT94">
        <f t="shared" si="96"/>
        <v>0.057</v>
      </c>
      <c r="BU94">
        <f t="shared" si="97"/>
        <v>0.063</v>
      </c>
      <c r="BV94">
        <f t="shared" si="98"/>
        <v>0.02</v>
      </c>
      <c r="BW94">
        <f t="shared" si="99"/>
        <v>0</v>
      </c>
      <c r="BX94">
        <f t="shared" si="100"/>
        <v>0</v>
      </c>
      <c r="BY94">
        <f t="shared" si="101"/>
        <v>0.031</v>
      </c>
      <c r="BZ94">
        <f t="shared" si="102"/>
        <v>0.063</v>
      </c>
      <c r="CA94">
        <f t="shared" si="103"/>
        <v>0.01</v>
      </c>
      <c r="CB94">
        <f t="shared" si="104"/>
        <v>0.01</v>
      </c>
      <c r="CC94">
        <f t="shared" si="105"/>
        <v>0.084</v>
      </c>
      <c r="CD94">
        <f t="shared" si="106"/>
        <v>0</v>
      </c>
      <c r="CE94">
        <f t="shared" si="107"/>
        <v>0</v>
      </c>
      <c r="CG94" s="6">
        <v>2013</v>
      </c>
      <c r="CH94" s="6" t="s">
        <v>68</v>
      </c>
      <c r="CI94" s="6">
        <v>0.017</v>
      </c>
      <c r="CJ94" s="6">
        <v>0.018</v>
      </c>
      <c r="CK94" s="6" t="s">
        <v>595</v>
      </c>
      <c r="CL94" s="6" t="s">
        <v>596</v>
      </c>
      <c r="CM94" s="6" t="s">
        <v>597</v>
      </c>
    </row>
    <row r="95" spans="4:91">
      <c r="D95">
        <f t="shared" si="109"/>
        <v>2013</v>
      </c>
      <c r="E95" t="s">
        <v>90</v>
      </c>
      <c r="F95" s="1">
        <f t="shared" si="11"/>
        <v>5.1e-5</v>
      </c>
      <c r="G95" s="1">
        <f t="shared" si="12"/>
        <v>5.1e-5</v>
      </c>
      <c r="H95" s="1">
        <f t="shared" si="13"/>
        <v>0.001734</v>
      </c>
      <c r="I95" s="1">
        <f t="shared" si="14"/>
        <v>0.005814</v>
      </c>
      <c r="J95" s="1">
        <f t="shared" si="15"/>
        <v>0.000663</v>
      </c>
      <c r="K95" s="1">
        <f t="shared" si="16"/>
        <v>0.026588</v>
      </c>
      <c r="L95" s="1">
        <f t="shared" si="17"/>
        <v>0.000204</v>
      </c>
      <c r="M95" s="1">
        <f t="shared" si="6"/>
        <v>0.35802</v>
      </c>
      <c r="N95" s="1">
        <f t="shared" si="18"/>
        <v>0.000476</v>
      </c>
      <c r="O95" s="1">
        <f t="shared" si="19"/>
        <v>0.000748</v>
      </c>
      <c r="P95" s="1">
        <f t="shared" si="20"/>
        <v>0.04284</v>
      </c>
      <c r="Q95" s="1">
        <f t="shared" si="21"/>
        <v>0.033609</v>
      </c>
      <c r="R95" s="1">
        <f t="shared" si="22"/>
        <v>0.000102</v>
      </c>
      <c r="S95" s="1">
        <f t="shared" si="23"/>
        <v>0.001445</v>
      </c>
      <c r="T95" s="1">
        <f t="shared" si="24"/>
        <v>0.002125</v>
      </c>
      <c r="U95" s="1">
        <f t="shared" si="25"/>
        <v>0.00119</v>
      </c>
      <c r="V95" s="1">
        <f t="shared" si="26"/>
        <v>0.001394</v>
      </c>
      <c r="W95" s="1">
        <f t="shared" si="27"/>
        <v>0.004352</v>
      </c>
      <c r="X95" s="1">
        <f t="shared" si="28"/>
        <v>0.038811</v>
      </c>
      <c r="Y95" s="1">
        <f t="shared" si="29"/>
        <v>0.000765</v>
      </c>
      <c r="Z95" s="1">
        <f t="shared" si="30"/>
        <v>0.000663</v>
      </c>
      <c r="AA95" s="1">
        <f t="shared" si="31"/>
        <v>0.117827</v>
      </c>
      <c r="AB95" s="1">
        <f t="shared" si="32"/>
        <v>0.046036</v>
      </c>
      <c r="AC95" s="1">
        <f t="shared" si="33"/>
        <v>0.000901</v>
      </c>
      <c r="AD95" s="1">
        <f t="shared" si="34"/>
        <v>0.008058</v>
      </c>
      <c r="AE95" s="1">
        <f t="shared" si="35"/>
        <v>0.000952</v>
      </c>
      <c r="AF95" s="1">
        <f t="shared" si="36"/>
        <v>3.4e-5</v>
      </c>
      <c r="AG95" s="1">
        <f t="shared" si="37"/>
        <v>0.000153</v>
      </c>
      <c r="AH95" s="1">
        <f t="shared" si="38"/>
        <v>0.008891</v>
      </c>
      <c r="AI95" s="1">
        <f t="shared" si="39"/>
        <v>0.01513</v>
      </c>
      <c r="AJ95" s="1">
        <f t="shared" si="40"/>
        <v>0.005729</v>
      </c>
      <c r="AK95" s="1">
        <f t="shared" si="41"/>
        <v>0.000204</v>
      </c>
      <c r="AL95" s="1">
        <f t="shared" si="42"/>
        <v>0.027013</v>
      </c>
      <c r="AM95" s="1">
        <f t="shared" si="43"/>
        <v>0.001904</v>
      </c>
      <c r="AN95" s="1">
        <f t="shared" si="44"/>
        <v>8.5e-5</v>
      </c>
      <c r="AQ95" s="6">
        <v>2013</v>
      </c>
      <c r="AR95" s="6" t="s">
        <v>90</v>
      </c>
      <c r="AS95" s="6">
        <v>0.017</v>
      </c>
      <c r="AT95" s="6" t="s">
        <v>568</v>
      </c>
      <c r="AU95" s="6" t="s">
        <v>594</v>
      </c>
      <c r="AV95" t="str">
        <f t="shared" si="73"/>
        <v>Tra_EV_Batt-NMC622_virgin</v>
      </c>
      <c r="AW95">
        <f t="shared" si="108"/>
        <v>0.003</v>
      </c>
      <c r="AX95">
        <f t="shared" si="74"/>
        <v>0.003</v>
      </c>
      <c r="AY95">
        <f t="shared" si="75"/>
        <v>0.102</v>
      </c>
      <c r="AZ95">
        <f t="shared" si="76"/>
        <v>0.342</v>
      </c>
      <c r="BA95">
        <f t="shared" si="77"/>
        <v>0.039</v>
      </c>
      <c r="BB95">
        <f t="shared" si="78"/>
        <v>1.564</v>
      </c>
      <c r="BC95">
        <f t="shared" si="79"/>
        <v>0.012</v>
      </c>
      <c r="BD95">
        <f t="shared" si="80"/>
        <v>21.06</v>
      </c>
      <c r="BE95">
        <f t="shared" si="81"/>
        <v>0.028</v>
      </c>
      <c r="BF95">
        <f t="shared" si="82"/>
        <v>0.044</v>
      </c>
      <c r="BG95">
        <f t="shared" si="83"/>
        <v>2.52</v>
      </c>
      <c r="BH95">
        <f t="shared" si="84"/>
        <v>1.977</v>
      </c>
      <c r="BI95">
        <f t="shared" si="85"/>
        <v>0.006</v>
      </c>
      <c r="BJ95">
        <f t="shared" si="86"/>
        <v>0.085</v>
      </c>
      <c r="BK95">
        <f t="shared" si="87"/>
        <v>0.125</v>
      </c>
      <c r="BL95">
        <f t="shared" si="88"/>
        <v>0.07</v>
      </c>
      <c r="BM95">
        <f t="shared" si="89"/>
        <v>0.082</v>
      </c>
      <c r="BN95">
        <f t="shared" si="90"/>
        <v>0.256</v>
      </c>
      <c r="BO95">
        <f t="shared" si="91"/>
        <v>2.283</v>
      </c>
      <c r="BP95">
        <f t="shared" si="92"/>
        <v>0.045</v>
      </c>
      <c r="BQ95">
        <f t="shared" si="93"/>
        <v>0.039</v>
      </c>
      <c r="BR95">
        <f t="shared" si="94"/>
        <v>6.931</v>
      </c>
      <c r="BS95">
        <f t="shared" si="95"/>
        <v>2.708</v>
      </c>
      <c r="BT95">
        <f t="shared" si="96"/>
        <v>0.053</v>
      </c>
      <c r="BU95">
        <f t="shared" si="97"/>
        <v>0.474</v>
      </c>
      <c r="BV95">
        <f t="shared" si="98"/>
        <v>0.056</v>
      </c>
      <c r="BW95">
        <f t="shared" si="99"/>
        <v>0.002</v>
      </c>
      <c r="BX95">
        <f t="shared" si="100"/>
        <v>0.009</v>
      </c>
      <c r="BY95">
        <f t="shared" si="101"/>
        <v>0.523</v>
      </c>
      <c r="BZ95">
        <f t="shared" si="102"/>
        <v>0.89</v>
      </c>
      <c r="CA95">
        <f t="shared" si="103"/>
        <v>0.337</v>
      </c>
      <c r="CB95">
        <f t="shared" si="104"/>
        <v>0.012</v>
      </c>
      <c r="CC95">
        <f t="shared" si="105"/>
        <v>1.589</v>
      </c>
      <c r="CD95">
        <f t="shared" si="106"/>
        <v>0.112</v>
      </c>
      <c r="CE95">
        <f t="shared" si="107"/>
        <v>0.005</v>
      </c>
      <c r="CG95" s="6">
        <v>2013</v>
      </c>
      <c r="CH95" s="6" t="s">
        <v>90</v>
      </c>
      <c r="CI95" s="6">
        <v>0.017</v>
      </c>
      <c r="CJ95" s="6">
        <v>0.018</v>
      </c>
      <c r="CK95" s="6" t="s">
        <v>595</v>
      </c>
      <c r="CL95" s="6" t="s">
        <v>596</v>
      </c>
      <c r="CM95" s="6" t="s">
        <v>597</v>
      </c>
    </row>
    <row r="96" spans="4:91">
      <c r="D96">
        <f t="shared" si="109"/>
        <v>2013</v>
      </c>
      <c r="E96" t="s">
        <v>94</v>
      </c>
      <c r="F96" s="1">
        <f t="shared" si="11"/>
        <v>5.1e-5</v>
      </c>
      <c r="G96" s="1">
        <f t="shared" si="12"/>
        <v>5.1e-5</v>
      </c>
      <c r="H96" s="1">
        <f t="shared" si="13"/>
        <v>0.001445</v>
      </c>
      <c r="I96" s="1">
        <f t="shared" si="14"/>
        <v>0.004743</v>
      </c>
      <c r="J96" s="1">
        <f t="shared" si="15"/>
        <v>0.000561</v>
      </c>
      <c r="K96" s="1">
        <f t="shared" si="16"/>
        <v>0.021879</v>
      </c>
      <c r="L96" s="1">
        <f t="shared" si="17"/>
        <v>0.00017</v>
      </c>
      <c r="M96" s="1">
        <f t="shared" si="6"/>
        <v>0.775013</v>
      </c>
      <c r="N96" s="1">
        <f t="shared" si="18"/>
        <v>0.000408</v>
      </c>
      <c r="O96" s="1">
        <f t="shared" si="19"/>
        <v>0.000595</v>
      </c>
      <c r="P96" s="1">
        <f t="shared" si="20"/>
        <v>0.032487</v>
      </c>
      <c r="Q96" s="1">
        <f t="shared" si="21"/>
        <v>0.026741</v>
      </c>
      <c r="R96" s="1">
        <f t="shared" si="22"/>
        <v>8.5e-5</v>
      </c>
      <c r="S96" s="1">
        <f t="shared" si="23"/>
        <v>0.001173</v>
      </c>
      <c r="T96" s="1">
        <f t="shared" si="24"/>
        <v>0.001768</v>
      </c>
      <c r="U96" s="1">
        <f t="shared" si="25"/>
        <v>0.000119</v>
      </c>
      <c r="V96" s="1">
        <f t="shared" si="26"/>
        <v>0.001139</v>
      </c>
      <c r="W96" s="1">
        <f t="shared" si="27"/>
        <v>0.003451</v>
      </c>
      <c r="X96" s="1">
        <f t="shared" si="28"/>
        <v>0.007174</v>
      </c>
      <c r="Y96" s="1">
        <f t="shared" si="29"/>
        <v>0.000663</v>
      </c>
      <c r="Z96" s="1">
        <f t="shared" si="30"/>
        <v>0.000561</v>
      </c>
      <c r="AA96" s="1">
        <f t="shared" si="31"/>
        <v>0.082484</v>
      </c>
      <c r="AB96" s="1">
        <f t="shared" si="32"/>
        <v>0.027557</v>
      </c>
      <c r="AC96" s="1">
        <f t="shared" si="33"/>
        <v>0.000782</v>
      </c>
      <c r="AD96" s="1">
        <f t="shared" si="34"/>
        <v>0.026214</v>
      </c>
      <c r="AE96" s="1">
        <f t="shared" si="35"/>
        <v>0.000816</v>
      </c>
      <c r="AF96" s="1">
        <f t="shared" si="36"/>
        <v>1.7e-5</v>
      </c>
      <c r="AG96" s="1">
        <f t="shared" si="37"/>
        <v>0.000119</v>
      </c>
      <c r="AH96" s="1">
        <f t="shared" si="38"/>
        <v>0.007208</v>
      </c>
      <c r="AI96" s="1">
        <f t="shared" si="39"/>
        <v>0.012291</v>
      </c>
      <c r="AJ96" s="1">
        <f t="shared" si="40"/>
        <v>0.004675</v>
      </c>
      <c r="AK96" s="1">
        <f t="shared" si="41"/>
        <v>0.000187</v>
      </c>
      <c r="AL96" s="1">
        <f t="shared" si="42"/>
        <v>0.021981</v>
      </c>
      <c r="AM96" s="1">
        <f t="shared" si="43"/>
        <v>0.000323</v>
      </c>
      <c r="AN96" s="1">
        <f t="shared" si="44"/>
        <v>6.8e-5</v>
      </c>
      <c r="AQ96" s="6">
        <v>2013</v>
      </c>
      <c r="AR96" s="6" t="s">
        <v>94</v>
      </c>
      <c r="AS96" s="6">
        <v>0.017</v>
      </c>
      <c r="AT96" s="6" t="s">
        <v>568</v>
      </c>
      <c r="AU96" s="6" t="s">
        <v>594</v>
      </c>
      <c r="AV96" t="str">
        <f t="shared" si="73"/>
        <v>Tra_EV_Batt-NMC811_virgin</v>
      </c>
      <c r="AW96">
        <f t="shared" si="108"/>
        <v>0.003</v>
      </c>
      <c r="AX96">
        <f t="shared" si="74"/>
        <v>0.003</v>
      </c>
      <c r="AY96">
        <f t="shared" si="75"/>
        <v>0.085</v>
      </c>
      <c r="AZ96">
        <f t="shared" si="76"/>
        <v>0.279</v>
      </c>
      <c r="BA96">
        <f t="shared" si="77"/>
        <v>0.033</v>
      </c>
      <c r="BB96">
        <f t="shared" si="78"/>
        <v>1.287</v>
      </c>
      <c r="BC96">
        <f t="shared" si="79"/>
        <v>0.01</v>
      </c>
      <c r="BD96">
        <f t="shared" si="80"/>
        <v>45.589</v>
      </c>
      <c r="BE96">
        <f t="shared" si="81"/>
        <v>0.024</v>
      </c>
      <c r="BF96">
        <f t="shared" si="82"/>
        <v>0.035</v>
      </c>
      <c r="BG96">
        <f t="shared" si="83"/>
        <v>1.911</v>
      </c>
      <c r="BH96">
        <f t="shared" si="84"/>
        <v>1.573</v>
      </c>
      <c r="BI96">
        <f t="shared" si="85"/>
        <v>0.005</v>
      </c>
      <c r="BJ96">
        <f t="shared" si="86"/>
        <v>0.069</v>
      </c>
      <c r="BK96">
        <f t="shared" si="87"/>
        <v>0.104</v>
      </c>
      <c r="BL96">
        <f t="shared" si="88"/>
        <v>0.007</v>
      </c>
      <c r="BM96">
        <f t="shared" si="89"/>
        <v>0.067</v>
      </c>
      <c r="BN96">
        <f t="shared" si="90"/>
        <v>0.203</v>
      </c>
      <c r="BO96">
        <f t="shared" si="91"/>
        <v>0.422</v>
      </c>
      <c r="BP96">
        <f t="shared" si="92"/>
        <v>0.039</v>
      </c>
      <c r="BQ96">
        <f t="shared" si="93"/>
        <v>0.033</v>
      </c>
      <c r="BR96">
        <f t="shared" si="94"/>
        <v>4.852</v>
      </c>
      <c r="BS96">
        <f t="shared" si="95"/>
        <v>1.621</v>
      </c>
      <c r="BT96">
        <f t="shared" si="96"/>
        <v>0.046</v>
      </c>
      <c r="BU96">
        <f t="shared" si="97"/>
        <v>1.542</v>
      </c>
      <c r="BV96">
        <f t="shared" si="98"/>
        <v>0.048</v>
      </c>
      <c r="BW96">
        <f t="shared" si="99"/>
        <v>0.001</v>
      </c>
      <c r="BX96">
        <f t="shared" si="100"/>
        <v>0.007</v>
      </c>
      <c r="BY96">
        <f t="shared" si="101"/>
        <v>0.424</v>
      </c>
      <c r="BZ96">
        <f t="shared" si="102"/>
        <v>0.723</v>
      </c>
      <c r="CA96">
        <f t="shared" si="103"/>
        <v>0.275</v>
      </c>
      <c r="CB96">
        <f t="shared" si="104"/>
        <v>0.011</v>
      </c>
      <c r="CC96">
        <f t="shared" si="105"/>
        <v>1.293</v>
      </c>
      <c r="CD96">
        <f t="shared" si="106"/>
        <v>0.019</v>
      </c>
      <c r="CE96">
        <f t="shared" si="107"/>
        <v>0.004</v>
      </c>
      <c r="CG96" s="6">
        <v>2013</v>
      </c>
      <c r="CH96" s="6" t="s">
        <v>94</v>
      </c>
      <c r="CI96" s="6">
        <v>0.017</v>
      </c>
      <c r="CJ96" s="6">
        <v>0.018</v>
      </c>
      <c r="CK96" s="6" t="s">
        <v>595</v>
      </c>
      <c r="CL96" s="6" t="s">
        <v>596</v>
      </c>
      <c r="CM96" s="6" t="s">
        <v>597</v>
      </c>
    </row>
    <row r="97" spans="4:91">
      <c r="D97">
        <f t="shared" si="109"/>
        <v>2013</v>
      </c>
      <c r="E97" t="s">
        <v>86</v>
      </c>
      <c r="F97" s="1">
        <f t="shared" si="11"/>
        <v>1.7e-5</v>
      </c>
      <c r="G97" s="1">
        <f t="shared" si="12"/>
        <v>1.7e-5</v>
      </c>
      <c r="H97" s="1">
        <f t="shared" si="13"/>
        <v>0.000289</v>
      </c>
      <c r="I97" s="1">
        <f t="shared" si="14"/>
        <v>0.000901</v>
      </c>
      <c r="J97" s="1">
        <f t="shared" si="15"/>
        <v>0.000102</v>
      </c>
      <c r="K97" s="1">
        <f t="shared" si="16"/>
        <v>0.004148</v>
      </c>
      <c r="L97" s="1">
        <f t="shared" si="17"/>
        <v>1.7e-5</v>
      </c>
      <c r="M97" s="1">
        <f t="shared" si="6"/>
        <v>0.159647</v>
      </c>
      <c r="N97" s="1">
        <f t="shared" si="18"/>
        <v>8.5e-5</v>
      </c>
      <c r="O97" s="1">
        <f t="shared" si="19"/>
        <v>0.000102</v>
      </c>
      <c r="P97" s="1">
        <f t="shared" si="20"/>
        <v>0.00544</v>
      </c>
      <c r="Q97" s="1">
        <f t="shared" si="21"/>
        <v>0.004896</v>
      </c>
      <c r="R97" s="1">
        <f t="shared" si="22"/>
        <v>1.7e-5</v>
      </c>
      <c r="S97" s="1">
        <f t="shared" si="23"/>
        <v>0.000204</v>
      </c>
      <c r="T97" s="1">
        <f t="shared" si="24"/>
        <v>0.000357</v>
      </c>
      <c r="U97" s="1">
        <f t="shared" si="25"/>
        <v>0</v>
      </c>
      <c r="V97" s="1">
        <f t="shared" si="26"/>
        <v>0.000221</v>
      </c>
      <c r="W97" s="1">
        <f t="shared" si="27"/>
        <v>0.000612</v>
      </c>
      <c r="X97" s="1">
        <f t="shared" si="28"/>
        <v>0</v>
      </c>
      <c r="Y97" s="1">
        <f t="shared" si="29"/>
        <v>6.8e-5</v>
      </c>
      <c r="Z97" s="1">
        <f t="shared" si="30"/>
        <v>0.000102</v>
      </c>
      <c r="AA97" s="1">
        <f t="shared" si="31"/>
        <v>0.081022</v>
      </c>
      <c r="AB97" s="1">
        <f t="shared" si="32"/>
        <v>0.008959</v>
      </c>
      <c r="AC97" s="1">
        <f t="shared" si="33"/>
        <v>8.5e-5</v>
      </c>
      <c r="AD97" s="1">
        <f t="shared" si="34"/>
        <v>0.018343</v>
      </c>
      <c r="AE97" s="1">
        <f t="shared" si="35"/>
        <v>0.000136</v>
      </c>
      <c r="AF97" s="1">
        <f t="shared" si="36"/>
        <v>0</v>
      </c>
      <c r="AG97" s="1">
        <f t="shared" si="37"/>
        <v>1.7e-5</v>
      </c>
      <c r="AH97" s="1">
        <f t="shared" si="38"/>
        <v>0.001343</v>
      </c>
      <c r="AI97" s="1">
        <f t="shared" si="39"/>
        <v>0.002278</v>
      </c>
      <c r="AJ97" s="1">
        <f t="shared" si="40"/>
        <v>0.000884</v>
      </c>
      <c r="AK97" s="1">
        <f t="shared" si="41"/>
        <v>3.4e-5</v>
      </c>
      <c r="AL97" s="1">
        <f t="shared" si="42"/>
        <v>0.004131</v>
      </c>
      <c r="AM97" s="1">
        <f t="shared" si="43"/>
        <v>0</v>
      </c>
      <c r="AN97" s="1">
        <f t="shared" si="44"/>
        <v>1.7e-5</v>
      </c>
      <c r="AQ97" s="6">
        <v>2013</v>
      </c>
      <c r="AR97" s="6" t="s">
        <v>86</v>
      </c>
      <c r="AS97" s="6">
        <v>0.017</v>
      </c>
      <c r="AT97" s="6" t="s">
        <v>568</v>
      </c>
      <c r="AU97" s="6" t="s">
        <v>594</v>
      </c>
      <c r="AV97" t="str">
        <f t="shared" si="73"/>
        <v>Tra_EV_Batt-NMC532_virgin</v>
      </c>
      <c r="AW97">
        <f t="shared" si="108"/>
        <v>0.001</v>
      </c>
      <c r="AX97">
        <f t="shared" si="74"/>
        <v>0.001</v>
      </c>
      <c r="AY97">
        <f t="shared" si="75"/>
        <v>0.017</v>
      </c>
      <c r="AZ97">
        <f t="shared" si="76"/>
        <v>0.053</v>
      </c>
      <c r="BA97">
        <f t="shared" si="77"/>
        <v>0.006</v>
      </c>
      <c r="BB97">
        <f t="shared" si="78"/>
        <v>0.244</v>
      </c>
      <c r="BC97">
        <f t="shared" si="79"/>
        <v>0.001</v>
      </c>
      <c r="BD97">
        <f t="shared" si="80"/>
        <v>9.391</v>
      </c>
      <c r="BE97">
        <f t="shared" si="81"/>
        <v>0.005</v>
      </c>
      <c r="BF97">
        <f t="shared" si="82"/>
        <v>0.006</v>
      </c>
      <c r="BG97">
        <f t="shared" si="83"/>
        <v>0.32</v>
      </c>
      <c r="BH97">
        <f t="shared" si="84"/>
        <v>0.288</v>
      </c>
      <c r="BI97">
        <f t="shared" si="85"/>
        <v>0.001</v>
      </c>
      <c r="BJ97">
        <f t="shared" si="86"/>
        <v>0.012</v>
      </c>
      <c r="BK97">
        <f t="shared" si="87"/>
        <v>0.021</v>
      </c>
      <c r="BL97">
        <f t="shared" si="88"/>
        <v>0</v>
      </c>
      <c r="BM97">
        <f t="shared" si="89"/>
        <v>0.013</v>
      </c>
      <c r="BN97">
        <f t="shared" si="90"/>
        <v>0.036</v>
      </c>
      <c r="BO97">
        <f t="shared" si="91"/>
        <v>0</v>
      </c>
      <c r="BP97">
        <f t="shared" si="92"/>
        <v>0.004</v>
      </c>
      <c r="BQ97">
        <f t="shared" si="93"/>
        <v>0.006</v>
      </c>
      <c r="BR97">
        <f t="shared" si="94"/>
        <v>4.766</v>
      </c>
      <c r="BS97">
        <f t="shared" si="95"/>
        <v>0.527</v>
      </c>
      <c r="BT97">
        <f t="shared" si="96"/>
        <v>0.005</v>
      </c>
      <c r="BU97">
        <f t="shared" si="97"/>
        <v>1.079</v>
      </c>
      <c r="BV97">
        <f t="shared" si="98"/>
        <v>0.008</v>
      </c>
      <c r="BW97">
        <f t="shared" si="99"/>
        <v>0</v>
      </c>
      <c r="BX97">
        <f t="shared" si="100"/>
        <v>0.001</v>
      </c>
      <c r="BY97">
        <f t="shared" si="101"/>
        <v>0.079</v>
      </c>
      <c r="BZ97">
        <f t="shared" si="102"/>
        <v>0.134</v>
      </c>
      <c r="CA97">
        <f t="shared" si="103"/>
        <v>0.052</v>
      </c>
      <c r="CB97">
        <f t="shared" si="104"/>
        <v>0.002</v>
      </c>
      <c r="CC97">
        <f t="shared" si="105"/>
        <v>0.243</v>
      </c>
      <c r="CD97">
        <f t="shared" si="106"/>
        <v>0</v>
      </c>
      <c r="CE97">
        <f t="shared" si="107"/>
        <v>0.001</v>
      </c>
      <c r="CG97" s="6">
        <v>2013</v>
      </c>
      <c r="CH97" s="6" t="s">
        <v>86</v>
      </c>
      <c r="CI97" s="6">
        <v>0.017</v>
      </c>
      <c r="CJ97" s="6">
        <v>0.018</v>
      </c>
      <c r="CK97" s="6" t="s">
        <v>595</v>
      </c>
      <c r="CL97" s="6" t="s">
        <v>596</v>
      </c>
      <c r="CM97" s="6" t="s">
        <v>597</v>
      </c>
    </row>
    <row r="98" spans="4:91">
      <c r="D98">
        <f t="shared" si="109"/>
        <v>2013</v>
      </c>
      <c r="E98" t="s">
        <v>77</v>
      </c>
      <c r="F98" s="1">
        <f t="shared" si="11"/>
        <v>0</v>
      </c>
      <c r="G98" s="1">
        <f t="shared" si="12"/>
        <v>0</v>
      </c>
      <c r="H98" s="1">
        <f t="shared" si="13"/>
        <v>0</v>
      </c>
      <c r="I98" s="1">
        <f t="shared" si="14"/>
        <v>0</v>
      </c>
      <c r="J98" s="1">
        <f t="shared" si="15"/>
        <v>0</v>
      </c>
      <c r="K98" s="1">
        <f t="shared" si="16"/>
        <v>0</v>
      </c>
      <c r="L98" s="1">
        <f t="shared" si="17"/>
        <v>0</v>
      </c>
      <c r="M98" s="1">
        <f t="shared" si="6"/>
        <v>0.028917</v>
      </c>
      <c r="N98" s="1">
        <f t="shared" si="18"/>
        <v>0</v>
      </c>
      <c r="O98" s="1">
        <f t="shared" si="19"/>
        <v>0</v>
      </c>
      <c r="P98" s="1">
        <f t="shared" si="20"/>
        <v>0</v>
      </c>
      <c r="Q98" s="1">
        <f t="shared" si="21"/>
        <v>0</v>
      </c>
      <c r="R98" s="1">
        <f t="shared" si="22"/>
        <v>0</v>
      </c>
      <c r="S98" s="1">
        <f t="shared" si="23"/>
        <v>0</v>
      </c>
      <c r="T98" s="1">
        <f t="shared" si="24"/>
        <v>0</v>
      </c>
      <c r="U98" s="1">
        <f t="shared" si="25"/>
        <v>0</v>
      </c>
      <c r="V98" s="1">
        <f t="shared" si="26"/>
        <v>0</v>
      </c>
      <c r="W98" s="1">
        <f t="shared" si="27"/>
        <v>0</v>
      </c>
      <c r="X98" s="1">
        <f t="shared" si="28"/>
        <v>0</v>
      </c>
      <c r="Y98" s="1">
        <f t="shared" si="29"/>
        <v>0</v>
      </c>
      <c r="Z98" s="1">
        <f t="shared" si="30"/>
        <v>0</v>
      </c>
      <c r="AA98" s="1">
        <f t="shared" si="31"/>
        <v>0</v>
      </c>
      <c r="AB98" s="1">
        <f t="shared" si="32"/>
        <v>0</v>
      </c>
      <c r="AC98" s="1">
        <f t="shared" si="33"/>
        <v>0</v>
      </c>
      <c r="AD98" s="1">
        <f t="shared" si="34"/>
        <v>0</v>
      </c>
      <c r="AE98" s="1">
        <f t="shared" si="35"/>
        <v>0</v>
      </c>
      <c r="AF98" s="1">
        <f t="shared" si="36"/>
        <v>0</v>
      </c>
      <c r="AG98" s="1">
        <f t="shared" si="37"/>
        <v>0</v>
      </c>
      <c r="AH98" s="1">
        <f t="shared" si="38"/>
        <v>0</v>
      </c>
      <c r="AI98" s="1">
        <f t="shared" si="39"/>
        <v>0</v>
      </c>
      <c r="AJ98" s="1">
        <f t="shared" si="40"/>
        <v>0</v>
      </c>
      <c r="AK98" s="1">
        <f t="shared" si="41"/>
        <v>0</v>
      </c>
      <c r="AL98" s="1">
        <f t="shared" si="42"/>
        <v>0</v>
      </c>
      <c r="AM98" s="1">
        <f t="shared" si="43"/>
        <v>0</v>
      </c>
      <c r="AN98" s="1">
        <f t="shared" si="44"/>
        <v>0</v>
      </c>
      <c r="AQ98" s="6">
        <v>2013</v>
      </c>
      <c r="AR98" s="6" t="s">
        <v>77</v>
      </c>
      <c r="AS98" s="6">
        <v>0.017</v>
      </c>
      <c r="AT98" s="6" t="s">
        <v>568</v>
      </c>
      <c r="AU98" s="6" t="s">
        <v>594</v>
      </c>
      <c r="AV98" t="str">
        <f t="shared" si="73"/>
        <v>Tra_EV_Batt-NCA_virgin</v>
      </c>
      <c r="AW98">
        <f t="shared" si="108"/>
        <v>0</v>
      </c>
      <c r="AX98">
        <f t="shared" si="74"/>
        <v>0</v>
      </c>
      <c r="AY98">
        <f t="shared" si="75"/>
        <v>0</v>
      </c>
      <c r="AZ98">
        <f t="shared" si="76"/>
        <v>0</v>
      </c>
      <c r="BA98">
        <f t="shared" si="77"/>
        <v>0</v>
      </c>
      <c r="BB98">
        <f t="shared" si="78"/>
        <v>0</v>
      </c>
      <c r="BC98">
        <f t="shared" si="79"/>
        <v>0</v>
      </c>
      <c r="BD98">
        <f t="shared" si="80"/>
        <v>1.701</v>
      </c>
      <c r="BE98">
        <f t="shared" si="81"/>
        <v>0</v>
      </c>
      <c r="BF98">
        <f t="shared" si="82"/>
        <v>0</v>
      </c>
      <c r="BG98">
        <f t="shared" si="83"/>
        <v>0</v>
      </c>
      <c r="BH98">
        <f t="shared" si="84"/>
        <v>0</v>
      </c>
      <c r="BI98">
        <f t="shared" si="85"/>
        <v>0</v>
      </c>
      <c r="BJ98">
        <f t="shared" si="86"/>
        <v>0</v>
      </c>
      <c r="BK98">
        <f t="shared" si="87"/>
        <v>0</v>
      </c>
      <c r="BL98">
        <f t="shared" si="88"/>
        <v>0</v>
      </c>
      <c r="BM98">
        <f t="shared" si="89"/>
        <v>0</v>
      </c>
      <c r="BN98">
        <f t="shared" si="90"/>
        <v>0</v>
      </c>
      <c r="BO98">
        <f t="shared" si="91"/>
        <v>0</v>
      </c>
      <c r="BP98">
        <f t="shared" si="92"/>
        <v>0</v>
      </c>
      <c r="BQ98">
        <f t="shared" si="93"/>
        <v>0</v>
      </c>
      <c r="BR98">
        <f t="shared" si="94"/>
        <v>0</v>
      </c>
      <c r="BS98">
        <f t="shared" si="95"/>
        <v>0</v>
      </c>
      <c r="BT98">
        <f t="shared" si="96"/>
        <v>0</v>
      </c>
      <c r="BU98">
        <f t="shared" si="97"/>
        <v>0</v>
      </c>
      <c r="BV98">
        <f t="shared" si="98"/>
        <v>0</v>
      </c>
      <c r="BW98">
        <f t="shared" si="99"/>
        <v>0</v>
      </c>
      <c r="BX98">
        <f t="shared" si="100"/>
        <v>0</v>
      </c>
      <c r="BY98">
        <f t="shared" si="101"/>
        <v>0</v>
      </c>
      <c r="BZ98">
        <f t="shared" si="102"/>
        <v>0</v>
      </c>
      <c r="CA98">
        <f t="shared" si="103"/>
        <v>0</v>
      </c>
      <c r="CB98">
        <f t="shared" si="104"/>
        <v>0</v>
      </c>
      <c r="CC98">
        <f t="shared" si="105"/>
        <v>0</v>
      </c>
      <c r="CD98">
        <f t="shared" si="106"/>
        <v>0</v>
      </c>
      <c r="CE98">
        <f t="shared" si="107"/>
        <v>0</v>
      </c>
      <c r="CG98" s="6">
        <v>2013</v>
      </c>
      <c r="CH98" s="6" t="s">
        <v>77</v>
      </c>
      <c r="CI98" s="6">
        <v>0.017</v>
      </c>
      <c r="CJ98" s="6">
        <v>0.018</v>
      </c>
      <c r="CK98" s="6" t="s">
        <v>595</v>
      </c>
      <c r="CL98" s="6" t="s">
        <v>596</v>
      </c>
      <c r="CM98" s="6" t="s">
        <v>597</v>
      </c>
    </row>
    <row r="99" spans="4:91">
      <c r="D99">
        <f t="shared" si="109"/>
        <v>2013</v>
      </c>
      <c r="E99" t="s">
        <v>73</v>
      </c>
      <c r="F99" s="1">
        <f t="shared" si="11"/>
        <v>3.4e-5</v>
      </c>
      <c r="G99" s="1">
        <f t="shared" si="12"/>
        <v>3.4e-5</v>
      </c>
      <c r="H99" s="1">
        <f t="shared" si="13"/>
        <v>0.001139</v>
      </c>
      <c r="I99" s="1">
        <f t="shared" si="14"/>
        <v>0.003604</v>
      </c>
      <c r="J99" s="1">
        <f t="shared" si="15"/>
        <v>0.000425</v>
      </c>
      <c r="K99" s="1">
        <f t="shared" si="16"/>
        <v>0.016592</v>
      </c>
      <c r="L99" s="1">
        <f t="shared" si="17"/>
        <v>0.000102</v>
      </c>
      <c r="M99" s="1">
        <f t="shared" si="6"/>
        <v>0.043367</v>
      </c>
      <c r="N99" s="1">
        <f t="shared" si="18"/>
        <v>0.000323</v>
      </c>
      <c r="O99" s="1">
        <f t="shared" si="19"/>
        <v>0.000374</v>
      </c>
      <c r="P99" s="1">
        <f t="shared" si="20"/>
        <v>0.021794</v>
      </c>
      <c r="Q99" s="1">
        <f t="shared" si="21"/>
        <v>0.019567</v>
      </c>
      <c r="R99" s="1">
        <f t="shared" si="22"/>
        <v>6.8e-5</v>
      </c>
      <c r="S99" s="1">
        <f t="shared" si="23"/>
        <v>0.00085</v>
      </c>
      <c r="T99" s="1">
        <f t="shared" si="24"/>
        <v>0.001428</v>
      </c>
      <c r="U99" s="1">
        <f t="shared" si="25"/>
        <v>0</v>
      </c>
      <c r="V99" s="1">
        <f t="shared" si="26"/>
        <v>0.000884</v>
      </c>
      <c r="W99" s="1">
        <f t="shared" si="27"/>
        <v>0.002431</v>
      </c>
      <c r="X99" s="1">
        <f t="shared" si="28"/>
        <v>0.012274</v>
      </c>
      <c r="Y99" s="1">
        <f t="shared" si="29"/>
        <v>0.000289</v>
      </c>
      <c r="Z99" s="1">
        <f t="shared" si="30"/>
        <v>0.000425</v>
      </c>
      <c r="AA99" s="1">
        <f t="shared" si="31"/>
        <v>0.752403</v>
      </c>
      <c r="AB99" s="1">
        <f t="shared" si="32"/>
        <v>0.062696</v>
      </c>
      <c r="AC99" s="1">
        <f t="shared" si="33"/>
        <v>0.000323</v>
      </c>
      <c r="AD99" s="1">
        <f t="shared" si="34"/>
        <v>0.018343</v>
      </c>
      <c r="AE99" s="1">
        <f t="shared" si="35"/>
        <v>0.000561</v>
      </c>
      <c r="AF99" s="1">
        <f t="shared" si="36"/>
        <v>1.7e-5</v>
      </c>
      <c r="AG99" s="1">
        <f t="shared" si="37"/>
        <v>0.000102</v>
      </c>
      <c r="AH99" s="1">
        <f t="shared" si="38"/>
        <v>0.005355</v>
      </c>
      <c r="AI99" s="1">
        <f t="shared" si="39"/>
        <v>0.009095</v>
      </c>
      <c r="AJ99" s="1">
        <f t="shared" si="40"/>
        <v>0.003536</v>
      </c>
      <c r="AK99" s="1">
        <f t="shared" si="41"/>
        <v>0.000102</v>
      </c>
      <c r="AL99" s="1">
        <f t="shared" si="42"/>
        <v>0.01649</v>
      </c>
      <c r="AM99" s="1">
        <f t="shared" si="43"/>
        <v>0.000629</v>
      </c>
      <c r="AN99" s="1">
        <f t="shared" si="44"/>
        <v>5.1e-5</v>
      </c>
      <c r="AQ99" s="6">
        <v>2013</v>
      </c>
      <c r="AR99" s="6" t="s">
        <v>73</v>
      </c>
      <c r="AS99" s="6">
        <v>0.017</v>
      </c>
      <c r="AT99" s="6" t="s">
        <v>568</v>
      </c>
      <c r="AU99" s="6" t="s">
        <v>594</v>
      </c>
      <c r="AV99" t="str">
        <f t="shared" si="73"/>
        <v>Tra_EV_Batt-LMO_virgin</v>
      </c>
      <c r="AW99">
        <f t="shared" si="108"/>
        <v>0.002</v>
      </c>
      <c r="AX99">
        <f t="shared" si="74"/>
        <v>0.002</v>
      </c>
      <c r="AY99">
        <f t="shared" si="75"/>
        <v>0.067</v>
      </c>
      <c r="AZ99">
        <f t="shared" si="76"/>
        <v>0.212</v>
      </c>
      <c r="BA99">
        <f t="shared" si="77"/>
        <v>0.025</v>
      </c>
      <c r="BB99">
        <f t="shared" si="78"/>
        <v>0.976</v>
      </c>
      <c r="BC99">
        <f t="shared" si="79"/>
        <v>0.006</v>
      </c>
      <c r="BD99">
        <f t="shared" si="80"/>
        <v>2.551</v>
      </c>
      <c r="BE99">
        <f t="shared" si="81"/>
        <v>0.019</v>
      </c>
      <c r="BF99">
        <f t="shared" si="82"/>
        <v>0.022</v>
      </c>
      <c r="BG99">
        <f t="shared" si="83"/>
        <v>1.282</v>
      </c>
      <c r="BH99">
        <f t="shared" si="84"/>
        <v>1.151</v>
      </c>
      <c r="BI99">
        <f t="shared" si="85"/>
        <v>0.004</v>
      </c>
      <c r="BJ99">
        <f t="shared" si="86"/>
        <v>0.05</v>
      </c>
      <c r="BK99">
        <f t="shared" si="87"/>
        <v>0.084</v>
      </c>
      <c r="BL99">
        <f t="shared" si="88"/>
        <v>0</v>
      </c>
      <c r="BM99">
        <f t="shared" si="89"/>
        <v>0.052</v>
      </c>
      <c r="BN99">
        <f t="shared" si="90"/>
        <v>0.143</v>
      </c>
      <c r="BO99">
        <f t="shared" si="91"/>
        <v>0.722</v>
      </c>
      <c r="BP99">
        <f t="shared" si="92"/>
        <v>0.017</v>
      </c>
      <c r="BQ99">
        <f t="shared" si="93"/>
        <v>0.025</v>
      </c>
      <c r="BR99">
        <f t="shared" si="94"/>
        <v>44.259</v>
      </c>
      <c r="BS99">
        <f t="shared" si="95"/>
        <v>3.688</v>
      </c>
      <c r="BT99">
        <f t="shared" si="96"/>
        <v>0.019</v>
      </c>
      <c r="BU99">
        <f t="shared" si="97"/>
        <v>1.079</v>
      </c>
      <c r="BV99">
        <f t="shared" si="98"/>
        <v>0.033</v>
      </c>
      <c r="BW99">
        <f t="shared" si="99"/>
        <v>0.001</v>
      </c>
      <c r="BX99">
        <f t="shared" si="100"/>
        <v>0.006</v>
      </c>
      <c r="BY99">
        <f t="shared" si="101"/>
        <v>0.315</v>
      </c>
      <c r="BZ99">
        <f t="shared" si="102"/>
        <v>0.535</v>
      </c>
      <c r="CA99">
        <f t="shared" si="103"/>
        <v>0.208</v>
      </c>
      <c r="CB99">
        <f t="shared" si="104"/>
        <v>0.006</v>
      </c>
      <c r="CC99">
        <f t="shared" si="105"/>
        <v>0.97</v>
      </c>
      <c r="CD99">
        <f t="shared" si="106"/>
        <v>0.037</v>
      </c>
      <c r="CE99">
        <f t="shared" si="107"/>
        <v>0.003</v>
      </c>
      <c r="CG99" s="6">
        <v>2013</v>
      </c>
      <c r="CH99" s="6" t="s">
        <v>73</v>
      </c>
      <c r="CI99" s="6">
        <v>0.017</v>
      </c>
      <c r="CJ99" s="6">
        <v>0.018</v>
      </c>
      <c r="CK99" s="6" t="s">
        <v>595</v>
      </c>
      <c r="CL99" s="6" t="s">
        <v>596</v>
      </c>
      <c r="CM99" s="6" t="s">
        <v>597</v>
      </c>
    </row>
    <row r="100" spans="4:91">
      <c r="D100">
        <f t="shared" si="109"/>
        <v>2013</v>
      </c>
      <c r="E100" t="s">
        <v>81</v>
      </c>
      <c r="F100" s="1">
        <f t="shared" si="11"/>
        <v>3.4e-5</v>
      </c>
      <c r="G100" s="1">
        <f t="shared" si="12"/>
        <v>3.4e-5</v>
      </c>
      <c r="H100" s="1">
        <f t="shared" si="13"/>
        <v>0.001139</v>
      </c>
      <c r="I100" s="1">
        <f t="shared" si="14"/>
        <v>0.003961</v>
      </c>
      <c r="J100" s="1">
        <f t="shared" si="15"/>
        <v>0.000425</v>
      </c>
      <c r="K100" s="1">
        <f t="shared" si="16"/>
        <v>0.017697</v>
      </c>
      <c r="L100" s="1">
        <f t="shared" si="17"/>
        <v>0.000102</v>
      </c>
      <c r="M100" s="1">
        <f t="shared" si="6"/>
        <v>0.028917</v>
      </c>
      <c r="N100" s="1">
        <f t="shared" si="18"/>
        <v>0.000323</v>
      </c>
      <c r="O100" s="1">
        <f t="shared" si="19"/>
        <v>0.000493</v>
      </c>
      <c r="P100" s="1">
        <f t="shared" si="20"/>
        <v>0.031603</v>
      </c>
      <c r="Q100" s="1">
        <f t="shared" si="21"/>
        <v>0.023528</v>
      </c>
      <c r="R100" s="1">
        <f t="shared" si="22"/>
        <v>6.8e-5</v>
      </c>
      <c r="S100" s="1">
        <f t="shared" si="23"/>
        <v>0.000969</v>
      </c>
      <c r="T100" s="1">
        <f t="shared" si="24"/>
        <v>0.001428</v>
      </c>
      <c r="U100" s="1">
        <f t="shared" si="25"/>
        <v>0.000714</v>
      </c>
      <c r="V100" s="1">
        <f t="shared" si="26"/>
        <v>0.000952</v>
      </c>
      <c r="W100" s="1">
        <f t="shared" si="27"/>
        <v>0.003026</v>
      </c>
      <c r="X100" s="1">
        <f t="shared" si="28"/>
        <v>0.069428</v>
      </c>
      <c r="Y100" s="1">
        <f t="shared" si="29"/>
        <v>0.000357</v>
      </c>
      <c r="Z100" s="1">
        <f t="shared" si="30"/>
        <v>0.000425</v>
      </c>
      <c r="AA100" s="1">
        <f t="shared" si="31"/>
        <v>0.128571</v>
      </c>
      <c r="AB100" s="1">
        <f t="shared" si="32"/>
        <v>0.036975</v>
      </c>
      <c r="AC100" s="1">
        <f t="shared" si="33"/>
        <v>0.000425</v>
      </c>
      <c r="AD100" s="1">
        <f t="shared" si="34"/>
        <v>0.004029</v>
      </c>
      <c r="AE100" s="1">
        <f t="shared" si="35"/>
        <v>0.000561</v>
      </c>
      <c r="AF100" s="1">
        <f t="shared" si="36"/>
        <v>1.7e-5</v>
      </c>
      <c r="AG100" s="1">
        <f t="shared" si="37"/>
        <v>0.000102</v>
      </c>
      <c r="AH100" s="1">
        <f t="shared" si="38"/>
        <v>0.006035</v>
      </c>
      <c r="AI100" s="1">
        <f t="shared" si="39"/>
        <v>0.010217</v>
      </c>
      <c r="AJ100" s="1">
        <f t="shared" si="40"/>
        <v>0.003893</v>
      </c>
      <c r="AK100" s="1">
        <f t="shared" si="41"/>
        <v>0.000102</v>
      </c>
      <c r="AL100" s="1">
        <f t="shared" si="42"/>
        <v>0.018292</v>
      </c>
      <c r="AM100" s="1">
        <f t="shared" si="43"/>
        <v>0.003485</v>
      </c>
      <c r="AN100" s="1">
        <f t="shared" si="44"/>
        <v>5.1e-5</v>
      </c>
      <c r="AQ100" s="6">
        <v>2013</v>
      </c>
      <c r="AR100" s="6" t="s">
        <v>81</v>
      </c>
      <c r="AS100" s="6">
        <v>0.017</v>
      </c>
      <c r="AT100" s="6" t="s">
        <v>568</v>
      </c>
      <c r="AU100" s="6" t="s">
        <v>594</v>
      </c>
      <c r="AV100" t="str">
        <f t="shared" si="73"/>
        <v>Tra_EV_Batt-NMC111_virgin</v>
      </c>
      <c r="AW100">
        <f t="shared" si="108"/>
        <v>0.002</v>
      </c>
      <c r="AX100">
        <f t="shared" si="74"/>
        <v>0.002</v>
      </c>
      <c r="AY100">
        <f t="shared" si="75"/>
        <v>0.067</v>
      </c>
      <c r="AZ100">
        <f t="shared" si="76"/>
        <v>0.233</v>
      </c>
      <c r="BA100">
        <f t="shared" si="77"/>
        <v>0.025</v>
      </c>
      <c r="BB100">
        <f t="shared" si="78"/>
        <v>1.041</v>
      </c>
      <c r="BC100">
        <f t="shared" si="79"/>
        <v>0.006</v>
      </c>
      <c r="BD100">
        <f t="shared" si="80"/>
        <v>1.701</v>
      </c>
      <c r="BE100">
        <f t="shared" si="81"/>
        <v>0.019</v>
      </c>
      <c r="BF100">
        <f t="shared" si="82"/>
        <v>0.029</v>
      </c>
      <c r="BG100">
        <f t="shared" si="83"/>
        <v>1.859</v>
      </c>
      <c r="BH100">
        <f t="shared" si="84"/>
        <v>1.384</v>
      </c>
      <c r="BI100">
        <f t="shared" si="85"/>
        <v>0.004</v>
      </c>
      <c r="BJ100">
        <f t="shared" si="86"/>
        <v>0.057</v>
      </c>
      <c r="BK100">
        <f t="shared" si="87"/>
        <v>0.084</v>
      </c>
      <c r="BL100">
        <f t="shared" si="88"/>
        <v>0.042</v>
      </c>
      <c r="BM100">
        <f t="shared" si="89"/>
        <v>0.056</v>
      </c>
      <c r="BN100">
        <f t="shared" si="90"/>
        <v>0.178</v>
      </c>
      <c r="BO100">
        <f t="shared" si="91"/>
        <v>4.084</v>
      </c>
      <c r="BP100">
        <f t="shared" si="92"/>
        <v>0.021</v>
      </c>
      <c r="BQ100">
        <f t="shared" si="93"/>
        <v>0.025</v>
      </c>
      <c r="BR100">
        <f t="shared" si="94"/>
        <v>7.563</v>
      </c>
      <c r="BS100">
        <f t="shared" si="95"/>
        <v>2.175</v>
      </c>
      <c r="BT100">
        <f t="shared" si="96"/>
        <v>0.025</v>
      </c>
      <c r="BU100">
        <f t="shared" si="97"/>
        <v>0.237</v>
      </c>
      <c r="BV100">
        <f t="shared" si="98"/>
        <v>0.033</v>
      </c>
      <c r="BW100">
        <f t="shared" si="99"/>
        <v>0.001</v>
      </c>
      <c r="BX100">
        <f t="shared" si="100"/>
        <v>0.006</v>
      </c>
      <c r="BY100">
        <f t="shared" si="101"/>
        <v>0.355</v>
      </c>
      <c r="BZ100">
        <f t="shared" si="102"/>
        <v>0.601</v>
      </c>
      <c r="CA100">
        <f t="shared" si="103"/>
        <v>0.229</v>
      </c>
      <c r="CB100">
        <f t="shared" si="104"/>
        <v>0.006</v>
      </c>
      <c r="CC100">
        <f t="shared" si="105"/>
        <v>1.076</v>
      </c>
      <c r="CD100">
        <f t="shared" si="106"/>
        <v>0.205</v>
      </c>
      <c r="CE100">
        <f t="shared" si="107"/>
        <v>0.003</v>
      </c>
      <c r="CG100" s="6">
        <v>2013</v>
      </c>
      <c r="CH100" s="6" t="s">
        <v>81</v>
      </c>
      <c r="CI100" s="6">
        <v>0.017</v>
      </c>
      <c r="CJ100" s="6">
        <v>0.018</v>
      </c>
      <c r="CK100" s="6" t="s">
        <v>595</v>
      </c>
      <c r="CL100" s="6" t="s">
        <v>596</v>
      </c>
      <c r="CM100" s="6" t="s">
        <v>597</v>
      </c>
    </row>
    <row r="101" spans="4:91">
      <c r="D101">
        <f t="shared" si="109"/>
        <v>2013</v>
      </c>
      <c r="E101" t="s">
        <v>69</v>
      </c>
      <c r="F101" s="1">
        <f t="shared" si="11"/>
        <v>0</v>
      </c>
      <c r="G101" s="1">
        <f t="shared" si="12"/>
        <v>0</v>
      </c>
      <c r="H101" s="1">
        <f t="shared" si="13"/>
        <v>6.8e-5</v>
      </c>
      <c r="I101" s="1">
        <f t="shared" si="14"/>
        <v>0.00017</v>
      </c>
      <c r="J101" s="1">
        <f t="shared" si="15"/>
        <v>6.8e-5</v>
      </c>
      <c r="K101" s="1">
        <f t="shared" si="16"/>
        <v>0.001768</v>
      </c>
      <c r="L101" s="1">
        <f t="shared" si="17"/>
        <v>0.00017</v>
      </c>
      <c r="M101" s="1">
        <f t="shared" si="6"/>
        <v>2.078046</v>
      </c>
      <c r="N101" s="1">
        <f t="shared" si="18"/>
        <v>0</v>
      </c>
      <c r="O101" s="1">
        <f t="shared" si="19"/>
        <v>0.00017</v>
      </c>
      <c r="P101" s="1">
        <f t="shared" si="20"/>
        <v>0.001071</v>
      </c>
      <c r="Q101" s="1">
        <f t="shared" si="21"/>
        <v>0.000884</v>
      </c>
      <c r="R101" s="1">
        <f t="shared" si="22"/>
        <v>0</v>
      </c>
      <c r="S101" s="1">
        <f t="shared" si="23"/>
        <v>0.00017</v>
      </c>
      <c r="T101" s="1">
        <f t="shared" si="24"/>
        <v>0</v>
      </c>
      <c r="U101" s="1">
        <f t="shared" si="25"/>
        <v>0.002125</v>
      </c>
      <c r="V101" s="1">
        <f t="shared" si="26"/>
        <v>0</v>
      </c>
      <c r="W101" s="1">
        <f t="shared" si="27"/>
        <v>0.000357</v>
      </c>
      <c r="X101" s="1">
        <f t="shared" si="28"/>
        <v>0.00017</v>
      </c>
      <c r="Y101" s="1">
        <f t="shared" si="29"/>
        <v>0.000799</v>
      </c>
      <c r="Z101" s="1">
        <f t="shared" si="30"/>
        <v>6.8e-5</v>
      </c>
      <c r="AA101" s="1">
        <f t="shared" si="31"/>
        <v>0.002499</v>
      </c>
      <c r="AB101" s="1">
        <f t="shared" si="32"/>
        <v>0.000357</v>
      </c>
      <c r="AC101" s="1">
        <f t="shared" si="33"/>
        <v>0.000969</v>
      </c>
      <c r="AD101" s="1">
        <f t="shared" si="34"/>
        <v>0.001071</v>
      </c>
      <c r="AE101" s="1">
        <f t="shared" si="35"/>
        <v>0.00034</v>
      </c>
      <c r="AF101" s="1">
        <f t="shared" si="36"/>
        <v>0</v>
      </c>
      <c r="AG101" s="1">
        <f t="shared" si="37"/>
        <v>0</v>
      </c>
      <c r="AH101" s="1">
        <f t="shared" si="38"/>
        <v>0.000527</v>
      </c>
      <c r="AI101" s="1">
        <f t="shared" si="39"/>
        <v>0.001071</v>
      </c>
      <c r="AJ101" s="1">
        <f t="shared" si="40"/>
        <v>0.00017</v>
      </c>
      <c r="AK101" s="1">
        <f t="shared" si="41"/>
        <v>0.00017</v>
      </c>
      <c r="AL101" s="1">
        <f t="shared" si="42"/>
        <v>0.001428</v>
      </c>
      <c r="AM101" s="1">
        <f t="shared" si="43"/>
        <v>0</v>
      </c>
      <c r="AN101" s="1">
        <f t="shared" si="44"/>
        <v>0</v>
      </c>
      <c r="AQ101" s="6">
        <v>2013</v>
      </c>
      <c r="AR101" s="6" t="s">
        <v>69</v>
      </c>
      <c r="AS101" s="6">
        <v>0.017</v>
      </c>
      <c r="AT101" s="6" t="s">
        <v>568</v>
      </c>
      <c r="AU101" s="6" t="s">
        <v>594</v>
      </c>
      <c r="AV101" t="str">
        <f t="shared" si="73"/>
        <v>Tra_EV_Batt-LFP_virgin_pack</v>
      </c>
      <c r="AW101">
        <f t="shared" si="108"/>
        <v>0</v>
      </c>
      <c r="AX101">
        <f t="shared" si="74"/>
        <v>0</v>
      </c>
      <c r="AY101">
        <f t="shared" si="75"/>
        <v>0.004</v>
      </c>
      <c r="AZ101">
        <f t="shared" si="76"/>
        <v>0.01</v>
      </c>
      <c r="BA101">
        <f t="shared" si="77"/>
        <v>0.004</v>
      </c>
      <c r="BB101">
        <f t="shared" si="78"/>
        <v>0.104</v>
      </c>
      <c r="BC101">
        <f t="shared" si="79"/>
        <v>0.01</v>
      </c>
      <c r="BD101">
        <f t="shared" si="80"/>
        <v>122.238</v>
      </c>
      <c r="BE101">
        <f t="shared" si="81"/>
        <v>0</v>
      </c>
      <c r="BF101">
        <f t="shared" si="82"/>
        <v>0.01</v>
      </c>
      <c r="BG101">
        <f t="shared" si="83"/>
        <v>0.063</v>
      </c>
      <c r="BH101">
        <f t="shared" si="84"/>
        <v>0.052</v>
      </c>
      <c r="BI101">
        <f t="shared" si="85"/>
        <v>0</v>
      </c>
      <c r="BJ101">
        <f t="shared" si="86"/>
        <v>0.01</v>
      </c>
      <c r="BK101">
        <f t="shared" si="87"/>
        <v>0</v>
      </c>
      <c r="BL101">
        <f t="shared" si="88"/>
        <v>0.125</v>
      </c>
      <c r="BM101">
        <f t="shared" si="89"/>
        <v>0</v>
      </c>
      <c r="BN101">
        <f t="shared" si="90"/>
        <v>0.021</v>
      </c>
      <c r="BO101">
        <f t="shared" si="91"/>
        <v>0.01</v>
      </c>
      <c r="BP101">
        <f t="shared" si="92"/>
        <v>0.047</v>
      </c>
      <c r="BQ101">
        <f t="shared" si="93"/>
        <v>0.004</v>
      </c>
      <c r="BR101">
        <f t="shared" si="94"/>
        <v>0.147</v>
      </c>
      <c r="BS101">
        <f t="shared" si="95"/>
        <v>0.021</v>
      </c>
      <c r="BT101">
        <f t="shared" si="96"/>
        <v>0.057</v>
      </c>
      <c r="BU101">
        <f t="shared" si="97"/>
        <v>0.063</v>
      </c>
      <c r="BV101">
        <f t="shared" si="98"/>
        <v>0.02</v>
      </c>
      <c r="BW101">
        <f t="shared" si="99"/>
        <v>0</v>
      </c>
      <c r="BX101">
        <f t="shared" si="100"/>
        <v>0</v>
      </c>
      <c r="BY101">
        <f t="shared" si="101"/>
        <v>0.031</v>
      </c>
      <c r="BZ101">
        <f t="shared" si="102"/>
        <v>0.063</v>
      </c>
      <c r="CA101">
        <f t="shared" si="103"/>
        <v>0.01</v>
      </c>
      <c r="CB101">
        <f t="shared" si="104"/>
        <v>0.01</v>
      </c>
      <c r="CC101">
        <f t="shared" si="105"/>
        <v>0.084</v>
      </c>
      <c r="CD101">
        <f t="shared" si="106"/>
        <v>0</v>
      </c>
      <c r="CE101">
        <f t="shared" si="107"/>
        <v>0</v>
      </c>
      <c r="CG101" s="6">
        <v>2013</v>
      </c>
      <c r="CH101" s="6" t="s">
        <v>69</v>
      </c>
      <c r="CI101" s="6">
        <v>0.017</v>
      </c>
      <c r="CJ101" s="6">
        <v>0.018</v>
      </c>
      <c r="CK101" s="6" t="s">
        <v>595</v>
      </c>
      <c r="CL101" s="6" t="s">
        <v>596</v>
      </c>
      <c r="CM101" s="6" t="s">
        <v>597</v>
      </c>
    </row>
    <row r="102" spans="4:91">
      <c r="D102">
        <f t="shared" si="109"/>
        <v>2013</v>
      </c>
      <c r="E102" t="s">
        <v>91</v>
      </c>
      <c r="F102" s="1">
        <f t="shared" si="11"/>
        <v>5.1e-5</v>
      </c>
      <c r="G102" s="1">
        <f t="shared" si="12"/>
        <v>5.1e-5</v>
      </c>
      <c r="H102" s="1">
        <f t="shared" si="13"/>
        <v>0.001734</v>
      </c>
      <c r="I102" s="1">
        <f t="shared" si="14"/>
        <v>0.005814</v>
      </c>
      <c r="J102" s="1">
        <f t="shared" si="15"/>
        <v>0.000663</v>
      </c>
      <c r="K102" s="1">
        <f t="shared" si="16"/>
        <v>0.026588</v>
      </c>
      <c r="L102" s="1">
        <f t="shared" si="17"/>
        <v>0.000204</v>
      </c>
      <c r="M102" s="1">
        <f t="shared" si="6"/>
        <v>0.35802</v>
      </c>
      <c r="N102" s="1">
        <f t="shared" si="18"/>
        <v>0.000476</v>
      </c>
      <c r="O102" s="1">
        <f t="shared" si="19"/>
        <v>0.000748</v>
      </c>
      <c r="P102" s="1">
        <f t="shared" si="20"/>
        <v>0.04284</v>
      </c>
      <c r="Q102" s="1">
        <f t="shared" si="21"/>
        <v>0.033609</v>
      </c>
      <c r="R102" s="1">
        <f t="shared" si="22"/>
        <v>0.000102</v>
      </c>
      <c r="S102" s="1">
        <f t="shared" si="23"/>
        <v>0.001445</v>
      </c>
      <c r="T102" s="1">
        <f t="shared" si="24"/>
        <v>0.002125</v>
      </c>
      <c r="U102" s="1">
        <f t="shared" si="25"/>
        <v>0.00119</v>
      </c>
      <c r="V102" s="1">
        <f t="shared" si="26"/>
        <v>0.001394</v>
      </c>
      <c r="W102" s="1">
        <f t="shared" si="27"/>
        <v>0.004352</v>
      </c>
      <c r="X102" s="1">
        <f t="shared" si="28"/>
        <v>0.038811</v>
      </c>
      <c r="Y102" s="1">
        <f t="shared" si="29"/>
        <v>0.000765</v>
      </c>
      <c r="Z102" s="1">
        <f t="shared" si="30"/>
        <v>0.000663</v>
      </c>
      <c r="AA102" s="1">
        <f t="shared" si="31"/>
        <v>0.117827</v>
      </c>
      <c r="AB102" s="1">
        <f t="shared" si="32"/>
        <v>0.046036</v>
      </c>
      <c r="AC102" s="1">
        <f t="shared" si="33"/>
        <v>0.000901</v>
      </c>
      <c r="AD102" s="1">
        <f t="shared" si="34"/>
        <v>0.008058</v>
      </c>
      <c r="AE102" s="1">
        <f t="shared" si="35"/>
        <v>0.000952</v>
      </c>
      <c r="AF102" s="1">
        <f t="shared" si="36"/>
        <v>3.4e-5</v>
      </c>
      <c r="AG102" s="1">
        <f t="shared" si="37"/>
        <v>0.000153</v>
      </c>
      <c r="AH102" s="1">
        <f t="shared" si="38"/>
        <v>0.008891</v>
      </c>
      <c r="AI102" s="1">
        <f t="shared" si="39"/>
        <v>0.01513</v>
      </c>
      <c r="AJ102" s="1">
        <f t="shared" si="40"/>
        <v>0.005729</v>
      </c>
      <c r="AK102" s="1">
        <f t="shared" si="41"/>
        <v>0.000204</v>
      </c>
      <c r="AL102" s="1">
        <f t="shared" si="42"/>
        <v>0.027013</v>
      </c>
      <c r="AM102" s="1">
        <f t="shared" si="43"/>
        <v>0.001904</v>
      </c>
      <c r="AN102" s="1">
        <f t="shared" si="44"/>
        <v>8.5e-5</v>
      </c>
      <c r="AQ102" s="6">
        <v>2013</v>
      </c>
      <c r="AR102" s="6" t="s">
        <v>91</v>
      </c>
      <c r="AS102" s="6">
        <v>0.017</v>
      </c>
      <c r="AT102" s="6" t="s">
        <v>568</v>
      </c>
      <c r="AU102" s="6" t="s">
        <v>594</v>
      </c>
      <c r="AV102" t="str">
        <f t="shared" si="73"/>
        <v>Tra_EV_Batt-NMC622_virgin_pack</v>
      </c>
      <c r="AW102">
        <f t="shared" si="108"/>
        <v>0.003</v>
      </c>
      <c r="AX102">
        <f t="shared" si="74"/>
        <v>0.003</v>
      </c>
      <c r="AY102">
        <f t="shared" si="75"/>
        <v>0.102</v>
      </c>
      <c r="AZ102">
        <f t="shared" si="76"/>
        <v>0.342</v>
      </c>
      <c r="BA102">
        <f t="shared" si="77"/>
        <v>0.039</v>
      </c>
      <c r="BB102">
        <f t="shared" si="78"/>
        <v>1.564</v>
      </c>
      <c r="BC102">
        <f t="shared" si="79"/>
        <v>0.012</v>
      </c>
      <c r="BD102">
        <f t="shared" si="80"/>
        <v>21.06</v>
      </c>
      <c r="BE102">
        <f t="shared" si="81"/>
        <v>0.028</v>
      </c>
      <c r="BF102">
        <f t="shared" si="82"/>
        <v>0.044</v>
      </c>
      <c r="BG102">
        <f t="shared" si="83"/>
        <v>2.52</v>
      </c>
      <c r="BH102">
        <f t="shared" si="84"/>
        <v>1.977</v>
      </c>
      <c r="BI102">
        <f t="shared" si="85"/>
        <v>0.006</v>
      </c>
      <c r="BJ102">
        <f t="shared" si="86"/>
        <v>0.085</v>
      </c>
      <c r="BK102">
        <f t="shared" si="87"/>
        <v>0.125</v>
      </c>
      <c r="BL102">
        <f t="shared" si="88"/>
        <v>0.07</v>
      </c>
      <c r="BM102">
        <f t="shared" si="89"/>
        <v>0.082</v>
      </c>
      <c r="BN102">
        <f t="shared" si="90"/>
        <v>0.256</v>
      </c>
      <c r="BO102">
        <f t="shared" si="91"/>
        <v>2.283</v>
      </c>
      <c r="BP102">
        <f t="shared" si="92"/>
        <v>0.045</v>
      </c>
      <c r="BQ102">
        <f t="shared" si="93"/>
        <v>0.039</v>
      </c>
      <c r="BR102">
        <f t="shared" si="94"/>
        <v>6.931</v>
      </c>
      <c r="BS102">
        <f t="shared" si="95"/>
        <v>2.708</v>
      </c>
      <c r="BT102">
        <f t="shared" si="96"/>
        <v>0.053</v>
      </c>
      <c r="BU102">
        <f t="shared" si="97"/>
        <v>0.474</v>
      </c>
      <c r="BV102">
        <f t="shared" si="98"/>
        <v>0.056</v>
      </c>
      <c r="BW102">
        <f t="shared" si="99"/>
        <v>0.002</v>
      </c>
      <c r="BX102">
        <f t="shared" si="100"/>
        <v>0.009</v>
      </c>
      <c r="BY102">
        <f t="shared" si="101"/>
        <v>0.523</v>
      </c>
      <c r="BZ102">
        <f t="shared" si="102"/>
        <v>0.89</v>
      </c>
      <c r="CA102">
        <f t="shared" si="103"/>
        <v>0.337</v>
      </c>
      <c r="CB102">
        <f t="shared" si="104"/>
        <v>0.012</v>
      </c>
      <c r="CC102">
        <f t="shared" si="105"/>
        <v>1.589</v>
      </c>
      <c r="CD102">
        <f t="shared" si="106"/>
        <v>0.112</v>
      </c>
      <c r="CE102">
        <f t="shared" si="107"/>
        <v>0.005</v>
      </c>
      <c r="CG102" s="6">
        <v>2013</v>
      </c>
      <c r="CH102" s="6" t="s">
        <v>91</v>
      </c>
      <c r="CI102" s="6">
        <v>0.017</v>
      </c>
      <c r="CJ102" s="6">
        <v>0.018</v>
      </c>
      <c r="CK102" s="6" t="s">
        <v>595</v>
      </c>
      <c r="CL102" s="6" t="s">
        <v>596</v>
      </c>
      <c r="CM102" s="6" t="s">
        <v>597</v>
      </c>
    </row>
    <row r="103" spans="4:91">
      <c r="D103">
        <f t="shared" si="109"/>
        <v>2013</v>
      </c>
      <c r="E103" t="s">
        <v>95</v>
      </c>
      <c r="F103" s="1">
        <f t="shared" si="11"/>
        <v>5.1e-5</v>
      </c>
      <c r="G103" s="1">
        <f t="shared" si="12"/>
        <v>5.1e-5</v>
      </c>
      <c r="H103" s="1">
        <f t="shared" si="13"/>
        <v>0.001445</v>
      </c>
      <c r="I103" s="1">
        <f t="shared" si="14"/>
        <v>0.004743</v>
      </c>
      <c r="J103" s="1">
        <f t="shared" si="15"/>
        <v>0.000561</v>
      </c>
      <c r="K103" s="1">
        <f t="shared" si="16"/>
        <v>0.021879</v>
      </c>
      <c r="L103" s="1">
        <f t="shared" si="17"/>
        <v>0.00017</v>
      </c>
      <c r="M103" s="1">
        <f t="shared" si="6"/>
        <v>0.775013</v>
      </c>
      <c r="N103" s="1">
        <f t="shared" si="18"/>
        <v>0.000408</v>
      </c>
      <c r="O103" s="1">
        <f t="shared" si="19"/>
        <v>0.000595</v>
      </c>
      <c r="P103" s="1">
        <f t="shared" si="20"/>
        <v>0.032487</v>
      </c>
      <c r="Q103" s="1">
        <f t="shared" si="21"/>
        <v>0.026741</v>
      </c>
      <c r="R103" s="1">
        <f t="shared" si="22"/>
        <v>8.5e-5</v>
      </c>
      <c r="S103" s="1">
        <f t="shared" si="23"/>
        <v>0.001173</v>
      </c>
      <c r="T103" s="1">
        <f t="shared" si="24"/>
        <v>0.001768</v>
      </c>
      <c r="U103" s="1">
        <f t="shared" si="25"/>
        <v>0.000119</v>
      </c>
      <c r="V103" s="1">
        <f t="shared" si="26"/>
        <v>0.001139</v>
      </c>
      <c r="W103" s="1">
        <f t="shared" si="27"/>
        <v>0.003451</v>
      </c>
      <c r="X103" s="1">
        <f t="shared" si="28"/>
        <v>0.007174</v>
      </c>
      <c r="Y103" s="1">
        <f t="shared" si="29"/>
        <v>0.000663</v>
      </c>
      <c r="Z103" s="1">
        <f t="shared" si="30"/>
        <v>0.000561</v>
      </c>
      <c r="AA103" s="1">
        <f t="shared" si="31"/>
        <v>0.082484</v>
      </c>
      <c r="AB103" s="1">
        <f t="shared" si="32"/>
        <v>0.027557</v>
      </c>
      <c r="AC103" s="1">
        <f t="shared" si="33"/>
        <v>0.000782</v>
      </c>
      <c r="AD103" s="1">
        <f t="shared" si="34"/>
        <v>0.026214</v>
      </c>
      <c r="AE103" s="1">
        <f t="shared" si="35"/>
        <v>0.000816</v>
      </c>
      <c r="AF103" s="1">
        <f t="shared" si="36"/>
        <v>1.7e-5</v>
      </c>
      <c r="AG103" s="1">
        <f t="shared" si="37"/>
        <v>0.000119</v>
      </c>
      <c r="AH103" s="1">
        <f t="shared" si="38"/>
        <v>0.007208</v>
      </c>
      <c r="AI103" s="1">
        <f t="shared" si="39"/>
        <v>0.012291</v>
      </c>
      <c r="AJ103" s="1">
        <f t="shared" si="40"/>
        <v>0.004675</v>
      </c>
      <c r="AK103" s="1">
        <f t="shared" si="41"/>
        <v>0.000187</v>
      </c>
      <c r="AL103" s="1">
        <f t="shared" si="42"/>
        <v>0.021981</v>
      </c>
      <c r="AM103" s="1">
        <f t="shared" si="43"/>
        <v>0.000323</v>
      </c>
      <c r="AN103" s="1">
        <f t="shared" si="44"/>
        <v>6.8e-5</v>
      </c>
      <c r="AQ103" s="6">
        <v>2013</v>
      </c>
      <c r="AR103" s="6" t="s">
        <v>95</v>
      </c>
      <c r="AS103" s="6">
        <v>0.017</v>
      </c>
      <c r="AT103" s="6" t="s">
        <v>568</v>
      </c>
      <c r="AU103" s="6" t="s">
        <v>594</v>
      </c>
      <c r="AV103" t="str">
        <f t="shared" si="73"/>
        <v>Tra_EV_Batt-NMC811_virgin_pack</v>
      </c>
      <c r="AW103">
        <f t="shared" si="108"/>
        <v>0.003</v>
      </c>
      <c r="AX103">
        <f t="shared" si="74"/>
        <v>0.003</v>
      </c>
      <c r="AY103">
        <f t="shared" si="75"/>
        <v>0.085</v>
      </c>
      <c r="AZ103">
        <f t="shared" si="76"/>
        <v>0.279</v>
      </c>
      <c r="BA103">
        <f t="shared" si="77"/>
        <v>0.033</v>
      </c>
      <c r="BB103">
        <f t="shared" si="78"/>
        <v>1.287</v>
      </c>
      <c r="BC103">
        <f t="shared" si="79"/>
        <v>0.01</v>
      </c>
      <c r="BD103">
        <f t="shared" si="80"/>
        <v>45.589</v>
      </c>
      <c r="BE103">
        <f t="shared" si="81"/>
        <v>0.024</v>
      </c>
      <c r="BF103">
        <f t="shared" si="82"/>
        <v>0.035</v>
      </c>
      <c r="BG103">
        <f t="shared" si="83"/>
        <v>1.911</v>
      </c>
      <c r="BH103">
        <f t="shared" si="84"/>
        <v>1.573</v>
      </c>
      <c r="BI103">
        <f t="shared" si="85"/>
        <v>0.005</v>
      </c>
      <c r="BJ103">
        <f t="shared" si="86"/>
        <v>0.069</v>
      </c>
      <c r="BK103">
        <f t="shared" si="87"/>
        <v>0.104</v>
      </c>
      <c r="BL103">
        <f t="shared" si="88"/>
        <v>0.007</v>
      </c>
      <c r="BM103">
        <f t="shared" si="89"/>
        <v>0.067</v>
      </c>
      <c r="BN103">
        <f t="shared" si="90"/>
        <v>0.203</v>
      </c>
      <c r="BO103">
        <f t="shared" si="91"/>
        <v>0.422</v>
      </c>
      <c r="BP103">
        <f t="shared" si="92"/>
        <v>0.039</v>
      </c>
      <c r="BQ103">
        <f t="shared" si="93"/>
        <v>0.033</v>
      </c>
      <c r="BR103">
        <f t="shared" si="94"/>
        <v>4.852</v>
      </c>
      <c r="BS103">
        <f t="shared" si="95"/>
        <v>1.621</v>
      </c>
      <c r="BT103">
        <f t="shared" si="96"/>
        <v>0.046</v>
      </c>
      <c r="BU103">
        <f t="shared" si="97"/>
        <v>1.542</v>
      </c>
      <c r="BV103">
        <f t="shared" si="98"/>
        <v>0.048</v>
      </c>
      <c r="BW103">
        <f t="shared" si="99"/>
        <v>0.001</v>
      </c>
      <c r="BX103">
        <f t="shared" si="100"/>
        <v>0.007</v>
      </c>
      <c r="BY103">
        <f t="shared" si="101"/>
        <v>0.424</v>
      </c>
      <c r="BZ103">
        <f t="shared" si="102"/>
        <v>0.723</v>
      </c>
      <c r="CA103">
        <f t="shared" si="103"/>
        <v>0.275</v>
      </c>
      <c r="CB103">
        <f t="shared" si="104"/>
        <v>0.011</v>
      </c>
      <c r="CC103">
        <f t="shared" si="105"/>
        <v>1.293</v>
      </c>
      <c r="CD103">
        <f t="shared" si="106"/>
        <v>0.019</v>
      </c>
      <c r="CE103">
        <f t="shared" si="107"/>
        <v>0.004</v>
      </c>
      <c r="CG103" s="6">
        <v>2013</v>
      </c>
      <c r="CH103" s="6" t="s">
        <v>95</v>
      </c>
      <c r="CI103" s="6">
        <v>0.017</v>
      </c>
      <c r="CJ103" s="6">
        <v>0.018</v>
      </c>
      <c r="CK103" s="6" t="s">
        <v>595</v>
      </c>
      <c r="CL103" s="6" t="s">
        <v>596</v>
      </c>
      <c r="CM103" s="6" t="s">
        <v>597</v>
      </c>
    </row>
    <row r="104" spans="4:91">
      <c r="D104">
        <f t="shared" si="109"/>
        <v>2013</v>
      </c>
      <c r="E104" t="s">
        <v>87</v>
      </c>
      <c r="F104" s="1">
        <f t="shared" si="11"/>
        <v>1.7e-5</v>
      </c>
      <c r="G104" s="1">
        <f t="shared" si="12"/>
        <v>1.7e-5</v>
      </c>
      <c r="H104" s="1">
        <f t="shared" si="13"/>
        <v>0.000289</v>
      </c>
      <c r="I104" s="1">
        <f t="shared" si="14"/>
        <v>0.000901</v>
      </c>
      <c r="J104" s="1">
        <f t="shared" si="15"/>
        <v>0.000102</v>
      </c>
      <c r="K104" s="1">
        <f t="shared" si="16"/>
        <v>0.004148</v>
      </c>
      <c r="L104" s="1">
        <f t="shared" si="17"/>
        <v>1.7e-5</v>
      </c>
      <c r="M104" s="1">
        <f t="shared" si="6"/>
        <v>0.159647</v>
      </c>
      <c r="N104" s="1">
        <f t="shared" si="18"/>
        <v>8.5e-5</v>
      </c>
      <c r="O104" s="1">
        <f t="shared" si="19"/>
        <v>0.000102</v>
      </c>
      <c r="P104" s="1">
        <f t="shared" si="20"/>
        <v>0.00544</v>
      </c>
      <c r="Q104" s="1">
        <f t="shared" si="21"/>
        <v>0.004896</v>
      </c>
      <c r="R104" s="1">
        <f t="shared" si="22"/>
        <v>1.7e-5</v>
      </c>
      <c r="S104" s="1">
        <f t="shared" si="23"/>
        <v>0.000204</v>
      </c>
      <c r="T104" s="1">
        <f t="shared" si="24"/>
        <v>0.000357</v>
      </c>
      <c r="U104" s="1">
        <f t="shared" si="25"/>
        <v>0</v>
      </c>
      <c r="V104" s="1">
        <f t="shared" si="26"/>
        <v>0.000221</v>
      </c>
      <c r="W104" s="1">
        <f t="shared" si="27"/>
        <v>0.000612</v>
      </c>
      <c r="X104" s="1">
        <f t="shared" si="28"/>
        <v>0</v>
      </c>
      <c r="Y104" s="1">
        <f t="shared" si="29"/>
        <v>6.8e-5</v>
      </c>
      <c r="Z104" s="1">
        <f t="shared" si="30"/>
        <v>0.000102</v>
      </c>
      <c r="AA104" s="1">
        <f t="shared" si="31"/>
        <v>0.081022</v>
      </c>
      <c r="AB104" s="1">
        <f t="shared" si="32"/>
        <v>0.008959</v>
      </c>
      <c r="AC104" s="1">
        <f t="shared" si="33"/>
        <v>8.5e-5</v>
      </c>
      <c r="AD104" s="1">
        <f t="shared" si="34"/>
        <v>0.018343</v>
      </c>
      <c r="AE104" s="1">
        <f t="shared" si="35"/>
        <v>0.000136</v>
      </c>
      <c r="AF104" s="1">
        <f t="shared" si="36"/>
        <v>0</v>
      </c>
      <c r="AG104" s="1">
        <f t="shared" si="37"/>
        <v>1.7e-5</v>
      </c>
      <c r="AH104" s="1">
        <f t="shared" si="38"/>
        <v>0.001343</v>
      </c>
      <c r="AI104" s="1">
        <f t="shared" si="39"/>
        <v>0.002278</v>
      </c>
      <c r="AJ104" s="1">
        <f t="shared" si="40"/>
        <v>0.000884</v>
      </c>
      <c r="AK104" s="1">
        <f t="shared" si="41"/>
        <v>3.4e-5</v>
      </c>
      <c r="AL104" s="1">
        <f t="shared" si="42"/>
        <v>0.004131</v>
      </c>
      <c r="AM104" s="1">
        <f t="shared" si="43"/>
        <v>0</v>
      </c>
      <c r="AN104" s="1">
        <f t="shared" si="44"/>
        <v>1.7e-5</v>
      </c>
      <c r="AQ104" s="6">
        <v>2013</v>
      </c>
      <c r="AR104" s="6" t="s">
        <v>87</v>
      </c>
      <c r="AS104" s="6">
        <v>0.017</v>
      </c>
      <c r="AT104" s="6" t="s">
        <v>568</v>
      </c>
      <c r="AU104" s="6" t="s">
        <v>594</v>
      </c>
      <c r="AV104" t="str">
        <f t="shared" si="73"/>
        <v> Tra_EV_Batt-NMC532_virgin_pack</v>
      </c>
      <c r="AW104">
        <f t="shared" si="108"/>
        <v>0.001</v>
      </c>
      <c r="AX104">
        <f t="shared" si="74"/>
        <v>0.001</v>
      </c>
      <c r="AY104">
        <f t="shared" si="75"/>
        <v>0.017</v>
      </c>
      <c r="AZ104">
        <f t="shared" si="76"/>
        <v>0.053</v>
      </c>
      <c r="BA104">
        <f t="shared" si="77"/>
        <v>0.006</v>
      </c>
      <c r="BB104">
        <f t="shared" si="78"/>
        <v>0.244</v>
      </c>
      <c r="BC104">
        <f t="shared" si="79"/>
        <v>0.001</v>
      </c>
      <c r="BD104">
        <f t="shared" si="80"/>
        <v>9.391</v>
      </c>
      <c r="BE104">
        <f t="shared" si="81"/>
        <v>0.005</v>
      </c>
      <c r="BF104">
        <f t="shared" si="82"/>
        <v>0.006</v>
      </c>
      <c r="BG104">
        <f t="shared" si="83"/>
        <v>0.32</v>
      </c>
      <c r="BH104">
        <f t="shared" si="84"/>
        <v>0.288</v>
      </c>
      <c r="BI104">
        <f t="shared" si="85"/>
        <v>0.001</v>
      </c>
      <c r="BJ104">
        <f t="shared" si="86"/>
        <v>0.012</v>
      </c>
      <c r="BK104">
        <f t="shared" si="87"/>
        <v>0.021</v>
      </c>
      <c r="BL104">
        <f t="shared" si="88"/>
        <v>0</v>
      </c>
      <c r="BM104">
        <f t="shared" si="89"/>
        <v>0.013</v>
      </c>
      <c r="BN104">
        <f t="shared" si="90"/>
        <v>0.036</v>
      </c>
      <c r="BO104">
        <f t="shared" si="91"/>
        <v>0</v>
      </c>
      <c r="BP104">
        <f t="shared" si="92"/>
        <v>0.004</v>
      </c>
      <c r="BQ104">
        <f t="shared" si="93"/>
        <v>0.006</v>
      </c>
      <c r="BR104">
        <f t="shared" si="94"/>
        <v>4.766</v>
      </c>
      <c r="BS104">
        <f t="shared" si="95"/>
        <v>0.527</v>
      </c>
      <c r="BT104">
        <f t="shared" si="96"/>
        <v>0.005</v>
      </c>
      <c r="BU104">
        <f t="shared" si="97"/>
        <v>1.079</v>
      </c>
      <c r="BV104">
        <f t="shared" si="98"/>
        <v>0.008</v>
      </c>
      <c r="BW104">
        <f t="shared" si="99"/>
        <v>0</v>
      </c>
      <c r="BX104">
        <f t="shared" si="100"/>
        <v>0.001</v>
      </c>
      <c r="BY104">
        <f t="shared" si="101"/>
        <v>0.079</v>
      </c>
      <c r="BZ104">
        <f t="shared" si="102"/>
        <v>0.134</v>
      </c>
      <c r="CA104">
        <f t="shared" si="103"/>
        <v>0.052</v>
      </c>
      <c r="CB104">
        <f t="shared" si="104"/>
        <v>0.002</v>
      </c>
      <c r="CC104">
        <f t="shared" si="105"/>
        <v>0.243</v>
      </c>
      <c r="CD104">
        <f t="shared" si="106"/>
        <v>0</v>
      </c>
      <c r="CE104">
        <f t="shared" si="107"/>
        <v>0.001</v>
      </c>
      <c r="CG104" s="6">
        <v>2013</v>
      </c>
      <c r="CH104" s="6" t="s">
        <v>87</v>
      </c>
      <c r="CI104" s="6">
        <v>0.017</v>
      </c>
      <c r="CJ104" s="6">
        <v>0.018</v>
      </c>
      <c r="CK104" s="6" t="s">
        <v>595</v>
      </c>
      <c r="CL104" s="6" t="s">
        <v>596</v>
      </c>
      <c r="CM104" s="6" t="s">
        <v>597</v>
      </c>
    </row>
    <row r="105" spans="4:91">
      <c r="D105">
        <f t="shared" si="109"/>
        <v>2013</v>
      </c>
      <c r="E105" t="s">
        <v>78</v>
      </c>
      <c r="F105" s="1">
        <f t="shared" si="11"/>
        <v>0</v>
      </c>
      <c r="G105" s="1">
        <f t="shared" si="12"/>
        <v>0</v>
      </c>
      <c r="H105" s="1">
        <f t="shared" si="13"/>
        <v>0</v>
      </c>
      <c r="I105" s="1">
        <f t="shared" si="14"/>
        <v>0</v>
      </c>
      <c r="J105" s="1">
        <f t="shared" si="15"/>
        <v>0</v>
      </c>
      <c r="K105" s="1">
        <f t="shared" si="16"/>
        <v>0</v>
      </c>
      <c r="L105" s="1">
        <f t="shared" si="17"/>
        <v>0</v>
      </c>
      <c r="M105" s="1">
        <f t="shared" si="6"/>
        <v>0.028917</v>
      </c>
      <c r="N105" s="1">
        <f t="shared" si="18"/>
        <v>0</v>
      </c>
      <c r="O105" s="1">
        <f t="shared" si="19"/>
        <v>0</v>
      </c>
      <c r="P105" s="1">
        <f t="shared" si="20"/>
        <v>0</v>
      </c>
      <c r="Q105" s="1">
        <f t="shared" si="21"/>
        <v>0</v>
      </c>
      <c r="R105" s="1">
        <f t="shared" si="22"/>
        <v>0</v>
      </c>
      <c r="S105" s="1">
        <f t="shared" si="23"/>
        <v>0</v>
      </c>
      <c r="T105" s="1">
        <f t="shared" si="24"/>
        <v>0</v>
      </c>
      <c r="U105" s="1">
        <f t="shared" si="25"/>
        <v>0</v>
      </c>
      <c r="V105" s="1">
        <f t="shared" si="26"/>
        <v>0</v>
      </c>
      <c r="W105" s="1">
        <f t="shared" si="27"/>
        <v>0</v>
      </c>
      <c r="X105" s="1">
        <f t="shared" si="28"/>
        <v>0</v>
      </c>
      <c r="Y105" s="1">
        <f t="shared" si="29"/>
        <v>0</v>
      </c>
      <c r="Z105" s="1">
        <f t="shared" si="30"/>
        <v>0</v>
      </c>
      <c r="AA105" s="1">
        <f t="shared" si="31"/>
        <v>0</v>
      </c>
      <c r="AB105" s="1">
        <f t="shared" si="32"/>
        <v>0</v>
      </c>
      <c r="AC105" s="1">
        <f t="shared" si="33"/>
        <v>0</v>
      </c>
      <c r="AD105" s="1">
        <f t="shared" si="34"/>
        <v>0</v>
      </c>
      <c r="AE105" s="1">
        <f t="shared" si="35"/>
        <v>0</v>
      </c>
      <c r="AF105" s="1">
        <f t="shared" si="36"/>
        <v>0</v>
      </c>
      <c r="AG105" s="1">
        <f t="shared" si="37"/>
        <v>0</v>
      </c>
      <c r="AH105" s="1">
        <f t="shared" si="38"/>
        <v>0</v>
      </c>
      <c r="AI105" s="1">
        <f t="shared" si="39"/>
        <v>0</v>
      </c>
      <c r="AJ105" s="1">
        <f t="shared" si="40"/>
        <v>0</v>
      </c>
      <c r="AK105" s="1">
        <f t="shared" si="41"/>
        <v>0</v>
      </c>
      <c r="AL105" s="1">
        <f t="shared" si="42"/>
        <v>0</v>
      </c>
      <c r="AM105" s="1">
        <f t="shared" si="43"/>
        <v>0</v>
      </c>
      <c r="AN105" s="1">
        <f t="shared" si="44"/>
        <v>0</v>
      </c>
      <c r="AQ105" s="6">
        <v>2013</v>
      </c>
      <c r="AR105" s="6" t="s">
        <v>78</v>
      </c>
      <c r="AS105" s="6">
        <v>0.017</v>
      </c>
      <c r="AT105" s="6" t="s">
        <v>568</v>
      </c>
      <c r="AU105" s="6" t="s">
        <v>594</v>
      </c>
      <c r="AV105" t="str">
        <f t="shared" si="73"/>
        <v>Tra_EV_Batt-NCA_virgin_pack</v>
      </c>
      <c r="AW105">
        <f t="shared" si="108"/>
        <v>0</v>
      </c>
      <c r="AX105">
        <f t="shared" si="74"/>
        <v>0</v>
      </c>
      <c r="AY105">
        <f t="shared" si="75"/>
        <v>0</v>
      </c>
      <c r="AZ105">
        <f t="shared" si="76"/>
        <v>0</v>
      </c>
      <c r="BA105">
        <f t="shared" si="77"/>
        <v>0</v>
      </c>
      <c r="BB105">
        <f t="shared" si="78"/>
        <v>0</v>
      </c>
      <c r="BC105">
        <f t="shared" si="79"/>
        <v>0</v>
      </c>
      <c r="BD105">
        <f t="shared" si="80"/>
        <v>1.701</v>
      </c>
      <c r="BE105">
        <f t="shared" si="81"/>
        <v>0</v>
      </c>
      <c r="BF105">
        <f t="shared" si="82"/>
        <v>0</v>
      </c>
      <c r="BG105">
        <f t="shared" si="83"/>
        <v>0</v>
      </c>
      <c r="BH105">
        <f t="shared" si="84"/>
        <v>0</v>
      </c>
      <c r="BI105">
        <f t="shared" si="85"/>
        <v>0</v>
      </c>
      <c r="BJ105">
        <f t="shared" si="86"/>
        <v>0</v>
      </c>
      <c r="BK105">
        <f t="shared" si="87"/>
        <v>0</v>
      </c>
      <c r="BL105">
        <f t="shared" si="88"/>
        <v>0</v>
      </c>
      <c r="BM105">
        <f t="shared" si="89"/>
        <v>0</v>
      </c>
      <c r="BN105">
        <f t="shared" si="90"/>
        <v>0</v>
      </c>
      <c r="BO105">
        <f t="shared" si="91"/>
        <v>0</v>
      </c>
      <c r="BP105">
        <f t="shared" si="92"/>
        <v>0</v>
      </c>
      <c r="BQ105">
        <f t="shared" si="93"/>
        <v>0</v>
      </c>
      <c r="BR105">
        <f t="shared" si="94"/>
        <v>0</v>
      </c>
      <c r="BS105">
        <f t="shared" si="95"/>
        <v>0</v>
      </c>
      <c r="BT105">
        <f t="shared" si="96"/>
        <v>0</v>
      </c>
      <c r="BU105">
        <f t="shared" si="97"/>
        <v>0</v>
      </c>
      <c r="BV105">
        <f t="shared" si="98"/>
        <v>0</v>
      </c>
      <c r="BW105">
        <f t="shared" si="99"/>
        <v>0</v>
      </c>
      <c r="BX105">
        <f t="shared" si="100"/>
        <v>0</v>
      </c>
      <c r="BY105">
        <f t="shared" si="101"/>
        <v>0</v>
      </c>
      <c r="BZ105">
        <f t="shared" si="102"/>
        <v>0</v>
      </c>
      <c r="CA105">
        <f t="shared" si="103"/>
        <v>0</v>
      </c>
      <c r="CB105">
        <f t="shared" si="104"/>
        <v>0</v>
      </c>
      <c r="CC105">
        <f t="shared" si="105"/>
        <v>0</v>
      </c>
      <c r="CD105">
        <f t="shared" si="106"/>
        <v>0</v>
      </c>
      <c r="CE105">
        <f t="shared" si="107"/>
        <v>0</v>
      </c>
      <c r="CG105" s="6">
        <v>2013</v>
      </c>
      <c r="CH105" s="6" t="s">
        <v>78</v>
      </c>
      <c r="CI105" s="6">
        <v>0.017</v>
      </c>
      <c r="CJ105" s="6">
        <v>0.018</v>
      </c>
      <c r="CK105" s="6" t="s">
        <v>595</v>
      </c>
      <c r="CL105" s="6" t="s">
        <v>596</v>
      </c>
      <c r="CM105" s="6" t="s">
        <v>597</v>
      </c>
    </row>
    <row r="106" spans="4:91">
      <c r="D106">
        <f t="shared" si="109"/>
        <v>2013</v>
      </c>
      <c r="E106" t="s">
        <v>74</v>
      </c>
      <c r="F106" s="1">
        <f t="shared" si="11"/>
        <v>3.4e-5</v>
      </c>
      <c r="G106" s="1">
        <f t="shared" si="12"/>
        <v>3.4e-5</v>
      </c>
      <c r="H106" s="1">
        <f t="shared" si="13"/>
        <v>0.001139</v>
      </c>
      <c r="I106" s="1">
        <f t="shared" si="14"/>
        <v>0.003604</v>
      </c>
      <c r="J106" s="1">
        <f t="shared" si="15"/>
        <v>0.000425</v>
      </c>
      <c r="K106" s="1">
        <f t="shared" si="16"/>
        <v>0.016592</v>
      </c>
      <c r="L106" s="1">
        <f t="shared" si="17"/>
        <v>0.000102</v>
      </c>
      <c r="M106" s="1">
        <f t="shared" si="6"/>
        <v>0.043367</v>
      </c>
      <c r="N106" s="1">
        <f t="shared" si="18"/>
        <v>0.000323</v>
      </c>
      <c r="O106" s="1">
        <f t="shared" si="19"/>
        <v>0.000374</v>
      </c>
      <c r="P106" s="1">
        <f t="shared" si="20"/>
        <v>0.021794</v>
      </c>
      <c r="Q106" s="1">
        <f t="shared" si="21"/>
        <v>0.019567</v>
      </c>
      <c r="R106" s="1">
        <f t="shared" si="22"/>
        <v>6.8e-5</v>
      </c>
      <c r="S106" s="1">
        <f t="shared" si="23"/>
        <v>0.00085</v>
      </c>
      <c r="T106" s="1">
        <f t="shared" si="24"/>
        <v>0.001428</v>
      </c>
      <c r="U106" s="1">
        <f t="shared" si="25"/>
        <v>0</v>
      </c>
      <c r="V106" s="1">
        <f t="shared" si="26"/>
        <v>0.000884</v>
      </c>
      <c r="W106" s="1">
        <f t="shared" si="27"/>
        <v>0.002431</v>
      </c>
      <c r="X106" s="1">
        <f t="shared" si="28"/>
        <v>0.012274</v>
      </c>
      <c r="Y106" s="1">
        <f t="shared" si="29"/>
        <v>0.000289</v>
      </c>
      <c r="Z106" s="1">
        <f t="shared" si="30"/>
        <v>0.000425</v>
      </c>
      <c r="AA106" s="1">
        <f t="shared" si="31"/>
        <v>0.752403</v>
      </c>
      <c r="AB106" s="1">
        <f t="shared" si="32"/>
        <v>0.062696</v>
      </c>
      <c r="AC106" s="1">
        <f t="shared" si="33"/>
        <v>0.000323</v>
      </c>
      <c r="AD106" s="1">
        <f t="shared" si="34"/>
        <v>0.018343</v>
      </c>
      <c r="AE106" s="1">
        <f t="shared" si="35"/>
        <v>0.000561</v>
      </c>
      <c r="AF106" s="1">
        <f t="shared" si="36"/>
        <v>1.7e-5</v>
      </c>
      <c r="AG106" s="1">
        <f t="shared" si="37"/>
        <v>0.000102</v>
      </c>
      <c r="AH106" s="1">
        <f t="shared" si="38"/>
        <v>0.005355</v>
      </c>
      <c r="AI106" s="1">
        <f t="shared" si="39"/>
        <v>0.009095</v>
      </c>
      <c r="AJ106" s="1">
        <f t="shared" si="40"/>
        <v>0.003536</v>
      </c>
      <c r="AK106" s="1">
        <f t="shared" si="41"/>
        <v>0.000102</v>
      </c>
      <c r="AL106" s="1">
        <f t="shared" si="42"/>
        <v>0.01649</v>
      </c>
      <c r="AM106" s="1">
        <f t="shared" si="43"/>
        <v>0.000629</v>
      </c>
      <c r="AN106" s="1">
        <f t="shared" si="44"/>
        <v>5.1e-5</v>
      </c>
      <c r="AQ106" s="6">
        <v>2013</v>
      </c>
      <c r="AR106" s="6" t="s">
        <v>74</v>
      </c>
      <c r="AS106" s="6">
        <v>0.017</v>
      </c>
      <c r="AT106" s="6" t="s">
        <v>568</v>
      </c>
      <c r="AU106" s="6" t="s">
        <v>594</v>
      </c>
      <c r="AV106" t="str">
        <f t="shared" si="73"/>
        <v> Tra_EV_Batt-LMO_virgin_pack</v>
      </c>
      <c r="AW106">
        <f t="shared" si="108"/>
        <v>0.002</v>
      </c>
      <c r="AX106">
        <f t="shared" si="74"/>
        <v>0.002</v>
      </c>
      <c r="AY106">
        <f t="shared" si="75"/>
        <v>0.067</v>
      </c>
      <c r="AZ106">
        <f t="shared" si="76"/>
        <v>0.212</v>
      </c>
      <c r="BA106">
        <f t="shared" si="77"/>
        <v>0.025</v>
      </c>
      <c r="BB106">
        <f t="shared" si="78"/>
        <v>0.976</v>
      </c>
      <c r="BC106">
        <f t="shared" si="79"/>
        <v>0.006</v>
      </c>
      <c r="BD106">
        <f t="shared" si="80"/>
        <v>2.551</v>
      </c>
      <c r="BE106">
        <f t="shared" si="81"/>
        <v>0.019</v>
      </c>
      <c r="BF106">
        <f t="shared" si="82"/>
        <v>0.022</v>
      </c>
      <c r="BG106">
        <f t="shared" si="83"/>
        <v>1.282</v>
      </c>
      <c r="BH106">
        <f t="shared" si="84"/>
        <v>1.151</v>
      </c>
      <c r="BI106">
        <f t="shared" si="85"/>
        <v>0.004</v>
      </c>
      <c r="BJ106">
        <f t="shared" si="86"/>
        <v>0.05</v>
      </c>
      <c r="BK106">
        <f t="shared" si="87"/>
        <v>0.084</v>
      </c>
      <c r="BL106">
        <f t="shared" si="88"/>
        <v>0</v>
      </c>
      <c r="BM106">
        <f t="shared" si="89"/>
        <v>0.052</v>
      </c>
      <c r="BN106">
        <f t="shared" si="90"/>
        <v>0.143</v>
      </c>
      <c r="BO106">
        <f t="shared" si="91"/>
        <v>0.722</v>
      </c>
      <c r="BP106">
        <f t="shared" si="92"/>
        <v>0.017</v>
      </c>
      <c r="BQ106">
        <f t="shared" si="93"/>
        <v>0.025</v>
      </c>
      <c r="BR106">
        <f t="shared" si="94"/>
        <v>44.259</v>
      </c>
      <c r="BS106">
        <f t="shared" si="95"/>
        <v>3.688</v>
      </c>
      <c r="BT106">
        <f t="shared" si="96"/>
        <v>0.019</v>
      </c>
      <c r="BU106">
        <f t="shared" si="97"/>
        <v>1.079</v>
      </c>
      <c r="BV106">
        <f t="shared" si="98"/>
        <v>0.033</v>
      </c>
      <c r="BW106">
        <f t="shared" si="99"/>
        <v>0.001</v>
      </c>
      <c r="BX106">
        <f t="shared" si="100"/>
        <v>0.006</v>
      </c>
      <c r="BY106">
        <f t="shared" si="101"/>
        <v>0.315</v>
      </c>
      <c r="BZ106">
        <f t="shared" si="102"/>
        <v>0.535</v>
      </c>
      <c r="CA106">
        <f t="shared" si="103"/>
        <v>0.208</v>
      </c>
      <c r="CB106">
        <f t="shared" si="104"/>
        <v>0.006</v>
      </c>
      <c r="CC106">
        <f t="shared" si="105"/>
        <v>0.97</v>
      </c>
      <c r="CD106">
        <f t="shared" si="106"/>
        <v>0.037</v>
      </c>
      <c r="CE106">
        <f t="shared" si="107"/>
        <v>0.003</v>
      </c>
      <c r="CG106" s="6">
        <v>2013</v>
      </c>
      <c r="CH106" s="6" t="s">
        <v>74</v>
      </c>
      <c r="CI106" s="6">
        <v>0.017</v>
      </c>
      <c r="CJ106" s="6">
        <v>0.018</v>
      </c>
      <c r="CK106" s="6" t="s">
        <v>595</v>
      </c>
      <c r="CL106" s="6" t="s">
        <v>596</v>
      </c>
      <c r="CM106" s="6" t="s">
        <v>597</v>
      </c>
    </row>
    <row r="107" spans="4:91">
      <c r="D107">
        <f t="shared" si="109"/>
        <v>2013</v>
      </c>
      <c r="E107" t="s">
        <v>82</v>
      </c>
      <c r="F107" s="1">
        <f t="shared" si="11"/>
        <v>3.4e-5</v>
      </c>
      <c r="G107" s="1">
        <f t="shared" si="12"/>
        <v>3.4e-5</v>
      </c>
      <c r="H107" s="1">
        <f t="shared" si="13"/>
        <v>0.001139</v>
      </c>
      <c r="I107" s="1">
        <f t="shared" si="14"/>
        <v>0.003961</v>
      </c>
      <c r="J107" s="1">
        <f t="shared" si="15"/>
        <v>0.000425</v>
      </c>
      <c r="K107" s="1">
        <f t="shared" si="16"/>
        <v>0.017697</v>
      </c>
      <c r="L107" s="1">
        <f t="shared" si="17"/>
        <v>0.000102</v>
      </c>
      <c r="M107" s="1">
        <f t="shared" si="6"/>
        <v>0.028917</v>
      </c>
      <c r="N107" s="1">
        <f t="shared" si="18"/>
        <v>0.000323</v>
      </c>
      <c r="O107" s="1">
        <f t="shared" si="19"/>
        <v>0.000493</v>
      </c>
      <c r="P107" s="1">
        <f t="shared" si="20"/>
        <v>0.031603</v>
      </c>
      <c r="Q107" s="1">
        <f t="shared" si="21"/>
        <v>0.023528</v>
      </c>
      <c r="R107" s="1">
        <f t="shared" si="22"/>
        <v>6.8e-5</v>
      </c>
      <c r="S107" s="1">
        <f t="shared" si="23"/>
        <v>0.000969</v>
      </c>
      <c r="T107" s="1">
        <f t="shared" si="24"/>
        <v>0.001428</v>
      </c>
      <c r="U107" s="1">
        <f t="shared" si="25"/>
        <v>0.000714</v>
      </c>
      <c r="V107" s="1">
        <f t="shared" si="26"/>
        <v>0.000952</v>
      </c>
      <c r="W107" s="1">
        <f t="shared" si="27"/>
        <v>0.003026</v>
      </c>
      <c r="X107" s="1">
        <f t="shared" si="28"/>
        <v>0.069428</v>
      </c>
      <c r="Y107" s="1">
        <f t="shared" si="29"/>
        <v>0.000357</v>
      </c>
      <c r="Z107" s="1">
        <f t="shared" si="30"/>
        <v>0.000425</v>
      </c>
      <c r="AA107" s="1">
        <f t="shared" si="31"/>
        <v>0.128571</v>
      </c>
      <c r="AB107" s="1">
        <f t="shared" si="32"/>
        <v>0.036975</v>
      </c>
      <c r="AC107" s="1">
        <f t="shared" si="33"/>
        <v>0.000425</v>
      </c>
      <c r="AD107" s="1">
        <f t="shared" si="34"/>
        <v>0.004029</v>
      </c>
      <c r="AE107" s="1">
        <f t="shared" si="35"/>
        <v>0.000561</v>
      </c>
      <c r="AF107" s="1">
        <f t="shared" si="36"/>
        <v>1.7e-5</v>
      </c>
      <c r="AG107" s="1">
        <f t="shared" si="37"/>
        <v>0.000102</v>
      </c>
      <c r="AH107" s="1">
        <f t="shared" si="38"/>
        <v>0.006035</v>
      </c>
      <c r="AI107" s="1">
        <f t="shared" si="39"/>
        <v>0.010217</v>
      </c>
      <c r="AJ107" s="1">
        <f t="shared" si="40"/>
        <v>0.003893</v>
      </c>
      <c r="AK107" s="1">
        <f t="shared" si="41"/>
        <v>0.000102</v>
      </c>
      <c r="AL107" s="1">
        <f t="shared" si="42"/>
        <v>0.018292</v>
      </c>
      <c r="AM107" s="1">
        <f t="shared" si="43"/>
        <v>0.003485</v>
      </c>
      <c r="AN107" s="1">
        <f t="shared" si="44"/>
        <v>5.1e-5</v>
      </c>
      <c r="AQ107" s="6">
        <v>2013</v>
      </c>
      <c r="AR107" s="6" t="s">
        <v>82</v>
      </c>
      <c r="AS107" s="6">
        <v>0.017</v>
      </c>
      <c r="AT107" s="6" t="s">
        <v>568</v>
      </c>
      <c r="AU107" s="6" t="s">
        <v>594</v>
      </c>
      <c r="AV107" t="str">
        <f t="shared" si="73"/>
        <v>Tra_EV_Batt-NMC111_virgin_pack</v>
      </c>
      <c r="AW107">
        <f t="shared" si="108"/>
        <v>0.002</v>
      </c>
      <c r="AX107">
        <f t="shared" si="74"/>
        <v>0.002</v>
      </c>
      <c r="AY107">
        <f t="shared" si="75"/>
        <v>0.067</v>
      </c>
      <c r="AZ107">
        <f t="shared" si="76"/>
        <v>0.233</v>
      </c>
      <c r="BA107">
        <f t="shared" si="77"/>
        <v>0.025</v>
      </c>
      <c r="BB107">
        <f t="shared" si="78"/>
        <v>1.041</v>
      </c>
      <c r="BC107">
        <f t="shared" si="79"/>
        <v>0.006</v>
      </c>
      <c r="BD107">
        <f t="shared" si="80"/>
        <v>1.701</v>
      </c>
      <c r="BE107">
        <f t="shared" si="81"/>
        <v>0.019</v>
      </c>
      <c r="BF107">
        <f t="shared" si="82"/>
        <v>0.029</v>
      </c>
      <c r="BG107">
        <f t="shared" si="83"/>
        <v>1.859</v>
      </c>
      <c r="BH107">
        <f t="shared" si="84"/>
        <v>1.384</v>
      </c>
      <c r="BI107">
        <f t="shared" si="85"/>
        <v>0.004</v>
      </c>
      <c r="BJ107">
        <f t="shared" si="86"/>
        <v>0.057</v>
      </c>
      <c r="BK107">
        <f t="shared" si="87"/>
        <v>0.084</v>
      </c>
      <c r="BL107">
        <f t="shared" si="88"/>
        <v>0.042</v>
      </c>
      <c r="BM107">
        <f t="shared" si="89"/>
        <v>0.056</v>
      </c>
      <c r="BN107">
        <f t="shared" si="90"/>
        <v>0.178</v>
      </c>
      <c r="BO107">
        <f t="shared" si="91"/>
        <v>4.084</v>
      </c>
      <c r="BP107">
        <f t="shared" si="92"/>
        <v>0.021</v>
      </c>
      <c r="BQ107">
        <f t="shared" si="93"/>
        <v>0.025</v>
      </c>
      <c r="BR107">
        <f t="shared" si="94"/>
        <v>7.563</v>
      </c>
      <c r="BS107">
        <f t="shared" si="95"/>
        <v>2.175</v>
      </c>
      <c r="BT107">
        <f t="shared" si="96"/>
        <v>0.025</v>
      </c>
      <c r="BU107">
        <f t="shared" si="97"/>
        <v>0.237</v>
      </c>
      <c r="BV107">
        <f t="shared" si="98"/>
        <v>0.033</v>
      </c>
      <c r="BW107">
        <f t="shared" si="99"/>
        <v>0.001</v>
      </c>
      <c r="BX107">
        <f t="shared" si="100"/>
        <v>0.006</v>
      </c>
      <c r="BY107">
        <f t="shared" si="101"/>
        <v>0.355</v>
      </c>
      <c r="BZ107">
        <f t="shared" si="102"/>
        <v>0.601</v>
      </c>
      <c r="CA107">
        <f t="shared" si="103"/>
        <v>0.229</v>
      </c>
      <c r="CB107">
        <f t="shared" si="104"/>
        <v>0.006</v>
      </c>
      <c r="CC107">
        <f t="shared" si="105"/>
        <v>1.076</v>
      </c>
      <c r="CD107">
        <f t="shared" si="106"/>
        <v>0.205</v>
      </c>
      <c r="CE107">
        <f t="shared" si="107"/>
        <v>0.003</v>
      </c>
      <c r="CG107" s="6">
        <v>2013</v>
      </c>
      <c r="CH107" s="6" t="s">
        <v>82</v>
      </c>
      <c r="CI107" s="6">
        <v>0.017</v>
      </c>
      <c r="CJ107" s="6">
        <v>0.018</v>
      </c>
      <c r="CK107" s="6" t="s">
        <v>595</v>
      </c>
      <c r="CL107" s="6" t="s">
        <v>596</v>
      </c>
      <c r="CM107" s="6" t="s">
        <v>597</v>
      </c>
    </row>
    <row r="108" spans="4:91">
      <c r="D108">
        <v>2019</v>
      </c>
      <c r="E108" t="s">
        <v>249</v>
      </c>
      <c r="F108" s="1">
        <f t="shared" si="11"/>
        <v>0</v>
      </c>
      <c r="G108" s="1">
        <f t="shared" si="12"/>
        <v>1.93401</v>
      </c>
      <c r="H108" s="1">
        <f t="shared" si="13"/>
        <v>6.8904</v>
      </c>
      <c r="I108" s="1">
        <f t="shared" si="14"/>
        <v>0</v>
      </c>
      <c r="J108" s="1">
        <f t="shared" si="15"/>
        <v>0</v>
      </c>
      <c r="K108" s="1">
        <f t="shared" si="16"/>
        <v>0</v>
      </c>
      <c r="L108" s="1">
        <f t="shared" si="17"/>
        <v>0.783</v>
      </c>
      <c r="M108" s="1">
        <f t="shared" si="6"/>
        <v>3.2103</v>
      </c>
      <c r="N108" s="1">
        <f t="shared" si="18"/>
        <v>0</v>
      </c>
      <c r="O108" s="1">
        <f t="shared" si="19"/>
        <v>0</v>
      </c>
      <c r="P108" s="1">
        <f t="shared" si="20"/>
        <v>0</v>
      </c>
      <c r="Q108" s="1">
        <f t="shared" si="21"/>
        <v>0</v>
      </c>
      <c r="R108" s="1">
        <f t="shared" si="22"/>
        <v>0</v>
      </c>
      <c r="S108" s="1">
        <f t="shared" si="23"/>
        <v>0</v>
      </c>
      <c r="T108" s="1">
        <f t="shared" si="24"/>
        <v>0</v>
      </c>
      <c r="U108" s="1">
        <f t="shared" si="25"/>
        <v>0</v>
      </c>
      <c r="V108" s="1">
        <f t="shared" si="26"/>
        <v>0</v>
      </c>
      <c r="W108" s="1">
        <f t="shared" si="27"/>
        <v>0</v>
      </c>
      <c r="X108" s="1">
        <f t="shared" si="28"/>
        <v>0</v>
      </c>
      <c r="Y108" s="1">
        <f t="shared" si="29"/>
        <v>5.2461</v>
      </c>
      <c r="Z108" s="1">
        <f t="shared" si="30"/>
        <v>0</v>
      </c>
      <c r="AA108" s="1">
        <f t="shared" si="31"/>
        <v>0.33669</v>
      </c>
      <c r="AB108" s="1">
        <f t="shared" si="32"/>
        <v>0</v>
      </c>
      <c r="AC108" s="1">
        <f t="shared" si="33"/>
        <v>0</v>
      </c>
      <c r="AD108" s="1">
        <f t="shared" si="34"/>
        <v>0.36018</v>
      </c>
      <c r="AE108" s="1">
        <f t="shared" si="35"/>
        <v>0</v>
      </c>
      <c r="AF108" s="1">
        <f t="shared" si="36"/>
        <v>0</v>
      </c>
      <c r="AG108" s="1">
        <f t="shared" si="37"/>
        <v>0</v>
      </c>
      <c r="AH108" s="1">
        <f t="shared" si="38"/>
        <v>0.03132</v>
      </c>
      <c r="AI108" s="1">
        <f t="shared" si="39"/>
        <v>0</v>
      </c>
      <c r="AJ108" s="1">
        <f t="shared" si="40"/>
        <v>0</v>
      </c>
      <c r="AK108" s="1">
        <f t="shared" si="41"/>
        <v>0</v>
      </c>
      <c r="AL108" s="1">
        <f t="shared" si="42"/>
        <v>0</v>
      </c>
      <c r="AM108" s="1">
        <f t="shared" si="43"/>
        <v>0</v>
      </c>
      <c r="AN108" s="1">
        <f t="shared" si="44"/>
        <v>0</v>
      </c>
      <c r="AQ108" s="6">
        <v>2014</v>
      </c>
      <c r="AR108" s="6" t="s">
        <v>249</v>
      </c>
      <c r="AS108" s="6">
        <v>0.09</v>
      </c>
      <c r="AT108" s="6" t="s">
        <v>591</v>
      </c>
      <c r="AU108" s="6" t="s">
        <v>592</v>
      </c>
      <c r="AV108" t="str">
        <f t="shared" si="73"/>
        <v>MINBatMaterials_LI</v>
      </c>
      <c r="AW108">
        <f t="shared" si="108"/>
        <v>0</v>
      </c>
      <c r="AX108">
        <f t="shared" si="74"/>
        <v>21.489</v>
      </c>
      <c r="AY108">
        <f t="shared" si="75"/>
        <v>76.56</v>
      </c>
      <c r="AZ108">
        <f t="shared" si="76"/>
        <v>0</v>
      </c>
      <c r="BA108">
        <f t="shared" si="77"/>
        <v>0</v>
      </c>
      <c r="BB108">
        <f t="shared" si="78"/>
        <v>0</v>
      </c>
      <c r="BC108">
        <f t="shared" si="79"/>
        <v>8.7</v>
      </c>
      <c r="BD108">
        <f t="shared" si="80"/>
        <v>35.67</v>
      </c>
      <c r="BE108">
        <f t="shared" si="81"/>
        <v>0</v>
      </c>
      <c r="BF108">
        <f t="shared" si="82"/>
        <v>0</v>
      </c>
      <c r="BG108">
        <f t="shared" si="83"/>
        <v>0</v>
      </c>
      <c r="BH108">
        <f t="shared" si="84"/>
        <v>0</v>
      </c>
      <c r="BI108">
        <f t="shared" si="85"/>
        <v>0</v>
      </c>
      <c r="BJ108">
        <f t="shared" si="86"/>
        <v>0</v>
      </c>
      <c r="BK108">
        <f t="shared" si="87"/>
        <v>0</v>
      </c>
      <c r="BL108">
        <f t="shared" si="88"/>
        <v>0</v>
      </c>
      <c r="BM108">
        <f t="shared" si="89"/>
        <v>0</v>
      </c>
      <c r="BN108">
        <f t="shared" si="90"/>
        <v>0</v>
      </c>
      <c r="BO108">
        <f t="shared" si="91"/>
        <v>0</v>
      </c>
      <c r="BP108">
        <f t="shared" si="92"/>
        <v>58.29</v>
      </c>
      <c r="BQ108">
        <f t="shared" si="93"/>
        <v>0</v>
      </c>
      <c r="BR108">
        <f t="shared" si="94"/>
        <v>3.741</v>
      </c>
      <c r="BS108">
        <f t="shared" si="95"/>
        <v>0</v>
      </c>
      <c r="BT108">
        <f t="shared" si="96"/>
        <v>0</v>
      </c>
      <c r="BU108">
        <f t="shared" si="97"/>
        <v>4.002</v>
      </c>
      <c r="BV108">
        <f t="shared" si="98"/>
        <v>0</v>
      </c>
      <c r="BW108">
        <f t="shared" si="99"/>
        <v>0</v>
      </c>
      <c r="BX108">
        <f t="shared" si="100"/>
        <v>0</v>
      </c>
      <c r="BY108">
        <f t="shared" si="101"/>
        <v>0.348</v>
      </c>
      <c r="BZ108">
        <f t="shared" si="102"/>
        <v>0</v>
      </c>
      <c r="CA108">
        <f t="shared" si="103"/>
        <v>0</v>
      </c>
      <c r="CB108">
        <f t="shared" si="104"/>
        <v>0</v>
      </c>
      <c r="CC108">
        <f t="shared" si="105"/>
        <v>0</v>
      </c>
      <c r="CD108">
        <f t="shared" si="106"/>
        <v>0</v>
      </c>
      <c r="CE108">
        <f t="shared" si="107"/>
        <v>0</v>
      </c>
      <c r="CG108" s="6">
        <v>2014</v>
      </c>
      <c r="CH108" s="6" t="s">
        <v>249</v>
      </c>
      <c r="CI108" s="6">
        <v>0.09</v>
      </c>
      <c r="CJ108" s="6">
        <v>0.09</v>
      </c>
      <c r="CK108" s="6" t="s">
        <v>591</v>
      </c>
      <c r="CL108" s="6" t="s">
        <v>591</v>
      </c>
      <c r="CM108" s="6" t="s">
        <v>593</v>
      </c>
    </row>
    <row r="109" spans="4:91">
      <c r="D109">
        <f xml:space="preserve">D108</f>
        <v>2019</v>
      </c>
      <c r="E109" t="s">
        <v>251</v>
      </c>
      <c r="F109" s="1">
        <f t="shared" si="11"/>
        <v>0</v>
      </c>
      <c r="G109" s="1">
        <f t="shared" si="12"/>
        <v>0</v>
      </c>
      <c r="H109" s="1">
        <f t="shared" si="13"/>
        <v>1.485</v>
      </c>
      <c r="I109" s="1">
        <f t="shared" si="14"/>
        <v>0</v>
      </c>
      <c r="J109" s="1">
        <f t="shared" si="15"/>
        <v>0</v>
      </c>
      <c r="K109" s="1">
        <f t="shared" si="16"/>
        <v>0</v>
      </c>
      <c r="L109" s="1">
        <f t="shared" si="17"/>
        <v>1.0395</v>
      </c>
      <c r="M109" s="1">
        <f t="shared" si="6"/>
        <v>1.62</v>
      </c>
      <c r="N109" s="1">
        <f t="shared" si="18"/>
        <v>0</v>
      </c>
      <c r="O109" s="1">
        <f t="shared" si="19"/>
        <v>0</v>
      </c>
      <c r="P109" s="1">
        <f t="shared" si="20"/>
        <v>0</v>
      </c>
      <c r="Q109" s="1">
        <f t="shared" si="21"/>
        <v>0</v>
      </c>
      <c r="R109" s="1">
        <f t="shared" si="22"/>
        <v>0</v>
      </c>
      <c r="S109" s="1">
        <f t="shared" si="23"/>
        <v>0</v>
      </c>
      <c r="T109" s="1">
        <f t="shared" si="24"/>
        <v>0</v>
      </c>
      <c r="U109" s="1">
        <f t="shared" si="25"/>
        <v>0</v>
      </c>
      <c r="V109" s="1">
        <f t="shared" si="26"/>
        <v>0</v>
      </c>
      <c r="W109" s="1">
        <f t="shared" si="27"/>
        <v>0</v>
      </c>
      <c r="X109" s="1">
        <f t="shared" si="28"/>
        <v>0</v>
      </c>
      <c r="Y109" s="1">
        <f t="shared" si="29"/>
        <v>0</v>
      </c>
      <c r="Z109" s="1">
        <f t="shared" si="30"/>
        <v>0</v>
      </c>
      <c r="AA109" s="1">
        <f t="shared" si="31"/>
        <v>2.673</v>
      </c>
      <c r="AB109" s="1">
        <f t="shared" si="32"/>
        <v>0</v>
      </c>
      <c r="AC109" s="1">
        <f t="shared" si="33"/>
        <v>0</v>
      </c>
      <c r="AD109" s="1">
        <f t="shared" si="34"/>
        <v>40.2975</v>
      </c>
      <c r="AE109" s="1">
        <f t="shared" si="35"/>
        <v>2.835</v>
      </c>
      <c r="AF109" s="1">
        <f t="shared" si="36"/>
        <v>0</v>
      </c>
      <c r="AG109" s="1">
        <f t="shared" si="37"/>
        <v>0</v>
      </c>
      <c r="AH109" s="1">
        <f t="shared" si="38"/>
        <v>0</v>
      </c>
      <c r="AI109" s="1">
        <f t="shared" si="39"/>
        <v>0</v>
      </c>
      <c r="AJ109" s="1">
        <f t="shared" si="40"/>
        <v>0</v>
      </c>
      <c r="AK109" s="1">
        <f t="shared" si="41"/>
        <v>0</v>
      </c>
      <c r="AL109" s="1">
        <f t="shared" si="42"/>
        <v>0</v>
      </c>
      <c r="AM109" s="1">
        <f t="shared" si="43"/>
        <v>0</v>
      </c>
      <c r="AN109" s="1">
        <f t="shared" si="44"/>
        <v>0</v>
      </c>
      <c r="AQ109" s="6">
        <v>2014</v>
      </c>
      <c r="AR109" s="6" t="s">
        <v>251</v>
      </c>
      <c r="AS109" s="6">
        <v>0.09</v>
      </c>
      <c r="AT109" s="6" t="s">
        <v>591</v>
      </c>
      <c r="AU109" s="6" t="s">
        <v>592</v>
      </c>
      <c r="AV109" t="str">
        <f t="shared" si="73"/>
        <v>MINBatMaterials_NI</v>
      </c>
      <c r="AW109">
        <f t="shared" si="108"/>
        <v>0</v>
      </c>
      <c r="AX109">
        <f t="shared" si="74"/>
        <v>0</v>
      </c>
      <c r="AY109">
        <f t="shared" si="75"/>
        <v>16.5</v>
      </c>
      <c r="AZ109">
        <f t="shared" si="76"/>
        <v>0</v>
      </c>
      <c r="BA109">
        <f t="shared" si="77"/>
        <v>0</v>
      </c>
      <c r="BB109">
        <f t="shared" si="78"/>
        <v>0</v>
      </c>
      <c r="BC109">
        <f t="shared" si="79"/>
        <v>11.55</v>
      </c>
      <c r="BD109">
        <f t="shared" si="80"/>
        <v>18</v>
      </c>
      <c r="BE109">
        <f t="shared" si="81"/>
        <v>0</v>
      </c>
      <c r="BF109">
        <f t="shared" si="82"/>
        <v>0</v>
      </c>
      <c r="BG109">
        <f t="shared" si="83"/>
        <v>0</v>
      </c>
      <c r="BH109">
        <f t="shared" si="84"/>
        <v>0</v>
      </c>
      <c r="BI109">
        <f t="shared" si="85"/>
        <v>0</v>
      </c>
      <c r="BJ109">
        <f t="shared" si="86"/>
        <v>0</v>
      </c>
      <c r="BK109">
        <f t="shared" si="87"/>
        <v>0</v>
      </c>
      <c r="BL109">
        <f t="shared" si="88"/>
        <v>0</v>
      </c>
      <c r="BM109">
        <f t="shared" si="89"/>
        <v>0</v>
      </c>
      <c r="BN109">
        <f t="shared" si="90"/>
        <v>0</v>
      </c>
      <c r="BO109">
        <f t="shared" si="91"/>
        <v>0</v>
      </c>
      <c r="BP109">
        <f t="shared" si="92"/>
        <v>0</v>
      </c>
      <c r="BQ109">
        <f t="shared" si="93"/>
        <v>0</v>
      </c>
      <c r="BR109">
        <f t="shared" si="94"/>
        <v>29.7</v>
      </c>
      <c r="BS109">
        <f t="shared" si="95"/>
        <v>0</v>
      </c>
      <c r="BT109">
        <f t="shared" si="96"/>
        <v>0</v>
      </c>
      <c r="BU109">
        <f t="shared" si="97"/>
        <v>447.75</v>
      </c>
      <c r="BV109">
        <f t="shared" si="98"/>
        <v>31.5</v>
      </c>
      <c r="BW109">
        <f t="shared" si="99"/>
        <v>0</v>
      </c>
      <c r="BX109">
        <f t="shared" si="100"/>
        <v>0</v>
      </c>
      <c r="BY109">
        <f t="shared" si="101"/>
        <v>0</v>
      </c>
      <c r="BZ109">
        <f t="shared" si="102"/>
        <v>0</v>
      </c>
      <c r="CA109">
        <f t="shared" si="103"/>
        <v>0</v>
      </c>
      <c r="CB109">
        <f t="shared" si="104"/>
        <v>0</v>
      </c>
      <c r="CC109">
        <f t="shared" si="105"/>
        <v>0</v>
      </c>
      <c r="CD109">
        <f t="shared" si="106"/>
        <v>0</v>
      </c>
      <c r="CE109">
        <f t="shared" si="107"/>
        <v>0</v>
      </c>
      <c r="CG109" s="6">
        <v>2014</v>
      </c>
      <c r="CH109" s="6" t="s">
        <v>251</v>
      </c>
      <c r="CI109" s="6">
        <v>0.09</v>
      </c>
      <c r="CJ109" s="6">
        <v>0.09</v>
      </c>
      <c r="CK109" s="6" t="s">
        <v>591</v>
      </c>
      <c r="CL109" s="6" t="s">
        <v>591</v>
      </c>
      <c r="CM109" s="6" t="s">
        <v>593</v>
      </c>
    </row>
    <row r="110" ht="16" spans="4:91">
      <c r="D110">
        <f t="shared" ref="D110:D128" si="110" xml:space="preserve">D109</f>
        <v>2019</v>
      </c>
      <c r="E110" s="18" t="s">
        <v>255</v>
      </c>
      <c r="F110" s="1">
        <f t="shared" si="11"/>
        <v>0</v>
      </c>
      <c r="G110" s="1">
        <f t="shared" si="12"/>
        <v>15.22584</v>
      </c>
      <c r="H110" s="1">
        <f t="shared" si="13"/>
        <v>0.24624</v>
      </c>
      <c r="I110" s="1">
        <f t="shared" si="14"/>
        <v>0</v>
      </c>
      <c r="J110" s="1">
        <f t="shared" si="15"/>
        <v>0</v>
      </c>
      <c r="K110" s="1">
        <f t="shared" si="16"/>
        <v>0</v>
      </c>
      <c r="L110" s="1">
        <f t="shared" si="17"/>
        <v>0</v>
      </c>
      <c r="M110" s="1">
        <f t="shared" ref="M110:M173" si="111" xml:space="preserve">BD110*$CI110</f>
        <v>0</v>
      </c>
      <c r="N110" s="1">
        <f t="shared" si="18"/>
        <v>0</v>
      </c>
      <c r="O110" s="1">
        <f t="shared" si="19"/>
        <v>0</v>
      </c>
      <c r="P110" s="1">
        <f t="shared" si="20"/>
        <v>0</v>
      </c>
      <c r="Q110" s="1">
        <f t="shared" si="21"/>
        <v>0</v>
      </c>
      <c r="R110" s="1">
        <f t="shared" si="22"/>
        <v>0</v>
      </c>
      <c r="S110" s="1">
        <f t="shared" si="23"/>
        <v>0</v>
      </c>
      <c r="T110" s="1">
        <f t="shared" si="24"/>
        <v>0</v>
      </c>
      <c r="U110" s="1">
        <f t="shared" si="25"/>
        <v>0</v>
      </c>
      <c r="V110" s="1">
        <f t="shared" si="26"/>
        <v>0</v>
      </c>
      <c r="W110" s="1">
        <f t="shared" si="27"/>
        <v>0</v>
      </c>
      <c r="X110" s="1">
        <f t="shared" si="28"/>
        <v>0</v>
      </c>
      <c r="Y110" s="1">
        <f t="shared" si="29"/>
        <v>0.2394</v>
      </c>
      <c r="Z110" s="1">
        <f t="shared" si="30"/>
        <v>0</v>
      </c>
      <c r="AA110" s="1">
        <f t="shared" si="31"/>
        <v>0.32832</v>
      </c>
      <c r="AB110" s="1">
        <f t="shared" si="32"/>
        <v>0</v>
      </c>
      <c r="AC110" s="1">
        <f t="shared" si="33"/>
        <v>0</v>
      </c>
      <c r="AD110" s="1">
        <f t="shared" si="34"/>
        <v>2.99592</v>
      </c>
      <c r="AE110" s="1">
        <f t="shared" si="35"/>
        <v>0.59508</v>
      </c>
      <c r="AF110" s="1">
        <f t="shared" si="36"/>
        <v>0</v>
      </c>
      <c r="AG110" s="1">
        <f t="shared" si="37"/>
        <v>0</v>
      </c>
      <c r="AH110" s="1">
        <f t="shared" si="38"/>
        <v>0</v>
      </c>
      <c r="AI110" s="1">
        <f t="shared" si="39"/>
        <v>0</v>
      </c>
      <c r="AJ110" s="1">
        <f t="shared" si="40"/>
        <v>0</v>
      </c>
      <c r="AK110" s="1">
        <f t="shared" si="41"/>
        <v>0.18468</v>
      </c>
      <c r="AL110" s="1">
        <f t="shared" si="42"/>
        <v>0</v>
      </c>
      <c r="AM110" s="1">
        <f t="shared" si="43"/>
        <v>0</v>
      </c>
      <c r="AN110" s="1">
        <f t="shared" si="44"/>
        <v>0</v>
      </c>
      <c r="AQ110" s="6">
        <v>2014</v>
      </c>
      <c r="AR110" s="6" t="s">
        <v>255</v>
      </c>
      <c r="AS110" s="6">
        <v>0.09</v>
      </c>
      <c r="AT110" s="6" t="s">
        <v>591</v>
      </c>
      <c r="AU110" s="6" t="s">
        <v>592</v>
      </c>
      <c r="AV110" t="str">
        <f t="shared" si="73"/>
        <v>MINBatMaterials_COB</v>
      </c>
      <c r="AW110">
        <f t="shared" si="108"/>
        <v>0</v>
      </c>
      <c r="AX110">
        <f t="shared" si="74"/>
        <v>169.176</v>
      </c>
      <c r="AY110">
        <f t="shared" si="75"/>
        <v>2.736</v>
      </c>
      <c r="AZ110">
        <f t="shared" si="76"/>
        <v>0</v>
      </c>
      <c r="BA110">
        <f t="shared" si="77"/>
        <v>0</v>
      </c>
      <c r="BB110">
        <f t="shared" si="78"/>
        <v>0</v>
      </c>
      <c r="BC110">
        <f t="shared" si="79"/>
        <v>0</v>
      </c>
      <c r="BD110">
        <f t="shared" si="80"/>
        <v>0</v>
      </c>
      <c r="BE110">
        <f t="shared" si="81"/>
        <v>0</v>
      </c>
      <c r="BF110">
        <f t="shared" si="82"/>
        <v>0</v>
      </c>
      <c r="BG110">
        <f t="shared" si="83"/>
        <v>0</v>
      </c>
      <c r="BH110">
        <f t="shared" si="84"/>
        <v>0</v>
      </c>
      <c r="BI110">
        <f t="shared" si="85"/>
        <v>0</v>
      </c>
      <c r="BJ110">
        <f t="shared" si="86"/>
        <v>0</v>
      </c>
      <c r="BK110">
        <f t="shared" si="87"/>
        <v>0</v>
      </c>
      <c r="BL110">
        <f t="shared" si="88"/>
        <v>0</v>
      </c>
      <c r="BM110">
        <f t="shared" si="89"/>
        <v>0</v>
      </c>
      <c r="BN110">
        <f t="shared" si="90"/>
        <v>0</v>
      </c>
      <c r="BO110">
        <f t="shared" si="91"/>
        <v>0</v>
      </c>
      <c r="BP110">
        <f t="shared" si="92"/>
        <v>2.66</v>
      </c>
      <c r="BQ110">
        <f t="shared" si="93"/>
        <v>0</v>
      </c>
      <c r="BR110">
        <f t="shared" si="94"/>
        <v>3.648</v>
      </c>
      <c r="BS110">
        <f t="shared" si="95"/>
        <v>0</v>
      </c>
      <c r="BT110">
        <f t="shared" si="96"/>
        <v>0</v>
      </c>
      <c r="BU110">
        <f t="shared" si="97"/>
        <v>33.288</v>
      </c>
      <c r="BV110">
        <f t="shared" si="98"/>
        <v>6.612</v>
      </c>
      <c r="BW110">
        <f t="shared" si="99"/>
        <v>0</v>
      </c>
      <c r="BX110">
        <f t="shared" si="100"/>
        <v>0</v>
      </c>
      <c r="BY110">
        <f t="shared" si="101"/>
        <v>0</v>
      </c>
      <c r="BZ110">
        <f t="shared" si="102"/>
        <v>0</v>
      </c>
      <c r="CA110">
        <f t="shared" si="103"/>
        <v>0</v>
      </c>
      <c r="CB110">
        <f t="shared" si="104"/>
        <v>2.052</v>
      </c>
      <c r="CC110">
        <f t="shared" si="105"/>
        <v>0</v>
      </c>
      <c r="CD110">
        <f t="shared" si="106"/>
        <v>0</v>
      </c>
      <c r="CE110">
        <f t="shared" si="107"/>
        <v>0</v>
      </c>
      <c r="CG110" s="6">
        <v>2014</v>
      </c>
      <c r="CH110" s="6" t="s">
        <v>255</v>
      </c>
      <c r="CI110" s="6">
        <v>0.09</v>
      </c>
      <c r="CJ110" s="6">
        <v>0.09</v>
      </c>
      <c r="CK110" s="6" t="s">
        <v>591</v>
      </c>
      <c r="CL110" s="6" t="s">
        <v>591</v>
      </c>
      <c r="CM110" s="6" t="s">
        <v>593</v>
      </c>
    </row>
    <row r="111" spans="4:91">
      <c r="D111">
        <f t="shared" si="110"/>
        <v>2019</v>
      </c>
      <c r="E111" t="s">
        <v>256</v>
      </c>
      <c r="F111" s="1">
        <f t="shared" si="11"/>
        <v>0</v>
      </c>
      <c r="G111" s="1">
        <f t="shared" si="12"/>
        <v>5.202</v>
      </c>
      <c r="H111" s="1">
        <f t="shared" si="13"/>
        <v>2.52</v>
      </c>
      <c r="I111" s="1">
        <f t="shared" si="14"/>
        <v>0</v>
      </c>
      <c r="J111" s="1">
        <f t="shared" si="15"/>
        <v>0</v>
      </c>
      <c r="K111" s="1">
        <f t="shared" si="16"/>
        <v>0</v>
      </c>
      <c r="L111" s="1">
        <f t="shared" si="17"/>
        <v>0.531</v>
      </c>
      <c r="M111" s="1">
        <f t="shared" si="111"/>
        <v>0.693</v>
      </c>
      <c r="N111" s="1">
        <f t="shared" si="18"/>
        <v>0</v>
      </c>
      <c r="O111" s="1">
        <f t="shared" si="19"/>
        <v>0</v>
      </c>
      <c r="P111" s="1">
        <f t="shared" si="20"/>
        <v>0</v>
      </c>
      <c r="Q111" s="1">
        <f t="shared" si="21"/>
        <v>0</v>
      </c>
      <c r="R111" s="1">
        <f t="shared" si="22"/>
        <v>0</v>
      </c>
      <c r="S111" s="1">
        <f t="shared" si="23"/>
        <v>0</v>
      </c>
      <c r="T111" s="1">
        <f t="shared" si="24"/>
        <v>0</v>
      </c>
      <c r="U111" s="1">
        <f t="shared" si="25"/>
        <v>0.72</v>
      </c>
      <c r="V111" s="1">
        <f t="shared" si="26"/>
        <v>0</v>
      </c>
      <c r="W111" s="1">
        <f t="shared" si="27"/>
        <v>0</v>
      </c>
      <c r="X111" s="1">
        <f t="shared" si="28"/>
        <v>0</v>
      </c>
      <c r="Y111" s="1">
        <f t="shared" si="29"/>
        <v>0</v>
      </c>
      <c r="Z111" s="1">
        <f t="shared" si="30"/>
        <v>0</v>
      </c>
      <c r="AA111" s="1">
        <f t="shared" si="31"/>
        <v>0</v>
      </c>
      <c r="AB111" s="1">
        <f t="shared" si="32"/>
        <v>0</v>
      </c>
      <c r="AC111" s="1">
        <f t="shared" si="33"/>
        <v>0</v>
      </c>
      <c r="AD111" s="1">
        <f t="shared" si="34"/>
        <v>1.854</v>
      </c>
      <c r="AE111" s="1">
        <f t="shared" si="35"/>
        <v>0</v>
      </c>
      <c r="AF111" s="1">
        <f t="shared" si="36"/>
        <v>0</v>
      </c>
      <c r="AG111" s="1">
        <f t="shared" si="37"/>
        <v>6.66</v>
      </c>
      <c r="AH111" s="1">
        <f t="shared" si="38"/>
        <v>0</v>
      </c>
      <c r="AI111" s="1">
        <f t="shared" si="39"/>
        <v>0</v>
      </c>
      <c r="AJ111" s="1">
        <f t="shared" si="40"/>
        <v>0</v>
      </c>
      <c r="AK111" s="1">
        <f t="shared" si="41"/>
        <v>0</v>
      </c>
      <c r="AL111" s="1">
        <f t="shared" si="42"/>
        <v>0</v>
      </c>
      <c r="AM111" s="1">
        <f t="shared" si="43"/>
        <v>0</v>
      </c>
      <c r="AN111" s="1">
        <f t="shared" si="44"/>
        <v>0</v>
      </c>
      <c r="AQ111" s="6">
        <v>2014</v>
      </c>
      <c r="AR111" s="6" t="s">
        <v>256</v>
      </c>
      <c r="AS111" s="6">
        <v>0.09</v>
      </c>
      <c r="AT111" s="6" t="s">
        <v>591</v>
      </c>
      <c r="AU111" s="6" t="s">
        <v>592</v>
      </c>
      <c r="AV111" t="str">
        <f t="shared" si="73"/>
        <v>MINBatMaterials_MN</v>
      </c>
      <c r="AW111">
        <f t="shared" si="108"/>
        <v>0</v>
      </c>
      <c r="AX111">
        <f t="shared" si="74"/>
        <v>57.8</v>
      </c>
      <c r="AY111">
        <f t="shared" si="75"/>
        <v>28</v>
      </c>
      <c r="AZ111">
        <f t="shared" si="76"/>
        <v>0</v>
      </c>
      <c r="BA111">
        <f t="shared" si="77"/>
        <v>0</v>
      </c>
      <c r="BB111">
        <f t="shared" si="78"/>
        <v>0</v>
      </c>
      <c r="BC111">
        <f t="shared" si="79"/>
        <v>5.9</v>
      </c>
      <c r="BD111">
        <f t="shared" si="80"/>
        <v>7.7</v>
      </c>
      <c r="BE111">
        <f t="shared" si="81"/>
        <v>0</v>
      </c>
      <c r="BF111">
        <f t="shared" si="82"/>
        <v>0</v>
      </c>
      <c r="BG111">
        <f t="shared" si="83"/>
        <v>0</v>
      </c>
      <c r="BH111">
        <f t="shared" si="84"/>
        <v>0</v>
      </c>
      <c r="BI111">
        <f t="shared" si="85"/>
        <v>0</v>
      </c>
      <c r="BJ111">
        <f t="shared" si="86"/>
        <v>0</v>
      </c>
      <c r="BK111">
        <f t="shared" si="87"/>
        <v>0</v>
      </c>
      <c r="BL111">
        <f t="shared" si="88"/>
        <v>8</v>
      </c>
      <c r="BM111">
        <f t="shared" si="89"/>
        <v>0</v>
      </c>
      <c r="BN111">
        <f t="shared" si="90"/>
        <v>0</v>
      </c>
      <c r="BO111">
        <f t="shared" si="91"/>
        <v>0</v>
      </c>
      <c r="BP111">
        <f t="shared" si="92"/>
        <v>0</v>
      </c>
      <c r="BQ111">
        <f t="shared" si="93"/>
        <v>0</v>
      </c>
      <c r="BR111">
        <f t="shared" si="94"/>
        <v>0</v>
      </c>
      <c r="BS111">
        <f t="shared" si="95"/>
        <v>0</v>
      </c>
      <c r="BT111">
        <f t="shared" si="96"/>
        <v>0</v>
      </c>
      <c r="BU111">
        <f t="shared" si="97"/>
        <v>20.6</v>
      </c>
      <c r="BV111">
        <f t="shared" si="98"/>
        <v>0</v>
      </c>
      <c r="BW111">
        <f t="shared" si="99"/>
        <v>0</v>
      </c>
      <c r="BX111">
        <f t="shared" si="100"/>
        <v>74</v>
      </c>
      <c r="BY111">
        <f t="shared" si="101"/>
        <v>0</v>
      </c>
      <c r="BZ111">
        <f t="shared" si="102"/>
        <v>0</v>
      </c>
      <c r="CA111">
        <f t="shared" si="103"/>
        <v>0</v>
      </c>
      <c r="CB111">
        <f t="shared" si="104"/>
        <v>0</v>
      </c>
      <c r="CC111">
        <f t="shared" si="105"/>
        <v>0</v>
      </c>
      <c r="CD111">
        <f t="shared" si="106"/>
        <v>0</v>
      </c>
      <c r="CE111">
        <f t="shared" si="107"/>
        <v>0</v>
      </c>
      <c r="CG111" s="6">
        <v>2014</v>
      </c>
      <c r="CH111" s="6" t="s">
        <v>256</v>
      </c>
      <c r="CI111" s="6">
        <v>0.09</v>
      </c>
      <c r="CJ111" s="6">
        <v>0.09</v>
      </c>
      <c r="CK111" s="6" t="s">
        <v>591</v>
      </c>
      <c r="CL111" s="6" t="s">
        <v>591</v>
      </c>
      <c r="CM111" s="6" t="s">
        <v>593</v>
      </c>
    </row>
    <row r="112" spans="4:91">
      <c r="D112">
        <f t="shared" si="110"/>
        <v>2019</v>
      </c>
      <c r="E112" t="s">
        <v>258</v>
      </c>
      <c r="F112" s="1">
        <f t="shared" ref="F112:F175" si="112" xml:space="preserve">AW112*$AS112</f>
        <v>0</v>
      </c>
      <c r="G112" s="1">
        <f t="shared" ref="G112:G175" si="113" xml:space="preserve">AX112*$AS112</f>
        <v>0.2862</v>
      </c>
      <c r="H112" s="1">
        <f t="shared" ref="H112:H175" si="114" xml:space="preserve">AY112*$AS112</f>
        <v>17.1396</v>
      </c>
      <c r="I112" s="1">
        <f t="shared" ref="I112:I175" si="115" xml:space="preserve">AZ112*$AS112</f>
        <v>0</v>
      </c>
      <c r="J112" s="1">
        <f t="shared" ref="J112:J175" si="116" xml:space="preserve">BA112*$AS112</f>
        <v>0</v>
      </c>
      <c r="K112" s="1">
        <f t="shared" ref="K112:K175" si="117" xml:space="preserve">BB112*$AS112</f>
        <v>0</v>
      </c>
      <c r="L112" s="1">
        <f t="shared" ref="L112:L175" si="118" xml:space="preserve">BC112*$AS112</f>
        <v>10.4742</v>
      </c>
      <c r="M112" s="1">
        <f t="shared" si="111"/>
        <v>79.9848</v>
      </c>
      <c r="N112" s="1">
        <f t="shared" ref="N112:N175" si="119" xml:space="preserve">BE112*$AS112</f>
        <v>0</v>
      </c>
      <c r="O112" s="1">
        <f t="shared" ref="O112:O175" si="120" xml:space="preserve">BF112*$AS112</f>
        <v>0</v>
      </c>
      <c r="P112" s="1">
        <f t="shared" ref="P112:P175" si="121" xml:space="preserve">BG112*$AS112</f>
        <v>0</v>
      </c>
      <c r="Q112" s="1">
        <f t="shared" ref="Q112:Q175" si="122" xml:space="preserve">BH112*$AS112</f>
        <v>0.9144</v>
      </c>
      <c r="R112" s="1">
        <f t="shared" ref="R112:R175" si="123" xml:space="preserve">BI112*$AS112</f>
        <v>0.819</v>
      </c>
      <c r="S112" s="1">
        <f t="shared" ref="S112:S175" si="124" xml:space="preserve">BJ112*$AS112</f>
        <v>0</v>
      </c>
      <c r="T112" s="1">
        <f t="shared" ref="T112:T175" si="125" xml:space="preserve">BK112*$AS112</f>
        <v>0</v>
      </c>
      <c r="U112" s="1">
        <f t="shared" ref="U112:U175" si="126" xml:space="preserve">BL112*$AS112</f>
        <v>7.236</v>
      </c>
      <c r="V112" s="1">
        <f t="shared" ref="V112:V175" si="127" xml:space="preserve">BM112*$AS112</f>
        <v>1.5228</v>
      </c>
      <c r="W112" s="1">
        <f t="shared" ref="W112:W175" si="128" xml:space="preserve">BN112*$AS112</f>
        <v>0</v>
      </c>
      <c r="X112" s="1">
        <f t="shared" ref="X112:X175" si="129" xml:space="preserve">BO112*$AS112</f>
        <v>0</v>
      </c>
      <c r="Y112" s="1">
        <f t="shared" ref="Y112:Y175" si="130" xml:space="preserve">BP112*$AS112</f>
        <v>0</v>
      </c>
      <c r="Z112" s="1">
        <f t="shared" ref="Z112:Z175" si="131" xml:space="preserve">BQ112*$AS112</f>
        <v>2.286</v>
      </c>
      <c r="AA112" s="1">
        <f t="shared" ref="AA112:AA175" si="132" xml:space="preserve">BR112*$AS112</f>
        <v>2.115</v>
      </c>
      <c r="AB112" s="1">
        <f t="shared" ref="AB112:AB175" si="133" xml:space="preserve">BS112*$AS112</f>
        <v>0</v>
      </c>
      <c r="AC112" s="1">
        <f t="shared" ref="AC112:AC175" si="134" xml:space="preserve">BT112*$AS112</f>
        <v>0</v>
      </c>
      <c r="AD112" s="1">
        <f t="shared" ref="AD112:AD175" si="135" xml:space="preserve">BU112*$AS112</f>
        <v>5.427</v>
      </c>
      <c r="AE112" s="1">
        <f t="shared" ref="AE112:AE175" si="136" xml:space="preserve">BV112*$AS112</f>
        <v>2.7612</v>
      </c>
      <c r="AF112" s="1">
        <f t="shared" ref="AF112:AF175" si="137" xml:space="preserve">BW112*$AS112</f>
        <v>1.7136</v>
      </c>
      <c r="AG112" s="1">
        <f t="shared" ref="AG112:AG175" si="138" xml:space="preserve">BX112*$AS112</f>
        <v>0</v>
      </c>
      <c r="AH112" s="1">
        <f t="shared" ref="AH112:AH175" si="139" xml:space="preserve">BY112*$AS112</f>
        <v>0.7812</v>
      </c>
      <c r="AI112" s="1">
        <f t="shared" ref="AI112:AI175" si="140" xml:space="preserve">BZ112*$AS112</f>
        <v>0</v>
      </c>
      <c r="AJ112" s="1">
        <f t="shared" ref="AJ112:AJ175" si="141" xml:space="preserve">CA112*$AS112</f>
        <v>0</v>
      </c>
      <c r="AK112" s="1">
        <f t="shared" ref="AK112:AK175" si="142" xml:space="preserve">CB112*$AS112</f>
        <v>0.3042</v>
      </c>
      <c r="AL112" s="1">
        <f t="shared" ref="AL112:AL175" si="143" xml:space="preserve">CC112*$AS112</f>
        <v>0</v>
      </c>
      <c r="AM112" s="1">
        <f t="shared" ref="AM112:AM175" si="144" xml:space="preserve">CD112*$AS112</f>
        <v>0</v>
      </c>
      <c r="AN112" s="1">
        <f t="shared" ref="AN112:AN175" si="145" xml:space="preserve">CE112*$AS112</f>
        <v>0</v>
      </c>
      <c r="AQ112" s="6">
        <v>2014</v>
      </c>
      <c r="AR112" s="6" t="s">
        <v>258</v>
      </c>
      <c r="AS112" s="6">
        <v>0.09</v>
      </c>
      <c r="AT112" s="6" t="s">
        <v>591</v>
      </c>
      <c r="AU112" s="6" t="s">
        <v>592</v>
      </c>
      <c r="AV112" t="str">
        <f t="shared" si="73"/>
        <v>MINBatMaterials_AL</v>
      </c>
      <c r="AW112">
        <f t="shared" si="108"/>
        <v>0</v>
      </c>
      <c r="AX112">
        <f t="shared" si="74"/>
        <v>3.18</v>
      </c>
      <c r="AY112">
        <f t="shared" si="75"/>
        <v>190.44</v>
      </c>
      <c r="AZ112">
        <f t="shared" si="76"/>
        <v>0</v>
      </c>
      <c r="BA112">
        <f t="shared" si="77"/>
        <v>0</v>
      </c>
      <c r="BB112">
        <f t="shared" si="78"/>
        <v>0</v>
      </c>
      <c r="BC112">
        <f t="shared" si="79"/>
        <v>116.38</v>
      </c>
      <c r="BD112">
        <f t="shared" si="80"/>
        <v>888.72</v>
      </c>
      <c r="BE112">
        <f t="shared" si="81"/>
        <v>0</v>
      </c>
      <c r="BF112">
        <f t="shared" si="82"/>
        <v>0</v>
      </c>
      <c r="BG112">
        <f t="shared" si="83"/>
        <v>0</v>
      </c>
      <c r="BH112">
        <f t="shared" si="84"/>
        <v>10.16</v>
      </c>
      <c r="BI112">
        <f t="shared" si="85"/>
        <v>9.1</v>
      </c>
      <c r="BJ112">
        <f t="shared" si="86"/>
        <v>0</v>
      </c>
      <c r="BK112">
        <f t="shared" si="87"/>
        <v>0</v>
      </c>
      <c r="BL112">
        <f t="shared" si="88"/>
        <v>80.4</v>
      </c>
      <c r="BM112">
        <f t="shared" si="89"/>
        <v>16.92</v>
      </c>
      <c r="BN112">
        <f t="shared" si="90"/>
        <v>0</v>
      </c>
      <c r="BO112">
        <f t="shared" si="91"/>
        <v>0</v>
      </c>
      <c r="BP112">
        <f t="shared" si="92"/>
        <v>0</v>
      </c>
      <c r="BQ112">
        <f t="shared" si="93"/>
        <v>25.4</v>
      </c>
      <c r="BR112">
        <f t="shared" si="94"/>
        <v>23.5</v>
      </c>
      <c r="BS112">
        <f t="shared" si="95"/>
        <v>0</v>
      </c>
      <c r="BT112">
        <f t="shared" si="96"/>
        <v>0</v>
      </c>
      <c r="BU112">
        <f t="shared" si="97"/>
        <v>60.3</v>
      </c>
      <c r="BV112">
        <f t="shared" si="98"/>
        <v>30.68</v>
      </c>
      <c r="BW112">
        <f t="shared" si="99"/>
        <v>19.04</v>
      </c>
      <c r="BX112">
        <f t="shared" si="100"/>
        <v>0</v>
      </c>
      <c r="BY112">
        <f t="shared" si="101"/>
        <v>8.68</v>
      </c>
      <c r="BZ112">
        <f t="shared" si="102"/>
        <v>0</v>
      </c>
      <c r="CA112">
        <f t="shared" si="103"/>
        <v>0</v>
      </c>
      <c r="CB112">
        <f t="shared" si="104"/>
        <v>3.38</v>
      </c>
      <c r="CC112">
        <f t="shared" si="105"/>
        <v>0</v>
      </c>
      <c r="CD112">
        <f t="shared" si="106"/>
        <v>0</v>
      </c>
      <c r="CE112">
        <f t="shared" si="107"/>
        <v>0</v>
      </c>
      <c r="CG112" s="6">
        <v>2014</v>
      </c>
      <c r="CH112" s="6" t="s">
        <v>258</v>
      </c>
      <c r="CI112" s="6">
        <v>0.09</v>
      </c>
      <c r="CJ112" s="6">
        <v>0.09</v>
      </c>
      <c r="CK112" s="6" t="s">
        <v>591</v>
      </c>
      <c r="CL112" s="6" t="s">
        <v>591</v>
      </c>
      <c r="CM112" s="6" t="s">
        <v>593</v>
      </c>
    </row>
    <row r="113" spans="4:91">
      <c r="D113">
        <f t="shared" si="110"/>
        <v>2019</v>
      </c>
      <c r="E113" t="s">
        <v>260</v>
      </c>
      <c r="F113" s="1">
        <f t="shared" si="112"/>
        <v>0</v>
      </c>
      <c r="G113" s="1">
        <f t="shared" si="113"/>
        <v>8.955</v>
      </c>
      <c r="H113" s="1">
        <f t="shared" si="114"/>
        <v>1.8</v>
      </c>
      <c r="I113" s="1">
        <f t="shared" si="115"/>
        <v>0</v>
      </c>
      <c r="J113" s="1">
        <f t="shared" si="116"/>
        <v>0</v>
      </c>
      <c r="K113" s="1">
        <f t="shared" si="117"/>
        <v>0</v>
      </c>
      <c r="L113" s="1">
        <f t="shared" si="118"/>
        <v>0</v>
      </c>
      <c r="M113" s="1">
        <f t="shared" si="111"/>
        <v>4.05</v>
      </c>
      <c r="N113" s="1">
        <f t="shared" si="119"/>
        <v>0</v>
      </c>
      <c r="O113" s="1">
        <f t="shared" si="120"/>
        <v>0</v>
      </c>
      <c r="P113" s="1">
        <f t="shared" si="121"/>
        <v>0</v>
      </c>
      <c r="Q113" s="1">
        <f t="shared" si="122"/>
        <v>0</v>
      </c>
      <c r="R113" s="1">
        <f t="shared" si="123"/>
        <v>0</v>
      </c>
      <c r="S113" s="1">
        <f t="shared" si="124"/>
        <v>0</v>
      </c>
      <c r="T113" s="1">
        <f t="shared" si="125"/>
        <v>0</v>
      </c>
      <c r="U113" s="1">
        <f t="shared" si="126"/>
        <v>0.0675</v>
      </c>
      <c r="V113" s="1">
        <f t="shared" si="127"/>
        <v>0</v>
      </c>
      <c r="W113" s="1">
        <f t="shared" si="128"/>
        <v>0</v>
      </c>
      <c r="X113" s="1">
        <f t="shared" si="129"/>
        <v>0</v>
      </c>
      <c r="Y113" s="1">
        <f t="shared" si="130"/>
        <v>17.775</v>
      </c>
      <c r="Z113" s="1">
        <f t="shared" si="131"/>
        <v>0</v>
      </c>
      <c r="AA113" s="1">
        <f t="shared" si="132"/>
        <v>5.0625</v>
      </c>
      <c r="AB113" s="1">
        <f t="shared" si="133"/>
        <v>0</v>
      </c>
      <c r="AC113" s="1">
        <f t="shared" si="134"/>
        <v>0.9225</v>
      </c>
      <c r="AD113" s="1">
        <f t="shared" si="135"/>
        <v>10.575</v>
      </c>
      <c r="AE113" s="1">
        <f t="shared" si="136"/>
        <v>2.0925</v>
      </c>
      <c r="AF113" s="1">
        <f t="shared" si="137"/>
        <v>0</v>
      </c>
      <c r="AG113" s="1">
        <f t="shared" si="138"/>
        <v>0</v>
      </c>
      <c r="AH113" s="1">
        <f t="shared" si="139"/>
        <v>0</v>
      </c>
      <c r="AI113" s="1">
        <f t="shared" si="140"/>
        <v>0</v>
      </c>
      <c r="AJ113" s="1">
        <f t="shared" si="141"/>
        <v>0</v>
      </c>
      <c r="AK113" s="1">
        <f t="shared" si="142"/>
        <v>0</v>
      </c>
      <c r="AL113" s="1">
        <f t="shared" si="143"/>
        <v>0</v>
      </c>
      <c r="AM113" s="1">
        <f t="shared" si="144"/>
        <v>0</v>
      </c>
      <c r="AN113" s="1">
        <f t="shared" si="145"/>
        <v>0</v>
      </c>
      <c r="AQ113" s="6">
        <v>2014</v>
      </c>
      <c r="AR113" s="6" t="s">
        <v>260</v>
      </c>
      <c r="AS113" s="6">
        <v>0.09</v>
      </c>
      <c r="AT113" s="6" t="s">
        <v>591</v>
      </c>
      <c r="AU113" s="6" t="s">
        <v>592</v>
      </c>
      <c r="AV113" t="str">
        <f t="shared" si="73"/>
        <v>MINBatMaterials_COP</v>
      </c>
      <c r="AW113">
        <f t="shared" si="108"/>
        <v>0</v>
      </c>
      <c r="AX113">
        <f t="shared" si="74"/>
        <v>99.5</v>
      </c>
      <c r="AY113">
        <f t="shared" si="75"/>
        <v>20</v>
      </c>
      <c r="AZ113">
        <f t="shared" si="76"/>
        <v>0</v>
      </c>
      <c r="BA113">
        <f t="shared" si="77"/>
        <v>0</v>
      </c>
      <c r="BB113">
        <f t="shared" si="78"/>
        <v>0</v>
      </c>
      <c r="BC113">
        <f t="shared" si="79"/>
        <v>0</v>
      </c>
      <c r="BD113">
        <f t="shared" si="80"/>
        <v>45</v>
      </c>
      <c r="BE113">
        <f t="shared" si="81"/>
        <v>0</v>
      </c>
      <c r="BF113">
        <f t="shared" si="82"/>
        <v>0</v>
      </c>
      <c r="BG113">
        <f t="shared" si="83"/>
        <v>0</v>
      </c>
      <c r="BH113">
        <f t="shared" si="84"/>
        <v>0</v>
      </c>
      <c r="BI113">
        <f t="shared" si="85"/>
        <v>0</v>
      </c>
      <c r="BJ113">
        <f t="shared" si="86"/>
        <v>0</v>
      </c>
      <c r="BK113">
        <f t="shared" si="87"/>
        <v>0</v>
      </c>
      <c r="BL113">
        <f t="shared" si="88"/>
        <v>0.75</v>
      </c>
      <c r="BM113">
        <f t="shared" si="89"/>
        <v>0</v>
      </c>
      <c r="BN113">
        <f t="shared" si="90"/>
        <v>0</v>
      </c>
      <c r="BO113">
        <f t="shared" si="91"/>
        <v>0</v>
      </c>
      <c r="BP113">
        <f t="shared" si="92"/>
        <v>197.5</v>
      </c>
      <c r="BQ113">
        <f t="shared" si="93"/>
        <v>0</v>
      </c>
      <c r="BR113">
        <f t="shared" si="94"/>
        <v>56.25</v>
      </c>
      <c r="BS113">
        <f t="shared" si="95"/>
        <v>0</v>
      </c>
      <c r="BT113">
        <f t="shared" si="96"/>
        <v>10.25</v>
      </c>
      <c r="BU113">
        <f t="shared" si="97"/>
        <v>117.5</v>
      </c>
      <c r="BV113">
        <f t="shared" si="98"/>
        <v>23.25</v>
      </c>
      <c r="BW113">
        <f t="shared" si="99"/>
        <v>0</v>
      </c>
      <c r="BX113">
        <f t="shared" si="100"/>
        <v>0</v>
      </c>
      <c r="BY113">
        <f t="shared" si="101"/>
        <v>0</v>
      </c>
      <c r="BZ113">
        <f t="shared" si="102"/>
        <v>0</v>
      </c>
      <c r="CA113">
        <f t="shared" si="103"/>
        <v>0</v>
      </c>
      <c r="CB113">
        <f t="shared" si="104"/>
        <v>0</v>
      </c>
      <c r="CC113">
        <f t="shared" si="105"/>
        <v>0</v>
      </c>
      <c r="CD113">
        <f t="shared" si="106"/>
        <v>0</v>
      </c>
      <c r="CE113">
        <f t="shared" si="107"/>
        <v>0</v>
      </c>
      <c r="CG113" s="6">
        <v>2014</v>
      </c>
      <c r="CH113" s="6" t="s">
        <v>260</v>
      </c>
      <c r="CI113" s="6">
        <v>0.09</v>
      </c>
      <c r="CJ113" s="6">
        <v>0.09</v>
      </c>
      <c r="CK113" s="6" t="s">
        <v>591</v>
      </c>
      <c r="CL113" s="6" t="s">
        <v>591</v>
      </c>
      <c r="CM113" s="6" t="s">
        <v>593</v>
      </c>
    </row>
    <row r="114" spans="4:91">
      <c r="D114">
        <f t="shared" si="110"/>
        <v>2019</v>
      </c>
      <c r="E114" t="s">
        <v>262</v>
      </c>
      <c r="F114" s="1">
        <f t="shared" si="112"/>
        <v>0</v>
      </c>
      <c r="G114" s="1">
        <f t="shared" si="113"/>
        <v>15.309</v>
      </c>
      <c r="H114" s="1">
        <f t="shared" si="114"/>
        <v>0</v>
      </c>
      <c r="I114" s="1">
        <f t="shared" si="115"/>
        <v>0.0405</v>
      </c>
      <c r="J114" s="1">
        <f t="shared" si="116"/>
        <v>0</v>
      </c>
      <c r="K114" s="1">
        <f t="shared" si="117"/>
        <v>0</v>
      </c>
      <c r="L114" s="1">
        <f t="shared" si="118"/>
        <v>5.508</v>
      </c>
      <c r="M114" s="1">
        <f t="shared" si="111"/>
        <v>102.87</v>
      </c>
      <c r="N114" s="1">
        <f t="shared" si="119"/>
        <v>0</v>
      </c>
      <c r="O114" s="1">
        <f t="shared" si="120"/>
        <v>0</v>
      </c>
      <c r="P114" s="1">
        <f t="shared" si="121"/>
        <v>0</v>
      </c>
      <c r="Q114" s="1">
        <f t="shared" si="122"/>
        <v>0.0162</v>
      </c>
      <c r="R114" s="1">
        <f t="shared" si="123"/>
        <v>0</v>
      </c>
      <c r="S114" s="1">
        <f t="shared" si="124"/>
        <v>0</v>
      </c>
      <c r="T114" s="1">
        <f t="shared" si="125"/>
        <v>0</v>
      </c>
      <c r="U114" s="1">
        <f t="shared" si="126"/>
        <v>2.268</v>
      </c>
      <c r="V114" s="1">
        <f t="shared" si="127"/>
        <v>0</v>
      </c>
      <c r="W114" s="1">
        <f t="shared" si="128"/>
        <v>0</v>
      </c>
      <c r="X114" s="1">
        <f t="shared" si="129"/>
        <v>0</v>
      </c>
      <c r="Y114" s="1">
        <f t="shared" si="130"/>
        <v>0</v>
      </c>
      <c r="Z114" s="1">
        <f t="shared" si="131"/>
        <v>0</v>
      </c>
      <c r="AA114" s="1">
        <f t="shared" si="132"/>
        <v>1.6929</v>
      </c>
      <c r="AB114" s="1">
        <f t="shared" si="133"/>
        <v>0.567</v>
      </c>
      <c r="AC114" s="1">
        <f t="shared" si="134"/>
        <v>0</v>
      </c>
      <c r="AD114" s="1">
        <f t="shared" si="135"/>
        <v>1.8549</v>
      </c>
      <c r="AE114" s="1">
        <f t="shared" si="136"/>
        <v>1.62</v>
      </c>
      <c r="AF114" s="1">
        <f t="shared" si="137"/>
        <v>0</v>
      </c>
      <c r="AG114" s="1">
        <f t="shared" si="138"/>
        <v>0</v>
      </c>
      <c r="AH114" s="1">
        <f t="shared" si="139"/>
        <v>0</v>
      </c>
      <c r="AI114" s="1">
        <f t="shared" si="140"/>
        <v>0</v>
      </c>
      <c r="AJ114" s="1">
        <f t="shared" si="141"/>
        <v>0</v>
      </c>
      <c r="AK114" s="1">
        <f t="shared" si="142"/>
        <v>0.243</v>
      </c>
      <c r="AL114" s="1">
        <f t="shared" si="143"/>
        <v>0</v>
      </c>
      <c r="AM114" s="1">
        <f t="shared" si="144"/>
        <v>0.0972</v>
      </c>
      <c r="AN114" s="1">
        <f t="shared" si="145"/>
        <v>0</v>
      </c>
      <c r="AQ114" s="6">
        <v>2014</v>
      </c>
      <c r="AR114" s="6" t="s">
        <v>262</v>
      </c>
      <c r="AS114" s="6">
        <v>0.09</v>
      </c>
      <c r="AT114" s="6" t="s">
        <v>591</v>
      </c>
      <c r="AU114" s="6" t="s">
        <v>592</v>
      </c>
      <c r="AV114" t="str">
        <f t="shared" si="73"/>
        <v>MINBatMaterials_GR</v>
      </c>
      <c r="AW114">
        <f t="shared" si="108"/>
        <v>0</v>
      </c>
      <c r="AX114">
        <f t="shared" si="74"/>
        <v>170.1</v>
      </c>
      <c r="AY114">
        <f t="shared" si="75"/>
        <v>0</v>
      </c>
      <c r="AZ114">
        <f t="shared" si="76"/>
        <v>0.45</v>
      </c>
      <c r="BA114">
        <f t="shared" si="77"/>
        <v>0</v>
      </c>
      <c r="BB114">
        <f t="shared" si="78"/>
        <v>0</v>
      </c>
      <c r="BC114">
        <f t="shared" si="79"/>
        <v>61.2</v>
      </c>
      <c r="BD114">
        <f t="shared" si="80"/>
        <v>1143</v>
      </c>
      <c r="BE114">
        <f t="shared" si="81"/>
        <v>0</v>
      </c>
      <c r="BF114">
        <f t="shared" si="82"/>
        <v>0</v>
      </c>
      <c r="BG114">
        <f t="shared" si="83"/>
        <v>0</v>
      </c>
      <c r="BH114">
        <f t="shared" si="84"/>
        <v>0.18</v>
      </c>
      <c r="BI114">
        <f t="shared" si="85"/>
        <v>0</v>
      </c>
      <c r="BJ114">
        <f t="shared" si="86"/>
        <v>0</v>
      </c>
      <c r="BK114">
        <f t="shared" si="87"/>
        <v>0</v>
      </c>
      <c r="BL114">
        <f t="shared" si="88"/>
        <v>25.2</v>
      </c>
      <c r="BM114">
        <f t="shared" si="89"/>
        <v>0</v>
      </c>
      <c r="BN114">
        <f t="shared" si="90"/>
        <v>0</v>
      </c>
      <c r="BO114">
        <f t="shared" si="91"/>
        <v>0</v>
      </c>
      <c r="BP114">
        <f t="shared" si="92"/>
        <v>0</v>
      </c>
      <c r="BQ114">
        <f t="shared" si="93"/>
        <v>0</v>
      </c>
      <c r="BR114">
        <f t="shared" si="94"/>
        <v>18.81</v>
      </c>
      <c r="BS114">
        <f t="shared" si="95"/>
        <v>6.3</v>
      </c>
      <c r="BT114">
        <f t="shared" si="96"/>
        <v>0</v>
      </c>
      <c r="BU114">
        <f t="shared" si="97"/>
        <v>20.61</v>
      </c>
      <c r="BV114">
        <f t="shared" si="98"/>
        <v>18</v>
      </c>
      <c r="BW114">
        <f t="shared" si="99"/>
        <v>0</v>
      </c>
      <c r="BX114">
        <f t="shared" si="100"/>
        <v>0</v>
      </c>
      <c r="BY114">
        <f t="shared" si="101"/>
        <v>0</v>
      </c>
      <c r="BZ114">
        <f t="shared" si="102"/>
        <v>0</v>
      </c>
      <c r="CA114">
        <f t="shared" si="103"/>
        <v>0</v>
      </c>
      <c r="CB114">
        <f t="shared" si="104"/>
        <v>2.7</v>
      </c>
      <c r="CC114">
        <f t="shared" si="105"/>
        <v>0</v>
      </c>
      <c r="CD114">
        <f t="shared" si="106"/>
        <v>1.08</v>
      </c>
      <c r="CE114">
        <f t="shared" si="107"/>
        <v>0</v>
      </c>
      <c r="CG114" s="6">
        <v>2014</v>
      </c>
      <c r="CH114" s="6" t="s">
        <v>262</v>
      </c>
      <c r="CI114" s="6">
        <v>0.09</v>
      </c>
      <c r="CJ114" s="6">
        <v>0.09</v>
      </c>
      <c r="CK114" s="6" t="s">
        <v>591</v>
      </c>
      <c r="CL114" s="6" t="s">
        <v>591</v>
      </c>
      <c r="CM114" s="6" t="s">
        <v>593</v>
      </c>
    </row>
    <row r="115" spans="4:91">
      <c r="D115">
        <v>2014</v>
      </c>
      <c r="E115" t="s">
        <v>68</v>
      </c>
      <c r="F115" s="1">
        <f t="shared" si="112"/>
        <v>0</v>
      </c>
      <c r="G115" s="1">
        <f t="shared" si="113"/>
        <v>0</v>
      </c>
      <c r="H115" s="1">
        <f t="shared" si="114"/>
        <v>0.000116</v>
      </c>
      <c r="I115" s="1">
        <f t="shared" si="115"/>
        <v>0.00029</v>
      </c>
      <c r="J115" s="1">
        <f t="shared" si="116"/>
        <v>0.000116</v>
      </c>
      <c r="K115" s="1">
        <f t="shared" si="117"/>
        <v>0.003016</v>
      </c>
      <c r="L115" s="1">
        <f t="shared" si="118"/>
        <v>0.00029</v>
      </c>
      <c r="M115" s="1">
        <f t="shared" si="111"/>
        <v>3.544902</v>
      </c>
      <c r="N115" s="1">
        <f t="shared" si="119"/>
        <v>0</v>
      </c>
      <c r="O115" s="1">
        <f t="shared" si="120"/>
        <v>0.00029</v>
      </c>
      <c r="P115" s="1">
        <f t="shared" si="121"/>
        <v>0.001827</v>
      </c>
      <c r="Q115" s="1">
        <f t="shared" si="122"/>
        <v>0.001508</v>
      </c>
      <c r="R115" s="1">
        <f t="shared" si="123"/>
        <v>0</v>
      </c>
      <c r="S115" s="1">
        <f t="shared" si="124"/>
        <v>0.00029</v>
      </c>
      <c r="T115" s="1">
        <f t="shared" si="125"/>
        <v>0</v>
      </c>
      <c r="U115" s="1">
        <f t="shared" si="126"/>
        <v>0.003625</v>
      </c>
      <c r="V115" s="1">
        <f t="shared" si="127"/>
        <v>0</v>
      </c>
      <c r="W115" s="1">
        <f t="shared" si="128"/>
        <v>0.000609</v>
      </c>
      <c r="X115" s="1">
        <f t="shared" si="129"/>
        <v>0.00029</v>
      </c>
      <c r="Y115" s="1">
        <f t="shared" si="130"/>
        <v>0.001363</v>
      </c>
      <c r="Z115" s="1">
        <f t="shared" si="131"/>
        <v>0.000116</v>
      </c>
      <c r="AA115" s="1">
        <f t="shared" si="132"/>
        <v>0.004263</v>
      </c>
      <c r="AB115" s="1">
        <f t="shared" si="133"/>
        <v>0.000609</v>
      </c>
      <c r="AC115" s="1">
        <f t="shared" si="134"/>
        <v>0.001653</v>
      </c>
      <c r="AD115" s="1">
        <f t="shared" si="135"/>
        <v>0.001827</v>
      </c>
      <c r="AE115" s="1">
        <f t="shared" si="136"/>
        <v>0.00058</v>
      </c>
      <c r="AF115" s="1">
        <f t="shared" si="137"/>
        <v>0</v>
      </c>
      <c r="AG115" s="1">
        <f t="shared" si="138"/>
        <v>0</v>
      </c>
      <c r="AH115" s="1">
        <f t="shared" si="139"/>
        <v>0.000899</v>
      </c>
      <c r="AI115" s="1">
        <f t="shared" si="140"/>
        <v>0.001827</v>
      </c>
      <c r="AJ115" s="1">
        <f t="shared" si="141"/>
        <v>0.00029</v>
      </c>
      <c r="AK115" s="1">
        <f t="shared" si="142"/>
        <v>0.00029</v>
      </c>
      <c r="AL115" s="1">
        <f t="shared" si="143"/>
        <v>0.002436</v>
      </c>
      <c r="AM115" s="1">
        <f t="shared" si="144"/>
        <v>0</v>
      </c>
      <c r="AN115" s="1">
        <f t="shared" si="145"/>
        <v>0</v>
      </c>
      <c r="AQ115" s="6">
        <v>2014</v>
      </c>
      <c r="AR115" s="6" t="s">
        <v>68</v>
      </c>
      <c r="AS115" s="6">
        <v>0.029</v>
      </c>
      <c r="AT115" s="6" t="s">
        <v>568</v>
      </c>
      <c r="AU115" s="6" t="s">
        <v>594</v>
      </c>
      <c r="AV115" t="str">
        <f t="shared" si="73"/>
        <v>Tra_EV_Batt-LFP_virgin</v>
      </c>
      <c r="AW115">
        <f t="shared" si="108"/>
        <v>0</v>
      </c>
      <c r="AX115">
        <f t="shared" si="74"/>
        <v>0</v>
      </c>
      <c r="AY115">
        <f t="shared" si="75"/>
        <v>0.004</v>
      </c>
      <c r="AZ115">
        <f t="shared" si="76"/>
        <v>0.01</v>
      </c>
      <c r="BA115">
        <f t="shared" si="77"/>
        <v>0.004</v>
      </c>
      <c r="BB115">
        <f t="shared" si="78"/>
        <v>0.104</v>
      </c>
      <c r="BC115">
        <f t="shared" si="79"/>
        <v>0.01</v>
      </c>
      <c r="BD115">
        <f t="shared" si="80"/>
        <v>122.238</v>
      </c>
      <c r="BE115">
        <f t="shared" si="81"/>
        <v>0</v>
      </c>
      <c r="BF115">
        <f t="shared" si="82"/>
        <v>0.01</v>
      </c>
      <c r="BG115">
        <f t="shared" si="83"/>
        <v>0.063</v>
      </c>
      <c r="BH115">
        <f t="shared" si="84"/>
        <v>0.052</v>
      </c>
      <c r="BI115">
        <f t="shared" si="85"/>
        <v>0</v>
      </c>
      <c r="BJ115">
        <f t="shared" si="86"/>
        <v>0.01</v>
      </c>
      <c r="BK115">
        <f t="shared" si="87"/>
        <v>0</v>
      </c>
      <c r="BL115">
        <f t="shared" si="88"/>
        <v>0.125</v>
      </c>
      <c r="BM115">
        <f t="shared" si="89"/>
        <v>0</v>
      </c>
      <c r="BN115">
        <f t="shared" si="90"/>
        <v>0.021</v>
      </c>
      <c r="BO115">
        <f t="shared" si="91"/>
        <v>0.01</v>
      </c>
      <c r="BP115">
        <f t="shared" si="92"/>
        <v>0.047</v>
      </c>
      <c r="BQ115">
        <f t="shared" si="93"/>
        <v>0.004</v>
      </c>
      <c r="BR115">
        <f t="shared" si="94"/>
        <v>0.147</v>
      </c>
      <c r="BS115">
        <f t="shared" si="95"/>
        <v>0.021</v>
      </c>
      <c r="BT115">
        <f t="shared" si="96"/>
        <v>0.057</v>
      </c>
      <c r="BU115">
        <f t="shared" si="97"/>
        <v>0.063</v>
      </c>
      <c r="BV115">
        <f t="shared" si="98"/>
        <v>0.02</v>
      </c>
      <c r="BW115">
        <f t="shared" si="99"/>
        <v>0</v>
      </c>
      <c r="BX115">
        <f t="shared" si="100"/>
        <v>0</v>
      </c>
      <c r="BY115">
        <f t="shared" si="101"/>
        <v>0.031</v>
      </c>
      <c r="BZ115">
        <f t="shared" si="102"/>
        <v>0.063</v>
      </c>
      <c r="CA115">
        <f t="shared" si="103"/>
        <v>0.01</v>
      </c>
      <c r="CB115">
        <f t="shared" si="104"/>
        <v>0.01</v>
      </c>
      <c r="CC115">
        <f t="shared" si="105"/>
        <v>0.084</v>
      </c>
      <c r="CD115">
        <f t="shared" si="106"/>
        <v>0</v>
      </c>
      <c r="CE115">
        <f t="shared" si="107"/>
        <v>0</v>
      </c>
      <c r="CG115" s="6">
        <v>2014</v>
      </c>
      <c r="CH115" s="6" t="s">
        <v>68</v>
      </c>
      <c r="CI115" s="6">
        <v>0.029</v>
      </c>
      <c r="CJ115" s="6">
        <v>0.042</v>
      </c>
      <c r="CK115" s="6" t="s">
        <v>595</v>
      </c>
      <c r="CL115" s="6" t="s">
        <v>596</v>
      </c>
      <c r="CM115" s="6" t="s">
        <v>597</v>
      </c>
    </row>
    <row r="116" spans="4:91">
      <c r="D116">
        <f t="shared" si="110"/>
        <v>2014</v>
      </c>
      <c r="E116" t="s">
        <v>90</v>
      </c>
      <c r="F116" s="1">
        <f t="shared" si="112"/>
        <v>8.7e-5</v>
      </c>
      <c r="G116" s="1">
        <f t="shared" si="113"/>
        <v>8.7e-5</v>
      </c>
      <c r="H116" s="1">
        <f t="shared" si="114"/>
        <v>0.002958</v>
      </c>
      <c r="I116" s="1">
        <f t="shared" si="115"/>
        <v>0.009918</v>
      </c>
      <c r="J116" s="1">
        <f t="shared" si="116"/>
        <v>0.001131</v>
      </c>
      <c r="K116" s="1">
        <f t="shared" si="117"/>
        <v>0.045356</v>
      </c>
      <c r="L116" s="1">
        <f t="shared" si="118"/>
        <v>0.000348</v>
      </c>
      <c r="M116" s="1">
        <f t="shared" si="111"/>
        <v>0.61074</v>
      </c>
      <c r="N116" s="1">
        <f t="shared" si="119"/>
        <v>0.000812</v>
      </c>
      <c r="O116" s="1">
        <f t="shared" si="120"/>
        <v>0.001276</v>
      </c>
      <c r="P116" s="1">
        <f t="shared" si="121"/>
        <v>0.07308</v>
      </c>
      <c r="Q116" s="1">
        <f t="shared" si="122"/>
        <v>0.057333</v>
      </c>
      <c r="R116" s="1">
        <f t="shared" si="123"/>
        <v>0.000174</v>
      </c>
      <c r="S116" s="1">
        <f t="shared" si="124"/>
        <v>0.002465</v>
      </c>
      <c r="T116" s="1">
        <f t="shared" si="125"/>
        <v>0.003625</v>
      </c>
      <c r="U116" s="1">
        <f t="shared" si="126"/>
        <v>0.00203</v>
      </c>
      <c r="V116" s="1">
        <f t="shared" si="127"/>
        <v>0.002378</v>
      </c>
      <c r="W116" s="1">
        <f t="shared" si="128"/>
        <v>0.007424</v>
      </c>
      <c r="X116" s="1">
        <f t="shared" si="129"/>
        <v>0.066207</v>
      </c>
      <c r="Y116" s="1">
        <f t="shared" si="130"/>
        <v>0.001305</v>
      </c>
      <c r="Z116" s="1">
        <f t="shared" si="131"/>
        <v>0.001131</v>
      </c>
      <c r="AA116" s="1">
        <f t="shared" si="132"/>
        <v>0.200999</v>
      </c>
      <c r="AB116" s="1">
        <f t="shared" si="133"/>
        <v>0.078532</v>
      </c>
      <c r="AC116" s="1">
        <f t="shared" si="134"/>
        <v>0.001537</v>
      </c>
      <c r="AD116" s="1">
        <f t="shared" si="135"/>
        <v>0.013746</v>
      </c>
      <c r="AE116" s="1">
        <f t="shared" si="136"/>
        <v>0.001624</v>
      </c>
      <c r="AF116" s="1">
        <f t="shared" si="137"/>
        <v>5.8e-5</v>
      </c>
      <c r="AG116" s="1">
        <f t="shared" si="138"/>
        <v>0.000261</v>
      </c>
      <c r="AH116" s="1">
        <f t="shared" si="139"/>
        <v>0.015167</v>
      </c>
      <c r="AI116" s="1">
        <f t="shared" si="140"/>
        <v>0.02581</v>
      </c>
      <c r="AJ116" s="1">
        <f t="shared" si="141"/>
        <v>0.009773</v>
      </c>
      <c r="AK116" s="1">
        <f t="shared" si="142"/>
        <v>0.000348</v>
      </c>
      <c r="AL116" s="1">
        <f t="shared" si="143"/>
        <v>0.046081</v>
      </c>
      <c r="AM116" s="1">
        <f t="shared" si="144"/>
        <v>0.003248</v>
      </c>
      <c r="AN116" s="1">
        <f t="shared" si="145"/>
        <v>0.000145</v>
      </c>
      <c r="AQ116" s="6">
        <v>2014</v>
      </c>
      <c r="AR116" s="6" t="s">
        <v>90</v>
      </c>
      <c r="AS116" s="6">
        <v>0.029</v>
      </c>
      <c r="AT116" s="6" t="s">
        <v>568</v>
      </c>
      <c r="AU116" s="6" t="s">
        <v>594</v>
      </c>
      <c r="AV116" t="str">
        <f t="shared" si="73"/>
        <v>Tra_EV_Batt-NMC622_virgin</v>
      </c>
      <c r="AW116">
        <f t="shared" si="108"/>
        <v>0.003</v>
      </c>
      <c r="AX116">
        <f t="shared" si="74"/>
        <v>0.003</v>
      </c>
      <c r="AY116">
        <f t="shared" si="75"/>
        <v>0.102</v>
      </c>
      <c r="AZ116">
        <f t="shared" si="76"/>
        <v>0.342</v>
      </c>
      <c r="BA116">
        <f t="shared" si="77"/>
        <v>0.039</v>
      </c>
      <c r="BB116">
        <f t="shared" si="78"/>
        <v>1.564</v>
      </c>
      <c r="BC116">
        <f t="shared" si="79"/>
        <v>0.012</v>
      </c>
      <c r="BD116">
        <f t="shared" si="80"/>
        <v>21.06</v>
      </c>
      <c r="BE116">
        <f t="shared" si="81"/>
        <v>0.028</v>
      </c>
      <c r="BF116">
        <f t="shared" si="82"/>
        <v>0.044</v>
      </c>
      <c r="BG116">
        <f t="shared" si="83"/>
        <v>2.52</v>
      </c>
      <c r="BH116">
        <f t="shared" si="84"/>
        <v>1.977</v>
      </c>
      <c r="BI116">
        <f t="shared" si="85"/>
        <v>0.006</v>
      </c>
      <c r="BJ116">
        <f t="shared" si="86"/>
        <v>0.085</v>
      </c>
      <c r="BK116">
        <f t="shared" si="87"/>
        <v>0.125</v>
      </c>
      <c r="BL116">
        <f t="shared" si="88"/>
        <v>0.07</v>
      </c>
      <c r="BM116">
        <f t="shared" si="89"/>
        <v>0.082</v>
      </c>
      <c r="BN116">
        <f t="shared" si="90"/>
        <v>0.256</v>
      </c>
      <c r="BO116">
        <f t="shared" si="91"/>
        <v>2.283</v>
      </c>
      <c r="BP116">
        <f t="shared" si="92"/>
        <v>0.045</v>
      </c>
      <c r="BQ116">
        <f t="shared" si="93"/>
        <v>0.039</v>
      </c>
      <c r="BR116">
        <f t="shared" si="94"/>
        <v>6.931</v>
      </c>
      <c r="BS116">
        <f t="shared" si="95"/>
        <v>2.708</v>
      </c>
      <c r="BT116">
        <f t="shared" si="96"/>
        <v>0.053</v>
      </c>
      <c r="BU116">
        <f t="shared" si="97"/>
        <v>0.474</v>
      </c>
      <c r="BV116">
        <f t="shared" si="98"/>
        <v>0.056</v>
      </c>
      <c r="BW116">
        <f t="shared" si="99"/>
        <v>0.002</v>
      </c>
      <c r="BX116">
        <f t="shared" si="100"/>
        <v>0.009</v>
      </c>
      <c r="BY116">
        <f t="shared" si="101"/>
        <v>0.523</v>
      </c>
      <c r="BZ116">
        <f t="shared" si="102"/>
        <v>0.89</v>
      </c>
      <c r="CA116">
        <f t="shared" si="103"/>
        <v>0.337</v>
      </c>
      <c r="CB116">
        <f t="shared" si="104"/>
        <v>0.012</v>
      </c>
      <c r="CC116">
        <f t="shared" si="105"/>
        <v>1.589</v>
      </c>
      <c r="CD116">
        <f t="shared" si="106"/>
        <v>0.112</v>
      </c>
      <c r="CE116">
        <f t="shared" si="107"/>
        <v>0.005</v>
      </c>
      <c r="CG116" s="6">
        <v>2014</v>
      </c>
      <c r="CH116" s="6" t="s">
        <v>90</v>
      </c>
      <c r="CI116" s="6">
        <v>0.029</v>
      </c>
      <c r="CJ116" s="6">
        <v>0.042</v>
      </c>
      <c r="CK116" s="6" t="s">
        <v>595</v>
      </c>
      <c r="CL116" s="6" t="s">
        <v>596</v>
      </c>
      <c r="CM116" s="6" t="s">
        <v>597</v>
      </c>
    </row>
    <row r="117" spans="4:91">
      <c r="D117">
        <f t="shared" si="110"/>
        <v>2014</v>
      </c>
      <c r="E117" t="s">
        <v>94</v>
      </c>
      <c r="F117" s="1">
        <f t="shared" si="112"/>
        <v>8.7e-5</v>
      </c>
      <c r="G117" s="1">
        <f t="shared" si="113"/>
        <v>8.7e-5</v>
      </c>
      <c r="H117" s="1">
        <f t="shared" si="114"/>
        <v>0.002465</v>
      </c>
      <c r="I117" s="1">
        <f t="shared" si="115"/>
        <v>0.008091</v>
      </c>
      <c r="J117" s="1">
        <f t="shared" si="116"/>
        <v>0.000957</v>
      </c>
      <c r="K117" s="1">
        <f t="shared" si="117"/>
        <v>0.037323</v>
      </c>
      <c r="L117" s="1">
        <f t="shared" si="118"/>
        <v>0.00029</v>
      </c>
      <c r="M117" s="1">
        <f t="shared" si="111"/>
        <v>1.322081</v>
      </c>
      <c r="N117" s="1">
        <f t="shared" si="119"/>
        <v>0.000696</v>
      </c>
      <c r="O117" s="1">
        <f t="shared" si="120"/>
        <v>0.001015</v>
      </c>
      <c r="P117" s="1">
        <f t="shared" si="121"/>
        <v>0.055419</v>
      </c>
      <c r="Q117" s="1">
        <f t="shared" si="122"/>
        <v>0.045617</v>
      </c>
      <c r="R117" s="1">
        <f t="shared" si="123"/>
        <v>0.000145</v>
      </c>
      <c r="S117" s="1">
        <f t="shared" si="124"/>
        <v>0.002001</v>
      </c>
      <c r="T117" s="1">
        <f t="shared" si="125"/>
        <v>0.003016</v>
      </c>
      <c r="U117" s="1">
        <f t="shared" si="126"/>
        <v>0.000203</v>
      </c>
      <c r="V117" s="1">
        <f t="shared" si="127"/>
        <v>0.001943</v>
      </c>
      <c r="W117" s="1">
        <f t="shared" si="128"/>
        <v>0.005887</v>
      </c>
      <c r="X117" s="1">
        <f t="shared" si="129"/>
        <v>0.012238</v>
      </c>
      <c r="Y117" s="1">
        <f t="shared" si="130"/>
        <v>0.001131</v>
      </c>
      <c r="Z117" s="1">
        <f t="shared" si="131"/>
        <v>0.000957</v>
      </c>
      <c r="AA117" s="1">
        <f t="shared" si="132"/>
        <v>0.140708</v>
      </c>
      <c r="AB117" s="1">
        <f t="shared" si="133"/>
        <v>0.047009</v>
      </c>
      <c r="AC117" s="1">
        <f t="shared" si="134"/>
        <v>0.001334</v>
      </c>
      <c r="AD117" s="1">
        <f t="shared" si="135"/>
        <v>0.044718</v>
      </c>
      <c r="AE117" s="1">
        <f t="shared" si="136"/>
        <v>0.001392</v>
      </c>
      <c r="AF117" s="1">
        <f t="shared" si="137"/>
        <v>2.9e-5</v>
      </c>
      <c r="AG117" s="1">
        <f t="shared" si="138"/>
        <v>0.000203</v>
      </c>
      <c r="AH117" s="1">
        <f t="shared" si="139"/>
        <v>0.012296</v>
      </c>
      <c r="AI117" s="1">
        <f t="shared" si="140"/>
        <v>0.020967</v>
      </c>
      <c r="AJ117" s="1">
        <f t="shared" si="141"/>
        <v>0.007975</v>
      </c>
      <c r="AK117" s="1">
        <f t="shared" si="142"/>
        <v>0.000319</v>
      </c>
      <c r="AL117" s="1">
        <f t="shared" si="143"/>
        <v>0.037497</v>
      </c>
      <c r="AM117" s="1">
        <f t="shared" si="144"/>
        <v>0.000551</v>
      </c>
      <c r="AN117" s="1">
        <f t="shared" si="145"/>
        <v>0.000116</v>
      </c>
      <c r="AQ117" s="6">
        <v>2014</v>
      </c>
      <c r="AR117" s="6" t="s">
        <v>94</v>
      </c>
      <c r="AS117" s="6">
        <v>0.029</v>
      </c>
      <c r="AT117" s="6" t="s">
        <v>568</v>
      </c>
      <c r="AU117" s="6" t="s">
        <v>594</v>
      </c>
      <c r="AV117" t="str">
        <f t="shared" si="73"/>
        <v>Tra_EV_Batt-NMC811_virgin</v>
      </c>
      <c r="AW117">
        <f t="shared" si="108"/>
        <v>0.003</v>
      </c>
      <c r="AX117">
        <f t="shared" si="74"/>
        <v>0.003</v>
      </c>
      <c r="AY117">
        <f t="shared" si="75"/>
        <v>0.085</v>
      </c>
      <c r="AZ117">
        <f t="shared" si="76"/>
        <v>0.279</v>
      </c>
      <c r="BA117">
        <f t="shared" si="77"/>
        <v>0.033</v>
      </c>
      <c r="BB117">
        <f t="shared" si="78"/>
        <v>1.287</v>
      </c>
      <c r="BC117">
        <f t="shared" si="79"/>
        <v>0.01</v>
      </c>
      <c r="BD117">
        <f t="shared" si="80"/>
        <v>45.589</v>
      </c>
      <c r="BE117">
        <f t="shared" si="81"/>
        <v>0.024</v>
      </c>
      <c r="BF117">
        <f t="shared" si="82"/>
        <v>0.035</v>
      </c>
      <c r="BG117">
        <f t="shared" si="83"/>
        <v>1.911</v>
      </c>
      <c r="BH117">
        <f t="shared" si="84"/>
        <v>1.573</v>
      </c>
      <c r="BI117">
        <f t="shared" si="85"/>
        <v>0.005</v>
      </c>
      <c r="BJ117">
        <f t="shared" si="86"/>
        <v>0.069</v>
      </c>
      <c r="BK117">
        <f t="shared" si="87"/>
        <v>0.104</v>
      </c>
      <c r="BL117">
        <f t="shared" si="88"/>
        <v>0.007</v>
      </c>
      <c r="BM117">
        <f t="shared" si="89"/>
        <v>0.067</v>
      </c>
      <c r="BN117">
        <f t="shared" si="90"/>
        <v>0.203</v>
      </c>
      <c r="BO117">
        <f t="shared" si="91"/>
        <v>0.422</v>
      </c>
      <c r="BP117">
        <f t="shared" si="92"/>
        <v>0.039</v>
      </c>
      <c r="BQ117">
        <f t="shared" si="93"/>
        <v>0.033</v>
      </c>
      <c r="BR117">
        <f t="shared" si="94"/>
        <v>4.852</v>
      </c>
      <c r="BS117">
        <f t="shared" si="95"/>
        <v>1.621</v>
      </c>
      <c r="BT117">
        <f t="shared" si="96"/>
        <v>0.046</v>
      </c>
      <c r="BU117">
        <f t="shared" si="97"/>
        <v>1.542</v>
      </c>
      <c r="BV117">
        <f t="shared" si="98"/>
        <v>0.048</v>
      </c>
      <c r="BW117">
        <f t="shared" si="99"/>
        <v>0.001</v>
      </c>
      <c r="BX117">
        <f t="shared" si="100"/>
        <v>0.007</v>
      </c>
      <c r="BY117">
        <f t="shared" si="101"/>
        <v>0.424</v>
      </c>
      <c r="BZ117">
        <f t="shared" si="102"/>
        <v>0.723</v>
      </c>
      <c r="CA117">
        <f t="shared" si="103"/>
        <v>0.275</v>
      </c>
      <c r="CB117">
        <f t="shared" si="104"/>
        <v>0.011</v>
      </c>
      <c r="CC117">
        <f t="shared" si="105"/>
        <v>1.293</v>
      </c>
      <c r="CD117">
        <f t="shared" si="106"/>
        <v>0.019</v>
      </c>
      <c r="CE117">
        <f t="shared" si="107"/>
        <v>0.004</v>
      </c>
      <c r="CG117" s="6">
        <v>2014</v>
      </c>
      <c r="CH117" s="6" t="s">
        <v>94</v>
      </c>
      <c r="CI117" s="6">
        <v>0.029</v>
      </c>
      <c r="CJ117" s="6">
        <v>0.042</v>
      </c>
      <c r="CK117" s="6" t="s">
        <v>595</v>
      </c>
      <c r="CL117" s="6" t="s">
        <v>596</v>
      </c>
      <c r="CM117" s="6" t="s">
        <v>597</v>
      </c>
    </row>
    <row r="118" spans="4:91">
      <c r="D118">
        <f t="shared" si="110"/>
        <v>2014</v>
      </c>
      <c r="E118" t="s">
        <v>86</v>
      </c>
      <c r="F118" s="1">
        <f t="shared" si="112"/>
        <v>2.9e-5</v>
      </c>
      <c r="G118" s="1">
        <f t="shared" si="113"/>
        <v>2.9e-5</v>
      </c>
      <c r="H118" s="1">
        <f t="shared" si="114"/>
        <v>0.000493</v>
      </c>
      <c r="I118" s="1">
        <f t="shared" si="115"/>
        <v>0.001537</v>
      </c>
      <c r="J118" s="1">
        <f t="shared" si="116"/>
        <v>0.000174</v>
      </c>
      <c r="K118" s="1">
        <f t="shared" si="117"/>
        <v>0.007076</v>
      </c>
      <c r="L118" s="1">
        <f t="shared" si="118"/>
        <v>2.9e-5</v>
      </c>
      <c r="M118" s="1">
        <f t="shared" si="111"/>
        <v>0.272339</v>
      </c>
      <c r="N118" s="1">
        <f t="shared" si="119"/>
        <v>0.000145</v>
      </c>
      <c r="O118" s="1">
        <f t="shared" si="120"/>
        <v>0.000174</v>
      </c>
      <c r="P118" s="1">
        <f t="shared" si="121"/>
        <v>0.00928</v>
      </c>
      <c r="Q118" s="1">
        <f t="shared" si="122"/>
        <v>0.008352</v>
      </c>
      <c r="R118" s="1">
        <f t="shared" si="123"/>
        <v>2.9e-5</v>
      </c>
      <c r="S118" s="1">
        <f t="shared" si="124"/>
        <v>0.000348</v>
      </c>
      <c r="T118" s="1">
        <f t="shared" si="125"/>
        <v>0.000609</v>
      </c>
      <c r="U118" s="1">
        <f t="shared" si="126"/>
        <v>0</v>
      </c>
      <c r="V118" s="1">
        <f t="shared" si="127"/>
        <v>0.000377</v>
      </c>
      <c r="W118" s="1">
        <f t="shared" si="128"/>
        <v>0.001044</v>
      </c>
      <c r="X118" s="1">
        <f t="shared" si="129"/>
        <v>0</v>
      </c>
      <c r="Y118" s="1">
        <f t="shared" si="130"/>
        <v>0.000116</v>
      </c>
      <c r="Z118" s="1">
        <f t="shared" si="131"/>
        <v>0.000174</v>
      </c>
      <c r="AA118" s="1">
        <f t="shared" si="132"/>
        <v>0.138214</v>
      </c>
      <c r="AB118" s="1">
        <f t="shared" si="133"/>
        <v>0.015283</v>
      </c>
      <c r="AC118" s="1">
        <f t="shared" si="134"/>
        <v>0.000145</v>
      </c>
      <c r="AD118" s="1">
        <f t="shared" si="135"/>
        <v>0.031291</v>
      </c>
      <c r="AE118" s="1">
        <f t="shared" si="136"/>
        <v>0.000232</v>
      </c>
      <c r="AF118" s="1">
        <f t="shared" si="137"/>
        <v>0</v>
      </c>
      <c r="AG118" s="1">
        <f t="shared" si="138"/>
        <v>2.9e-5</v>
      </c>
      <c r="AH118" s="1">
        <f t="shared" si="139"/>
        <v>0.002291</v>
      </c>
      <c r="AI118" s="1">
        <f t="shared" si="140"/>
        <v>0.003886</v>
      </c>
      <c r="AJ118" s="1">
        <f t="shared" si="141"/>
        <v>0.001508</v>
      </c>
      <c r="AK118" s="1">
        <f t="shared" si="142"/>
        <v>5.8e-5</v>
      </c>
      <c r="AL118" s="1">
        <f t="shared" si="143"/>
        <v>0.007047</v>
      </c>
      <c r="AM118" s="1">
        <f t="shared" si="144"/>
        <v>0</v>
      </c>
      <c r="AN118" s="1">
        <f t="shared" si="145"/>
        <v>2.9e-5</v>
      </c>
      <c r="AQ118" s="6">
        <v>2014</v>
      </c>
      <c r="AR118" s="6" t="s">
        <v>86</v>
      </c>
      <c r="AS118" s="6">
        <v>0.029</v>
      </c>
      <c r="AT118" s="6" t="s">
        <v>568</v>
      </c>
      <c r="AU118" s="6" t="s">
        <v>594</v>
      </c>
      <c r="AV118" t="str">
        <f t="shared" si="73"/>
        <v>Tra_EV_Batt-NMC532_virgin</v>
      </c>
      <c r="AW118">
        <f t="shared" si="108"/>
        <v>0.001</v>
      </c>
      <c r="AX118">
        <f t="shared" si="74"/>
        <v>0.001</v>
      </c>
      <c r="AY118">
        <f t="shared" si="75"/>
        <v>0.017</v>
      </c>
      <c r="AZ118">
        <f t="shared" si="76"/>
        <v>0.053</v>
      </c>
      <c r="BA118">
        <f t="shared" si="77"/>
        <v>0.006</v>
      </c>
      <c r="BB118">
        <f t="shared" si="78"/>
        <v>0.244</v>
      </c>
      <c r="BC118">
        <f t="shared" si="79"/>
        <v>0.001</v>
      </c>
      <c r="BD118">
        <f t="shared" si="80"/>
        <v>9.391</v>
      </c>
      <c r="BE118">
        <f t="shared" si="81"/>
        <v>0.005</v>
      </c>
      <c r="BF118">
        <f t="shared" si="82"/>
        <v>0.006</v>
      </c>
      <c r="BG118">
        <f t="shared" si="83"/>
        <v>0.32</v>
      </c>
      <c r="BH118">
        <f t="shared" si="84"/>
        <v>0.288</v>
      </c>
      <c r="BI118">
        <f t="shared" si="85"/>
        <v>0.001</v>
      </c>
      <c r="BJ118">
        <f t="shared" si="86"/>
        <v>0.012</v>
      </c>
      <c r="BK118">
        <f t="shared" si="87"/>
        <v>0.021</v>
      </c>
      <c r="BL118">
        <f t="shared" si="88"/>
        <v>0</v>
      </c>
      <c r="BM118">
        <f t="shared" si="89"/>
        <v>0.013</v>
      </c>
      <c r="BN118">
        <f t="shared" si="90"/>
        <v>0.036</v>
      </c>
      <c r="BO118">
        <f t="shared" si="91"/>
        <v>0</v>
      </c>
      <c r="BP118">
        <f t="shared" si="92"/>
        <v>0.004</v>
      </c>
      <c r="BQ118">
        <f t="shared" si="93"/>
        <v>0.006</v>
      </c>
      <c r="BR118">
        <f t="shared" si="94"/>
        <v>4.766</v>
      </c>
      <c r="BS118">
        <f t="shared" si="95"/>
        <v>0.527</v>
      </c>
      <c r="BT118">
        <f t="shared" si="96"/>
        <v>0.005</v>
      </c>
      <c r="BU118">
        <f t="shared" si="97"/>
        <v>1.079</v>
      </c>
      <c r="BV118">
        <f t="shared" si="98"/>
        <v>0.008</v>
      </c>
      <c r="BW118">
        <f t="shared" si="99"/>
        <v>0</v>
      </c>
      <c r="BX118">
        <f t="shared" si="100"/>
        <v>0.001</v>
      </c>
      <c r="BY118">
        <f t="shared" si="101"/>
        <v>0.079</v>
      </c>
      <c r="BZ118">
        <f t="shared" si="102"/>
        <v>0.134</v>
      </c>
      <c r="CA118">
        <f t="shared" si="103"/>
        <v>0.052</v>
      </c>
      <c r="CB118">
        <f t="shared" si="104"/>
        <v>0.002</v>
      </c>
      <c r="CC118">
        <f t="shared" si="105"/>
        <v>0.243</v>
      </c>
      <c r="CD118">
        <f t="shared" si="106"/>
        <v>0</v>
      </c>
      <c r="CE118">
        <f t="shared" si="107"/>
        <v>0.001</v>
      </c>
      <c r="CG118" s="6">
        <v>2014</v>
      </c>
      <c r="CH118" s="6" t="s">
        <v>86</v>
      </c>
      <c r="CI118" s="6">
        <v>0.029</v>
      </c>
      <c r="CJ118" s="6">
        <v>0.042</v>
      </c>
      <c r="CK118" s="6" t="s">
        <v>595</v>
      </c>
      <c r="CL118" s="6" t="s">
        <v>596</v>
      </c>
      <c r="CM118" s="6" t="s">
        <v>597</v>
      </c>
    </row>
    <row r="119" spans="4:91">
      <c r="D119">
        <f t="shared" si="110"/>
        <v>2014</v>
      </c>
      <c r="E119" t="s">
        <v>77</v>
      </c>
      <c r="F119" s="1">
        <f t="shared" si="112"/>
        <v>0</v>
      </c>
      <c r="G119" s="1">
        <f t="shared" si="113"/>
        <v>0</v>
      </c>
      <c r="H119" s="1">
        <f t="shared" si="114"/>
        <v>0</v>
      </c>
      <c r="I119" s="1">
        <f t="shared" si="115"/>
        <v>0</v>
      </c>
      <c r="J119" s="1">
        <f t="shared" si="116"/>
        <v>0</v>
      </c>
      <c r="K119" s="1">
        <f t="shared" si="117"/>
        <v>0</v>
      </c>
      <c r="L119" s="1">
        <f t="shared" si="118"/>
        <v>0</v>
      </c>
      <c r="M119" s="1">
        <f t="shared" si="111"/>
        <v>0.049329</v>
      </c>
      <c r="N119" s="1">
        <f t="shared" si="119"/>
        <v>0</v>
      </c>
      <c r="O119" s="1">
        <f t="shared" si="120"/>
        <v>0</v>
      </c>
      <c r="P119" s="1">
        <f t="shared" si="121"/>
        <v>0</v>
      </c>
      <c r="Q119" s="1">
        <f t="shared" si="122"/>
        <v>0</v>
      </c>
      <c r="R119" s="1">
        <f t="shared" si="123"/>
        <v>0</v>
      </c>
      <c r="S119" s="1">
        <f t="shared" si="124"/>
        <v>0</v>
      </c>
      <c r="T119" s="1">
        <f t="shared" si="125"/>
        <v>0</v>
      </c>
      <c r="U119" s="1">
        <f t="shared" si="126"/>
        <v>0</v>
      </c>
      <c r="V119" s="1">
        <f t="shared" si="127"/>
        <v>0</v>
      </c>
      <c r="W119" s="1">
        <f t="shared" si="128"/>
        <v>0</v>
      </c>
      <c r="X119" s="1">
        <f t="shared" si="129"/>
        <v>0</v>
      </c>
      <c r="Y119" s="1">
        <f t="shared" si="130"/>
        <v>0</v>
      </c>
      <c r="Z119" s="1">
        <f t="shared" si="131"/>
        <v>0</v>
      </c>
      <c r="AA119" s="1">
        <f t="shared" si="132"/>
        <v>0</v>
      </c>
      <c r="AB119" s="1">
        <f t="shared" si="133"/>
        <v>0</v>
      </c>
      <c r="AC119" s="1">
        <f t="shared" si="134"/>
        <v>0</v>
      </c>
      <c r="AD119" s="1">
        <f t="shared" si="135"/>
        <v>0</v>
      </c>
      <c r="AE119" s="1">
        <f t="shared" si="136"/>
        <v>0</v>
      </c>
      <c r="AF119" s="1">
        <f t="shared" si="137"/>
        <v>0</v>
      </c>
      <c r="AG119" s="1">
        <f t="shared" si="138"/>
        <v>0</v>
      </c>
      <c r="AH119" s="1">
        <f t="shared" si="139"/>
        <v>0</v>
      </c>
      <c r="AI119" s="1">
        <f t="shared" si="140"/>
        <v>0</v>
      </c>
      <c r="AJ119" s="1">
        <f t="shared" si="141"/>
        <v>0</v>
      </c>
      <c r="AK119" s="1">
        <f t="shared" si="142"/>
        <v>0</v>
      </c>
      <c r="AL119" s="1">
        <f t="shared" si="143"/>
        <v>0</v>
      </c>
      <c r="AM119" s="1">
        <f t="shared" si="144"/>
        <v>0</v>
      </c>
      <c r="AN119" s="1">
        <f t="shared" si="145"/>
        <v>0</v>
      </c>
      <c r="AQ119" s="6">
        <v>2014</v>
      </c>
      <c r="AR119" s="6" t="s">
        <v>77</v>
      </c>
      <c r="AS119" s="6">
        <v>0.029</v>
      </c>
      <c r="AT119" s="6" t="s">
        <v>568</v>
      </c>
      <c r="AU119" s="6" t="s">
        <v>594</v>
      </c>
      <c r="AV119" t="str">
        <f t="shared" ref="AV119:AV150" si="146" xml:space="preserve">AV98</f>
        <v>Tra_EV_Batt-NCA_virgin</v>
      </c>
      <c r="AW119">
        <f t="shared" ref="AW119:AW150" si="147" xml:space="preserve">AW98</f>
        <v>0</v>
      </c>
      <c r="AX119">
        <f t="shared" ref="AX119:AX150" si="148" xml:space="preserve">AX98</f>
        <v>0</v>
      </c>
      <c r="AY119">
        <f t="shared" ref="AY119:AY150" si="149" xml:space="preserve">AY98</f>
        <v>0</v>
      </c>
      <c r="AZ119">
        <f t="shared" ref="AZ119:AZ150" si="150" xml:space="preserve">AZ98</f>
        <v>0</v>
      </c>
      <c r="BA119">
        <f t="shared" ref="BA119:BA150" si="151" xml:space="preserve">BA98</f>
        <v>0</v>
      </c>
      <c r="BB119">
        <f t="shared" ref="BB119:BB150" si="152" xml:space="preserve">BB98</f>
        <v>0</v>
      </c>
      <c r="BC119">
        <f t="shared" ref="BC119:BC150" si="153" xml:space="preserve">BC98</f>
        <v>0</v>
      </c>
      <c r="BD119">
        <f t="shared" ref="BD119:BD150" si="154" xml:space="preserve">BD98</f>
        <v>1.701</v>
      </c>
      <c r="BE119">
        <f t="shared" ref="BE119:BE150" si="155" xml:space="preserve">BE98</f>
        <v>0</v>
      </c>
      <c r="BF119">
        <f t="shared" ref="BF119:BF150" si="156" xml:space="preserve">BF98</f>
        <v>0</v>
      </c>
      <c r="BG119">
        <f t="shared" ref="BG119:BG150" si="157" xml:space="preserve">BG98</f>
        <v>0</v>
      </c>
      <c r="BH119">
        <f t="shared" ref="BH119:BH150" si="158" xml:space="preserve">BH98</f>
        <v>0</v>
      </c>
      <c r="BI119">
        <f t="shared" ref="BI119:BI150" si="159" xml:space="preserve">BI98</f>
        <v>0</v>
      </c>
      <c r="BJ119">
        <f t="shared" ref="BJ119:BJ150" si="160" xml:space="preserve">BJ98</f>
        <v>0</v>
      </c>
      <c r="BK119">
        <f t="shared" ref="BK119:BK150" si="161" xml:space="preserve">BK98</f>
        <v>0</v>
      </c>
      <c r="BL119">
        <f t="shared" ref="BL119:BL150" si="162" xml:space="preserve">BL98</f>
        <v>0</v>
      </c>
      <c r="BM119">
        <f t="shared" ref="BM119:BM150" si="163" xml:space="preserve">BM98</f>
        <v>0</v>
      </c>
      <c r="BN119">
        <f t="shared" ref="BN119:BN150" si="164" xml:space="preserve">BN98</f>
        <v>0</v>
      </c>
      <c r="BO119">
        <f t="shared" ref="BO119:BO150" si="165" xml:space="preserve">BO98</f>
        <v>0</v>
      </c>
      <c r="BP119">
        <f t="shared" ref="BP119:BP150" si="166" xml:space="preserve">BP98</f>
        <v>0</v>
      </c>
      <c r="BQ119">
        <f t="shared" ref="BQ119:BQ150" si="167" xml:space="preserve">BQ98</f>
        <v>0</v>
      </c>
      <c r="BR119">
        <f t="shared" ref="BR119:BR150" si="168" xml:space="preserve">BR98</f>
        <v>0</v>
      </c>
      <c r="BS119">
        <f t="shared" ref="BS119:BS150" si="169" xml:space="preserve">BS98</f>
        <v>0</v>
      </c>
      <c r="BT119">
        <f t="shared" ref="BT119:BT150" si="170" xml:space="preserve">BT98</f>
        <v>0</v>
      </c>
      <c r="BU119">
        <f t="shared" ref="BU119:BU150" si="171" xml:space="preserve">BU98</f>
        <v>0</v>
      </c>
      <c r="BV119">
        <f t="shared" ref="BV119:BV150" si="172" xml:space="preserve">BV98</f>
        <v>0</v>
      </c>
      <c r="BW119">
        <f t="shared" ref="BW119:BW150" si="173" xml:space="preserve">BW98</f>
        <v>0</v>
      </c>
      <c r="BX119">
        <f t="shared" ref="BX119:BX150" si="174" xml:space="preserve">BX98</f>
        <v>0</v>
      </c>
      <c r="BY119">
        <f t="shared" ref="BY119:BY150" si="175" xml:space="preserve">BY98</f>
        <v>0</v>
      </c>
      <c r="BZ119">
        <f t="shared" ref="BZ119:BZ150" si="176" xml:space="preserve">BZ98</f>
        <v>0</v>
      </c>
      <c r="CA119">
        <f t="shared" ref="CA119:CA150" si="177" xml:space="preserve">CA98</f>
        <v>0</v>
      </c>
      <c r="CB119">
        <f t="shared" ref="CB119:CB150" si="178" xml:space="preserve">CB98</f>
        <v>0</v>
      </c>
      <c r="CC119">
        <f t="shared" ref="CC119:CC150" si="179" xml:space="preserve">CC98</f>
        <v>0</v>
      </c>
      <c r="CD119">
        <f t="shared" ref="CD119:CD150" si="180" xml:space="preserve">CD98</f>
        <v>0</v>
      </c>
      <c r="CE119">
        <f t="shared" ref="CE119:CE150" si="181" xml:space="preserve">CE98</f>
        <v>0</v>
      </c>
      <c r="CG119" s="6">
        <v>2014</v>
      </c>
      <c r="CH119" s="6" t="s">
        <v>77</v>
      </c>
      <c r="CI119" s="6">
        <v>0.029</v>
      </c>
      <c r="CJ119" s="6">
        <v>0.042</v>
      </c>
      <c r="CK119" s="6" t="s">
        <v>595</v>
      </c>
      <c r="CL119" s="6" t="s">
        <v>596</v>
      </c>
      <c r="CM119" s="6" t="s">
        <v>597</v>
      </c>
    </row>
    <row r="120" spans="4:91">
      <c r="D120">
        <f t="shared" si="110"/>
        <v>2014</v>
      </c>
      <c r="E120" t="s">
        <v>73</v>
      </c>
      <c r="F120" s="1">
        <f t="shared" si="112"/>
        <v>5.8e-5</v>
      </c>
      <c r="G120" s="1">
        <f t="shared" si="113"/>
        <v>5.8e-5</v>
      </c>
      <c r="H120" s="1">
        <f t="shared" si="114"/>
        <v>0.001943</v>
      </c>
      <c r="I120" s="1">
        <f t="shared" si="115"/>
        <v>0.006148</v>
      </c>
      <c r="J120" s="1">
        <f t="shared" si="116"/>
        <v>0.000725</v>
      </c>
      <c r="K120" s="1">
        <f t="shared" si="117"/>
        <v>0.028304</v>
      </c>
      <c r="L120" s="1">
        <f t="shared" si="118"/>
        <v>0.000174</v>
      </c>
      <c r="M120" s="1">
        <f t="shared" si="111"/>
        <v>0.073979</v>
      </c>
      <c r="N120" s="1">
        <f t="shared" si="119"/>
        <v>0.000551</v>
      </c>
      <c r="O120" s="1">
        <f t="shared" si="120"/>
        <v>0.000638</v>
      </c>
      <c r="P120" s="1">
        <f t="shared" si="121"/>
        <v>0.037178</v>
      </c>
      <c r="Q120" s="1">
        <f t="shared" si="122"/>
        <v>0.033379</v>
      </c>
      <c r="R120" s="1">
        <f t="shared" si="123"/>
        <v>0.000116</v>
      </c>
      <c r="S120" s="1">
        <f t="shared" si="124"/>
        <v>0.00145</v>
      </c>
      <c r="T120" s="1">
        <f t="shared" si="125"/>
        <v>0.002436</v>
      </c>
      <c r="U120" s="1">
        <f t="shared" si="126"/>
        <v>0</v>
      </c>
      <c r="V120" s="1">
        <f t="shared" si="127"/>
        <v>0.001508</v>
      </c>
      <c r="W120" s="1">
        <f t="shared" si="128"/>
        <v>0.004147</v>
      </c>
      <c r="X120" s="1">
        <f t="shared" si="129"/>
        <v>0.020938</v>
      </c>
      <c r="Y120" s="1">
        <f t="shared" si="130"/>
        <v>0.000493</v>
      </c>
      <c r="Z120" s="1">
        <f t="shared" si="131"/>
        <v>0.000725</v>
      </c>
      <c r="AA120" s="1">
        <f t="shared" si="132"/>
        <v>1.283511</v>
      </c>
      <c r="AB120" s="1">
        <f t="shared" si="133"/>
        <v>0.106952</v>
      </c>
      <c r="AC120" s="1">
        <f t="shared" si="134"/>
        <v>0.000551</v>
      </c>
      <c r="AD120" s="1">
        <f t="shared" si="135"/>
        <v>0.031291</v>
      </c>
      <c r="AE120" s="1">
        <f t="shared" si="136"/>
        <v>0.000957</v>
      </c>
      <c r="AF120" s="1">
        <f t="shared" si="137"/>
        <v>2.9e-5</v>
      </c>
      <c r="AG120" s="1">
        <f t="shared" si="138"/>
        <v>0.000174</v>
      </c>
      <c r="AH120" s="1">
        <f t="shared" si="139"/>
        <v>0.009135</v>
      </c>
      <c r="AI120" s="1">
        <f t="shared" si="140"/>
        <v>0.015515</v>
      </c>
      <c r="AJ120" s="1">
        <f t="shared" si="141"/>
        <v>0.006032</v>
      </c>
      <c r="AK120" s="1">
        <f t="shared" si="142"/>
        <v>0.000174</v>
      </c>
      <c r="AL120" s="1">
        <f t="shared" si="143"/>
        <v>0.02813</v>
      </c>
      <c r="AM120" s="1">
        <f t="shared" si="144"/>
        <v>0.001073</v>
      </c>
      <c r="AN120" s="1">
        <f t="shared" si="145"/>
        <v>8.7e-5</v>
      </c>
      <c r="AQ120" s="6">
        <v>2014</v>
      </c>
      <c r="AR120" s="6" t="s">
        <v>73</v>
      </c>
      <c r="AS120" s="6">
        <v>0.029</v>
      </c>
      <c r="AT120" s="6" t="s">
        <v>568</v>
      </c>
      <c r="AU120" s="6" t="s">
        <v>594</v>
      </c>
      <c r="AV120" t="str">
        <f t="shared" si="146"/>
        <v>Tra_EV_Batt-LMO_virgin</v>
      </c>
      <c r="AW120">
        <f t="shared" si="147"/>
        <v>0.002</v>
      </c>
      <c r="AX120">
        <f t="shared" si="148"/>
        <v>0.002</v>
      </c>
      <c r="AY120">
        <f t="shared" si="149"/>
        <v>0.067</v>
      </c>
      <c r="AZ120">
        <f t="shared" si="150"/>
        <v>0.212</v>
      </c>
      <c r="BA120">
        <f t="shared" si="151"/>
        <v>0.025</v>
      </c>
      <c r="BB120">
        <f t="shared" si="152"/>
        <v>0.976</v>
      </c>
      <c r="BC120">
        <f t="shared" si="153"/>
        <v>0.006</v>
      </c>
      <c r="BD120">
        <f t="shared" si="154"/>
        <v>2.551</v>
      </c>
      <c r="BE120">
        <f t="shared" si="155"/>
        <v>0.019</v>
      </c>
      <c r="BF120">
        <f t="shared" si="156"/>
        <v>0.022</v>
      </c>
      <c r="BG120">
        <f t="shared" si="157"/>
        <v>1.282</v>
      </c>
      <c r="BH120">
        <f t="shared" si="158"/>
        <v>1.151</v>
      </c>
      <c r="BI120">
        <f t="shared" si="159"/>
        <v>0.004</v>
      </c>
      <c r="BJ120">
        <f t="shared" si="160"/>
        <v>0.05</v>
      </c>
      <c r="BK120">
        <f t="shared" si="161"/>
        <v>0.084</v>
      </c>
      <c r="BL120">
        <f t="shared" si="162"/>
        <v>0</v>
      </c>
      <c r="BM120">
        <f t="shared" si="163"/>
        <v>0.052</v>
      </c>
      <c r="BN120">
        <f t="shared" si="164"/>
        <v>0.143</v>
      </c>
      <c r="BO120">
        <f t="shared" si="165"/>
        <v>0.722</v>
      </c>
      <c r="BP120">
        <f t="shared" si="166"/>
        <v>0.017</v>
      </c>
      <c r="BQ120">
        <f t="shared" si="167"/>
        <v>0.025</v>
      </c>
      <c r="BR120">
        <f t="shared" si="168"/>
        <v>44.259</v>
      </c>
      <c r="BS120">
        <f t="shared" si="169"/>
        <v>3.688</v>
      </c>
      <c r="BT120">
        <f t="shared" si="170"/>
        <v>0.019</v>
      </c>
      <c r="BU120">
        <f t="shared" si="171"/>
        <v>1.079</v>
      </c>
      <c r="BV120">
        <f t="shared" si="172"/>
        <v>0.033</v>
      </c>
      <c r="BW120">
        <f t="shared" si="173"/>
        <v>0.001</v>
      </c>
      <c r="BX120">
        <f t="shared" si="174"/>
        <v>0.006</v>
      </c>
      <c r="BY120">
        <f t="shared" si="175"/>
        <v>0.315</v>
      </c>
      <c r="BZ120">
        <f t="shared" si="176"/>
        <v>0.535</v>
      </c>
      <c r="CA120">
        <f t="shared" si="177"/>
        <v>0.208</v>
      </c>
      <c r="CB120">
        <f t="shared" si="178"/>
        <v>0.006</v>
      </c>
      <c r="CC120">
        <f t="shared" si="179"/>
        <v>0.97</v>
      </c>
      <c r="CD120">
        <f t="shared" si="180"/>
        <v>0.037</v>
      </c>
      <c r="CE120">
        <f t="shared" si="181"/>
        <v>0.003</v>
      </c>
      <c r="CG120" s="6">
        <v>2014</v>
      </c>
      <c r="CH120" s="6" t="s">
        <v>73</v>
      </c>
      <c r="CI120" s="6">
        <v>0.029</v>
      </c>
      <c r="CJ120" s="6">
        <v>0.042</v>
      </c>
      <c r="CK120" s="6" t="s">
        <v>595</v>
      </c>
      <c r="CL120" s="6" t="s">
        <v>596</v>
      </c>
      <c r="CM120" s="6" t="s">
        <v>597</v>
      </c>
    </row>
    <row r="121" spans="4:91">
      <c r="D121">
        <f t="shared" si="110"/>
        <v>2014</v>
      </c>
      <c r="E121" t="s">
        <v>81</v>
      </c>
      <c r="F121" s="1">
        <f t="shared" si="112"/>
        <v>5.8e-5</v>
      </c>
      <c r="G121" s="1">
        <f t="shared" si="113"/>
        <v>5.8e-5</v>
      </c>
      <c r="H121" s="1">
        <f t="shared" si="114"/>
        <v>0.001943</v>
      </c>
      <c r="I121" s="1">
        <f t="shared" si="115"/>
        <v>0.006757</v>
      </c>
      <c r="J121" s="1">
        <f t="shared" si="116"/>
        <v>0.000725</v>
      </c>
      <c r="K121" s="1">
        <f t="shared" si="117"/>
        <v>0.030189</v>
      </c>
      <c r="L121" s="1">
        <f t="shared" si="118"/>
        <v>0.000174</v>
      </c>
      <c r="M121" s="1">
        <f t="shared" si="111"/>
        <v>0.049329</v>
      </c>
      <c r="N121" s="1">
        <f t="shared" si="119"/>
        <v>0.000551</v>
      </c>
      <c r="O121" s="1">
        <f t="shared" si="120"/>
        <v>0.000841</v>
      </c>
      <c r="P121" s="1">
        <f t="shared" si="121"/>
        <v>0.053911</v>
      </c>
      <c r="Q121" s="1">
        <f t="shared" si="122"/>
        <v>0.040136</v>
      </c>
      <c r="R121" s="1">
        <f t="shared" si="123"/>
        <v>0.000116</v>
      </c>
      <c r="S121" s="1">
        <f t="shared" si="124"/>
        <v>0.001653</v>
      </c>
      <c r="T121" s="1">
        <f t="shared" si="125"/>
        <v>0.002436</v>
      </c>
      <c r="U121" s="1">
        <f t="shared" si="126"/>
        <v>0.001218</v>
      </c>
      <c r="V121" s="1">
        <f t="shared" si="127"/>
        <v>0.001624</v>
      </c>
      <c r="W121" s="1">
        <f t="shared" si="128"/>
        <v>0.005162</v>
      </c>
      <c r="X121" s="1">
        <f t="shared" si="129"/>
        <v>0.118436</v>
      </c>
      <c r="Y121" s="1">
        <f t="shared" si="130"/>
        <v>0.000609</v>
      </c>
      <c r="Z121" s="1">
        <f t="shared" si="131"/>
        <v>0.000725</v>
      </c>
      <c r="AA121" s="1">
        <f t="shared" si="132"/>
        <v>0.219327</v>
      </c>
      <c r="AB121" s="1">
        <f t="shared" si="133"/>
        <v>0.063075</v>
      </c>
      <c r="AC121" s="1">
        <f t="shared" si="134"/>
        <v>0.000725</v>
      </c>
      <c r="AD121" s="1">
        <f t="shared" si="135"/>
        <v>0.006873</v>
      </c>
      <c r="AE121" s="1">
        <f t="shared" si="136"/>
        <v>0.000957</v>
      </c>
      <c r="AF121" s="1">
        <f t="shared" si="137"/>
        <v>2.9e-5</v>
      </c>
      <c r="AG121" s="1">
        <f t="shared" si="138"/>
        <v>0.000174</v>
      </c>
      <c r="AH121" s="1">
        <f t="shared" si="139"/>
        <v>0.010295</v>
      </c>
      <c r="AI121" s="1">
        <f t="shared" si="140"/>
        <v>0.017429</v>
      </c>
      <c r="AJ121" s="1">
        <f t="shared" si="141"/>
        <v>0.006641</v>
      </c>
      <c r="AK121" s="1">
        <f t="shared" si="142"/>
        <v>0.000174</v>
      </c>
      <c r="AL121" s="1">
        <f t="shared" si="143"/>
        <v>0.031204</v>
      </c>
      <c r="AM121" s="1">
        <f t="shared" si="144"/>
        <v>0.005945</v>
      </c>
      <c r="AN121" s="1">
        <f t="shared" si="145"/>
        <v>8.7e-5</v>
      </c>
      <c r="AQ121" s="6">
        <v>2014</v>
      </c>
      <c r="AR121" s="6" t="s">
        <v>81</v>
      </c>
      <c r="AS121" s="6">
        <v>0.029</v>
      </c>
      <c r="AT121" s="6" t="s">
        <v>568</v>
      </c>
      <c r="AU121" s="6" t="s">
        <v>594</v>
      </c>
      <c r="AV121" t="str">
        <f t="shared" si="146"/>
        <v>Tra_EV_Batt-NMC111_virgin</v>
      </c>
      <c r="AW121">
        <f t="shared" si="147"/>
        <v>0.002</v>
      </c>
      <c r="AX121">
        <f t="shared" si="148"/>
        <v>0.002</v>
      </c>
      <c r="AY121">
        <f t="shared" si="149"/>
        <v>0.067</v>
      </c>
      <c r="AZ121">
        <f t="shared" si="150"/>
        <v>0.233</v>
      </c>
      <c r="BA121">
        <f t="shared" si="151"/>
        <v>0.025</v>
      </c>
      <c r="BB121">
        <f t="shared" si="152"/>
        <v>1.041</v>
      </c>
      <c r="BC121">
        <f t="shared" si="153"/>
        <v>0.006</v>
      </c>
      <c r="BD121">
        <f t="shared" si="154"/>
        <v>1.701</v>
      </c>
      <c r="BE121">
        <f t="shared" si="155"/>
        <v>0.019</v>
      </c>
      <c r="BF121">
        <f t="shared" si="156"/>
        <v>0.029</v>
      </c>
      <c r="BG121">
        <f t="shared" si="157"/>
        <v>1.859</v>
      </c>
      <c r="BH121">
        <f t="shared" si="158"/>
        <v>1.384</v>
      </c>
      <c r="BI121">
        <f t="shared" si="159"/>
        <v>0.004</v>
      </c>
      <c r="BJ121">
        <f t="shared" si="160"/>
        <v>0.057</v>
      </c>
      <c r="BK121">
        <f t="shared" si="161"/>
        <v>0.084</v>
      </c>
      <c r="BL121">
        <f t="shared" si="162"/>
        <v>0.042</v>
      </c>
      <c r="BM121">
        <f t="shared" si="163"/>
        <v>0.056</v>
      </c>
      <c r="BN121">
        <f t="shared" si="164"/>
        <v>0.178</v>
      </c>
      <c r="BO121">
        <f t="shared" si="165"/>
        <v>4.084</v>
      </c>
      <c r="BP121">
        <f t="shared" si="166"/>
        <v>0.021</v>
      </c>
      <c r="BQ121">
        <f t="shared" si="167"/>
        <v>0.025</v>
      </c>
      <c r="BR121">
        <f t="shared" si="168"/>
        <v>7.563</v>
      </c>
      <c r="BS121">
        <f t="shared" si="169"/>
        <v>2.175</v>
      </c>
      <c r="BT121">
        <f t="shared" si="170"/>
        <v>0.025</v>
      </c>
      <c r="BU121">
        <f t="shared" si="171"/>
        <v>0.237</v>
      </c>
      <c r="BV121">
        <f t="shared" si="172"/>
        <v>0.033</v>
      </c>
      <c r="BW121">
        <f t="shared" si="173"/>
        <v>0.001</v>
      </c>
      <c r="BX121">
        <f t="shared" si="174"/>
        <v>0.006</v>
      </c>
      <c r="BY121">
        <f t="shared" si="175"/>
        <v>0.355</v>
      </c>
      <c r="BZ121">
        <f t="shared" si="176"/>
        <v>0.601</v>
      </c>
      <c r="CA121">
        <f t="shared" si="177"/>
        <v>0.229</v>
      </c>
      <c r="CB121">
        <f t="shared" si="178"/>
        <v>0.006</v>
      </c>
      <c r="CC121">
        <f t="shared" si="179"/>
        <v>1.076</v>
      </c>
      <c r="CD121">
        <f t="shared" si="180"/>
        <v>0.205</v>
      </c>
      <c r="CE121">
        <f t="shared" si="181"/>
        <v>0.003</v>
      </c>
      <c r="CG121" s="6">
        <v>2014</v>
      </c>
      <c r="CH121" s="6" t="s">
        <v>81</v>
      </c>
      <c r="CI121" s="6">
        <v>0.029</v>
      </c>
      <c r="CJ121" s="6">
        <v>0.042</v>
      </c>
      <c r="CK121" s="6" t="s">
        <v>595</v>
      </c>
      <c r="CL121" s="6" t="s">
        <v>596</v>
      </c>
      <c r="CM121" s="6" t="s">
        <v>597</v>
      </c>
    </row>
    <row r="122" spans="4:91">
      <c r="D122">
        <f t="shared" si="110"/>
        <v>2014</v>
      </c>
      <c r="E122" t="s">
        <v>69</v>
      </c>
      <c r="F122" s="1">
        <f t="shared" si="112"/>
        <v>0</v>
      </c>
      <c r="G122" s="1">
        <f t="shared" si="113"/>
        <v>0</v>
      </c>
      <c r="H122" s="1">
        <f t="shared" si="114"/>
        <v>0.000116</v>
      </c>
      <c r="I122" s="1">
        <f t="shared" si="115"/>
        <v>0.00029</v>
      </c>
      <c r="J122" s="1">
        <f t="shared" si="116"/>
        <v>0.000116</v>
      </c>
      <c r="K122" s="1">
        <f t="shared" si="117"/>
        <v>0.003016</v>
      </c>
      <c r="L122" s="1">
        <f t="shared" si="118"/>
        <v>0.00029</v>
      </c>
      <c r="M122" s="1">
        <f t="shared" si="111"/>
        <v>3.544902</v>
      </c>
      <c r="N122" s="1">
        <f t="shared" si="119"/>
        <v>0</v>
      </c>
      <c r="O122" s="1">
        <f t="shared" si="120"/>
        <v>0.00029</v>
      </c>
      <c r="P122" s="1">
        <f t="shared" si="121"/>
        <v>0.001827</v>
      </c>
      <c r="Q122" s="1">
        <f t="shared" si="122"/>
        <v>0.001508</v>
      </c>
      <c r="R122" s="1">
        <f t="shared" si="123"/>
        <v>0</v>
      </c>
      <c r="S122" s="1">
        <f t="shared" si="124"/>
        <v>0.00029</v>
      </c>
      <c r="T122" s="1">
        <f t="shared" si="125"/>
        <v>0</v>
      </c>
      <c r="U122" s="1">
        <f t="shared" si="126"/>
        <v>0.003625</v>
      </c>
      <c r="V122" s="1">
        <f t="shared" si="127"/>
        <v>0</v>
      </c>
      <c r="W122" s="1">
        <f t="shared" si="128"/>
        <v>0.000609</v>
      </c>
      <c r="X122" s="1">
        <f t="shared" si="129"/>
        <v>0.00029</v>
      </c>
      <c r="Y122" s="1">
        <f t="shared" si="130"/>
        <v>0.001363</v>
      </c>
      <c r="Z122" s="1">
        <f t="shared" si="131"/>
        <v>0.000116</v>
      </c>
      <c r="AA122" s="1">
        <f t="shared" si="132"/>
        <v>0.004263</v>
      </c>
      <c r="AB122" s="1">
        <f t="shared" si="133"/>
        <v>0.000609</v>
      </c>
      <c r="AC122" s="1">
        <f t="shared" si="134"/>
        <v>0.001653</v>
      </c>
      <c r="AD122" s="1">
        <f t="shared" si="135"/>
        <v>0.001827</v>
      </c>
      <c r="AE122" s="1">
        <f t="shared" si="136"/>
        <v>0.00058</v>
      </c>
      <c r="AF122" s="1">
        <f t="shared" si="137"/>
        <v>0</v>
      </c>
      <c r="AG122" s="1">
        <f t="shared" si="138"/>
        <v>0</v>
      </c>
      <c r="AH122" s="1">
        <f t="shared" si="139"/>
        <v>0.000899</v>
      </c>
      <c r="AI122" s="1">
        <f t="shared" si="140"/>
        <v>0.001827</v>
      </c>
      <c r="AJ122" s="1">
        <f t="shared" si="141"/>
        <v>0.00029</v>
      </c>
      <c r="AK122" s="1">
        <f t="shared" si="142"/>
        <v>0.00029</v>
      </c>
      <c r="AL122" s="1">
        <f t="shared" si="143"/>
        <v>0.002436</v>
      </c>
      <c r="AM122" s="1">
        <f t="shared" si="144"/>
        <v>0</v>
      </c>
      <c r="AN122" s="1">
        <f t="shared" si="145"/>
        <v>0</v>
      </c>
      <c r="AQ122" s="6">
        <v>2014</v>
      </c>
      <c r="AR122" s="6" t="s">
        <v>69</v>
      </c>
      <c r="AS122" s="6">
        <v>0.029</v>
      </c>
      <c r="AT122" s="6" t="s">
        <v>568</v>
      </c>
      <c r="AU122" s="6" t="s">
        <v>594</v>
      </c>
      <c r="AV122" t="str">
        <f t="shared" si="146"/>
        <v>Tra_EV_Batt-LFP_virgin_pack</v>
      </c>
      <c r="AW122">
        <f t="shared" si="147"/>
        <v>0</v>
      </c>
      <c r="AX122">
        <f t="shared" si="148"/>
        <v>0</v>
      </c>
      <c r="AY122">
        <f t="shared" si="149"/>
        <v>0.004</v>
      </c>
      <c r="AZ122">
        <f t="shared" si="150"/>
        <v>0.01</v>
      </c>
      <c r="BA122">
        <f t="shared" si="151"/>
        <v>0.004</v>
      </c>
      <c r="BB122">
        <f t="shared" si="152"/>
        <v>0.104</v>
      </c>
      <c r="BC122">
        <f t="shared" si="153"/>
        <v>0.01</v>
      </c>
      <c r="BD122">
        <f t="shared" si="154"/>
        <v>122.238</v>
      </c>
      <c r="BE122">
        <f t="shared" si="155"/>
        <v>0</v>
      </c>
      <c r="BF122">
        <f t="shared" si="156"/>
        <v>0.01</v>
      </c>
      <c r="BG122">
        <f t="shared" si="157"/>
        <v>0.063</v>
      </c>
      <c r="BH122">
        <f t="shared" si="158"/>
        <v>0.052</v>
      </c>
      <c r="BI122">
        <f t="shared" si="159"/>
        <v>0</v>
      </c>
      <c r="BJ122">
        <f t="shared" si="160"/>
        <v>0.01</v>
      </c>
      <c r="BK122">
        <f t="shared" si="161"/>
        <v>0</v>
      </c>
      <c r="BL122">
        <f t="shared" si="162"/>
        <v>0.125</v>
      </c>
      <c r="BM122">
        <f t="shared" si="163"/>
        <v>0</v>
      </c>
      <c r="BN122">
        <f t="shared" si="164"/>
        <v>0.021</v>
      </c>
      <c r="BO122">
        <f t="shared" si="165"/>
        <v>0.01</v>
      </c>
      <c r="BP122">
        <f t="shared" si="166"/>
        <v>0.047</v>
      </c>
      <c r="BQ122">
        <f t="shared" si="167"/>
        <v>0.004</v>
      </c>
      <c r="BR122">
        <f t="shared" si="168"/>
        <v>0.147</v>
      </c>
      <c r="BS122">
        <f t="shared" si="169"/>
        <v>0.021</v>
      </c>
      <c r="BT122">
        <f t="shared" si="170"/>
        <v>0.057</v>
      </c>
      <c r="BU122">
        <f t="shared" si="171"/>
        <v>0.063</v>
      </c>
      <c r="BV122">
        <f t="shared" si="172"/>
        <v>0.02</v>
      </c>
      <c r="BW122">
        <f t="shared" si="173"/>
        <v>0</v>
      </c>
      <c r="BX122">
        <f t="shared" si="174"/>
        <v>0</v>
      </c>
      <c r="BY122">
        <f t="shared" si="175"/>
        <v>0.031</v>
      </c>
      <c r="BZ122">
        <f t="shared" si="176"/>
        <v>0.063</v>
      </c>
      <c r="CA122">
        <f t="shared" si="177"/>
        <v>0.01</v>
      </c>
      <c r="CB122">
        <f t="shared" si="178"/>
        <v>0.01</v>
      </c>
      <c r="CC122">
        <f t="shared" si="179"/>
        <v>0.084</v>
      </c>
      <c r="CD122">
        <f t="shared" si="180"/>
        <v>0</v>
      </c>
      <c r="CE122">
        <f t="shared" si="181"/>
        <v>0</v>
      </c>
      <c r="CG122" s="6">
        <v>2014</v>
      </c>
      <c r="CH122" s="6" t="s">
        <v>69</v>
      </c>
      <c r="CI122" s="6">
        <v>0.029</v>
      </c>
      <c r="CJ122" s="6">
        <v>0.042</v>
      </c>
      <c r="CK122" s="6" t="s">
        <v>595</v>
      </c>
      <c r="CL122" s="6" t="s">
        <v>596</v>
      </c>
      <c r="CM122" s="6" t="s">
        <v>597</v>
      </c>
    </row>
    <row r="123" spans="4:91">
      <c r="D123">
        <f t="shared" si="110"/>
        <v>2014</v>
      </c>
      <c r="E123" t="s">
        <v>91</v>
      </c>
      <c r="F123" s="1">
        <f t="shared" si="112"/>
        <v>8.7e-5</v>
      </c>
      <c r="G123" s="1">
        <f t="shared" si="113"/>
        <v>8.7e-5</v>
      </c>
      <c r="H123" s="1">
        <f t="shared" si="114"/>
        <v>0.002958</v>
      </c>
      <c r="I123" s="1">
        <f t="shared" si="115"/>
        <v>0.009918</v>
      </c>
      <c r="J123" s="1">
        <f t="shared" si="116"/>
        <v>0.001131</v>
      </c>
      <c r="K123" s="1">
        <f t="shared" si="117"/>
        <v>0.045356</v>
      </c>
      <c r="L123" s="1">
        <f t="shared" si="118"/>
        <v>0.000348</v>
      </c>
      <c r="M123" s="1">
        <f t="shared" si="111"/>
        <v>0.61074</v>
      </c>
      <c r="N123" s="1">
        <f t="shared" si="119"/>
        <v>0.000812</v>
      </c>
      <c r="O123" s="1">
        <f t="shared" si="120"/>
        <v>0.001276</v>
      </c>
      <c r="P123" s="1">
        <f t="shared" si="121"/>
        <v>0.07308</v>
      </c>
      <c r="Q123" s="1">
        <f t="shared" si="122"/>
        <v>0.057333</v>
      </c>
      <c r="R123" s="1">
        <f t="shared" si="123"/>
        <v>0.000174</v>
      </c>
      <c r="S123" s="1">
        <f t="shared" si="124"/>
        <v>0.002465</v>
      </c>
      <c r="T123" s="1">
        <f t="shared" si="125"/>
        <v>0.003625</v>
      </c>
      <c r="U123" s="1">
        <f t="shared" si="126"/>
        <v>0.00203</v>
      </c>
      <c r="V123" s="1">
        <f t="shared" si="127"/>
        <v>0.002378</v>
      </c>
      <c r="W123" s="1">
        <f t="shared" si="128"/>
        <v>0.007424</v>
      </c>
      <c r="X123" s="1">
        <f t="shared" si="129"/>
        <v>0.066207</v>
      </c>
      <c r="Y123" s="1">
        <f t="shared" si="130"/>
        <v>0.001305</v>
      </c>
      <c r="Z123" s="1">
        <f t="shared" si="131"/>
        <v>0.001131</v>
      </c>
      <c r="AA123" s="1">
        <f t="shared" si="132"/>
        <v>0.200999</v>
      </c>
      <c r="AB123" s="1">
        <f t="shared" si="133"/>
        <v>0.078532</v>
      </c>
      <c r="AC123" s="1">
        <f t="shared" si="134"/>
        <v>0.001537</v>
      </c>
      <c r="AD123" s="1">
        <f t="shared" si="135"/>
        <v>0.013746</v>
      </c>
      <c r="AE123" s="1">
        <f t="shared" si="136"/>
        <v>0.001624</v>
      </c>
      <c r="AF123" s="1">
        <f t="shared" si="137"/>
        <v>5.8e-5</v>
      </c>
      <c r="AG123" s="1">
        <f t="shared" si="138"/>
        <v>0.000261</v>
      </c>
      <c r="AH123" s="1">
        <f t="shared" si="139"/>
        <v>0.015167</v>
      </c>
      <c r="AI123" s="1">
        <f t="shared" si="140"/>
        <v>0.02581</v>
      </c>
      <c r="AJ123" s="1">
        <f t="shared" si="141"/>
        <v>0.009773</v>
      </c>
      <c r="AK123" s="1">
        <f t="shared" si="142"/>
        <v>0.000348</v>
      </c>
      <c r="AL123" s="1">
        <f t="shared" si="143"/>
        <v>0.046081</v>
      </c>
      <c r="AM123" s="1">
        <f t="shared" si="144"/>
        <v>0.003248</v>
      </c>
      <c r="AN123" s="1">
        <f t="shared" si="145"/>
        <v>0.000145</v>
      </c>
      <c r="AQ123" s="6">
        <v>2014</v>
      </c>
      <c r="AR123" s="6" t="s">
        <v>91</v>
      </c>
      <c r="AS123" s="6">
        <v>0.029</v>
      </c>
      <c r="AT123" s="6" t="s">
        <v>568</v>
      </c>
      <c r="AU123" s="6" t="s">
        <v>594</v>
      </c>
      <c r="AV123" t="str">
        <f t="shared" si="146"/>
        <v>Tra_EV_Batt-NMC622_virgin_pack</v>
      </c>
      <c r="AW123">
        <f t="shared" si="147"/>
        <v>0.003</v>
      </c>
      <c r="AX123">
        <f t="shared" si="148"/>
        <v>0.003</v>
      </c>
      <c r="AY123">
        <f t="shared" si="149"/>
        <v>0.102</v>
      </c>
      <c r="AZ123">
        <f t="shared" si="150"/>
        <v>0.342</v>
      </c>
      <c r="BA123">
        <f t="shared" si="151"/>
        <v>0.039</v>
      </c>
      <c r="BB123">
        <f t="shared" si="152"/>
        <v>1.564</v>
      </c>
      <c r="BC123">
        <f t="shared" si="153"/>
        <v>0.012</v>
      </c>
      <c r="BD123">
        <f t="shared" si="154"/>
        <v>21.06</v>
      </c>
      <c r="BE123">
        <f t="shared" si="155"/>
        <v>0.028</v>
      </c>
      <c r="BF123">
        <f t="shared" si="156"/>
        <v>0.044</v>
      </c>
      <c r="BG123">
        <f t="shared" si="157"/>
        <v>2.52</v>
      </c>
      <c r="BH123">
        <f t="shared" si="158"/>
        <v>1.977</v>
      </c>
      <c r="BI123">
        <f t="shared" si="159"/>
        <v>0.006</v>
      </c>
      <c r="BJ123">
        <f t="shared" si="160"/>
        <v>0.085</v>
      </c>
      <c r="BK123">
        <f t="shared" si="161"/>
        <v>0.125</v>
      </c>
      <c r="BL123">
        <f t="shared" si="162"/>
        <v>0.07</v>
      </c>
      <c r="BM123">
        <f t="shared" si="163"/>
        <v>0.082</v>
      </c>
      <c r="BN123">
        <f t="shared" si="164"/>
        <v>0.256</v>
      </c>
      <c r="BO123">
        <f t="shared" si="165"/>
        <v>2.283</v>
      </c>
      <c r="BP123">
        <f t="shared" si="166"/>
        <v>0.045</v>
      </c>
      <c r="BQ123">
        <f t="shared" si="167"/>
        <v>0.039</v>
      </c>
      <c r="BR123">
        <f t="shared" si="168"/>
        <v>6.931</v>
      </c>
      <c r="BS123">
        <f t="shared" si="169"/>
        <v>2.708</v>
      </c>
      <c r="BT123">
        <f t="shared" si="170"/>
        <v>0.053</v>
      </c>
      <c r="BU123">
        <f t="shared" si="171"/>
        <v>0.474</v>
      </c>
      <c r="BV123">
        <f t="shared" si="172"/>
        <v>0.056</v>
      </c>
      <c r="BW123">
        <f t="shared" si="173"/>
        <v>0.002</v>
      </c>
      <c r="BX123">
        <f t="shared" si="174"/>
        <v>0.009</v>
      </c>
      <c r="BY123">
        <f t="shared" si="175"/>
        <v>0.523</v>
      </c>
      <c r="BZ123">
        <f t="shared" si="176"/>
        <v>0.89</v>
      </c>
      <c r="CA123">
        <f t="shared" si="177"/>
        <v>0.337</v>
      </c>
      <c r="CB123">
        <f t="shared" si="178"/>
        <v>0.012</v>
      </c>
      <c r="CC123">
        <f t="shared" si="179"/>
        <v>1.589</v>
      </c>
      <c r="CD123">
        <f t="shared" si="180"/>
        <v>0.112</v>
      </c>
      <c r="CE123">
        <f t="shared" si="181"/>
        <v>0.005</v>
      </c>
      <c r="CG123" s="6">
        <v>2014</v>
      </c>
      <c r="CH123" s="6" t="s">
        <v>91</v>
      </c>
      <c r="CI123" s="6">
        <v>0.029</v>
      </c>
      <c r="CJ123" s="6">
        <v>0.042</v>
      </c>
      <c r="CK123" s="6" t="s">
        <v>595</v>
      </c>
      <c r="CL123" s="6" t="s">
        <v>596</v>
      </c>
      <c r="CM123" s="6" t="s">
        <v>597</v>
      </c>
    </row>
    <row r="124" spans="4:91">
      <c r="D124">
        <f t="shared" si="110"/>
        <v>2014</v>
      </c>
      <c r="E124" t="s">
        <v>95</v>
      </c>
      <c r="F124" s="1">
        <f t="shared" si="112"/>
        <v>8.7e-5</v>
      </c>
      <c r="G124" s="1">
        <f t="shared" si="113"/>
        <v>8.7e-5</v>
      </c>
      <c r="H124" s="1">
        <f t="shared" si="114"/>
        <v>0.002465</v>
      </c>
      <c r="I124" s="1">
        <f t="shared" si="115"/>
        <v>0.008091</v>
      </c>
      <c r="J124" s="1">
        <f t="shared" si="116"/>
        <v>0.000957</v>
      </c>
      <c r="K124" s="1">
        <f t="shared" si="117"/>
        <v>0.037323</v>
      </c>
      <c r="L124" s="1">
        <f t="shared" si="118"/>
        <v>0.00029</v>
      </c>
      <c r="M124" s="1">
        <f t="shared" si="111"/>
        <v>1.322081</v>
      </c>
      <c r="N124" s="1">
        <f t="shared" si="119"/>
        <v>0.000696</v>
      </c>
      <c r="O124" s="1">
        <f t="shared" si="120"/>
        <v>0.001015</v>
      </c>
      <c r="P124" s="1">
        <f t="shared" si="121"/>
        <v>0.055419</v>
      </c>
      <c r="Q124" s="1">
        <f t="shared" si="122"/>
        <v>0.045617</v>
      </c>
      <c r="R124" s="1">
        <f t="shared" si="123"/>
        <v>0.000145</v>
      </c>
      <c r="S124" s="1">
        <f t="shared" si="124"/>
        <v>0.002001</v>
      </c>
      <c r="T124" s="1">
        <f t="shared" si="125"/>
        <v>0.003016</v>
      </c>
      <c r="U124" s="1">
        <f t="shared" si="126"/>
        <v>0.000203</v>
      </c>
      <c r="V124" s="1">
        <f t="shared" si="127"/>
        <v>0.001943</v>
      </c>
      <c r="W124" s="1">
        <f t="shared" si="128"/>
        <v>0.005887</v>
      </c>
      <c r="X124" s="1">
        <f t="shared" si="129"/>
        <v>0.012238</v>
      </c>
      <c r="Y124" s="1">
        <f t="shared" si="130"/>
        <v>0.001131</v>
      </c>
      <c r="Z124" s="1">
        <f t="shared" si="131"/>
        <v>0.000957</v>
      </c>
      <c r="AA124" s="1">
        <f t="shared" si="132"/>
        <v>0.140708</v>
      </c>
      <c r="AB124" s="1">
        <f t="shared" si="133"/>
        <v>0.047009</v>
      </c>
      <c r="AC124" s="1">
        <f t="shared" si="134"/>
        <v>0.001334</v>
      </c>
      <c r="AD124" s="1">
        <f t="shared" si="135"/>
        <v>0.044718</v>
      </c>
      <c r="AE124" s="1">
        <f t="shared" si="136"/>
        <v>0.001392</v>
      </c>
      <c r="AF124" s="1">
        <f t="shared" si="137"/>
        <v>2.9e-5</v>
      </c>
      <c r="AG124" s="1">
        <f t="shared" si="138"/>
        <v>0.000203</v>
      </c>
      <c r="AH124" s="1">
        <f t="shared" si="139"/>
        <v>0.012296</v>
      </c>
      <c r="AI124" s="1">
        <f t="shared" si="140"/>
        <v>0.020967</v>
      </c>
      <c r="AJ124" s="1">
        <f t="shared" si="141"/>
        <v>0.007975</v>
      </c>
      <c r="AK124" s="1">
        <f t="shared" si="142"/>
        <v>0.000319</v>
      </c>
      <c r="AL124" s="1">
        <f t="shared" si="143"/>
        <v>0.037497</v>
      </c>
      <c r="AM124" s="1">
        <f t="shared" si="144"/>
        <v>0.000551</v>
      </c>
      <c r="AN124" s="1">
        <f t="shared" si="145"/>
        <v>0.000116</v>
      </c>
      <c r="AQ124" s="6">
        <v>2014</v>
      </c>
      <c r="AR124" s="6" t="s">
        <v>95</v>
      </c>
      <c r="AS124" s="6">
        <v>0.029</v>
      </c>
      <c r="AT124" s="6" t="s">
        <v>568</v>
      </c>
      <c r="AU124" s="6" t="s">
        <v>594</v>
      </c>
      <c r="AV124" t="str">
        <f t="shared" si="146"/>
        <v>Tra_EV_Batt-NMC811_virgin_pack</v>
      </c>
      <c r="AW124">
        <f t="shared" si="147"/>
        <v>0.003</v>
      </c>
      <c r="AX124">
        <f t="shared" si="148"/>
        <v>0.003</v>
      </c>
      <c r="AY124">
        <f t="shared" si="149"/>
        <v>0.085</v>
      </c>
      <c r="AZ124">
        <f t="shared" si="150"/>
        <v>0.279</v>
      </c>
      <c r="BA124">
        <f t="shared" si="151"/>
        <v>0.033</v>
      </c>
      <c r="BB124">
        <f t="shared" si="152"/>
        <v>1.287</v>
      </c>
      <c r="BC124">
        <f t="shared" si="153"/>
        <v>0.01</v>
      </c>
      <c r="BD124">
        <f t="shared" si="154"/>
        <v>45.589</v>
      </c>
      <c r="BE124">
        <f t="shared" si="155"/>
        <v>0.024</v>
      </c>
      <c r="BF124">
        <f t="shared" si="156"/>
        <v>0.035</v>
      </c>
      <c r="BG124">
        <f t="shared" si="157"/>
        <v>1.911</v>
      </c>
      <c r="BH124">
        <f t="shared" si="158"/>
        <v>1.573</v>
      </c>
      <c r="BI124">
        <f t="shared" si="159"/>
        <v>0.005</v>
      </c>
      <c r="BJ124">
        <f t="shared" si="160"/>
        <v>0.069</v>
      </c>
      <c r="BK124">
        <f t="shared" si="161"/>
        <v>0.104</v>
      </c>
      <c r="BL124">
        <f t="shared" si="162"/>
        <v>0.007</v>
      </c>
      <c r="BM124">
        <f t="shared" si="163"/>
        <v>0.067</v>
      </c>
      <c r="BN124">
        <f t="shared" si="164"/>
        <v>0.203</v>
      </c>
      <c r="BO124">
        <f t="shared" si="165"/>
        <v>0.422</v>
      </c>
      <c r="BP124">
        <f t="shared" si="166"/>
        <v>0.039</v>
      </c>
      <c r="BQ124">
        <f t="shared" si="167"/>
        <v>0.033</v>
      </c>
      <c r="BR124">
        <f t="shared" si="168"/>
        <v>4.852</v>
      </c>
      <c r="BS124">
        <f t="shared" si="169"/>
        <v>1.621</v>
      </c>
      <c r="BT124">
        <f t="shared" si="170"/>
        <v>0.046</v>
      </c>
      <c r="BU124">
        <f t="shared" si="171"/>
        <v>1.542</v>
      </c>
      <c r="BV124">
        <f t="shared" si="172"/>
        <v>0.048</v>
      </c>
      <c r="BW124">
        <f t="shared" si="173"/>
        <v>0.001</v>
      </c>
      <c r="BX124">
        <f t="shared" si="174"/>
        <v>0.007</v>
      </c>
      <c r="BY124">
        <f t="shared" si="175"/>
        <v>0.424</v>
      </c>
      <c r="BZ124">
        <f t="shared" si="176"/>
        <v>0.723</v>
      </c>
      <c r="CA124">
        <f t="shared" si="177"/>
        <v>0.275</v>
      </c>
      <c r="CB124">
        <f t="shared" si="178"/>
        <v>0.011</v>
      </c>
      <c r="CC124">
        <f t="shared" si="179"/>
        <v>1.293</v>
      </c>
      <c r="CD124">
        <f t="shared" si="180"/>
        <v>0.019</v>
      </c>
      <c r="CE124">
        <f t="shared" si="181"/>
        <v>0.004</v>
      </c>
      <c r="CG124" s="6">
        <v>2014</v>
      </c>
      <c r="CH124" s="6" t="s">
        <v>95</v>
      </c>
      <c r="CI124" s="6">
        <v>0.029</v>
      </c>
      <c r="CJ124" s="6">
        <v>0.042</v>
      </c>
      <c r="CK124" s="6" t="s">
        <v>595</v>
      </c>
      <c r="CL124" s="6" t="s">
        <v>596</v>
      </c>
      <c r="CM124" s="6" t="s">
        <v>597</v>
      </c>
    </row>
    <row r="125" spans="4:91">
      <c r="D125">
        <f t="shared" si="110"/>
        <v>2014</v>
      </c>
      <c r="E125" t="s">
        <v>87</v>
      </c>
      <c r="F125" s="1">
        <f t="shared" si="112"/>
        <v>2.9e-5</v>
      </c>
      <c r="G125" s="1">
        <f t="shared" si="113"/>
        <v>2.9e-5</v>
      </c>
      <c r="H125" s="1">
        <f t="shared" si="114"/>
        <v>0.000493</v>
      </c>
      <c r="I125" s="1">
        <f t="shared" si="115"/>
        <v>0.001537</v>
      </c>
      <c r="J125" s="1">
        <f t="shared" si="116"/>
        <v>0.000174</v>
      </c>
      <c r="K125" s="1">
        <f t="shared" si="117"/>
        <v>0.007076</v>
      </c>
      <c r="L125" s="1">
        <f t="shared" si="118"/>
        <v>2.9e-5</v>
      </c>
      <c r="M125" s="1">
        <f t="shared" si="111"/>
        <v>0.272339</v>
      </c>
      <c r="N125" s="1">
        <f t="shared" si="119"/>
        <v>0.000145</v>
      </c>
      <c r="O125" s="1">
        <f t="shared" si="120"/>
        <v>0.000174</v>
      </c>
      <c r="P125" s="1">
        <f t="shared" si="121"/>
        <v>0.00928</v>
      </c>
      <c r="Q125" s="1">
        <f t="shared" si="122"/>
        <v>0.008352</v>
      </c>
      <c r="R125" s="1">
        <f t="shared" si="123"/>
        <v>2.9e-5</v>
      </c>
      <c r="S125" s="1">
        <f t="shared" si="124"/>
        <v>0.000348</v>
      </c>
      <c r="T125" s="1">
        <f t="shared" si="125"/>
        <v>0.000609</v>
      </c>
      <c r="U125" s="1">
        <f t="shared" si="126"/>
        <v>0</v>
      </c>
      <c r="V125" s="1">
        <f t="shared" si="127"/>
        <v>0.000377</v>
      </c>
      <c r="W125" s="1">
        <f t="shared" si="128"/>
        <v>0.001044</v>
      </c>
      <c r="X125" s="1">
        <f t="shared" si="129"/>
        <v>0</v>
      </c>
      <c r="Y125" s="1">
        <f t="shared" si="130"/>
        <v>0.000116</v>
      </c>
      <c r="Z125" s="1">
        <f t="shared" si="131"/>
        <v>0.000174</v>
      </c>
      <c r="AA125" s="1">
        <f t="shared" si="132"/>
        <v>0.138214</v>
      </c>
      <c r="AB125" s="1">
        <f t="shared" si="133"/>
        <v>0.015283</v>
      </c>
      <c r="AC125" s="1">
        <f t="shared" si="134"/>
        <v>0.000145</v>
      </c>
      <c r="AD125" s="1">
        <f t="shared" si="135"/>
        <v>0.031291</v>
      </c>
      <c r="AE125" s="1">
        <f t="shared" si="136"/>
        <v>0.000232</v>
      </c>
      <c r="AF125" s="1">
        <f t="shared" si="137"/>
        <v>0</v>
      </c>
      <c r="AG125" s="1">
        <f t="shared" si="138"/>
        <v>2.9e-5</v>
      </c>
      <c r="AH125" s="1">
        <f t="shared" si="139"/>
        <v>0.002291</v>
      </c>
      <c r="AI125" s="1">
        <f t="shared" si="140"/>
        <v>0.003886</v>
      </c>
      <c r="AJ125" s="1">
        <f t="shared" si="141"/>
        <v>0.001508</v>
      </c>
      <c r="AK125" s="1">
        <f t="shared" si="142"/>
        <v>5.8e-5</v>
      </c>
      <c r="AL125" s="1">
        <f t="shared" si="143"/>
        <v>0.007047</v>
      </c>
      <c r="AM125" s="1">
        <f t="shared" si="144"/>
        <v>0</v>
      </c>
      <c r="AN125" s="1">
        <f t="shared" si="145"/>
        <v>2.9e-5</v>
      </c>
      <c r="AQ125" s="6">
        <v>2014</v>
      </c>
      <c r="AR125" s="6" t="s">
        <v>87</v>
      </c>
      <c r="AS125" s="6">
        <v>0.029</v>
      </c>
      <c r="AT125" s="6" t="s">
        <v>568</v>
      </c>
      <c r="AU125" s="6" t="s">
        <v>594</v>
      </c>
      <c r="AV125" t="str">
        <f t="shared" si="146"/>
        <v> Tra_EV_Batt-NMC532_virgin_pack</v>
      </c>
      <c r="AW125">
        <f t="shared" si="147"/>
        <v>0.001</v>
      </c>
      <c r="AX125">
        <f t="shared" si="148"/>
        <v>0.001</v>
      </c>
      <c r="AY125">
        <f t="shared" si="149"/>
        <v>0.017</v>
      </c>
      <c r="AZ125">
        <f t="shared" si="150"/>
        <v>0.053</v>
      </c>
      <c r="BA125">
        <f t="shared" si="151"/>
        <v>0.006</v>
      </c>
      <c r="BB125">
        <f t="shared" si="152"/>
        <v>0.244</v>
      </c>
      <c r="BC125">
        <f t="shared" si="153"/>
        <v>0.001</v>
      </c>
      <c r="BD125">
        <f t="shared" si="154"/>
        <v>9.391</v>
      </c>
      <c r="BE125">
        <f t="shared" si="155"/>
        <v>0.005</v>
      </c>
      <c r="BF125">
        <f t="shared" si="156"/>
        <v>0.006</v>
      </c>
      <c r="BG125">
        <f t="shared" si="157"/>
        <v>0.32</v>
      </c>
      <c r="BH125">
        <f t="shared" si="158"/>
        <v>0.288</v>
      </c>
      <c r="BI125">
        <f t="shared" si="159"/>
        <v>0.001</v>
      </c>
      <c r="BJ125">
        <f t="shared" si="160"/>
        <v>0.012</v>
      </c>
      <c r="BK125">
        <f t="shared" si="161"/>
        <v>0.021</v>
      </c>
      <c r="BL125">
        <f t="shared" si="162"/>
        <v>0</v>
      </c>
      <c r="BM125">
        <f t="shared" si="163"/>
        <v>0.013</v>
      </c>
      <c r="BN125">
        <f t="shared" si="164"/>
        <v>0.036</v>
      </c>
      <c r="BO125">
        <f t="shared" si="165"/>
        <v>0</v>
      </c>
      <c r="BP125">
        <f t="shared" si="166"/>
        <v>0.004</v>
      </c>
      <c r="BQ125">
        <f t="shared" si="167"/>
        <v>0.006</v>
      </c>
      <c r="BR125">
        <f t="shared" si="168"/>
        <v>4.766</v>
      </c>
      <c r="BS125">
        <f t="shared" si="169"/>
        <v>0.527</v>
      </c>
      <c r="BT125">
        <f t="shared" si="170"/>
        <v>0.005</v>
      </c>
      <c r="BU125">
        <f t="shared" si="171"/>
        <v>1.079</v>
      </c>
      <c r="BV125">
        <f t="shared" si="172"/>
        <v>0.008</v>
      </c>
      <c r="BW125">
        <f t="shared" si="173"/>
        <v>0</v>
      </c>
      <c r="BX125">
        <f t="shared" si="174"/>
        <v>0.001</v>
      </c>
      <c r="BY125">
        <f t="shared" si="175"/>
        <v>0.079</v>
      </c>
      <c r="BZ125">
        <f t="shared" si="176"/>
        <v>0.134</v>
      </c>
      <c r="CA125">
        <f t="shared" si="177"/>
        <v>0.052</v>
      </c>
      <c r="CB125">
        <f t="shared" si="178"/>
        <v>0.002</v>
      </c>
      <c r="CC125">
        <f t="shared" si="179"/>
        <v>0.243</v>
      </c>
      <c r="CD125">
        <f t="shared" si="180"/>
        <v>0</v>
      </c>
      <c r="CE125">
        <f t="shared" si="181"/>
        <v>0.001</v>
      </c>
      <c r="CG125" s="6">
        <v>2014</v>
      </c>
      <c r="CH125" s="6" t="s">
        <v>87</v>
      </c>
      <c r="CI125" s="6">
        <v>0.029</v>
      </c>
      <c r="CJ125" s="6">
        <v>0.042</v>
      </c>
      <c r="CK125" s="6" t="s">
        <v>595</v>
      </c>
      <c r="CL125" s="6" t="s">
        <v>596</v>
      </c>
      <c r="CM125" s="6" t="s">
        <v>597</v>
      </c>
    </row>
    <row r="126" spans="4:91">
      <c r="D126">
        <f t="shared" si="110"/>
        <v>2014</v>
      </c>
      <c r="E126" t="s">
        <v>78</v>
      </c>
      <c r="F126" s="1">
        <f t="shared" si="112"/>
        <v>0</v>
      </c>
      <c r="G126" s="1">
        <f t="shared" si="113"/>
        <v>0</v>
      </c>
      <c r="H126" s="1">
        <f t="shared" si="114"/>
        <v>0</v>
      </c>
      <c r="I126" s="1">
        <f t="shared" si="115"/>
        <v>0</v>
      </c>
      <c r="J126" s="1">
        <f t="shared" si="116"/>
        <v>0</v>
      </c>
      <c r="K126" s="1">
        <f t="shared" si="117"/>
        <v>0</v>
      </c>
      <c r="L126" s="1">
        <f t="shared" si="118"/>
        <v>0</v>
      </c>
      <c r="M126" s="1">
        <f t="shared" si="111"/>
        <v>0.049329</v>
      </c>
      <c r="N126" s="1">
        <f t="shared" si="119"/>
        <v>0</v>
      </c>
      <c r="O126" s="1">
        <f t="shared" si="120"/>
        <v>0</v>
      </c>
      <c r="P126" s="1">
        <f t="shared" si="121"/>
        <v>0</v>
      </c>
      <c r="Q126" s="1">
        <f t="shared" si="122"/>
        <v>0</v>
      </c>
      <c r="R126" s="1">
        <f t="shared" si="123"/>
        <v>0</v>
      </c>
      <c r="S126" s="1">
        <f t="shared" si="124"/>
        <v>0</v>
      </c>
      <c r="T126" s="1">
        <f t="shared" si="125"/>
        <v>0</v>
      </c>
      <c r="U126" s="1">
        <f t="shared" si="126"/>
        <v>0</v>
      </c>
      <c r="V126" s="1">
        <f t="shared" si="127"/>
        <v>0</v>
      </c>
      <c r="W126" s="1">
        <f t="shared" si="128"/>
        <v>0</v>
      </c>
      <c r="X126" s="1">
        <f t="shared" si="129"/>
        <v>0</v>
      </c>
      <c r="Y126" s="1">
        <f t="shared" si="130"/>
        <v>0</v>
      </c>
      <c r="Z126" s="1">
        <f t="shared" si="131"/>
        <v>0</v>
      </c>
      <c r="AA126" s="1">
        <f t="shared" si="132"/>
        <v>0</v>
      </c>
      <c r="AB126" s="1">
        <f t="shared" si="133"/>
        <v>0</v>
      </c>
      <c r="AC126" s="1">
        <f t="shared" si="134"/>
        <v>0</v>
      </c>
      <c r="AD126" s="1">
        <f t="shared" si="135"/>
        <v>0</v>
      </c>
      <c r="AE126" s="1">
        <f t="shared" si="136"/>
        <v>0</v>
      </c>
      <c r="AF126" s="1">
        <f t="shared" si="137"/>
        <v>0</v>
      </c>
      <c r="AG126" s="1">
        <f t="shared" si="138"/>
        <v>0</v>
      </c>
      <c r="AH126" s="1">
        <f t="shared" si="139"/>
        <v>0</v>
      </c>
      <c r="AI126" s="1">
        <f t="shared" si="140"/>
        <v>0</v>
      </c>
      <c r="AJ126" s="1">
        <f t="shared" si="141"/>
        <v>0</v>
      </c>
      <c r="AK126" s="1">
        <f t="shared" si="142"/>
        <v>0</v>
      </c>
      <c r="AL126" s="1">
        <f t="shared" si="143"/>
        <v>0</v>
      </c>
      <c r="AM126" s="1">
        <f t="shared" si="144"/>
        <v>0</v>
      </c>
      <c r="AN126" s="1">
        <f t="shared" si="145"/>
        <v>0</v>
      </c>
      <c r="AQ126" s="6">
        <v>2014</v>
      </c>
      <c r="AR126" s="6" t="s">
        <v>78</v>
      </c>
      <c r="AS126" s="6">
        <v>0.029</v>
      </c>
      <c r="AT126" s="6" t="s">
        <v>568</v>
      </c>
      <c r="AU126" s="6" t="s">
        <v>594</v>
      </c>
      <c r="AV126" t="str">
        <f t="shared" si="146"/>
        <v>Tra_EV_Batt-NCA_virgin_pack</v>
      </c>
      <c r="AW126">
        <f t="shared" si="147"/>
        <v>0</v>
      </c>
      <c r="AX126">
        <f t="shared" si="148"/>
        <v>0</v>
      </c>
      <c r="AY126">
        <f t="shared" si="149"/>
        <v>0</v>
      </c>
      <c r="AZ126">
        <f t="shared" si="150"/>
        <v>0</v>
      </c>
      <c r="BA126">
        <f t="shared" si="151"/>
        <v>0</v>
      </c>
      <c r="BB126">
        <f t="shared" si="152"/>
        <v>0</v>
      </c>
      <c r="BC126">
        <f t="shared" si="153"/>
        <v>0</v>
      </c>
      <c r="BD126">
        <f t="shared" si="154"/>
        <v>1.701</v>
      </c>
      <c r="BE126">
        <f t="shared" si="155"/>
        <v>0</v>
      </c>
      <c r="BF126">
        <f t="shared" si="156"/>
        <v>0</v>
      </c>
      <c r="BG126">
        <f t="shared" si="157"/>
        <v>0</v>
      </c>
      <c r="BH126">
        <f t="shared" si="158"/>
        <v>0</v>
      </c>
      <c r="BI126">
        <f t="shared" si="159"/>
        <v>0</v>
      </c>
      <c r="BJ126">
        <f t="shared" si="160"/>
        <v>0</v>
      </c>
      <c r="BK126">
        <f t="shared" si="161"/>
        <v>0</v>
      </c>
      <c r="BL126">
        <f t="shared" si="162"/>
        <v>0</v>
      </c>
      <c r="BM126">
        <f t="shared" si="163"/>
        <v>0</v>
      </c>
      <c r="BN126">
        <f t="shared" si="164"/>
        <v>0</v>
      </c>
      <c r="BO126">
        <f t="shared" si="165"/>
        <v>0</v>
      </c>
      <c r="BP126">
        <f t="shared" si="166"/>
        <v>0</v>
      </c>
      <c r="BQ126">
        <f t="shared" si="167"/>
        <v>0</v>
      </c>
      <c r="BR126">
        <f t="shared" si="168"/>
        <v>0</v>
      </c>
      <c r="BS126">
        <f t="shared" si="169"/>
        <v>0</v>
      </c>
      <c r="BT126">
        <f t="shared" si="170"/>
        <v>0</v>
      </c>
      <c r="BU126">
        <f t="shared" si="171"/>
        <v>0</v>
      </c>
      <c r="BV126">
        <f t="shared" si="172"/>
        <v>0</v>
      </c>
      <c r="BW126">
        <f t="shared" si="173"/>
        <v>0</v>
      </c>
      <c r="BX126">
        <f t="shared" si="174"/>
        <v>0</v>
      </c>
      <c r="BY126">
        <f t="shared" si="175"/>
        <v>0</v>
      </c>
      <c r="BZ126">
        <f t="shared" si="176"/>
        <v>0</v>
      </c>
      <c r="CA126">
        <f t="shared" si="177"/>
        <v>0</v>
      </c>
      <c r="CB126">
        <f t="shared" si="178"/>
        <v>0</v>
      </c>
      <c r="CC126">
        <f t="shared" si="179"/>
        <v>0</v>
      </c>
      <c r="CD126">
        <f t="shared" si="180"/>
        <v>0</v>
      </c>
      <c r="CE126">
        <f t="shared" si="181"/>
        <v>0</v>
      </c>
      <c r="CG126" s="6">
        <v>2014</v>
      </c>
      <c r="CH126" s="6" t="s">
        <v>78</v>
      </c>
      <c r="CI126" s="6">
        <v>0.029</v>
      </c>
      <c r="CJ126" s="6">
        <v>0.042</v>
      </c>
      <c r="CK126" s="6" t="s">
        <v>595</v>
      </c>
      <c r="CL126" s="6" t="s">
        <v>596</v>
      </c>
      <c r="CM126" s="6" t="s">
        <v>597</v>
      </c>
    </row>
    <row r="127" spans="4:91">
      <c r="D127">
        <f t="shared" si="110"/>
        <v>2014</v>
      </c>
      <c r="E127" t="s">
        <v>74</v>
      </c>
      <c r="F127" s="1">
        <f t="shared" si="112"/>
        <v>5.8e-5</v>
      </c>
      <c r="G127" s="1">
        <f t="shared" si="113"/>
        <v>5.8e-5</v>
      </c>
      <c r="H127" s="1">
        <f t="shared" si="114"/>
        <v>0.001943</v>
      </c>
      <c r="I127" s="1">
        <f t="shared" si="115"/>
        <v>0.006148</v>
      </c>
      <c r="J127" s="1">
        <f t="shared" si="116"/>
        <v>0.000725</v>
      </c>
      <c r="K127" s="1">
        <f t="shared" si="117"/>
        <v>0.028304</v>
      </c>
      <c r="L127" s="1">
        <f t="shared" si="118"/>
        <v>0.000174</v>
      </c>
      <c r="M127" s="1">
        <f t="shared" si="111"/>
        <v>0.073979</v>
      </c>
      <c r="N127" s="1">
        <f t="shared" si="119"/>
        <v>0.000551</v>
      </c>
      <c r="O127" s="1">
        <f t="shared" si="120"/>
        <v>0.000638</v>
      </c>
      <c r="P127" s="1">
        <f t="shared" si="121"/>
        <v>0.037178</v>
      </c>
      <c r="Q127" s="1">
        <f t="shared" si="122"/>
        <v>0.033379</v>
      </c>
      <c r="R127" s="1">
        <f t="shared" si="123"/>
        <v>0.000116</v>
      </c>
      <c r="S127" s="1">
        <f t="shared" si="124"/>
        <v>0.00145</v>
      </c>
      <c r="T127" s="1">
        <f t="shared" si="125"/>
        <v>0.002436</v>
      </c>
      <c r="U127" s="1">
        <f t="shared" si="126"/>
        <v>0</v>
      </c>
      <c r="V127" s="1">
        <f t="shared" si="127"/>
        <v>0.001508</v>
      </c>
      <c r="W127" s="1">
        <f t="shared" si="128"/>
        <v>0.004147</v>
      </c>
      <c r="X127" s="1">
        <f t="shared" si="129"/>
        <v>0.020938</v>
      </c>
      <c r="Y127" s="1">
        <f t="shared" si="130"/>
        <v>0.000493</v>
      </c>
      <c r="Z127" s="1">
        <f t="shared" si="131"/>
        <v>0.000725</v>
      </c>
      <c r="AA127" s="1">
        <f t="shared" si="132"/>
        <v>1.283511</v>
      </c>
      <c r="AB127" s="1">
        <f t="shared" si="133"/>
        <v>0.106952</v>
      </c>
      <c r="AC127" s="1">
        <f t="shared" si="134"/>
        <v>0.000551</v>
      </c>
      <c r="AD127" s="1">
        <f t="shared" si="135"/>
        <v>0.031291</v>
      </c>
      <c r="AE127" s="1">
        <f t="shared" si="136"/>
        <v>0.000957</v>
      </c>
      <c r="AF127" s="1">
        <f t="shared" si="137"/>
        <v>2.9e-5</v>
      </c>
      <c r="AG127" s="1">
        <f t="shared" si="138"/>
        <v>0.000174</v>
      </c>
      <c r="AH127" s="1">
        <f t="shared" si="139"/>
        <v>0.009135</v>
      </c>
      <c r="AI127" s="1">
        <f t="shared" si="140"/>
        <v>0.015515</v>
      </c>
      <c r="AJ127" s="1">
        <f t="shared" si="141"/>
        <v>0.006032</v>
      </c>
      <c r="AK127" s="1">
        <f t="shared" si="142"/>
        <v>0.000174</v>
      </c>
      <c r="AL127" s="1">
        <f t="shared" si="143"/>
        <v>0.02813</v>
      </c>
      <c r="AM127" s="1">
        <f t="shared" si="144"/>
        <v>0.001073</v>
      </c>
      <c r="AN127" s="1">
        <f t="shared" si="145"/>
        <v>8.7e-5</v>
      </c>
      <c r="AQ127" s="6">
        <v>2014</v>
      </c>
      <c r="AR127" s="6" t="s">
        <v>74</v>
      </c>
      <c r="AS127" s="6">
        <v>0.029</v>
      </c>
      <c r="AT127" s="6" t="s">
        <v>568</v>
      </c>
      <c r="AU127" s="6" t="s">
        <v>594</v>
      </c>
      <c r="AV127" t="str">
        <f t="shared" si="146"/>
        <v> Tra_EV_Batt-LMO_virgin_pack</v>
      </c>
      <c r="AW127">
        <f t="shared" si="147"/>
        <v>0.002</v>
      </c>
      <c r="AX127">
        <f t="shared" si="148"/>
        <v>0.002</v>
      </c>
      <c r="AY127">
        <f t="shared" si="149"/>
        <v>0.067</v>
      </c>
      <c r="AZ127">
        <f t="shared" si="150"/>
        <v>0.212</v>
      </c>
      <c r="BA127">
        <f t="shared" si="151"/>
        <v>0.025</v>
      </c>
      <c r="BB127">
        <f t="shared" si="152"/>
        <v>0.976</v>
      </c>
      <c r="BC127">
        <f t="shared" si="153"/>
        <v>0.006</v>
      </c>
      <c r="BD127">
        <f t="shared" si="154"/>
        <v>2.551</v>
      </c>
      <c r="BE127">
        <f t="shared" si="155"/>
        <v>0.019</v>
      </c>
      <c r="BF127">
        <f t="shared" si="156"/>
        <v>0.022</v>
      </c>
      <c r="BG127">
        <f t="shared" si="157"/>
        <v>1.282</v>
      </c>
      <c r="BH127">
        <f t="shared" si="158"/>
        <v>1.151</v>
      </c>
      <c r="BI127">
        <f t="shared" si="159"/>
        <v>0.004</v>
      </c>
      <c r="BJ127">
        <f t="shared" si="160"/>
        <v>0.05</v>
      </c>
      <c r="BK127">
        <f t="shared" si="161"/>
        <v>0.084</v>
      </c>
      <c r="BL127">
        <f t="shared" si="162"/>
        <v>0</v>
      </c>
      <c r="BM127">
        <f t="shared" si="163"/>
        <v>0.052</v>
      </c>
      <c r="BN127">
        <f t="shared" si="164"/>
        <v>0.143</v>
      </c>
      <c r="BO127">
        <f t="shared" si="165"/>
        <v>0.722</v>
      </c>
      <c r="BP127">
        <f t="shared" si="166"/>
        <v>0.017</v>
      </c>
      <c r="BQ127">
        <f t="shared" si="167"/>
        <v>0.025</v>
      </c>
      <c r="BR127">
        <f t="shared" si="168"/>
        <v>44.259</v>
      </c>
      <c r="BS127">
        <f t="shared" si="169"/>
        <v>3.688</v>
      </c>
      <c r="BT127">
        <f t="shared" si="170"/>
        <v>0.019</v>
      </c>
      <c r="BU127">
        <f t="shared" si="171"/>
        <v>1.079</v>
      </c>
      <c r="BV127">
        <f t="shared" si="172"/>
        <v>0.033</v>
      </c>
      <c r="BW127">
        <f t="shared" si="173"/>
        <v>0.001</v>
      </c>
      <c r="BX127">
        <f t="shared" si="174"/>
        <v>0.006</v>
      </c>
      <c r="BY127">
        <f t="shared" si="175"/>
        <v>0.315</v>
      </c>
      <c r="BZ127">
        <f t="shared" si="176"/>
        <v>0.535</v>
      </c>
      <c r="CA127">
        <f t="shared" si="177"/>
        <v>0.208</v>
      </c>
      <c r="CB127">
        <f t="shared" si="178"/>
        <v>0.006</v>
      </c>
      <c r="CC127">
        <f t="shared" si="179"/>
        <v>0.97</v>
      </c>
      <c r="CD127">
        <f t="shared" si="180"/>
        <v>0.037</v>
      </c>
      <c r="CE127">
        <f t="shared" si="181"/>
        <v>0.003</v>
      </c>
      <c r="CG127" s="6">
        <v>2014</v>
      </c>
      <c r="CH127" s="6" t="s">
        <v>74</v>
      </c>
      <c r="CI127" s="6">
        <v>0.029</v>
      </c>
      <c r="CJ127" s="6">
        <v>0.042</v>
      </c>
      <c r="CK127" s="6" t="s">
        <v>595</v>
      </c>
      <c r="CL127" s="6" t="s">
        <v>596</v>
      </c>
      <c r="CM127" s="6" t="s">
        <v>597</v>
      </c>
    </row>
    <row r="128" spans="4:91">
      <c r="D128">
        <f t="shared" si="110"/>
        <v>2014</v>
      </c>
      <c r="E128" t="s">
        <v>82</v>
      </c>
      <c r="F128" s="1">
        <f t="shared" si="112"/>
        <v>5.8e-5</v>
      </c>
      <c r="G128" s="1">
        <f t="shared" si="113"/>
        <v>5.8e-5</v>
      </c>
      <c r="H128" s="1">
        <f t="shared" si="114"/>
        <v>0.001943</v>
      </c>
      <c r="I128" s="1">
        <f t="shared" si="115"/>
        <v>0.006757</v>
      </c>
      <c r="J128" s="1">
        <f t="shared" si="116"/>
        <v>0.000725</v>
      </c>
      <c r="K128" s="1">
        <f t="shared" si="117"/>
        <v>0.030189</v>
      </c>
      <c r="L128" s="1">
        <f t="shared" si="118"/>
        <v>0.000174</v>
      </c>
      <c r="M128" s="1">
        <f t="shared" si="111"/>
        <v>0.049329</v>
      </c>
      <c r="N128" s="1">
        <f t="shared" si="119"/>
        <v>0.000551</v>
      </c>
      <c r="O128" s="1">
        <f t="shared" si="120"/>
        <v>0.000841</v>
      </c>
      <c r="P128" s="1">
        <f t="shared" si="121"/>
        <v>0.053911</v>
      </c>
      <c r="Q128" s="1">
        <f t="shared" si="122"/>
        <v>0.040136</v>
      </c>
      <c r="R128" s="1">
        <f t="shared" si="123"/>
        <v>0.000116</v>
      </c>
      <c r="S128" s="1">
        <f t="shared" si="124"/>
        <v>0.001653</v>
      </c>
      <c r="T128" s="1">
        <f t="shared" si="125"/>
        <v>0.002436</v>
      </c>
      <c r="U128" s="1">
        <f t="shared" si="126"/>
        <v>0.001218</v>
      </c>
      <c r="V128" s="1">
        <f t="shared" si="127"/>
        <v>0.001624</v>
      </c>
      <c r="W128" s="1">
        <f t="shared" si="128"/>
        <v>0.005162</v>
      </c>
      <c r="X128" s="1">
        <f t="shared" si="129"/>
        <v>0.118436</v>
      </c>
      <c r="Y128" s="1">
        <f t="shared" si="130"/>
        <v>0.000609</v>
      </c>
      <c r="Z128" s="1">
        <f t="shared" si="131"/>
        <v>0.000725</v>
      </c>
      <c r="AA128" s="1">
        <f t="shared" si="132"/>
        <v>0.219327</v>
      </c>
      <c r="AB128" s="1">
        <f t="shared" si="133"/>
        <v>0.063075</v>
      </c>
      <c r="AC128" s="1">
        <f t="shared" si="134"/>
        <v>0.000725</v>
      </c>
      <c r="AD128" s="1">
        <f t="shared" si="135"/>
        <v>0.006873</v>
      </c>
      <c r="AE128" s="1">
        <f t="shared" si="136"/>
        <v>0.000957</v>
      </c>
      <c r="AF128" s="1">
        <f t="shared" si="137"/>
        <v>2.9e-5</v>
      </c>
      <c r="AG128" s="1">
        <f t="shared" si="138"/>
        <v>0.000174</v>
      </c>
      <c r="AH128" s="1">
        <f t="shared" si="139"/>
        <v>0.010295</v>
      </c>
      <c r="AI128" s="1">
        <f t="shared" si="140"/>
        <v>0.017429</v>
      </c>
      <c r="AJ128" s="1">
        <f t="shared" si="141"/>
        <v>0.006641</v>
      </c>
      <c r="AK128" s="1">
        <f t="shared" si="142"/>
        <v>0.000174</v>
      </c>
      <c r="AL128" s="1">
        <f t="shared" si="143"/>
        <v>0.031204</v>
      </c>
      <c r="AM128" s="1">
        <f t="shared" si="144"/>
        <v>0.005945</v>
      </c>
      <c r="AN128" s="1">
        <f t="shared" si="145"/>
        <v>8.7e-5</v>
      </c>
      <c r="AQ128" s="6">
        <v>2014</v>
      </c>
      <c r="AR128" s="6" t="s">
        <v>82</v>
      </c>
      <c r="AS128" s="6">
        <v>0.029</v>
      </c>
      <c r="AT128" s="6" t="s">
        <v>568</v>
      </c>
      <c r="AU128" s="6" t="s">
        <v>594</v>
      </c>
      <c r="AV128" t="str">
        <f t="shared" si="146"/>
        <v>Tra_EV_Batt-NMC111_virgin_pack</v>
      </c>
      <c r="AW128">
        <f t="shared" si="147"/>
        <v>0.002</v>
      </c>
      <c r="AX128">
        <f t="shared" si="148"/>
        <v>0.002</v>
      </c>
      <c r="AY128">
        <f t="shared" si="149"/>
        <v>0.067</v>
      </c>
      <c r="AZ128">
        <f t="shared" si="150"/>
        <v>0.233</v>
      </c>
      <c r="BA128">
        <f t="shared" si="151"/>
        <v>0.025</v>
      </c>
      <c r="BB128">
        <f t="shared" si="152"/>
        <v>1.041</v>
      </c>
      <c r="BC128">
        <f t="shared" si="153"/>
        <v>0.006</v>
      </c>
      <c r="BD128">
        <f t="shared" si="154"/>
        <v>1.701</v>
      </c>
      <c r="BE128">
        <f t="shared" si="155"/>
        <v>0.019</v>
      </c>
      <c r="BF128">
        <f t="shared" si="156"/>
        <v>0.029</v>
      </c>
      <c r="BG128">
        <f t="shared" si="157"/>
        <v>1.859</v>
      </c>
      <c r="BH128">
        <f t="shared" si="158"/>
        <v>1.384</v>
      </c>
      <c r="BI128">
        <f t="shared" si="159"/>
        <v>0.004</v>
      </c>
      <c r="BJ128">
        <f t="shared" si="160"/>
        <v>0.057</v>
      </c>
      <c r="BK128">
        <f t="shared" si="161"/>
        <v>0.084</v>
      </c>
      <c r="BL128">
        <f t="shared" si="162"/>
        <v>0.042</v>
      </c>
      <c r="BM128">
        <f t="shared" si="163"/>
        <v>0.056</v>
      </c>
      <c r="BN128">
        <f t="shared" si="164"/>
        <v>0.178</v>
      </c>
      <c r="BO128">
        <f t="shared" si="165"/>
        <v>4.084</v>
      </c>
      <c r="BP128">
        <f t="shared" si="166"/>
        <v>0.021</v>
      </c>
      <c r="BQ128">
        <f t="shared" si="167"/>
        <v>0.025</v>
      </c>
      <c r="BR128">
        <f t="shared" si="168"/>
        <v>7.563</v>
      </c>
      <c r="BS128">
        <f t="shared" si="169"/>
        <v>2.175</v>
      </c>
      <c r="BT128">
        <f t="shared" si="170"/>
        <v>0.025</v>
      </c>
      <c r="BU128">
        <f t="shared" si="171"/>
        <v>0.237</v>
      </c>
      <c r="BV128">
        <f t="shared" si="172"/>
        <v>0.033</v>
      </c>
      <c r="BW128">
        <f t="shared" si="173"/>
        <v>0.001</v>
      </c>
      <c r="BX128">
        <f t="shared" si="174"/>
        <v>0.006</v>
      </c>
      <c r="BY128">
        <f t="shared" si="175"/>
        <v>0.355</v>
      </c>
      <c r="BZ128">
        <f t="shared" si="176"/>
        <v>0.601</v>
      </c>
      <c r="CA128">
        <f t="shared" si="177"/>
        <v>0.229</v>
      </c>
      <c r="CB128">
        <f t="shared" si="178"/>
        <v>0.006</v>
      </c>
      <c r="CC128">
        <f t="shared" si="179"/>
        <v>1.076</v>
      </c>
      <c r="CD128">
        <f t="shared" si="180"/>
        <v>0.205</v>
      </c>
      <c r="CE128">
        <f t="shared" si="181"/>
        <v>0.003</v>
      </c>
      <c r="CG128" s="6">
        <v>2014</v>
      </c>
      <c r="CH128" s="6" t="s">
        <v>82</v>
      </c>
      <c r="CI128" s="6">
        <v>0.029</v>
      </c>
      <c r="CJ128" s="6">
        <v>0.042</v>
      </c>
      <c r="CK128" s="6" t="s">
        <v>595</v>
      </c>
      <c r="CL128" s="6" t="s">
        <v>596</v>
      </c>
      <c r="CM128" s="6" t="s">
        <v>597</v>
      </c>
    </row>
    <row r="129" spans="4:91">
      <c r="D129">
        <v>2020</v>
      </c>
      <c r="E129" t="s">
        <v>249</v>
      </c>
      <c r="F129" s="1">
        <f t="shared" si="112"/>
        <v>0</v>
      </c>
      <c r="G129" s="1">
        <f t="shared" si="113"/>
        <v>2.041455</v>
      </c>
      <c r="H129" s="1">
        <f t="shared" si="114"/>
        <v>7.2732</v>
      </c>
      <c r="I129" s="1">
        <f t="shared" si="115"/>
        <v>0</v>
      </c>
      <c r="J129" s="1">
        <f t="shared" si="116"/>
        <v>0</v>
      </c>
      <c r="K129" s="1">
        <f t="shared" si="117"/>
        <v>0</v>
      </c>
      <c r="L129" s="1">
        <f t="shared" si="118"/>
        <v>0.8265</v>
      </c>
      <c r="M129" s="1">
        <f t="shared" si="111"/>
        <v>3.38865</v>
      </c>
      <c r="N129" s="1">
        <f t="shared" si="119"/>
        <v>0</v>
      </c>
      <c r="O129" s="1">
        <f t="shared" si="120"/>
        <v>0</v>
      </c>
      <c r="P129" s="1">
        <f t="shared" si="121"/>
        <v>0</v>
      </c>
      <c r="Q129" s="1">
        <f t="shared" si="122"/>
        <v>0</v>
      </c>
      <c r="R129" s="1">
        <f t="shared" si="123"/>
        <v>0</v>
      </c>
      <c r="S129" s="1">
        <f t="shared" si="124"/>
        <v>0</v>
      </c>
      <c r="T129" s="1">
        <f t="shared" si="125"/>
        <v>0</v>
      </c>
      <c r="U129" s="1">
        <f t="shared" si="126"/>
        <v>0</v>
      </c>
      <c r="V129" s="1">
        <f t="shared" si="127"/>
        <v>0</v>
      </c>
      <c r="W129" s="1">
        <f t="shared" si="128"/>
        <v>0</v>
      </c>
      <c r="X129" s="1">
        <f t="shared" si="129"/>
        <v>0</v>
      </c>
      <c r="Y129" s="1">
        <f t="shared" si="130"/>
        <v>5.53755</v>
      </c>
      <c r="Z129" s="1">
        <f t="shared" si="131"/>
        <v>0</v>
      </c>
      <c r="AA129" s="1">
        <f t="shared" si="132"/>
        <v>0.355395</v>
      </c>
      <c r="AB129" s="1">
        <f t="shared" si="133"/>
        <v>0</v>
      </c>
      <c r="AC129" s="1">
        <f t="shared" si="134"/>
        <v>0</v>
      </c>
      <c r="AD129" s="1">
        <f t="shared" si="135"/>
        <v>0.38019</v>
      </c>
      <c r="AE129" s="1">
        <f t="shared" si="136"/>
        <v>0</v>
      </c>
      <c r="AF129" s="1">
        <f t="shared" si="137"/>
        <v>0</v>
      </c>
      <c r="AG129" s="1">
        <f t="shared" si="138"/>
        <v>0</v>
      </c>
      <c r="AH129" s="1">
        <f t="shared" si="139"/>
        <v>0.03306</v>
      </c>
      <c r="AI129" s="1">
        <f t="shared" si="140"/>
        <v>0</v>
      </c>
      <c r="AJ129" s="1">
        <f t="shared" si="141"/>
        <v>0</v>
      </c>
      <c r="AK129" s="1">
        <f t="shared" si="142"/>
        <v>0</v>
      </c>
      <c r="AL129" s="1">
        <f t="shared" si="143"/>
        <v>0</v>
      </c>
      <c r="AM129" s="1">
        <f t="shared" si="144"/>
        <v>0</v>
      </c>
      <c r="AN129" s="1">
        <f t="shared" si="145"/>
        <v>0</v>
      </c>
      <c r="AQ129" s="6">
        <v>2015</v>
      </c>
      <c r="AR129" s="6" t="s">
        <v>249</v>
      </c>
      <c r="AS129" s="6">
        <v>0.095</v>
      </c>
      <c r="AT129" s="6" t="s">
        <v>591</v>
      </c>
      <c r="AU129" s="6" t="s">
        <v>592</v>
      </c>
      <c r="AV129" t="str">
        <f t="shared" si="146"/>
        <v>MINBatMaterials_LI</v>
      </c>
      <c r="AW129">
        <f t="shared" si="147"/>
        <v>0</v>
      </c>
      <c r="AX129">
        <f t="shared" si="148"/>
        <v>21.489</v>
      </c>
      <c r="AY129">
        <f t="shared" si="149"/>
        <v>76.56</v>
      </c>
      <c r="AZ129">
        <f t="shared" si="150"/>
        <v>0</v>
      </c>
      <c r="BA129">
        <f t="shared" si="151"/>
        <v>0</v>
      </c>
      <c r="BB129">
        <f t="shared" si="152"/>
        <v>0</v>
      </c>
      <c r="BC129">
        <f t="shared" si="153"/>
        <v>8.7</v>
      </c>
      <c r="BD129">
        <f t="shared" si="154"/>
        <v>35.67</v>
      </c>
      <c r="BE129">
        <f t="shared" si="155"/>
        <v>0</v>
      </c>
      <c r="BF129">
        <f t="shared" si="156"/>
        <v>0</v>
      </c>
      <c r="BG129">
        <f t="shared" si="157"/>
        <v>0</v>
      </c>
      <c r="BH129">
        <f t="shared" si="158"/>
        <v>0</v>
      </c>
      <c r="BI129">
        <f t="shared" si="159"/>
        <v>0</v>
      </c>
      <c r="BJ129">
        <f t="shared" si="160"/>
        <v>0</v>
      </c>
      <c r="BK129">
        <f t="shared" si="161"/>
        <v>0</v>
      </c>
      <c r="BL129">
        <f t="shared" si="162"/>
        <v>0</v>
      </c>
      <c r="BM129">
        <f t="shared" si="163"/>
        <v>0</v>
      </c>
      <c r="BN129">
        <f t="shared" si="164"/>
        <v>0</v>
      </c>
      <c r="BO129">
        <f t="shared" si="165"/>
        <v>0</v>
      </c>
      <c r="BP129">
        <f t="shared" si="166"/>
        <v>58.29</v>
      </c>
      <c r="BQ129">
        <f t="shared" si="167"/>
        <v>0</v>
      </c>
      <c r="BR129">
        <f t="shared" si="168"/>
        <v>3.741</v>
      </c>
      <c r="BS129">
        <f t="shared" si="169"/>
        <v>0</v>
      </c>
      <c r="BT129">
        <f t="shared" si="170"/>
        <v>0</v>
      </c>
      <c r="BU129">
        <f t="shared" si="171"/>
        <v>4.002</v>
      </c>
      <c r="BV129">
        <f t="shared" si="172"/>
        <v>0</v>
      </c>
      <c r="BW129">
        <f t="shared" si="173"/>
        <v>0</v>
      </c>
      <c r="BX129">
        <f t="shared" si="174"/>
        <v>0</v>
      </c>
      <c r="BY129">
        <f t="shared" si="175"/>
        <v>0.348</v>
      </c>
      <c r="BZ129">
        <f t="shared" si="176"/>
        <v>0</v>
      </c>
      <c r="CA129">
        <f t="shared" si="177"/>
        <v>0</v>
      </c>
      <c r="CB129">
        <f t="shared" si="178"/>
        <v>0</v>
      </c>
      <c r="CC129">
        <f t="shared" si="179"/>
        <v>0</v>
      </c>
      <c r="CD129">
        <f t="shared" si="180"/>
        <v>0</v>
      </c>
      <c r="CE129">
        <f t="shared" si="181"/>
        <v>0</v>
      </c>
      <c r="CG129" s="6">
        <v>2015</v>
      </c>
      <c r="CH129" s="6" t="s">
        <v>249</v>
      </c>
      <c r="CI129" s="6">
        <v>0.095</v>
      </c>
      <c r="CJ129" s="6">
        <v>0.095</v>
      </c>
      <c r="CK129" s="6" t="s">
        <v>591</v>
      </c>
      <c r="CL129" s="6" t="s">
        <v>591</v>
      </c>
      <c r="CM129" s="6" t="s">
        <v>593</v>
      </c>
    </row>
    <row r="130" spans="4:91">
      <c r="D130">
        <f xml:space="preserve">D129</f>
        <v>2020</v>
      </c>
      <c r="E130" t="s">
        <v>251</v>
      </c>
      <c r="F130" s="1">
        <f t="shared" si="112"/>
        <v>0</v>
      </c>
      <c r="G130" s="1">
        <f t="shared" si="113"/>
        <v>0</v>
      </c>
      <c r="H130" s="1">
        <f t="shared" si="114"/>
        <v>1.5675</v>
      </c>
      <c r="I130" s="1">
        <f t="shared" si="115"/>
        <v>0</v>
      </c>
      <c r="J130" s="1">
        <f t="shared" si="116"/>
        <v>0</v>
      </c>
      <c r="K130" s="1">
        <f t="shared" si="117"/>
        <v>0</v>
      </c>
      <c r="L130" s="1">
        <f t="shared" si="118"/>
        <v>1.09725</v>
      </c>
      <c r="M130" s="1">
        <f t="shared" si="111"/>
        <v>1.71</v>
      </c>
      <c r="N130" s="1">
        <f t="shared" si="119"/>
        <v>0</v>
      </c>
      <c r="O130" s="1">
        <f t="shared" si="120"/>
        <v>0</v>
      </c>
      <c r="P130" s="1">
        <f t="shared" si="121"/>
        <v>0</v>
      </c>
      <c r="Q130" s="1">
        <f t="shared" si="122"/>
        <v>0</v>
      </c>
      <c r="R130" s="1">
        <f t="shared" si="123"/>
        <v>0</v>
      </c>
      <c r="S130" s="1">
        <f t="shared" si="124"/>
        <v>0</v>
      </c>
      <c r="T130" s="1">
        <f t="shared" si="125"/>
        <v>0</v>
      </c>
      <c r="U130" s="1">
        <f t="shared" si="126"/>
        <v>0</v>
      </c>
      <c r="V130" s="1">
        <f t="shared" si="127"/>
        <v>0</v>
      </c>
      <c r="W130" s="1">
        <f t="shared" si="128"/>
        <v>0</v>
      </c>
      <c r="X130" s="1">
        <f t="shared" si="129"/>
        <v>0</v>
      </c>
      <c r="Y130" s="1">
        <f t="shared" si="130"/>
        <v>0</v>
      </c>
      <c r="Z130" s="1">
        <f t="shared" si="131"/>
        <v>0</v>
      </c>
      <c r="AA130" s="1">
        <f t="shared" si="132"/>
        <v>2.8215</v>
      </c>
      <c r="AB130" s="1">
        <f t="shared" si="133"/>
        <v>0</v>
      </c>
      <c r="AC130" s="1">
        <f t="shared" si="134"/>
        <v>0</v>
      </c>
      <c r="AD130" s="1">
        <f t="shared" si="135"/>
        <v>42.53625</v>
      </c>
      <c r="AE130" s="1">
        <f t="shared" si="136"/>
        <v>2.9925</v>
      </c>
      <c r="AF130" s="1">
        <f t="shared" si="137"/>
        <v>0</v>
      </c>
      <c r="AG130" s="1">
        <f t="shared" si="138"/>
        <v>0</v>
      </c>
      <c r="AH130" s="1">
        <f t="shared" si="139"/>
        <v>0</v>
      </c>
      <c r="AI130" s="1">
        <f t="shared" si="140"/>
        <v>0</v>
      </c>
      <c r="AJ130" s="1">
        <f t="shared" si="141"/>
        <v>0</v>
      </c>
      <c r="AK130" s="1">
        <f t="shared" si="142"/>
        <v>0</v>
      </c>
      <c r="AL130" s="1">
        <f t="shared" si="143"/>
        <v>0</v>
      </c>
      <c r="AM130" s="1">
        <f t="shared" si="144"/>
        <v>0</v>
      </c>
      <c r="AN130" s="1">
        <f t="shared" si="145"/>
        <v>0</v>
      </c>
      <c r="AQ130" s="6">
        <v>2015</v>
      </c>
      <c r="AR130" s="6" t="s">
        <v>251</v>
      </c>
      <c r="AS130" s="6">
        <v>0.095</v>
      </c>
      <c r="AT130" s="6" t="s">
        <v>591</v>
      </c>
      <c r="AU130" s="6" t="s">
        <v>592</v>
      </c>
      <c r="AV130" t="str">
        <f t="shared" si="146"/>
        <v>MINBatMaterials_NI</v>
      </c>
      <c r="AW130">
        <f t="shared" si="147"/>
        <v>0</v>
      </c>
      <c r="AX130">
        <f t="shared" si="148"/>
        <v>0</v>
      </c>
      <c r="AY130">
        <f t="shared" si="149"/>
        <v>16.5</v>
      </c>
      <c r="AZ130">
        <f t="shared" si="150"/>
        <v>0</v>
      </c>
      <c r="BA130">
        <f t="shared" si="151"/>
        <v>0</v>
      </c>
      <c r="BB130">
        <f t="shared" si="152"/>
        <v>0</v>
      </c>
      <c r="BC130">
        <f t="shared" si="153"/>
        <v>11.55</v>
      </c>
      <c r="BD130">
        <f t="shared" si="154"/>
        <v>18</v>
      </c>
      <c r="BE130">
        <f t="shared" si="155"/>
        <v>0</v>
      </c>
      <c r="BF130">
        <f t="shared" si="156"/>
        <v>0</v>
      </c>
      <c r="BG130">
        <f t="shared" si="157"/>
        <v>0</v>
      </c>
      <c r="BH130">
        <f t="shared" si="158"/>
        <v>0</v>
      </c>
      <c r="BI130">
        <f t="shared" si="159"/>
        <v>0</v>
      </c>
      <c r="BJ130">
        <f t="shared" si="160"/>
        <v>0</v>
      </c>
      <c r="BK130">
        <f t="shared" si="161"/>
        <v>0</v>
      </c>
      <c r="BL130">
        <f t="shared" si="162"/>
        <v>0</v>
      </c>
      <c r="BM130">
        <f t="shared" si="163"/>
        <v>0</v>
      </c>
      <c r="BN130">
        <f t="shared" si="164"/>
        <v>0</v>
      </c>
      <c r="BO130">
        <f t="shared" si="165"/>
        <v>0</v>
      </c>
      <c r="BP130">
        <f t="shared" si="166"/>
        <v>0</v>
      </c>
      <c r="BQ130">
        <f t="shared" si="167"/>
        <v>0</v>
      </c>
      <c r="BR130">
        <f t="shared" si="168"/>
        <v>29.7</v>
      </c>
      <c r="BS130">
        <f t="shared" si="169"/>
        <v>0</v>
      </c>
      <c r="BT130">
        <f t="shared" si="170"/>
        <v>0</v>
      </c>
      <c r="BU130">
        <f t="shared" si="171"/>
        <v>447.75</v>
      </c>
      <c r="BV130">
        <f t="shared" si="172"/>
        <v>31.5</v>
      </c>
      <c r="BW130">
        <f t="shared" si="173"/>
        <v>0</v>
      </c>
      <c r="BX130">
        <f t="shared" si="174"/>
        <v>0</v>
      </c>
      <c r="BY130">
        <f t="shared" si="175"/>
        <v>0</v>
      </c>
      <c r="BZ130">
        <f t="shared" si="176"/>
        <v>0</v>
      </c>
      <c r="CA130">
        <f t="shared" si="177"/>
        <v>0</v>
      </c>
      <c r="CB130">
        <f t="shared" si="178"/>
        <v>0</v>
      </c>
      <c r="CC130">
        <f t="shared" si="179"/>
        <v>0</v>
      </c>
      <c r="CD130">
        <f t="shared" si="180"/>
        <v>0</v>
      </c>
      <c r="CE130">
        <f t="shared" si="181"/>
        <v>0</v>
      </c>
      <c r="CG130" s="6">
        <v>2015</v>
      </c>
      <c r="CH130" s="6" t="s">
        <v>251</v>
      </c>
      <c r="CI130" s="6">
        <v>0.095</v>
      </c>
      <c r="CJ130" s="6">
        <v>0.095</v>
      </c>
      <c r="CK130" s="6" t="s">
        <v>591</v>
      </c>
      <c r="CL130" s="6" t="s">
        <v>591</v>
      </c>
      <c r="CM130" s="6" t="s">
        <v>593</v>
      </c>
    </row>
    <row r="131" ht="16" spans="4:91">
      <c r="D131">
        <f t="shared" ref="D131:D149" si="182" xml:space="preserve">D130</f>
        <v>2020</v>
      </c>
      <c r="E131" s="18" t="s">
        <v>255</v>
      </c>
      <c r="F131" s="1">
        <f t="shared" si="112"/>
        <v>0</v>
      </c>
      <c r="G131" s="1">
        <f t="shared" si="113"/>
        <v>16.07172</v>
      </c>
      <c r="H131" s="1">
        <f t="shared" si="114"/>
        <v>0.25992</v>
      </c>
      <c r="I131" s="1">
        <f t="shared" si="115"/>
        <v>0</v>
      </c>
      <c r="J131" s="1">
        <f t="shared" si="116"/>
        <v>0</v>
      </c>
      <c r="K131" s="1">
        <f t="shared" si="117"/>
        <v>0</v>
      </c>
      <c r="L131" s="1">
        <f t="shared" si="118"/>
        <v>0</v>
      </c>
      <c r="M131" s="1">
        <f t="shared" si="111"/>
        <v>0</v>
      </c>
      <c r="N131" s="1">
        <f t="shared" si="119"/>
        <v>0</v>
      </c>
      <c r="O131" s="1">
        <f t="shared" si="120"/>
        <v>0</v>
      </c>
      <c r="P131" s="1">
        <f t="shared" si="121"/>
        <v>0</v>
      </c>
      <c r="Q131" s="1">
        <f t="shared" si="122"/>
        <v>0</v>
      </c>
      <c r="R131" s="1">
        <f t="shared" si="123"/>
        <v>0</v>
      </c>
      <c r="S131" s="1">
        <f t="shared" si="124"/>
        <v>0</v>
      </c>
      <c r="T131" s="1">
        <f t="shared" si="125"/>
        <v>0</v>
      </c>
      <c r="U131" s="1">
        <f t="shared" si="126"/>
        <v>0</v>
      </c>
      <c r="V131" s="1">
        <f t="shared" si="127"/>
        <v>0</v>
      </c>
      <c r="W131" s="1">
        <f t="shared" si="128"/>
        <v>0</v>
      </c>
      <c r="X131" s="1">
        <f t="shared" si="129"/>
        <v>0</v>
      </c>
      <c r="Y131" s="1">
        <f t="shared" si="130"/>
        <v>0.2527</v>
      </c>
      <c r="Z131" s="1">
        <f t="shared" si="131"/>
        <v>0</v>
      </c>
      <c r="AA131" s="1">
        <f t="shared" si="132"/>
        <v>0.34656</v>
      </c>
      <c r="AB131" s="1">
        <f t="shared" si="133"/>
        <v>0</v>
      </c>
      <c r="AC131" s="1">
        <f t="shared" si="134"/>
        <v>0</v>
      </c>
      <c r="AD131" s="1">
        <f t="shared" si="135"/>
        <v>3.16236</v>
      </c>
      <c r="AE131" s="1">
        <f t="shared" si="136"/>
        <v>0.62814</v>
      </c>
      <c r="AF131" s="1">
        <f t="shared" si="137"/>
        <v>0</v>
      </c>
      <c r="AG131" s="1">
        <f t="shared" si="138"/>
        <v>0</v>
      </c>
      <c r="AH131" s="1">
        <f t="shared" si="139"/>
        <v>0</v>
      </c>
      <c r="AI131" s="1">
        <f t="shared" si="140"/>
        <v>0</v>
      </c>
      <c r="AJ131" s="1">
        <f t="shared" si="141"/>
        <v>0</v>
      </c>
      <c r="AK131" s="1">
        <f t="shared" si="142"/>
        <v>0.19494</v>
      </c>
      <c r="AL131" s="1">
        <f t="shared" si="143"/>
        <v>0</v>
      </c>
      <c r="AM131" s="1">
        <f t="shared" si="144"/>
        <v>0</v>
      </c>
      <c r="AN131" s="1">
        <f t="shared" si="145"/>
        <v>0</v>
      </c>
      <c r="AQ131" s="6">
        <v>2015</v>
      </c>
      <c r="AR131" s="6" t="s">
        <v>255</v>
      </c>
      <c r="AS131" s="6">
        <v>0.095</v>
      </c>
      <c r="AT131" s="6" t="s">
        <v>591</v>
      </c>
      <c r="AU131" s="6" t="s">
        <v>592</v>
      </c>
      <c r="AV131" t="str">
        <f t="shared" si="146"/>
        <v>MINBatMaterials_COB</v>
      </c>
      <c r="AW131">
        <f t="shared" si="147"/>
        <v>0</v>
      </c>
      <c r="AX131">
        <f t="shared" si="148"/>
        <v>169.176</v>
      </c>
      <c r="AY131">
        <f t="shared" si="149"/>
        <v>2.736</v>
      </c>
      <c r="AZ131">
        <f t="shared" si="150"/>
        <v>0</v>
      </c>
      <c r="BA131">
        <f t="shared" si="151"/>
        <v>0</v>
      </c>
      <c r="BB131">
        <f t="shared" si="152"/>
        <v>0</v>
      </c>
      <c r="BC131">
        <f t="shared" si="153"/>
        <v>0</v>
      </c>
      <c r="BD131">
        <f t="shared" si="154"/>
        <v>0</v>
      </c>
      <c r="BE131">
        <f t="shared" si="155"/>
        <v>0</v>
      </c>
      <c r="BF131">
        <f t="shared" si="156"/>
        <v>0</v>
      </c>
      <c r="BG131">
        <f t="shared" si="157"/>
        <v>0</v>
      </c>
      <c r="BH131">
        <f t="shared" si="158"/>
        <v>0</v>
      </c>
      <c r="BI131">
        <f t="shared" si="159"/>
        <v>0</v>
      </c>
      <c r="BJ131">
        <f t="shared" si="160"/>
        <v>0</v>
      </c>
      <c r="BK131">
        <f t="shared" si="161"/>
        <v>0</v>
      </c>
      <c r="BL131">
        <f t="shared" si="162"/>
        <v>0</v>
      </c>
      <c r="BM131">
        <f t="shared" si="163"/>
        <v>0</v>
      </c>
      <c r="BN131">
        <f t="shared" si="164"/>
        <v>0</v>
      </c>
      <c r="BO131">
        <f t="shared" si="165"/>
        <v>0</v>
      </c>
      <c r="BP131">
        <f t="shared" si="166"/>
        <v>2.66</v>
      </c>
      <c r="BQ131">
        <f t="shared" si="167"/>
        <v>0</v>
      </c>
      <c r="BR131">
        <f t="shared" si="168"/>
        <v>3.648</v>
      </c>
      <c r="BS131">
        <f t="shared" si="169"/>
        <v>0</v>
      </c>
      <c r="BT131">
        <f t="shared" si="170"/>
        <v>0</v>
      </c>
      <c r="BU131">
        <f t="shared" si="171"/>
        <v>33.288</v>
      </c>
      <c r="BV131">
        <f t="shared" si="172"/>
        <v>6.612</v>
      </c>
      <c r="BW131">
        <f t="shared" si="173"/>
        <v>0</v>
      </c>
      <c r="BX131">
        <f t="shared" si="174"/>
        <v>0</v>
      </c>
      <c r="BY131">
        <f t="shared" si="175"/>
        <v>0</v>
      </c>
      <c r="BZ131">
        <f t="shared" si="176"/>
        <v>0</v>
      </c>
      <c r="CA131">
        <f t="shared" si="177"/>
        <v>0</v>
      </c>
      <c r="CB131">
        <f t="shared" si="178"/>
        <v>2.052</v>
      </c>
      <c r="CC131">
        <f t="shared" si="179"/>
        <v>0</v>
      </c>
      <c r="CD131">
        <f t="shared" si="180"/>
        <v>0</v>
      </c>
      <c r="CE131">
        <f t="shared" si="181"/>
        <v>0</v>
      </c>
      <c r="CG131" s="6">
        <v>2015</v>
      </c>
      <c r="CH131" s="6" t="s">
        <v>255</v>
      </c>
      <c r="CI131" s="6">
        <v>0.095</v>
      </c>
      <c r="CJ131" s="6">
        <v>0.095</v>
      </c>
      <c r="CK131" s="6" t="s">
        <v>591</v>
      </c>
      <c r="CL131" s="6" t="s">
        <v>591</v>
      </c>
      <c r="CM131" s="6" t="s">
        <v>593</v>
      </c>
    </row>
    <row r="132" spans="4:91">
      <c r="D132">
        <f t="shared" si="182"/>
        <v>2020</v>
      </c>
      <c r="E132" t="s">
        <v>256</v>
      </c>
      <c r="F132" s="1">
        <f t="shared" si="112"/>
        <v>0</v>
      </c>
      <c r="G132" s="1">
        <f t="shared" si="113"/>
        <v>5.491</v>
      </c>
      <c r="H132" s="1">
        <f t="shared" si="114"/>
        <v>2.66</v>
      </c>
      <c r="I132" s="1">
        <f t="shared" si="115"/>
        <v>0</v>
      </c>
      <c r="J132" s="1">
        <f t="shared" si="116"/>
        <v>0</v>
      </c>
      <c r="K132" s="1">
        <f t="shared" si="117"/>
        <v>0</v>
      </c>
      <c r="L132" s="1">
        <f t="shared" si="118"/>
        <v>0.5605</v>
      </c>
      <c r="M132" s="1">
        <f t="shared" si="111"/>
        <v>0.7315</v>
      </c>
      <c r="N132" s="1">
        <f t="shared" si="119"/>
        <v>0</v>
      </c>
      <c r="O132" s="1">
        <f t="shared" si="120"/>
        <v>0</v>
      </c>
      <c r="P132" s="1">
        <f t="shared" si="121"/>
        <v>0</v>
      </c>
      <c r="Q132" s="1">
        <f t="shared" si="122"/>
        <v>0</v>
      </c>
      <c r="R132" s="1">
        <f t="shared" si="123"/>
        <v>0</v>
      </c>
      <c r="S132" s="1">
        <f t="shared" si="124"/>
        <v>0</v>
      </c>
      <c r="T132" s="1">
        <f t="shared" si="125"/>
        <v>0</v>
      </c>
      <c r="U132" s="1">
        <f t="shared" si="126"/>
        <v>0.76</v>
      </c>
      <c r="V132" s="1">
        <f t="shared" si="127"/>
        <v>0</v>
      </c>
      <c r="W132" s="1">
        <f t="shared" si="128"/>
        <v>0</v>
      </c>
      <c r="X132" s="1">
        <f t="shared" si="129"/>
        <v>0</v>
      </c>
      <c r="Y132" s="1">
        <f t="shared" si="130"/>
        <v>0</v>
      </c>
      <c r="Z132" s="1">
        <f t="shared" si="131"/>
        <v>0</v>
      </c>
      <c r="AA132" s="1">
        <f t="shared" si="132"/>
        <v>0</v>
      </c>
      <c r="AB132" s="1">
        <f t="shared" si="133"/>
        <v>0</v>
      </c>
      <c r="AC132" s="1">
        <f t="shared" si="134"/>
        <v>0</v>
      </c>
      <c r="AD132" s="1">
        <f t="shared" si="135"/>
        <v>1.957</v>
      </c>
      <c r="AE132" s="1">
        <f t="shared" si="136"/>
        <v>0</v>
      </c>
      <c r="AF132" s="1">
        <f t="shared" si="137"/>
        <v>0</v>
      </c>
      <c r="AG132" s="1">
        <f t="shared" si="138"/>
        <v>7.03</v>
      </c>
      <c r="AH132" s="1">
        <f t="shared" si="139"/>
        <v>0</v>
      </c>
      <c r="AI132" s="1">
        <f t="shared" si="140"/>
        <v>0</v>
      </c>
      <c r="AJ132" s="1">
        <f t="shared" si="141"/>
        <v>0</v>
      </c>
      <c r="AK132" s="1">
        <f t="shared" si="142"/>
        <v>0</v>
      </c>
      <c r="AL132" s="1">
        <f t="shared" si="143"/>
        <v>0</v>
      </c>
      <c r="AM132" s="1">
        <f t="shared" si="144"/>
        <v>0</v>
      </c>
      <c r="AN132" s="1">
        <f t="shared" si="145"/>
        <v>0</v>
      </c>
      <c r="AQ132" s="6">
        <v>2015</v>
      </c>
      <c r="AR132" s="6" t="s">
        <v>256</v>
      </c>
      <c r="AS132" s="6">
        <v>0.095</v>
      </c>
      <c r="AT132" s="6" t="s">
        <v>591</v>
      </c>
      <c r="AU132" s="6" t="s">
        <v>592</v>
      </c>
      <c r="AV132" t="str">
        <f t="shared" si="146"/>
        <v>MINBatMaterials_MN</v>
      </c>
      <c r="AW132">
        <f t="shared" si="147"/>
        <v>0</v>
      </c>
      <c r="AX132">
        <f t="shared" si="148"/>
        <v>57.8</v>
      </c>
      <c r="AY132">
        <f t="shared" si="149"/>
        <v>28</v>
      </c>
      <c r="AZ132">
        <f t="shared" si="150"/>
        <v>0</v>
      </c>
      <c r="BA132">
        <f t="shared" si="151"/>
        <v>0</v>
      </c>
      <c r="BB132">
        <f t="shared" si="152"/>
        <v>0</v>
      </c>
      <c r="BC132">
        <f t="shared" si="153"/>
        <v>5.9</v>
      </c>
      <c r="BD132">
        <f t="shared" si="154"/>
        <v>7.7</v>
      </c>
      <c r="BE132">
        <f t="shared" si="155"/>
        <v>0</v>
      </c>
      <c r="BF132">
        <f t="shared" si="156"/>
        <v>0</v>
      </c>
      <c r="BG132">
        <f t="shared" si="157"/>
        <v>0</v>
      </c>
      <c r="BH132">
        <f t="shared" si="158"/>
        <v>0</v>
      </c>
      <c r="BI132">
        <f t="shared" si="159"/>
        <v>0</v>
      </c>
      <c r="BJ132">
        <f t="shared" si="160"/>
        <v>0</v>
      </c>
      <c r="BK132">
        <f t="shared" si="161"/>
        <v>0</v>
      </c>
      <c r="BL132">
        <f t="shared" si="162"/>
        <v>8</v>
      </c>
      <c r="BM132">
        <f t="shared" si="163"/>
        <v>0</v>
      </c>
      <c r="BN132">
        <f t="shared" si="164"/>
        <v>0</v>
      </c>
      <c r="BO132">
        <f t="shared" si="165"/>
        <v>0</v>
      </c>
      <c r="BP132">
        <f t="shared" si="166"/>
        <v>0</v>
      </c>
      <c r="BQ132">
        <f t="shared" si="167"/>
        <v>0</v>
      </c>
      <c r="BR132">
        <f t="shared" si="168"/>
        <v>0</v>
      </c>
      <c r="BS132">
        <f t="shared" si="169"/>
        <v>0</v>
      </c>
      <c r="BT132">
        <f t="shared" si="170"/>
        <v>0</v>
      </c>
      <c r="BU132">
        <f t="shared" si="171"/>
        <v>20.6</v>
      </c>
      <c r="BV132">
        <f t="shared" si="172"/>
        <v>0</v>
      </c>
      <c r="BW132">
        <f t="shared" si="173"/>
        <v>0</v>
      </c>
      <c r="BX132">
        <f t="shared" si="174"/>
        <v>74</v>
      </c>
      <c r="BY132">
        <f t="shared" si="175"/>
        <v>0</v>
      </c>
      <c r="BZ132">
        <f t="shared" si="176"/>
        <v>0</v>
      </c>
      <c r="CA132">
        <f t="shared" si="177"/>
        <v>0</v>
      </c>
      <c r="CB132">
        <f t="shared" si="178"/>
        <v>0</v>
      </c>
      <c r="CC132">
        <f t="shared" si="179"/>
        <v>0</v>
      </c>
      <c r="CD132">
        <f t="shared" si="180"/>
        <v>0</v>
      </c>
      <c r="CE132">
        <f t="shared" si="181"/>
        <v>0</v>
      </c>
      <c r="CG132" s="6">
        <v>2015</v>
      </c>
      <c r="CH132" s="6" t="s">
        <v>256</v>
      </c>
      <c r="CI132" s="6">
        <v>0.095</v>
      </c>
      <c r="CJ132" s="6">
        <v>0.095</v>
      </c>
      <c r="CK132" s="6" t="s">
        <v>591</v>
      </c>
      <c r="CL132" s="6" t="s">
        <v>591</v>
      </c>
      <c r="CM132" s="6" t="s">
        <v>593</v>
      </c>
    </row>
    <row r="133" spans="4:91">
      <c r="D133">
        <f t="shared" si="182"/>
        <v>2020</v>
      </c>
      <c r="E133" t="s">
        <v>258</v>
      </c>
      <c r="F133" s="1">
        <f t="shared" si="112"/>
        <v>0</v>
      </c>
      <c r="G133" s="1">
        <f t="shared" si="113"/>
        <v>0.3021</v>
      </c>
      <c r="H133" s="1">
        <f t="shared" si="114"/>
        <v>18.0918</v>
      </c>
      <c r="I133" s="1">
        <f t="shared" si="115"/>
        <v>0</v>
      </c>
      <c r="J133" s="1">
        <f t="shared" si="116"/>
        <v>0</v>
      </c>
      <c r="K133" s="1">
        <f t="shared" si="117"/>
        <v>0</v>
      </c>
      <c r="L133" s="1">
        <f t="shared" si="118"/>
        <v>11.0561</v>
      </c>
      <c r="M133" s="1">
        <f t="shared" si="111"/>
        <v>84.4284</v>
      </c>
      <c r="N133" s="1">
        <f t="shared" si="119"/>
        <v>0</v>
      </c>
      <c r="O133" s="1">
        <f t="shared" si="120"/>
        <v>0</v>
      </c>
      <c r="P133" s="1">
        <f t="shared" si="121"/>
        <v>0</v>
      </c>
      <c r="Q133" s="1">
        <f t="shared" si="122"/>
        <v>0.9652</v>
      </c>
      <c r="R133" s="1">
        <f t="shared" si="123"/>
        <v>0.8645</v>
      </c>
      <c r="S133" s="1">
        <f t="shared" si="124"/>
        <v>0</v>
      </c>
      <c r="T133" s="1">
        <f t="shared" si="125"/>
        <v>0</v>
      </c>
      <c r="U133" s="1">
        <f t="shared" si="126"/>
        <v>7.638</v>
      </c>
      <c r="V133" s="1">
        <f t="shared" si="127"/>
        <v>1.6074</v>
      </c>
      <c r="W133" s="1">
        <f t="shared" si="128"/>
        <v>0</v>
      </c>
      <c r="X133" s="1">
        <f t="shared" si="129"/>
        <v>0</v>
      </c>
      <c r="Y133" s="1">
        <f t="shared" si="130"/>
        <v>0</v>
      </c>
      <c r="Z133" s="1">
        <f t="shared" si="131"/>
        <v>2.413</v>
      </c>
      <c r="AA133" s="1">
        <f t="shared" si="132"/>
        <v>2.2325</v>
      </c>
      <c r="AB133" s="1">
        <f t="shared" si="133"/>
        <v>0</v>
      </c>
      <c r="AC133" s="1">
        <f t="shared" si="134"/>
        <v>0</v>
      </c>
      <c r="AD133" s="1">
        <f t="shared" si="135"/>
        <v>5.7285</v>
      </c>
      <c r="AE133" s="1">
        <f t="shared" si="136"/>
        <v>2.9146</v>
      </c>
      <c r="AF133" s="1">
        <f t="shared" si="137"/>
        <v>1.8088</v>
      </c>
      <c r="AG133" s="1">
        <f t="shared" si="138"/>
        <v>0</v>
      </c>
      <c r="AH133" s="1">
        <f t="shared" si="139"/>
        <v>0.8246</v>
      </c>
      <c r="AI133" s="1">
        <f t="shared" si="140"/>
        <v>0</v>
      </c>
      <c r="AJ133" s="1">
        <f t="shared" si="141"/>
        <v>0</v>
      </c>
      <c r="AK133" s="1">
        <f t="shared" si="142"/>
        <v>0.3211</v>
      </c>
      <c r="AL133" s="1">
        <f t="shared" si="143"/>
        <v>0</v>
      </c>
      <c r="AM133" s="1">
        <f t="shared" si="144"/>
        <v>0</v>
      </c>
      <c r="AN133" s="1">
        <f t="shared" si="145"/>
        <v>0</v>
      </c>
      <c r="AQ133" s="6">
        <v>2015</v>
      </c>
      <c r="AR133" s="6" t="s">
        <v>258</v>
      </c>
      <c r="AS133" s="6">
        <v>0.095</v>
      </c>
      <c r="AT133" s="6" t="s">
        <v>591</v>
      </c>
      <c r="AU133" s="6" t="s">
        <v>592</v>
      </c>
      <c r="AV133" t="str">
        <f t="shared" si="146"/>
        <v>MINBatMaterials_AL</v>
      </c>
      <c r="AW133">
        <f t="shared" si="147"/>
        <v>0</v>
      </c>
      <c r="AX133">
        <f t="shared" si="148"/>
        <v>3.18</v>
      </c>
      <c r="AY133">
        <f t="shared" si="149"/>
        <v>190.44</v>
      </c>
      <c r="AZ133">
        <f t="shared" si="150"/>
        <v>0</v>
      </c>
      <c r="BA133">
        <f t="shared" si="151"/>
        <v>0</v>
      </c>
      <c r="BB133">
        <f t="shared" si="152"/>
        <v>0</v>
      </c>
      <c r="BC133">
        <f t="shared" si="153"/>
        <v>116.38</v>
      </c>
      <c r="BD133">
        <f t="shared" si="154"/>
        <v>888.72</v>
      </c>
      <c r="BE133">
        <f t="shared" si="155"/>
        <v>0</v>
      </c>
      <c r="BF133">
        <f t="shared" si="156"/>
        <v>0</v>
      </c>
      <c r="BG133">
        <f t="shared" si="157"/>
        <v>0</v>
      </c>
      <c r="BH133">
        <f t="shared" si="158"/>
        <v>10.16</v>
      </c>
      <c r="BI133">
        <f t="shared" si="159"/>
        <v>9.1</v>
      </c>
      <c r="BJ133">
        <f t="shared" si="160"/>
        <v>0</v>
      </c>
      <c r="BK133">
        <f t="shared" si="161"/>
        <v>0</v>
      </c>
      <c r="BL133">
        <f t="shared" si="162"/>
        <v>80.4</v>
      </c>
      <c r="BM133">
        <f t="shared" si="163"/>
        <v>16.92</v>
      </c>
      <c r="BN133">
        <f t="shared" si="164"/>
        <v>0</v>
      </c>
      <c r="BO133">
        <f t="shared" si="165"/>
        <v>0</v>
      </c>
      <c r="BP133">
        <f t="shared" si="166"/>
        <v>0</v>
      </c>
      <c r="BQ133">
        <f t="shared" si="167"/>
        <v>25.4</v>
      </c>
      <c r="BR133">
        <f t="shared" si="168"/>
        <v>23.5</v>
      </c>
      <c r="BS133">
        <f t="shared" si="169"/>
        <v>0</v>
      </c>
      <c r="BT133">
        <f t="shared" si="170"/>
        <v>0</v>
      </c>
      <c r="BU133">
        <f t="shared" si="171"/>
        <v>60.3</v>
      </c>
      <c r="BV133">
        <f t="shared" si="172"/>
        <v>30.68</v>
      </c>
      <c r="BW133">
        <f t="shared" si="173"/>
        <v>19.04</v>
      </c>
      <c r="BX133">
        <f t="shared" si="174"/>
        <v>0</v>
      </c>
      <c r="BY133">
        <f t="shared" si="175"/>
        <v>8.68</v>
      </c>
      <c r="BZ133">
        <f t="shared" si="176"/>
        <v>0</v>
      </c>
      <c r="CA133">
        <f t="shared" si="177"/>
        <v>0</v>
      </c>
      <c r="CB133">
        <f t="shared" si="178"/>
        <v>3.38</v>
      </c>
      <c r="CC133">
        <f t="shared" si="179"/>
        <v>0</v>
      </c>
      <c r="CD133">
        <f t="shared" si="180"/>
        <v>0</v>
      </c>
      <c r="CE133">
        <f t="shared" si="181"/>
        <v>0</v>
      </c>
      <c r="CG133" s="6">
        <v>2015</v>
      </c>
      <c r="CH133" s="6" t="s">
        <v>258</v>
      </c>
      <c r="CI133" s="6">
        <v>0.095</v>
      </c>
      <c r="CJ133" s="6">
        <v>0.095</v>
      </c>
      <c r="CK133" s="6" t="s">
        <v>591</v>
      </c>
      <c r="CL133" s="6" t="s">
        <v>591</v>
      </c>
      <c r="CM133" s="6" t="s">
        <v>593</v>
      </c>
    </row>
    <row r="134" spans="4:91">
      <c r="D134">
        <f t="shared" si="182"/>
        <v>2020</v>
      </c>
      <c r="E134" t="s">
        <v>260</v>
      </c>
      <c r="F134" s="1">
        <f t="shared" si="112"/>
        <v>0</v>
      </c>
      <c r="G134" s="1">
        <f t="shared" si="113"/>
        <v>9.4525</v>
      </c>
      <c r="H134" s="1">
        <f t="shared" si="114"/>
        <v>1.9</v>
      </c>
      <c r="I134" s="1">
        <f t="shared" si="115"/>
        <v>0</v>
      </c>
      <c r="J134" s="1">
        <f t="shared" si="116"/>
        <v>0</v>
      </c>
      <c r="K134" s="1">
        <f t="shared" si="117"/>
        <v>0</v>
      </c>
      <c r="L134" s="1">
        <f t="shared" si="118"/>
        <v>0</v>
      </c>
      <c r="M134" s="1">
        <f t="shared" si="111"/>
        <v>4.275</v>
      </c>
      <c r="N134" s="1">
        <f t="shared" si="119"/>
        <v>0</v>
      </c>
      <c r="O134" s="1">
        <f t="shared" si="120"/>
        <v>0</v>
      </c>
      <c r="P134" s="1">
        <f t="shared" si="121"/>
        <v>0</v>
      </c>
      <c r="Q134" s="1">
        <f t="shared" si="122"/>
        <v>0</v>
      </c>
      <c r="R134" s="1">
        <f t="shared" si="123"/>
        <v>0</v>
      </c>
      <c r="S134" s="1">
        <f t="shared" si="124"/>
        <v>0</v>
      </c>
      <c r="T134" s="1">
        <f t="shared" si="125"/>
        <v>0</v>
      </c>
      <c r="U134" s="1">
        <f t="shared" si="126"/>
        <v>0.07125</v>
      </c>
      <c r="V134" s="1">
        <f t="shared" si="127"/>
        <v>0</v>
      </c>
      <c r="W134" s="1">
        <f t="shared" si="128"/>
        <v>0</v>
      </c>
      <c r="X134" s="1">
        <f t="shared" si="129"/>
        <v>0</v>
      </c>
      <c r="Y134" s="1">
        <f t="shared" si="130"/>
        <v>18.7625</v>
      </c>
      <c r="Z134" s="1">
        <f t="shared" si="131"/>
        <v>0</v>
      </c>
      <c r="AA134" s="1">
        <f t="shared" si="132"/>
        <v>5.34375</v>
      </c>
      <c r="AB134" s="1">
        <f t="shared" si="133"/>
        <v>0</v>
      </c>
      <c r="AC134" s="1">
        <f t="shared" si="134"/>
        <v>0.97375</v>
      </c>
      <c r="AD134" s="1">
        <f t="shared" si="135"/>
        <v>11.1625</v>
      </c>
      <c r="AE134" s="1">
        <f t="shared" si="136"/>
        <v>2.20875</v>
      </c>
      <c r="AF134" s="1">
        <f t="shared" si="137"/>
        <v>0</v>
      </c>
      <c r="AG134" s="1">
        <f t="shared" si="138"/>
        <v>0</v>
      </c>
      <c r="AH134" s="1">
        <f t="shared" si="139"/>
        <v>0</v>
      </c>
      <c r="AI134" s="1">
        <f t="shared" si="140"/>
        <v>0</v>
      </c>
      <c r="AJ134" s="1">
        <f t="shared" si="141"/>
        <v>0</v>
      </c>
      <c r="AK134" s="1">
        <f t="shared" si="142"/>
        <v>0</v>
      </c>
      <c r="AL134" s="1">
        <f t="shared" si="143"/>
        <v>0</v>
      </c>
      <c r="AM134" s="1">
        <f t="shared" si="144"/>
        <v>0</v>
      </c>
      <c r="AN134" s="1">
        <f t="shared" si="145"/>
        <v>0</v>
      </c>
      <c r="AQ134" s="6">
        <v>2015</v>
      </c>
      <c r="AR134" s="6" t="s">
        <v>260</v>
      </c>
      <c r="AS134" s="6">
        <v>0.095</v>
      </c>
      <c r="AT134" s="6" t="s">
        <v>591</v>
      </c>
      <c r="AU134" s="6" t="s">
        <v>592</v>
      </c>
      <c r="AV134" t="str">
        <f t="shared" si="146"/>
        <v>MINBatMaterials_COP</v>
      </c>
      <c r="AW134">
        <f t="shared" si="147"/>
        <v>0</v>
      </c>
      <c r="AX134">
        <f t="shared" si="148"/>
        <v>99.5</v>
      </c>
      <c r="AY134">
        <f t="shared" si="149"/>
        <v>20</v>
      </c>
      <c r="AZ134">
        <f t="shared" si="150"/>
        <v>0</v>
      </c>
      <c r="BA134">
        <f t="shared" si="151"/>
        <v>0</v>
      </c>
      <c r="BB134">
        <f t="shared" si="152"/>
        <v>0</v>
      </c>
      <c r="BC134">
        <f t="shared" si="153"/>
        <v>0</v>
      </c>
      <c r="BD134">
        <f t="shared" si="154"/>
        <v>45</v>
      </c>
      <c r="BE134">
        <f t="shared" si="155"/>
        <v>0</v>
      </c>
      <c r="BF134">
        <f t="shared" si="156"/>
        <v>0</v>
      </c>
      <c r="BG134">
        <f t="shared" si="157"/>
        <v>0</v>
      </c>
      <c r="BH134">
        <f t="shared" si="158"/>
        <v>0</v>
      </c>
      <c r="BI134">
        <f t="shared" si="159"/>
        <v>0</v>
      </c>
      <c r="BJ134">
        <f t="shared" si="160"/>
        <v>0</v>
      </c>
      <c r="BK134">
        <f t="shared" si="161"/>
        <v>0</v>
      </c>
      <c r="BL134">
        <f t="shared" si="162"/>
        <v>0.75</v>
      </c>
      <c r="BM134">
        <f t="shared" si="163"/>
        <v>0</v>
      </c>
      <c r="BN134">
        <f t="shared" si="164"/>
        <v>0</v>
      </c>
      <c r="BO134">
        <f t="shared" si="165"/>
        <v>0</v>
      </c>
      <c r="BP134">
        <f t="shared" si="166"/>
        <v>197.5</v>
      </c>
      <c r="BQ134">
        <f t="shared" si="167"/>
        <v>0</v>
      </c>
      <c r="BR134">
        <f t="shared" si="168"/>
        <v>56.25</v>
      </c>
      <c r="BS134">
        <f t="shared" si="169"/>
        <v>0</v>
      </c>
      <c r="BT134">
        <f t="shared" si="170"/>
        <v>10.25</v>
      </c>
      <c r="BU134">
        <f t="shared" si="171"/>
        <v>117.5</v>
      </c>
      <c r="BV134">
        <f t="shared" si="172"/>
        <v>23.25</v>
      </c>
      <c r="BW134">
        <f t="shared" si="173"/>
        <v>0</v>
      </c>
      <c r="BX134">
        <f t="shared" si="174"/>
        <v>0</v>
      </c>
      <c r="BY134">
        <f t="shared" si="175"/>
        <v>0</v>
      </c>
      <c r="BZ134">
        <f t="shared" si="176"/>
        <v>0</v>
      </c>
      <c r="CA134">
        <f t="shared" si="177"/>
        <v>0</v>
      </c>
      <c r="CB134">
        <f t="shared" si="178"/>
        <v>0</v>
      </c>
      <c r="CC134">
        <f t="shared" si="179"/>
        <v>0</v>
      </c>
      <c r="CD134">
        <f t="shared" si="180"/>
        <v>0</v>
      </c>
      <c r="CE134">
        <f t="shared" si="181"/>
        <v>0</v>
      </c>
      <c r="CG134" s="6">
        <v>2015</v>
      </c>
      <c r="CH134" s="6" t="s">
        <v>260</v>
      </c>
      <c r="CI134" s="6">
        <v>0.095</v>
      </c>
      <c r="CJ134" s="6">
        <v>0.095</v>
      </c>
      <c r="CK134" s="6" t="s">
        <v>591</v>
      </c>
      <c r="CL134" s="6" t="s">
        <v>591</v>
      </c>
      <c r="CM134" s="6" t="s">
        <v>593</v>
      </c>
    </row>
    <row r="135" spans="4:91">
      <c r="D135">
        <f t="shared" si="182"/>
        <v>2020</v>
      </c>
      <c r="E135" t="s">
        <v>262</v>
      </c>
      <c r="F135" s="1">
        <f t="shared" si="112"/>
        <v>0</v>
      </c>
      <c r="G135" s="1">
        <f t="shared" si="113"/>
        <v>16.1595</v>
      </c>
      <c r="H135" s="1">
        <f t="shared" si="114"/>
        <v>0</v>
      </c>
      <c r="I135" s="1">
        <f t="shared" si="115"/>
        <v>0.04275</v>
      </c>
      <c r="J135" s="1">
        <f t="shared" si="116"/>
        <v>0</v>
      </c>
      <c r="K135" s="1">
        <f t="shared" si="117"/>
        <v>0</v>
      </c>
      <c r="L135" s="1">
        <f t="shared" si="118"/>
        <v>5.814</v>
      </c>
      <c r="M135" s="1">
        <f t="shared" si="111"/>
        <v>108.585</v>
      </c>
      <c r="N135" s="1">
        <f t="shared" si="119"/>
        <v>0</v>
      </c>
      <c r="O135" s="1">
        <f t="shared" si="120"/>
        <v>0</v>
      </c>
      <c r="P135" s="1">
        <f t="shared" si="121"/>
        <v>0</v>
      </c>
      <c r="Q135" s="1">
        <f t="shared" si="122"/>
        <v>0.0171</v>
      </c>
      <c r="R135" s="1">
        <f t="shared" si="123"/>
        <v>0</v>
      </c>
      <c r="S135" s="1">
        <f t="shared" si="124"/>
        <v>0</v>
      </c>
      <c r="T135" s="1">
        <f t="shared" si="125"/>
        <v>0</v>
      </c>
      <c r="U135" s="1">
        <f t="shared" si="126"/>
        <v>2.394</v>
      </c>
      <c r="V135" s="1">
        <f t="shared" si="127"/>
        <v>0</v>
      </c>
      <c r="W135" s="1">
        <f t="shared" si="128"/>
        <v>0</v>
      </c>
      <c r="X135" s="1">
        <f t="shared" si="129"/>
        <v>0</v>
      </c>
      <c r="Y135" s="1">
        <f t="shared" si="130"/>
        <v>0</v>
      </c>
      <c r="Z135" s="1">
        <f t="shared" si="131"/>
        <v>0</v>
      </c>
      <c r="AA135" s="1">
        <f t="shared" si="132"/>
        <v>1.78695</v>
      </c>
      <c r="AB135" s="1">
        <f t="shared" si="133"/>
        <v>0.5985</v>
      </c>
      <c r="AC135" s="1">
        <f t="shared" si="134"/>
        <v>0</v>
      </c>
      <c r="AD135" s="1">
        <f t="shared" si="135"/>
        <v>1.95795</v>
      </c>
      <c r="AE135" s="1">
        <f t="shared" si="136"/>
        <v>1.71</v>
      </c>
      <c r="AF135" s="1">
        <f t="shared" si="137"/>
        <v>0</v>
      </c>
      <c r="AG135" s="1">
        <f t="shared" si="138"/>
        <v>0</v>
      </c>
      <c r="AH135" s="1">
        <f t="shared" si="139"/>
        <v>0</v>
      </c>
      <c r="AI135" s="1">
        <f t="shared" si="140"/>
        <v>0</v>
      </c>
      <c r="AJ135" s="1">
        <f t="shared" si="141"/>
        <v>0</v>
      </c>
      <c r="AK135" s="1">
        <f t="shared" si="142"/>
        <v>0.2565</v>
      </c>
      <c r="AL135" s="1">
        <f t="shared" si="143"/>
        <v>0</v>
      </c>
      <c r="AM135" s="1">
        <f t="shared" si="144"/>
        <v>0.1026</v>
      </c>
      <c r="AN135" s="1">
        <f t="shared" si="145"/>
        <v>0</v>
      </c>
      <c r="AQ135" s="6">
        <v>2015</v>
      </c>
      <c r="AR135" s="6" t="s">
        <v>262</v>
      </c>
      <c r="AS135" s="6">
        <v>0.095</v>
      </c>
      <c r="AT135" s="6" t="s">
        <v>591</v>
      </c>
      <c r="AU135" s="6" t="s">
        <v>592</v>
      </c>
      <c r="AV135" t="str">
        <f t="shared" si="146"/>
        <v>MINBatMaterials_GR</v>
      </c>
      <c r="AW135">
        <f t="shared" si="147"/>
        <v>0</v>
      </c>
      <c r="AX135">
        <f t="shared" si="148"/>
        <v>170.1</v>
      </c>
      <c r="AY135">
        <f t="shared" si="149"/>
        <v>0</v>
      </c>
      <c r="AZ135">
        <f t="shared" si="150"/>
        <v>0.45</v>
      </c>
      <c r="BA135">
        <f t="shared" si="151"/>
        <v>0</v>
      </c>
      <c r="BB135">
        <f t="shared" si="152"/>
        <v>0</v>
      </c>
      <c r="BC135">
        <f t="shared" si="153"/>
        <v>61.2</v>
      </c>
      <c r="BD135">
        <f t="shared" si="154"/>
        <v>1143</v>
      </c>
      <c r="BE135">
        <f t="shared" si="155"/>
        <v>0</v>
      </c>
      <c r="BF135">
        <f t="shared" si="156"/>
        <v>0</v>
      </c>
      <c r="BG135">
        <f t="shared" si="157"/>
        <v>0</v>
      </c>
      <c r="BH135">
        <f t="shared" si="158"/>
        <v>0.18</v>
      </c>
      <c r="BI135">
        <f t="shared" si="159"/>
        <v>0</v>
      </c>
      <c r="BJ135">
        <f t="shared" si="160"/>
        <v>0</v>
      </c>
      <c r="BK135">
        <f t="shared" si="161"/>
        <v>0</v>
      </c>
      <c r="BL135">
        <f t="shared" si="162"/>
        <v>25.2</v>
      </c>
      <c r="BM135">
        <f t="shared" si="163"/>
        <v>0</v>
      </c>
      <c r="BN135">
        <f t="shared" si="164"/>
        <v>0</v>
      </c>
      <c r="BO135">
        <f t="shared" si="165"/>
        <v>0</v>
      </c>
      <c r="BP135">
        <f t="shared" si="166"/>
        <v>0</v>
      </c>
      <c r="BQ135">
        <f t="shared" si="167"/>
        <v>0</v>
      </c>
      <c r="BR135">
        <f t="shared" si="168"/>
        <v>18.81</v>
      </c>
      <c r="BS135">
        <f t="shared" si="169"/>
        <v>6.3</v>
      </c>
      <c r="BT135">
        <f t="shared" si="170"/>
        <v>0</v>
      </c>
      <c r="BU135">
        <f t="shared" si="171"/>
        <v>20.61</v>
      </c>
      <c r="BV135">
        <f t="shared" si="172"/>
        <v>18</v>
      </c>
      <c r="BW135">
        <f t="shared" si="173"/>
        <v>0</v>
      </c>
      <c r="BX135">
        <f t="shared" si="174"/>
        <v>0</v>
      </c>
      <c r="BY135">
        <f t="shared" si="175"/>
        <v>0</v>
      </c>
      <c r="BZ135">
        <f t="shared" si="176"/>
        <v>0</v>
      </c>
      <c r="CA135">
        <f t="shared" si="177"/>
        <v>0</v>
      </c>
      <c r="CB135">
        <f t="shared" si="178"/>
        <v>2.7</v>
      </c>
      <c r="CC135">
        <f t="shared" si="179"/>
        <v>0</v>
      </c>
      <c r="CD135">
        <f t="shared" si="180"/>
        <v>1.08</v>
      </c>
      <c r="CE135">
        <f t="shared" si="181"/>
        <v>0</v>
      </c>
      <c r="CG135" s="6">
        <v>2015</v>
      </c>
      <c r="CH135" s="6" t="s">
        <v>262</v>
      </c>
      <c r="CI135" s="6">
        <v>0.095</v>
      </c>
      <c r="CJ135" s="6">
        <v>0.095</v>
      </c>
      <c r="CK135" s="6" t="s">
        <v>591</v>
      </c>
      <c r="CL135" s="6" t="s">
        <v>591</v>
      </c>
      <c r="CM135" s="6" t="s">
        <v>593</v>
      </c>
    </row>
    <row r="136" spans="4:91">
      <c r="D136">
        <v>2015</v>
      </c>
      <c r="E136" t="s">
        <v>68</v>
      </c>
      <c r="F136" s="1">
        <f t="shared" si="112"/>
        <v>0</v>
      </c>
      <c r="G136" s="1">
        <f t="shared" si="113"/>
        <v>0</v>
      </c>
      <c r="H136" s="1">
        <f t="shared" si="114"/>
        <v>0.000232</v>
      </c>
      <c r="I136" s="1">
        <f t="shared" si="115"/>
        <v>0.00058</v>
      </c>
      <c r="J136" s="1">
        <f t="shared" si="116"/>
        <v>0.000232</v>
      </c>
      <c r="K136" s="1">
        <f t="shared" si="117"/>
        <v>0.006032</v>
      </c>
      <c r="L136" s="1">
        <f t="shared" si="118"/>
        <v>0.00058</v>
      </c>
      <c r="M136" s="1">
        <f t="shared" si="111"/>
        <v>7.089804</v>
      </c>
      <c r="N136" s="1">
        <f t="shared" si="119"/>
        <v>0</v>
      </c>
      <c r="O136" s="1">
        <f t="shared" si="120"/>
        <v>0.00058</v>
      </c>
      <c r="P136" s="1">
        <f t="shared" si="121"/>
        <v>0.003654</v>
      </c>
      <c r="Q136" s="1">
        <f t="shared" si="122"/>
        <v>0.003016</v>
      </c>
      <c r="R136" s="1">
        <f t="shared" si="123"/>
        <v>0</v>
      </c>
      <c r="S136" s="1">
        <f t="shared" si="124"/>
        <v>0.00058</v>
      </c>
      <c r="T136" s="1">
        <f t="shared" si="125"/>
        <v>0</v>
      </c>
      <c r="U136" s="1">
        <f t="shared" si="126"/>
        <v>0.00725</v>
      </c>
      <c r="V136" s="1">
        <f t="shared" si="127"/>
        <v>0</v>
      </c>
      <c r="W136" s="1">
        <f t="shared" si="128"/>
        <v>0.001218</v>
      </c>
      <c r="X136" s="1">
        <f t="shared" si="129"/>
        <v>0.00058</v>
      </c>
      <c r="Y136" s="1">
        <f t="shared" si="130"/>
        <v>0.002726</v>
      </c>
      <c r="Z136" s="1">
        <f t="shared" si="131"/>
        <v>0.000232</v>
      </c>
      <c r="AA136" s="1">
        <f t="shared" si="132"/>
        <v>0.008526</v>
      </c>
      <c r="AB136" s="1">
        <f t="shared" si="133"/>
        <v>0.001218</v>
      </c>
      <c r="AC136" s="1">
        <f t="shared" si="134"/>
        <v>0.003306</v>
      </c>
      <c r="AD136" s="1">
        <f t="shared" si="135"/>
        <v>0.003654</v>
      </c>
      <c r="AE136" s="1">
        <f t="shared" si="136"/>
        <v>0.00116</v>
      </c>
      <c r="AF136" s="1">
        <f t="shared" si="137"/>
        <v>0</v>
      </c>
      <c r="AG136" s="1">
        <f t="shared" si="138"/>
        <v>0</v>
      </c>
      <c r="AH136" s="1">
        <f t="shared" si="139"/>
        <v>0.001798</v>
      </c>
      <c r="AI136" s="1">
        <f t="shared" si="140"/>
        <v>0.003654</v>
      </c>
      <c r="AJ136" s="1">
        <f t="shared" si="141"/>
        <v>0.00058</v>
      </c>
      <c r="AK136" s="1">
        <f t="shared" si="142"/>
        <v>0.00058</v>
      </c>
      <c r="AL136" s="1">
        <f t="shared" si="143"/>
        <v>0.004872</v>
      </c>
      <c r="AM136" s="1">
        <f t="shared" si="144"/>
        <v>0</v>
      </c>
      <c r="AN136" s="1">
        <f t="shared" si="145"/>
        <v>0</v>
      </c>
      <c r="AQ136" s="6">
        <v>2015</v>
      </c>
      <c r="AR136" s="6" t="s">
        <v>68</v>
      </c>
      <c r="AS136" s="6">
        <v>0.058</v>
      </c>
      <c r="AT136" s="6" t="s">
        <v>568</v>
      </c>
      <c r="AU136" s="6" t="s">
        <v>594</v>
      </c>
      <c r="AV136" t="str">
        <f t="shared" si="146"/>
        <v>Tra_EV_Batt-LFP_virgin</v>
      </c>
      <c r="AW136">
        <f t="shared" si="147"/>
        <v>0</v>
      </c>
      <c r="AX136">
        <f t="shared" si="148"/>
        <v>0</v>
      </c>
      <c r="AY136">
        <f t="shared" si="149"/>
        <v>0.004</v>
      </c>
      <c r="AZ136">
        <f t="shared" si="150"/>
        <v>0.01</v>
      </c>
      <c r="BA136">
        <f t="shared" si="151"/>
        <v>0.004</v>
      </c>
      <c r="BB136">
        <f t="shared" si="152"/>
        <v>0.104</v>
      </c>
      <c r="BC136">
        <f t="shared" si="153"/>
        <v>0.01</v>
      </c>
      <c r="BD136">
        <f t="shared" si="154"/>
        <v>122.238</v>
      </c>
      <c r="BE136">
        <f t="shared" si="155"/>
        <v>0</v>
      </c>
      <c r="BF136">
        <f t="shared" si="156"/>
        <v>0.01</v>
      </c>
      <c r="BG136">
        <f t="shared" si="157"/>
        <v>0.063</v>
      </c>
      <c r="BH136">
        <f t="shared" si="158"/>
        <v>0.052</v>
      </c>
      <c r="BI136">
        <f t="shared" si="159"/>
        <v>0</v>
      </c>
      <c r="BJ136">
        <f t="shared" si="160"/>
        <v>0.01</v>
      </c>
      <c r="BK136">
        <f t="shared" si="161"/>
        <v>0</v>
      </c>
      <c r="BL136">
        <f t="shared" si="162"/>
        <v>0.125</v>
      </c>
      <c r="BM136">
        <f t="shared" si="163"/>
        <v>0</v>
      </c>
      <c r="BN136">
        <f t="shared" si="164"/>
        <v>0.021</v>
      </c>
      <c r="BO136">
        <f t="shared" si="165"/>
        <v>0.01</v>
      </c>
      <c r="BP136">
        <f t="shared" si="166"/>
        <v>0.047</v>
      </c>
      <c r="BQ136">
        <f t="shared" si="167"/>
        <v>0.004</v>
      </c>
      <c r="BR136">
        <f t="shared" si="168"/>
        <v>0.147</v>
      </c>
      <c r="BS136">
        <f t="shared" si="169"/>
        <v>0.021</v>
      </c>
      <c r="BT136">
        <f t="shared" si="170"/>
        <v>0.057</v>
      </c>
      <c r="BU136">
        <f t="shared" si="171"/>
        <v>0.063</v>
      </c>
      <c r="BV136">
        <f t="shared" si="172"/>
        <v>0.02</v>
      </c>
      <c r="BW136">
        <f t="shared" si="173"/>
        <v>0</v>
      </c>
      <c r="BX136">
        <f t="shared" si="174"/>
        <v>0</v>
      </c>
      <c r="BY136">
        <f t="shared" si="175"/>
        <v>0.031</v>
      </c>
      <c r="BZ136">
        <f t="shared" si="176"/>
        <v>0.063</v>
      </c>
      <c r="CA136">
        <f t="shared" si="177"/>
        <v>0.01</v>
      </c>
      <c r="CB136">
        <f t="shared" si="178"/>
        <v>0.01</v>
      </c>
      <c r="CC136">
        <f t="shared" si="179"/>
        <v>0.084</v>
      </c>
      <c r="CD136">
        <f t="shared" si="180"/>
        <v>0</v>
      </c>
      <c r="CE136">
        <f t="shared" si="181"/>
        <v>0</v>
      </c>
      <c r="CG136" s="6">
        <v>2015</v>
      </c>
      <c r="CH136" s="6" t="s">
        <v>68</v>
      </c>
      <c r="CI136" s="6">
        <v>0.058</v>
      </c>
      <c r="CJ136" s="6">
        <v>0.09</v>
      </c>
      <c r="CK136" s="6" t="s">
        <v>595</v>
      </c>
      <c r="CL136" s="6" t="s">
        <v>596</v>
      </c>
      <c r="CM136" s="6" t="s">
        <v>597</v>
      </c>
    </row>
    <row r="137" spans="4:91">
      <c r="D137">
        <f t="shared" si="182"/>
        <v>2015</v>
      </c>
      <c r="E137" t="s">
        <v>90</v>
      </c>
      <c r="F137" s="1">
        <f t="shared" si="112"/>
        <v>0.000174</v>
      </c>
      <c r="G137" s="1">
        <f t="shared" si="113"/>
        <v>0.000174</v>
      </c>
      <c r="H137" s="1">
        <f t="shared" si="114"/>
        <v>0.005916</v>
      </c>
      <c r="I137" s="1">
        <f t="shared" si="115"/>
        <v>0.019836</v>
      </c>
      <c r="J137" s="1">
        <f t="shared" si="116"/>
        <v>0.002262</v>
      </c>
      <c r="K137" s="1">
        <f t="shared" si="117"/>
        <v>0.090712</v>
      </c>
      <c r="L137" s="1">
        <f t="shared" si="118"/>
        <v>0.000696</v>
      </c>
      <c r="M137" s="1">
        <f t="shared" si="111"/>
        <v>1.22148</v>
      </c>
      <c r="N137" s="1">
        <f t="shared" si="119"/>
        <v>0.001624</v>
      </c>
      <c r="O137" s="1">
        <f t="shared" si="120"/>
        <v>0.002552</v>
      </c>
      <c r="P137" s="1">
        <f t="shared" si="121"/>
        <v>0.14616</v>
      </c>
      <c r="Q137" s="1">
        <f t="shared" si="122"/>
        <v>0.114666</v>
      </c>
      <c r="R137" s="1">
        <f t="shared" si="123"/>
        <v>0.000348</v>
      </c>
      <c r="S137" s="1">
        <f t="shared" si="124"/>
        <v>0.00493</v>
      </c>
      <c r="T137" s="1">
        <f t="shared" si="125"/>
        <v>0.00725</v>
      </c>
      <c r="U137" s="1">
        <f t="shared" si="126"/>
        <v>0.00406</v>
      </c>
      <c r="V137" s="1">
        <f t="shared" si="127"/>
        <v>0.004756</v>
      </c>
      <c r="W137" s="1">
        <f t="shared" si="128"/>
        <v>0.014848</v>
      </c>
      <c r="X137" s="1">
        <f t="shared" si="129"/>
        <v>0.132414</v>
      </c>
      <c r="Y137" s="1">
        <f t="shared" si="130"/>
        <v>0.00261</v>
      </c>
      <c r="Z137" s="1">
        <f t="shared" si="131"/>
        <v>0.002262</v>
      </c>
      <c r="AA137" s="1">
        <f t="shared" si="132"/>
        <v>0.401998</v>
      </c>
      <c r="AB137" s="1">
        <f t="shared" si="133"/>
        <v>0.157064</v>
      </c>
      <c r="AC137" s="1">
        <f t="shared" si="134"/>
        <v>0.003074</v>
      </c>
      <c r="AD137" s="1">
        <f t="shared" si="135"/>
        <v>0.027492</v>
      </c>
      <c r="AE137" s="1">
        <f t="shared" si="136"/>
        <v>0.003248</v>
      </c>
      <c r="AF137" s="1">
        <f t="shared" si="137"/>
        <v>0.000116</v>
      </c>
      <c r="AG137" s="1">
        <f t="shared" si="138"/>
        <v>0.000522</v>
      </c>
      <c r="AH137" s="1">
        <f t="shared" si="139"/>
        <v>0.030334</v>
      </c>
      <c r="AI137" s="1">
        <f t="shared" si="140"/>
        <v>0.05162</v>
      </c>
      <c r="AJ137" s="1">
        <f t="shared" si="141"/>
        <v>0.019546</v>
      </c>
      <c r="AK137" s="1">
        <f t="shared" si="142"/>
        <v>0.000696</v>
      </c>
      <c r="AL137" s="1">
        <f t="shared" si="143"/>
        <v>0.092162</v>
      </c>
      <c r="AM137" s="1">
        <f t="shared" si="144"/>
        <v>0.006496</v>
      </c>
      <c r="AN137" s="1">
        <f t="shared" si="145"/>
        <v>0.00029</v>
      </c>
      <c r="AQ137" s="6">
        <v>2015</v>
      </c>
      <c r="AR137" s="6" t="s">
        <v>90</v>
      </c>
      <c r="AS137" s="6">
        <v>0.058</v>
      </c>
      <c r="AT137" s="6" t="s">
        <v>568</v>
      </c>
      <c r="AU137" s="6" t="s">
        <v>594</v>
      </c>
      <c r="AV137" t="str">
        <f t="shared" si="146"/>
        <v>Tra_EV_Batt-NMC622_virgin</v>
      </c>
      <c r="AW137">
        <f t="shared" si="147"/>
        <v>0.003</v>
      </c>
      <c r="AX137">
        <f t="shared" si="148"/>
        <v>0.003</v>
      </c>
      <c r="AY137">
        <f t="shared" si="149"/>
        <v>0.102</v>
      </c>
      <c r="AZ137">
        <f t="shared" si="150"/>
        <v>0.342</v>
      </c>
      <c r="BA137">
        <f t="shared" si="151"/>
        <v>0.039</v>
      </c>
      <c r="BB137">
        <f t="shared" si="152"/>
        <v>1.564</v>
      </c>
      <c r="BC137">
        <f t="shared" si="153"/>
        <v>0.012</v>
      </c>
      <c r="BD137">
        <f t="shared" si="154"/>
        <v>21.06</v>
      </c>
      <c r="BE137">
        <f t="shared" si="155"/>
        <v>0.028</v>
      </c>
      <c r="BF137">
        <f t="shared" si="156"/>
        <v>0.044</v>
      </c>
      <c r="BG137">
        <f t="shared" si="157"/>
        <v>2.52</v>
      </c>
      <c r="BH137">
        <f t="shared" si="158"/>
        <v>1.977</v>
      </c>
      <c r="BI137">
        <f t="shared" si="159"/>
        <v>0.006</v>
      </c>
      <c r="BJ137">
        <f t="shared" si="160"/>
        <v>0.085</v>
      </c>
      <c r="BK137">
        <f t="shared" si="161"/>
        <v>0.125</v>
      </c>
      <c r="BL137">
        <f t="shared" si="162"/>
        <v>0.07</v>
      </c>
      <c r="BM137">
        <f t="shared" si="163"/>
        <v>0.082</v>
      </c>
      <c r="BN137">
        <f t="shared" si="164"/>
        <v>0.256</v>
      </c>
      <c r="BO137">
        <f t="shared" si="165"/>
        <v>2.283</v>
      </c>
      <c r="BP137">
        <f t="shared" si="166"/>
        <v>0.045</v>
      </c>
      <c r="BQ137">
        <f t="shared" si="167"/>
        <v>0.039</v>
      </c>
      <c r="BR137">
        <f t="shared" si="168"/>
        <v>6.931</v>
      </c>
      <c r="BS137">
        <f t="shared" si="169"/>
        <v>2.708</v>
      </c>
      <c r="BT137">
        <f t="shared" si="170"/>
        <v>0.053</v>
      </c>
      <c r="BU137">
        <f t="shared" si="171"/>
        <v>0.474</v>
      </c>
      <c r="BV137">
        <f t="shared" si="172"/>
        <v>0.056</v>
      </c>
      <c r="BW137">
        <f t="shared" si="173"/>
        <v>0.002</v>
      </c>
      <c r="BX137">
        <f t="shared" si="174"/>
        <v>0.009</v>
      </c>
      <c r="BY137">
        <f t="shared" si="175"/>
        <v>0.523</v>
      </c>
      <c r="BZ137">
        <f t="shared" si="176"/>
        <v>0.89</v>
      </c>
      <c r="CA137">
        <f t="shared" si="177"/>
        <v>0.337</v>
      </c>
      <c r="CB137">
        <f t="shared" si="178"/>
        <v>0.012</v>
      </c>
      <c r="CC137">
        <f t="shared" si="179"/>
        <v>1.589</v>
      </c>
      <c r="CD137">
        <f t="shared" si="180"/>
        <v>0.112</v>
      </c>
      <c r="CE137">
        <f t="shared" si="181"/>
        <v>0.005</v>
      </c>
      <c r="CG137" s="6">
        <v>2015</v>
      </c>
      <c r="CH137" s="6" t="s">
        <v>90</v>
      </c>
      <c r="CI137" s="6">
        <v>0.058</v>
      </c>
      <c r="CJ137" s="6">
        <v>0.09</v>
      </c>
      <c r="CK137" s="6" t="s">
        <v>595</v>
      </c>
      <c r="CL137" s="6" t="s">
        <v>596</v>
      </c>
      <c r="CM137" s="6" t="s">
        <v>597</v>
      </c>
    </row>
    <row r="138" spans="4:91">
      <c r="D138">
        <f t="shared" si="182"/>
        <v>2015</v>
      </c>
      <c r="E138" t="s">
        <v>94</v>
      </c>
      <c r="F138" s="1">
        <f t="shared" si="112"/>
        <v>0.000174</v>
      </c>
      <c r="G138" s="1">
        <f t="shared" si="113"/>
        <v>0.000174</v>
      </c>
      <c r="H138" s="1">
        <f t="shared" si="114"/>
        <v>0.00493</v>
      </c>
      <c r="I138" s="1">
        <f t="shared" si="115"/>
        <v>0.016182</v>
      </c>
      <c r="J138" s="1">
        <f t="shared" si="116"/>
        <v>0.001914</v>
      </c>
      <c r="K138" s="1">
        <f t="shared" si="117"/>
        <v>0.074646</v>
      </c>
      <c r="L138" s="1">
        <f t="shared" si="118"/>
        <v>0.00058</v>
      </c>
      <c r="M138" s="1">
        <f t="shared" si="111"/>
        <v>2.644162</v>
      </c>
      <c r="N138" s="1">
        <f t="shared" si="119"/>
        <v>0.001392</v>
      </c>
      <c r="O138" s="1">
        <f t="shared" si="120"/>
        <v>0.00203</v>
      </c>
      <c r="P138" s="1">
        <f t="shared" si="121"/>
        <v>0.110838</v>
      </c>
      <c r="Q138" s="1">
        <f t="shared" si="122"/>
        <v>0.091234</v>
      </c>
      <c r="R138" s="1">
        <f t="shared" si="123"/>
        <v>0.00029</v>
      </c>
      <c r="S138" s="1">
        <f t="shared" si="124"/>
        <v>0.004002</v>
      </c>
      <c r="T138" s="1">
        <f t="shared" si="125"/>
        <v>0.006032</v>
      </c>
      <c r="U138" s="1">
        <f t="shared" si="126"/>
        <v>0.000406</v>
      </c>
      <c r="V138" s="1">
        <f t="shared" si="127"/>
        <v>0.003886</v>
      </c>
      <c r="W138" s="1">
        <f t="shared" si="128"/>
        <v>0.011774</v>
      </c>
      <c r="X138" s="1">
        <f t="shared" si="129"/>
        <v>0.024476</v>
      </c>
      <c r="Y138" s="1">
        <f t="shared" si="130"/>
        <v>0.002262</v>
      </c>
      <c r="Z138" s="1">
        <f t="shared" si="131"/>
        <v>0.001914</v>
      </c>
      <c r="AA138" s="1">
        <f t="shared" si="132"/>
        <v>0.281416</v>
      </c>
      <c r="AB138" s="1">
        <f t="shared" si="133"/>
        <v>0.094018</v>
      </c>
      <c r="AC138" s="1">
        <f t="shared" si="134"/>
        <v>0.002668</v>
      </c>
      <c r="AD138" s="1">
        <f t="shared" si="135"/>
        <v>0.089436</v>
      </c>
      <c r="AE138" s="1">
        <f t="shared" si="136"/>
        <v>0.002784</v>
      </c>
      <c r="AF138" s="1">
        <f t="shared" si="137"/>
        <v>5.8e-5</v>
      </c>
      <c r="AG138" s="1">
        <f t="shared" si="138"/>
        <v>0.000406</v>
      </c>
      <c r="AH138" s="1">
        <f t="shared" si="139"/>
        <v>0.024592</v>
      </c>
      <c r="AI138" s="1">
        <f t="shared" si="140"/>
        <v>0.041934</v>
      </c>
      <c r="AJ138" s="1">
        <f t="shared" si="141"/>
        <v>0.01595</v>
      </c>
      <c r="AK138" s="1">
        <f t="shared" si="142"/>
        <v>0.000638</v>
      </c>
      <c r="AL138" s="1">
        <f t="shared" si="143"/>
        <v>0.074994</v>
      </c>
      <c r="AM138" s="1">
        <f t="shared" si="144"/>
        <v>0.001102</v>
      </c>
      <c r="AN138" s="1">
        <f t="shared" si="145"/>
        <v>0.000232</v>
      </c>
      <c r="AQ138" s="6">
        <v>2015</v>
      </c>
      <c r="AR138" s="6" t="s">
        <v>94</v>
      </c>
      <c r="AS138" s="6">
        <v>0.058</v>
      </c>
      <c r="AT138" s="6" t="s">
        <v>568</v>
      </c>
      <c r="AU138" s="6" t="s">
        <v>594</v>
      </c>
      <c r="AV138" t="str">
        <f t="shared" si="146"/>
        <v>Tra_EV_Batt-NMC811_virgin</v>
      </c>
      <c r="AW138">
        <f t="shared" si="147"/>
        <v>0.003</v>
      </c>
      <c r="AX138">
        <f t="shared" si="148"/>
        <v>0.003</v>
      </c>
      <c r="AY138">
        <f t="shared" si="149"/>
        <v>0.085</v>
      </c>
      <c r="AZ138">
        <f t="shared" si="150"/>
        <v>0.279</v>
      </c>
      <c r="BA138">
        <f t="shared" si="151"/>
        <v>0.033</v>
      </c>
      <c r="BB138">
        <f t="shared" si="152"/>
        <v>1.287</v>
      </c>
      <c r="BC138">
        <f t="shared" si="153"/>
        <v>0.01</v>
      </c>
      <c r="BD138">
        <f t="shared" si="154"/>
        <v>45.589</v>
      </c>
      <c r="BE138">
        <f t="shared" si="155"/>
        <v>0.024</v>
      </c>
      <c r="BF138">
        <f t="shared" si="156"/>
        <v>0.035</v>
      </c>
      <c r="BG138">
        <f t="shared" si="157"/>
        <v>1.911</v>
      </c>
      <c r="BH138">
        <f t="shared" si="158"/>
        <v>1.573</v>
      </c>
      <c r="BI138">
        <f t="shared" si="159"/>
        <v>0.005</v>
      </c>
      <c r="BJ138">
        <f t="shared" si="160"/>
        <v>0.069</v>
      </c>
      <c r="BK138">
        <f t="shared" si="161"/>
        <v>0.104</v>
      </c>
      <c r="BL138">
        <f t="shared" si="162"/>
        <v>0.007</v>
      </c>
      <c r="BM138">
        <f t="shared" si="163"/>
        <v>0.067</v>
      </c>
      <c r="BN138">
        <f t="shared" si="164"/>
        <v>0.203</v>
      </c>
      <c r="BO138">
        <f t="shared" si="165"/>
        <v>0.422</v>
      </c>
      <c r="BP138">
        <f t="shared" si="166"/>
        <v>0.039</v>
      </c>
      <c r="BQ138">
        <f t="shared" si="167"/>
        <v>0.033</v>
      </c>
      <c r="BR138">
        <f t="shared" si="168"/>
        <v>4.852</v>
      </c>
      <c r="BS138">
        <f t="shared" si="169"/>
        <v>1.621</v>
      </c>
      <c r="BT138">
        <f t="shared" si="170"/>
        <v>0.046</v>
      </c>
      <c r="BU138">
        <f t="shared" si="171"/>
        <v>1.542</v>
      </c>
      <c r="BV138">
        <f t="shared" si="172"/>
        <v>0.048</v>
      </c>
      <c r="BW138">
        <f t="shared" si="173"/>
        <v>0.001</v>
      </c>
      <c r="BX138">
        <f t="shared" si="174"/>
        <v>0.007</v>
      </c>
      <c r="BY138">
        <f t="shared" si="175"/>
        <v>0.424</v>
      </c>
      <c r="BZ138">
        <f t="shared" si="176"/>
        <v>0.723</v>
      </c>
      <c r="CA138">
        <f t="shared" si="177"/>
        <v>0.275</v>
      </c>
      <c r="CB138">
        <f t="shared" si="178"/>
        <v>0.011</v>
      </c>
      <c r="CC138">
        <f t="shared" si="179"/>
        <v>1.293</v>
      </c>
      <c r="CD138">
        <f t="shared" si="180"/>
        <v>0.019</v>
      </c>
      <c r="CE138">
        <f t="shared" si="181"/>
        <v>0.004</v>
      </c>
      <c r="CG138" s="6">
        <v>2015</v>
      </c>
      <c r="CH138" s="6" t="s">
        <v>94</v>
      </c>
      <c r="CI138" s="6">
        <v>0.058</v>
      </c>
      <c r="CJ138" s="6">
        <v>0.09</v>
      </c>
      <c r="CK138" s="6" t="s">
        <v>595</v>
      </c>
      <c r="CL138" s="6" t="s">
        <v>596</v>
      </c>
      <c r="CM138" s="6" t="s">
        <v>597</v>
      </c>
    </row>
    <row r="139" spans="4:91">
      <c r="D139">
        <f t="shared" si="182"/>
        <v>2015</v>
      </c>
      <c r="E139" t="s">
        <v>86</v>
      </c>
      <c r="F139" s="1">
        <f t="shared" si="112"/>
        <v>5.8e-5</v>
      </c>
      <c r="G139" s="1">
        <f t="shared" si="113"/>
        <v>5.8e-5</v>
      </c>
      <c r="H139" s="1">
        <f t="shared" si="114"/>
        <v>0.000986</v>
      </c>
      <c r="I139" s="1">
        <f t="shared" si="115"/>
        <v>0.003074</v>
      </c>
      <c r="J139" s="1">
        <f t="shared" si="116"/>
        <v>0.000348</v>
      </c>
      <c r="K139" s="1">
        <f t="shared" si="117"/>
        <v>0.014152</v>
      </c>
      <c r="L139" s="1">
        <f t="shared" si="118"/>
        <v>5.8e-5</v>
      </c>
      <c r="M139" s="1">
        <f t="shared" si="111"/>
        <v>0.544678</v>
      </c>
      <c r="N139" s="1">
        <f t="shared" si="119"/>
        <v>0.00029</v>
      </c>
      <c r="O139" s="1">
        <f t="shared" si="120"/>
        <v>0.000348</v>
      </c>
      <c r="P139" s="1">
        <f t="shared" si="121"/>
        <v>0.01856</v>
      </c>
      <c r="Q139" s="1">
        <f t="shared" si="122"/>
        <v>0.016704</v>
      </c>
      <c r="R139" s="1">
        <f t="shared" si="123"/>
        <v>5.8e-5</v>
      </c>
      <c r="S139" s="1">
        <f t="shared" si="124"/>
        <v>0.000696</v>
      </c>
      <c r="T139" s="1">
        <f t="shared" si="125"/>
        <v>0.001218</v>
      </c>
      <c r="U139" s="1">
        <f t="shared" si="126"/>
        <v>0</v>
      </c>
      <c r="V139" s="1">
        <f t="shared" si="127"/>
        <v>0.000754</v>
      </c>
      <c r="W139" s="1">
        <f t="shared" si="128"/>
        <v>0.002088</v>
      </c>
      <c r="X139" s="1">
        <f t="shared" si="129"/>
        <v>0</v>
      </c>
      <c r="Y139" s="1">
        <f t="shared" si="130"/>
        <v>0.000232</v>
      </c>
      <c r="Z139" s="1">
        <f t="shared" si="131"/>
        <v>0.000348</v>
      </c>
      <c r="AA139" s="1">
        <f t="shared" si="132"/>
        <v>0.276428</v>
      </c>
      <c r="AB139" s="1">
        <f t="shared" si="133"/>
        <v>0.030566</v>
      </c>
      <c r="AC139" s="1">
        <f t="shared" si="134"/>
        <v>0.00029</v>
      </c>
      <c r="AD139" s="1">
        <f t="shared" si="135"/>
        <v>0.062582</v>
      </c>
      <c r="AE139" s="1">
        <f t="shared" si="136"/>
        <v>0.000464</v>
      </c>
      <c r="AF139" s="1">
        <f t="shared" si="137"/>
        <v>0</v>
      </c>
      <c r="AG139" s="1">
        <f t="shared" si="138"/>
        <v>5.8e-5</v>
      </c>
      <c r="AH139" s="1">
        <f t="shared" si="139"/>
        <v>0.004582</v>
      </c>
      <c r="AI139" s="1">
        <f t="shared" si="140"/>
        <v>0.007772</v>
      </c>
      <c r="AJ139" s="1">
        <f t="shared" si="141"/>
        <v>0.003016</v>
      </c>
      <c r="AK139" s="1">
        <f t="shared" si="142"/>
        <v>0.000116</v>
      </c>
      <c r="AL139" s="1">
        <f t="shared" si="143"/>
        <v>0.014094</v>
      </c>
      <c r="AM139" s="1">
        <f t="shared" si="144"/>
        <v>0</v>
      </c>
      <c r="AN139" s="1">
        <f t="shared" si="145"/>
        <v>5.8e-5</v>
      </c>
      <c r="AQ139" s="6">
        <v>2015</v>
      </c>
      <c r="AR139" s="6" t="s">
        <v>86</v>
      </c>
      <c r="AS139" s="6">
        <v>0.058</v>
      </c>
      <c r="AT139" s="6" t="s">
        <v>568</v>
      </c>
      <c r="AU139" s="6" t="s">
        <v>594</v>
      </c>
      <c r="AV139" t="str">
        <f t="shared" si="146"/>
        <v>Tra_EV_Batt-NMC532_virgin</v>
      </c>
      <c r="AW139">
        <f t="shared" si="147"/>
        <v>0.001</v>
      </c>
      <c r="AX139">
        <f t="shared" si="148"/>
        <v>0.001</v>
      </c>
      <c r="AY139">
        <f t="shared" si="149"/>
        <v>0.017</v>
      </c>
      <c r="AZ139">
        <f t="shared" si="150"/>
        <v>0.053</v>
      </c>
      <c r="BA139">
        <f t="shared" si="151"/>
        <v>0.006</v>
      </c>
      <c r="BB139">
        <f t="shared" si="152"/>
        <v>0.244</v>
      </c>
      <c r="BC139">
        <f t="shared" si="153"/>
        <v>0.001</v>
      </c>
      <c r="BD139">
        <f t="shared" si="154"/>
        <v>9.391</v>
      </c>
      <c r="BE139">
        <f t="shared" si="155"/>
        <v>0.005</v>
      </c>
      <c r="BF139">
        <f t="shared" si="156"/>
        <v>0.006</v>
      </c>
      <c r="BG139">
        <f t="shared" si="157"/>
        <v>0.32</v>
      </c>
      <c r="BH139">
        <f t="shared" si="158"/>
        <v>0.288</v>
      </c>
      <c r="BI139">
        <f t="shared" si="159"/>
        <v>0.001</v>
      </c>
      <c r="BJ139">
        <f t="shared" si="160"/>
        <v>0.012</v>
      </c>
      <c r="BK139">
        <f t="shared" si="161"/>
        <v>0.021</v>
      </c>
      <c r="BL139">
        <f t="shared" si="162"/>
        <v>0</v>
      </c>
      <c r="BM139">
        <f t="shared" si="163"/>
        <v>0.013</v>
      </c>
      <c r="BN139">
        <f t="shared" si="164"/>
        <v>0.036</v>
      </c>
      <c r="BO139">
        <f t="shared" si="165"/>
        <v>0</v>
      </c>
      <c r="BP139">
        <f t="shared" si="166"/>
        <v>0.004</v>
      </c>
      <c r="BQ139">
        <f t="shared" si="167"/>
        <v>0.006</v>
      </c>
      <c r="BR139">
        <f t="shared" si="168"/>
        <v>4.766</v>
      </c>
      <c r="BS139">
        <f t="shared" si="169"/>
        <v>0.527</v>
      </c>
      <c r="BT139">
        <f t="shared" si="170"/>
        <v>0.005</v>
      </c>
      <c r="BU139">
        <f t="shared" si="171"/>
        <v>1.079</v>
      </c>
      <c r="BV139">
        <f t="shared" si="172"/>
        <v>0.008</v>
      </c>
      <c r="BW139">
        <f t="shared" si="173"/>
        <v>0</v>
      </c>
      <c r="BX139">
        <f t="shared" si="174"/>
        <v>0.001</v>
      </c>
      <c r="BY139">
        <f t="shared" si="175"/>
        <v>0.079</v>
      </c>
      <c r="BZ139">
        <f t="shared" si="176"/>
        <v>0.134</v>
      </c>
      <c r="CA139">
        <f t="shared" si="177"/>
        <v>0.052</v>
      </c>
      <c r="CB139">
        <f t="shared" si="178"/>
        <v>0.002</v>
      </c>
      <c r="CC139">
        <f t="shared" si="179"/>
        <v>0.243</v>
      </c>
      <c r="CD139">
        <f t="shared" si="180"/>
        <v>0</v>
      </c>
      <c r="CE139">
        <f t="shared" si="181"/>
        <v>0.001</v>
      </c>
      <c r="CG139" s="6">
        <v>2015</v>
      </c>
      <c r="CH139" s="6" t="s">
        <v>86</v>
      </c>
      <c r="CI139" s="6">
        <v>0.058</v>
      </c>
      <c r="CJ139" s="6">
        <v>0.09</v>
      </c>
      <c r="CK139" s="6" t="s">
        <v>595</v>
      </c>
      <c r="CL139" s="6" t="s">
        <v>596</v>
      </c>
      <c r="CM139" s="6" t="s">
        <v>597</v>
      </c>
    </row>
    <row r="140" spans="4:91">
      <c r="D140">
        <f t="shared" si="182"/>
        <v>2015</v>
      </c>
      <c r="E140" t="s">
        <v>77</v>
      </c>
      <c r="F140" s="1">
        <f t="shared" si="112"/>
        <v>0</v>
      </c>
      <c r="G140" s="1">
        <f t="shared" si="113"/>
        <v>0</v>
      </c>
      <c r="H140" s="1">
        <f t="shared" si="114"/>
        <v>0</v>
      </c>
      <c r="I140" s="1">
        <f t="shared" si="115"/>
        <v>0</v>
      </c>
      <c r="J140" s="1">
        <f t="shared" si="116"/>
        <v>0</v>
      </c>
      <c r="K140" s="1">
        <f t="shared" si="117"/>
        <v>0</v>
      </c>
      <c r="L140" s="1">
        <f t="shared" si="118"/>
        <v>0</v>
      </c>
      <c r="M140" s="1">
        <f t="shared" si="111"/>
        <v>0.098658</v>
      </c>
      <c r="N140" s="1">
        <f t="shared" si="119"/>
        <v>0</v>
      </c>
      <c r="O140" s="1">
        <f t="shared" si="120"/>
        <v>0</v>
      </c>
      <c r="P140" s="1">
        <f t="shared" si="121"/>
        <v>0</v>
      </c>
      <c r="Q140" s="1">
        <f t="shared" si="122"/>
        <v>0</v>
      </c>
      <c r="R140" s="1">
        <f t="shared" si="123"/>
        <v>0</v>
      </c>
      <c r="S140" s="1">
        <f t="shared" si="124"/>
        <v>0</v>
      </c>
      <c r="T140" s="1">
        <f t="shared" si="125"/>
        <v>0</v>
      </c>
      <c r="U140" s="1">
        <f t="shared" si="126"/>
        <v>0</v>
      </c>
      <c r="V140" s="1">
        <f t="shared" si="127"/>
        <v>0</v>
      </c>
      <c r="W140" s="1">
        <f t="shared" si="128"/>
        <v>0</v>
      </c>
      <c r="X140" s="1">
        <f t="shared" si="129"/>
        <v>0</v>
      </c>
      <c r="Y140" s="1">
        <f t="shared" si="130"/>
        <v>0</v>
      </c>
      <c r="Z140" s="1">
        <f t="shared" si="131"/>
        <v>0</v>
      </c>
      <c r="AA140" s="1">
        <f t="shared" si="132"/>
        <v>0</v>
      </c>
      <c r="AB140" s="1">
        <f t="shared" si="133"/>
        <v>0</v>
      </c>
      <c r="AC140" s="1">
        <f t="shared" si="134"/>
        <v>0</v>
      </c>
      <c r="AD140" s="1">
        <f t="shared" si="135"/>
        <v>0</v>
      </c>
      <c r="AE140" s="1">
        <f t="shared" si="136"/>
        <v>0</v>
      </c>
      <c r="AF140" s="1">
        <f t="shared" si="137"/>
        <v>0</v>
      </c>
      <c r="AG140" s="1">
        <f t="shared" si="138"/>
        <v>0</v>
      </c>
      <c r="AH140" s="1">
        <f t="shared" si="139"/>
        <v>0</v>
      </c>
      <c r="AI140" s="1">
        <f t="shared" si="140"/>
        <v>0</v>
      </c>
      <c r="AJ140" s="1">
        <f t="shared" si="141"/>
        <v>0</v>
      </c>
      <c r="AK140" s="1">
        <f t="shared" si="142"/>
        <v>0</v>
      </c>
      <c r="AL140" s="1">
        <f t="shared" si="143"/>
        <v>0</v>
      </c>
      <c r="AM140" s="1">
        <f t="shared" si="144"/>
        <v>0</v>
      </c>
      <c r="AN140" s="1">
        <f t="shared" si="145"/>
        <v>0</v>
      </c>
      <c r="AQ140" s="6">
        <v>2015</v>
      </c>
      <c r="AR140" s="6" t="s">
        <v>77</v>
      </c>
      <c r="AS140" s="6">
        <v>0.058</v>
      </c>
      <c r="AT140" s="6" t="s">
        <v>568</v>
      </c>
      <c r="AU140" s="6" t="s">
        <v>594</v>
      </c>
      <c r="AV140" t="str">
        <f t="shared" si="146"/>
        <v>Tra_EV_Batt-NCA_virgin</v>
      </c>
      <c r="AW140">
        <f t="shared" si="147"/>
        <v>0</v>
      </c>
      <c r="AX140">
        <f t="shared" si="148"/>
        <v>0</v>
      </c>
      <c r="AY140">
        <f t="shared" si="149"/>
        <v>0</v>
      </c>
      <c r="AZ140">
        <f t="shared" si="150"/>
        <v>0</v>
      </c>
      <c r="BA140">
        <f t="shared" si="151"/>
        <v>0</v>
      </c>
      <c r="BB140">
        <f t="shared" si="152"/>
        <v>0</v>
      </c>
      <c r="BC140">
        <f t="shared" si="153"/>
        <v>0</v>
      </c>
      <c r="BD140">
        <f t="shared" si="154"/>
        <v>1.701</v>
      </c>
      <c r="BE140">
        <f t="shared" si="155"/>
        <v>0</v>
      </c>
      <c r="BF140">
        <f t="shared" si="156"/>
        <v>0</v>
      </c>
      <c r="BG140">
        <f t="shared" si="157"/>
        <v>0</v>
      </c>
      <c r="BH140">
        <f t="shared" si="158"/>
        <v>0</v>
      </c>
      <c r="BI140">
        <f t="shared" si="159"/>
        <v>0</v>
      </c>
      <c r="BJ140">
        <f t="shared" si="160"/>
        <v>0</v>
      </c>
      <c r="BK140">
        <f t="shared" si="161"/>
        <v>0</v>
      </c>
      <c r="BL140">
        <f t="shared" si="162"/>
        <v>0</v>
      </c>
      <c r="BM140">
        <f t="shared" si="163"/>
        <v>0</v>
      </c>
      <c r="BN140">
        <f t="shared" si="164"/>
        <v>0</v>
      </c>
      <c r="BO140">
        <f t="shared" si="165"/>
        <v>0</v>
      </c>
      <c r="BP140">
        <f t="shared" si="166"/>
        <v>0</v>
      </c>
      <c r="BQ140">
        <f t="shared" si="167"/>
        <v>0</v>
      </c>
      <c r="BR140">
        <f t="shared" si="168"/>
        <v>0</v>
      </c>
      <c r="BS140">
        <f t="shared" si="169"/>
        <v>0</v>
      </c>
      <c r="BT140">
        <f t="shared" si="170"/>
        <v>0</v>
      </c>
      <c r="BU140">
        <f t="shared" si="171"/>
        <v>0</v>
      </c>
      <c r="BV140">
        <f t="shared" si="172"/>
        <v>0</v>
      </c>
      <c r="BW140">
        <f t="shared" si="173"/>
        <v>0</v>
      </c>
      <c r="BX140">
        <f t="shared" si="174"/>
        <v>0</v>
      </c>
      <c r="BY140">
        <f t="shared" si="175"/>
        <v>0</v>
      </c>
      <c r="BZ140">
        <f t="shared" si="176"/>
        <v>0</v>
      </c>
      <c r="CA140">
        <f t="shared" si="177"/>
        <v>0</v>
      </c>
      <c r="CB140">
        <f t="shared" si="178"/>
        <v>0</v>
      </c>
      <c r="CC140">
        <f t="shared" si="179"/>
        <v>0</v>
      </c>
      <c r="CD140">
        <f t="shared" si="180"/>
        <v>0</v>
      </c>
      <c r="CE140">
        <f t="shared" si="181"/>
        <v>0</v>
      </c>
      <c r="CG140" s="6">
        <v>2015</v>
      </c>
      <c r="CH140" s="6" t="s">
        <v>77</v>
      </c>
      <c r="CI140" s="6">
        <v>0.058</v>
      </c>
      <c r="CJ140" s="6">
        <v>0.09</v>
      </c>
      <c r="CK140" s="6" t="s">
        <v>595</v>
      </c>
      <c r="CL140" s="6" t="s">
        <v>596</v>
      </c>
      <c r="CM140" s="6" t="s">
        <v>597</v>
      </c>
    </row>
    <row r="141" spans="4:91">
      <c r="D141">
        <f t="shared" si="182"/>
        <v>2015</v>
      </c>
      <c r="E141" t="s">
        <v>73</v>
      </c>
      <c r="F141" s="1">
        <f t="shared" si="112"/>
        <v>0.000116</v>
      </c>
      <c r="G141" s="1">
        <f t="shared" si="113"/>
        <v>0.000116</v>
      </c>
      <c r="H141" s="1">
        <f t="shared" si="114"/>
        <v>0.003886</v>
      </c>
      <c r="I141" s="1">
        <f t="shared" si="115"/>
        <v>0.012296</v>
      </c>
      <c r="J141" s="1">
        <f t="shared" si="116"/>
        <v>0.00145</v>
      </c>
      <c r="K141" s="1">
        <f t="shared" si="117"/>
        <v>0.056608</v>
      </c>
      <c r="L141" s="1">
        <f t="shared" si="118"/>
        <v>0.000348</v>
      </c>
      <c r="M141" s="1">
        <f t="shared" si="111"/>
        <v>0.147958</v>
      </c>
      <c r="N141" s="1">
        <f t="shared" si="119"/>
        <v>0.001102</v>
      </c>
      <c r="O141" s="1">
        <f t="shared" si="120"/>
        <v>0.001276</v>
      </c>
      <c r="P141" s="1">
        <f t="shared" si="121"/>
        <v>0.074356</v>
      </c>
      <c r="Q141" s="1">
        <f t="shared" si="122"/>
        <v>0.066758</v>
      </c>
      <c r="R141" s="1">
        <f t="shared" si="123"/>
        <v>0.000232</v>
      </c>
      <c r="S141" s="1">
        <f t="shared" si="124"/>
        <v>0.0029</v>
      </c>
      <c r="T141" s="1">
        <f t="shared" si="125"/>
        <v>0.004872</v>
      </c>
      <c r="U141" s="1">
        <f t="shared" si="126"/>
        <v>0</v>
      </c>
      <c r="V141" s="1">
        <f t="shared" si="127"/>
        <v>0.003016</v>
      </c>
      <c r="W141" s="1">
        <f t="shared" si="128"/>
        <v>0.008294</v>
      </c>
      <c r="X141" s="1">
        <f t="shared" si="129"/>
        <v>0.041876</v>
      </c>
      <c r="Y141" s="1">
        <f t="shared" si="130"/>
        <v>0.000986</v>
      </c>
      <c r="Z141" s="1">
        <f t="shared" si="131"/>
        <v>0.00145</v>
      </c>
      <c r="AA141" s="1">
        <f t="shared" si="132"/>
        <v>2.567022</v>
      </c>
      <c r="AB141" s="1">
        <f t="shared" si="133"/>
        <v>0.213904</v>
      </c>
      <c r="AC141" s="1">
        <f t="shared" si="134"/>
        <v>0.001102</v>
      </c>
      <c r="AD141" s="1">
        <f t="shared" si="135"/>
        <v>0.062582</v>
      </c>
      <c r="AE141" s="1">
        <f t="shared" si="136"/>
        <v>0.001914</v>
      </c>
      <c r="AF141" s="1">
        <f t="shared" si="137"/>
        <v>5.8e-5</v>
      </c>
      <c r="AG141" s="1">
        <f t="shared" si="138"/>
        <v>0.000348</v>
      </c>
      <c r="AH141" s="1">
        <f t="shared" si="139"/>
        <v>0.01827</v>
      </c>
      <c r="AI141" s="1">
        <f t="shared" si="140"/>
        <v>0.03103</v>
      </c>
      <c r="AJ141" s="1">
        <f t="shared" si="141"/>
        <v>0.012064</v>
      </c>
      <c r="AK141" s="1">
        <f t="shared" si="142"/>
        <v>0.000348</v>
      </c>
      <c r="AL141" s="1">
        <f t="shared" si="143"/>
        <v>0.05626</v>
      </c>
      <c r="AM141" s="1">
        <f t="shared" si="144"/>
        <v>0.002146</v>
      </c>
      <c r="AN141" s="1">
        <f t="shared" si="145"/>
        <v>0.000174</v>
      </c>
      <c r="AQ141" s="6">
        <v>2015</v>
      </c>
      <c r="AR141" s="6" t="s">
        <v>73</v>
      </c>
      <c r="AS141" s="6">
        <v>0.058</v>
      </c>
      <c r="AT141" s="6" t="s">
        <v>568</v>
      </c>
      <c r="AU141" s="6" t="s">
        <v>594</v>
      </c>
      <c r="AV141" t="str">
        <f t="shared" si="146"/>
        <v>Tra_EV_Batt-LMO_virgin</v>
      </c>
      <c r="AW141">
        <f t="shared" si="147"/>
        <v>0.002</v>
      </c>
      <c r="AX141">
        <f t="shared" si="148"/>
        <v>0.002</v>
      </c>
      <c r="AY141">
        <f t="shared" si="149"/>
        <v>0.067</v>
      </c>
      <c r="AZ141">
        <f t="shared" si="150"/>
        <v>0.212</v>
      </c>
      <c r="BA141">
        <f t="shared" si="151"/>
        <v>0.025</v>
      </c>
      <c r="BB141">
        <f t="shared" si="152"/>
        <v>0.976</v>
      </c>
      <c r="BC141">
        <f t="shared" si="153"/>
        <v>0.006</v>
      </c>
      <c r="BD141">
        <f t="shared" si="154"/>
        <v>2.551</v>
      </c>
      <c r="BE141">
        <f t="shared" si="155"/>
        <v>0.019</v>
      </c>
      <c r="BF141">
        <f t="shared" si="156"/>
        <v>0.022</v>
      </c>
      <c r="BG141">
        <f t="shared" si="157"/>
        <v>1.282</v>
      </c>
      <c r="BH141">
        <f t="shared" si="158"/>
        <v>1.151</v>
      </c>
      <c r="BI141">
        <f t="shared" si="159"/>
        <v>0.004</v>
      </c>
      <c r="BJ141">
        <f t="shared" si="160"/>
        <v>0.05</v>
      </c>
      <c r="BK141">
        <f t="shared" si="161"/>
        <v>0.084</v>
      </c>
      <c r="BL141">
        <f t="shared" si="162"/>
        <v>0</v>
      </c>
      <c r="BM141">
        <f t="shared" si="163"/>
        <v>0.052</v>
      </c>
      <c r="BN141">
        <f t="shared" si="164"/>
        <v>0.143</v>
      </c>
      <c r="BO141">
        <f t="shared" si="165"/>
        <v>0.722</v>
      </c>
      <c r="BP141">
        <f t="shared" si="166"/>
        <v>0.017</v>
      </c>
      <c r="BQ141">
        <f t="shared" si="167"/>
        <v>0.025</v>
      </c>
      <c r="BR141">
        <f t="shared" si="168"/>
        <v>44.259</v>
      </c>
      <c r="BS141">
        <f t="shared" si="169"/>
        <v>3.688</v>
      </c>
      <c r="BT141">
        <f t="shared" si="170"/>
        <v>0.019</v>
      </c>
      <c r="BU141">
        <f t="shared" si="171"/>
        <v>1.079</v>
      </c>
      <c r="BV141">
        <f t="shared" si="172"/>
        <v>0.033</v>
      </c>
      <c r="BW141">
        <f t="shared" si="173"/>
        <v>0.001</v>
      </c>
      <c r="BX141">
        <f t="shared" si="174"/>
        <v>0.006</v>
      </c>
      <c r="BY141">
        <f t="shared" si="175"/>
        <v>0.315</v>
      </c>
      <c r="BZ141">
        <f t="shared" si="176"/>
        <v>0.535</v>
      </c>
      <c r="CA141">
        <f t="shared" si="177"/>
        <v>0.208</v>
      </c>
      <c r="CB141">
        <f t="shared" si="178"/>
        <v>0.006</v>
      </c>
      <c r="CC141">
        <f t="shared" si="179"/>
        <v>0.97</v>
      </c>
      <c r="CD141">
        <f t="shared" si="180"/>
        <v>0.037</v>
      </c>
      <c r="CE141">
        <f t="shared" si="181"/>
        <v>0.003</v>
      </c>
      <c r="CG141" s="6">
        <v>2015</v>
      </c>
      <c r="CH141" s="6" t="s">
        <v>73</v>
      </c>
      <c r="CI141" s="6">
        <v>0.058</v>
      </c>
      <c r="CJ141" s="6">
        <v>0.09</v>
      </c>
      <c r="CK141" s="6" t="s">
        <v>595</v>
      </c>
      <c r="CL141" s="6" t="s">
        <v>596</v>
      </c>
      <c r="CM141" s="6" t="s">
        <v>597</v>
      </c>
    </row>
    <row r="142" spans="4:91">
      <c r="D142">
        <f t="shared" si="182"/>
        <v>2015</v>
      </c>
      <c r="E142" t="s">
        <v>81</v>
      </c>
      <c r="F142" s="1">
        <f t="shared" si="112"/>
        <v>0.000116</v>
      </c>
      <c r="G142" s="1">
        <f t="shared" si="113"/>
        <v>0.000116</v>
      </c>
      <c r="H142" s="1">
        <f t="shared" si="114"/>
        <v>0.003886</v>
      </c>
      <c r="I142" s="1">
        <f t="shared" si="115"/>
        <v>0.013514</v>
      </c>
      <c r="J142" s="1">
        <f t="shared" si="116"/>
        <v>0.00145</v>
      </c>
      <c r="K142" s="1">
        <f t="shared" si="117"/>
        <v>0.060378</v>
      </c>
      <c r="L142" s="1">
        <f t="shared" si="118"/>
        <v>0.000348</v>
      </c>
      <c r="M142" s="1">
        <f t="shared" si="111"/>
        <v>0.098658</v>
      </c>
      <c r="N142" s="1">
        <f t="shared" si="119"/>
        <v>0.001102</v>
      </c>
      <c r="O142" s="1">
        <f t="shared" si="120"/>
        <v>0.001682</v>
      </c>
      <c r="P142" s="1">
        <f t="shared" si="121"/>
        <v>0.107822</v>
      </c>
      <c r="Q142" s="1">
        <f t="shared" si="122"/>
        <v>0.080272</v>
      </c>
      <c r="R142" s="1">
        <f t="shared" si="123"/>
        <v>0.000232</v>
      </c>
      <c r="S142" s="1">
        <f t="shared" si="124"/>
        <v>0.003306</v>
      </c>
      <c r="T142" s="1">
        <f t="shared" si="125"/>
        <v>0.004872</v>
      </c>
      <c r="U142" s="1">
        <f t="shared" si="126"/>
        <v>0.002436</v>
      </c>
      <c r="V142" s="1">
        <f t="shared" si="127"/>
        <v>0.003248</v>
      </c>
      <c r="W142" s="1">
        <f t="shared" si="128"/>
        <v>0.010324</v>
      </c>
      <c r="X142" s="1">
        <f t="shared" si="129"/>
        <v>0.236872</v>
      </c>
      <c r="Y142" s="1">
        <f t="shared" si="130"/>
        <v>0.001218</v>
      </c>
      <c r="Z142" s="1">
        <f t="shared" si="131"/>
        <v>0.00145</v>
      </c>
      <c r="AA142" s="1">
        <f t="shared" si="132"/>
        <v>0.438654</v>
      </c>
      <c r="AB142" s="1">
        <f t="shared" si="133"/>
        <v>0.12615</v>
      </c>
      <c r="AC142" s="1">
        <f t="shared" si="134"/>
        <v>0.00145</v>
      </c>
      <c r="AD142" s="1">
        <f t="shared" si="135"/>
        <v>0.013746</v>
      </c>
      <c r="AE142" s="1">
        <f t="shared" si="136"/>
        <v>0.001914</v>
      </c>
      <c r="AF142" s="1">
        <f t="shared" si="137"/>
        <v>5.8e-5</v>
      </c>
      <c r="AG142" s="1">
        <f t="shared" si="138"/>
        <v>0.000348</v>
      </c>
      <c r="AH142" s="1">
        <f t="shared" si="139"/>
        <v>0.02059</v>
      </c>
      <c r="AI142" s="1">
        <f t="shared" si="140"/>
        <v>0.034858</v>
      </c>
      <c r="AJ142" s="1">
        <f t="shared" si="141"/>
        <v>0.013282</v>
      </c>
      <c r="AK142" s="1">
        <f t="shared" si="142"/>
        <v>0.000348</v>
      </c>
      <c r="AL142" s="1">
        <f t="shared" si="143"/>
        <v>0.062408</v>
      </c>
      <c r="AM142" s="1">
        <f t="shared" si="144"/>
        <v>0.01189</v>
      </c>
      <c r="AN142" s="1">
        <f t="shared" si="145"/>
        <v>0.000174</v>
      </c>
      <c r="AQ142" s="6">
        <v>2015</v>
      </c>
      <c r="AR142" s="6" t="s">
        <v>81</v>
      </c>
      <c r="AS142" s="6">
        <v>0.058</v>
      </c>
      <c r="AT142" s="6" t="s">
        <v>568</v>
      </c>
      <c r="AU142" s="6" t="s">
        <v>594</v>
      </c>
      <c r="AV142" t="str">
        <f t="shared" si="146"/>
        <v>Tra_EV_Batt-NMC111_virgin</v>
      </c>
      <c r="AW142">
        <f t="shared" si="147"/>
        <v>0.002</v>
      </c>
      <c r="AX142">
        <f t="shared" si="148"/>
        <v>0.002</v>
      </c>
      <c r="AY142">
        <f t="shared" si="149"/>
        <v>0.067</v>
      </c>
      <c r="AZ142">
        <f t="shared" si="150"/>
        <v>0.233</v>
      </c>
      <c r="BA142">
        <f t="shared" si="151"/>
        <v>0.025</v>
      </c>
      <c r="BB142">
        <f t="shared" si="152"/>
        <v>1.041</v>
      </c>
      <c r="BC142">
        <f t="shared" si="153"/>
        <v>0.006</v>
      </c>
      <c r="BD142">
        <f t="shared" si="154"/>
        <v>1.701</v>
      </c>
      <c r="BE142">
        <f t="shared" si="155"/>
        <v>0.019</v>
      </c>
      <c r="BF142">
        <f t="shared" si="156"/>
        <v>0.029</v>
      </c>
      <c r="BG142">
        <f t="shared" si="157"/>
        <v>1.859</v>
      </c>
      <c r="BH142">
        <f t="shared" si="158"/>
        <v>1.384</v>
      </c>
      <c r="BI142">
        <f t="shared" si="159"/>
        <v>0.004</v>
      </c>
      <c r="BJ142">
        <f t="shared" si="160"/>
        <v>0.057</v>
      </c>
      <c r="BK142">
        <f t="shared" si="161"/>
        <v>0.084</v>
      </c>
      <c r="BL142">
        <f t="shared" si="162"/>
        <v>0.042</v>
      </c>
      <c r="BM142">
        <f t="shared" si="163"/>
        <v>0.056</v>
      </c>
      <c r="BN142">
        <f t="shared" si="164"/>
        <v>0.178</v>
      </c>
      <c r="BO142">
        <f t="shared" si="165"/>
        <v>4.084</v>
      </c>
      <c r="BP142">
        <f t="shared" si="166"/>
        <v>0.021</v>
      </c>
      <c r="BQ142">
        <f t="shared" si="167"/>
        <v>0.025</v>
      </c>
      <c r="BR142">
        <f t="shared" si="168"/>
        <v>7.563</v>
      </c>
      <c r="BS142">
        <f t="shared" si="169"/>
        <v>2.175</v>
      </c>
      <c r="BT142">
        <f t="shared" si="170"/>
        <v>0.025</v>
      </c>
      <c r="BU142">
        <f t="shared" si="171"/>
        <v>0.237</v>
      </c>
      <c r="BV142">
        <f t="shared" si="172"/>
        <v>0.033</v>
      </c>
      <c r="BW142">
        <f t="shared" si="173"/>
        <v>0.001</v>
      </c>
      <c r="BX142">
        <f t="shared" si="174"/>
        <v>0.006</v>
      </c>
      <c r="BY142">
        <f t="shared" si="175"/>
        <v>0.355</v>
      </c>
      <c r="BZ142">
        <f t="shared" si="176"/>
        <v>0.601</v>
      </c>
      <c r="CA142">
        <f t="shared" si="177"/>
        <v>0.229</v>
      </c>
      <c r="CB142">
        <f t="shared" si="178"/>
        <v>0.006</v>
      </c>
      <c r="CC142">
        <f t="shared" si="179"/>
        <v>1.076</v>
      </c>
      <c r="CD142">
        <f t="shared" si="180"/>
        <v>0.205</v>
      </c>
      <c r="CE142">
        <f t="shared" si="181"/>
        <v>0.003</v>
      </c>
      <c r="CG142" s="6">
        <v>2015</v>
      </c>
      <c r="CH142" s="6" t="s">
        <v>81</v>
      </c>
      <c r="CI142" s="6">
        <v>0.058</v>
      </c>
      <c r="CJ142" s="6">
        <v>0.09</v>
      </c>
      <c r="CK142" s="6" t="s">
        <v>595</v>
      </c>
      <c r="CL142" s="6" t="s">
        <v>596</v>
      </c>
      <c r="CM142" s="6" t="s">
        <v>597</v>
      </c>
    </row>
    <row r="143" spans="4:91">
      <c r="D143">
        <f t="shared" si="182"/>
        <v>2015</v>
      </c>
      <c r="E143" t="s">
        <v>69</v>
      </c>
      <c r="F143" s="1">
        <f t="shared" si="112"/>
        <v>0</v>
      </c>
      <c r="G143" s="1">
        <f t="shared" si="113"/>
        <v>0</v>
      </c>
      <c r="H143" s="1">
        <f t="shared" si="114"/>
        <v>0.000232</v>
      </c>
      <c r="I143" s="1">
        <f t="shared" si="115"/>
        <v>0.00058</v>
      </c>
      <c r="J143" s="1">
        <f t="shared" si="116"/>
        <v>0.000232</v>
      </c>
      <c r="K143" s="1">
        <f t="shared" si="117"/>
        <v>0.006032</v>
      </c>
      <c r="L143" s="1">
        <f t="shared" si="118"/>
        <v>0.00058</v>
      </c>
      <c r="M143" s="1">
        <f t="shared" si="111"/>
        <v>7.089804</v>
      </c>
      <c r="N143" s="1">
        <f t="shared" si="119"/>
        <v>0</v>
      </c>
      <c r="O143" s="1">
        <f t="shared" si="120"/>
        <v>0.00058</v>
      </c>
      <c r="P143" s="1">
        <f t="shared" si="121"/>
        <v>0.003654</v>
      </c>
      <c r="Q143" s="1">
        <f t="shared" si="122"/>
        <v>0.003016</v>
      </c>
      <c r="R143" s="1">
        <f t="shared" si="123"/>
        <v>0</v>
      </c>
      <c r="S143" s="1">
        <f t="shared" si="124"/>
        <v>0.00058</v>
      </c>
      <c r="T143" s="1">
        <f t="shared" si="125"/>
        <v>0</v>
      </c>
      <c r="U143" s="1">
        <f t="shared" si="126"/>
        <v>0.00725</v>
      </c>
      <c r="V143" s="1">
        <f t="shared" si="127"/>
        <v>0</v>
      </c>
      <c r="W143" s="1">
        <f t="shared" si="128"/>
        <v>0.001218</v>
      </c>
      <c r="X143" s="1">
        <f t="shared" si="129"/>
        <v>0.00058</v>
      </c>
      <c r="Y143" s="1">
        <f t="shared" si="130"/>
        <v>0.002726</v>
      </c>
      <c r="Z143" s="1">
        <f t="shared" si="131"/>
        <v>0.000232</v>
      </c>
      <c r="AA143" s="1">
        <f t="shared" si="132"/>
        <v>0.008526</v>
      </c>
      <c r="AB143" s="1">
        <f t="shared" si="133"/>
        <v>0.001218</v>
      </c>
      <c r="AC143" s="1">
        <f t="shared" si="134"/>
        <v>0.003306</v>
      </c>
      <c r="AD143" s="1">
        <f t="shared" si="135"/>
        <v>0.003654</v>
      </c>
      <c r="AE143" s="1">
        <f t="shared" si="136"/>
        <v>0.00116</v>
      </c>
      <c r="AF143" s="1">
        <f t="shared" si="137"/>
        <v>0</v>
      </c>
      <c r="AG143" s="1">
        <f t="shared" si="138"/>
        <v>0</v>
      </c>
      <c r="AH143" s="1">
        <f t="shared" si="139"/>
        <v>0.001798</v>
      </c>
      <c r="AI143" s="1">
        <f t="shared" si="140"/>
        <v>0.003654</v>
      </c>
      <c r="AJ143" s="1">
        <f t="shared" si="141"/>
        <v>0.00058</v>
      </c>
      <c r="AK143" s="1">
        <f t="shared" si="142"/>
        <v>0.00058</v>
      </c>
      <c r="AL143" s="1">
        <f t="shared" si="143"/>
        <v>0.004872</v>
      </c>
      <c r="AM143" s="1">
        <f t="shared" si="144"/>
        <v>0</v>
      </c>
      <c r="AN143" s="1">
        <f t="shared" si="145"/>
        <v>0</v>
      </c>
      <c r="AQ143" s="6">
        <v>2015</v>
      </c>
      <c r="AR143" s="6" t="s">
        <v>69</v>
      </c>
      <c r="AS143" s="6">
        <v>0.058</v>
      </c>
      <c r="AT143" s="6" t="s">
        <v>568</v>
      </c>
      <c r="AU143" s="6" t="s">
        <v>594</v>
      </c>
      <c r="AV143" t="str">
        <f t="shared" si="146"/>
        <v>Tra_EV_Batt-LFP_virgin_pack</v>
      </c>
      <c r="AW143">
        <f t="shared" si="147"/>
        <v>0</v>
      </c>
      <c r="AX143">
        <f t="shared" si="148"/>
        <v>0</v>
      </c>
      <c r="AY143">
        <f t="shared" si="149"/>
        <v>0.004</v>
      </c>
      <c r="AZ143">
        <f t="shared" si="150"/>
        <v>0.01</v>
      </c>
      <c r="BA143">
        <f t="shared" si="151"/>
        <v>0.004</v>
      </c>
      <c r="BB143">
        <f t="shared" si="152"/>
        <v>0.104</v>
      </c>
      <c r="BC143">
        <f t="shared" si="153"/>
        <v>0.01</v>
      </c>
      <c r="BD143">
        <f t="shared" si="154"/>
        <v>122.238</v>
      </c>
      <c r="BE143">
        <f t="shared" si="155"/>
        <v>0</v>
      </c>
      <c r="BF143">
        <f t="shared" si="156"/>
        <v>0.01</v>
      </c>
      <c r="BG143">
        <f t="shared" si="157"/>
        <v>0.063</v>
      </c>
      <c r="BH143">
        <f t="shared" si="158"/>
        <v>0.052</v>
      </c>
      <c r="BI143">
        <f t="shared" si="159"/>
        <v>0</v>
      </c>
      <c r="BJ143">
        <f t="shared" si="160"/>
        <v>0.01</v>
      </c>
      <c r="BK143">
        <f t="shared" si="161"/>
        <v>0</v>
      </c>
      <c r="BL143">
        <f t="shared" si="162"/>
        <v>0.125</v>
      </c>
      <c r="BM143">
        <f t="shared" si="163"/>
        <v>0</v>
      </c>
      <c r="BN143">
        <f t="shared" si="164"/>
        <v>0.021</v>
      </c>
      <c r="BO143">
        <f t="shared" si="165"/>
        <v>0.01</v>
      </c>
      <c r="BP143">
        <f t="shared" si="166"/>
        <v>0.047</v>
      </c>
      <c r="BQ143">
        <f t="shared" si="167"/>
        <v>0.004</v>
      </c>
      <c r="BR143">
        <f t="shared" si="168"/>
        <v>0.147</v>
      </c>
      <c r="BS143">
        <f t="shared" si="169"/>
        <v>0.021</v>
      </c>
      <c r="BT143">
        <f t="shared" si="170"/>
        <v>0.057</v>
      </c>
      <c r="BU143">
        <f t="shared" si="171"/>
        <v>0.063</v>
      </c>
      <c r="BV143">
        <f t="shared" si="172"/>
        <v>0.02</v>
      </c>
      <c r="BW143">
        <f t="shared" si="173"/>
        <v>0</v>
      </c>
      <c r="BX143">
        <f t="shared" si="174"/>
        <v>0</v>
      </c>
      <c r="BY143">
        <f t="shared" si="175"/>
        <v>0.031</v>
      </c>
      <c r="BZ143">
        <f t="shared" si="176"/>
        <v>0.063</v>
      </c>
      <c r="CA143">
        <f t="shared" si="177"/>
        <v>0.01</v>
      </c>
      <c r="CB143">
        <f t="shared" si="178"/>
        <v>0.01</v>
      </c>
      <c r="CC143">
        <f t="shared" si="179"/>
        <v>0.084</v>
      </c>
      <c r="CD143">
        <f t="shared" si="180"/>
        <v>0</v>
      </c>
      <c r="CE143">
        <f t="shared" si="181"/>
        <v>0</v>
      </c>
      <c r="CG143" s="6">
        <v>2015</v>
      </c>
      <c r="CH143" s="6" t="s">
        <v>69</v>
      </c>
      <c r="CI143" s="6">
        <v>0.058</v>
      </c>
      <c r="CJ143" s="6">
        <v>0.09</v>
      </c>
      <c r="CK143" s="6" t="s">
        <v>595</v>
      </c>
      <c r="CL143" s="6" t="s">
        <v>596</v>
      </c>
      <c r="CM143" s="6" t="s">
        <v>597</v>
      </c>
    </row>
    <row r="144" spans="4:91">
      <c r="D144">
        <f t="shared" si="182"/>
        <v>2015</v>
      </c>
      <c r="E144" t="s">
        <v>91</v>
      </c>
      <c r="F144" s="1">
        <f t="shared" si="112"/>
        <v>0.000174</v>
      </c>
      <c r="G144" s="1">
        <f t="shared" si="113"/>
        <v>0.000174</v>
      </c>
      <c r="H144" s="1">
        <f t="shared" si="114"/>
        <v>0.005916</v>
      </c>
      <c r="I144" s="1">
        <f t="shared" si="115"/>
        <v>0.019836</v>
      </c>
      <c r="J144" s="1">
        <f t="shared" si="116"/>
        <v>0.002262</v>
      </c>
      <c r="K144" s="1">
        <f t="shared" si="117"/>
        <v>0.090712</v>
      </c>
      <c r="L144" s="1">
        <f t="shared" si="118"/>
        <v>0.000696</v>
      </c>
      <c r="M144" s="1">
        <f t="shared" si="111"/>
        <v>1.22148</v>
      </c>
      <c r="N144" s="1">
        <f t="shared" si="119"/>
        <v>0.001624</v>
      </c>
      <c r="O144" s="1">
        <f t="shared" si="120"/>
        <v>0.002552</v>
      </c>
      <c r="P144" s="1">
        <f t="shared" si="121"/>
        <v>0.14616</v>
      </c>
      <c r="Q144" s="1">
        <f t="shared" si="122"/>
        <v>0.114666</v>
      </c>
      <c r="R144" s="1">
        <f t="shared" si="123"/>
        <v>0.000348</v>
      </c>
      <c r="S144" s="1">
        <f t="shared" si="124"/>
        <v>0.00493</v>
      </c>
      <c r="T144" s="1">
        <f t="shared" si="125"/>
        <v>0.00725</v>
      </c>
      <c r="U144" s="1">
        <f t="shared" si="126"/>
        <v>0.00406</v>
      </c>
      <c r="V144" s="1">
        <f t="shared" si="127"/>
        <v>0.004756</v>
      </c>
      <c r="W144" s="1">
        <f t="shared" si="128"/>
        <v>0.014848</v>
      </c>
      <c r="X144" s="1">
        <f t="shared" si="129"/>
        <v>0.132414</v>
      </c>
      <c r="Y144" s="1">
        <f t="shared" si="130"/>
        <v>0.00261</v>
      </c>
      <c r="Z144" s="1">
        <f t="shared" si="131"/>
        <v>0.002262</v>
      </c>
      <c r="AA144" s="1">
        <f t="shared" si="132"/>
        <v>0.401998</v>
      </c>
      <c r="AB144" s="1">
        <f t="shared" si="133"/>
        <v>0.157064</v>
      </c>
      <c r="AC144" s="1">
        <f t="shared" si="134"/>
        <v>0.003074</v>
      </c>
      <c r="AD144" s="1">
        <f t="shared" si="135"/>
        <v>0.027492</v>
      </c>
      <c r="AE144" s="1">
        <f t="shared" si="136"/>
        <v>0.003248</v>
      </c>
      <c r="AF144" s="1">
        <f t="shared" si="137"/>
        <v>0.000116</v>
      </c>
      <c r="AG144" s="1">
        <f t="shared" si="138"/>
        <v>0.000522</v>
      </c>
      <c r="AH144" s="1">
        <f t="shared" si="139"/>
        <v>0.030334</v>
      </c>
      <c r="AI144" s="1">
        <f t="shared" si="140"/>
        <v>0.05162</v>
      </c>
      <c r="AJ144" s="1">
        <f t="shared" si="141"/>
        <v>0.019546</v>
      </c>
      <c r="AK144" s="1">
        <f t="shared" si="142"/>
        <v>0.000696</v>
      </c>
      <c r="AL144" s="1">
        <f t="shared" si="143"/>
        <v>0.092162</v>
      </c>
      <c r="AM144" s="1">
        <f t="shared" si="144"/>
        <v>0.006496</v>
      </c>
      <c r="AN144" s="1">
        <f t="shared" si="145"/>
        <v>0.00029</v>
      </c>
      <c r="AQ144" s="6">
        <v>2015</v>
      </c>
      <c r="AR144" s="6" t="s">
        <v>91</v>
      </c>
      <c r="AS144" s="6">
        <v>0.058</v>
      </c>
      <c r="AT144" s="6" t="s">
        <v>568</v>
      </c>
      <c r="AU144" s="6" t="s">
        <v>594</v>
      </c>
      <c r="AV144" t="str">
        <f t="shared" si="146"/>
        <v>Tra_EV_Batt-NMC622_virgin_pack</v>
      </c>
      <c r="AW144">
        <f t="shared" si="147"/>
        <v>0.003</v>
      </c>
      <c r="AX144">
        <f t="shared" si="148"/>
        <v>0.003</v>
      </c>
      <c r="AY144">
        <f t="shared" si="149"/>
        <v>0.102</v>
      </c>
      <c r="AZ144">
        <f t="shared" si="150"/>
        <v>0.342</v>
      </c>
      <c r="BA144">
        <f t="shared" si="151"/>
        <v>0.039</v>
      </c>
      <c r="BB144">
        <f t="shared" si="152"/>
        <v>1.564</v>
      </c>
      <c r="BC144">
        <f t="shared" si="153"/>
        <v>0.012</v>
      </c>
      <c r="BD144">
        <f t="shared" si="154"/>
        <v>21.06</v>
      </c>
      <c r="BE144">
        <f t="shared" si="155"/>
        <v>0.028</v>
      </c>
      <c r="BF144">
        <f t="shared" si="156"/>
        <v>0.044</v>
      </c>
      <c r="BG144">
        <f t="shared" si="157"/>
        <v>2.52</v>
      </c>
      <c r="BH144">
        <f t="shared" si="158"/>
        <v>1.977</v>
      </c>
      <c r="BI144">
        <f t="shared" si="159"/>
        <v>0.006</v>
      </c>
      <c r="BJ144">
        <f t="shared" si="160"/>
        <v>0.085</v>
      </c>
      <c r="BK144">
        <f t="shared" si="161"/>
        <v>0.125</v>
      </c>
      <c r="BL144">
        <f t="shared" si="162"/>
        <v>0.07</v>
      </c>
      <c r="BM144">
        <f t="shared" si="163"/>
        <v>0.082</v>
      </c>
      <c r="BN144">
        <f t="shared" si="164"/>
        <v>0.256</v>
      </c>
      <c r="BO144">
        <f t="shared" si="165"/>
        <v>2.283</v>
      </c>
      <c r="BP144">
        <f t="shared" si="166"/>
        <v>0.045</v>
      </c>
      <c r="BQ144">
        <f t="shared" si="167"/>
        <v>0.039</v>
      </c>
      <c r="BR144">
        <f t="shared" si="168"/>
        <v>6.931</v>
      </c>
      <c r="BS144">
        <f t="shared" si="169"/>
        <v>2.708</v>
      </c>
      <c r="BT144">
        <f t="shared" si="170"/>
        <v>0.053</v>
      </c>
      <c r="BU144">
        <f t="shared" si="171"/>
        <v>0.474</v>
      </c>
      <c r="BV144">
        <f t="shared" si="172"/>
        <v>0.056</v>
      </c>
      <c r="BW144">
        <f t="shared" si="173"/>
        <v>0.002</v>
      </c>
      <c r="BX144">
        <f t="shared" si="174"/>
        <v>0.009</v>
      </c>
      <c r="BY144">
        <f t="shared" si="175"/>
        <v>0.523</v>
      </c>
      <c r="BZ144">
        <f t="shared" si="176"/>
        <v>0.89</v>
      </c>
      <c r="CA144">
        <f t="shared" si="177"/>
        <v>0.337</v>
      </c>
      <c r="CB144">
        <f t="shared" si="178"/>
        <v>0.012</v>
      </c>
      <c r="CC144">
        <f t="shared" si="179"/>
        <v>1.589</v>
      </c>
      <c r="CD144">
        <f t="shared" si="180"/>
        <v>0.112</v>
      </c>
      <c r="CE144">
        <f t="shared" si="181"/>
        <v>0.005</v>
      </c>
      <c r="CG144" s="6">
        <v>2015</v>
      </c>
      <c r="CH144" s="6" t="s">
        <v>91</v>
      </c>
      <c r="CI144" s="6">
        <v>0.058</v>
      </c>
      <c r="CJ144" s="6">
        <v>0.09</v>
      </c>
      <c r="CK144" s="6" t="s">
        <v>595</v>
      </c>
      <c r="CL144" s="6" t="s">
        <v>596</v>
      </c>
      <c r="CM144" s="6" t="s">
        <v>597</v>
      </c>
    </row>
    <row r="145" spans="4:91">
      <c r="D145">
        <f t="shared" si="182"/>
        <v>2015</v>
      </c>
      <c r="E145" t="s">
        <v>95</v>
      </c>
      <c r="F145" s="1">
        <f t="shared" si="112"/>
        <v>0.000174</v>
      </c>
      <c r="G145" s="1">
        <f t="shared" si="113"/>
        <v>0.000174</v>
      </c>
      <c r="H145" s="1">
        <f t="shared" si="114"/>
        <v>0.00493</v>
      </c>
      <c r="I145" s="1">
        <f t="shared" si="115"/>
        <v>0.016182</v>
      </c>
      <c r="J145" s="1">
        <f t="shared" si="116"/>
        <v>0.001914</v>
      </c>
      <c r="K145" s="1">
        <f t="shared" si="117"/>
        <v>0.074646</v>
      </c>
      <c r="L145" s="1">
        <f t="shared" si="118"/>
        <v>0.00058</v>
      </c>
      <c r="M145" s="1">
        <f t="shared" si="111"/>
        <v>2.644162</v>
      </c>
      <c r="N145" s="1">
        <f t="shared" si="119"/>
        <v>0.001392</v>
      </c>
      <c r="O145" s="1">
        <f t="shared" si="120"/>
        <v>0.00203</v>
      </c>
      <c r="P145" s="1">
        <f t="shared" si="121"/>
        <v>0.110838</v>
      </c>
      <c r="Q145" s="1">
        <f t="shared" si="122"/>
        <v>0.091234</v>
      </c>
      <c r="R145" s="1">
        <f t="shared" si="123"/>
        <v>0.00029</v>
      </c>
      <c r="S145" s="1">
        <f t="shared" si="124"/>
        <v>0.004002</v>
      </c>
      <c r="T145" s="1">
        <f t="shared" si="125"/>
        <v>0.006032</v>
      </c>
      <c r="U145" s="1">
        <f t="shared" si="126"/>
        <v>0.000406</v>
      </c>
      <c r="V145" s="1">
        <f t="shared" si="127"/>
        <v>0.003886</v>
      </c>
      <c r="W145" s="1">
        <f t="shared" si="128"/>
        <v>0.011774</v>
      </c>
      <c r="X145" s="1">
        <f t="shared" si="129"/>
        <v>0.024476</v>
      </c>
      <c r="Y145" s="1">
        <f t="shared" si="130"/>
        <v>0.002262</v>
      </c>
      <c r="Z145" s="1">
        <f t="shared" si="131"/>
        <v>0.001914</v>
      </c>
      <c r="AA145" s="1">
        <f t="shared" si="132"/>
        <v>0.281416</v>
      </c>
      <c r="AB145" s="1">
        <f t="shared" si="133"/>
        <v>0.094018</v>
      </c>
      <c r="AC145" s="1">
        <f t="shared" si="134"/>
        <v>0.002668</v>
      </c>
      <c r="AD145" s="1">
        <f t="shared" si="135"/>
        <v>0.089436</v>
      </c>
      <c r="AE145" s="1">
        <f t="shared" si="136"/>
        <v>0.002784</v>
      </c>
      <c r="AF145" s="1">
        <f t="shared" si="137"/>
        <v>5.8e-5</v>
      </c>
      <c r="AG145" s="1">
        <f t="shared" si="138"/>
        <v>0.000406</v>
      </c>
      <c r="AH145" s="1">
        <f t="shared" si="139"/>
        <v>0.024592</v>
      </c>
      <c r="AI145" s="1">
        <f t="shared" si="140"/>
        <v>0.041934</v>
      </c>
      <c r="AJ145" s="1">
        <f t="shared" si="141"/>
        <v>0.01595</v>
      </c>
      <c r="AK145" s="1">
        <f t="shared" si="142"/>
        <v>0.000638</v>
      </c>
      <c r="AL145" s="1">
        <f t="shared" si="143"/>
        <v>0.074994</v>
      </c>
      <c r="AM145" s="1">
        <f t="shared" si="144"/>
        <v>0.001102</v>
      </c>
      <c r="AN145" s="1">
        <f t="shared" si="145"/>
        <v>0.000232</v>
      </c>
      <c r="AQ145" s="6">
        <v>2015</v>
      </c>
      <c r="AR145" s="6" t="s">
        <v>95</v>
      </c>
      <c r="AS145" s="6">
        <v>0.058</v>
      </c>
      <c r="AT145" s="6" t="s">
        <v>568</v>
      </c>
      <c r="AU145" s="6" t="s">
        <v>594</v>
      </c>
      <c r="AV145" t="str">
        <f t="shared" si="146"/>
        <v>Tra_EV_Batt-NMC811_virgin_pack</v>
      </c>
      <c r="AW145">
        <f t="shared" si="147"/>
        <v>0.003</v>
      </c>
      <c r="AX145">
        <f t="shared" si="148"/>
        <v>0.003</v>
      </c>
      <c r="AY145">
        <f t="shared" si="149"/>
        <v>0.085</v>
      </c>
      <c r="AZ145">
        <f t="shared" si="150"/>
        <v>0.279</v>
      </c>
      <c r="BA145">
        <f t="shared" si="151"/>
        <v>0.033</v>
      </c>
      <c r="BB145">
        <f t="shared" si="152"/>
        <v>1.287</v>
      </c>
      <c r="BC145">
        <f t="shared" si="153"/>
        <v>0.01</v>
      </c>
      <c r="BD145">
        <f t="shared" si="154"/>
        <v>45.589</v>
      </c>
      <c r="BE145">
        <f t="shared" si="155"/>
        <v>0.024</v>
      </c>
      <c r="BF145">
        <f t="shared" si="156"/>
        <v>0.035</v>
      </c>
      <c r="BG145">
        <f t="shared" si="157"/>
        <v>1.911</v>
      </c>
      <c r="BH145">
        <f t="shared" si="158"/>
        <v>1.573</v>
      </c>
      <c r="BI145">
        <f t="shared" si="159"/>
        <v>0.005</v>
      </c>
      <c r="BJ145">
        <f t="shared" si="160"/>
        <v>0.069</v>
      </c>
      <c r="BK145">
        <f t="shared" si="161"/>
        <v>0.104</v>
      </c>
      <c r="BL145">
        <f t="shared" si="162"/>
        <v>0.007</v>
      </c>
      <c r="BM145">
        <f t="shared" si="163"/>
        <v>0.067</v>
      </c>
      <c r="BN145">
        <f t="shared" si="164"/>
        <v>0.203</v>
      </c>
      <c r="BO145">
        <f t="shared" si="165"/>
        <v>0.422</v>
      </c>
      <c r="BP145">
        <f t="shared" si="166"/>
        <v>0.039</v>
      </c>
      <c r="BQ145">
        <f t="shared" si="167"/>
        <v>0.033</v>
      </c>
      <c r="BR145">
        <f t="shared" si="168"/>
        <v>4.852</v>
      </c>
      <c r="BS145">
        <f t="shared" si="169"/>
        <v>1.621</v>
      </c>
      <c r="BT145">
        <f t="shared" si="170"/>
        <v>0.046</v>
      </c>
      <c r="BU145">
        <f t="shared" si="171"/>
        <v>1.542</v>
      </c>
      <c r="BV145">
        <f t="shared" si="172"/>
        <v>0.048</v>
      </c>
      <c r="BW145">
        <f t="shared" si="173"/>
        <v>0.001</v>
      </c>
      <c r="BX145">
        <f t="shared" si="174"/>
        <v>0.007</v>
      </c>
      <c r="BY145">
        <f t="shared" si="175"/>
        <v>0.424</v>
      </c>
      <c r="BZ145">
        <f t="shared" si="176"/>
        <v>0.723</v>
      </c>
      <c r="CA145">
        <f t="shared" si="177"/>
        <v>0.275</v>
      </c>
      <c r="CB145">
        <f t="shared" si="178"/>
        <v>0.011</v>
      </c>
      <c r="CC145">
        <f t="shared" si="179"/>
        <v>1.293</v>
      </c>
      <c r="CD145">
        <f t="shared" si="180"/>
        <v>0.019</v>
      </c>
      <c r="CE145">
        <f t="shared" si="181"/>
        <v>0.004</v>
      </c>
      <c r="CG145" s="6">
        <v>2015</v>
      </c>
      <c r="CH145" s="6" t="s">
        <v>95</v>
      </c>
      <c r="CI145" s="6">
        <v>0.058</v>
      </c>
      <c r="CJ145" s="6">
        <v>0.09</v>
      </c>
      <c r="CK145" s="6" t="s">
        <v>595</v>
      </c>
      <c r="CL145" s="6" t="s">
        <v>596</v>
      </c>
      <c r="CM145" s="6" t="s">
        <v>597</v>
      </c>
    </row>
    <row r="146" spans="4:91">
      <c r="D146">
        <f t="shared" si="182"/>
        <v>2015</v>
      </c>
      <c r="E146" t="s">
        <v>87</v>
      </c>
      <c r="F146" s="1">
        <f t="shared" si="112"/>
        <v>5.8e-5</v>
      </c>
      <c r="G146" s="1">
        <f t="shared" si="113"/>
        <v>5.8e-5</v>
      </c>
      <c r="H146" s="1">
        <f t="shared" si="114"/>
        <v>0.000986</v>
      </c>
      <c r="I146" s="1">
        <f t="shared" si="115"/>
        <v>0.003074</v>
      </c>
      <c r="J146" s="1">
        <f t="shared" si="116"/>
        <v>0.000348</v>
      </c>
      <c r="K146" s="1">
        <f t="shared" si="117"/>
        <v>0.014152</v>
      </c>
      <c r="L146" s="1">
        <f t="shared" si="118"/>
        <v>5.8e-5</v>
      </c>
      <c r="M146" s="1">
        <f t="shared" si="111"/>
        <v>0.544678</v>
      </c>
      <c r="N146" s="1">
        <f t="shared" si="119"/>
        <v>0.00029</v>
      </c>
      <c r="O146" s="1">
        <f t="shared" si="120"/>
        <v>0.000348</v>
      </c>
      <c r="P146" s="1">
        <f t="shared" si="121"/>
        <v>0.01856</v>
      </c>
      <c r="Q146" s="1">
        <f t="shared" si="122"/>
        <v>0.016704</v>
      </c>
      <c r="R146" s="1">
        <f t="shared" si="123"/>
        <v>5.8e-5</v>
      </c>
      <c r="S146" s="1">
        <f t="shared" si="124"/>
        <v>0.000696</v>
      </c>
      <c r="T146" s="1">
        <f t="shared" si="125"/>
        <v>0.001218</v>
      </c>
      <c r="U146" s="1">
        <f t="shared" si="126"/>
        <v>0</v>
      </c>
      <c r="V146" s="1">
        <f t="shared" si="127"/>
        <v>0.000754</v>
      </c>
      <c r="W146" s="1">
        <f t="shared" si="128"/>
        <v>0.002088</v>
      </c>
      <c r="X146" s="1">
        <f t="shared" si="129"/>
        <v>0</v>
      </c>
      <c r="Y146" s="1">
        <f t="shared" si="130"/>
        <v>0.000232</v>
      </c>
      <c r="Z146" s="1">
        <f t="shared" si="131"/>
        <v>0.000348</v>
      </c>
      <c r="AA146" s="1">
        <f t="shared" si="132"/>
        <v>0.276428</v>
      </c>
      <c r="AB146" s="1">
        <f t="shared" si="133"/>
        <v>0.030566</v>
      </c>
      <c r="AC146" s="1">
        <f t="shared" si="134"/>
        <v>0.00029</v>
      </c>
      <c r="AD146" s="1">
        <f t="shared" si="135"/>
        <v>0.062582</v>
      </c>
      <c r="AE146" s="1">
        <f t="shared" si="136"/>
        <v>0.000464</v>
      </c>
      <c r="AF146" s="1">
        <f t="shared" si="137"/>
        <v>0</v>
      </c>
      <c r="AG146" s="1">
        <f t="shared" si="138"/>
        <v>5.8e-5</v>
      </c>
      <c r="AH146" s="1">
        <f t="shared" si="139"/>
        <v>0.004582</v>
      </c>
      <c r="AI146" s="1">
        <f t="shared" si="140"/>
        <v>0.007772</v>
      </c>
      <c r="AJ146" s="1">
        <f t="shared" si="141"/>
        <v>0.003016</v>
      </c>
      <c r="AK146" s="1">
        <f t="shared" si="142"/>
        <v>0.000116</v>
      </c>
      <c r="AL146" s="1">
        <f t="shared" si="143"/>
        <v>0.014094</v>
      </c>
      <c r="AM146" s="1">
        <f t="shared" si="144"/>
        <v>0</v>
      </c>
      <c r="AN146" s="1">
        <f t="shared" si="145"/>
        <v>5.8e-5</v>
      </c>
      <c r="AQ146" s="6">
        <v>2015</v>
      </c>
      <c r="AR146" s="6" t="s">
        <v>87</v>
      </c>
      <c r="AS146" s="6">
        <v>0.058</v>
      </c>
      <c r="AT146" s="6" t="s">
        <v>568</v>
      </c>
      <c r="AU146" s="6" t="s">
        <v>594</v>
      </c>
      <c r="AV146" t="str">
        <f t="shared" si="146"/>
        <v> Tra_EV_Batt-NMC532_virgin_pack</v>
      </c>
      <c r="AW146">
        <f t="shared" si="147"/>
        <v>0.001</v>
      </c>
      <c r="AX146">
        <f t="shared" si="148"/>
        <v>0.001</v>
      </c>
      <c r="AY146">
        <f t="shared" si="149"/>
        <v>0.017</v>
      </c>
      <c r="AZ146">
        <f t="shared" si="150"/>
        <v>0.053</v>
      </c>
      <c r="BA146">
        <f t="shared" si="151"/>
        <v>0.006</v>
      </c>
      <c r="BB146">
        <f t="shared" si="152"/>
        <v>0.244</v>
      </c>
      <c r="BC146">
        <f t="shared" si="153"/>
        <v>0.001</v>
      </c>
      <c r="BD146">
        <f t="shared" si="154"/>
        <v>9.391</v>
      </c>
      <c r="BE146">
        <f t="shared" si="155"/>
        <v>0.005</v>
      </c>
      <c r="BF146">
        <f t="shared" si="156"/>
        <v>0.006</v>
      </c>
      <c r="BG146">
        <f t="shared" si="157"/>
        <v>0.32</v>
      </c>
      <c r="BH146">
        <f t="shared" si="158"/>
        <v>0.288</v>
      </c>
      <c r="BI146">
        <f t="shared" si="159"/>
        <v>0.001</v>
      </c>
      <c r="BJ146">
        <f t="shared" si="160"/>
        <v>0.012</v>
      </c>
      <c r="BK146">
        <f t="shared" si="161"/>
        <v>0.021</v>
      </c>
      <c r="BL146">
        <f t="shared" si="162"/>
        <v>0</v>
      </c>
      <c r="BM146">
        <f t="shared" si="163"/>
        <v>0.013</v>
      </c>
      <c r="BN146">
        <f t="shared" si="164"/>
        <v>0.036</v>
      </c>
      <c r="BO146">
        <f t="shared" si="165"/>
        <v>0</v>
      </c>
      <c r="BP146">
        <f t="shared" si="166"/>
        <v>0.004</v>
      </c>
      <c r="BQ146">
        <f t="shared" si="167"/>
        <v>0.006</v>
      </c>
      <c r="BR146">
        <f t="shared" si="168"/>
        <v>4.766</v>
      </c>
      <c r="BS146">
        <f t="shared" si="169"/>
        <v>0.527</v>
      </c>
      <c r="BT146">
        <f t="shared" si="170"/>
        <v>0.005</v>
      </c>
      <c r="BU146">
        <f t="shared" si="171"/>
        <v>1.079</v>
      </c>
      <c r="BV146">
        <f t="shared" si="172"/>
        <v>0.008</v>
      </c>
      <c r="BW146">
        <f t="shared" si="173"/>
        <v>0</v>
      </c>
      <c r="BX146">
        <f t="shared" si="174"/>
        <v>0.001</v>
      </c>
      <c r="BY146">
        <f t="shared" si="175"/>
        <v>0.079</v>
      </c>
      <c r="BZ146">
        <f t="shared" si="176"/>
        <v>0.134</v>
      </c>
      <c r="CA146">
        <f t="shared" si="177"/>
        <v>0.052</v>
      </c>
      <c r="CB146">
        <f t="shared" si="178"/>
        <v>0.002</v>
      </c>
      <c r="CC146">
        <f t="shared" si="179"/>
        <v>0.243</v>
      </c>
      <c r="CD146">
        <f t="shared" si="180"/>
        <v>0</v>
      </c>
      <c r="CE146">
        <f t="shared" si="181"/>
        <v>0.001</v>
      </c>
      <c r="CG146" s="6">
        <v>2015</v>
      </c>
      <c r="CH146" s="6" t="s">
        <v>87</v>
      </c>
      <c r="CI146" s="6">
        <v>0.058</v>
      </c>
      <c r="CJ146" s="6">
        <v>0.09</v>
      </c>
      <c r="CK146" s="6" t="s">
        <v>595</v>
      </c>
      <c r="CL146" s="6" t="s">
        <v>596</v>
      </c>
      <c r="CM146" s="6" t="s">
        <v>597</v>
      </c>
    </row>
    <row r="147" spans="4:91">
      <c r="D147">
        <f t="shared" si="182"/>
        <v>2015</v>
      </c>
      <c r="E147" t="s">
        <v>78</v>
      </c>
      <c r="F147" s="1">
        <f t="shared" si="112"/>
        <v>0</v>
      </c>
      <c r="G147" s="1">
        <f t="shared" si="113"/>
        <v>0</v>
      </c>
      <c r="H147" s="1">
        <f t="shared" si="114"/>
        <v>0</v>
      </c>
      <c r="I147" s="1">
        <f t="shared" si="115"/>
        <v>0</v>
      </c>
      <c r="J147" s="1">
        <f t="shared" si="116"/>
        <v>0</v>
      </c>
      <c r="K147" s="1">
        <f t="shared" si="117"/>
        <v>0</v>
      </c>
      <c r="L147" s="1">
        <f t="shared" si="118"/>
        <v>0</v>
      </c>
      <c r="M147" s="1">
        <f t="shared" si="111"/>
        <v>0.098658</v>
      </c>
      <c r="N147" s="1">
        <f t="shared" si="119"/>
        <v>0</v>
      </c>
      <c r="O147" s="1">
        <f t="shared" si="120"/>
        <v>0</v>
      </c>
      <c r="P147" s="1">
        <f t="shared" si="121"/>
        <v>0</v>
      </c>
      <c r="Q147" s="1">
        <f t="shared" si="122"/>
        <v>0</v>
      </c>
      <c r="R147" s="1">
        <f t="shared" si="123"/>
        <v>0</v>
      </c>
      <c r="S147" s="1">
        <f t="shared" si="124"/>
        <v>0</v>
      </c>
      <c r="T147" s="1">
        <f t="shared" si="125"/>
        <v>0</v>
      </c>
      <c r="U147" s="1">
        <f t="shared" si="126"/>
        <v>0</v>
      </c>
      <c r="V147" s="1">
        <f t="shared" si="127"/>
        <v>0</v>
      </c>
      <c r="W147" s="1">
        <f t="shared" si="128"/>
        <v>0</v>
      </c>
      <c r="X147" s="1">
        <f t="shared" si="129"/>
        <v>0</v>
      </c>
      <c r="Y147" s="1">
        <f t="shared" si="130"/>
        <v>0</v>
      </c>
      <c r="Z147" s="1">
        <f t="shared" si="131"/>
        <v>0</v>
      </c>
      <c r="AA147" s="1">
        <f t="shared" si="132"/>
        <v>0</v>
      </c>
      <c r="AB147" s="1">
        <f t="shared" si="133"/>
        <v>0</v>
      </c>
      <c r="AC147" s="1">
        <f t="shared" si="134"/>
        <v>0</v>
      </c>
      <c r="AD147" s="1">
        <f t="shared" si="135"/>
        <v>0</v>
      </c>
      <c r="AE147" s="1">
        <f t="shared" si="136"/>
        <v>0</v>
      </c>
      <c r="AF147" s="1">
        <f t="shared" si="137"/>
        <v>0</v>
      </c>
      <c r="AG147" s="1">
        <f t="shared" si="138"/>
        <v>0</v>
      </c>
      <c r="AH147" s="1">
        <f t="shared" si="139"/>
        <v>0</v>
      </c>
      <c r="AI147" s="1">
        <f t="shared" si="140"/>
        <v>0</v>
      </c>
      <c r="AJ147" s="1">
        <f t="shared" si="141"/>
        <v>0</v>
      </c>
      <c r="AK147" s="1">
        <f t="shared" si="142"/>
        <v>0</v>
      </c>
      <c r="AL147" s="1">
        <f t="shared" si="143"/>
        <v>0</v>
      </c>
      <c r="AM147" s="1">
        <f t="shared" si="144"/>
        <v>0</v>
      </c>
      <c r="AN147" s="1">
        <f t="shared" si="145"/>
        <v>0</v>
      </c>
      <c r="AQ147" s="6">
        <v>2015</v>
      </c>
      <c r="AR147" s="6" t="s">
        <v>78</v>
      </c>
      <c r="AS147" s="6">
        <v>0.058</v>
      </c>
      <c r="AT147" s="6" t="s">
        <v>568</v>
      </c>
      <c r="AU147" s="6" t="s">
        <v>594</v>
      </c>
      <c r="AV147" t="str">
        <f t="shared" si="146"/>
        <v>Tra_EV_Batt-NCA_virgin_pack</v>
      </c>
      <c r="AW147">
        <f t="shared" si="147"/>
        <v>0</v>
      </c>
      <c r="AX147">
        <f t="shared" si="148"/>
        <v>0</v>
      </c>
      <c r="AY147">
        <f t="shared" si="149"/>
        <v>0</v>
      </c>
      <c r="AZ147">
        <f t="shared" si="150"/>
        <v>0</v>
      </c>
      <c r="BA147">
        <f t="shared" si="151"/>
        <v>0</v>
      </c>
      <c r="BB147">
        <f t="shared" si="152"/>
        <v>0</v>
      </c>
      <c r="BC147">
        <f t="shared" si="153"/>
        <v>0</v>
      </c>
      <c r="BD147">
        <f t="shared" si="154"/>
        <v>1.701</v>
      </c>
      <c r="BE147">
        <f t="shared" si="155"/>
        <v>0</v>
      </c>
      <c r="BF147">
        <f t="shared" si="156"/>
        <v>0</v>
      </c>
      <c r="BG147">
        <f t="shared" si="157"/>
        <v>0</v>
      </c>
      <c r="BH147">
        <f t="shared" si="158"/>
        <v>0</v>
      </c>
      <c r="BI147">
        <f t="shared" si="159"/>
        <v>0</v>
      </c>
      <c r="BJ147">
        <f t="shared" si="160"/>
        <v>0</v>
      </c>
      <c r="BK147">
        <f t="shared" si="161"/>
        <v>0</v>
      </c>
      <c r="BL147">
        <f t="shared" si="162"/>
        <v>0</v>
      </c>
      <c r="BM147">
        <f t="shared" si="163"/>
        <v>0</v>
      </c>
      <c r="BN147">
        <f t="shared" si="164"/>
        <v>0</v>
      </c>
      <c r="BO147">
        <f t="shared" si="165"/>
        <v>0</v>
      </c>
      <c r="BP147">
        <f t="shared" si="166"/>
        <v>0</v>
      </c>
      <c r="BQ147">
        <f t="shared" si="167"/>
        <v>0</v>
      </c>
      <c r="BR147">
        <f t="shared" si="168"/>
        <v>0</v>
      </c>
      <c r="BS147">
        <f t="shared" si="169"/>
        <v>0</v>
      </c>
      <c r="BT147">
        <f t="shared" si="170"/>
        <v>0</v>
      </c>
      <c r="BU147">
        <f t="shared" si="171"/>
        <v>0</v>
      </c>
      <c r="BV147">
        <f t="shared" si="172"/>
        <v>0</v>
      </c>
      <c r="BW147">
        <f t="shared" si="173"/>
        <v>0</v>
      </c>
      <c r="BX147">
        <f t="shared" si="174"/>
        <v>0</v>
      </c>
      <c r="BY147">
        <f t="shared" si="175"/>
        <v>0</v>
      </c>
      <c r="BZ147">
        <f t="shared" si="176"/>
        <v>0</v>
      </c>
      <c r="CA147">
        <f t="shared" si="177"/>
        <v>0</v>
      </c>
      <c r="CB147">
        <f t="shared" si="178"/>
        <v>0</v>
      </c>
      <c r="CC147">
        <f t="shared" si="179"/>
        <v>0</v>
      </c>
      <c r="CD147">
        <f t="shared" si="180"/>
        <v>0</v>
      </c>
      <c r="CE147">
        <f t="shared" si="181"/>
        <v>0</v>
      </c>
      <c r="CG147" s="6">
        <v>2015</v>
      </c>
      <c r="CH147" s="6" t="s">
        <v>78</v>
      </c>
      <c r="CI147" s="6">
        <v>0.058</v>
      </c>
      <c r="CJ147" s="6">
        <v>0.09</v>
      </c>
      <c r="CK147" s="6" t="s">
        <v>595</v>
      </c>
      <c r="CL147" s="6" t="s">
        <v>596</v>
      </c>
      <c r="CM147" s="6" t="s">
        <v>597</v>
      </c>
    </row>
    <row r="148" spans="4:91">
      <c r="D148">
        <f t="shared" si="182"/>
        <v>2015</v>
      </c>
      <c r="E148" t="s">
        <v>74</v>
      </c>
      <c r="F148" s="1">
        <f t="shared" si="112"/>
        <v>0.000116</v>
      </c>
      <c r="G148" s="1">
        <f t="shared" si="113"/>
        <v>0.000116</v>
      </c>
      <c r="H148" s="1">
        <f t="shared" si="114"/>
        <v>0.003886</v>
      </c>
      <c r="I148" s="1">
        <f t="shared" si="115"/>
        <v>0.012296</v>
      </c>
      <c r="J148" s="1">
        <f t="shared" si="116"/>
        <v>0.00145</v>
      </c>
      <c r="K148" s="1">
        <f t="shared" si="117"/>
        <v>0.056608</v>
      </c>
      <c r="L148" s="1">
        <f t="shared" si="118"/>
        <v>0.000348</v>
      </c>
      <c r="M148" s="1">
        <f t="shared" si="111"/>
        <v>0.147958</v>
      </c>
      <c r="N148" s="1">
        <f t="shared" si="119"/>
        <v>0.001102</v>
      </c>
      <c r="O148" s="1">
        <f t="shared" si="120"/>
        <v>0.001276</v>
      </c>
      <c r="P148" s="1">
        <f t="shared" si="121"/>
        <v>0.074356</v>
      </c>
      <c r="Q148" s="1">
        <f t="shared" si="122"/>
        <v>0.066758</v>
      </c>
      <c r="R148" s="1">
        <f t="shared" si="123"/>
        <v>0.000232</v>
      </c>
      <c r="S148" s="1">
        <f t="shared" si="124"/>
        <v>0.0029</v>
      </c>
      <c r="T148" s="1">
        <f t="shared" si="125"/>
        <v>0.004872</v>
      </c>
      <c r="U148" s="1">
        <f t="shared" si="126"/>
        <v>0</v>
      </c>
      <c r="V148" s="1">
        <f t="shared" si="127"/>
        <v>0.003016</v>
      </c>
      <c r="W148" s="1">
        <f t="shared" si="128"/>
        <v>0.008294</v>
      </c>
      <c r="X148" s="1">
        <f t="shared" si="129"/>
        <v>0.041876</v>
      </c>
      <c r="Y148" s="1">
        <f t="shared" si="130"/>
        <v>0.000986</v>
      </c>
      <c r="Z148" s="1">
        <f t="shared" si="131"/>
        <v>0.00145</v>
      </c>
      <c r="AA148" s="1">
        <f t="shared" si="132"/>
        <v>2.567022</v>
      </c>
      <c r="AB148" s="1">
        <f t="shared" si="133"/>
        <v>0.213904</v>
      </c>
      <c r="AC148" s="1">
        <f t="shared" si="134"/>
        <v>0.001102</v>
      </c>
      <c r="AD148" s="1">
        <f t="shared" si="135"/>
        <v>0.062582</v>
      </c>
      <c r="AE148" s="1">
        <f t="shared" si="136"/>
        <v>0.001914</v>
      </c>
      <c r="AF148" s="1">
        <f t="shared" si="137"/>
        <v>5.8e-5</v>
      </c>
      <c r="AG148" s="1">
        <f t="shared" si="138"/>
        <v>0.000348</v>
      </c>
      <c r="AH148" s="1">
        <f t="shared" si="139"/>
        <v>0.01827</v>
      </c>
      <c r="AI148" s="1">
        <f t="shared" si="140"/>
        <v>0.03103</v>
      </c>
      <c r="AJ148" s="1">
        <f t="shared" si="141"/>
        <v>0.012064</v>
      </c>
      <c r="AK148" s="1">
        <f t="shared" si="142"/>
        <v>0.000348</v>
      </c>
      <c r="AL148" s="1">
        <f t="shared" si="143"/>
        <v>0.05626</v>
      </c>
      <c r="AM148" s="1">
        <f t="shared" si="144"/>
        <v>0.002146</v>
      </c>
      <c r="AN148" s="1">
        <f t="shared" si="145"/>
        <v>0.000174</v>
      </c>
      <c r="AQ148" s="6">
        <v>2015</v>
      </c>
      <c r="AR148" s="6" t="s">
        <v>74</v>
      </c>
      <c r="AS148" s="6">
        <v>0.058</v>
      </c>
      <c r="AT148" s="6" t="s">
        <v>568</v>
      </c>
      <c r="AU148" s="6" t="s">
        <v>594</v>
      </c>
      <c r="AV148" t="str">
        <f t="shared" si="146"/>
        <v> Tra_EV_Batt-LMO_virgin_pack</v>
      </c>
      <c r="AW148">
        <f t="shared" si="147"/>
        <v>0.002</v>
      </c>
      <c r="AX148">
        <f t="shared" si="148"/>
        <v>0.002</v>
      </c>
      <c r="AY148">
        <f t="shared" si="149"/>
        <v>0.067</v>
      </c>
      <c r="AZ148">
        <f t="shared" si="150"/>
        <v>0.212</v>
      </c>
      <c r="BA148">
        <f t="shared" si="151"/>
        <v>0.025</v>
      </c>
      <c r="BB148">
        <f t="shared" si="152"/>
        <v>0.976</v>
      </c>
      <c r="BC148">
        <f t="shared" si="153"/>
        <v>0.006</v>
      </c>
      <c r="BD148">
        <f t="shared" si="154"/>
        <v>2.551</v>
      </c>
      <c r="BE148">
        <f t="shared" si="155"/>
        <v>0.019</v>
      </c>
      <c r="BF148">
        <f t="shared" si="156"/>
        <v>0.022</v>
      </c>
      <c r="BG148">
        <f t="shared" si="157"/>
        <v>1.282</v>
      </c>
      <c r="BH148">
        <f t="shared" si="158"/>
        <v>1.151</v>
      </c>
      <c r="BI148">
        <f t="shared" si="159"/>
        <v>0.004</v>
      </c>
      <c r="BJ148">
        <f t="shared" si="160"/>
        <v>0.05</v>
      </c>
      <c r="BK148">
        <f t="shared" si="161"/>
        <v>0.084</v>
      </c>
      <c r="BL148">
        <f t="shared" si="162"/>
        <v>0</v>
      </c>
      <c r="BM148">
        <f t="shared" si="163"/>
        <v>0.052</v>
      </c>
      <c r="BN148">
        <f t="shared" si="164"/>
        <v>0.143</v>
      </c>
      <c r="BO148">
        <f t="shared" si="165"/>
        <v>0.722</v>
      </c>
      <c r="BP148">
        <f t="shared" si="166"/>
        <v>0.017</v>
      </c>
      <c r="BQ148">
        <f t="shared" si="167"/>
        <v>0.025</v>
      </c>
      <c r="BR148">
        <f t="shared" si="168"/>
        <v>44.259</v>
      </c>
      <c r="BS148">
        <f t="shared" si="169"/>
        <v>3.688</v>
      </c>
      <c r="BT148">
        <f t="shared" si="170"/>
        <v>0.019</v>
      </c>
      <c r="BU148">
        <f t="shared" si="171"/>
        <v>1.079</v>
      </c>
      <c r="BV148">
        <f t="shared" si="172"/>
        <v>0.033</v>
      </c>
      <c r="BW148">
        <f t="shared" si="173"/>
        <v>0.001</v>
      </c>
      <c r="BX148">
        <f t="shared" si="174"/>
        <v>0.006</v>
      </c>
      <c r="BY148">
        <f t="shared" si="175"/>
        <v>0.315</v>
      </c>
      <c r="BZ148">
        <f t="shared" si="176"/>
        <v>0.535</v>
      </c>
      <c r="CA148">
        <f t="shared" si="177"/>
        <v>0.208</v>
      </c>
      <c r="CB148">
        <f t="shared" si="178"/>
        <v>0.006</v>
      </c>
      <c r="CC148">
        <f t="shared" si="179"/>
        <v>0.97</v>
      </c>
      <c r="CD148">
        <f t="shared" si="180"/>
        <v>0.037</v>
      </c>
      <c r="CE148">
        <f t="shared" si="181"/>
        <v>0.003</v>
      </c>
      <c r="CG148" s="6">
        <v>2015</v>
      </c>
      <c r="CH148" s="6" t="s">
        <v>74</v>
      </c>
      <c r="CI148" s="6">
        <v>0.058</v>
      </c>
      <c r="CJ148" s="6">
        <v>0.09</v>
      </c>
      <c r="CK148" s="6" t="s">
        <v>595</v>
      </c>
      <c r="CL148" s="6" t="s">
        <v>596</v>
      </c>
      <c r="CM148" s="6" t="s">
        <v>597</v>
      </c>
    </row>
    <row r="149" spans="4:91">
      <c r="D149">
        <f t="shared" si="182"/>
        <v>2015</v>
      </c>
      <c r="E149" t="s">
        <v>82</v>
      </c>
      <c r="F149" s="1">
        <f t="shared" si="112"/>
        <v>0.000116</v>
      </c>
      <c r="G149" s="1">
        <f t="shared" si="113"/>
        <v>0.000116</v>
      </c>
      <c r="H149" s="1">
        <f t="shared" si="114"/>
        <v>0.003886</v>
      </c>
      <c r="I149" s="1">
        <f t="shared" si="115"/>
        <v>0.013514</v>
      </c>
      <c r="J149" s="1">
        <f t="shared" si="116"/>
        <v>0.00145</v>
      </c>
      <c r="K149" s="1">
        <f t="shared" si="117"/>
        <v>0.060378</v>
      </c>
      <c r="L149" s="1">
        <f t="shared" si="118"/>
        <v>0.000348</v>
      </c>
      <c r="M149" s="1">
        <f t="shared" si="111"/>
        <v>0.098658</v>
      </c>
      <c r="N149" s="1">
        <f t="shared" si="119"/>
        <v>0.001102</v>
      </c>
      <c r="O149" s="1">
        <f t="shared" si="120"/>
        <v>0.001682</v>
      </c>
      <c r="P149" s="1">
        <f t="shared" si="121"/>
        <v>0.107822</v>
      </c>
      <c r="Q149" s="1">
        <f t="shared" si="122"/>
        <v>0.080272</v>
      </c>
      <c r="R149" s="1">
        <f t="shared" si="123"/>
        <v>0.000232</v>
      </c>
      <c r="S149" s="1">
        <f t="shared" si="124"/>
        <v>0.003306</v>
      </c>
      <c r="T149" s="1">
        <f t="shared" si="125"/>
        <v>0.004872</v>
      </c>
      <c r="U149" s="1">
        <f t="shared" si="126"/>
        <v>0.002436</v>
      </c>
      <c r="V149" s="1">
        <f t="shared" si="127"/>
        <v>0.003248</v>
      </c>
      <c r="W149" s="1">
        <f t="shared" si="128"/>
        <v>0.010324</v>
      </c>
      <c r="X149" s="1">
        <f t="shared" si="129"/>
        <v>0.236872</v>
      </c>
      <c r="Y149" s="1">
        <f t="shared" si="130"/>
        <v>0.001218</v>
      </c>
      <c r="Z149" s="1">
        <f t="shared" si="131"/>
        <v>0.00145</v>
      </c>
      <c r="AA149" s="1">
        <f t="shared" si="132"/>
        <v>0.438654</v>
      </c>
      <c r="AB149" s="1">
        <f t="shared" si="133"/>
        <v>0.12615</v>
      </c>
      <c r="AC149" s="1">
        <f t="shared" si="134"/>
        <v>0.00145</v>
      </c>
      <c r="AD149" s="1">
        <f t="shared" si="135"/>
        <v>0.013746</v>
      </c>
      <c r="AE149" s="1">
        <f t="shared" si="136"/>
        <v>0.001914</v>
      </c>
      <c r="AF149" s="1">
        <f t="shared" si="137"/>
        <v>5.8e-5</v>
      </c>
      <c r="AG149" s="1">
        <f t="shared" si="138"/>
        <v>0.000348</v>
      </c>
      <c r="AH149" s="1">
        <f t="shared" si="139"/>
        <v>0.02059</v>
      </c>
      <c r="AI149" s="1">
        <f t="shared" si="140"/>
        <v>0.034858</v>
      </c>
      <c r="AJ149" s="1">
        <f t="shared" si="141"/>
        <v>0.013282</v>
      </c>
      <c r="AK149" s="1">
        <f t="shared" si="142"/>
        <v>0.000348</v>
      </c>
      <c r="AL149" s="1">
        <f t="shared" si="143"/>
        <v>0.062408</v>
      </c>
      <c r="AM149" s="1">
        <f t="shared" si="144"/>
        <v>0.01189</v>
      </c>
      <c r="AN149" s="1">
        <f t="shared" si="145"/>
        <v>0.000174</v>
      </c>
      <c r="AQ149" s="6">
        <v>2015</v>
      </c>
      <c r="AR149" s="6" t="s">
        <v>82</v>
      </c>
      <c r="AS149" s="6">
        <v>0.058</v>
      </c>
      <c r="AT149" s="6" t="s">
        <v>568</v>
      </c>
      <c r="AU149" s="6" t="s">
        <v>594</v>
      </c>
      <c r="AV149" t="str">
        <f t="shared" si="146"/>
        <v>Tra_EV_Batt-NMC111_virgin_pack</v>
      </c>
      <c r="AW149">
        <f t="shared" si="147"/>
        <v>0.002</v>
      </c>
      <c r="AX149">
        <f t="shared" si="148"/>
        <v>0.002</v>
      </c>
      <c r="AY149">
        <f t="shared" si="149"/>
        <v>0.067</v>
      </c>
      <c r="AZ149">
        <f t="shared" si="150"/>
        <v>0.233</v>
      </c>
      <c r="BA149">
        <f t="shared" si="151"/>
        <v>0.025</v>
      </c>
      <c r="BB149">
        <f t="shared" si="152"/>
        <v>1.041</v>
      </c>
      <c r="BC149">
        <f t="shared" si="153"/>
        <v>0.006</v>
      </c>
      <c r="BD149">
        <f t="shared" si="154"/>
        <v>1.701</v>
      </c>
      <c r="BE149">
        <f t="shared" si="155"/>
        <v>0.019</v>
      </c>
      <c r="BF149">
        <f t="shared" si="156"/>
        <v>0.029</v>
      </c>
      <c r="BG149">
        <f t="shared" si="157"/>
        <v>1.859</v>
      </c>
      <c r="BH149">
        <f t="shared" si="158"/>
        <v>1.384</v>
      </c>
      <c r="BI149">
        <f t="shared" si="159"/>
        <v>0.004</v>
      </c>
      <c r="BJ149">
        <f t="shared" si="160"/>
        <v>0.057</v>
      </c>
      <c r="BK149">
        <f t="shared" si="161"/>
        <v>0.084</v>
      </c>
      <c r="BL149">
        <f t="shared" si="162"/>
        <v>0.042</v>
      </c>
      <c r="BM149">
        <f t="shared" si="163"/>
        <v>0.056</v>
      </c>
      <c r="BN149">
        <f t="shared" si="164"/>
        <v>0.178</v>
      </c>
      <c r="BO149">
        <f t="shared" si="165"/>
        <v>4.084</v>
      </c>
      <c r="BP149">
        <f t="shared" si="166"/>
        <v>0.021</v>
      </c>
      <c r="BQ149">
        <f t="shared" si="167"/>
        <v>0.025</v>
      </c>
      <c r="BR149">
        <f t="shared" si="168"/>
        <v>7.563</v>
      </c>
      <c r="BS149">
        <f t="shared" si="169"/>
        <v>2.175</v>
      </c>
      <c r="BT149">
        <f t="shared" si="170"/>
        <v>0.025</v>
      </c>
      <c r="BU149">
        <f t="shared" si="171"/>
        <v>0.237</v>
      </c>
      <c r="BV149">
        <f t="shared" si="172"/>
        <v>0.033</v>
      </c>
      <c r="BW149">
        <f t="shared" si="173"/>
        <v>0.001</v>
      </c>
      <c r="BX149">
        <f t="shared" si="174"/>
        <v>0.006</v>
      </c>
      <c r="BY149">
        <f t="shared" si="175"/>
        <v>0.355</v>
      </c>
      <c r="BZ149">
        <f t="shared" si="176"/>
        <v>0.601</v>
      </c>
      <c r="CA149">
        <f t="shared" si="177"/>
        <v>0.229</v>
      </c>
      <c r="CB149">
        <f t="shared" si="178"/>
        <v>0.006</v>
      </c>
      <c r="CC149">
        <f t="shared" si="179"/>
        <v>1.076</v>
      </c>
      <c r="CD149">
        <f t="shared" si="180"/>
        <v>0.205</v>
      </c>
      <c r="CE149">
        <f t="shared" si="181"/>
        <v>0.003</v>
      </c>
      <c r="CG149" s="6">
        <v>2015</v>
      </c>
      <c r="CH149" s="6" t="s">
        <v>82</v>
      </c>
      <c r="CI149" s="6">
        <v>0.058</v>
      </c>
      <c r="CJ149" s="6">
        <v>0.09</v>
      </c>
      <c r="CK149" s="6" t="s">
        <v>595</v>
      </c>
      <c r="CL149" s="6" t="s">
        <v>596</v>
      </c>
      <c r="CM149" s="6" t="s">
        <v>597</v>
      </c>
    </row>
    <row r="150" spans="4:91">
      <c r="D150">
        <v>2021</v>
      </c>
      <c r="E150" t="s">
        <v>249</v>
      </c>
      <c r="F150" s="1">
        <f t="shared" si="112"/>
        <v>0</v>
      </c>
      <c r="G150" s="1">
        <f t="shared" si="113"/>
        <v>2.256345</v>
      </c>
      <c r="H150" s="1">
        <f t="shared" si="114"/>
        <v>8.0388</v>
      </c>
      <c r="I150" s="1">
        <f t="shared" si="115"/>
        <v>0</v>
      </c>
      <c r="J150" s="1">
        <f t="shared" si="116"/>
        <v>0</v>
      </c>
      <c r="K150" s="1">
        <f t="shared" si="117"/>
        <v>0</v>
      </c>
      <c r="L150" s="1">
        <f t="shared" si="118"/>
        <v>0.9135</v>
      </c>
      <c r="M150" s="1">
        <f t="shared" si="111"/>
        <v>3.74535</v>
      </c>
      <c r="N150" s="1">
        <f t="shared" si="119"/>
        <v>0</v>
      </c>
      <c r="O150" s="1">
        <f t="shared" si="120"/>
        <v>0</v>
      </c>
      <c r="P150" s="1">
        <f t="shared" si="121"/>
        <v>0</v>
      </c>
      <c r="Q150" s="1">
        <f t="shared" si="122"/>
        <v>0</v>
      </c>
      <c r="R150" s="1">
        <f t="shared" si="123"/>
        <v>0</v>
      </c>
      <c r="S150" s="1">
        <f t="shared" si="124"/>
        <v>0</v>
      </c>
      <c r="T150" s="1">
        <f t="shared" si="125"/>
        <v>0</v>
      </c>
      <c r="U150" s="1">
        <f t="shared" si="126"/>
        <v>0</v>
      </c>
      <c r="V150" s="1">
        <f t="shared" si="127"/>
        <v>0</v>
      </c>
      <c r="W150" s="1">
        <f t="shared" si="128"/>
        <v>0</v>
      </c>
      <c r="X150" s="1">
        <f t="shared" si="129"/>
        <v>0</v>
      </c>
      <c r="Y150" s="1">
        <f t="shared" si="130"/>
        <v>6.12045</v>
      </c>
      <c r="Z150" s="1">
        <f t="shared" si="131"/>
        <v>0</v>
      </c>
      <c r="AA150" s="1">
        <f t="shared" si="132"/>
        <v>0.392805</v>
      </c>
      <c r="AB150" s="1">
        <f t="shared" si="133"/>
        <v>0</v>
      </c>
      <c r="AC150" s="1">
        <f t="shared" si="134"/>
        <v>0</v>
      </c>
      <c r="AD150" s="1">
        <f t="shared" si="135"/>
        <v>0.42021</v>
      </c>
      <c r="AE150" s="1">
        <f t="shared" si="136"/>
        <v>0</v>
      </c>
      <c r="AF150" s="1">
        <f t="shared" si="137"/>
        <v>0</v>
      </c>
      <c r="AG150" s="1">
        <f t="shared" si="138"/>
        <v>0</v>
      </c>
      <c r="AH150" s="1">
        <f t="shared" si="139"/>
        <v>0.03654</v>
      </c>
      <c r="AI150" s="1">
        <f t="shared" si="140"/>
        <v>0</v>
      </c>
      <c r="AJ150" s="1">
        <f t="shared" si="141"/>
        <v>0</v>
      </c>
      <c r="AK150" s="1">
        <f t="shared" si="142"/>
        <v>0</v>
      </c>
      <c r="AL150" s="1">
        <f t="shared" si="143"/>
        <v>0</v>
      </c>
      <c r="AM150" s="1">
        <f t="shared" si="144"/>
        <v>0</v>
      </c>
      <c r="AN150" s="1">
        <f t="shared" si="145"/>
        <v>0</v>
      </c>
      <c r="AQ150" s="6">
        <v>2016</v>
      </c>
      <c r="AR150" s="6" t="s">
        <v>249</v>
      </c>
      <c r="AS150" s="6">
        <v>0.105</v>
      </c>
      <c r="AT150" s="6" t="s">
        <v>591</v>
      </c>
      <c r="AU150" s="6" t="s">
        <v>592</v>
      </c>
      <c r="AV150" t="str">
        <f t="shared" si="146"/>
        <v>MINBatMaterials_LI</v>
      </c>
      <c r="AW150">
        <f t="shared" si="147"/>
        <v>0</v>
      </c>
      <c r="AX150">
        <f t="shared" si="148"/>
        <v>21.489</v>
      </c>
      <c r="AY150">
        <f t="shared" si="149"/>
        <v>76.56</v>
      </c>
      <c r="AZ150">
        <f t="shared" si="150"/>
        <v>0</v>
      </c>
      <c r="BA150">
        <f t="shared" si="151"/>
        <v>0</v>
      </c>
      <c r="BB150">
        <f t="shared" si="152"/>
        <v>0</v>
      </c>
      <c r="BC150">
        <f t="shared" si="153"/>
        <v>8.7</v>
      </c>
      <c r="BD150">
        <f t="shared" si="154"/>
        <v>35.67</v>
      </c>
      <c r="BE150">
        <f t="shared" si="155"/>
        <v>0</v>
      </c>
      <c r="BF150">
        <f t="shared" si="156"/>
        <v>0</v>
      </c>
      <c r="BG150">
        <f t="shared" si="157"/>
        <v>0</v>
      </c>
      <c r="BH150">
        <f t="shared" si="158"/>
        <v>0</v>
      </c>
      <c r="BI150">
        <f t="shared" si="159"/>
        <v>0</v>
      </c>
      <c r="BJ150">
        <f t="shared" si="160"/>
        <v>0</v>
      </c>
      <c r="BK150">
        <f t="shared" si="161"/>
        <v>0</v>
      </c>
      <c r="BL150">
        <f t="shared" si="162"/>
        <v>0</v>
      </c>
      <c r="BM150">
        <f t="shared" si="163"/>
        <v>0</v>
      </c>
      <c r="BN150">
        <f t="shared" si="164"/>
        <v>0</v>
      </c>
      <c r="BO150">
        <f t="shared" si="165"/>
        <v>0</v>
      </c>
      <c r="BP150">
        <f t="shared" si="166"/>
        <v>58.29</v>
      </c>
      <c r="BQ150">
        <f t="shared" si="167"/>
        <v>0</v>
      </c>
      <c r="BR150">
        <f t="shared" si="168"/>
        <v>3.741</v>
      </c>
      <c r="BS150">
        <f t="shared" si="169"/>
        <v>0</v>
      </c>
      <c r="BT150">
        <f t="shared" si="170"/>
        <v>0</v>
      </c>
      <c r="BU150">
        <f t="shared" si="171"/>
        <v>4.002</v>
      </c>
      <c r="BV150">
        <f t="shared" si="172"/>
        <v>0</v>
      </c>
      <c r="BW150">
        <f t="shared" si="173"/>
        <v>0</v>
      </c>
      <c r="BX150">
        <f t="shared" si="174"/>
        <v>0</v>
      </c>
      <c r="BY150">
        <f t="shared" si="175"/>
        <v>0.348</v>
      </c>
      <c r="BZ150">
        <f t="shared" si="176"/>
        <v>0</v>
      </c>
      <c r="CA150">
        <f t="shared" si="177"/>
        <v>0</v>
      </c>
      <c r="CB150">
        <f t="shared" si="178"/>
        <v>0</v>
      </c>
      <c r="CC150">
        <f t="shared" si="179"/>
        <v>0</v>
      </c>
      <c r="CD150">
        <f t="shared" si="180"/>
        <v>0</v>
      </c>
      <c r="CE150">
        <f t="shared" si="181"/>
        <v>0</v>
      </c>
      <c r="CG150" s="6">
        <v>2016</v>
      </c>
      <c r="CH150" s="6" t="s">
        <v>249</v>
      </c>
      <c r="CI150" s="6">
        <v>0.105</v>
      </c>
      <c r="CJ150" s="6">
        <v>0.105</v>
      </c>
      <c r="CK150" s="6" t="s">
        <v>591</v>
      </c>
      <c r="CL150" s="6" t="s">
        <v>591</v>
      </c>
      <c r="CM150" s="6" t="s">
        <v>593</v>
      </c>
    </row>
    <row r="151" spans="4:91">
      <c r="D151">
        <f xml:space="preserve">D150</f>
        <v>2021</v>
      </c>
      <c r="E151" t="s">
        <v>251</v>
      </c>
      <c r="F151" s="1">
        <f t="shared" si="112"/>
        <v>0</v>
      </c>
      <c r="G151" s="1">
        <f t="shared" si="113"/>
        <v>0</v>
      </c>
      <c r="H151" s="1">
        <f t="shared" si="114"/>
        <v>1.7325</v>
      </c>
      <c r="I151" s="1">
        <f t="shared" si="115"/>
        <v>0</v>
      </c>
      <c r="J151" s="1">
        <f t="shared" si="116"/>
        <v>0</v>
      </c>
      <c r="K151" s="1">
        <f t="shared" si="117"/>
        <v>0</v>
      </c>
      <c r="L151" s="1">
        <f t="shared" si="118"/>
        <v>1.21275</v>
      </c>
      <c r="M151" s="1">
        <f t="shared" si="111"/>
        <v>1.89</v>
      </c>
      <c r="N151" s="1">
        <f t="shared" si="119"/>
        <v>0</v>
      </c>
      <c r="O151" s="1">
        <f t="shared" si="120"/>
        <v>0</v>
      </c>
      <c r="P151" s="1">
        <f t="shared" si="121"/>
        <v>0</v>
      </c>
      <c r="Q151" s="1">
        <f t="shared" si="122"/>
        <v>0</v>
      </c>
      <c r="R151" s="1">
        <f t="shared" si="123"/>
        <v>0</v>
      </c>
      <c r="S151" s="1">
        <f t="shared" si="124"/>
        <v>0</v>
      </c>
      <c r="T151" s="1">
        <f t="shared" si="125"/>
        <v>0</v>
      </c>
      <c r="U151" s="1">
        <f t="shared" si="126"/>
        <v>0</v>
      </c>
      <c r="V151" s="1">
        <f t="shared" si="127"/>
        <v>0</v>
      </c>
      <c r="W151" s="1">
        <f t="shared" si="128"/>
        <v>0</v>
      </c>
      <c r="X151" s="1">
        <f t="shared" si="129"/>
        <v>0</v>
      </c>
      <c r="Y151" s="1">
        <f t="shared" si="130"/>
        <v>0</v>
      </c>
      <c r="Z151" s="1">
        <f t="shared" si="131"/>
        <v>0</v>
      </c>
      <c r="AA151" s="1">
        <f t="shared" si="132"/>
        <v>3.1185</v>
      </c>
      <c r="AB151" s="1">
        <f t="shared" si="133"/>
        <v>0</v>
      </c>
      <c r="AC151" s="1">
        <f t="shared" si="134"/>
        <v>0</v>
      </c>
      <c r="AD151" s="1">
        <f t="shared" si="135"/>
        <v>47.01375</v>
      </c>
      <c r="AE151" s="1">
        <f t="shared" si="136"/>
        <v>3.3075</v>
      </c>
      <c r="AF151" s="1">
        <f t="shared" si="137"/>
        <v>0</v>
      </c>
      <c r="AG151" s="1">
        <f t="shared" si="138"/>
        <v>0</v>
      </c>
      <c r="AH151" s="1">
        <f t="shared" si="139"/>
        <v>0</v>
      </c>
      <c r="AI151" s="1">
        <f t="shared" si="140"/>
        <v>0</v>
      </c>
      <c r="AJ151" s="1">
        <f t="shared" si="141"/>
        <v>0</v>
      </c>
      <c r="AK151" s="1">
        <f t="shared" si="142"/>
        <v>0</v>
      </c>
      <c r="AL151" s="1">
        <f t="shared" si="143"/>
        <v>0</v>
      </c>
      <c r="AM151" s="1">
        <f t="shared" si="144"/>
        <v>0</v>
      </c>
      <c r="AN151" s="1">
        <f t="shared" si="145"/>
        <v>0</v>
      </c>
      <c r="AQ151" s="6">
        <v>2016</v>
      </c>
      <c r="AR151" s="6" t="s">
        <v>251</v>
      </c>
      <c r="AS151" s="6">
        <v>0.105</v>
      </c>
      <c r="AT151" s="6" t="s">
        <v>591</v>
      </c>
      <c r="AU151" s="6" t="s">
        <v>592</v>
      </c>
      <c r="AV151" t="str">
        <f t="shared" ref="AV151:AV182" si="183" xml:space="preserve">AV130</f>
        <v>MINBatMaterials_NI</v>
      </c>
      <c r="AW151">
        <f t="shared" ref="AW151:AW182" si="184" xml:space="preserve">AW130</f>
        <v>0</v>
      </c>
      <c r="AX151">
        <f t="shared" ref="AX151:AX182" si="185" xml:space="preserve">AX130</f>
        <v>0</v>
      </c>
      <c r="AY151">
        <f t="shared" ref="AY151:AY182" si="186" xml:space="preserve">AY130</f>
        <v>16.5</v>
      </c>
      <c r="AZ151">
        <f t="shared" ref="AZ151:AZ182" si="187" xml:space="preserve">AZ130</f>
        <v>0</v>
      </c>
      <c r="BA151">
        <f t="shared" ref="BA151:BA182" si="188" xml:space="preserve">BA130</f>
        <v>0</v>
      </c>
      <c r="BB151">
        <f t="shared" ref="BB151:BB182" si="189" xml:space="preserve">BB130</f>
        <v>0</v>
      </c>
      <c r="BC151">
        <f t="shared" ref="BC151:BC182" si="190" xml:space="preserve">BC130</f>
        <v>11.55</v>
      </c>
      <c r="BD151">
        <f t="shared" ref="BD151:BD182" si="191" xml:space="preserve">BD130</f>
        <v>18</v>
      </c>
      <c r="BE151">
        <f t="shared" ref="BE151:BE182" si="192" xml:space="preserve">BE130</f>
        <v>0</v>
      </c>
      <c r="BF151">
        <f t="shared" ref="BF151:BF182" si="193" xml:space="preserve">BF130</f>
        <v>0</v>
      </c>
      <c r="BG151">
        <f t="shared" ref="BG151:BG182" si="194" xml:space="preserve">BG130</f>
        <v>0</v>
      </c>
      <c r="BH151">
        <f t="shared" ref="BH151:BH182" si="195" xml:space="preserve">BH130</f>
        <v>0</v>
      </c>
      <c r="BI151">
        <f t="shared" ref="BI151:BI182" si="196" xml:space="preserve">BI130</f>
        <v>0</v>
      </c>
      <c r="BJ151">
        <f t="shared" ref="BJ151:BJ182" si="197" xml:space="preserve">BJ130</f>
        <v>0</v>
      </c>
      <c r="BK151">
        <f t="shared" ref="BK151:BK182" si="198" xml:space="preserve">BK130</f>
        <v>0</v>
      </c>
      <c r="BL151">
        <f t="shared" ref="BL151:BL182" si="199" xml:space="preserve">BL130</f>
        <v>0</v>
      </c>
      <c r="BM151">
        <f t="shared" ref="BM151:BM182" si="200" xml:space="preserve">BM130</f>
        <v>0</v>
      </c>
      <c r="BN151">
        <f t="shared" ref="BN151:BN182" si="201" xml:space="preserve">BN130</f>
        <v>0</v>
      </c>
      <c r="BO151">
        <f t="shared" ref="BO151:BO182" si="202" xml:space="preserve">BO130</f>
        <v>0</v>
      </c>
      <c r="BP151">
        <f t="shared" ref="BP151:BP182" si="203" xml:space="preserve">BP130</f>
        <v>0</v>
      </c>
      <c r="BQ151">
        <f t="shared" ref="BQ151:BQ182" si="204" xml:space="preserve">BQ130</f>
        <v>0</v>
      </c>
      <c r="BR151">
        <f t="shared" ref="BR151:BR182" si="205" xml:space="preserve">BR130</f>
        <v>29.7</v>
      </c>
      <c r="BS151">
        <f t="shared" ref="BS151:BS182" si="206" xml:space="preserve">BS130</f>
        <v>0</v>
      </c>
      <c r="BT151">
        <f t="shared" ref="BT151:BT182" si="207" xml:space="preserve">BT130</f>
        <v>0</v>
      </c>
      <c r="BU151">
        <f t="shared" ref="BU151:BU182" si="208" xml:space="preserve">BU130</f>
        <v>447.75</v>
      </c>
      <c r="BV151">
        <f t="shared" ref="BV151:BV182" si="209" xml:space="preserve">BV130</f>
        <v>31.5</v>
      </c>
      <c r="BW151">
        <f t="shared" ref="BW151:BW182" si="210" xml:space="preserve">BW130</f>
        <v>0</v>
      </c>
      <c r="BX151">
        <f t="shared" ref="BX151:BX182" si="211" xml:space="preserve">BX130</f>
        <v>0</v>
      </c>
      <c r="BY151">
        <f t="shared" ref="BY151:BY182" si="212" xml:space="preserve">BY130</f>
        <v>0</v>
      </c>
      <c r="BZ151">
        <f t="shared" ref="BZ151:BZ182" si="213" xml:space="preserve">BZ130</f>
        <v>0</v>
      </c>
      <c r="CA151">
        <f t="shared" ref="CA151:CA182" si="214" xml:space="preserve">CA130</f>
        <v>0</v>
      </c>
      <c r="CB151">
        <f t="shared" ref="CB151:CB182" si="215" xml:space="preserve">CB130</f>
        <v>0</v>
      </c>
      <c r="CC151">
        <f t="shared" ref="CC151:CC182" si="216" xml:space="preserve">CC130</f>
        <v>0</v>
      </c>
      <c r="CD151">
        <f t="shared" ref="CD151:CD182" si="217" xml:space="preserve">CD130</f>
        <v>0</v>
      </c>
      <c r="CE151">
        <f t="shared" ref="CE151:CE182" si="218" xml:space="preserve">CE130</f>
        <v>0</v>
      </c>
      <c r="CG151" s="6">
        <v>2016</v>
      </c>
      <c r="CH151" s="6" t="s">
        <v>251</v>
      </c>
      <c r="CI151" s="6">
        <v>0.105</v>
      </c>
      <c r="CJ151" s="6">
        <v>0.105</v>
      </c>
      <c r="CK151" s="6" t="s">
        <v>591</v>
      </c>
      <c r="CL151" s="6" t="s">
        <v>591</v>
      </c>
      <c r="CM151" s="6" t="s">
        <v>593</v>
      </c>
    </row>
    <row r="152" ht="16" spans="4:91">
      <c r="D152">
        <f t="shared" ref="D152:D170" si="219" xml:space="preserve">D151</f>
        <v>2021</v>
      </c>
      <c r="E152" s="18" t="s">
        <v>255</v>
      </c>
      <c r="F152" s="1">
        <f t="shared" si="112"/>
        <v>0</v>
      </c>
      <c r="G152" s="1">
        <f t="shared" si="113"/>
        <v>17.76348</v>
      </c>
      <c r="H152" s="1">
        <f t="shared" si="114"/>
        <v>0.28728</v>
      </c>
      <c r="I152" s="1">
        <f t="shared" si="115"/>
        <v>0</v>
      </c>
      <c r="J152" s="1">
        <f t="shared" si="116"/>
        <v>0</v>
      </c>
      <c r="K152" s="1">
        <f t="shared" si="117"/>
        <v>0</v>
      </c>
      <c r="L152" s="1">
        <f t="shared" si="118"/>
        <v>0</v>
      </c>
      <c r="M152" s="1">
        <f t="shared" si="111"/>
        <v>0</v>
      </c>
      <c r="N152" s="1">
        <f t="shared" si="119"/>
        <v>0</v>
      </c>
      <c r="O152" s="1">
        <f t="shared" si="120"/>
        <v>0</v>
      </c>
      <c r="P152" s="1">
        <f t="shared" si="121"/>
        <v>0</v>
      </c>
      <c r="Q152" s="1">
        <f t="shared" si="122"/>
        <v>0</v>
      </c>
      <c r="R152" s="1">
        <f t="shared" si="123"/>
        <v>0</v>
      </c>
      <c r="S152" s="1">
        <f t="shared" si="124"/>
        <v>0</v>
      </c>
      <c r="T152" s="1">
        <f t="shared" si="125"/>
        <v>0</v>
      </c>
      <c r="U152" s="1">
        <f t="shared" si="126"/>
        <v>0</v>
      </c>
      <c r="V152" s="1">
        <f t="shared" si="127"/>
        <v>0</v>
      </c>
      <c r="W152" s="1">
        <f t="shared" si="128"/>
        <v>0</v>
      </c>
      <c r="X152" s="1">
        <f t="shared" si="129"/>
        <v>0</v>
      </c>
      <c r="Y152" s="1">
        <f t="shared" si="130"/>
        <v>0.2793</v>
      </c>
      <c r="Z152" s="1">
        <f t="shared" si="131"/>
        <v>0</v>
      </c>
      <c r="AA152" s="1">
        <f t="shared" si="132"/>
        <v>0.38304</v>
      </c>
      <c r="AB152" s="1">
        <f t="shared" si="133"/>
        <v>0</v>
      </c>
      <c r="AC152" s="1">
        <f t="shared" si="134"/>
        <v>0</v>
      </c>
      <c r="AD152" s="1">
        <f t="shared" si="135"/>
        <v>3.49524</v>
      </c>
      <c r="AE152" s="1">
        <f t="shared" si="136"/>
        <v>0.69426</v>
      </c>
      <c r="AF152" s="1">
        <f t="shared" si="137"/>
        <v>0</v>
      </c>
      <c r="AG152" s="1">
        <f t="shared" si="138"/>
        <v>0</v>
      </c>
      <c r="AH152" s="1">
        <f t="shared" si="139"/>
        <v>0</v>
      </c>
      <c r="AI152" s="1">
        <f t="shared" si="140"/>
        <v>0</v>
      </c>
      <c r="AJ152" s="1">
        <f t="shared" si="141"/>
        <v>0</v>
      </c>
      <c r="AK152" s="1">
        <f t="shared" si="142"/>
        <v>0.21546</v>
      </c>
      <c r="AL152" s="1">
        <f t="shared" si="143"/>
        <v>0</v>
      </c>
      <c r="AM152" s="1">
        <f t="shared" si="144"/>
        <v>0</v>
      </c>
      <c r="AN152" s="1">
        <f t="shared" si="145"/>
        <v>0</v>
      </c>
      <c r="AQ152" s="6">
        <v>2016</v>
      </c>
      <c r="AR152" s="6" t="s">
        <v>255</v>
      </c>
      <c r="AS152" s="6">
        <v>0.105</v>
      </c>
      <c r="AT152" s="6" t="s">
        <v>591</v>
      </c>
      <c r="AU152" s="6" t="s">
        <v>592</v>
      </c>
      <c r="AV152" t="str">
        <f t="shared" si="183"/>
        <v>MINBatMaterials_COB</v>
      </c>
      <c r="AW152">
        <f t="shared" si="184"/>
        <v>0</v>
      </c>
      <c r="AX152">
        <f t="shared" si="185"/>
        <v>169.176</v>
      </c>
      <c r="AY152">
        <f t="shared" si="186"/>
        <v>2.736</v>
      </c>
      <c r="AZ152">
        <f t="shared" si="187"/>
        <v>0</v>
      </c>
      <c r="BA152">
        <f t="shared" si="188"/>
        <v>0</v>
      </c>
      <c r="BB152">
        <f t="shared" si="189"/>
        <v>0</v>
      </c>
      <c r="BC152">
        <f t="shared" si="190"/>
        <v>0</v>
      </c>
      <c r="BD152">
        <f t="shared" si="191"/>
        <v>0</v>
      </c>
      <c r="BE152">
        <f t="shared" si="192"/>
        <v>0</v>
      </c>
      <c r="BF152">
        <f t="shared" si="193"/>
        <v>0</v>
      </c>
      <c r="BG152">
        <f t="shared" si="194"/>
        <v>0</v>
      </c>
      <c r="BH152">
        <f t="shared" si="195"/>
        <v>0</v>
      </c>
      <c r="BI152">
        <f t="shared" si="196"/>
        <v>0</v>
      </c>
      <c r="BJ152">
        <f t="shared" si="197"/>
        <v>0</v>
      </c>
      <c r="BK152">
        <f t="shared" si="198"/>
        <v>0</v>
      </c>
      <c r="BL152">
        <f t="shared" si="199"/>
        <v>0</v>
      </c>
      <c r="BM152">
        <f t="shared" si="200"/>
        <v>0</v>
      </c>
      <c r="BN152">
        <f t="shared" si="201"/>
        <v>0</v>
      </c>
      <c r="BO152">
        <f t="shared" si="202"/>
        <v>0</v>
      </c>
      <c r="BP152">
        <f t="shared" si="203"/>
        <v>2.66</v>
      </c>
      <c r="BQ152">
        <f t="shared" si="204"/>
        <v>0</v>
      </c>
      <c r="BR152">
        <f t="shared" si="205"/>
        <v>3.648</v>
      </c>
      <c r="BS152">
        <f t="shared" si="206"/>
        <v>0</v>
      </c>
      <c r="BT152">
        <f t="shared" si="207"/>
        <v>0</v>
      </c>
      <c r="BU152">
        <f t="shared" si="208"/>
        <v>33.288</v>
      </c>
      <c r="BV152">
        <f t="shared" si="209"/>
        <v>6.612</v>
      </c>
      <c r="BW152">
        <f t="shared" si="210"/>
        <v>0</v>
      </c>
      <c r="BX152">
        <f t="shared" si="211"/>
        <v>0</v>
      </c>
      <c r="BY152">
        <f t="shared" si="212"/>
        <v>0</v>
      </c>
      <c r="BZ152">
        <f t="shared" si="213"/>
        <v>0</v>
      </c>
      <c r="CA152">
        <f t="shared" si="214"/>
        <v>0</v>
      </c>
      <c r="CB152">
        <f t="shared" si="215"/>
        <v>2.052</v>
      </c>
      <c r="CC152">
        <f t="shared" si="216"/>
        <v>0</v>
      </c>
      <c r="CD152">
        <f t="shared" si="217"/>
        <v>0</v>
      </c>
      <c r="CE152">
        <f t="shared" si="218"/>
        <v>0</v>
      </c>
      <c r="CG152" s="6">
        <v>2016</v>
      </c>
      <c r="CH152" s="6" t="s">
        <v>255</v>
      </c>
      <c r="CI152" s="6">
        <v>0.105</v>
      </c>
      <c r="CJ152" s="6">
        <v>0.105</v>
      </c>
      <c r="CK152" s="6" t="s">
        <v>591</v>
      </c>
      <c r="CL152" s="6" t="s">
        <v>591</v>
      </c>
      <c r="CM152" s="6" t="s">
        <v>593</v>
      </c>
    </row>
    <row r="153" spans="4:91">
      <c r="D153">
        <f t="shared" si="219"/>
        <v>2021</v>
      </c>
      <c r="E153" t="s">
        <v>256</v>
      </c>
      <c r="F153" s="1">
        <f t="shared" si="112"/>
        <v>0</v>
      </c>
      <c r="G153" s="1">
        <f t="shared" si="113"/>
        <v>6.069</v>
      </c>
      <c r="H153" s="1">
        <f t="shared" si="114"/>
        <v>2.94</v>
      </c>
      <c r="I153" s="1">
        <f t="shared" si="115"/>
        <v>0</v>
      </c>
      <c r="J153" s="1">
        <f t="shared" si="116"/>
        <v>0</v>
      </c>
      <c r="K153" s="1">
        <f t="shared" si="117"/>
        <v>0</v>
      </c>
      <c r="L153" s="1">
        <f t="shared" si="118"/>
        <v>0.6195</v>
      </c>
      <c r="M153" s="1">
        <f t="shared" si="111"/>
        <v>0.8085</v>
      </c>
      <c r="N153" s="1">
        <f t="shared" si="119"/>
        <v>0</v>
      </c>
      <c r="O153" s="1">
        <f t="shared" si="120"/>
        <v>0</v>
      </c>
      <c r="P153" s="1">
        <f t="shared" si="121"/>
        <v>0</v>
      </c>
      <c r="Q153" s="1">
        <f t="shared" si="122"/>
        <v>0</v>
      </c>
      <c r="R153" s="1">
        <f t="shared" si="123"/>
        <v>0</v>
      </c>
      <c r="S153" s="1">
        <f t="shared" si="124"/>
        <v>0</v>
      </c>
      <c r="T153" s="1">
        <f t="shared" si="125"/>
        <v>0</v>
      </c>
      <c r="U153" s="1">
        <f t="shared" si="126"/>
        <v>0.84</v>
      </c>
      <c r="V153" s="1">
        <f t="shared" si="127"/>
        <v>0</v>
      </c>
      <c r="W153" s="1">
        <f t="shared" si="128"/>
        <v>0</v>
      </c>
      <c r="X153" s="1">
        <f t="shared" si="129"/>
        <v>0</v>
      </c>
      <c r="Y153" s="1">
        <f t="shared" si="130"/>
        <v>0</v>
      </c>
      <c r="Z153" s="1">
        <f t="shared" si="131"/>
        <v>0</v>
      </c>
      <c r="AA153" s="1">
        <f t="shared" si="132"/>
        <v>0</v>
      </c>
      <c r="AB153" s="1">
        <f t="shared" si="133"/>
        <v>0</v>
      </c>
      <c r="AC153" s="1">
        <f t="shared" si="134"/>
        <v>0</v>
      </c>
      <c r="AD153" s="1">
        <f t="shared" si="135"/>
        <v>2.163</v>
      </c>
      <c r="AE153" s="1">
        <f t="shared" si="136"/>
        <v>0</v>
      </c>
      <c r="AF153" s="1">
        <f t="shared" si="137"/>
        <v>0</v>
      </c>
      <c r="AG153" s="1">
        <f t="shared" si="138"/>
        <v>7.77</v>
      </c>
      <c r="AH153" s="1">
        <f t="shared" si="139"/>
        <v>0</v>
      </c>
      <c r="AI153" s="1">
        <f t="shared" si="140"/>
        <v>0</v>
      </c>
      <c r="AJ153" s="1">
        <f t="shared" si="141"/>
        <v>0</v>
      </c>
      <c r="AK153" s="1">
        <f t="shared" si="142"/>
        <v>0</v>
      </c>
      <c r="AL153" s="1">
        <f t="shared" si="143"/>
        <v>0</v>
      </c>
      <c r="AM153" s="1">
        <f t="shared" si="144"/>
        <v>0</v>
      </c>
      <c r="AN153" s="1">
        <f t="shared" si="145"/>
        <v>0</v>
      </c>
      <c r="AQ153" s="6">
        <v>2016</v>
      </c>
      <c r="AR153" s="6" t="s">
        <v>256</v>
      </c>
      <c r="AS153" s="6">
        <v>0.105</v>
      </c>
      <c r="AT153" s="6" t="s">
        <v>591</v>
      </c>
      <c r="AU153" s="6" t="s">
        <v>592</v>
      </c>
      <c r="AV153" t="str">
        <f t="shared" si="183"/>
        <v>MINBatMaterials_MN</v>
      </c>
      <c r="AW153">
        <f t="shared" si="184"/>
        <v>0</v>
      </c>
      <c r="AX153">
        <f t="shared" si="185"/>
        <v>57.8</v>
      </c>
      <c r="AY153">
        <f t="shared" si="186"/>
        <v>28</v>
      </c>
      <c r="AZ153">
        <f t="shared" si="187"/>
        <v>0</v>
      </c>
      <c r="BA153">
        <f t="shared" si="188"/>
        <v>0</v>
      </c>
      <c r="BB153">
        <f t="shared" si="189"/>
        <v>0</v>
      </c>
      <c r="BC153">
        <f t="shared" si="190"/>
        <v>5.9</v>
      </c>
      <c r="BD153">
        <f t="shared" si="191"/>
        <v>7.7</v>
      </c>
      <c r="BE153">
        <f t="shared" si="192"/>
        <v>0</v>
      </c>
      <c r="BF153">
        <f t="shared" si="193"/>
        <v>0</v>
      </c>
      <c r="BG153">
        <f t="shared" si="194"/>
        <v>0</v>
      </c>
      <c r="BH153">
        <f t="shared" si="195"/>
        <v>0</v>
      </c>
      <c r="BI153">
        <f t="shared" si="196"/>
        <v>0</v>
      </c>
      <c r="BJ153">
        <f t="shared" si="197"/>
        <v>0</v>
      </c>
      <c r="BK153">
        <f t="shared" si="198"/>
        <v>0</v>
      </c>
      <c r="BL153">
        <f t="shared" si="199"/>
        <v>8</v>
      </c>
      <c r="BM153">
        <f t="shared" si="200"/>
        <v>0</v>
      </c>
      <c r="BN153">
        <f t="shared" si="201"/>
        <v>0</v>
      </c>
      <c r="BO153">
        <f t="shared" si="202"/>
        <v>0</v>
      </c>
      <c r="BP153">
        <f t="shared" si="203"/>
        <v>0</v>
      </c>
      <c r="BQ153">
        <f t="shared" si="204"/>
        <v>0</v>
      </c>
      <c r="BR153">
        <f t="shared" si="205"/>
        <v>0</v>
      </c>
      <c r="BS153">
        <f t="shared" si="206"/>
        <v>0</v>
      </c>
      <c r="BT153">
        <f t="shared" si="207"/>
        <v>0</v>
      </c>
      <c r="BU153">
        <f t="shared" si="208"/>
        <v>20.6</v>
      </c>
      <c r="BV153">
        <f t="shared" si="209"/>
        <v>0</v>
      </c>
      <c r="BW153">
        <f t="shared" si="210"/>
        <v>0</v>
      </c>
      <c r="BX153">
        <f t="shared" si="211"/>
        <v>74</v>
      </c>
      <c r="BY153">
        <f t="shared" si="212"/>
        <v>0</v>
      </c>
      <c r="BZ153">
        <f t="shared" si="213"/>
        <v>0</v>
      </c>
      <c r="CA153">
        <f t="shared" si="214"/>
        <v>0</v>
      </c>
      <c r="CB153">
        <f t="shared" si="215"/>
        <v>0</v>
      </c>
      <c r="CC153">
        <f t="shared" si="216"/>
        <v>0</v>
      </c>
      <c r="CD153">
        <f t="shared" si="217"/>
        <v>0</v>
      </c>
      <c r="CE153">
        <f t="shared" si="218"/>
        <v>0</v>
      </c>
      <c r="CG153" s="6">
        <v>2016</v>
      </c>
      <c r="CH153" s="6" t="s">
        <v>256</v>
      </c>
      <c r="CI153" s="6">
        <v>0.105</v>
      </c>
      <c r="CJ153" s="6">
        <v>0.105</v>
      </c>
      <c r="CK153" s="6" t="s">
        <v>591</v>
      </c>
      <c r="CL153" s="6" t="s">
        <v>591</v>
      </c>
      <c r="CM153" s="6" t="s">
        <v>593</v>
      </c>
    </row>
    <row r="154" spans="4:91">
      <c r="D154">
        <f t="shared" si="219"/>
        <v>2021</v>
      </c>
      <c r="E154" t="s">
        <v>258</v>
      </c>
      <c r="F154" s="1">
        <f t="shared" si="112"/>
        <v>0</v>
      </c>
      <c r="G154" s="1">
        <f t="shared" si="113"/>
        <v>0.3339</v>
      </c>
      <c r="H154" s="1">
        <f t="shared" si="114"/>
        <v>19.9962</v>
      </c>
      <c r="I154" s="1">
        <f t="shared" si="115"/>
        <v>0</v>
      </c>
      <c r="J154" s="1">
        <f t="shared" si="116"/>
        <v>0</v>
      </c>
      <c r="K154" s="1">
        <f t="shared" si="117"/>
        <v>0</v>
      </c>
      <c r="L154" s="1">
        <f t="shared" si="118"/>
        <v>12.2199</v>
      </c>
      <c r="M154" s="1">
        <f t="shared" si="111"/>
        <v>93.3156</v>
      </c>
      <c r="N154" s="1">
        <f t="shared" si="119"/>
        <v>0</v>
      </c>
      <c r="O154" s="1">
        <f t="shared" si="120"/>
        <v>0</v>
      </c>
      <c r="P154" s="1">
        <f t="shared" si="121"/>
        <v>0</v>
      </c>
      <c r="Q154" s="1">
        <f t="shared" si="122"/>
        <v>1.0668</v>
      </c>
      <c r="R154" s="1">
        <f t="shared" si="123"/>
        <v>0.9555</v>
      </c>
      <c r="S154" s="1">
        <f t="shared" si="124"/>
        <v>0</v>
      </c>
      <c r="T154" s="1">
        <f t="shared" si="125"/>
        <v>0</v>
      </c>
      <c r="U154" s="1">
        <f t="shared" si="126"/>
        <v>8.442</v>
      </c>
      <c r="V154" s="1">
        <f t="shared" si="127"/>
        <v>1.7766</v>
      </c>
      <c r="W154" s="1">
        <f t="shared" si="128"/>
        <v>0</v>
      </c>
      <c r="X154" s="1">
        <f t="shared" si="129"/>
        <v>0</v>
      </c>
      <c r="Y154" s="1">
        <f t="shared" si="130"/>
        <v>0</v>
      </c>
      <c r="Z154" s="1">
        <f t="shared" si="131"/>
        <v>2.667</v>
      </c>
      <c r="AA154" s="1">
        <f t="shared" si="132"/>
        <v>2.4675</v>
      </c>
      <c r="AB154" s="1">
        <f t="shared" si="133"/>
        <v>0</v>
      </c>
      <c r="AC154" s="1">
        <f t="shared" si="134"/>
        <v>0</v>
      </c>
      <c r="AD154" s="1">
        <f t="shared" si="135"/>
        <v>6.3315</v>
      </c>
      <c r="AE154" s="1">
        <f t="shared" si="136"/>
        <v>3.2214</v>
      </c>
      <c r="AF154" s="1">
        <f t="shared" si="137"/>
        <v>1.9992</v>
      </c>
      <c r="AG154" s="1">
        <f t="shared" si="138"/>
        <v>0</v>
      </c>
      <c r="AH154" s="1">
        <f t="shared" si="139"/>
        <v>0.9114</v>
      </c>
      <c r="AI154" s="1">
        <f t="shared" si="140"/>
        <v>0</v>
      </c>
      <c r="AJ154" s="1">
        <f t="shared" si="141"/>
        <v>0</v>
      </c>
      <c r="AK154" s="1">
        <f t="shared" si="142"/>
        <v>0.3549</v>
      </c>
      <c r="AL154" s="1">
        <f t="shared" si="143"/>
        <v>0</v>
      </c>
      <c r="AM154" s="1">
        <f t="shared" si="144"/>
        <v>0</v>
      </c>
      <c r="AN154" s="1">
        <f t="shared" si="145"/>
        <v>0</v>
      </c>
      <c r="AQ154" s="6">
        <v>2016</v>
      </c>
      <c r="AR154" s="6" t="s">
        <v>258</v>
      </c>
      <c r="AS154" s="6">
        <v>0.105</v>
      </c>
      <c r="AT154" s="6" t="s">
        <v>591</v>
      </c>
      <c r="AU154" s="6" t="s">
        <v>592</v>
      </c>
      <c r="AV154" t="str">
        <f t="shared" si="183"/>
        <v>MINBatMaterials_AL</v>
      </c>
      <c r="AW154">
        <f t="shared" si="184"/>
        <v>0</v>
      </c>
      <c r="AX154">
        <f t="shared" si="185"/>
        <v>3.18</v>
      </c>
      <c r="AY154">
        <f t="shared" si="186"/>
        <v>190.44</v>
      </c>
      <c r="AZ154">
        <f t="shared" si="187"/>
        <v>0</v>
      </c>
      <c r="BA154">
        <f t="shared" si="188"/>
        <v>0</v>
      </c>
      <c r="BB154">
        <f t="shared" si="189"/>
        <v>0</v>
      </c>
      <c r="BC154">
        <f t="shared" si="190"/>
        <v>116.38</v>
      </c>
      <c r="BD154">
        <f t="shared" si="191"/>
        <v>888.72</v>
      </c>
      <c r="BE154">
        <f t="shared" si="192"/>
        <v>0</v>
      </c>
      <c r="BF154">
        <f t="shared" si="193"/>
        <v>0</v>
      </c>
      <c r="BG154">
        <f t="shared" si="194"/>
        <v>0</v>
      </c>
      <c r="BH154">
        <f t="shared" si="195"/>
        <v>10.16</v>
      </c>
      <c r="BI154">
        <f t="shared" si="196"/>
        <v>9.1</v>
      </c>
      <c r="BJ154">
        <f t="shared" si="197"/>
        <v>0</v>
      </c>
      <c r="BK154">
        <f t="shared" si="198"/>
        <v>0</v>
      </c>
      <c r="BL154">
        <f t="shared" si="199"/>
        <v>80.4</v>
      </c>
      <c r="BM154">
        <f t="shared" si="200"/>
        <v>16.92</v>
      </c>
      <c r="BN154">
        <f t="shared" si="201"/>
        <v>0</v>
      </c>
      <c r="BO154">
        <f t="shared" si="202"/>
        <v>0</v>
      </c>
      <c r="BP154">
        <f t="shared" si="203"/>
        <v>0</v>
      </c>
      <c r="BQ154">
        <f t="shared" si="204"/>
        <v>25.4</v>
      </c>
      <c r="BR154">
        <f t="shared" si="205"/>
        <v>23.5</v>
      </c>
      <c r="BS154">
        <f t="shared" si="206"/>
        <v>0</v>
      </c>
      <c r="BT154">
        <f t="shared" si="207"/>
        <v>0</v>
      </c>
      <c r="BU154">
        <f t="shared" si="208"/>
        <v>60.3</v>
      </c>
      <c r="BV154">
        <f t="shared" si="209"/>
        <v>30.68</v>
      </c>
      <c r="BW154">
        <f t="shared" si="210"/>
        <v>19.04</v>
      </c>
      <c r="BX154">
        <f t="shared" si="211"/>
        <v>0</v>
      </c>
      <c r="BY154">
        <f t="shared" si="212"/>
        <v>8.68</v>
      </c>
      <c r="BZ154">
        <f t="shared" si="213"/>
        <v>0</v>
      </c>
      <c r="CA154">
        <f t="shared" si="214"/>
        <v>0</v>
      </c>
      <c r="CB154">
        <f t="shared" si="215"/>
        <v>3.38</v>
      </c>
      <c r="CC154">
        <f t="shared" si="216"/>
        <v>0</v>
      </c>
      <c r="CD154">
        <f t="shared" si="217"/>
        <v>0</v>
      </c>
      <c r="CE154">
        <f t="shared" si="218"/>
        <v>0</v>
      </c>
      <c r="CG154" s="6">
        <v>2016</v>
      </c>
      <c r="CH154" s="6" t="s">
        <v>258</v>
      </c>
      <c r="CI154" s="6">
        <v>0.105</v>
      </c>
      <c r="CJ154" s="6">
        <v>0.105</v>
      </c>
      <c r="CK154" s="6" t="s">
        <v>591</v>
      </c>
      <c r="CL154" s="6" t="s">
        <v>591</v>
      </c>
      <c r="CM154" s="6" t="s">
        <v>593</v>
      </c>
    </row>
    <row r="155" spans="4:91">
      <c r="D155">
        <f t="shared" si="219"/>
        <v>2021</v>
      </c>
      <c r="E155" t="s">
        <v>260</v>
      </c>
      <c r="F155" s="1">
        <f t="shared" si="112"/>
        <v>0</v>
      </c>
      <c r="G155" s="1">
        <f t="shared" si="113"/>
        <v>10.4475</v>
      </c>
      <c r="H155" s="1">
        <f t="shared" si="114"/>
        <v>2.1</v>
      </c>
      <c r="I155" s="1">
        <f t="shared" si="115"/>
        <v>0</v>
      </c>
      <c r="J155" s="1">
        <f t="shared" si="116"/>
        <v>0</v>
      </c>
      <c r="K155" s="1">
        <f t="shared" si="117"/>
        <v>0</v>
      </c>
      <c r="L155" s="1">
        <f t="shared" si="118"/>
        <v>0</v>
      </c>
      <c r="M155" s="1">
        <f t="shared" si="111"/>
        <v>4.725</v>
      </c>
      <c r="N155" s="1">
        <f t="shared" si="119"/>
        <v>0</v>
      </c>
      <c r="O155" s="1">
        <f t="shared" si="120"/>
        <v>0</v>
      </c>
      <c r="P155" s="1">
        <f t="shared" si="121"/>
        <v>0</v>
      </c>
      <c r="Q155" s="1">
        <f t="shared" si="122"/>
        <v>0</v>
      </c>
      <c r="R155" s="1">
        <f t="shared" si="123"/>
        <v>0</v>
      </c>
      <c r="S155" s="1">
        <f t="shared" si="124"/>
        <v>0</v>
      </c>
      <c r="T155" s="1">
        <f t="shared" si="125"/>
        <v>0</v>
      </c>
      <c r="U155" s="1">
        <f t="shared" si="126"/>
        <v>0.07875</v>
      </c>
      <c r="V155" s="1">
        <f t="shared" si="127"/>
        <v>0</v>
      </c>
      <c r="W155" s="1">
        <f t="shared" si="128"/>
        <v>0</v>
      </c>
      <c r="X155" s="1">
        <f t="shared" si="129"/>
        <v>0</v>
      </c>
      <c r="Y155" s="1">
        <f t="shared" si="130"/>
        <v>20.7375</v>
      </c>
      <c r="Z155" s="1">
        <f t="shared" si="131"/>
        <v>0</v>
      </c>
      <c r="AA155" s="1">
        <f t="shared" si="132"/>
        <v>5.90625</v>
      </c>
      <c r="AB155" s="1">
        <f t="shared" si="133"/>
        <v>0</v>
      </c>
      <c r="AC155" s="1">
        <f t="shared" si="134"/>
        <v>1.07625</v>
      </c>
      <c r="AD155" s="1">
        <f t="shared" si="135"/>
        <v>12.3375</v>
      </c>
      <c r="AE155" s="1">
        <f t="shared" si="136"/>
        <v>2.44125</v>
      </c>
      <c r="AF155" s="1">
        <f t="shared" si="137"/>
        <v>0</v>
      </c>
      <c r="AG155" s="1">
        <f t="shared" si="138"/>
        <v>0</v>
      </c>
      <c r="AH155" s="1">
        <f t="shared" si="139"/>
        <v>0</v>
      </c>
      <c r="AI155" s="1">
        <f t="shared" si="140"/>
        <v>0</v>
      </c>
      <c r="AJ155" s="1">
        <f t="shared" si="141"/>
        <v>0</v>
      </c>
      <c r="AK155" s="1">
        <f t="shared" si="142"/>
        <v>0</v>
      </c>
      <c r="AL155" s="1">
        <f t="shared" si="143"/>
        <v>0</v>
      </c>
      <c r="AM155" s="1">
        <f t="shared" si="144"/>
        <v>0</v>
      </c>
      <c r="AN155" s="1">
        <f t="shared" si="145"/>
        <v>0</v>
      </c>
      <c r="AQ155" s="6">
        <v>2016</v>
      </c>
      <c r="AR155" s="6" t="s">
        <v>260</v>
      </c>
      <c r="AS155" s="6">
        <v>0.105</v>
      </c>
      <c r="AT155" s="6" t="s">
        <v>591</v>
      </c>
      <c r="AU155" s="6" t="s">
        <v>592</v>
      </c>
      <c r="AV155" t="str">
        <f t="shared" si="183"/>
        <v>MINBatMaterials_COP</v>
      </c>
      <c r="AW155">
        <f t="shared" si="184"/>
        <v>0</v>
      </c>
      <c r="AX155">
        <f t="shared" si="185"/>
        <v>99.5</v>
      </c>
      <c r="AY155">
        <f t="shared" si="186"/>
        <v>20</v>
      </c>
      <c r="AZ155">
        <f t="shared" si="187"/>
        <v>0</v>
      </c>
      <c r="BA155">
        <f t="shared" si="188"/>
        <v>0</v>
      </c>
      <c r="BB155">
        <f t="shared" si="189"/>
        <v>0</v>
      </c>
      <c r="BC155">
        <f t="shared" si="190"/>
        <v>0</v>
      </c>
      <c r="BD155">
        <f t="shared" si="191"/>
        <v>45</v>
      </c>
      <c r="BE155">
        <f t="shared" si="192"/>
        <v>0</v>
      </c>
      <c r="BF155">
        <f t="shared" si="193"/>
        <v>0</v>
      </c>
      <c r="BG155">
        <f t="shared" si="194"/>
        <v>0</v>
      </c>
      <c r="BH155">
        <f t="shared" si="195"/>
        <v>0</v>
      </c>
      <c r="BI155">
        <f t="shared" si="196"/>
        <v>0</v>
      </c>
      <c r="BJ155">
        <f t="shared" si="197"/>
        <v>0</v>
      </c>
      <c r="BK155">
        <f t="shared" si="198"/>
        <v>0</v>
      </c>
      <c r="BL155">
        <f t="shared" si="199"/>
        <v>0.75</v>
      </c>
      <c r="BM155">
        <f t="shared" si="200"/>
        <v>0</v>
      </c>
      <c r="BN155">
        <f t="shared" si="201"/>
        <v>0</v>
      </c>
      <c r="BO155">
        <f t="shared" si="202"/>
        <v>0</v>
      </c>
      <c r="BP155">
        <f t="shared" si="203"/>
        <v>197.5</v>
      </c>
      <c r="BQ155">
        <f t="shared" si="204"/>
        <v>0</v>
      </c>
      <c r="BR155">
        <f t="shared" si="205"/>
        <v>56.25</v>
      </c>
      <c r="BS155">
        <f t="shared" si="206"/>
        <v>0</v>
      </c>
      <c r="BT155">
        <f t="shared" si="207"/>
        <v>10.25</v>
      </c>
      <c r="BU155">
        <f t="shared" si="208"/>
        <v>117.5</v>
      </c>
      <c r="BV155">
        <f t="shared" si="209"/>
        <v>23.25</v>
      </c>
      <c r="BW155">
        <f t="shared" si="210"/>
        <v>0</v>
      </c>
      <c r="BX155">
        <f t="shared" si="211"/>
        <v>0</v>
      </c>
      <c r="BY155">
        <f t="shared" si="212"/>
        <v>0</v>
      </c>
      <c r="BZ155">
        <f t="shared" si="213"/>
        <v>0</v>
      </c>
      <c r="CA155">
        <f t="shared" si="214"/>
        <v>0</v>
      </c>
      <c r="CB155">
        <f t="shared" si="215"/>
        <v>0</v>
      </c>
      <c r="CC155">
        <f t="shared" si="216"/>
        <v>0</v>
      </c>
      <c r="CD155">
        <f t="shared" si="217"/>
        <v>0</v>
      </c>
      <c r="CE155">
        <f t="shared" si="218"/>
        <v>0</v>
      </c>
      <c r="CG155" s="6">
        <v>2016</v>
      </c>
      <c r="CH155" s="6" t="s">
        <v>260</v>
      </c>
      <c r="CI155" s="6">
        <v>0.105</v>
      </c>
      <c r="CJ155" s="6">
        <v>0.105</v>
      </c>
      <c r="CK155" s="6" t="s">
        <v>591</v>
      </c>
      <c r="CL155" s="6" t="s">
        <v>591</v>
      </c>
      <c r="CM155" s="6" t="s">
        <v>593</v>
      </c>
    </row>
    <row r="156" spans="4:91">
      <c r="D156">
        <f t="shared" si="219"/>
        <v>2021</v>
      </c>
      <c r="E156" t="s">
        <v>262</v>
      </c>
      <c r="F156" s="1">
        <f t="shared" si="112"/>
        <v>0</v>
      </c>
      <c r="G156" s="1">
        <f t="shared" si="113"/>
        <v>17.8605</v>
      </c>
      <c r="H156" s="1">
        <f t="shared" si="114"/>
        <v>0</v>
      </c>
      <c r="I156" s="1">
        <f t="shared" si="115"/>
        <v>0.04725</v>
      </c>
      <c r="J156" s="1">
        <f t="shared" si="116"/>
        <v>0</v>
      </c>
      <c r="K156" s="1">
        <f t="shared" si="117"/>
        <v>0</v>
      </c>
      <c r="L156" s="1">
        <f t="shared" si="118"/>
        <v>6.426</v>
      </c>
      <c r="M156" s="1">
        <f t="shared" si="111"/>
        <v>120.015</v>
      </c>
      <c r="N156" s="1">
        <f t="shared" si="119"/>
        <v>0</v>
      </c>
      <c r="O156" s="1">
        <f t="shared" si="120"/>
        <v>0</v>
      </c>
      <c r="P156" s="1">
        <f t="shared" si="121"/>
        <v>0</v>
      </c>
      <c r="Q156" s="1">
        <f t="shared" si="122"/>
        <v>0.0189</v>
      </c>
      <c r="R156" s="1">
        <f t="shared" si="123"/>
        <v>0</v>
      </c>
      <c r="S156" s="1">
        <f t="shared" si="124"/>
        <v>0</v>
      </c>
      <c r="T156" s="1">
        <f t="shared" si="125"/>
        <v>0</v>
      </c>
      <c r="U156" s="1">
        <f t="shared" si="126"/>
        <v>2.646</v>
      </c>
      <c r="V156" s="1">
        <f t="shared" si="127"/>
        <v>0</v>
      </c>
      <c r="W156" s="1">
        <f t="shared" si="128"/>
        <v>0</v>
      </c>
      <c r="X156" s="1">
        <f t="shared" si="129"/>
        <v>0</v>
      </c>
      <c r="Y156" s="1">
        <f t="shared" si="130"/>
        <v>0</v>
      </c>
      <c r="Z156" s="1">
        <f t="shared" si="131"/>
        <v>0</v>
      </c>
      <c r="AA156" s="1">
        <f t="shared" si="132"/>
        <v>1.97505</v>
      </c>
      <c r="AB156" s="1">
        <f t="shared" si="133"/>
        <v>0.6615</v>
      </c>
      <c r="AC156" s="1">
        <f t="shared" si="134"/>
        <v>0</v>
      </c>
      <c r="AD156" s="1">
        <f t="shared" si="135"/>
        <v>2.16405</v>
      </c>
      <c r="AE156" s="1">
        <f t="shared" si="136"/>
        <v>1.89</v>
      </c>
      <c r="AF156" s="1">
        <f t="shared" si="137"/>
        <v>0</v>
      </c>
      <c r="AG156" s="1">
        <f t="shared" si="138"/>
        <v>0</v>
      </c>
      <c r="AH156" s="1">
        <f t="shared" si="139"/>
        <v>0</v>
      </c>
      <c r="AI156" s="1">
        <f t="shared" si="140"/>
        <v>0</v>
      </c>
      <c r="AJ156" s="1">
        <f t="shared" si="141"/>
        <v>0</v>
      </c>
      <c r="AK156" s="1">
        <f t="shared" si="142"/>
        <v>0.2835</v>
      </c>
      <c r="AL156" s="1">
        <f t="shared" si="143"/>
        <v>0</v>
      </c>
      <c r="AM156" s="1">
        <f t="shared" si="144"/>
        <v>0.1134</v>
      </c>
      <c r="AN156" s="1">
        <f t="shared" si="145"/>
        <v>0</v>
      </c>
      <c r="AQ156" s="6">
        <v>2016</v>
      </c>
      <c r="AR156" s="6" t="s">
        <v>262</v>
      </c>
      <c r="AS156" s="6">
        <v>0.105</v>
      </c>
      <c r="AT156" s="6" t="s">
        <v>591</v>
      </c>
      <c r="AU156" s="6" t="s">
        <v>592</v>
      </c>
      <c r="AV156" t="str">
        <f t="shared" si="183"/>
        <v>MINBatMaterials_GR</v>
      </c>
      <c r="AW156">
        <f t="shared" si="184"/>
        <v>0</v>
      </c>
      <c r="AX156">
        <f t="shared" si="185"/>
        <v>170.1</v>
      </c>
      <c r="AY156">
        <f t="shared" si="186"/>
        <v>0</v>
      </c>
      <c r="AZ156">
        <f t="shared" si="187"/>
        <v>0.45</v>
      </c>
      <c r="BA156">
        <f t="shared" si="188"/>
        <v>0</v>
      </c>
      <c r="BB156">
        <f t="shared" si="189"/>
        <v>0</v>
      </c>
      <c r="BC156">
        <f t="shared" si="190"/>
        <v>61.2</v>
      </c>
      <c r="BD156">
        <f t="shared" si="191"/>
        <v>1143</v>
      </c>
      <c r="BE156">
        <f t="shared" si="192"/>
        <v>0</v>
      </c>
      <c r="BF156">
        <f t="shared" si="193"/>
        <v>0</v>
      </c>
      <c r="BG156">
        <f t="shared" si="194"/>
        <v>0</v>
      </c>
      <c r="BH156">
        <f t="shared" si="195"/>
        <v>0.18</v>
      </c>
      <c r="BI156">
        <f t="shared" si="196"/>
        <v>0</v>
      </c>
      <c r="BJ156">
        <f t="shared" si="197"/>
        <v>0</v>
      </c>
      <c r="BK156">
        <f t="shared" si="198"/>
        <v>0</v>
      </c>
      <c r="BL156">
        <f t="shared" si="199"/>
        <v>25.2</v>
      </c>
      <c r="BM156">
        <f t="shared" si="200"/>
        <v>0</v>
      </c>
      <c r="BN156">
        <f t="shared" si="201"/>
        <v>0</v>
      </c>
      <c r="BO156">
        <f t="shared" si="202"/>
        <v>0</v>
      </c>
      <c r="BP156">
        <f t="shared" si="203"/>
        <v>0</v>
      </c>
      <c r="BQ156">
        <f t="shared" si="204"/>
        <v>0</v>
      </c>
      <c r="BR156">
        <f t="shared" si="205"/>
        <v>18.81</v>
      </c>
      <c r="BS156">
        <f t="shared" si="206"/>
        <v>6.3</v>
      </c>
      <c r="BT156">
        <f t="shared" si="207"/>
        <v>0</v>
      </c>
      <c r="BU156">
        <f t="shared" si="208"/>
        <v>20.61</v>
      </c>
      <c r="BV156">
        <f t="shared" si="209"/>
        <v>18</v>
      </c>
      <c r="BW156">
        <f t="shared" si="210"/>
        <v>0</v>
      </c>
      <c r="BX156">
        <f t="shared" si="211"/>
        <v>0</v>
      </c>
      <c r="BY156">
        <f t="shared" si="212"/>
        <v>0</v>
      </c>
      <c r="BZ156">
        <f t="shared" si="213"/>
        <v>0</v>
      </c>
      <c r="CA156">
        <f t="shared" si="214"/>
        <v>0</v>
      </c>
      <c r="CB156">
        <f t="shared" si="215"/>
        <v>2.7</v>
      </c>
      <c r="CC156">
        <f t="shared" si="216"/>
        <v>0</v>
      </c>
      <c r="CD156">
        <f t="shared" si="217"/>
        <v>1.08</v>
      </c>
      <c r="CE156">
        <f t="shared" si="218"/>
        <v>0</v>
      </c>
      <c r="CG156" s="6">
        <v>2016</v>
      </c>
      <c r="CH156" s="6" t="s">
        <v>262</v>
      </c>
      <c r="CI156" s="6">
        <v>0.105</v>
      </c>
      <c r="CJ156" s="6">
        <v>0.105</v>
      </c>
      <c r="CK156" s="6" t="s">
        <v>591</v>
      </c>
      <c r="CL156" s="6" t="s">
        <v>591</v>
      </c>
      <c r="CM156" s="6" t="s">
        <v>593</v>
      </c>
    </row>
    <row r="157" spans="4:91">
      <c r="D157">
        <v>2016</v>
      </c>
      <c r="E157" t="s">
        <v>68</v>
      </c>
      <c r="F157" s="1">
        <f t="shared" si="112"/>
        <v>0</v>
      </c>
      <c r="G157" s="1">
        <f t="shared" si="113"/>
        <v>0</v>
      </c>
      <c r="H157" s="1">
        <f t="shared" si="114"/>
        <v>0.00036</v>
      </c>
      <c r="I157" s="1">
        <f t="shared" si="115"/>
        <v>0.0009</v>
      </c>
      <c r="J157" s="1">
        <f t="shared" si="116"/>
        <v>0.00036</v>
      </c>
      <c r="K157" s="1">
        <f t="shared" si="117"/>
        <v>0.00936</v>
      </c>
      <c r="L157" s="1">
        <f t="shared" si="118"/>
        <v>0.0009</v>
      </c>
      <c r="M157" s="1">
        <f t="shared" si="111"/>
        <v>11.00142</v>
      </c>
      <c r="N157" s="1">
        <f t="shared" si="119"/>
        <v>0</v>
      </c>
      <c r="O157" s="1">
        <f t="shared" si="120"/>
        <v>0.0009</v>
      </c>
      <c r="P157" s="1">
        <f t="shared" si="121"/>
        <v>0.00567</v>
      </c>
      <c r="Q157" s="1">
        <f t="shared" si="122"/>
        <v>0.00468</v>
      </c>
      <c r="R157" s="1">
        <f t="shared" si="123"/>
        <v>0</v>
      </c>
      <c r="S157" s="1">
        <f t="shared" si="124"/>
        <v>0.0009</v>
      </c>
      <c r="T157" s="1">
        <f t="shared" si="125"/>
        <v>0</v>
      </c>
      <c r="U157" s="1">
        <f t="shared" si="126"/>
        <v>0.01125</v>
      </c>
      <c r="V157" s="1">
        <f t="shared" si="127"/>
        <v>0</v>
      </c>
      <c r="W157" s="1">
        <f t="shared" si="128"/>
        <v>0.00189</v>
      </c>
      <c r="X157" s="1">
        <f t="shared" si="129"/>
        <v>0.0009</v>
      </c>
      <c r="Y157" s="1">
        <f t="shared" si="130"/>
        <v>0.00423</v>
      </c>
      <c r="Z157" s="1">
        <f t="shared" si="131"/>
        <v>0.00036</v>
      </c>
      <c r="AA157" s="1">
        <f t="shared" si="132"/>
        <v>0.01323</v>
      </c>
      <c r="AB157" s="1">
        <f t="shared" si="133"/>
        <v>0.00189</v>
      </c>
      <c r="AC157" s="1">
        <f t="shared" si="134"/>
        <v>0.00513</v>
      </c>
      <c r="AD157" s="1">
        <f t="shared" si="135"/>
        <v>0.00567</v>
      </c>
      <c r="AE157" s="1">
        <f t="shared" si="136"/>
        <v>0.0018</v>
      </c>
      <c r="AF157" s="1">
        <f t="shared" si="137"/>
        <v>0</v>
      </c>
      <c r="AG157" s="1">
        <f t="shared" si="138"/>
        <v>0</v>
      </c>
      <c r="AH157" s="1">
        <f t="shared" si="139"/>
        <v>0.00279</v>
      </c>
      <c r="AI157" s="1">
        <f t="shared" si="140"/>
        <v>0.00567</v>
      </c>
      <c r="AJ157" s="1">
        <f t="shared" si="141"/>
        <v>0.0009</v>
      </c>
      <c r="AK157" s="1">
        <f t="shared" si="142"/>
        <v>0.0009</v>
      </c>
      <c r="AL157" s="1">
        <f t="shared" si="143"/>
        <v>0.00756</v>
      </c>
      <c r="AM157" s="1">
        <f t="shared" si="144"/>
        <v>0</v>
      </c>
      <c r="AN157" s="1">
        <f t="shared" si="145"/>
        <v>0</v>
      </c>
      <c r="AQ157" s="6">
        <v>2016</v>
      </c>
      <c r="AR157" s="6" t="s">
        <v>68</v>
      </c>
      <c r="AS157" s="6">
        <v>0.09</v>
      </c>
      <c r="AT157" s="6" t="s">
        <v>568</v>
      </c>
      <c r="AU157" s="6" t="s">
        <v>594</v>
      </c>
      <c r="AV157" t="str">
        <f t="shared" si="183"/>
        <v>Tra_EV_Batt-LFP_virgin</v>
      </c>
      <c r="AW157">
        <f t="shared" si="184"/>
        <v>0</v>
      </c>
      <c r="AX157">
        <f t="shared" si="185"/>
        <v>0</v>
      </c>
      <c r="AY157">
        <f t="shared" si="186"/>
        <v>0.004</v>
      </c>
      <c r="AZ157">
        <f t="shared" si="187"/>
        <v>0.01</v>
      </c>
      <c r="BA157">
        <f t="shared" si="188"/>
        <v>0.004</v>
      </c>
      <c r="BB157">
        <f t="shared" si="189"/>
        <v>0.104</v>
      </c>
      <c r="BC157">
        <f t="shared" si="190"/>
        <v>0.01</v>
      </c>
      <c r="BD157">
        <f t="shared" si="191"/>
        <v>122.238</v>
      </c>
      <c r="BE157">
        <f t="shared" si="192"/>
        <v>0</v>
      </c>
      <c r="BF157">
        <f t="shared" si="193"/>
        <v>0.01</v>
      </c>
      <c r="BG157">
        <f t="shared" si="194"/>
        <v>0.063</v>
      </c>
      <c r="BH157">
        <f t="shared" si="195"/>
        <v>0.052</v>
      </c>
      <c r="BI157">
        <f t="shared" si="196"/>
        <v>0</v>
      </c>
      <c r="BJ157">
        <f t="shared" si="197"/>
        <v>0.01</v>
      </c>
      <c r="BK157">
        <f t="shared" si="198"/>
        <v>0</v>
      </c>
      <c r="BL157">
        <f t="shared" si="199"/>
        <v>0.125</v>
      </c>
      <c r="BM157">
        <f t="shared" si="200"/>
        <v>0</v>
      </c>
      <c r="BN157">
        <f t="shared" si="201"/>
        <v>0.021</v>
      </c>
      <c r="BO157">
        <f t="shared" si="202"/>
        <v>0.01</v>
      </c>
      <c r="BP157">
        <f t="shared" si="203"/>
        <v>0.047</v>
      </c>
      <c r="BQ157">
        <f t="shared" si="204"/>
        <v>0.004</v>
      </c>
      <c r="BR157">
        <f t="shared" si="205"/>
        <v>0.147</v>
      </c>
      <c r="BS157">
        <f t="shared" si="206"/>
        <v>0.021</v>
      </c>
      <c r="BT157">
        <f t="shared" si="207"/>
        <v>0.057</v>
      </c>
      <c r="BU157">
        <f t="shared" si="208"/>
        <v>0.063</v>
      </c>
      <c r="BV157">
        <f t="shared" si="209"/>
        <v>0.02</v>
      </c>
      <c r="BW157">
        <f t="shared" si="210"/>
        <v>0</v>
      </c>
      <c r="BX157">
        <f t="shared" si="211"/>
        <v>0</v>
      </c>
      <c r="BY157">
        <f t="shared" si="212"/>
        <v>0.031</v>
      </c>
      <c r="BZ157">
        <f t="shared" si="213"/>
        <v>0.063</v>
      </c>
      <c r="CA157">
        <f t="shared" si="214"/>
        <v>0.01</v>
      </c>
      <c r="CB157">
        <f t="shared" si="215"/>
        <v>0.01</v>
      </c>
      <c r="CC157">
        <f t="shared" si="216"/>
        <v>0.084</v>
      </c>
      <c r="CD157">
        <f t="shared" si="217"/>
        <v>0</v>
      </c>
      <c r="CE157">
        <f t="shared" si="218"/>
        <v>0</v>
      </c>
      <c r="CG157" s="6">
        <v>2016</v>
      </c>
      <c r="CH157" s="6" t="s">
        <v>68</v>
      </c>
      <c r="CI157" s="6">
        <v>0.09</v>
      </c>
      <c r="CJ157" s="6">
        <v>0.15</v>
      </c>
      <c r="CK157" s="6" t="s">
        <v>595</v>
      </c>
      <c r="CL157" s="6" t="s">
        <v>596</v>
      </c>
      <c r="CM157" s="6" t="s">
        <v>597</v>
      </c>
    </row>
    <row r="158" spans="4:91">
      <c r="D158">
        <f t="shared" si="219"/>
        <v>2016</v>
      </c>
      <c r="E158" t="s">
        <v>90</v>
      </c>
      <c r="F158" s="1">
        <f t="shared" si="112"/>
        <v>0.00027</v>
      </c>
      <c r="G158" s="1">
        <f t="shared" si="113"/>
        <v>0.00027</v>
      </c>
      <c r="H158" s="1">
        <f t="shared" si="114"/>
        <v>0.00918</v>
      </c>
      <c r="I158" s="1">
        <f t="shared" si="115"/>
        <v>0.03078</v>
      </c>
      <c r="J158" s="1">
        <f t="shared" si="116"/>
        <v>0.00351</v>
      </c>
      <c r="K158" s="1">
        <f t="shared" si="117"/>
        <v>0.14076</v>
      </c>
      <c r="L158" s="1">
        <f t="shared" si="118"/>
        <v>0.00108</v>
      </c>
      <c r="M158" s="1">
        <f t="shared" si="111"/>
        <v>1.8954</v>
      </c>
      <c r="N158" s="1">
        <f t="shared" si="119"/>
        <v>0.00252</v>
      </c>
      <c r="O158" s="1">
        <f t="shared" si="120"/>
        <v>0.00396</v>
      </c>
      <c r="P158" s="1">
        <f t="shared" si="121"/>
        <v>0.2268</v>
      </c>
      <c r="Q158" s="1">
        <f t="shared" si="122"/>
        <v>0.17793</v>
      </c>
      <c r="R158" s="1">
        <f t="shared" si="123"/>
        <v>0.00054</v>
      </c>
      <c r="S158" s="1">
        <f t="shared" si="124"/>
        <v>0.00765</v>
      </c>
      <c r="T158" s="1">
        <f t="shared" si="125"/>
        <v>0.01125</v>
      </c>
      <c r="U158" s="1">
        <f t="shared" si="126"/>
        <v>0.0063</v>
      </c>
      <c r="V158" s="1">
        <f t="shared" si="127"/>
        <v>0.00738</v>
      </c>
      <c r="W158" s="1">
        <f t="shared" si="128"/>
        <v>0.02304</v>
      </c>
      <c r="X158" s="1">
        <f t="shared" si="129"/>
        <v>0.20547</v>
      </c>
      <c r="Y158" s="1">
        <f t="shared" si="130"/>
        <v>0.00405</v>
      </c>
      <c r="Z158" s="1">
        <f t="shared" si="131"/>
        <v>0.00351</v>
      </c>
      <c r="AA158" s="1">
        <f t="shared" si="132"/>
        <v>0.62379</v>
      </c>
      <c r="AB158" s="1">
        <f t="shared" si="133"/>
        <v>0.24372</v>
      </c>
      <c r="AC158" s="1">
        <f t="shared" si="134"/>
        <v>0.00477</v>
      </c>
      <c r="AD158" s="1">
        <f t="shared" si="135"/>
        <v>0.04266</v>
      </c>
      <c r="AE158" s="1">
        <f t="shared" si="136"/>
        <v>0.00504</v>
      </c>
      <c r="AF158" s="1">
        <f t="shared" si="137"/>
        <v>0.00018</v>
      </c>
      <c r="AG158" s="1">
        <f t="shared" si="138"/>
        <v>0.00081</v>
      </c>
      <c r="AH158" s="1">
        <f t="shared" si="139"/>
        <v>0.04707</v>
      </c>
      <c r="AI158" s="1">
        <f t="shared" si="140"/>
        <v>0.0801</v>
      </c>
      <c r="AJ158" s="1">
        <f t="shared" si="141"/>
        <v>0.03033</v>
      </c>
      <c r="AK158" s="1">
        <f t="shared" si="142"/>
        <v>0.00108</v>
      </c>
      <c r="AL158" s="1">
        <f t="shared" si="143"/>
        <v>0.14301</v>
      </c>
      <c r="AM158" s="1">
        <f t="shared" si="144"/>
        <v>0.01008</v>
      </c>
      <c r="AN158" s="1">
        <f t="shared" si="145"/>
        <v>0.00045</v>
      </c>
      <c r="AQ158" s="6">
        <v>2016</v>
      </c>
      <c r="AR158" s="6" t="s">
        <v>90</v>
      </c>
      <c r="AS158" s="6">
        <v>0.09</v>
      </c>
      <c r="AT158" s="6" t="s">
        <v>568</v>
      </c>
      <c r="AU158" s="6" t="s">
        <v>594</v>
      </c>
      <c r="AV158" t="str">
        <f t="shared" si="183"/>
        <v>Tra_EV_Batt-NMC622_virgin</v>
      </c>
      <c r="AW158">
        <f t="shared" si="184"/>
        <v>0.003</v>
      </c>
      <c r="AX158">
        <f t="shared" si="185"/>
        <v>0.003</v>
      </c>
      <c r="AY158">
        <f t="shared" si="186"/>
        <v>0.102</v>
      </c>
      <c r="AZ158">
        <f t="shared" si="187"/>
        <v>0.342</v>
      </c>
      <c r="BA158">
        <f t="shared" si="188"/>
        <v>0.039</v>
      </c>
      <c r="BB158">
        <f t="shared" si="189"/>
        <v>1.564</v>
      </c>
      <c r="BC158">
        <f t="shared" si="190"/>
        <v>0.012</v>
      </c>
      <c r="BD158">
        <f t="shared" si="191"/>
        <v>21.06</v>
      </c>
      <c r="BE158">
        <f t="shared" si="192"/>
        <v>0.028</v>
      </c>
      <c r="BF158">
        <f t="shared" si="193"/>
        <v>0.044</v>
      </c>
      <c r="BG158">
        <f t="shared" si="194"/>
        <v>2.52</v>
      </c>
      <c r="BH158">
        <f t="shared" si="195"/>
        <v>1.977</v>
      </c>
      <c r="BI158">
        <f t="shared" si="196"/>
        <v>0.006</v>
      </c>
      <c r="BJ158">
        <f t="shared" si="197"/>
        <v>0.085</v>
      </c>
      <c r="BK158">
        <f t="shared" si="198"/>
        <v>0.125</v>
      </c>
      <c r="BL158">
        <f t="shared" si="199"/>
        <v>0.07</v>
      </c>
      <c r="BM158">
        <f t="shared" si="200"/>
        <v>0.082</v>
      </c>
      <c r="BN158">
        <f t="shared" si="201"/>
        <v>0.256</v>
      </c>
      <c r="BO158">
        <f t="shared" si="202"/>
        <v>2.283</v>
      </c>
      <c r="BP158">
        <f t="shared" si="203"/>
        <v>0.045</v>
      </c>
      <c r="BQ158">
        <f t="shared" si="204"/>
        <v>0.039</v>
      </c>
      <c r="BR158">
        <f t="shared" si="205"/>
        <v>6.931</v>
      </c>
      <c r="BS158">
        <f t="shared" si="206"/>
        <v>2.708</v>
      </c>
      <c r="BT158">
        <f t="shared" si="207"/>
        <v>0.053</v>
      </c>
      <c r="BU158">
        <f t="shared" si="208"/>
        <v>0.474</v>
      </c>
      <c r="BV158">
        <f t="shared" si="209"/>
        <v>0.056</v>
      </c>
      <c r="BW158">
        <f t="shared" si="210"/>
        <v>0.002</v>
      </c>
      <c r="BX158">
        <f t="shared" si="211"/>
        <v>0.009</v>
      </c>
      <c r="BY158">
        <f t="shared" si="212"/>
        <v>0.523</v>
      </c>
      <c r="BZ158">
        <f t="shared" si="213"/>
        <v>0.89</v>
      </c>
      <c r="CA158">
        <f t="shared" si="214"/>
        <v>0.337</v>
      </c>
      <c r="CB158">
        <f t="shared" si="215"/>
        <v>0.012</v>
      </c>
      <c r="CC158">
        <f t="shared" si="216"/>
        <v>1.589</v>
      </c>
      <c r="CD158">
        <f t="shared" si="217"/>
        <v>0.112</v>
      </c>
      <c r="CE158">
        <f t="shared" si="218"/>
        <v>0.005</v>
      </c>
      <c r="CG158" s="6">
        <v>2016</v>
      </c>
      <c r="CH158" s="6" t="s">
        <v>90</v>
      </c>
      <c r="CI158" s="6">
        <v>0.09</v>
      </c>
      <c r="CJ158" s="6">
        <v>0.15</v>
      </c>
      <c r="CK158" s="6" t="s">
        <v>595</v>
      </c>
      <c r="CL158" s="6" t="s">
        <v>596</v>
      </c>
      <c r="CM158" s="6" t="s">
        <v>597</v>
      </c>
    </row>
    <row r="159" spans="4:91">
      <c r="D159">
        <f t="shared" si="219"/>
        <v>2016</v>
      </c>
      <c r="E159" t="s">
        <v>94</v>
      </c>
      <c r="F159" s="1">
        <f t="shared" si="112"/>
        <v>0.00027</v>
      </c>
      <c r="G159" s="1">
        <f t="shared" si="113"/>
        <v>0.00027</v>
      </c>
      <c r="H159" s="1">
        <f t="shared" si="114"/>
        <v>0.00765</v>
      </c>
      <c r="I159" s="1">
        <f t="shared" si="115"/>
        <v>0.02511</v>
      </c>
      <c r="J159" s="1">
        <f t="shared" si="116"/>
        <v>0.00297</v>
      </c>
      <c r="K159" s="1">
        <f t="shared" si="117"/>
        <v>0.11583</v>
      </c>
      <c r="L159" s="1">
        <f t="shared" si="118"/>
        <v>0.0009</v>
      </c>
      <c r="M159" s="1">
        <f t="shared" si="111"/>
        <v>4.10301</v>
      </c>
      <c r="N159" s="1">
        <f t="shared" si="119"/>
        <v>0.00216</v>
      </c>
      <c r="O159" s="1">
        <f t="shared" si="120"/>
        <v>0.00315</v>
      </c>
      <c r="P159" s="1">
        <f t="shared" si="121"/>
        <v>0.17199</v>
      </c>
      <c r="Q159" s="1">
        <f t="shared" si="122"/>
        <v>0.14157</v>
      </c>
      <c r="R159" s="1">
        <f t="shared" si="123"/>
        <v>0.00045</v>
      </c>
      <c r="S159" s="1">
        <f t="shared" si="124"/>
        <v>0.00621</v>
      </c>
      <c r="T159" s="1">
        <f t="shared" si="125"/>
        <v>0.00936</v>
      </c>
      <c r="U159" s="1">
        <f t="shared" si="126"/>
        <v>0.00063</v>
      </c>
      <c r="V159" s="1">
        <f t="shared" si="127"/>
        <v>0.00603</v>
      </c>
      <c r="W159" s="1">
        <f t="shared" si="128"/>
        <v>0.01827</v>
      </c>
      <c r="X159" s="1">
        <f t="shared" si="129"/>
        <v>0.03798</v>
      </c>
      <c r="Y159" s="1">
        <f t="shared" si="130"/>
        <v>0.00351</v>
      </c>
      <c r="Z159" s="1">
        <f t="shared" si="131"/>
        <v>0.00297</v>
      </c>
      <c r="AA159" s="1">
        <f t="shared" si="132"/>
        <v>0.43668</v>
      </c>
      <c r="AB159" s="1">
        <f t="shared" si="133"/>
        <v>0.14589</v>
      </c>
      <c r="AC159" s="1">
        <f t="shared" si="134"/>
        <v>0.00414</v>
      </c>
      <c r="AD159" s="1">
        <f t="shared" si="135"/>
        <v>0.13878</v>
      </c>
      <c r="AE159" s="1">
        <f t="shared" si="136"/>
        <v>0.00432</v>
      </c>
      <c r="AF159" s="1">
        <f t="shared" si="137"/>
        <v>9e-5</v>
      </c>
      <c r="AG159" s="1">
        <f t="shared" si="138"/>
        <v>0.00063</v>
      </c>
      <c r="AH159" s="1">
        <f t="shared" si="139"/>
        <v>0.03816</v>
      </c>
      <c r="AI159" s="1">
        <f t="shared" si="140"/>
        <v>0.06507</v>
      </c>
      <c r="AJ159" s="1">
        <f t="shared" si="141"/>
        <v>0.02475</v>
      </c>
      <c r="AK159" s="1">
        <f t="shared" si="142"/>
        <v>0.00099</v>
      </c>
      <c r="AL159" s="1">
        <f t="shared" si="143"/>
        <v>0.11637</v>
      </c>
      <c r="AM159" s="1">
        <f t="shared" si="144"/>
        <v>0.00171</v>
      </c>
      <c r="AN159" s="1">
        <f t="shared" si="145"/>
        <v>0.00036</v>
      </c>
      <c r="AQ159" s="6">
        <v>2016</v>
      </c>
      <c r="AR159" s="6" t="s">
        <v>94</v>
      </c>
      <c r="AS159" s="6">
        <v>0.09</v>
      </c>
      <c r="AT159" s="6" t="s">
        <v>568</v>
      </c>
      <c r="AU159" s="6" t="s">
        <v>594</v>
      </c>
      <c r="AV159" t="str">
        <f t="shared" si="183"/>
        <v>Tra_EV_Batt-NMC811_virgin</v>
      </c>
      <c r="AW159">
        <f t="shared" si="184"/>
        <v>0.003</v>
      </c>
      <c r="AX159">
        <f t="shared" si="185"/>
        <v>0.003</v>
      </c>
      <c r="AY159">
        <f t="shared" si="186"/>
        <v>0.085</v>
      </c>
      <c r="AZ159">
        <f t="shared" si="187"/>
        <v>0.279</v>
      </c>
      <c r="BA159">
        <f t="shared" si="188"/>
        <v>0.033</v>
      </c>
      <c r="BB159">
        <f t="shared" si="189"/>
        <v>1.287</v>
      </c>
      <c r="BC159">
        <f t="shared" si="190"/>
        <v>0.01</v>
      </c>
      <c r="BD159">
        <f t="shared" si="191"/>
        <v>45.589</v>
      </c>
      <c r="BE159">
        <f t="shared" si="192"/>
        <v>0.024</v>
      </c>
      <c r="BF159">
        <f t="shared" si="193"/>
        <v>0.035</v>
      </c>
      <c r="BG159">
        <f t="shared" si="194"/>
        <v>1.911</v>
      </c>
      <c r="BH159">
        <f t="shared" si="195"/>
        <v>1.573</v>
      </c>
      <c r="BI159">
        <f t="shared" si="196"/>
        <v>0.005</v>
      </c>
      <c r="BJ159">
        <f t="shared" si="197"/>
        <v>0.069</v>
      </c>
      <c r="BK159">
        <f t="shared" si="198"/>
        <v>0.104</v>
      </c>
      <c r="BL159">
        <f t="shared" si="199"/>
        <v>0.007</v>
      </c>
      <c r="BM159">
        <f t="shared" si="200"/>
        <v>0.067</v>
      </c>
      <c r="BN159">
        <f t="shared" si="201"/>
        <v>0.203</v>
      </c>
      <c r="BO159">
        <f t="shared" si="202"/>
        <v>0.422</v>
      </c>
      <c r="BP159">
        <f t="shared" si="203"/>
        <v>0.039</v>
      </c>
      <c r="BQ159">
        <f t="shared" si="204"/>
        <v>0.033</v>
      </c>
      <c r="BR159">
        <f t="shared" si="205"/>
        <v>4.852</v>
      </c>
      <c r="BS159">
        <f t="shared" si="206"/>
        <v>1.621</v>
      </c>
      <c r="BT159">
        <f t="shared" si="207"/>
        <v>0.046</v>
      </c>
      <c r="BU159">
        <f t="shared" si="208"/>
        <v>1.542</v>
      </c>
      <c r="BV159">
        <f t="shared" si="209"/>
        <v>0.048</v>
      </c>
      <c r="BW159">
        <f t="shared" si="210"/>
        <v>0.001</v>
      </c>
      <c r="BX159">
        <f t="shared" si="211"/>
        <v>0.007</v>
      </c>
      <c r="BY159">
        <f t="shared" si="212"/>
        <v>0.424</v>
      </c>
      <c r="BZ159">
        <f t="shared" si="213"/>
        <v>0.723</v>
      </c>
      <c r="CA159">
        <f t="shared" si="214"/>
        <v>0.275</v>
      </c>
      <c r="CB159">
        <f t="shared" si="215"/>
        <v>0.011</v>
      </c>
      <c r="CC159">
        <f t="shared" si="216"/>
        <v>1.293</v>
      </c>
      <c r="CD159">
        <f t="shared" si="217"/>
        <v>0.019</v>
      </c>
      <c r="CE159">
        <f t="shared" si="218"/>
        <v>0.004</v>
      </c>
      <c r="CG159" s="6">
        <v>2016</v>
      </c>
      <c r="CH159" s="6" t="s">
        <v>94</v>
      </c>
      <c r="CI159" s="6">
        <v>0.09</v>
      </c>
      <c r="CJ159" s="6">
        <v>0.15</v>
      </c>
      <c r="CK159" s="6" t="s">
        <v>595</v>
      </c>
      <c r="CL159" s="6" t="s">
        <v>596</v>
      </c>
      <c r="CM159" s="6" t="s">
        <v>597</v>
      </c>
    </row>
    <row r="160" spans="4:91">
      <c r="D160">
        <f t="shared" si="219"/>
        <v>2016</v>
      </c>
      <c r="E160" t="s">
        <v>86</v>
      </c>
      <c r="F160" s="1">
        <f t="shared" si="112"/>
        <v>9e-5</v>
      </c>
      <c r="G160" s="1">
        <f t="shared" si="113"/>
        <v>9e-5</v>
      </c>
      <c r="H160" s="1">
        <f t="shared" si="114"/>
        <v>0.00153</v>
      </c>
      <c r="I160" s="1">
        <f t="shared" si="115"/>
        <v>0.00477</v>
      </c>
      <c r="J160" s="1">
        <f t="shared" si="116"/>
        <v>0.00054</v>
      </c>
      <c r="K160" s="1">
        <f t="shared" si="117"/>
        <v>0.02196</v>
      </c>
      <c r="L160" s="1">
        <f t="shared" si="118"/>
        <v>9e-5</v>
      </c>
      <c r="M160" s="1">
        <f t="shared" si="111"/>
        <v>0.84519</v>
      </c>
      <c r="N160" s="1">
        <f t="shared" si="119"/>
        <v>0.00045</v>
      </c>
      <c r="O160" s="1">
        <f t="shared" si="120"/>
        <v>0.00054</v>
      </c>
      <c r="P160" s="1">
        <f t="shared" si="121"/>
        <v>0.0288</v>
      </c>
      <c r="Q160" s="1">
        <f t="shared" si="122"/>
        <v>0.02592</v>
      </c>
      <c r="R160" s="1">
        <f t="shared" si="123"/>
        <v>9e-5</v>
      </c>
      <c r="S160" s="1">
        <f t="shared" si="124"/>
        <v>0.00108</v>
      </c>
      <c r="T160" s="1">
        <f t="shared" si="125"/>
        <v>0.00189</v>
      </c>
      <c r="U160" s="1">
        <f t="shared" si="126"/>
        <v>0</v>
      </c>
      <c r="V160" s="1">
        <f t="shared" si="127"/>
        <v>0.00117</v>
      </c>
      <c r="W160" s="1">
        <f t="shared" si="128"/>
        <v>0.00324</v>
      </c>
      <c r="X160" s="1">
        <f t="shared" si="129"/>
        <v>0</v>
      </c>
      <c r="Y160" s="1">
        <f t="shared" si="130"/>
        <v>0.00036</v>
      </c>
      <c r="Z160" s="1">
        <f t="shared" si="131"/>
        <v>0.00054</v>
      </c>
      <c r="AA160" s="1">
        <f t="shared" si="132"/>
        <v>0.42894</v>
      </c>
      <c r="AB160" s="1">
        <f t="shared" si="133"/>
        <v>0.04743</v>
      </c>
      <c r="AC160" s="1">
        <f t="shared" si="134"/>
        <v>0.00045</v>
      </c>
      <c r="AD160" s="1">
        <f t="shared" si="135"/>
        <v>0.09711</v>
      </c>
      <c r="AE160" s="1">
        <f t="shared" si="136"/>
        <v>0.00072</v>
      </c>
      <c r="AF160" s="1">
        <f t="shared" si="137"/>
        <v>0</v>
      </c>
      <c r="AG160" s="1">
        <f t="shared" si="138"/>
        <v>9e-5</v>
      </c>
      <c r="AH160" s="1">
        <f t="shared" si="139"/>
        <v>0.00711</v>
      </c>
      <c r="AI160" s="1">
        <f t="shared" si="140"/>
        <v>0.01206</v>
      </c>
      <c r="AJ160" s="1">
        <f t="shared" si="141"/>
        <v>0.00468</v>
      </c>
      <c r="AK160" s="1">
        <f t="shared" si="142"/>
        <v>0.00018</v>
      </c>
      <c r="AL160" s="1">
        <f t="shared" si="143"/>
        <v>0.02187</v>
      </c>
      <c r="AM160" s="1">
        <f t="shared" si="144"/>
        <v>0</v>
      </c>
      <c r="AN160" s="1">
        <f t="shared" si="145"/>
        <v>9e-5</v>
      </c>
      <c r="AQ160" s="6">
        <v>2016</v>
      </c>
      <c r="AR160" s="6" t="s">
        <v>86</v>
      </c>
      <c r="AS160" s="6">
        <v>0.09</v>
      </c>
      <c r="AT160" s="6" t="s">
        <v>568</v>
      </c>
      <c r="AU160" s="6" t="s">
        <v>594</v>
      </c>
      <c r="AV160" t="str">
        <f t="shared" si="183"/>
        <v>Tra_EV_Batt-NMC532_virgin</v>
      </c>
      <c r="AW160">
        <f t="shared" si="184"/>
        <v>0.001</v>
      </c>
      <c r="AX160">
        <f t="shared" si="185"/>
        <v>0.001</v>
      </c>
      <c r="AY160">
        <f t="shared" si="186"/>
        <v>0.017</v>
      </c>
      <c r="AZ160">
        <f t="shared" si="187"/>
        <v>0.053</v>
      </c>
      <c r="BA160">
        <f t="shared" si="188"/>
        <v>0.006</v>
      </c>
      <c r="BB160">
        <f t="shared" si="189"/>
        <v>0.244</v>
      </c>
      <c r="BC160">
        <f t="shared" si="190"/>
        <v>0.001</v>
      </c>
      <c r="BD160">
        <f t="shared" si="191"/>
        <v>9.391</v>
      </c>
      <c r="BE160">
        <f t="shared" si="192"/>
        <v>0.005</v>
      </c>
      <c r="BF160">
        <f t="shared" si="193"/>
        <v>0.006</v>
      </c>
      <c r="BG160">
        <f t="shared" si="194"/>
        <v>0.32</v>
      </c>
      <c r="BH160">
        <f t="shared" si="195"/>
        <v>0.288</v>
      </c>
      <c r="BI160">
        <f t="shared" si="196"/>
        <v>0.001</v>
      </c>
      <c r="BJ160">
        <f t="shared" si="197"/>
        <v>0.012</v>
      </c>
      <c r="BK160">
        <f t="shared" si="198"/>
        <v>0.021</v>
      </c>
      <c r="BL160">
        <f t="shared" si="199"/>
        <v>0</v>
      </c>
      <c r="BM160">
        <f t="shared" si="200"/>
        <v>0.013</v>
      </c>
      <c r="BN160">
        <f t="shared" si="201"/>
        <v>0.036</v>
      </c>
      <c r="BO160">
        <f t="shared" si="202"/>
        <v>0</v>
      </c>
      <c r="BP160">
        <f t="shared" si="203"/>
        <v>0.004</v>
      </c>
      <c r="BQ160">
        <f t="shared" si="204"/>
        <v>0.006</v>
      </c>
      <c r="BR160">
        <f t="shared" si="205"/>
        <v>4.766</v>
      </c>
      <c r="BS160">
        <f t="shared" si="206"/>
        <v>0.527</v>
      </c>
      <c r="BT160">
        <f t="shared" si="207"/>
        <v>0.005</v>
      </c>
      <c r="BU160">
        <f t="shared" si="208"/>
        <v>1.079</v>
      </c>
      <c r="BV160">
        <f t="shared" si="209"/>
        <v>0.008</v>
      </c>
      <c r="BW160">
        <f t="shared" si="210"/>
        <v>0</v>
      </c>
      <c r="BX160">
        <f t="shared" si="211"/>
        <v>0.001</v>
      </c>
      <c r="BY160">
        <f t="shared" si="212"/>
        <v>0.079</v>
      </c>
      <c r="BZ160">
        <f t="shared" si="213"/>
        <v>0.134</v>
      </c>
      <c r="CA160">
        <f t="shared" si="214"/>
        <v>0.052</v>
      </c>
      <c r="CB160">
        <f t="shared" si="215"/>
        <v>0.002</v>
      </c>
      <c r="CC160">
        <f t="shared" si="216"/>
        <v>0.243</v>
      </c>
      <c r="CD160">
        <f t="shared" si="217"/>
        <v>0</v>
      </c>
      <c r="CE160">
        <f t="shared" si="218"/>
        <v>0.001</v>
      </c>
      <c r="CG160" s="6">
        <v>2016</v>
      </c>
      <c r="CH160" s="6" t="s">
        <v>86</v>
      </c>
      <c r="CI160" s="6">
        <v>0.09</v>
      </c>
      <c r="CJ160" s="6">
        <v>0.15</v>
      </c>
      <c r="CK160" s="6" t="s">
        <v>595</v>
      </c>
      <c r="CL160" s="6" t="s">
        <v>596</v>
      </c>
      <c r="CM160" s="6" t="s">
        <v>597</v>
      </c>
    </row>
    <row r="161" spans="4:91">
      <c r="D161">
        <f t="shared" si="219"/>
        <v>2016</v>
      </c>
      <c r="E161" t="s">
        <v>77</v>
      </c>
      <c r="F161" s="1">
        <f t="shared" si="112"/>
        <v>0</v>
      </c>
      <c r="G161" s="1">
        <f t="shared" si="113"/>
        <v>0</v>
      </c>
      <c r="H161" s="1">
        <f t="shared" si="114"/>
        <v>0</v>
      </c>
      <c r="I161" s="1">
        <f t="shared" si="115"/>
        <v>0</v>
      </c>
      <c r="J161" s="1">
        <f t="shared" si="116"/>
        <v>0</v>
      </c>
      <c r="K161" s="1">
        <f t="shared" si="117"/>
        <v>0</v>
      </c>
      <c r="L161" s="1">
        <f t="shared" si="118"/>
        <v>0</v>
      </c>
      <c r="M161" s="1">
        <f t="shared" si="111"/>
        <v>0.15309</v>
      </c>
      <c r="N161" s="1">
        <f t="shared" si="119"/>
        <v>0</v>
      </c>
      <c r="O161" s="1">
        <f t="shared" si="120"/>
        <v>0</v>
      </c>
      <c r="P161" s="1">
        <f t="shared" si="121"/>
        <v>0</v>
      </c>
      <c r="Q161" s="1">
        <f t="shared" si="122"/>
        <v>0</v>
      </c>
      <c r="R161" s="1">
        <f t="shared" si="123"/>
        <v>0</v>
      </c>
      <c r="S161" s="1">
        <f t="shared" si="124"/>
        <v>0</v>
      </c>
      <c r="T161" s="1">
        <f t="shared" si="125"/>
        <v>0</v>
      </c>
      <c r="U161" s="1">
        <f t="shared" si="126"/>
        <v>0</v>
      </c>
      <c r="V161" s="1">
        <f t="shared" si="127"/>
        <v>0</v>
      </c>
      <c r="W161" s="1">
        <f t="shared" si="128"/>
        <v>0</v>
      </c>
      <c r="X161" s="1">
        <f t="shared" si="129"/>
        <v>0</v>
      </c>
      <c r="Y161" s="1">
        <f t="shared" si="130"/>
        <v>0</v>
      </c>
      <c r="Z161" s="1">
        <f t="shared" si="131"/>
        <v>0</v>
      </c>
      <c r="AA161" s="1">
        <f t="shared" si="132"/>
        <v>0</v>
      </c>
      <c r="AB161" s="1">
        <f t="shared" si="133"/>
        <v>0</v>
      </c>
      <c r="AC161" s="1">
        <f t="shared" si="134"/>
        <v>0</v>
      </c>
      <c r="AD161" s="1">
        <f t="shared" si="135"/>
        <v>0</v>
      </c>
      <c r="AE161" s="1">
        <f t="shared" si="136"/>
        <v>0</v>
      </c>
      <c r="AF161" s="1">
        <f t="shared" si="137"/>
        <v>0</v>
      </c>
      <c r="AG161" s="1">
        <f t="shared" si="138"/>
        <v>0</v>
      </c>
      <c r="AH161" s="1">
        <f t="shared" si="139"/>
        <v>0</v>
      </c>
      <c r="AI161" s="1">
        <f t="shared" si="140"/>
        <v>0</v>
      </c>
      <c r="AJ161" s="1">
        <f t="shared" si="141"/>
        <v>0</v>
      </c>
      <c r="AK161" s="1">
        <f t="shared" si="142"/>
        <v>0</v>
      </c>
      <c r="AL161" s="1">
        <f t="shared" si="143"/>
        <v>0</v>
      </c>
      <c r="AM161" s="1">
        <f t="shared" si="144"/>
        <v>0</v>
      </c>
      <c r="AN161" s="1">
        <f t="shared" si="145"/>
        <v>0</v>
      </c>
      <c r="AQ161" s="6">
        <v>2016</v>
      </c>
      <c r="AR161" s="6" t="s">
        <v>77</v>
      </c>
      <c r="AS161" s="6">
        <v>0.09</v>
      </c>
      <c r="AT161" s="6" t="s">
        <v>568</v>
      </c>
      <c r="AU161" s="6" t="s">
        <v>594</v>
      </c>
      <c r="AV161" t="str">
        <f t="shared" si="183"/>
        <v>Tra_EV_Batt-NCA_virgin</v>
      </c>
      <c r="AW161">
        <f t="shared" si="184"/>
        <v>0</v>
      </c>
      <c r="AX161">
        <f t="shared" si="185"/>
        <v>0</v>
      </c>
      <c r="AY161">
        <f t="shared" si="186"/>
        <v>0</v>
      </c>
      <c r="AZ161">
        <f t="shared" si="187"/>
        <v>0</v>
      </c>
      <c r="BA161">
        <f t="shared" si="188"/>
        <v>0</v>
      </c>
      <c r="BB161">
        <f t="shared" si="189"/>
        <v>0</v>
      </c>
      <c r="BC161">
        <f t="shared" si="190"/>
        <v>0</v>
      </c>
      <c r="BD161">
        <f t="shared" si="191"/>
        <v>1.701</v>
      </c>
      <c r="BE161">
        <f t="shared" si="192"/>
        <v>0</v>
      </c>
      <c r="BF161">
        <f t="shared" si="193"/>
        <v>0</v>
      </c>
      <c r="BG161">
        <f t="shared" si="194"/>
        <v>0</v>
      </c>
      <c r="BH161">
        <f t="shared" si="195"/>
        <v>0</v>
      </c>
      <c r="BI161">
        <f t="shared" si="196"/>
        <v>0</v>
      </c>
      <c r="BJ161">
        <f t="shared" si="197"/>
        <v>0</v>
      </c>
      <c r="BK161">
        <f t="shared" si="198"/>
        <v>0</v>
      </c>
      <c r="BL161">
        <f t="shared" si="199"/>
        <v>0</v>
      </c>
      <c r="BM161">
        <f t="shared" si="200"/>
        <v>0</v>
      </c>
      <c r="BN161">
        <f t="shared" si="201"/>
        <v>0</v>
      </c>
      <c r="BO161">
        <f t="shared" si="202"/>
        <v>0</v>
      </c>
      <c r="BP161">
        <f t="shared" si="203"/>
        <v>0</v>
      </c>
      <c r="BQ161">
        <f t="shared" si="204"/>
        <v>0</v>
      </c>
      <c r="BR161">
        <f t="shared" si="205"/>
        <v>0</v>
      </c>
      <c r="BS161">
        <f t="shared" si="206"/>
        <v>0</v>
      </c>
      <c r="BT161">
        <f t="shared" si="207"/>
        <v>0</v>
      </c>
      <c r="BU161">
        <f t="shared" si="208"/>
        <v>0</v>
      </c>
      <c r="BV161">
        <f t="shared" si="209"/>
        <v>0</v>
      </c>
      <c r="BW161">
        <f t="shared" si="210"/>
        <v>0</v>
      </c>
      <c r="BX161">
        <f t="shared" si="211"/>
        <v>0</v>
      </c>
      <c r="BY161">
        <f t="shared" si="212"/>
        <v>0</v>
      </c>
      <c r="BZ161">
        <f t="shared" si="213"/>
        <v>0</v>
      </c>
      <c r="CA161">
        <f t="shared" si="214"/>
        <v>0</v>
      </c>
      <c r="CB161">
        <f t="shared" si="215"/>
        <v>0</v>
      </c>
      <c r="CC161">
        <f t="shared" si="216"/>
        <v>0</v>
      </c>
      <c r="CD161">
        <f t="shared" si="217"/>
        <v>0</v>
      </c>
      <c r="CE161">
        <f t="shared" si="218"/>
        <v>0</v>
      </c>
      <c r="CG161" s="6">
        <v>2016</v>
      </c>
      <c r="CH161" s="6" t="s">
        <v>77</v>
      </c>
      <c r="CI161" s="6">
        <v>0.09</v>
      </c>
      <c r="CJ161" s="6">
        <v>0.15</v>
      </c>
      <c r="CK161" s="6" t="s">
        <v>595</v>
      </c>
      <c r="CL161" s="6" t="s">
        <v>596</v>
      </c>
      <c r="CM161" s="6" t="s">
        <v>597</v>
      </c>
    </row>
    <row r="162" spans="4:91">
      <c r="D162">
        <f t="shared" si="219"/>
        <v>2016</v>
      </c>
      <c r="E162" t="s">
        <v>73</v>
      </c>
      <c r="F162" s="1">
        <f t="shared" si="112"/>
        <v>0.00018</v>
      </c>
      <c r="G162" s="1">
        <f t="shared" si="113"/>
        <v>0.00018</v>
      </c>
      <c r="H162" s="1">
        <f t="shared" si="114"/>
        <v>0.00603</v>
      </c>
      <c r="I162" s="1">
        <f t="shared" si="115"/>
        <v>0.01908</v>
      </c>
      <c r="J162" s="1">
        <f t="shared" si="116"/>
        <v>0.00225</v>
      </c>
      <c r="K162" s="1">
        <f t="shared" si="117"/>
        <v>0.08784</v>
      </c>
      <c r="L162" s="1">
        <f t="shared" si="118"/>
        <v>0.00054</v>
      </c>
      <c r="M162" s="1">
        <f t="shared" si="111"/>
        <v>0.22959</v>
      </c>
      <c r="N162" s="1">
        <f t="shared" si="119"/>
        <v>0.00171</v>
      </c>
      <c r="O162" s="1">
        <f t="shared" si="120"/>
        <v>0.00198</v>
      </c>
      <c r="P162" s="1">
        <f t="shared" si="121"/>
        <v>0.11538</v>
      </c>
      <c r="Q162" s="1">
        <f t="shared" si="122"/>
        <v>0.10359</v>
      </c>
      <c r="R162" s="1">
        <f t="shared" si="123"/>
        <v>0.00036</v>
      </c>
      <c r="S162" s="1">
        <f t="shared" si="124"/>
        <v>0.0045</v>
      </c>
      <c r="T162" s="1">
        <f t="shared" si="125"/>
        <v>0.00756</v>
      </c>
      <c r="U162" s="1">
        <f t="shared" si="126"/>
        <v>0</v>
      </c>
      <c r="V162" s="1">
        <f t="shared" si="127"/>
        <v>0.00468</v>
      </c>
      <c r="W162" s="1">
        <f t="shared" si="128"/>
        <v>0.01287</v>
      </c>
      <c r="X162" s="1">
        <f t="shared" si="129"/>
        <v>0.06498</v>
      </c>
      <c r="Y162" s="1">
        <f t="shared" si="130"/>
        <v>0.00153</v>
      </c>
      <c r="Z162" s="1">
        <f t="shared" si="131"/>
        <v>0.00225</v>
      </c>
      <c r="AA162" s="1">
        <f t="shared" si="132"/>
        <v>3.98331</v>
      </c>
      <c r="AB162" s="1">
        <f t="shared" si="133"/>
        <v>0.33192</v>
      </c>
      <c r="AC162" s="1">
        <f t="shared" si="134"/>
        <v>0.00171</v>
      </c>
      <c r="AD162" s="1">
        <f t="shared" si="135"/>
        <v>0.09711</v>
      </c>
      <c r="AE162" s="1">
        <f t="shared" si="136"/>
        <v>0.00297</v>
      </c>
      <c r="AF162" s="1">
        <f t="shared" si="137"/>
        <v>9e-5</v>
      </c>
      <c r="AG162" s="1">
        <f t="shared" si="138"/>
        <v>0.00054</v>
      </c>
      <c r="AH162" s="1">
        <f t="shared" si="139"/>
        <v>0.02835</v>
      </c>
      <c r="AI162" s="1">
        <f t="shared" si="140"/>
        <v>0.04815</v>
      </c>
      <c r="AJ162" s="1">
        <f t="shared" si="141"/>
        <v>0.01872</v>
      </c>
      <c r="AK162" s="1">
        <f t="shared" si="142"/>
        <v>0.00054</v>
      </c>
      <c r="AL162" s="1">
        <f t="shared" si="143"/>
        <v>0.0873</v>
      </c>
      <c r="AM162" s="1">
        <f t="shared" si="144"/>
        <v>0.00333</v>
      </c>
      <c r="AN162" s="1">
        <f t="shared" si="145"/>
        <v>0.00027</v>
      </c>
      <c r="AQ162" s="6">
        <v>2016</v>
      </c>
      <c r="AR162" s="6" t="s">
        <v>73</v>
      </c>
      <c r="AS162" s="6">
        <v>0.09</v>
      </c>
      <c r="AT162" s="6" t="s">
        <v>568</v>
      </c>
      <c r="AU162" s="6" t="s">
        <v>594</v>
      </c>
      <c r="AV162" t="str">
        <f t="shared" si="183"/>
        <v>Tra_EV_Batt-LMO_virgin</v>
      </c>
      <c r="AW162">
        <f t="shared" si="184"/>
        <v>0.002</v>
      </c>
      <c r="AX162">
        <f t="shared" si="185"/>
        <v>0.002</v>
      </c>
      <c r="AY162">
        <f t="shared" si="186"/>
        <v>0.067</v>
      </c>
      <c r="AZ162">
        <f t="shared" si="187"/>
        <v>0.212</v>
      </c>
      <c r="BA162">
        <f t="shared" si="188"/>
        <v>0.025</v>
      </c>
      <c r="BB162">
        <f t="shared" si="189"/>
        <v>0.976</v>
      </c>
      <c r="BC162">
        <f t="shared" si="190"/>
        <v>0.006</v>
      </c>
      <c r="BD162">
        <f t="shared" si="191"/>
        <v>2.551</v>
      </c>
      <c r="BE162">
        <f t="shared" si="192"/>
        <v>0.019</v>
      </c>
      <c r="BF162">
        <f t="shared" si="193"/>
        <v>0.022</v>
      </c>
      <c r="BG162">
        <f t="shared" si="194"/>
        <v>1.282</v>
      </c>
      <c r="BH162">
        <f t="shared" si="195"/>
        <v>1.151</v>
      </c>
      <c r="BI162">
        <f t="shared" si="196"/>
        <v>0.004</v>
      </c>
      <c r="BJ162">
        <f t="shared" si="197"/>
        <v>0.05</v>
      </c>
      <c r="BK162">
        <f t="shared" si="198"/>
        <v>0.084</v>
      </c>
      <c r="BL162">
        <f t="shared" si="199"/>
        <v>0</v>
      </c>
      <c r="BM162">
        <f t="shared" si="200"/>
        <v>0.052</v>
      </c>
      <c r="BN162">
        <f t="shared" si="201"/>
        <v>0.143</v>
      </c>
      <c r="BO162">
        <f t="shared" si="202"/>
        <v>0.722</v>
      </c>
      <c r="BP162">
        <f t="shared" si="203"/>
        <v>0.017</v>
      </c>
      <c r="BQ162">
        <f t="shared" si="204"/>
        <v>0.025</v>
      </c>
      <c r="BR162">
        <f t="shared" si="205"/>
        <v>44.259</v>
      </c>
      <c r="BS162">
        <f t="shared" si="206"/>
        <v>3.688</v>
      </c>
      <c r="BT162">
        <f t="shared" si="207"/>
        <v>0.019</v>
      </c>
      <c r="BU162">
        <f t="shared" si="208"/>
        <v>1.079</v>
      </c>
      <c r="BV162">
        <f t="shared" si="209"/>
        <v>0.033</v>
      </c>
      <c r="BW162">
        <f t="shared" si="210"/>
        <v>0.001</v>
      </c>
      <c r="BX162">
        <f t="shared" si="211"/>
        <v>0.006</v>
      </c>
      <c r="BY162">
        <f t="shared" si="212"/>
        <v>0.315</v>
      </c>
      <c r="BZ162">
        <f t="shared" si="213"/>
        <v>0.535</v>
      </c>
      <c r="CA162">
        <f t="shared" si="214"/>
        <v>0.208</v>
      </c>
      <c r="CB162">
        <f t="shared" si="215"/>
        <v>0.006</v>
      </c>
      <c r="CC162">
        <f t="shared" si="216"/>
        <v>0.97</v>
      </c>
      <c r="CD162">
        <f t="shared" si="217"/>
        <v>0.037</v>
      </c>
      <c r="CE162">
        <f t="shared" si="218"/>
        <v>0.003</v>
      </c>
      <c r="CG162" s="6">
        <v>2016</v>
      </c>
      <c r="CH162" s="6" t="s">
        <v>73</v>
      </c>
      <c r="CI162" s="6">
        <v>0.09</v>
      </c>
      <c r="CJ162" s="6">
        <v>0.15</v>
      </c>
      <c r="CK162" s="6" t="s">
        <v>595</v>
      </c>
      <c r="CL162" s="6" t="s">
        <v>596</v>
      </c>
      <c r="CM162" s="6" t="s">
        <v>597</v>
      </c>
    </row>
    <row r="163" spans="4:91">
      <c r="D163">
        <f t="shared" si="219"/>
        <v>2016</v>
      </c>
      <c r="E163" t="s">
        <v>81</v>
      </c>
      <c r="F163" s="1">
        <f t="shared" si="112"/>
        <v>0.00018</v>
      </c>
      <c r="G163" s="1">
        <f t="shared" si="113"/>
        <v>0.00018</v>
      </c>
      <c r="H163" s="1">
        <f t="shared" si="114"/>
        <v>0.00603</v>
      </c>
      <c r="I163" s="1">
        <f t="shared" si="115"/>
        <v>0.02097</v>
      </c>
      <c r="J163" s="1">
        <f t="shared" si="116"/>
        <v>0.00225</v>
      </c>
      <c r="K163" s="1">
        <f t="shared" si="117"/>
        <v>0.09369</v>
      </c>
      <c r="L163" s="1">
        <f t="shared" si="118"/>
        <v>0.00054</v>
      </c>
      <c r="M163" s="1">
        <f t="shared" si="111"/>
        <v>0.15309</v>
      </c>
      <c r="N163" s="1">
        <f t="shared" si="119"/>
        <v>0.00171</v>
      </c>
      <c r="O163" s="1">
        <f t="shared" si="120"/>
        <v>0.00261</v>
      </c>
      <c r="P163" s="1">
        <f t="shared" si="121"/>
        <v>0.16731</v>
      </c>
      <c r="Q163" s="1">
        <f t="shared" si="122"/>
        <v>0.12456</v>
      </c>
      <c r="R163" s="1">
        <f t="shared" si="123"/>
        <v>0.00036</v>
      </c>
      <c r="S163" s="1">
        <f t="shared" si="124"/>
        <v>0.00513</v>
      </c>
      <c r="T163" s="1">
        <f t="shared" si="125"/>
        <v>0.00756</v>
      </c>
      <c r="U163" s="1">
        <f t="shared" si="126"/>
        <v>0.00378</v>
      </c>
      <c r="V163" s="1">
        <f t="shared" si="127"/>
        <v>0.00504</v>
      </c>
      <c r="W163" s="1">
        <f t="shared" si="128"/>
        <v>0.01602</v>
      </c>
      <c r="X163" s="1">
        <f t="shared" si="129"/>
        <v>0.36756</v>
      </c>
      <c r="Y163" s="1">
        <f t="shared" si="130"/>
        <v>0.00189</v>
      </c>
      <c r="Z163" s="1">
        <f t="shared" si="131"/>
        <v>0.00225</v>
      </c>
      <c r="AA163" s="1">
        <f t="shared" si="132"/>
        <v>0.68067</v>
      </c>
      <c r="AB163" s="1">
        <f t="shared" si="133"/>
        <v>0.19575</v>
      </c>
      <c r="AC163" s="1">
        <f t="shared" si="134"/>
        <v>0.00225</v>
      </c>
      <c r="AD163" s="1">
        <f t="shared" si="135"/>
        <v>0.02133</v>
      </c>
      <c r="AE163" s="1">
        <f t="shared" si="136"/>
        <v>0.00297</v>
      </c>
      <c r="AF163" s="1">
        <f t="shared" si="137"/>
        <v>9e-5</v>
      </c>
      <c r="AG163" s="1">
        <f t="shared" si="138"/>
        <v>0.00054</v>
      </c>
      <c r="AH163" s="1">
        <f t="shared" si="139"/>
        <v>0.03195</v>
      </c>
      <c r="AI163" s="1">
        <f t="shared" si="140"/>
        <v>0.05409</v>
      </c>
      <c r="AJ163" s="1">
        <f t="shared" si="141"/>
        <v>0.02061</v>
      </c>
      <c r="AK163" s="1">
        <f t="shared" si="142"/>
        <v>0.00054</v>
      </c>
      <c r="AL163" s="1">
        <f t="shared" si="143"/>
        <v>0.09684</v>
      </c>
      <c r="AM163" s="1">
        <f t="shared" si="144"/>
        <v>0.01845</v>
      </c>
      <c r="AN163" s="1">
        <f t="shared" si="145"/>
        <v>0.00027</v>
      </c>
      <c r="AQ163" s="6">
        <v>2016</v>
      </c>
      <c r="AR163" s="6" t="s">
        <v>81</v>
      </c>
      <c r="AS163" s="6">
        <v>0.09</v>
      </c>
      <c r="AT163" s="6" t="s">
        <v>568</v>
      </c>
      <c r="AU163" s="6" t="s">
        <v>594</v>
      </c>
      <c r="AV163" t="str">
        <f t="shared" si="183"/>
        <v>Tra_EV_Batt-NMC111_virgin</v>
      </c>
      <c r="AW163">
        <f t="shared" si="184"/>
        <v>0.002</v>
      </c>
      <c r="AX163">
        <f t="shared" si="185"/>
        <v>0.002</v>
      </c>
      <c r="AY163">
        <f t="shared" si="186"/>
        <v>0.067</v>
      </c>
      <c r="AZ163">
        <f t="shared" si="187"/>
        <v>0.233</v>
      </c>
      <c r="BA163">
        <f t="shared" si="188"/>
        <v>0.025</v>
      </c>
      <c r="BB163">
        <f t="shared" si="189"/>
        <v>1.041</v>
      </c>
      <c r="BC163">
        <f t="shared" si="190"/>
        <v>0.006</v>
      </c>
      <c r="BD163">
        <f t="shared" si="191"/>
        <v>1.701</v>
      </c>
      <c r="BE163">
        <f t="shared" si="192"/>
        <v>0.019</v>
      </c>
      <c r="BF163">
        <f t="shared" si="193"/>
        <v>0.029</v>
      </c>
      <c r="BG163">
        <f t="shared" si="194"/>
        <v>1.859</v>
      </c>
      <c r="BH163">
        <f t="shared" si="195"/>
        <v>1.384</v>
      </c>
      <c r="BI163">
        <f t="shared" si="196"/>
        <v>0.004</v>
      </c>
      <c r="BJ163">
        <f t="shared" si="197"/>
        <v>0.057</v>
      </c>
      <c r="BK163">
        <f t="shared" si="198"/>
        <v>0.084</v>
      </c>
      <c r="BL163">
        <f t="shared" si="199"/>
        <v>0.042</v>
      </c>
      <c r="BM163">
        <f t="shared" si="200"/>
        <v>0.056</v>
      </c>
      <c r="BN163">
        <f t="shared" si="201"/>
        <v>0.178</v>
      </c>
      <c r="BO163">
        <f t="shared" si="202"/>
        <v>4.084</v>
      </c>
      <c r="BP163">
        <f t="shared" si="203"/>
        <v>0.021</v>
      </c>
      <c r="BQ163">
        <f t="shared" si="204"/>
        <v>0.025</v>
      </c>
      <c r="BR163">
        <f t="shared" si="205"/>
        <v>7.563</v>
      </c>
      <c r="BS163">
        <f t="shared" si="206"/>
        <v>2.175</v>
      </c>
      <c r="BT163">
        <f t="shared" si="207"/>
        <v>0.025</v>
      </c>
      <c r="BU163">
        <f t="shared" si="208"/>
        <v>0.237</v>
      </c>
      <c r="BV163">
        <f t="shared" si="209"/>
        <v>0.033</v>
      </c>
      <c r="BW163">
        <f t="shared" si="210"/>
        <v>0.001</v>
      </c>
      <c r="BX163">
        <f t="shared" si="211"/>
        <v>0.006</v>
      </c>
      <c r="BY163">
        <f t="shared" si="212"/>
        <v>0.355</v>
      </c>
      <c r="BZ163">
        <f t="shared" si="213"/>
        <v>0.601</v>
      </c>
      <c r="CA163">
        <f t="shared" si="214"/>
        <v>0.229</v>
      </c>
      <c r="CB163">
        <f t="shared" si="215"/>
        <v>0.006</v>
      </c>
      <c r="CC163">
        <f t="shared" si="216"/>
        <v>1.076</v>
      </c>
      <c r="CD163">
        <f t="shared" si="217"/>
        <v>0.205</v>
      </c>
      <c r="CE163">
        <f t="shared" si="218"/>
        <v>0.003</v>
      </c>
      <c r="CG163" s="6">
        <v>2016</v>
      </c>
      <c r="CH163" s="6" t="s">
        <v>81</v>
      </c>
      <c r="CI163" s="6">
        <v>0.09</v>
      </c>
      <c r="CJ163" s="6">
        <v>0.15</v>
      </c>
      <c r="CK163" s="6" t="s">
        <v>595</v>
      </c>
      <c r="CL163" s="6" t="s">
        <v>596</v>
      </c>
      <c r="CM163" s="6" t="s">
        <v>597</v>
      </c>
    </row>
    <row r="164" spans="4:91">
      <c r="D164">
        <f t="shared" si="219"/>
        <v>2016</v>
      </c>
      <c r="E164" t="s">
        <v>69</v>
      </c>
      <c r="F164" s="1">
        <f t="shared" si="112"/>
        <v>0</v>
      </c>
      <c r="G164" s="1">
        <f t="shared" si="113"/>
        <v>0</v>
      </c>
      <c r="H164" s="1">
        <f t="shared" si="114"/>
        <v>0.00036</v>
      </c>
      <c r="I164" s="1">
        <f t="shared" si="115"/>
        <v>0.0009</v>
      </c>
      <c r="J164" s="1">
        <f t="shared" si="116"/>
        <v>0.00036</v>
      </c>
      <c r="K164" s="1">
        <f t="shared" si="117"/>
        <v>0.00936</v>
      </c>
      <c r="L164" s="1">
        <f t="shared" si="118"/>
        <v>0.0009</v>
      </c>
      <c r="M164" s="1">
        <f t="shared" si="111"/>
        <v>11.00142</v>
      </c>
      <c r="N164" s="1">
        <f t="shared" si="119"/>
        <v>0</v>
      </c>
      <c r="O164" s="1">
        <f t="shared" si="120"/>
        <v>0.0009</v>
      </c>
      <c r="P164" s="1">
        <f t="shared" si="121"/>
        <v>0.00567</v>
      </c>
      <c r="Q164" s="1">
        <f t="shared" si="122"/>
        <v>0.00468</v>
      </c>
      <c r="R164" s="1">
        <f t="shared" si="123"/>
        <v>0</v>
      </c>
      <c r="S164" s="1">
        <f t="shared" si="124"/>
        <v>0.0009</v>
      </c>
      <c r="T164" s="1">
        <f t="shared" si="125"/>
        <v>0</v>
      </c>
      <c r="U164" s="1">
        <f t="shared" si="126"/>
        <v>0.01125</v>
      </c>
      <c r="V164" s="1">
        <f t="shared" si="127"/>
        <v>0</v>
      </c>
      <c r="W164" s="1">
        <f t="shared" si="128"/>
        <v>0.00189</v>
      </c>
      <c r="X164" s="1">
        <f t="shared" si="129"/>
        <v>0.0009</v>
      </c>
      <c r="Y164" s="1">
        <f t="shared" si="130"/>
        <v>0.00423</v>
      </c>
      <c r="Z164" s="1">
        <f t="shared" si="131"/>
        <v>0.00036</v>
      </c>
      <c r="AA164" s="1">
        <f t="shared" si="132"/>
        <v>0.01323</v>
      </c>
      <c r="AB164" s="1">
        <f t="shared" si="133"/>
        <v>0.00189</v>
      </c>
      <c r="AC164" s="1">
        <f t="shared" si="134"/>
        <v>0.00513</v>
      </c>
      <c r="AD164" s="1">
        <f t="shared" si="135"/>
        <v>0.00567</v>
      </c>
      <c r="AE164" s="1">
        <f t="shared" si="136"/>
        <v>0.0018</v>
      </c>
      <c r="AF164" s="1">
        <f t="shared" si="137"/>
        <v>0</v>
      </c>
      <c r="AG164" s="1">
        <f t="shared" si="138"/>
        <v>0</v>
      </c>
      <c r="AH164" s="1">
        <f t="shared" si="139"/>
        <v>0.00279</v>
      </c>
      <c r="AI164" s="1">
        <f t="shared" si="140"/>
        <v>0.00567</v>
      </c>
      <c r="AJ164" s="1">
        <f t="shared" si="141"/>
        <v>0.0009</v>
      </c>
      <c r="AK164" s="1">
        <f t="shared" si="142"/>
        <v>0.0009</v>
      </c>
      <c r="AL164" s="1">
        <f t="shared" si="143"/>
        <v>0.00756</v>
      </c>
      <c r="AM164" s="1">
        <f t="shared" si="144"/>
        <v>0</v>
      </c>
      <c r="AN164" s="1">
        <f t="shared" si="145"/>
        <v>0</v>
      </c>
      <c r="AQ164" s="6">
        <v>2016</v>
      </c>
      <c r="AR164" s="6" t="s">
        <v>69</v>
      </c>
      <c r="AS164" s="6">
        <v>0.09</v>
      </c>
      <c r="AT164" s="6" t="s">
        <v>568</v>
      </c>
      <c r="AU164" s="6" t="s">
        <v>594</v>
      </c>
      <c r="AV164" t="str">
        <f t="shared" si="183"/>
        <v>Tra_EV_Batt-LFP_virgin_pack</v>
      </c>
      <c r="AW164">
        <f t="shared" si="184"/>
        <v>0</v>
      </c>
      <c r="AX164">
        <f t="shared" si="185"/>
        <v>0</v>
      </c>
      <c r="AY164">
        <f t="shared" si="186"/>
        <v>0.004</v>
      </c>
      <c r="AZ164">
        <f t="shared" si="187"/>
        <v>0.01</v>
      </c>
      <c r="BA164">
        <f t="shared" si="188"/>
        <v>0.004</v>
      </c>
      <c r="BB164">
        <f t="shared" si="189"/>
        <v>0.104</v>
      </c>
      <c r="BC164">
        <f t="shared" si="190"/>
        <v>0.01</v>
      </c>
      <c r="BD164">
        <f t="shared" si="191"/>
        <v>122.238</v>
      </c>
      <c r="BE164">
        <f t="shared" si="192"/>
        <v>0</v>
      </c>
      <c r="BF164">
        <f t="shared" si="193"/>
        <v>0.01</v>
      </c>
      <c r="BG164">
        <f t="shared" si="194"/>
        <v>0.063</v>
      </c>
      <c r="BH164">
        <f t="shared" si="195"/>
        <v>0.052</v>
      </c>
      <c r="BI164">
        <f t="shared" si="196"/>
        <v>0</v>
      </c>
      <c r="BJ164">
        <f t="shared" si="197"/>
        <v>0.01</v>
      </c>
      <c r="BK164">
        <f t="shared" si="198"/>
        <v>0</v>
      </c>
      <c r="BL164">
        <f t="shared" si="199"/>
        <v>0.125</v>
      </c>
      <c r="BM164">
        <f t="shared" si="200"/>
        <v>0</v>
      </c>
      <c r="BN164">
        <f t="shared" si="201"/>
        <v>0.021</v>
      </c>
      <c r="BO164">
        <f t="shared" si="202"/>
        <v>0.01</v>
      </c>
      <c r="BP164">
        <f t="shared" si="203"/>
        <v>0.047</v>
      </c>
      <c r="BQ164">
        <f t="shared" si="204"/>
        <v>0.004</v>
      </c>
      <c r="BR164">
        <f t="shared" si="205"/>
        <v>0.147</v>
      </c>
      <c r="BS164">
        <f t="shared" si="206"/>
        <v>0.021</v>
      </c>
      <c r="BT164">
        <f t="shared" si="207"/>
        <v>0.057</v>
      </c>
      <c r="BU164">
        <f t="shared" si="208"/>
        <v>0.063</v>
      </c>
      <c r="BV164">
        <f t="shared" si="209"/>
        <v>0.02</v>
      </c>
      <c r="BW164">
        <f t="shared" si="210"/>
        <v>0</v>
      </c>
      <c r="BX164">
        <f t="shared" si="211"/>
        <v>0</v>
      </c>
      <c r="BY164">
        <f t="shared" si="212"/>
        <v>0.031</v>
      </c>
      <c r="BZ164">
        <f t="shared" si="213"/>
        <v>0.063</v>
      </c>
      <c r="CA164">
        <f t="shared" si="214"/>
        <v>0.01</v>
      </c>
      <c r="CB164">
        <f t="shared" si="215"/>
        <v>0.01</v>
      </c>
      <c r="CC164">
        <f t="shared" si="216"/>
        <v>0.084</v>
      </c>
      <c r="CD164">
        <f t="shared" si="217"/>
        <v>0</v>
      </c>
      <c r="CE164">
        <f t="shared" si="218"/>
        <v>0</v>
      </c>
      <c r="CG164" s="6">
        <v>2016</v>
      </c>
      <c r="CH164" s="6" t="s">
        <v>69</v>
      </c>
      <c r="CI164" s="6">
        <v>0.09</v>
      </c>
      <c r="CJ164" s="6">
        <v>0.15</v>
      </c>
      <c r="CK164" s="6" t="s">
        <v>595</v>
      </c>
      <c r="CL164" s="6" t="s">
        <v>596</v>
      </c>
      <c r="CM164" s="6" t="s">
        <v>597</v>
      </c>
    </row>
    <row r="165" spans="4:91">
      <c r="D165">
        <f t="shared" si="219"/>
        <v>2016</v>
      </c>
      <c r="E165" t="s">
        <v>91</v>
      </c>
      <c r="F165" s="1">
        <f t="shared" si="112"/>
        <v>0.00027</v>
      </c>
      <c r="G165" s="1">
        <f t="shared" si="113"/>
        <v>0.00027</v>
      </c>
      <c r="H165" s="1">
        <f t="shared" si="114"/>
        <v>0.00918</v>
      </c>
      <c r="I165" s="1">
        <f t="shared" si="115"/>
        <v>0.03078</v>
      </c>
      <c r="J165" s="1">
        <f t="shared" si="116"/>
        <v>0.00351</v>
      </c>
      <c r="K165" s="1">
        <f t="shared" si="117"/>
        <v>0.14076</v>
      </c>
      <c r="L165" s="1">
        <f t="shared" si="118"/>
        <v>0.00108</v>
      </c>
      <c r="M165" s="1">
        <f t="shared" si="111"/>
        <v>1.8954</v>
      </c>
      <c r="N165" s="1">
        <f t="shared" si="119"/>
        <v>0.00252</v>
      </c>
      <c r="O165" s="1">
        <f t="shared" si="120"/>
        <v>0.00396</v>
      </c>
      <c r="P165" s="1">
        <f t="shared" si="121"/>
        <v>0.2268</v>
      </c>
      <c r="Q165" s="1">
        <f t="shared" si="122"/>
        <v>0.17793</v>
      </c>
      <c r="R165" s="1">
        <f t="shared" si="123"/>
        <v>0.00054</v>
      </c>
      <c r="S165" s="1">
        <f t="shared" si="124"/>
        <v>0.00765</v>
      </c>
      <c r="T165" s="1">
        <f t="shared" si="125"/>
        <v>0.01125</v>
      </c>
      <c r="U165" s="1">
        <f t="shared" si="126"/>
        <v>0.0063</v>
      </c>
      <c r="V165" s="1">
        <f t="shared" si="127"/>
        <v>0.00738</v>
      </c>
      <c r="W165" s="1">
        <f t="shared" si="128"/>
        <v>0.02304</v>
      </c>
      <c r="X165" s="1">
        <f t="shared" si="129"/>
        <v>0.20547</v>
      </c>
      <c r="Y165" s="1">
        <f t="shared" si="130"/>
        <v>0.00405</v>
      </c>
      <c r="Z165" s="1">
        <f t="shared" si="131"/>
        <v>0.00351</v>
      </c>
      <c r="AA165" s="1">
        <f t="shared" si="132"/>
        <v>0.62379</v>
      </c>
      <c r="AB165" s="1">
        <f t="shared" si="133"/>
        <v>0.24372</v>
      </c>
      <c r="AC165" s="1">
        <f t="shared" si="134"/>
        <v>0.00477</v>
      </c>
      <c r="AD165" s="1">
        <f t="shared" si="135"/>
        <v>0.04266</v>
      </c>
      <c r="AE165" s="1">
        <f t="shared" si="136"/>
        <v>0.00504</v>
      </c>
      <c r="AF165" s="1">
        <f t="shared" si="137"/>
        <v>0.00018</v>
      </c>
      <c r="AG165" s="1">
        <f t="shared" si="138"/>
        <v>0.00081</v>
      </c>
      <c r="AH165" s="1">
        <f t="shared" si="139"/>
        <v>0.04707</v>
      </c>
      <c r="AI165" s="1">
        <f t="shared" si="140"/>
        <v>0.0801</v>
      </c>
      <c r="AJ165" s="1">
        <f t="shared" si="141"/>
        <v>0.03033</v>
      </c>
      <c r="AK165" s="1">
        <f t="shared" si="142"/>
        <v>0.00108</v>
      </c>
      <c r="AL165" s="1">
        <f t="shared" si="143"/>
        <v>0.14301</v>
      </c>
      <c r="AM165" s="1">
        <f t="shared" si="144"/>
        <v>0.01008</v>
      </c>
      <c r="AN165" s="1">
        <f t="shared" si="145"/>
        <v>0.00045</v>
      </c>
      <c r="AQ165" s="6">
        <v>2016</v>
      </c>
      <c r="AR165" s="6" t="s">
        <v>91</v>
      </c>
      <c r="AS165" s="6">
        <v>0.09</v>
      </c>
      <c r="AT165" s="6" t="s">
        <v>568</v>
      </c>
      <c r="AU165" s="6" t="s">
        <v>594</v>
      </c>
      <c r="AV165" t="str">
        <f t="shared" si="183"/>
        <v>Tra_EV_Batt-NMC622_virgin_pack</v>
      </c>
      <c r="AW165">
        <f t="shared" si="184"/>
        <v>0.003</v>
      </c>
      <c r="AX165">
        <f t="shared" si="185"/>
        <v>0.003</v>
      </c>
      <c r="AY165">
        <f t="shared" si="186"/>
        <v>0.102</v>
      </c>
      <c r="AZ165">
        <f t="shared" si="187"/>
        <v>0.342</v>
      </c>
      <c r="BA165">
        <f t="shared" si="188"/>
        <v>0.039</v>
      </c>
      <c r="BB165">
        <f t="shared" si="189"/>
        <v>1.564</v>
      </c>
      <c r="BC165">
        <f t="shared" si="190"/>
        <v>0.012</v>
      </c>
      <c r="BD165">
        <f t="shared" si="191"/>
        <v>21.06</v>
      </c>
      <c r="BE165">
        <f t="shared" si="192"/>
        <v>0.028</v>
      </c>
      <c r="BF165">
        <f t="shared" si="193"/>
        <v>0.044</v>
      </c>
      <c r="BG165">
        <f t="shared" si="194"/>
        <v>2.52</v>
      </c>
      <c r="BH165">
        <f t="shared" si="195"/>
        <v>1.977</v>
      </c>
      <c r="BI165">
        <f t="shared" si="196"/>
        <v>0.006</v>
      </c>
      <c r="BJ165">
        <f t="shared" si="197"/>
        <v>0.085</v>
      </c>
      <c r="BK165">
        <f t="shared" si="198"/>
        <v>0.125</v>
      </c>
      <c r="BL165">
        <f t="shared" si="199"/>
        <v>0.07</v>
      </c>
      <c r="BM165">
        <f t="shared" si="200"/>
        <v>0.082</v>
      </c>
      <c r="BN165">
        <f t="shared" si="201"/>
        <v>0.256</v>
      </c>
      <c r="BO165">
        <f t="shared" si="202"/>
        <v>2.283</v>
      </c>
      <c r="BP165">
        <f t="shared" si="203"/>
        <v>0.045</v>
      </c>
      <c r="BQ165">
        <f t="shared" si="204"/>
        <v>0.039</v>
      </c>
      <c r="BR165">
        <f t="shared" si="205"/>
        <v>6.931</v>
      </c>
      <c r="BS165">
        <f t="shared" si="206"/>
        <v>2.708</v>
      </c>
      <c r="BT165">
        <f t="shared" si="207"/>
        <v>0.053</v>
      </c>
      <c r="BU165">
        <f t="shared" si="208"/>
        <v>0.474</v>
      </c>
      <c r="BV165">
        <f t="shared" si="209"/>
        <v>0.056</v>
      </c>
      <c r="BW165">
        <f t="shared" si="210"/>
        <v>0.002</v>
      </c>
      <c r="BX165">
        <f t="shared" si="211"/>
        <v>0.009</v>
      </c>
      <c r="BY165">
        <f t="shared" si="212"/>
        <v>0.523</v>
      </c>
      <c r="BZ165">
        <f t="shared" si="213"/>
        <v>0.89</v>
      </c>
      <c r="CA165">
        <f t="shared" si="214"/>
        <v>0.337</v>
      </c>
      <c r="CB165">
        <f t="shared" si="215"/>
        <v>0.012</v>
      </c>
      <c r="CC165">
        <f t="shared" si="216"/>
        <v>1.589</v>
      </c>
      <c r="CD165">
        <f t="shared" si="217"/>
        <v>0.112</v>
      </c>
      <c r="CE165">
        <f t="shared" si="218"/>
        <v>0.005</v>
      </c>
      <c r="CG165" s="6">
        <v>2016</v>
      </c>
      <c r="CH165" s="6" t="s">
        <v>91</v>
      </c>
      <c r="CI165" s="6">
        <v>0.09</v>
      </c>
      <c r="CJ165" s="6">
        <v>0.15</v>
      </c>
      <c r="CK165" s="6" t="s">
        <v>595</v>
      </c>
      <c r="CL165" s="6" t="s">
        <v>596</v>
      </c>
      <c r="CM165" s="6" t="s">
        <v>597</v>
      </c>
    </row>
    <row r="166" spans="4:91">
      <c r="D166">
        <f t="shared" si="219"/>
        <v>2016</v>
      </c>
      <c r="E166" t="s">
        <v>95</v>
      </c>
      <c r="F166" s="1">
        <f t="shared" si="112"/>
        <v>0.00027</v>
      </c>
      <c r="G166" s="1">
        <f t="shared" si="113"/>
        <v>0.00027</v>
      </c>
      <c r="H166" s="1">
        <f t="shared" si="114"/>
        <v>0.00765</v>
      </c>
      <c r="I166" s="1">
        <f t="shared" si="115"/>
        <v>0.02511</v>
      </c>
      <c r="J166" s="1">
        <f t="shared" si="116"/>
        <v>0.00297</v>
      </c>
      <c r="K166" s="1">
        <f t="shared" si="117"/>
        <v>0.11583</v>
      </c>
      <c r="L166" s="1">
        <f t="shared" si="118"/>
        <v>0.0009</v>
      </c>
      <c r="M166" s="1">
        <f t="shared" si="111"/>
        <v>4.10301</v>
      </c>
      <c r="N166" s="1">
        <f t="shared" si="119"/>
        <v>0.00216</v>
      </c>
      <c r="O166" s="1">
        <f t="shared" si="120"/>
        <v>0.00315</v>
      </c>
      <c r="P166" s="1">
        <f t="shared" si="121"/>
        <v>0.17199</v>
      </c>
      <c r="Q166" s="1">
        <f t="shared" si="122"/>
        <v>0.14157</v>
      </c>
      <c r="R166" s="1">
        <f t="shared" si="123"/>
        <v>0.00045</v>
      </c>
      <c r="S166" s="1">
        <f t="shared" si="124"/>
        <v>0.00621</v>
      </c>
      <c r="T166" s="1">
        <f t="shared" si="125"/>
        <v>0.00936</v>
      </c>
      <c r="U166" s="1">
        <f t="shared" si="126"/>
        <v>0.00063</v>
      </c>
      <c r="V166" s="1">
        <f t="shared" si="127"/>
        <v>0.00603</v>
      </c>
      <c r="W166" s="1">
        <f t="shared" si="128"/>
        <v>0.01827</v>
      </c>
      <c r="X166" s="1">
        <f t="shared" si="129"/>
        <v>0.03798</v>
      </c>
      <c r="Y166" s="1">
        <f t="shared" si="130"/>
        <v>0.00351</v>
      </c>
      <c r="Z166" s="1">
        <f t="shared" si="131"/>
        <v>0.00297</v>
      </c>
      <c r="AA166" s="1">
        <f t="shared" si="132"/>
        <v>0.43668</v>
      </c>
      <c r="AB166" s="1">
        <f t="shared" si="133"/>
        <v>0.14589</v>
      </c>
      <c r="AC166" s="1">
        <f t="shared" si="134"/>
        <v>0.00414</v>
      </c>
      <c r="AD166" s="1">
        <f t="shared" si="135"/>
        <v>0.13878</v>
      </c>
      <c r="AE166" s="1">
        <f t="shared" si="136"/>
        <v>0.00432</v>
      </c>
      <c r="AF166" s="1">
        <f t="shared" si="137"/>
        <v>9e-5</v>
      </c>
      <c r="AG166" s="1">
        <f t="shared" si="138"/>
        <v>0.00063</v>
      </c>
      <c r="AH166" s="1">
        <f t="shared" si="139"/>
        <v>0.03816</v>
      </c>
      <c r="AI166" s="1">
        <f t="shared" si="140"/>
        <v>0.06507</v>
      </c>
      <c r="AJ166" s="1">
        <f t="shared" si="141"/>
        <v>0.02475</v>
      </c>
      <c r="AK166" s="1">
        <f t="shared" si="142"/>
        <v>0.00099</v>
      </c>
      <c r="AL166" s="1">
        <f t="shared" si="143"/>
        <v>0.11637</v>
      </c>
      <c r="AM166" s="1">
        <f t="shared" si="144"/>
        <v>0.00171</v>
      </c>
      <c r="AN166" s="1">
        <f t="shared" si="145"/>
        <v>0.00036</v>
      </c>
      <c r="AQ166" s="6">
        <v>2016</v>
      </c>
      <c r="AR166" s="6" t="s">
        <v>95</v>
      </c>
      <c r="AS166" s="6">
        <v>0.09</v>
      </c>
      <c r="AT166" s="6" t="s">
        <v>568</v>
      </c>
      <c r="AU166" s="6" t="s">
        <v>594</v>
      </c>
      <c r="AV166" t="str">
        <f t="shared" si="183"/>
        <v>Tra_EV_Batt-NMC811_virgin_pack</v>
      </c>
      <c r="AW166">
        <f t="shared" si="184"/>
        <v>0.003</v>
      </c>
      <c r="AX166">
        <f t="shared" si="185"/>
        <v>0.003</v>
      </c>
      <c r="AY166">
        <f t="shared" si="186"/>
        <v>0.085</v>
      </c>
      <c r="AZ166">
        <f t="shared" si="187"/>
        <v>0.279</v>
      </c>
      <c r="BA166">
        <f t="shared" si="188"/>
        <v>0.033</v>
      </c>
      <c r="BB166">
        <f t="shared" si="189"/>
        <v>1.287</v>
      </c>
      <c r="BC166">
        <f t="shared" si="190"/>
        <v>0.01</v>
      </c>
      <c r="BD166">
        <f t="shared" si="191"/>
        <v>45.589</v>
      </c>
      <c r="BE166">
        <f t="shared" si="192"/>
        <v>0.024</v>
      </c>
      <c r="BF166">
        <f t="shared" si="193"/>
        <v>0.035</v>
      </c>
      <c r="BG166">
        <f t="shared" si="194"/>
        <v>1.911</v>
      </c>
      <c r="BH166">
        <f t="shared" si="195"/>
        <v>1.573</v>
      </c>
      <c r="BI166">
        <f t="shared" si="196"/>
        <v>0.005</v>
      </c>
      <c r="BJ166">
        <f t="shared" si="197"/>
        <v>0.069</v>
      </c>
      <c r="BK166">
        <f t="shared" si="198"/>
        <v>0.104</v>
      </c>
      <c r="BL166">
        <f t="shared" si="199"/>
        <v>0.007</v>
      </c>
      <c r="BM166">
        <f t="shared" si="200"/>
        <v>0.067</v>
      </c>
      <c r="BN166">
        <f t="shared" si="201"/>
        <v>0.203</v>
      </c>
      <c r="BO166">
        <f t="shared" si="202"/>
        <v>0.422</v>
      </c>
      <c r="BP166">
        <f t="shared" si="203"/>
        <v>0.039</v>
      </c>
      <c r="BQ166">
        <f t="shared" si="204"/>
        <v>0.033</v>
      </c>
      <c r="BR166">
        <f t="shared" si="205"/>
        <v>4.852</v>
      </c>
      <c r="BS166">
        <f t="shared" si="206"/>
        <v>1.621</v>
      </c>
      <c r="BT166">
        <f t="shared" si="207"/>
        <v>0.046</v>
      </c>
      <c r="BU166">
        <f t="shared" si="208"/>
        <v>1.542</v>
      </c>
      <c r="BV166">
        <f t="shared" si="209"/>
        <v>0.048</v>
      </c>
      <c r="BW166">
        <f t="shared" si="210"/>
        <v>0.001</v>
      </c>
      <c r="BX166">
        <f t="shared" si="211"/>
        <v>0.007</v>
      </c>
      <c r="BY166">
        <f t="shared" si="212"/>
        <v>0.424</v>
      </c>
      <c r="BZ166">
        <f t="shared" si="213"/>
        <v>0.723</v>
      </c>
      <c r="CA166">
        <f t="shared" si="214"/>
        <v>0.275</v>
      </c>
      <c r="CB166">
        <f t="shared" si="215"/>
        <v>0.011</v>
      </c>
      <c r="CC166">
        <f t="shared" si="216"/>
        <v>1.293</v>
      </c>
      <c r="CD166">
        <f t="shared" si="217"/>
        <v>0.019</v>
      </c>
      <c r="CE166">
        <f t="shared" si="218"/>
        <v>0.004</v>
      </c>
      <c r="CG166" s="6">
        <v>2016</v>
      </c>
      <c r="CH166" s="6" t="s">
        <v>95</v>
      </c>
      <c r="CI166" s="6">
        <v>0.09</v>
      </c>
      <c r="CJ166" s="6">
        <v>0.15</v>
      </c>
      <c r="CK166" s="6" t="s">
        <v>595</v>
      </c>
      <c r="CL166" s="6" t="s">
        <v>596</v>
      </c>
      <c r="CM166" s="6" t="s">
        <v>597</v>
      </c>
    </row>
    <row r="167" spans="4:91">
      <c r="D167">
        <f t="shared" si="219"/>
        <v>2016</v>
      </c>
      <c r="E167" t="s">
        <v>87</v>
      </c>
      <c r="F167" s="1">
        <f t="shared" si="112"/>
        <v>9e-5</v>
      </c>
      <c r="G167" s="1">
        <f t="shared" si="113"/>
        <v>9e-5</v>
      </c>
      <c r="H167" s="1">
        <f t="shared" si="114"/>
        <v>0.00153</v>
      </c>
      <c r="I167" s="1">
        <f t="shared" si="115"/>
        <v>0.00477</v>
      </c>
      <c r="J167" s="1">
        <f t="shared" si="116"/>
        <v>0.00054</v>
      </c>
      <c r="K167" s="1">
        <f t="shared" si="117"/>
        <v>0.02196</v>
      </c>
      <c r="L167" s="1">
        <f t="shared" si="118"/>
        <v>9e-5</v>
      </c>
      <c r="M167" s="1">
        <f t="shared" si="111"/>
        <v>0.84519</v>
      </c>
      <c r="N167" s="1">
        <f t="shared" si="119"/>
        <v>0.00045</v>
      </c>
      <c r="O167" s="1">
        <f t="shared" si="120"/>
        <v>0.00054</v>
      </c>
      <c r="P167" s="1">
        <f t="shared" si="121"/>
        <v>0.0288</v>
      </c>
      <c r="Q167" s="1">
        <f t="shared" si="122"/>
        <v>0.02592</v>
      </c>
      <c r="R167" s="1">
        <f t="shared" si="123"/>
        <v>9e-5</v>
      </c>
      <c r="S167" s="1">
        <f t="shared" si="124"/>
        <v>0.00108</v>
      </c>
      <c r="T167" s="1">
        <f t="shared" si="125"/>
        <v>0.00189</v>
      </c>
      <c r="U167" s="1">
        <f t="shared" si="126"/>
        <v>0</v>
      </c>
      <c r="V167" s="1">
        <f t="shared" si="127"/>
        <v>0.00117</v>
      </c>
      <c r="W167" s="1">
        <f t="shared" si="128"/>
        <v>0.00324</v>
      </c>
      <c r="X167" s="1">
        <f t="shared" si="129"/>
        <v>0</v>
      </c>
      <c r="Y167" s="1">
        <f t="shared" si="130"/>
        <v>0.00036</v>
      </c>
      <c r="Z167" s="1">
        <f t="shared" si="131"/>
        <v>0.00054</v>
      </c>
      <c r="AA167" s="1">
        <f t="shared" si="132"/>
        <v>0.42894</v>
      </c>
      <c r="AB167" s="1">
        <f t="shared" si="133"/>
        <v>0.04743</v>
      </c>
      <c r="AC167" s="1">
        <f t="shared" si="134"/>
        <v>0.00045</v>
      </c>
      <c r="AD167" s="1">
        <f t="shared" si="135"/>
        <v>0.09711</v>
      </c>
      <c r="AE167" s="1">
        <f t="shared" si="136"/>
        <v>0.00072</v>
      </c>
      <c r="AF167" s="1">
        <f t="shared" si="137"/>
        <v>0</v>
      </c>
      <c r="AG167" s="1">
        <f t="shared" si="138"/>
        <v>9e-5</v>
      </c>
      <c r="AH167" s="1">
        <f t="shared" si="139"/>
        <v>0.00711</v>
      </c>
      <c r="AI167" s="1">
        <f t="shared" si="140"/>
        <v>0.01206</v>
      </c>
      <c r="AJ167" s="1">
        <f t="shared" si="141"/>
        <v>0.00468</v>
      </c>
      <c r="AK167" s="1">
        <f t="shared" si="142"/>
        <v>0.00018</v>
      </c>
      <c r="AL167" s="1">
        <f t="shared" si="143"/>
        <v>0.02187</v>
      </c>
      <c r="AM167" s="1">
        <f t="shared" si="144"/>
        <v>0</v>
      </c>
      <c r="AN167" s="1">
        <f t="shared" si="145"/>
        <v>9e-5</v>
      </c>
      <c r="AQ167" s="6">
        <v>2016</v>
      </c>
      <c r="AR167" s="6" t="s">
        <v>87</v>
      </c>
      <c r="AS167" s="6">
        <v>0.09</v>
      </c>
      <c r="AT167" s="6" t="s">
        <v>568</v>
      </c>
      <c r="AU167" s="6" t="s">
        <v>594</v>
      </c>
      <c r="AV167" t="str">
        <f t="shared" si="183"/>
        <v> Tra_EV_Batt-NMC532_virgin_pack</v>
      </c>
      <c r="AW167">
        <f t="shared" si="184"/>
        <v>0.001</v>
      </c>
      <c r="AX167">
        <f t="shared" si="185"/>
        <v>0.001</v>
      </c>
      <c r="AY167">
        <f t="shared" si="186"/>
        <v>0.017</v>
      </c>
      <c r="AZ167">
        <f t="shared" si="187"/>
        <v>0.053</v>
      </c>
      <c r="BA167">
        <f t="shared" si="188"/>
        <v>0.006</v>
      </c>
      <c r="BB167">
        <f t="shared" si="189"/>
        <v>0.244</v>
      </c>
      <c r="BC167">
        <f t="shared" si="190"/>
        <v>0.001</v>
      </c>
      <c r="BD167">
        <f t="shared" si="191"/>
        <v>9.391</v>
      </c>
      <c r="BE167">
        <f t="shared" si="192"/>
        <v>0.005</v>
      </c>
      <c r="BF167">
        <f t="shared" si="193"/>
        <v>0.006</v>
      </c>
      <c r="BG167">
        <f t="shared" si="194"/>
        <v>0.32</v>
      </c>
      <c r="BH167">
        <f t="shared" si="195"/>
        <v>0.288</v>
      </c>
      <c r="BI167">
        <f t="shared" si="196"/>
        <v>0.001</v>
      </c>
      <c r="BJ167">
        <f t="shared" si="197"/>
        <v>0.012</v>
      </c>
      <c r="BK167">
        <f t="shared" si="198"/>
        <v>0.021</v>
      </c>
      <c r="BL167">
        <f t="shared" si="199"/>
        <v>0</v>
      </c>
      <c r="BM167">
        <f t="shared" si="200"/>
        <v>0.013</v>
      </c>
      <c r="BN167">
        <f t="shared" si="201"/>
        <v>0.036</v>
      </c>
      <c r="BO167">
        <f t="shared" si="202"/>
        <v>0</v>
      </c>
      <c r="BP167">
        <f t="shared" si="203"/>
        <v>0.004</v>
      </c>
      <c r="BQ167">
        <f t="shared" si="204"/>
        <v>0.006</v>
      </c>
      <c r="BR167">
        <f t="shared" si="205"/>
        <v>4.766</v>
      </c>
      <c r="BS167">
        <f t="shared" si="206"/>
        <v>0.527</v>
      </c>
      <c r="BT167">
        <f t="shared" si="207"/>
        <v>0.005</v>
      </c>
      <c r="BU167">
        <f t="shared" si="208"/>
        <v>1.079</v>
      </c>
      <c r="BV167">
        <f t="shared" si="209"/>
        <v>0.008</v>
      </c>
      <c r="BW167">
        <f t="shared" si="210"/>
        <v>0</v>
      </c>
      <c r="BX167">
        <f t="shared" si="211"/>
        <v>0.001</v>
      </c>
      <c r="BY167">
        <f t="shared" si="212"/>
        <v>0.079</v>
      </c>
      <c r="BZ167">
        <f t="shared" si="213"/>
        <v>0.134</v>
      </c>
      <c r="CA167">
        <f t="shared" si="214"/>
        <v>0.052</v>
      </c>
      <c r="CB167">
        <f t="shared" si="215"/>
        <v>0.002</v>
      </c>
      <c r="CC167">
        <f t="shared" si="216"/>
        <v>0.243</v>
      </c>
      <c r="CD167">
        <f t="shared" si="217"/>
        <v>0</v>
      </c>
      <c r="CE167">
        <f t="shared" si="218"/>
        <v>0.001</v>
      </c>
      <c r="CG167" s="6">
        <v>2016</v>
      </c>
      <c r="CH167" s="6" t="s">
        <v>87</v>
      </c>
      <c r="CI167" s="6">
        <v>0.09</v>
      </c>
      <c r="CJ167" s="6">
        <v>0.15</v>
      </c>
      <c r="CK167" s="6" t="s">
        <v>595</v>
      </c>
      <c r="CL167" s="6" t="s">
        <v>596</v>
      </c>
      <c r="CM167" s="6" t="s">
        <v>597</v>
      </c>
    </row>
    <row r="168" spans="4:91">
      <c r="D168">
        <f t="shared" si="219"/>
        <v>2016</v>
      </c>
      <c r="E168" t="s">
        <v>78</v>
      </c>
      <c r="F168" s="1">
        <f t="shared" si="112"/>
        <v>0</v>
      </c>
      <c r="G168" s="1">
        <f t="shared" si="113"/>
        <v>0</v>
      </c>
      <c r="H168" s="1">
        <f t="shared" si="114"/>
        <v>0</v>
      </c>
      <c r="I168" s="1">
        <f t="shared" si="115"/>
        <v>0</v>
      </c>
      <c r="J168" s="1">
        <f t="shared" si="116"/>
        <v>0</v>
      </c>
      <c r="K168" s="1">
        <f t="shared" si="117"/>
        <v>0</v>
      </c>
      <c r="L168" s="1">
        <f t="shared" si="118"/>
        <v>0</v>
      </c>
      <c r="M168" s="1">
        <f t="shared" si="111"/>
        <v>0.15309</v>
      </c>
      <c r="N168" s="1">
        <f t="shared" si="119"/>
        <v>0</v>
      </c>
      <c r="O168" s="1">
        <f t="shared" si="120"/>
        <v>0</v>
      </c>
      <c r="P168" s="1">
        <f t="shared" si="121"/>
        <v>0</v>
      </c>
      <c r="Q168" s="1">
        <f t="shared" si="122"/>
        <v>0</v>
      </c>
      <c r="R168" s="1">
        <f t="shared" si="123"/>
        <v>0</v>
      </c>
      <c r="S168" s="1">
        <f t="shared" si="124"/>
        <v>0</v>
      </c>
      <c r="T168" s="1">
        <f t="shared" si="125"/>
        <v>0</v>
      </c>
      <c r="U168" s="1">
        <f t="shared" si="126"/>
        <v>0</v>
      </c>
      <c r="V168" s="1">
        <f t="shared" si="127"/>
        <v>0</v>
      </c>
      <c r="W168" s="1">
        <f t="shared" si="128"/>
        <v>0</v>
      </c>
      <c r="X168" s="1">
        <f t="shared" si="129"/>
        <v>0</v>
      </c>
      <c r="Y168" s="1">
        <f t="shared" si="130"/>
        <v>0</v>
      </c>
      <c r="Z168" s="1">
        <f t="shared" si="131"/>
        <v>0</v>
      </c>
      <c r="AA168" s="1">
        <f t="shared" si="132"/>
        <v>0</v>
      </c>
      <c r="AB168" s="1">
        <f t="shared" si="133"/>
        <v>0</v>
      </c>
      <c r="AC168" s="1">
        <f t="shared" si="134"/>
        <v>0</v>
      </c>
      <c r="AD168" s="1">
        <f t="shared" si="135"/>
        <v>0</v>
      </c>
      <c r="AE168" s="1">
        <f t="shared" si="136"/>
        <v>0</v>
      </c>
      <c r="AF168" s="1">
        <f t="shared" si="137"/>
        <v>0</v>
      </c>
      <c r="AG168" s="1">
        <f t="shared" si="138"/>
        <v>0</v>
      </c>
      <c r="AH168" s="1">
        <f t="shared" si="139"/>
        <v>0</v>
      </c>
      <c r="AI168" s="1">
        <f t="shared" si="140"/>
        <v>0</v>
      </c>
      <c r="AJ168" s="1">
        <f t="shared" si="141"/>
        <v>0</v>
      </c>
      <c r="AK168" s="1">
        <f t="shared" si="142"/>
        <v>0</v>
      </c>
      <c r="AL168" s="1">
        <f t="shared" si="143"/>
        <v>0</v>
      </c>
      <c r="AM168" s="1">
        <f t="shared" si="144"/>
        <v>0</v>
      </c>
      <c r="AN168" s="1">
        <f t="shared" si="145"/>
        <v>0</v>
      </c>
      <c r="AQ168" s="6">
        <v>2016</v>
      </c>
      <c r="AR168" s="6" t="s">
        <v>78</v>
      </c>
      <c r="AS168" s="6">
        <v>0.09</v>
      </c>
      <c r="AT168" s="6" t="s">
        <v>568</v>
      </c>
      <c r="AU168" s="6" t="s">
        <v>594</v>
      </c>
      <c r="AV168" t="str">
        <f t="shared" si="183"/>
        <v>Tra_EV_Batt-NCA_virgin_pack</v>
      </c>
      <c r="AW168">
        <f t="shared" si="184"/>
        <v>0</v>
      </c>
      <c r="AX168">
        <f t="shared" si="185"/>
        <v>0</v>
      </c>
      <c r="AY168">
        <f t="shared" si="186"/>
        <v>0</v>
      </c>
      <c r="AZ168">
        <f t="shared" si="187"/>
        <v>0</v>
      </c>
      <c r="BA168">
        <f t="shared" si="188"/>
        <v>0</v>
      </c>
      <c r="BB168">
        <f t="shared" si="189"/>
        <v>0</v>
      </c>
      <c r="BC168">
        <f t="shared" si="190"/>
        <v>0</v>
      </c>
      <c r="BD168">
        <f t="shared" si="191"/>
        <v>1.701</v>
      </c>
      <c r="BE168">
        <f t="shared" si="192"/>
        <v>0</v>
      </c>
      <c r="BF168">
        <f t="shared" si="193"/>
        <v>0</v>
      </c>
      <c r="BG168">
        <f t="shared" si="194"/>
        <v>0</v>
      </c>
      <c r="BH168">
        <f t="shared" si="195"/>
        <v>0</v>
      </c>
      <c r="BI168">
        <f t="shared" si="196"/>
        <v>0</v>
      </c>
      <c r="BJ168">
        <f t="shared" si="197"/>
        <v>0</v>
      </c>
      <c r="BK168">
        <f t="shared" si="198"/>
        <v>0</v>
      </c>
      <c r="BL168">
        <f t="shared" si="199"/>
        <v>0</v>
      </c>
      <c r="BM168">
        <f t="shared" si="200"/>
        <v>0</v>
      </c>
      <c r="BN168">
        <f t="shared" si="201"/>
        <v>0</v>
      </c>
      <c r="BO168">
        <f t="shared" si="202"/>
        <v>0</v>
      </c>
      <c r="BP168">
        <f t="shared" si="203"/>
        <v>0</v>
      </c>
      <c r="BQ168">
        <f t="shared" si="204"/>
        <v>0</v>
      </c>
      <c r="BR168">
        <f t="shared" si="205"/>
        <v>0</v>
      </c>
      <c r="BS168">
        <f t="shared" si="206"/>
        <v>0</v>
      </c>
      <c r="BT168">
        <f t="shared" si="207"/>
        <v>0</v>
      </c>
      <c r="BU168">
        <f t="shared" si="208"/>
        <v>0</v>
      </c>
      <c r="BV168">
        <f t="shared" si="209"/>
        <v>0</v>
      </c>
      <c r="BW168">
        <f t="shared" si="210"/>
        <v>0</v>
      </c>
      <c r="BX168">
        <f t="shared" si="211"/>
        <v>0</v>
      </c>
      <c r="BY168">
        <f t="shared" si="212"/>
        <v>0</v>
      </c>
      <c r="BZ168">
        <f t="shared" si="213"/>
        <v>0</v>
      </c>
      <c r="CA168">
        <f t="shared" si="214"/>
        <v>0</v>
      </c>
      <c r="CB168">
        <f t="shared" si="215"/>
        <v>0</v>
      </c>
      <c r="CC168">
        <f t="shared" si="216"/>
        <v>0</v>
      </c>
      <c r="CD168">
        <f t="shared" si="217"/>
        <v>0</v>
      </c>
      <c r="CE168">
        <f t="shared" si="218"/>
        <v>0</v>
      </c>
      <c r="CG168" s="6">
        <v>2016</v>
      </c>
      <c r="CH168" s="6" t="s">
        <v>78</v>
      </c>
      <c r="CI168" s="6">
        <v>0.09</v>
      </c>
      <c r="CJ168" s="6">
        <v>0.15</v>
      </c>
      <c r="CK168" s="6" t="s">
        <v>595</v>
      </c>
      <c r="CL168" s="6" t="s">
        <v>596</v>
      </c>
      <c r="CM168" s="6" t="s">
        <v>597</v>
      </c>
    </row>
    <row r="169" spans="4:91">
      <c r="D169">
        <f t="shared" si="219"/>
        <v>2016</v>
      </c>
      <c r="E169" t="s">
        <v>74</v>
      </c>
      <c r="F169" s="1">
        <f t="shared" si="112"/>
        <v>0.00018</v>
      </c>
      <c r="G169" s="1">
        <f t="shared" si="113"/>
        <v>0.00018</v>
      </c>
      <c r="H169" s="1">
        <f t="shared" si="114"/>
        <v>0.00603</v>
      </c>
      <c r="I169" s="1">
        <f t="shared" si="115"/>
        <v>0.01908</v>
      </c>
      <c r="J169" s="1">
        <f t="shared" si="116"/>
        <v>0.00225</v>
      </c>
      <c r="K169" s="1">
        <f t="shared" si="117"/>
        <v>0.08784</v>
      </c>
      <c r="L169" s="1">
        <f t="shared" si="118"/>
        <v>0.00054</v>
      </c>
      <c r="M169" s="1">
        <f t="shared" si="111"/>
        <v>0.22959</v>
      </c>
      <c r="N169" s="1">
        <f t="shared" si="119"/>
        <v>0.00171</v>
      </c>
      <c r="O169" s="1">
        <f t="shared" si="120"/>
        <v>0.00198</v>
      </c>
      <c r="P169" s="1">
        <f t="shared" si="121"/>
        <v>0.11538</v>
      </c>
      <c r="Q169" s="1">
        <f t="shared" si="122"/>
        <v>0.10359</v>
      </c>
      <c r="R169" s="1">
        <f t="shared" si="123"/>
        <v>0.00036</v>
      </c>
      <c r="S169" s="1">
        <f t="shared" si="124"/>
        <v>0.0045</v>
      </c>
      <c r="T169" s="1">
        <f t="shared" si="125"/>
        <v>0.00756</v>
      </c>
      <c r="U169" s="1">
        <f t="shared" si="126"/>
        <v>0</v>
      </c>
      <c r="V169" s="1">
        <f t="shared" si="127"/>
        <v>0.00468</v>
      </c>
      <c r="W169" s="1">
        <f t="shared" si="128"/>
        <v>0.01287</v>
      </c>
      <c r="X169" s="1">
        <f t="shared" si="129"/>
        <v>0.06498</v>
      </c>
      <c r="Y169" s="1">
        <f t="shared" si="130"/>
        <v>0.00153</v>
      </c>
      <c r="Z169" s="1">
        <f t="shared" si="131"/>
        <v>0.00225</v>
      </c>
      <c r="AA169" s="1">
        <f t="shared" si="132"/>
        <v>3.98331</v>
      </c>
      <c r="AB169" s="1">
        <f t="shared" si="133"/>
        <v>0.33192</v>
      </c>
      <c r="AC169" s="1">
        <f t="shared" si="134"/>
        <v>0.00171</v>
      </c>
      <c r="AD169" s="1">
        <f t="shared" si="135"/>
        <v>0.09711</v>
      </c>
      <c r="AE169" s="1">
        <f t="shared" si="136"/>
        <v>0.00297</v>
      </c>
      <c r="AF169" s="1">
        <f t="shared" si="137"/>
        <v>9e-5</v>
      </c>
      <c r="AG169" s="1">
        <f t="shared" si="138"/>
        <v>0.00054</v>
      </c>
      <c r="AH169" s="1">
        <f t="shared" si="139"/>
        <v>0.02835</v>
      </c>
      <c r="AI169" s="1">
        <f t="shared" si="140"/>
        <v>0.04815</v>
      </c>
      <c r="AJ169" s="1">
        <f t="shared" si="141"/>
        <v>0.01872</v>
      </c>
      <c r="AK169" s="1">
        <f t="shared" si="142"/>
        <v>0.00054</v>
      </c>
      <c r="AL169" s="1">
        <f t="shared" si="143"/>
        <v>0.0873</v>
      </c>
      <c r="AM169" s="1">
        <f t="shared" si="144"/>
        <v>0.00333</v>
      </c>
      <c r="AN169" s="1">
        <f t="shared" si="145"/>
        <v>0.00027</v>
      </c>
      <c r="AQ169" s="6">
        <v>2016</v>
      </c>
      <c r="AR169" s="6" t="s">
        <v>74</v>
      </c>
      <c r="AS169" s="6">
        <v>0.09</v>
      </c>
      <c r="AT169" s="6" t="s">
        <v>568</v>
      </c>
      <c r="AU169" s="6" t="s">
        <v>594</v>
      </c>
      <c r="AV169" t="str">
        <f t="shared" si="183"/>
        <v> Tra_EV_Batt-LMO_virgin_pack</v>
      </c>
      <c r="AW169">
        <f t="shared" si="184"/>
        <v>0.002</v>
      </c>
      <c r="AX169">
        <f t="shared" si="185"/>
        <v>0.002</v>
      </c>
      <c r="AY169">
        <f t="shared" si="186"/>
        <v>0.067</v>
      </c>
      <c r="AZ169">
        <f t="shared" si="187"/>
        <v>0.212</v>
      </c>
      <c r="BA169">
        <f t="shared" si="188"/>
        <v>0.025</v>
      </c>
      <c r="BB169">
        <f t="shared" si="189"/>
        <v>0.976</v>
      </c>
      <c r="BC169">
        <f t="shared" si="190"/>
        <v>0.006</v>
      </c>
      <c r="BD169">
        <f t="shared" si="191"/>
        <v>2.551</v>
      </c>
      <c r="BE169">
        <f t="shared" si="192"/>
        <v>0.019</v>
      </c>
      <c r="BF169">
        <f t="shared" si="193"/>
        <v>0.022</v>
      </c>
      <c r="BG169">
        <f t="shared" si="194"/>
        <v>1.282</v>
      </c>
      <c r="BH169">
        <f t="shared" si="195"/>
        <v>1.151</v>
      </c>
      <c r="BI169">
        <f t="shared" si="196"/>
        <v>0.004</v>
      </c>
      <c r="BJ169">
        <f t="shared" si="197"/>
        <v>0.05</v>
      </c>
      <c r="BK169">
        <f t="shared" si="198"/>
        <v>0.084</v>
      </c>
      <c r="BL169">
        <f t="shared" si="199"/>
        <v>0</v>
      </c>
      <c r="BM169">
        <f t="shared" si="200"/>
        <v>0.052</v>
      </c>
      <c r="BN169">
        <f t="shared" si="201"/>
        <v>0.143</v>
      </c>
      <c r="BO169">
        <f t="shared" si="202"/>
        <v>0.722</v>
      </c>
      <c r="BP169">
        <f t="shared" si="203"/>
        <v>0.017</v>
      </c>
      <c r="BQ169">
        <f t="shared" si="204"/>
        <v>0.025</v>
      </c>
      <c r="BR169">
        <f t="shared" si="205"/>
        <v>44.259</v>
      </c>
      <c r="BS169">
        <f t="shared" si="206"/>
        <v>3.688</v>
      </c>
      <c r="BT169">
        <f t="shared" si="207"/>
        <v>0.019</v>
      </c>
      <c r="BU169">
        <f t="shared" si="208"/>
        <v>1.079</v>
      </c>
      <c r="BV169">
        <f t="shared" si="209"/>
        <v>0.033</v>
      </c>
      <c r="BW169">
        <f t="shared" si="210"/>
        <v>0.001</v>
      </c>
      <c r="BX169">
        <f t="shared" si="211"/>
        <v>0.006</v>
      </c>
      <c r="BY169">
        <f t="shared" si="212"/>
        <v>0.315</v>
      </c>
      <c r="BZ169">
        <f t="shared" si="213"/>
        <v>0.535</v>
      </c>
      <c r="CA169">
        <f t="shared" si="214"/>
        <v>0.208</v>
      </c>
      <c r="CB169">
        <f t="shared" si="215"/>
        <v>0.006</v>
      </c>
      <c r="CC169">
        <f t="shared" si="216"/>
        <v>0.97</v>
      </c>
      <c r="CD169">
        <f t="shared" si="217"/>
        <v>0.037</v>
      </c>
      <c r="CE169">
        <f t="shared" si="218"/>
        <v>0.003</v>
      </c>
      <c r="CG169" s="6">
        <v>2016</v>
      </c>
      <c r="CH169" s="6" t="s">
        <v>74</v>
      </c>
      <c r="CI169" s="6">
        <v>0.09</v>
      </c>
      <c r="CJ169" s="6">
        <v>0.15</v>
      </c>
      <c r="CK169" s="6" t="s">
        <v>595</v>
      </c>
      <c r="CL169" s="6" t="s">
        <v>596</v>
      </c>
      <c r="CM169" s="6" t="s">
        <v>597</v>
      </c>
    </row>
    <row r="170" spans="4:91">
      <c r="D170">
        <f t="shared" si="219"/>
        <v>2016</v>
      </c>
      <c r="E170" t="s">
        <v>82</v>
      </c>
      <c r="F170" s="1">
        <f t="shared" si="112"/>
        <v>0.00018</v>
      </c>
      <c r="G170" s="1">
        <f t="shared" si="113"/>
        <v>0.00018</v>
      </c>
      <c r="H170" s="1">
        <f t="shared" si="114"/>
        <v>0.00603</v>
      </c>
      <c r="I170" s="1">
        <f t="shared" si="115"/>
        <v>0.02097</v>
      </c>
      <c r="J170" s="1">
        <f t="shared" si="116"/>
        <v>0.00225</v>
      </c>
      <c r="K170" s="1">
        <f t="shared" si="117"/>
        <v>0.09369</v>
      </c>
      <c r="L170" s="1">
        <f t="shared" si="118"/>
        <v>0.00054</v>
      </c>
      <c r="M170" s="1">
        <f t="shared" si="111"/>
        <v>0.15309</v>
      </c>
      <c r="N170" s="1">
        <f t="shared" si="119"/>
        <v>0.00171</v>
      </c>
      <c r="O170" s="1">
        <f t="shared" si="120"/>
        <v>0.00261</v>
      </c>
      <c r="P170" s="1">
        <f t="shared" si="121"/>
        <v>0.16731</v>
      </c>
      <c r="Q170" s="1">
        <f t="shared" si="122"/>
        <v>0.12456</v>
      </c>
      <c r="R170" s="1">
        <f t="shared" si="123"/>
        <v>0.00036</v>
      </c>
      <c r="S170" s="1">
        <f t="shared" si="124"/>
        <v>0.00513</v>
      </c>
      <c r="T170" s="1">
        <f t="shared" si="125"/>
        <v>0.00756</v>
      </c>
      <c r="U170" s="1">
        <f t="shared" si="126"/>
        <v>0.00378</v>
      </c>
      <c r="V170" s="1">
        <f t="shared" si="127"/>
        <v>0.00504</v>
      </c>
      <c r="W170" s="1">
        <f t="shared" si="128"/>
        <v>0.01602</v>
      </c>
      <c r="X170" s="1">
        <f t="shared" si="129"/>
        <v>0.36756</v>
      </c>
      <c r="Y170" s="1">
        <f t="shared" si="130"/>
        <v>0.00189</v>
      </c>
      <c r="Z170" s="1">
        <f t="shared" si="131"/>
        <v>0.00225</v>
      </c>
      <c r="AA170" s="1">
        <f t="shared" si="132"/>
        <v>0.68067</v>
      </c>
      <c r="AB170" s="1">
        <f t="shared" si="133"/>
        <v>0.19575</v>
      </c>
      <c r="AC170" s="1">
        <f t="shared" si="134"/>
        <v>0.00225</v>
      </c>
      <c r="AD170" s="1">
        <f t="shared" si="135"/>
        <v>0.02133</v>
      </c>
      <c r="AE170" s="1">
        <f t="shared" si="136"/>
        <v>0.00297</v>
      </c>
      <c r="AF170" s="1">
        <f t="shared" si="137"/>
        <v>9e-5</v>
      </c>
      <c r="AG170" s="1">
        <f t="shared" si="138"/>
        <v>0.00054</v>
      </c>
      <c r="AH170" s="1">
        <f t="shared" si="139"/>
        <v>0.03195</v>
      </c>
      <c r="AI170" s="1">
        <f t="shared" si="140"/>
        <v>0.05409</v>
      </c>
      <c r="AJ170" s="1">
        <f t="shared" si="141"/>
        <v>0.02061</v>
      </c>
      <c r="AK170" s="1">
        <f t="shared" si="142"/>
        <v>0.00054</v>
      </c>
      <c r="AL170" s="1">
        <f t="shared" si="143"/>
        <v>0.09684</v>
      </c>
      <c r="AM170" s="1">
        <f t="shared" si="144"/>
        <v>0.01845</v>
      </c>
      <c r="AN170" s="1">
        <f t="shared" si="145"/>
        <v>0.00027</v>
      </c>
      <c r="AQ170" s="6">
        <v>2016</v>
      </c>
      <c r="AR170" s="6" t="s">
        <v>82</v>
      </c>
      <c r="AS170" s="6">
        <v>0.09</v>
      </c>
      <c r="AT170" s="6" t="s">
        <v>568</v>
      </c>
      <c r="AU170" s="6" t="s">
        <v>594</v>
      </c>
      <c r="AV170" t="str">
        <f t="shared" si="183"/>
        <v>Tra_EV_Batt-NMC111_virgin_pack</v>
      </c>
      <c r="AW170">
        <f t="shared" si="184"/>
        <v>0.002</v>
      </c>
      <c r="AX170">
        <f t="shared" si="185"/>
        <v>0.002</v>
      </c>
      <c r="AY170">
        <f t="shared" si="186"/>
        <v>0.067</v>
      </c>
      <c r="AZ170">
        <f t="shared" si="187"/>
        <v>0.233</v>
      </c>
      <c r="BA170">
        <f t="shared" si="188"/>
        <v>0.025</v>
      </c>
      <c r="BB170">
        <f t="shared" si="189"/>
        <v>1.041</v>
      </c>
      <c r="BC170">
        <f t="shared" si="190"/>
        <v>0.006</v>
      </c>
      <c r="BD170">
        <f t="shared" si="191"/>
        <v>1.701</v>
      </c>
      <c r="BE170">
        <f t="shared" si="192"/>
        <v>0.019</v>
      </c>
      <c r="BF170">
        <f t="shared" si="193"/>
        <v>0.029</v>
      </c>
      <c r="BG170">
        <f t="shared" si="194"/>
        <v>1.859</v>
      </c>
      <c r="BH170">
        <f t="shared" si="195"/>
        <v>1.384</v>
      </c>
      <c r="BI170">
        <f t="shared" si="196"/>
        <v>0.004</v>
      </c>
      <c r="BJ170">
        <f t="shared" si="197"/>
        <v>0.057</v>
      </c>
      <c r="BK170">
        <f t="shared" si="198"/>
        <v>0.084</v>
      </c>
      <c r="BL170">
        <f t="shared" si="199"/>
        <v>0.042</v>
      </c>
      <c r="BM170">
        <f t="shared" si="200"/>
        <v>0.056</v>
      </c>
      <c r="BN170">
        <f t="shared" si="201"/>
        <v>0.178</v>
      </c>
      <c r="BO170">
        <f t="shared" si="202"/>
        <v>4.084</v>
      </c>
      <c r="BP170">
        <f t="shared" si="203"/>
        <v>0.021</v>
      </c>
      <c r="BQ170">
        <f t="shared" si="204"/>
        <v>0.025</v>
      </c>
      <c r="BR170">
        <f t="shared" si="205"/>
        <v>7.563</v>
      </c>
      <c r="BS170">
        <f t="shared" si="206"/>
        <v>2.175</v>
      </c>
      <c r="BT170">
        <f t="shared" si="207"/>
        <v>0.025</v>
      </c>
      <c r="BU170">
        <f t="shared" si="208"/>
        <v>0.237</v>
      </c>
      <c r="BV170">
        <f t="shared" si="209"/>
        <v>0.033</v>
      </c>
      <c r="BW170">
        <f t="shared" si="210"/>
        <v>0.001</v>
      </c>
      <c r="BX170">
        <f t="shared" si="211"/>
        <v>0.006</v>
      </c>
      <c r="BY170">
        <f t="shared" si="212"/>
        <v>0.355</v>
      </c>
      <c r="BZ170">
        <f t="shared" si="213"/>
        <v>0.601</v>
      </c>
      <c r="CA170">
        <f t="shared" si="214"/>
        <v>0.229</v>
      </c>
      <c r="CB170">
        <f t="shared" si="215"/>
        <v>0.006</v>
      </c>
      <c r="CC170">
        <f t="shared" si="216"/>
        <v>1.076</v>
      </c>
      <c r="CD170">
        <f t="shared" si="217"/>
        <v>0.205</v>
      </c>
      <c r="CE170">
        <f t="shared" si="218"/>
        <v>0.003</v>
      </c>
      <c r="CG170" s="6">
        <v>2016</v>
      </c>
      <c r="CH170" s="6" t="s">
        <v>82</v>
      </c>
      <c r="CI170" s="6">
        <v>0.09</v>
      </c>
      <c r="CJ170" s="6">
        <v>0.15</v>
      </c>
      <c r="CK170" s="6" t="s">
        <v>595</v>
      </c>
      <c r="CL170" s="6" t="s">
        <v>596</v>
      </c>
      <c r="CM170" s="6" t="s">
        <v>597</v>
      </c>
    </row>
    <row r="171" spans="4:91">
      <c r="D171">
        <v>2022</v>
      </c>
      <c r="E171" t="s">
        <v>249</v>
      </c>
      <c r="F171" s="1">
        <f t="shared" si="112"/>
        <v>0</v>
      </c>
      <c r="G171" s="1">
        <f t="shared" si="113"/>
        <v>2.471235</v>
      </c>
      <c r="H171" s="1">
        <f t="shared" si="114"/>
        <v>8.8044</v>
      </c>
      <c r="I171" s="1">
        <f t="shared" si="115"/>
        <v>0</v>
      </c>
      <c r="J171" s="1">
        <f t="shared" si="116"/>
        <v>0</v>
      </c>
      <c r="K171" s="1">
        <f t="shared" si="117"/>
        <v>0</v>
      </c>
      <c r="L171" s="1">
        <f t="shared" si="118"/>
        <v>1.0005</v>
      </c>
      <c r="M171" s="1">
        <f t="shared" si="111"/>
        <v>4.10205</v>
      </c>
      <c r="N171" s="1">
        <f t="shared" si="119"/>
        <v>0</v>
      </c>
      <c r="O171" s="1">
        <f t="shared" si="120"/>
        <v>0</v>
      </c>
      <c r="P171" s="1">
        <f t="shared" si="121"/>
        <v>0</v>
      </c>
      <c r="Q171" s="1">
        <f t="shared" si="122"/>
        <v>0</v>
      </c>
      <c r="R171" s="1">
        <f t="shared" si="123"/>
        <v>0</v>
      </c>
      <c r="S171" s="1">
        <f t="shared" si="124"/>
        <v>0</v>
      </c>
      <c r="T171" s="1">
        <f t="shared" si="125"/>
        <v>0</v>
      </c>
      <c r="U171" s="1">
        <f t="shared" si="126"/>
        <v>0</v>
      </c>
      <c r="V171" s="1">
        <f t="shared" si="127"/>
        <v>0</v>
      </c>
      <c r="W171" s="1">
        <f t="shared" si="128"/>
        <v>0</v>
      </c>
      <c r="X171" s="1">
        <f t="shared" si="129"/>
        <v>0</v>
      </c>
      <c r="Y171" s="1">
        <f t="shared" si="130"/>
        <v>6.70335</v>
      </c>
      <c r="Z171" s="1">
        <f t="shared" si="131"/>
        <v>0</v>
      </c>
      <c r="AA171" s="1">
        <f t="shared" si="132"/>
        <v>0.430215</v>
      </c>
      <c r="AB171" s="1">
        <f t="shared" si="133"/>
        <v>0</v>
      </c>
      <c r="AC171" s="1">
        <f t="shared" si="134"/>
        <v>0</v>
      </c>
      <c r="AD171" s="1">
        <f t="shared" si="135"/>
        <v>0.46023</v>
      </c>
      <c r="AE171" s="1">
        <f t="shared" si="136"/>
        <v>0</v>
      </c>
      <c r="AF171" s="1">
        <f t="shared" si="137"/>
        <v>0</v>
      </c>
      <c r="AG171" s="1">
        <f t="shared" si="138"/>
        <v>0</v>
      </c>
      <c r="AH171" s="1">
        <f t="shared" si="139"/>
        <v>0.04002</v>
      </c>
      <c r="AI171" s="1">
        <f t="shared" si="140"/>
        <v>0</v>
      </c>
      <c r="AJ171" s="1">
        <f t="shared" si="141"/>
        <v>0</v>
      </c>
      <c r="AK171" s="1">
        <f t="shared" si="142"/>
        <v>0</v>
      </c>
      <c r="AL171" s="1">
        <f t="shared" si="143"/>
        <v>0</v>
      </c>
      <c r="AM171" s="1">
        <f t="shared" si="144"/>
        <v>0</v>
      </c>
      <c r="AN171" s="1">
        <f t="shared" si="145"/>
        <v>0</v>
      </c>
      <c r="AQ171" s="6">
        <v>2017</v>
      </c>
      <c r="AR171" s="6" t="s">
        <v>249</v>
      </c>
      <c r="AS171" s="6">
        <v>0.115</v>
      </c>
      <c r="AT171" s="6" t="s">
        <v>591</v>
      </c>
      <c r="AU171" s="6" t="s">
        <v>592</v>
      </c>
      <c r="AV171" t="str">
        <f t="shared" si="183"/>
        <v>MINBatMaterials_LI</v>
      </c>
      <c r="AW171">
        <f t="shared" si="184"/>
        <v>0</v>
      </c>
      <c r="AX171">
        <f t="shared" si="185"/>
        <v>21.489</v>
      </c>
      <c r="AY171">
        <f t="shared" si="186"/>
        <v>76.56</v>
      </c>
      <c r="AZ171">
        <f t="shared" si="187"/>
        <v>0</v>
      </c>
      <c r="BA171">
        <f t="shared" si="188"/>
        <v>0</v>
      </c>
      <c r="BB171">
        <f t="shared" si="189"/>
        <v>0</v>
      </c>
      <c r="BC171">
        <f t="shared" si="190"/>
        <v>8.7</v>
      </c>
      <c r="BD171">
        <f t="shared" si="191"/>
        <v>35.67</v>
      </c>
      <c r="BE171">
        <f t="shared" si="192"/>
        <v>0</v>
      </c>
      <c r="BF171">
        <f t="shared" si="193"/>
        <v>0</v>
      </c>
      <c r="BG171">
        <f t="shared" si="194"/>
        <v>0</v>
      </c>
      <c r="BH171">
        <f t="shared" si="195"/>
        <v>0</v>
      </c>
      <c r="BI171">
        <f t="shared" si="196"/>
        <v>0</v>
      </c>
      <c r="BJ171">
        <f t="shared" si="197"/>
        <v>0</v>
      </c>
      <c r="BK171">
        <f t="shared" si="198"/>
        <v>0</v>
      </c>
      <c r="BL171">
        <f t="shared" si="199"/>
        <v>0</v>
      </c>
      <c r="BM171">
        <f t="shared" si="200"/>
        <v>0</v>
      </c>
      <c r="BN171">
        <f t="shared" si="201"/>
        <v>0</v>
      </c>
      <c r="BO171">
        <f t="shared" si="202"/>
        <v>0</v>
      </c>
      <c r="BP171">
        <f t="shared" si="203"/>
        <v>58.29</v>
      </c>
      <c r="BQ171">
        <f t="shared" si="204"/>
        <v>0</v>
      </c>
      <c r="BR171">
        <f t="shared" si="205"/>
        <v>3.741</v>
      </c>
      <c r="BS171">
        <f t="shared" si="206"/>
        <v>0</v>
      </c>
      <c r="BT171">
        <f t="shared" si="207"/>
        <v>0</v>
      </c>
      <c r="BU171">
        <f t="shared" si="208"/>
        <v>4.002</v>
      </c>
      <c r="BV171">
        <f t="shared" si="209"/>
        <v>0</v>
      </c>
      <c r="BW171">
        <f t="shared" si="210"/>
        <v>0</v>
      </c>
      <c r="BX171">
        <f t="shared" si="211"/>
        <v>0</v>
      </c>
      <c r="BY171">
        <f t="shared" si="212"/>
        <v>0.348</v>
      </c>
      <c r="BZ171">
        <f t="shared" si="213"/>
        <v>0</v>
      </c>
      <c r="CA171">
        <f t="shared" si="214"/>
        <v>0</v>
      </c>
      <c r="CB171">
        <f t="shared" si="215"/>
        <v>0</v>
      </c>
      <c r="CC171">
        <f t="shared" si="216"/>
        <v>0</v>
      </c>
      <c r="CD171">
        <f t="shared" si="217"/>
        <v>0</v>
      </c>
      <c r="CE171">
        <f t="shared" si="218"/>
        <v>0</v>
      </c>
      <c r="CG171" s="6">
        <v>2017</v>
      </c>
      <c r="CH171" s="6" t="s">
        <v>249</v>
      </c>
      <c r="CI171" s="6">
        <v>0.115</v>
      </c>
      <c r="CJ171" s="6">
        <v>0.115</v>
      </c>
      <c r="CK171" s="6" t="s">
        <v>591</v>
      </c>
      <c r="CL171" s="6" t="s">
        <v>591</v>
      </c>
      <c r="CM171" s="6" t="s">
        <v>593</v>
      </c>
    </row>
    <row r="172" spans="4:91">
      <c r="D172">
        <f xml:space="preserve">D171</f>
        <v>2022</v>
      </c>
      <c r="E172" t="s">
        <v>251</v>
      </c>
      <c r="F172" s="1">
        <f t="shared" si="112"/>
        <v>0</v>
      </c>
      <c r="G172" s="1">
        <f t="shared" si="113"/>
        <v>0</v>
      </c>
      <c r="H172" s="1">
        <f t="shared" si="114"/>
        <v>1.8975</v>
      </c>
      <c r="I172" s="1">
        <f t="shared" si="115"/>
        <v>0</v>
      </c>
      <c r="J172" s="1">
        <f t="shared" si="116"/>
        <v>0</v>
      </c>
      <c r="K172" s="1">
        <f t="shared" si="117"/>
        <v>0</v>
      </c>
      <c r="L172" s="1">
        <f t="shared" si="118"/>
        <v>1.32825</v>
      </c>
      <c r="M172" s="1">
        <f t="shared" si="111"/>
        <v>2.07</v>
      </c>
      <c r="N172" s="1">
        <f t="shared" si="119"/>
        <v>0</v>
      </c>
      <c r="O172" s="1">
        <f t="shared" si="120"/>
        <v>0</v>
      </c>
      <c r="P172" s="1">
        <f t="shared" si="121"/>
        <v>0</v>
      </c>
      <c r="Q172" s="1">
        <f t="shared" si="122"/>
        <v>0</v>
      </c>
      <c r="R172" s="1">
        <f t="shared" si="123"/>
        <v>0</v>
      </c>
      <c r="S172" s="1">
        <f t="shared" si="124"/>
        <v>0</v>
      </c>
      <c r="T172" s="1">
        <f t="shared" si="125"/>
        <v>0</v>
      </c>
      <c r="U172" s="1">
        <f t="shared" si="126"/>
        <v>0</v>
      </c>
      <c r="V172" s="1">
        <f t="shared" si="127"/>
        <v>0</v>
      </c>
      <c r="W172" s="1">
        <f t="shared" si="128"/>
        <v>0</v>
      </c>
      <c r="X172" s="1">
        <f t="shared" si="129"/>
        <v>0</v>
      </c>
      <c r="Y172" s="1">
        <f t="shared" si="130"/>
        <v>0</v>
      </c>
      <c r="Z172" s="1">
        <f t="shared" si="131"/>
        <v>0</v>
      </c>
      <c r="AA172" s="1">
        <f t="shared" si="132"/>
        <v>3.4155</v>
      </c>
      <c r="AB172" s="1">
        <f t="shared" si="133"/>
        <v>0</v>
      </c>
      <c r="AC172" s="1">
        <f t="shared" si="134"/>
        <v>0</v>
      </c>
      <c r="AD172" s="1">
        <f t="shared" si="135"/>
        <v>51.49125</v>
      </c>
      <c r="AE172" s="1">
        <f t="shared" si="136"/>
        <v>3.6225</v>
      </c>
      <c r="AF172" s="1">
        <f t="shared" si="137"/>
        <v>0</v>
      </c>
      <c r="AG172" s="1">
        <f t="shared" si="138"/>
        <v>0</v>
      </c>
      <c r="AH172" s="1">
        <f t="shared" si="139"/>
        <v>0</v>
      </c>
      <c r="AI172" s="1">
        <f t="shared" si="140"/>
        <v>0</v>
      </c>
      <c r="AJ172" s="1">
        <f t="shared" si="141"/>
        <v>0</v>
      </c>
      <c r="AK172" s="1">
        <f t="shared" si="142"/>
        <v>0</v>
      </c>
      <c r="AL172" s="1">
        <f t="shared" si="143"/>
        <v>0</v>
      </c>
      <c r="AM172" s="1">
        <f t="shared" si="144"/>
        <v>0</v>
      </c>
      <c r="AN172" s="1">
        <f t="shared" si="145"/>
        <v>0</v>
      </c>
      <c r="AQ172" s="6">
        <v>2017</v>
      </c>
      <c r="AR172" s="6" t="s">
        <v>251</v>
      </c>
      <c r="AS172" s="6">
        <v>0.115</v>
      </c>
      <c r="AT172" s="6" t="s">
        <v>591</v>
      </c>
      <c r="AU172" s="6" t="s">
        <v>592</v>
      </c>
      <c r="AV172" t="str">
        <f t="shared" si="183"/>
        <v>MINBatMaterials_NI</v>
      </c>
      <c r="AW172">
        <f t="shared" si="184"/>
        <v>0</v>
      </c>
      <c r="AX172">
        <f t="shared" si="185"/>
        <v>0</v>
      </c>
      <c r="AY172">
        <f t="shared" si="186"/>
        <v>16.5</v>
      </c>
      <c r="AZ172">
        <f t="shared" si="187"/>
        <v>0</v>
      </c>
      <c r="BA172">
        <f t="shared" si="188"/>
        <v>0</v>
      </c>
      <c r="BB172">
        <f t="shared" si="189"/>
        <v>0</v>
      </c>
      <c r="BC172">
        <f t="shared" si="190"/>
        <v>11.55</v>
      </c>
      <c r="BD172">
        <f t="shared" si="191"/>
        <v>18</v>
      </c>
      <c r="BE172">
        <f t="shared" si="192"/>
        <v>0</v>
      </c>
      <c r="BF172">
        <f t="shared" si="193"/>
        <v>0</v>
      </c>
      <c r="BG172">
        <f t="shared" si="194"/>
        <v>0</v>
      </c>
      <c r="BH172">
        <f t="shared" si="195"/>
        <v>0</v>
      </c>
      <c r="BI172">
        <f t="shared" si="196"/>
        <v>0</v>
      </c>
      <c r="BJ172">
        <f t="shared" si="197"/>
        <v>0</v>
      </c>
      <c r="BK172">
        <f t="shared" si="198"/>
        <v>0</v>
      </c>
      <c r="BL172">
        <f t="shared" si="199"/>
        <v>0</v>
      </c>
      <c r="BM172">
        <f t="shared" si="200"/>
        <v>0</v>
      </c>
      <c r="BN172">
        <f t="shared" si="201"/>
        <v>0</v>
      </c>
      <c r="BO172">
        <f t="shared" si="202"/>
        <v>0</v>
      </c>
      <c r="BP172">
        <f t="shared" si="203"/>
        <v>0</v>
      </c>
      <c r="BQ172">
        <f t="shared" si="204"/>
        <v>0</v>
      </c>
      <c r="BR172">
        <f t="shared" si="205"/>
        <v>29.7</v>
      </c>
      <c r="BS172">
        <f t="shared" si="206"/>
        <v>0</v>
      </c>
      <c r="BT172">
        <f t="shared" si="207"/>
        <v>0</v>
      </c>
      <c r="BU172">
        <f t="shared" si="208"/>
        <v>447.75</v>
      </c>
      <c r="BV172">
        <f t="shared" si="209"/>
        <v>31.5</v>
      </c>
      <c r="BW172">
        <f t="shared" si="210"/>
        <v>0</v>
      </c>
      <c r="BX172">
        <f t="shared" si="211"/>
        <v>0</v>
      </c>
      <c r="BY172">
        <f t="shared" si="212"/>
        <v>0</v>
      </c>
      <c r="BZ172">
        <f t="shared" si="213"/>
        <v>0</v>
      </c>
      <c r="CA172">
        <f t="shared" si="214"/>
        <v>0</v>
      </c>
      <c r="CB172">
        <f t="shared" si="215"/>
        <v>0</v>
      </c>
      <c r="CC172">
        <f t="shared" si="216"/>
        <v>0</v>
      </c>
      <c r="CD172">
        <f t="shared" si="217"/>
        <v>0</v>
      </c>
      <c r="CE172">
        <f t="shared" si="218"/>
        <v>0</v>
      </c>
      <c r="CG172" s="6">
        <v>2017</v>
      </c>
      <c r="CH172" s="6" t="s">
        <v>251</v>
      </c>
      <c r="CI172" s="6">
        <v>0.115</v>
      </c>
      <c r="CJ172" s="6">
        <v>0.115</v>
      </c>
      <c r="CK172" s="6" t="s">
        <v>591</v>
      </c>
      <c r="CL172" s="6" t="s">
        <v>591</v>
      </c>
      <c r="CM172" s="6" t="s">
        <v>593</v>
      </c>
    </row>
    <row r="173" ht="16" spans="4:91">
      <c r="D173">
        <f t="shared" ref="D173:D191" si="220" xml:space="preserve">D172</f>
        <v>2022</v>
      </c>
      <c r="E173" s="18" t="s">
        <v>255</v>
      </c>
      <c r="F173" s="1">
        <f t="shared" si="112"/>
        <v>0</v>
      </c>
      <c r="G173" s="1">
        <f t="shared" si="113"/>
        <v>19.45524</v>
      </c>
      <c r="H173" s="1">
        <f t="shared" si="114"/>
        <v>0.31464</v>
      </c>
      <c r="I173" s="1">
        <f t="shared" si="115"/>
        <v>0</v>
      </c>
      <c r="J173" s="1">
        <f t="shared" si="116"/>
        <v>0</v>
      </c>
      <c r="K173" s="1">
        <f t="shared" si="117"/>
        <v>0</v>
      </c>
      <c r="L173" s="1">
        <f t="shared" si="118"/>
        <v>0</v>
      </c>
      <c r="M173" s="1">
        <f t="shared" si="111"/>
        <v>0</v>
      </c>
      <c r="N173" s="1">
        <f t="shared" si="119"/>
        <v>0</v>
      </c>
      <c r="O173" s="1">
        <f t="shared" si="120"/>
        <v>0</v>
      </c>
      <c r="P173" s="1">
        <f t="shared" si="121"/>
        <v>0</v>
      </c>
      <c r="Q173" s="1">
        <f t="shared" si="122"/>
        <v>0</v>
      </c>
      <c r="R173" s="1">
        <f t="shared" si="123"/>
        <v>0</v>
      </c>
      <c r="S173" s="1">
        <f t="shared" si="124"/>
        <v>0</v>
      </c>
      <c r="T173" s="1">
        <f t="shared" si="125"/>
        <v>0</v>
      </c>
      <c r="U173" s="1">
        <f t="shared" si="126"/>
        <v>0</v>
      </c>
      <c r="V173" s="1">
        <f t="shared" si="127"/>
        <v>0</v>
      </c>
      <c r="W173" s="1">
        <f t="shared" si="128"/>
        <v>0</v>
      </c>
      <c r="X173" s="1">
        <f t="shared" si="129"/>
        <v>0</v>
      </c>
      <c r="Y173" s="1">
        <f t="shared" si="130"/>
        <v>0.3059</v>
      </c>
      <c r="Z173" s="1">
        <f t="shared" si="131"/>
        <v>0</v>
      </c>
      <c r="AA173" s="1">
        <f t="shared" si="132"/>
        <v>0.41952</v>
      </c>
      <c r="AB173" s="1">
        <f t="shared" si="133"/>
        <v>0</v>
      </c>
      <c r="AC173" s="1">
        <f t="shared" si="134"/>
        <v>0</v>
      </c>
      <c r="AD173" s="1">
        <f t="shared" si="135"/>
        <v>3.82812</v>
      </c>
      <c r="AE173" s="1">
        <f t="shared" si="136"/>
        <v>0.76038</v>
      </c>
      <c r="AF173" s="1">
        <f t="shared" si="137"/>
        <v>0</v>
      </c>
      <c r="AG173" s="1">
        <f t="shared" si="138"/>
        <v>0</v>
      </c>
      <c r="AH173" s="1">
        <f t="shared" si="139"/>
        <v>0</v>
      </c>
      <c r="AI173" s="1">
        <f t="shared" si="140"/>
        <v>0</v>
      </c>
      <c r="AJ173" s="1">
        <f t="shared" si="141"/>
        <v>0</v>
      </c>
      <c r="AK173" s="1">
        <f t="shared" si="142"/>
        <v>0.23598</v>
      </c>
      <c r="AL173" s="1">
        <f t="shared" si="143"/>
        <v>0</v>
      </c>
      <c r="AM173" s="1">
        <f t="shared" si="144"/>
        <v>0</v>
      </c>
      <c r="AN173" s="1">
        <f t="shared" si="145"/>
        <v>0</v>
      </c>
      <c r="AQ173" s="6">
        <v>2017</v>
      </c>
      <c r="AR173" s="6" t="s">
        <v>255</v>
      </c>
      <c r="AS173" s="6">
        <v>0.115</v>
      </c>
      <c r="AT173" s="6" t="s">
        <v>591</v>
      </c>
      <c r="AU173" s="6" t="s">
        <v>592</v>
      </c>
      <c r="AV173" t="str">
        <f t="shared" si="183"/>
        <v>MINBatMaterials_COB</v>
      </c>
      <c r="AW173">
        <f t="shared" si="184"/>
        <v>0</v>
      </c>
      <c r="AX173">
        <f t="shared" si="185"/>
        <v>169.176</v>
      </c>
      <c r="AY173">
        <f t="shared" si="186"/>
        <v>2.736</v>
      </c>
      <c r="AZ173">
        <f t="shared" si="187"/>
        <v>0</v>
      </c>
      <c r="BA173">
        <f t="shared" si="188"/>
        <v>0</v>
      </c>
      <c r="BB173">
        <f t="shared" si="189"/>
        <v>0</v>
      </c>
      <c r="BC173">
        <f t="shared" si="190"/>
        <v>0</v>
      </c>
      <c r="BD173">
        <f t="shared" si="191"/>
        <v>0</v>
      </c>
      <c r="BE173">
        <f t="shared" si="192"/>
        <v>0</v>
      </c>
      <c r="BF173">
        <f t="shared" si="193"/>
        <v>0</v>
      </c>
      <c r="BG173">
        <f t="shared" si="194"/>
        <v>0</v>
      </c>
      <c r="BH173">
        <f t="shared" si="195"/>
        <v>0</v>
      </c>
      <c r="BI173">
        <f t="shared" si="196"/>
        <v>0</v>
      </c>
      <c r="BJ173">
        <f t="shared" si="197"/>
        <v>0</v>
      </c>
      <c r="BK173">
        <f t="shared" si="198"/>
        <v>0</v>
      </c>
      <c r="BL173">
        <f t="shared" si="199"/>
        <v>0</v>
      </c>
      <c r="BM173">
        <f t="shared" si="200"/>
        <v>0</v>
      </c>
      <c r="BN173">
        <f t="shared" si="201"/>
        <v>0</v>
      </c>
      <c r="BO173">
        <f t="shared" si="202"/>
        <v>0</v>
      </c>
      <c r="BP173">
        <f t="shared" si="203"/>
        <v>2.66</v>
      </c>
      <c r="BQ173">
        <f t="shared" si="204"/>
        <v>0</v>
      </c>
      <c r="BR173">
        <f t="shared" si="205"/>
        <v>3.648</v>
      </c>
      <c r="BS173">
        <f t="shared" si="206"/>
        <v>0</v>
      </c>
      <c r="BT173">
        <f t="shared" si="207"/>
        <v>0</v>
      </c>
      <c r="BU173">
        <f t="shared" si="208"/>
        <v>33.288</v>
      </c>
      <c r="BV173">
        <f t="shared" si="209"/>
        <v>6.612</v>
      </c>
      <c r="BW173">
        <f t="shared" si="210"/>
        <v>0</v>
      </c>
      <c r="BX173">
        <f t="shared" si="211"/>
        <v>0</v>
      </c>
      <c r="BY173">
        <f t="shared" si="212"/>
        <v>0</v>
      </c>
      <c r="BZ173">
        <f t="shared" si="213"/>
        <v>0</v>
      </c>
      <c r="CA173">
        <f t="shared" si="214"/>
        <v>0</v>
      </c>
      <c r="CB173">
        <f t="shared" si="215"/>
        <v>2.052</v>
      </c>
      <c r="CC173">
        <f t="shared" si="216"/>
        <v>0</v>
      </c>
      <c r="CD173">
        <f t="shared" si="217"/>
        <v>0</v>
      </c>
      <c r="CE173">
        <f t="shared" si="218"/>
        <v>0</v>
      </c>
      <c r="CG173" s="6">
        <v>2017</v>
      </c>
      <c r="CH173" s="6" t="s">
        <v>255</v>
      </c>
      <c r="CI173" s="6">
        <v>0.115</v>
      </c>
      <c r="CJ173" s="6">
        <v>0.115</v>
      </c>
      <c r="CK173" s="6" t="s">
        <v>591</v>
      </c>
      <c r="CL173" s="6" t="s">
        <v>591</v>
      </c>
      <c r="CM173" s="6" t="s">
        <v>593</v>
      </c>
    </row>
    <row r="174" spans="4:91">
      <c r="D174">
        <f t="shared" si="220"/>
        <v>2022</v>
      </c>
      <c r="E174" t="s">
        <v>256</v>
      </c>
      <c r="F174" s="1">
        <f t="shared" si="112"/>
        <v>0</v>
      </c>
      <c r="G174" s="1">
        <f t="shared" si="113"/>
        <v>6.647</v>
      </c>
      <c r="H174" s="1">
        <f t="shared" si="114"/>
        <v>3.22</v>
      </c>
      <c r="I174" s="1">
        <f t="shared" si="115"/>
        <v>0</v>
      </c>
      <c r="J174" s="1">
        <f t="shared" si="116"/>
        <v>0</v>
      </c>
      <c r="K174" s="1">
        <f t="shared" si="117"/>
        <v>0</v>
      </c>
      <c r="L174" s="1">
        <f t="shared" si="118"/>
        <v>0.6785</v>
      </c>
      <c r="M174" s="1">
        <f t="shared" ref="M174:M237" si="221" xml:space="preserve">BD174*$CI174</f>
        <v>0.8855</v>
      </c>
      <c r="N174" s="1">
        <f t="shared" si="119"/>
        <v>0</v>
      </c>
      <c r="O174" s="1">
        <f t="shared" si="120"/>
        <v>0</v>
      </c>
      <c r="P174" s="1">
        <f t="shared" si="121"/>
        <v>0</v>
      </c>
      <c r="Q174" s="1">
        <f t="shared" si="122"/>
        <v>0</v>
      </c>
      <c r="R174" s="1">
        <f t="shared" si="123"/>
        <v>0</v>
      </c>
      <c r="S174" s="1">
        <f t="shared" si="124"/>
        <v>0</v>
      </c>
      <c r="T174" s="1">
        <f t="shared" si="125"/>
        <v>0</v>
      </c>
      <c r="U174" s="1">
        <f t="shared" si="126"/>
        <v>0.92</v>
      </c>
      <c r="V174" s="1">
        <f t="shared" si="127"/>
        <v>0</v>
      </c>
      <c r="W174" s="1">
        <f t="shared" si="128"/>
        <v>0</v>
      </c>
      <c r="X174" s="1">
        <f t="shared" si="129"/>
        <v>0</v>
      </c>
      <c r="Y174" s="1">
        <f t="shared" si="130"/>
        <v>0</v>
      </c>
      <c r="Z174" s="1">
        <f t="shared" si="131"/>
        <v>0</v>
      </c>
      <c r="AA174" s="1">
        <f t="shared" si="132"/>
        <v>0</v>
      </c>
      <c r="AB174" s="1">
        <f t="shared" si="133"/>
        <v>0</v>
      </c>
      <c r="AC174" s="1">
        <f t="shared" si="134"/>
        <v>0</v>
      </c>
      <c r="AD174" s="1">
        <f t="shared" si="135"/>
        <v>2.369</v>
      </c>
      <c r="AE174" s="1">
        <f t="shared" si="136"/>
        <v>0</v>
      </c>
      <c r="AF174" s="1">
        <f t="shared" si="137"/>
        <v>0</v>
      </c>
      <c r="AG174" s="1">
        <f t="shared" si="138"/>
        <v>8.51</v>
      </c>
      <c r="AH174" s="1">
        <f t="shared" si="139"/>
        <v>0</v>
      </c>
      <c r="AI174" s="1">
        <f t="shared" si="140"/>
        <v>0</v>
      </c>
      <c r="AJ174" s="1">
        <f t="shared" si="141"/>
        <v>0</v>
      </c>
      <c r="AK174" s="1">
        <f t="shared" si="142"/>
        <v>0</v>
      </c>
      <c r="AL174" s="1">
        <f t="shared" si="143"/>
        <v>0</v>
      </c>
      <c r="AM174" s="1">
        <f t="shared" si="144"/>
        <v>0</v>
      </c>
      <c r="AN174" s="1">
        <f t="shared" si="145"/>
        <v>0</v>
      </c>
      <c r="AQ174" s="6">
        <v>2017</v>
      </c>
      <c r="AR174" s="6" t="s">
        <v>256</v>
      </c>
      <c r="AS174" s="6">
        <v>0.115</v>
      </c>
      <c r="AT174" s="6" t="s">
        <v>591</v>
      </c>
      <c r="AU174" s="6" t="s">
        <v>592</v>
      </c>
      <c r="AV174" t="str">
        <f t="shared" si="183"/>
        <v>MINBatMaterials_MN</v>
      </c>
      <c r="AW174">
        <f t="shared" si="184"/>
        <v>0</v>
      </c>
      <c r="AX174">
        <f t="shared" si="185"/>
        <v>57.8</v>
      </c>
      <c r="AY174">
        <f t="shared" si="186"/>
        <v>28</v>
      </c>
      <c r="AZ174">
        <f t="shared" si="187"/>
        <v>0</v>
      </c>
      <c r="BA174">
        <f t="shared" si="188"/>
        <v>0</v>
      </c>
      <c r="BB174">
        <f t="shared" si="189"/>
        <v>0</v>
      </c>
      <c r="BC174">
        <f t="shared" si="190"/>
        <v>5.9</v>
      </c>
      <c r="BD174">
        <f t="shared" si="191"/>
        <v>7.7</v>
      </c>
      <c r="BE174">
        <f t="shared" si="192"/>
        <v>0</v>
      </c>
      <c r="BF174">
        <f t="shared" si="193"/>
        <v>0</v>
      </c>
      <c r="BG174">
        <f t="shared" si="194"/>
        <v>0</v>
      </c>
      <c r="BH174">
        <f t="shared" si="195"/>
        <v>0</v>
      </c>
      <c r="BI174">
        <f t="shared" si="196"/>
        <v>0</v>
      </c>
      <c r="BJ174">
        <f t="shared" si="197"/>
        <v>0</v>
      </c>
      <c r="BK174">
        <f t="shared" si="198"/>
        <v>0</v>
      </c>
      <c r="BL174">
        <f t="shared" si="199"/>
        <v>8</v>
      </c>
      <c r="BM174">
        <f t="shared" si="200"/>
        <v>0</v>
      </c>
      <c r="BN174">
        <f t="shared" si="201"/>
        <v>0</v>
      </c>
      <c r="BO174">
        <f t="shared" si="202"/>
        <v>0</v>
      </c>
      <c r="BP174">
        <f t="shared" si="203"/>
        <v>0</v>
      </c>
      <c r="BQ174">
        <f t="shared" si="204"/>
        <v>0</v>
      </c>
      <c r="BR174">
        <f t="shared" si="205"/>
        <v>0</v>
      </c>
      <c r="BS174">
        <f t="shared" si="206"/>
        <v>0</v>
      </c>
      <c r="BT174">
        <f t="shared" si="207"/>
        <v>0</v>
      </c>
      <c r="BU174">
        <f t="shared" si="208"/>
        <v>20.6</v>
      </c>
      <c r="BV174">
        <f t="shared" si="209"/>
        <v>0</v>
      </c>
      <c r="BW174">
        <f t="shared" si="210"/>
        <v>0</v>
      </c>
      <c r="BX174">
        <f t="shared" si="211"/>
        <v>74</v>
      </c>
      <c r="BY174">
        <f t="shared" si="212"/>
        <v>0</v>
      </c>
      <c r="BZ174">
        <f t="shared" si="213"/>
        <v>0</v>
      </c>
      <c r="CA174">
        <f t="shared" si="214"/>
        <v>0</v>
      </c>
      <c r="CB174">
        <f t="shared" si="215"/>
        <v>0</v>
      </c>
      <c r="CC174">
        <f t="shared" si="216"/>
        <v>0</v>
      </c>
      <c r="CD174">
        <f t="shared" si="217"/>
        <v>0</v>
      </c>
      <c r="CE174">
        <f t="shared" si="218"/>
        <v>0</v>
      </c>
      <c r="CG174" s="6">
        <v>2017</v>
      </c>
      <c r="CH174" s="6" t="s">
        <v>256</v>
      </c>
      <c r="CI174" s="6">
        <v>0.115</v>
      </c>
      <c r="CJ174" s="6">
        <v>0.115</v>
      </c>
      <c r="CK174" s="6" t="s">
        <v>591</v>
      </c>
      <c r="CL174" s="6" t="s">
        <v>591</v>
      </c>
      <c r="CM174" s="6" t="s">
        <v>593</v>
      </c>
    </row>
    <row r="175" spans="4:91">
      <c r="D175">
        <f t="shared" si="220"/>
        <v>2022</v>
      </c>
      <c r="E175" t="s">
        <v>258</v>
      </c>
      <c r="F175" s="1">
        <f t="shared" si="112"/>
        <v>0</v>
      </c>
      <c r="G175" s="1">
        <f t="shared" si="113"/>
        <v>0.3657</v>
      </c>
      <c r="H175" s="1">
        <f t="shared" si="114"/>
        <v>21.9006</v>
      </c>
      <c r="I175" s="1">
        <f t="shared" si="115"/>
        <v>0</v>
      </c>
      <c r="J175" s="1">
        <f t="shared" si="116"/>
        <v>0</v>
      </c>
      <c r="K175" s="1">
        <f t="shared" si="117"/>
        <v>0</v>
      </c>
      <c r="L175" s="1">
        <f t="shared" si="118"/>
        <v>13.3837</v>
      </c>
      <c r="M175" s="1">
        <f t="shared" si="221"/>
        <v>102.2028</v>
      </c>
      <c r="N175" s="1">
        <f t="shared" si="119"/>
        <v>0</v>
      </c>
      <c r="O175" s="1">
        <f t="shared" si="120"/>
        <v>0</v>
      </c>
      <c r="P175" s="1">
        <f t="shared" si="121"/>
        <v>0</v>
      </c>
      <c r="Q175" s="1">
        <f t="shared" si="122"/>
        <v>1.1684</v>
      </c>
      <c r="R175" s="1">
        <f t="shared" si="123"/>
        <v>1.0465</v>
      </c>
      <c r="S175" s="1">
        <f t="shared" si="124"/>
        <v>0</v>
      </c>
      <c r="T175" s="1">
        <f t="shared" si="125"/>
        <v>0</v>
      </c>
      <c r="U175" s="1">
        <f t="shared" si="126"/>
        <v>9.246</v>
      </c>
      <c r="V175" s="1">
        <f t="shared" si="127"/>
        <v>1.9458</v>
      </c>
      <c r="W175" s="1">
        <f t="shared" si="128"/>
        <v>0</v>
      </c>
      <c r="X175" s="1">
        <f t="shared" si="129"/>
        <v>0</v>
      </c>
      <c r="Y175" s="1">
        <f t="shared" si="130"/>
        <v>0</v>
      </c>
      <c r="Z175" s="1">
        <f t="shared" si="131"/>
        <v>2.921</v>
      </c>
      <c r="AA175" s="1">
        <f t="shared" si="132"/>
        <v>2.7025</v>
      </c>
      <c r="AB175" s="1">
        <f t="shared" si="133"/>
        <v>0</v>
      </c>
      <c r="AC175" s="1">
        <f t="shared" si="134"/>
        <v>0</v>
      </c>
      <c r="AD175" s="1">
        <f t="shared" si="135"/>
        <v>6.9345</v>
      </c>
      <c r="AE175" s="1">
        <f t="shared" si="136"/>
        <v>3.5282</v>
      </c>
      <c r="AF175" s="1">
        <f t="shared" si="137"/>
        <v>2.1896</v>
      </c>
      <c r="AG175" s="1">
        <f t="shared" si="138"/>
        <v>0</v>
      </c>
      <c r="AH175" s="1">
        <f t="shared" si="139"/>
        <v>0.9982</v>
      </c>
      <c r="AI175" s="1">
        <f t="shared" si="140"/>
        <v>0</v>
      </c>
      <c r="AJ175" s="1">
        <f t="shared" si="141"/>
        <v>0</v>
      </c>
      <c r="AK175" s="1">
        <f t="shared" si="142"/>
        <v>0.3887</v>
      </c>
      <c r="AL175" s="1">
        <f t="shared" si="143"/>
        <v>0</v>
      </c>
      <c r="AM175" s="1">
        <f t="shared" si="144"/>
        <v>0</v>
      </c>
      <c r="AN175" s="1">
        <f t="shared" si="145"/>
        <v>0</v>
      </c>
      <c r="AQ175" s="6">
        <v>2017</v>
      </c>
      <c r="AR175" s="6" t="s">
        <v>258</v>
      </c>
      <c r="AS175" s="6">
        <v>0.115</v>
      </c>
      <c r="AT175" s="6" t="s">
        <v>591</v>
      </c>
      <c r="AU175" s="6" t="s">
        <v>592</v>
      </c>
      <c r="AV175" t="str">
        <f t="shared" si="183"/>
        <v>MINBatMaterials_AL</v>
      </c>
      <c r="AW175">
        <f t="shared" si="184"/>
        <v>0</v>
      </c>
      <c r="AX175">
        <f t="shared" si="185"/>
        <v>3.18</v>
      </c>
      <c r="AY175">
        <f t="shared" si="186"/>
        <v>190.44</v>
      </c>
      <c r="AZ175">
        <f t="shared" si="187"/>
        <v>0</v>
      </c>
      <c r="BA175">
        <f t="shared" si="188"/>
        <v>0</v>
      </c>
      <c r="BB175">
        <f t="shared" si="189"/>
        <v>0</v>
      </c>
      <c r="BC175">
        <f t="shared" si="190"/>
        <v>116.38</v>
      </c>
      <c r="BD175">
        <f t="shared" si="191"/>
        <v>888.72</v>
      </c>
      <c r="BE175">
        <f t="shared" si="192"/>
        <v>0</v>
      </c>
      <c r="BF175">
        <f t="shared" si="193"/>
        <v>0</v>
      </c>
      <c r="BG175">
        <f t="shared" si="194"/>
        <v>0</v>
      </c>
      <c r="BH175">
        <f t="shared" si="195"/>
        <v>10.16</v>
      </c>
      <c r="BI175">
        <f t="shared" si="196"/>
        <v>9.1</v>
      </c>
      <c r="BJ175">
        <f t="shared" si="197"/>
        <v>0</v>
      </c>
      <c r="BK175">
        <f t="shared" si="198"/>
        <v>0</v>
      </c>
      <c r="BL175">
        <f t="shared" si="199"/>
        <v>80.4</v>
      </c>
      <c r="BM175">
        <f t="shared" si="200"/>
        <v>16.92</v>
      </c>
      <c r="BN175">
        <f t="shared" si="201"/>
        <v>0</v>
      </c>
      <c r="BO175">
        <f t="shared" si="202"/>
        <v>0</v>
      </c>
      <c r="BP175">
        <f t="shared" si="203"/>
        <v>0</v>
      </c>
      <c r="BQ175">
        <f t="shared" si="204"/>
        <v>25.4</v>
      </c>
      <c r="BR175">
        <f t="shared" si="205"/>
        <v>23.5</v>
      </c>
      <c r="BS175">
        <f t="shared" si="206"/>
        <v>0</v>
      </c>
      <c r="BT175">
        <f t="shared" si="207"/>
        <v>0</v>
      </c>
      <c r="BU175">
        <f t="shared" si="208"/>
        <v>60.3</v>
      </c>
      <c r="BV175">
        <f t="shared" si="209"/>
        <v>30.68</v>
      </c>
      <c r="BW175">
        <f t="shared" si="210"/>
        <v>19.04</v>
      </c>
      <c r="BX175">
        <f t="shared" si="211"/>
        <v>0</v>
      </c>
      <c r="BY175">
        <f t="shared" si="212"/>
        <v>8.68</v>
      </c>
      <c r="BZ175">
        <f t="shared" si="213"/>
        <v>0</v>
      </c>
      <c r="CA175">
        <f t="shared" si="214"/>
        <v>0</v>
      </c>
      <c r="CB175">
        <f t="shared" si="215"/>
        <v>3.38</v>
      </c>
      <c r="CC175">
        <f t="shared" si="216"/>
        <v>0</v>
      </c>
      <c r="CD175">
        <f t="shared" si="217"/>
        <v>0</v>
      </c>
      <c r="CE175">
        <f t="shared" si="218"/>
        <v>0</v>
      </c>
      <c r="CG175" s="6">
        <v>2017</v>
      </c>
      <c r="CH175" s="6" t="s">
        <v>258</v>
      </c>
      <c r="CI175" s="6">
        <v>0.115</v>
      </c>
      <c r="CJ175" s="6">
        <v>0.115</v>
      </c>
      <c r="CK175" s="6" t="s">
        <v>591</v>
      </c>
      <c r="CL175" s="6" t="s">
        <v>591</v>
      </c>
      <c r="CM175" s="6" t="s">
        <v>593</v>
      </c>
    </row>
    <row r="176" spans="4:91">
      <c r="D176">
        <f t="shared" si="220"/>
        <v>2022</v>
      </c>
      <c r="E176" t="s">
        <v>260</v>
      </c>
      <c r="F176" s="1">
        <f t="shared" ref="F176:F239" si="222" xml:space="preserve">AW176*$AS176</f>
        <v>0</v>
      </c>
      <c r="G176" s="1">
        <f t="shared" ref="G176:G239" si="223" xml:space="preserve">AX176*$AS176</f>
        <v>11.4425</v>
      </c>
      <c r="H176" s="1">
        <f t="shared" ref="H176:H239" si="224" xml:space="preserve">AY176*$AS176</f>
        <v>2.3</v>
      </c>
      <c r="I176" s="1">
        <f t="shared" ref="I176:I239" si="225" xml:space="preserve">AZ176*$AS176</f>
        <v>0</v>
      </c>
      <c r="J176" s="1">
        <f t="shared" ref="J176:J239" si="226" xml:space="preserve">BA176*$AS176</f>
        <v>0</v>
      </c>
      <c r="K176" s="1">
        <f t="shared" ref="K176:K239" si="227" xml:space="preserve">BB176*$AS176</f>
        <v>0</v>
      </c>
      <c r="L176" s="1">
        <f t="shared" ref="L176:L239" si="228" xml:space="preserve">BC176*$AS176</f>
        <v>0</v>
      </c>
      <c r="M176" s="1">
        <f t="shared" si="221"/>
        <v>5.175</v>
      </c>
      <c r="N176" s="1">
        <f t="shared" ref="N176:N239" si="229" xml:space="preserve">BE176*$AS176</f>
        <v>0</v>
      </c>
      <c r="O176" s="1">
        <f t="shared" ref="O176:O239" si="230" xml:space="preserve">BF176*$AS176</f>
        <v>0</v>
      </c>
      <c r="P176" s="1">
        <f t="shared" ref="P176:P239" si="231" xml:space="preserve">BG176*$AS176</f>
        <v>0</v>
      </c>
      <c r="Q176" s="1">
        <f t="shared" ref="Q176:Q239" si="232" xml:space="preserve">BH176*$AS176</f>
        <v>0</v>
      </c>
      <c r="R176" s="1">
        <f t="shared" ref="R176:R239" si="233" xml:space="preserve">BI176*$AS176</f>
        <v>0</v>
      </c>
      <c r="S176" s="1">
        <f t="shared" ref="S176:S239" si="234" xml:space="preserve">BJ176*$AS176</f>
        <v>0</v>
      </c>
      <c r="T176" s="1">
        <f t="shared" ref="T176:T239" si="235" xml:space="preserve">BK176*$AS176</f>
        <v>0</v>
      </c>
      <c r="U176" s="1">
        <f t="shared" ref="U176:U239" si="236" xml:space="preserve">BL176*$AS176</f>
        <v>0.08625</v>
      </c>
      <c r="V176" s="1">
        <f t="shared" ref="V176:V239" si="237" xml:space="preserve">BM176*$AS176</f>
        <v>0</v>
      </c>
      <c r="W176" s="1">
        <f t="shared" ref="W176:W239" si="238" xml:space="preserve">BN176*$AS176</f>
        <v>0</v>
      </c>
      <c r="X176" s="1">
        <f t="shared" ref="X176:X239" si="239" xml:space="preserve">BO176*$AS176</f>
        <v>0</v>
      </c>
      <c r="Y176" s="1">
        <f t="shared" ref="Y176:Y239" si="240" xml:space="preserve">BP176*$AS176</f>
        <v>22.7125</v>
      </c>
      <c r="Z176" s="1">
        <f t="shared" ref="Z176:Z239" si="241" xml:space="preserve">BQ176*$AS176</f>
        <v>0</v>
      </c>
      <c r="AA176" s="1">
        <f t="shared" ref="AA176:AA239" si="242" xml:space="preserve">BR176*$AS176</f>
        <v>6.46875</v>
      </c>
      <c r="AB176" s="1">
        <f t="shared" ref="AB176:AB239" si="243" xml:space="preserve">BS176*$AS176</f>
        <v>0</v>
      </c>
      <c r="AC176" s="1">
        <f t="shared" ref="AC176:AC239" si="244" xml:space="preserve">BT176*$AS176</f>
        <v>1.17875</v>
      </c>
      <c r="AD176" s="1">
        <f t="shared" ref="AD176:AD239" si="245" xml:space="preserve">BU176*$AS176</f>
        <v>13.5125</v>
      </c>
      <c r="AE176" s="1">
        <f t="shared" ref="AE176:AE239" si="246" xml:space="preserve">BV176*$AS176</f>
        <v>2.67375</v>
      </c>
      <c r="AF176" s="1">
        <f t="shared" ref="AF176:AF239" si="247" xml:space="preserve">BW176*$AS176</f>
        <v>0</v>
      </c>
      <c r="AG176" s="1">
        <f t="shared" ref="AG176:AG239" si="248" xml:space="preserve">BX176*$AS176</f>
        <v>0</v>
      </c>
      <c r="AH176" s="1">
        <f t="shared" ref="AH176:AH239" si="249" xml:space="preserve">BY176*$AS176</f>
        <v>0</v>
      </c>
      <c r="AI176" s="1">
        <f t="shared" ref="AI176:AI239" si="250" xml:space="preserve">BZ176*$AS176</f>
        <v>0</v>
      </c>
      <c r="AJ176" s="1">
        <f t="shared" ref="AJ176:AJ239" si="251" xml:space="preserve">CA176*$AS176</f>
        <v>0</v>
      </c>
      <c r="AK176" s="1">
        <f t="shared" ref="AK176:AK239" si="252" xml:space="preserve">CB176*$AS176</f>
        <v>0</v>
      </c>
      <c r="AL176" s="1">
        <f t="shared" ref="AL176:AL239" si="253" xml:space="preserve">CC176*$AS176</f>
        <v>0</v>
      </c>
      <c r="AM176" s="1">
        <f t="shared" ref="AM176:AM239" si="254" xml:space="preserve">CD176*$AS176</f>
        <v>0</v>
      </c>
      <c r="AN176" s="1">
        <f t="shared" ref="AN176:AN239" si="255" xml:space="preserve">CE176*$AS176</f>
        <v>0</v>
      </c>
      <c r="AQ176" s="6">
        <v>2017</v>
      </c>
      <c r="AR176" s="6" t="s">
        <v>260</v>
      </c>
      <c r="AS176" s="6">
        <v>0.115</v>
      </c>
      <c r="AT176" s="6" t="s">
        <v>591</v>
      </c>
      <c r="AU176" s="6" t="s">
        <v>592</v>
      </c>
      <c r="AV176" t="str">
        <f t="shared" si="183"/>
        <v>MINBatMaterials_COP</v>
      </c>
      <c r="AW176">
        <f t="shared" si="184"/>
        <v>0</v>
      </c>
      <c r="AX176">
        <f t="shared" si="185"/>
        <v>99.5</v>
      </c>
      <c r="AY176">
        <f t="shared" si="186"/>
        <v>20</v>
      </c>
      <c r="AZ176">
        <f t="shared" si="187"/>
        <v>0</v>
      </c>
      <c r="BA176">
        <f t="shared" si="188"/>
        <v>0</v>
      </c>
      <c r="BB176">
        <f t="shared" si="189"/>
        <v>0</v>
      </c>
      <c r="BC176">
        <f t="shared" si="190"/>
        <v>0</v>
      </c>
      <c r="BD176">
        <f t="shared" si="191"/>
        <v>45</v>
      </c>
      <c r="BE176">
        <f t="shared" si="192"/>
        <v>0</v>
      </c>
      <c r="BF176">
        <f t="shared" si="193"/>
        <v>0</v>
      </c>
      <c r="BG176">
        <f t="shared" si="194"/>
        <v>0</v>
      </c>
      <c r="BH176">
        <f t="shared" si="195"/>
        <v>0</v>
      </c>
      <c r="BI176">
        <f t="shared" si="196"/>
        <v>0</v>
      </c>
      <c r="BJ176">
        <f t="shared" si="197"/>
        <v>0</v>
      </c>
      <c r="BK176">
        <f t="shared" si="198"/>
        <v>0</v>
      </c>
      <c r="BL176">
        <f t="shared" si="199"/>
        <v>0.75</v>
      </c>
      <c r="BM176">
        <f t="shared" si="200"/>
        <v>0</v>
      </c>
      <c r="BN176">
        <f t="shared" si="201"/>
        <v>0</v>
      </c>
      <c r="BO176">
        <f t="shared" si="202"/>
        <v>0</v>
      </c>
      <c r="BP176">
        <f t="shared" si="203"/>
        <v>197.5</v>
      </c>
      <c r="BQ176">
        <f t="shared" si="204"/>
        <v>0</v>
      </c>
      <c r="BR176">
        <f t="shared" si="205"/>
        <v>56.25</v>
      </c>
      <c r="BS176">
        <f t="shared" si="206"/>
        <v>0</v>
      </c>
      <c r="BT176">
        <f t="shared" si="207"/>
        <v>10.25</v>
      </c>
      <c r="BU176">
        <f t="shared" si="208"/>
        <v>117.5</v>
      </c>
      <c r="BV176">
        <f t="shared" si="209"/>
        <v>23.25</v>
      </c>
      <c r="BW176">
        <f t="shared" si="210"/>
        <v>0</v>
      </c>
      <c r="BX176">
        <f t="shared" si="211"/>
        <v>0</v>
      </c>
      <c r="BY176">
        <f t="shared" si="212"/>
        <v>0</v>
      </c>
      <c r="BZ176">
        <f t="shared" si="213"/>
        <v>0</v>
      </c>
      <c r="CA176">
        <f t="shared" si="214"/>
        <v>0</v>
      </c>
      <c r="CB176">
        <f t="shared" si="215"/>
        <v>0</v>
      </c>
      <c r="CC176">
        <f t="shared" si="216"/>
        <v>0</v>
      </c>
      <c r="CD176">
        <f t="shared" si="217"/>
        <v>0</v>
      </c>
      <c r="CE176">
        <f t="shared" si="218"/>
        <v>0</v>
      </c>
      <c r="CG176" s="6">
        <v>2017</v>
      </c>
      <c r="CH176" s="6" t="s">
        <v>260</v>
      </c>
      <c r="CI176" s="6">
        <v>0.115</v>
      </c>
      <c r="CJ176" s="6">
        <v>0.115</v>
      </c>
      <c r="CK176" s="6" t="s">
        <v>591</v>
      </c>
      <c r="CL176" s="6" t="s">
        <v>591</v>
      </c>
      <c r="CM176" s="6" t="s">
        <v>593</v>
      </c>
    </row>
    <row r="177" spans="4:91">
      <c r="D177">
        <f t="shared" si="220"/>
        <v>2022</v>
      </c>
      <c r="E177" t="s">
        <v>262</v>
      </c>
      <c r="F177" s="1">
        <f t="shared" si="222"/>
        <v>0</v>
      </c>
      <c r="G177" s="1">
        <f t="shared" si="223"/>
        <v>19.5615</v>
      </c>
      <c r="H177" s="1">
        <f t="shared" si="224"/>
        <v>0</v>
      </c>
      <c r="I177" s="1">
        <f t="shared" si="225"/>
        <v>0.05175</v>
      </c>
      <c r="J177" s="1">
        <f t="shared" si="226"/>
        <v>0</v>
      </c>
      <c r="K177" s="1">
        <f t="shared" si="227"/>
        <v>0</v>
      </c>
      <c r="L177" s="1">
        <f t="shared" si="228"/>
        <v>7.038</v>
      </c>
      <c r="M177" s="1">
        <f t="shared" si="221"/>
        <v>131.445</v>
      </c>
      <c r="N177" s="1">
        <f t="shared" si="229"/>
        <v>0</v>
      </c>
      <c r="O177" s="1">
        <f t="shared" si="230"/>
        <v>0</v>
      </c>
      <c r="P177" s="1">
        <f t="shared" si="231"/>
        <v>0</v>
      </c>
      <c r="Q177" s="1">
        <f t="shared" si="232"/>
        <v>0.0207</v>
      </c>
      <c r="R177" s="1">
        <f t="shared" si="233"/>
        <v>0</v>
      </c>
      <c r="S177" s="1">
        <f t="shared" si="234"/>
        <v>0</v>
      </c>
      <c r="T177" s="1">
        <f t="shared" si="235"/>
        <v>0</v>
      </c>
      <c r="U177" s="1">
        <f t="shared" si="236"/>
        <v>2.898</v>
      </c>
      <c r="V177" s="1">
        <f t="shared" si="237"/>
        <v>0</v>
      </c>
      <c r="W177" s="1">
        <f t="shared" si="238"/>
        <v>0</v>
      </c>
      <c r="X177" s="1">
        <f t="shared" si="239"/>
        <v>0</v>
      </c>
      <c r="Y177" s="1">
        <f t="shared" si="240"/>
        <v>0</v>
      </c>
      <c r="Z177" s="1">
        <f t="shared" si="241"/>
        <v>0</v>
      </c>
      <c r="AA177" s="1">
        <f t="shared" si="242"/>
        <v>2.16315</v>
      </c>
      <c r="AB177" s="1">
        <f t="shared" si="243"/>
        <v>0.7245</v>
      </c>
      <c r="AC177" s="1">
        <f t="shared" si="244"/>
        <v>0</v>
      </c>
      <c r="AD177" s="1">
        <f t="shared" si="245"/>
        <v>2.37015</v>
      </c>
      <c r="AE177" s="1">
        <f t="shared" si="246"/>
        <v>2.07</v>
      </c>
      <c r="AF177" s="1">
        <f t="shared" si="247"/>
        <v>0</v>
      </c>
      <c r="AG177" s="1">
        <f t="shared" si="248"/>
        <v>0</v>
      </c>
      <c r="AH177" s="1">
        <f t="shared" si="249"/>
        <v>0</v>
      </c>
      <c r="AI177" s="1">
        <f t="shared" si="250"/>
        <v>0</v>
      </c>
      <c r="AJ177" s="1">
        <f t="shared" si="251"/>
        <v>0</v>
      </c>
      <c r="AK177" s="1">
        <f t="shared" si="252"/>
        <v>0.3105</v>
      </c>
      <c r="AL177" s="1">
        <f t="shared" si="253"/>
        <v>0</v>
      </c>
      <c r="AM177" s="1">
        <f t="shared" si="254"/>
        <v>0.1242</v>
      </c>
      <c r="AN177" s="1">
        <f t="shared" si="255"/>
        <v>0</v>
      </c>
      <c r="AQ177" s="6">
        <v>2017</v>
      </c>
      <c r="AR177" s="6" t="s">
        <v>262</v>
      </c>
      <c r="AS177" s="6">
        <v>0.115</v>
      </c>
      <c r="AT177" s="6" t="s">
        <v>591</v>
      </c>
      <c r="AU177" s="6" t="s">
        <v>592</v>
      </c>
      <c r="AV177" t="str">
        <f t="shared" si="183"/>
        <v>MINBatMaterials_GR</v>
      </c>
      <c r="AW177">
        <f t="shared" si="184"/>
        <v>0</v>
      </c>
      <c r="AX177">
        <f t="shared" si="185"/>
        <v>170.1</v>
      </c>
      <c r="AY177">
        <f t="shared" si="186"/>
        <v>0</v>
      </c>
      <c r="AZ177">
        <f t="shared" si="187"/>
        <v>0.45</v>
      </c>
      <c r="BA177">
        <f t="shared" si="188"/>
        <v>0</v>
      </c>
      <c r="BB177">
        <f t="shared" si="189"/>
        <v>0</v>
      </c>
      <c r="BC177">
        <f t="shared" si="190"/>
        <v>61.2</v>
      </c>
      <c r="BD177">
        <f t="shared" si="191"/>
        <v>1143</v>
      </c>
      <c r="BE177">
        <f t="shared" si="192"/>
        <v>0</v>
      </c>
      <c r="BF177">
        <f t="shared" si="193"/>
        <v>0</v>
      </c>
      <c r="BG177">
        <f t="shared" si="194"/>
        <v>0</v>
      </c>
      <c r="BH177">
        <f t="shared" si="195"/>
        <v>0.18</v>
      </c>
      <c r="BI177">
        <f t="shared" si="196"/>
        <v>0</v>
      </c>
      <c r="BJ177">
        <f t="shared" si="197"/>
        <v>0</v>
      </c>
      <c r="BK177">
        <f t="shared" si="198"/>
        <v>0</v>
      </c>
      <c r="BL177">
        <f t="shared" si="199"/>
        <v>25.2</v>
      </c>
      <c r="BM177">
        <f t="shared" si="200"/>
        <v>0</v>
      </c>
      <c r="BN177">
        <f t="shared" si="201"/>
        <v>0</v>
      </c>
      <c r="BO177">
        <f t="shared" si="202"/>
        <v>0</v>
      </c>
      <c r="BP177">
        <f t="shared" si="203"/>
        <v>0</v>
      </c>
      <c r="BQ177">
        <f t="shared" si="204"/>
        <v>0</v>
      </c>
      <c r="BR177">
        <f t="shared" si="205"/>
        <v>18.81</v>
      </c>
      <c r="BS177">
        <f t="shared" si="206"/>
        <v>6.3</v>
      </c>
      <c r="BT177">
        <f t="shared" si="207"/>
        <v>0</v>
      </c>
      <c r="BU177">
        <f t="shared" si="208"/>
        <v>20.61</v>
      </c>
      <c r="BV177">
        <f t="shared" si="209"/>
        <v>18</v>
      </c>
      <c r="BW177">
        <f t="shared" si="210"/>
        <v>0</v>
      </c>
      <c r="BX177">
        <f t="shared" si="211"/>
        <v>0</v>
      </c>
      <c r="BY177">
        <f t="shared" si="212"/>
        <v>0</v>
      </c>
      <c r="BZ177">
        <f t="shared" si="213"/>
        <v>0</v>
      </c>
      <c r="CA177">
        <f t="shared" si="214"/>
        <v>0</v>
      </c>
      <c r="CB177">
        <f t="shared" si="215"/>
        <v>2.7</v>
      </c>
      <c r="CC177">
        <f t="shared" si="216"/>
        <v>0</v>
      </c>
      <c r="CD177">
        <f t="shared" si="217"/>
        <v>1.08</v>
      </c>
      <c r="CE177">
        <f t="shared" si="218"/>
        <v>0</v>
      </c>
      <c r="CG177" s="6">
        <v>2017</v>
      </c>
      <c r="CH177" s="6" t="s">
        <v>262</v>
      </c>
      <c r="CI177" s="6">
        <v>0.115</v>
      </c>
      <c r="CJ177" s="6">
        <v>0.115</v>
      </c>
      <c r="CK177" s="6" t="s">
        <v>591</v>
      </c>
      <c r="CL177" s="6" t="s">
        <v>591</v>
      </c>
      <c r="CM177" s="6" t="s">
        <v>593</v>
      </c>
    </row>
    <row r="178" spans="4:91">
      <c r="D178">
        <v>2017</v>
      </c>
      <c r="E178" t="s">
        <v>68</v>
      </c>
      <c r="F178" s="1">
        <f t="shared" si="222"/>
        <v>0</v>
      </c>
      <c r="G178" s="1">
        <f t="shared" si="223"/>
        <v>0</v>
      </c>
      <c r="H178" s="1">
        <f t="shared" si="224"/>
        <v>0.000652</v>
      </c>
      <c r="I178" s="1">
        <f t="shared" si="225"/>
        <v>0.00163</v>
      </c>
      <c r="J178" s="1">
        <f t="shared" si="226"/>
        <v>0.000652</v>
      </c>
      <c r="K178" s="1">
        <f t="shared" si="227"/>
        <v>0.016952</v>
      </c>
      <c r="L178" s="1">
        <f t="shared" si="228"/>
        <v>0.00163</v>
      </c>
      <c r="M178" s="1">
        <f t="shared" si="221"/>
        <v>19.924794</v>
      </c>
      <c r="N178" s="1">
        <f t="shared" si="229"/>
        <v>0</v>
      </c>
      <c r="O178" s="1">
        <f t="shared" si="230"/>
        <v>0.00163</v>
      </c>
      <c r="P178" s="1">
        <f t="shared" si="231"/>
        <v>0.010269</v>
      </c>
      <c r="Q178" s="1">
        <f t="shared" si="232"/>
        <v>0.008476</v>
      </c>
      <c r="R178" s="1">
        <f t="shared" si="233"/>
        <v>0</v>
      </c>
      <c r="S178" s="1">
        <f t="shared" si="234"/>
        <v>0.00163</v>
      </c>
      <c r="T178" s="1">
        <f t="shared" si="235"/>
        <v>0</v>
      </c>
      <c r="U178" s="1">
        <f t="shared" si="236"/>
        <v>0.020375</v>
      </c>
      <c r="V178" s="1">
        <f t="shared" si="237"/>
        <v>0</v>
      </c>
      <c r="W178" s="1">
        <f t="shared" si="238"/>
        <v>0.003423</v>
      </c>
      <c r="X178" s="1">
        <f t="shared" si="239"/>
        <v>0.00163</v>
      </c>
      <c r="Y178" s="1">
        <f t="shared" si="240"/>
        <v>0.007661</v>
      </c>
      <c r="Z178" s="1">
        <f t="shared" si="241"/>
        <v>0.000652</v>
      </c>
      <c r="AA178" s="1">
        <f t="shared" si="242"/>
        <v>0.023961</v>
      </c>
      <c r="AB178" s="1">
        <f t="shared" si="243"/>
        <v>0.003423</v>
      </c>
      <c r="AC178" s="1">
        <f t="shared" si="244"/>
        <v>0.009291</v>
      </c>
      <c r="AD178" s="1">
        <f t="shared" si="245"/>
        <v>0.010269</v>
      </c>
      <c r="AE178" s="1">
        <f t="shared" si="246"/>
        <v>0.00326</v>
      </c>
      <c r="AF178" s="1">
        <f t="shared" si="247"/>
        <v>0</v>
      </c>
      <c r="AG178" s="1">
        <f t="shared" si="248"/>
        <v>0</v>
      </c>
      <c r="AH178" s="1">
        <f t="shared" si="249"/>
        <v>0.005053</v>
      </c>
      <c r="AI178" s="1">
        <f t="shared" si="250"/>
        <v>0.010269</v>
      </c>
      <c r="AJ178" s="1">
        <f t="shared" si="251"/>
        <v>0.00163</v>
      </c>
      <c r="AK178" s="1">
        <f t="shared" si="252"/>
        <v>0.00163</v>
      </c>
      <c r="AL178" s="1">
        <f t="shared" si="253"/>
        <v>0.013692</v>
      </c>
      <c r="AM178" s="1">
        <f t="shared" si="254"/>
        <v>0</v>
      </c>
      <c r="AN178" s="1">
        <f t="shared" si="255"/>
        <v>0</v>
      </c>
      <c r="AQ178" s="6">
        <v>2017</v>
      </c>
      <c r="AR178" s="6" t="s">
        <v>68</v>
      </c>
      <c r="AS178" s="6">
        <v>0.163</v>
      </c>
      <c r="AT178" s="6" t="s">
        <v>568</v>
      </c>
      <c r="AU178" s="6" t="s">
        <v>594</v>
      </c>
      <c r="AV178" t="str">
        <f t="shared" si="183"/>
        <v>Tra_EV_Batt-LFP_virgin</v>
      </c>
      <c r="AW178">
        <f t="shared" si="184"/>
        <v>0</v>
      </c>
      <c r="AX178">
        <f t="shared" si="185"/>
        <v>0</v>
      </c>
      <c r="AY178">
        <f t="shared" si="186"/>
        <v>0.004</v>
      </c>
      <c r="AZ178">
        <f t="shared" si="187"/>
        <v>0.01</v>
      </c>
      <c r="BA178">
        <f t="shared" si="188"/>
        <v>0.004</v>
      </c>
      <c r="BB178">
        <f t="shared" si="189"/>
        <v>0.104</v>
      </c>
      <c r="BC178">
        <f t="shared" si="190"/>
        <v>0.01</v>
      </c>
      <c r="BD178">
        <f t="shared" si="191"/>
        <v>122.238</v>
      </c>
      <c r="BE178">
        <f t="shared" si="192"/>
        <v>0</v>
      </c>
      <c r="BF178">
        <f t="shared" si="193"/>
        <v>0.01</v>
      </c>
      <c r="BG178">
        <f t="shared" si="194"/>
        <v>0.063</v>
      </c>
      <c r="BH178">
        <f t="shared" si="195"/>
        <v>0.052</v>
      </c>
      <c r="BI178">
        <f t="shared" si="196"/>
        <v>0</v>
      </c>
      <c r="BJ178">
        <f t="shared" si="197"/>
        <v>0.01</v>
      </c>
      <c r="BK178">
        <f t="shared" si="198"/>
        <v>0</v>
      </c>
      <c r="BL178">
        <f t="shared" si="199"/>
        <v>0.125</v>
      </c>
      <c r="BM178">
        <f t="shared" si="200"/>
        <v>0</v>
      </c>
      <c r="BN178">
        <f t="shared" si="201"/>
        <v>0.021</v>
      </c>
      <c r="BO178">
        <f t="shared" si="202"/>
        <v>0.01</v>
      </c>
      <c r="BP178">
        <f t="shared" si="203"/>
        <v>0.047</v>
      </c>
      <c r="BQ178">
        <f t="shared" si="204"/>
        <v>0.004</v>
      </c>
      <c r="BR178">
        <f t="shared" si="205"/>
        <v>0.147</v>
      </c>
      <c r="BS178">
        <f t="shared" si="206"/>
        <v>0.021</v>
      </c>
      <c r="BT178">
        <f t="shared" si="207"/>
        <v>0.057</v>
      </c>
      <c r="BU178">
        <f t="shared" si="208"/>
        <v>0.063</v>
      </c>
      <c r="BV178">
        <f t="shared" si="209"/>
        <v>0.02</v>
      </c>
      <c r="BW178">
        <f t="shared" si="210"/>
        <v>0</v>
      </c>
      <c r="BX178">
        <f t="shared" si="211"/>
        <v>0</v>
      </c>
      <c r="BY178">
        <f t="shared" si="212"/>
        <v>0.031</v>
      </c>
      <c r="BZ178">
        <f t="shared" si="213"/>
        <v>0.063</v>
      </c>
      <c r="CA178">
        <f t="shared" si="214"/>
        <v>0.01</v>
      </c>
      <c r="CB178">
        <f t="shared" si="215"/>
        <v>0.01</v>
      </c>
      <c r="CC178">
        <f t="shared" si="216"/>
        <v>0.084</v>
      </c>
      <c r="CD178">
        <f t="shared" si="217"/>
        <v>0</v>
      </c>
      <c r="CE178">
        <f t="shared" si="218"/>
        <v>0</v>
      </c>
      <c r="CG178" s="6">
        <v>2017</v>
      </c>
      <c r="CH178" s="6" t="s">
        <v>68</v>
      </c>
      <c r="CI178" s="6">
        <v>0.163</v>
      </c>
      <c r="CJ178" s="6">
        <v>0.22</v>
      </c>
      <c r="CK178" s="6" t="s">
        <v>595</v>
      </c>
      <c r="CL178" s="6" t="s">
        <v>596</v>
      </c>
      <c r="CM178" s="6" t="s">
        <v>597</v>
      </c>
    </row>
    <row r="179" spans="4:91">
      <c r="D179">
        <f t="shared" si="220"/>
        <v>2017</v>
      </c>
      <c r="E179" t="s">
        <v>90</v>
      </c>
      <c r="F179" s="1">
        <f t="shared" si="222"/>
        <v>0.000489</v>
      </c>
      <c r="G179" s="1">
        <f t="shared" si="223"/>
        <v>0.000489</v>
      </c>
      <c r="H179" s="1">
        <f t="shared" si="224"/>
        <v>0.016626</v>
      </c>
      <c r="I179" s="1">
        <f t="shared" si="225"/>
        <v>0.055746</v>
      </c>
      <c r="J179" s="1">
        <f t="shared" si="226"/>
        <v>0.006357</v>
      </c>
      <c r="K179" s="1">
        <f t="shared" si="227"/>
        <v>0.254932</v>
      </c>
      <c r="L179" s="1">
        <f t="shared" si="228"/>
        <v>0.001956</v>
      </c>
      <c r="M179" s="1">
        <f t="shared" si="221"/>
        <v>3.43278</v>
      </c>
      <c r="N179" s="1">
        <f t="shared" si="229"/>
        <v>0.004564</v>
      </c>
      <c r="O179" s="1">
        <f t="shared" si="230"/>
        <v>0.007172</v>
      </c>
      <c r="P179" s="1">
        <f t="shared" si="231"/>
        <v>0.41076</v>
      </c>
      <c r="Q179" s="1">
        <f t="shared" si="232"/>
        <v>0.322251</v>
      </c>
      <c r="R179" s="1">
        <f t="shared" si="233"/>
        <v>0.000978</v>
      </c>
      <c r="S179" s="1">
        <f t="shared" si="234"/>
        <v>0.013855</v>
      </c>
      <c r="T179" s="1">
        <f t="shared" si="235"/>
        <v>0.020375</v>
      </c>
      <c r="U179" s="1">
        <f t="shared" si="236"/>
        <v>0.01141</v>
      </c>
      <c r="V179" s="1">
        <f t="shared" si="237"/>
        <v>0.013366</v>
      </c>
      <c r="W179" s="1">
        <f t="shared" si="238"/>
        <v>0.041728</v>
      </c>
      <c r="X179" s="1">
        <f t="shared" si="239"/>
        <v>0.372129</v>
      </c>
      <c r="Y179" s="1">
        <f t="shared" si="240"/>
        <v>0.007335</v>
      </c>
      <c r="Z179" s="1">
        <f t="shared" si="241"/>
        <v>0.006357</v>
      </c>
      <c r="AA179" s="1">
        <f t="shared" si="242"/>
        <v>1.129753</v>
      </c>
      <c r="AB179" s="1">
        <f t="shared" si="243"/>
        <v>0.441404</v>
      </c>
      <c r="AC179" s="1">
        <f t="shared" si="244"/>
        <v>0.008639</v>
      </c>
      <c r="AD179" s="1">
        <f t="shared" si="245"/>
        <v>0.077262</v>
      </c>
      <c r="AE179" s="1">
        <f t="shared" si="246"/>
        <v>0.009128</v>
      </c>
      <c r="AF179" s="1">
        <f t="shared" si="247"/>
        <v>0.000326</v>
      </c>
      <c r="AG179" s="1">
        <f t="shared" si="248"/>
        <v>0.001467</v>
      </c>
      <c r="AH179" s="1">
        <f t="shared" si="249"/>
        <v>0.085249</v>
      </c>
      <c r="AI179" s="1">
        <f t="shared" si="250"/>
        <v>0.14507</v>
      </c>
      <c r="AJ179" s="1">
        <f t="shared" si="251"/>
        <v>0.054931</v>
      </c>
      <c r="AK179" s="1">
        <f t="shared" si="252"/>
        <v>0.001956</v>
      </c>
      <c r="AL179" s="1">
        <f t="shared" si="253"/>
        <v>0.259007</v>
      </c>
      <c r="AM179" s="1">
        <f t="shared" si="254"/>
        <v>0.018256</v>
      </c>
      <c r="AN179" s="1">
        <f t="shared" si="255"/>
        <v>0.000815</v>
      </c>
      <c r="AQ179" s="6">
        <v>2017</v>
      </c>
      <c r="AR179" s="6" t="s">
        <v>90</v>
      </c>
      <c r="AS179" s="6">
        <v>0.163</v>
      </c>
      <c r="AT179" s="6" t="s">
        <v>568</v>
      </c>
      <c r="AU179" s="6" t="s">
        <v>594</v>
      </c>
      <c r="AV179" t="str">
        <f t="shared" si="183"/>
        <v>Tra_EV_Batt-NMC622_virgin</v>
      </c>
      <c r="AW179">
        <f t="shared" si="184"/>
        <v>0.003</v>
      </c>
      <c r="AX179">
        <f t="shared" si="185"/>
        <v>0.003</v>
      </c>
      <c r="AY179">
        <f t="shared" si="186"/>
        <v>0.102</v>
      </c>
      <c r="AZ179">
        <f t="shared" si="187"/>
        <v>0.342</v>
      </c>
      <c r="BA179">
        <f t="shared" si="188"/>
        <v>0.039</v>
      </c>
      <c r="BB179">
        <f t="shared" si="189"/>
        <v>1.564</v>
      </c>
      <c r="BC179">
        <f t="shared" si="190"/>
        <v>0.012</v>
      </c>
      <c r="BD179">
        <f t="shared" si="191"/>
        <v>21.06</v>
      </c>
      <c r="BE179">
        <f t="shared" si="192"/>
        <v>0.028</v>
      </c>
      <c r="BF179">
        <f t="shared" si="193"/>
        <v>0.044</v>
      </c>
      <c r="BG179">
        <f t="shared" si="194"/>
        <v>2.52</v>
      </c>
      <c r="BH179">
        <f t="shared" si="195"/>
        <v>1.977</v>
      </c>
      <c r="BI179">
        <f t="shared" si="196"/>
        <v>0.006</v>
      </c>
      <c r="BJ179">
        <f t="shared" si="197"/>
        <v>0.085</v>
      </c>
      <c r="BK179">
        <f t="shared" si="198"/>
        <v>0.125</v>
      </c>
      <c r="BL179">
        <f t="shared" si="199"/>
        <v>0.07</v>
      </c>
      <c r="BM179">
        <f t="shared" si="200"/>
        <v>0.082</v>
      </c>
      <c r="BN179">
        <f t="shared" si="201"/>
        <v>0.256</v>
      </c>
      <c r="BO179">
        <f t="shared" si="202"/>
        <v>2.283</v>
      </c>
      <c r="BP179">
        <f t="shared" si="203"/>
        <v>0.045</v>
      </c>
      <c r="BQ179">
        <f t="shared" si="204"/>
        <v>0.039</v>
      </c>
      <c r="BR179">
        <f t="shared" si="205"/>
        <v>6.931</v>
      </c>
      <c r="BS179">
        <f t="shared" si="206"/>
        <v>2.708</v>
      </c>
      <c r="BT179">
        <f t="shared" si="207"/>
        <v>0.053</v>
      </c>
      <c r="BU179">
        <f t="shared" si="208"/>
        <v>0.474</v>
      </c>
      <c r="BV179">
        <f t="shared" si="209"/>
        <v>0.056</v>
      </c>
      <c r="BW179">
        <f t="shared" si="210"/>
        <v>0.002</v>
      </c>
      <c r="BX179">
        <f t="shared" si="211"/>
        <v>0.009</v>
      </c>
      <c r="BY179">
        <f t="shared" si="212"/>
        <v>0.523</v>
      </c>
      <c r="BZ179">
        <f t="shared" si="213"/>
        <v>0.89</v>
      </c>
      <c r="CA179">
        <f t="shared" si="214"/>
        <v>0.337</v>
      </c>
      <c r="CB179">
        <f t="shared" si="215"/>
        <v>0.012</v>
      </c>
      <c r="CC179">
        <f t="shared" si="216"/>
        <v>1.589</v>
      </c>
      <c r="CD179">
        <f t="shared" si="217"/>
        <v>0.112</v>
      </c>
      <c r="CE179">
        <f t="shared" si="218"/>
        <v>0.005</v>
      </c>
      <c r="CG179" s="6">
        <v>2017</v>
      </c>
      <c r="CH179" s="6" t="s">
        <v>90</v>
      </c>
      <c r="CI179" s="6">
        <v>0.163</v>
      </c>
      <c r="CJ179" s="6">
        <v>0.22</v>
      </c>
      <c r="CK179" s="6" t="s">
        <v>595</v>
      </c>
      <c r="CL179" s="6" t="s">
        <v>596</v>
      </c>
      <c r="CM179" s="6" t="s">
        <v>597</v>
      </c>
    </row>
    <row r="180" spans="4:91">
      <c r="D180">
        <f t="shared" si="220"/>
        <v>2017</v>
      </c>
      <c r="E180" t="s">
        <v>94</v>
      </c>
      <c r="F180" s="1">
        <f t="shared" si="222"/>
        <v>0.000489</v>
      </c>
      <c r="G180" s="1">
        <f t="shared" si="223"/>
        <v>0.000489</v>
      </c>
      <c r="H180" s="1">
        <f t="shared" si="224"/>
        <v>0.013855</v>
      </c>
      <c r="I180" s="1">
        <f t="shared" si="225"/>
        <v>0.045477</v>
      </c>
      <c r="J180" s="1">
        <f t="shared" si="226"/>
        <v>0.005379</v>
      </c>
      <c r="K180" s="1">
        <f t="shared" si="227"/>
        <v>0.209781</v>
      </c>
      <c r="L180" s="1">
        <f t="shared" si="228"/>
        <v>0.00163</v>
      </c>
      <c r="M180" s="1">
        <f t="shared" si="221"/>
        <v>7.431007</v>
      </c>
      <c r="N180" s="1">
        <f t="shared" si="229"/>
        <v>0.003912</v>
      </c>
      <c r="O180" s="1">
        <f t="shared" si="230"/>
        <v>0.005705</v>
      </c>
      <c r="P180" s="1">
        <f t="shared" si="231"/>
        <v>0.311493</v>
      </c>
      <c r="Q180" s="1">
        <f t="shared" si="232"/>
        <v>0.256399</v>
      </c>
      <c r="R180" s="1">
        <f t="shared" si="233"/>
        <v>0.000815</v>
      </c>
      <c r="S180" s="1">
        <f t="shared" si="234"/>
        <v>0.011247</v>
      </c>
      <c r="T180" s="1">
        <f t="shared" si="235"/>
        <v>0.016952</v>
      </c>
      <c r="U180" s="1">
        <f t="shared" si="236"/>
        <v>0.001141</v>
      </c>
      <c r="V180" s="1">
        <f t="shared" si="237"/>
        <v>0.010921</v>
      </c>
      <c r="W180" s="1">
        <f t="shared" si="238"/>
        <v>0.033089</v>
      </c>
      <c r="X180" s="1">
        <f t="shared" si="239"/>
        <v>0.068786</v>
      </c>
      <c r="Y180" s="1">
        <f t="shared" si="240"/>
        <v>0.006357</v>
      </c>
      <c r="Z180" s="1">
        <f t="shared" si="241"/>
        <v>0.005379</v>
      </c>
      <c r="AA180" s="1">
        <f t="shared" si="242"/>
        <v>0.790876</v>
      </c>
      <c r="AB180" s="1">
        <f t="shared" si="243"/>
        <v>0.264223</v>
      </c>
      <c r="AC180" s="1">
        <f t="shared" si="244"/>
        <v>0.007498</v>
      </c>
      <c r="AD180" s="1">
        <f t="shared" si="245"/>
        <v>0.251346</v>
      </c>
      <c r="AE180" s="1">
        <f t="shared" si="246"/>
        <v>0.007824</v>
      </c>
      <c r="AF180" s="1">
        <f t="shared" si="247"/>
        <v>0.000163</v>
      </c>
      <c r="AG180" s="1">
        <f t="shared" si="248"/>
        <v>0.001141</v>
      </c>
      <c r="AH180" s="1">
        <f t="shared" si="249"/>
        <v>0.069112</v>
      </c>
      <c r="AI180" s="1">
        <f t="shared" si="250"/>
        <v>0.117849</v>
      </c>
      <c r="AJ180" s="1">
        <f t="shared" si="251"/>
        <v>0.044825</v>
      </c>
      <c r="AK180" s="1">
        <f t="shared" si="252"/>
        <v>0.001793</v>
      </c>
      <c r="AL180" s="1">
        <f t="shared" si="253"/>
        <v>0.210759</v>
      </c>
      <c r="AM180" s="1">
        <f t="shared" si="254"/>
        <v>0.003097</v>
      </c>
      <c r="AN180" s="1">
        <f t="shared" si="255"/>
        <v>0.000652</v>
      </c>
      <c r="AQ180" s="6">
        <v>2017</v>
      </c>
      <c r="AR180" s="6" t="s">
        <v>94</v>
      </c>
      <c r="AS180" s="6">
        <v>0.163</v>
      </c>
      <c r="AT180" s="6" t="s">
        <v>568</v>
      </c>
      <c r="AU180" s="6" t="s">
        <v>594</v>
      </c>
      <c r="AV180" t="str">
        <f t="shared" si="183"/>
        <v>Tra_EV_Batt-NMC811_virgin</v>
      </c>
      <c r="AW180">
        <f t="shared" si="184"/>
        <v>0.003</v>
      </c>
      <c r="AX180">
        <f t="shared" si="185"/>
        <v>0.003</v>
      </c>
      <c r="AY180">
        <f t="shared" si="186"/>
        <v>0.085</v>
      </c>
      <c r="AZ180">
        <f t="shared" si="187"/>
        <v>0.279</v>
      </c>
      <c r="BA180">
        <f t="shared" si="188"/>
        <v>0.033</v>
      </c>
      <c r="BB180">
        <f t="shared" si="189"/>
        <v>1.287</v>
      </c>
      <c r="BC180">
        <f t="shared" si="190"/>
        <v>0.01</v>
      </c>
      <c r="BD180">
        <f t="shared" si="191"/>
        <v>45.589</v>
      </c>
      <c r="BE180">
        <f t="shared" si="192"/>
        <v>0.024</v>
      </c>
      <c r="BF180">
        <f t="shared" si="193"/>
        <v>0.035</v>
      </c>
      <c r="BG180">
        <f t="shared" si="194"/>
        <v>1.911</v>
      </c>
      <c r="BH180">
        <f t="shared" si="195"/>
        <v>1.573</v>
      </c>
      <c r="BI180">
        <f t="shared" si="196"/>
        <v>0.005</v>
      </c>
      <c r="BJ180">
        <f t="shared" si="197"/>
        <v>0.069</v>
      </c>
      <c r="BK180">
        <f t="shared" si="198"/>
        <v>0.104</v>
      </c>
      <c r="BL180">
        <f t="shared" si="199"/>
        <v>0.007</v>
      </c>
      <c r="BM180">
        <f t="shared" si="200"/>
        <v>0.067</v>
      </c>
      <c r="BN180">
        <f t="shared" si="201"/>
        <v>0.203</v>
      </c>
      <c r="BO180">
        <f t="shared" si="202"/>
        <v>0.422</v>
      </c>
      <c r="BP180">
        <f t="shared" si="203"/>
        <v>0.039</v>
      </c>
      <c r="BQ180">
        <f t="shared" si="204"/>
        <v>0.033</v>
      </c>
      <c r="BR180">
        <f t="shared" si="205"/>
        <v>4.852</v>
      </c>
      <c r="BS180">
        <f t="shared" si="206"/>
        <v>1.621</v>
      </c>
      <c r="BT180">
        <f t="shared" si="207"/>
        <v>0.046</v>
      </c>
      <c r="BU180">
        <f t="shared" si="208"/>
        <v>1.542</v>
      </c>
      <c r="BV180">
        <f t="shared" si="209"/>
        <v>0.048</v>
      </c>
      <c r="BW180">
        <f t="shared" si="210"/>
        <v>0.001</v>
      </c>
      <c r="BX180">
        <f t="shared" si="211"/>
        <v>0.007</v>
      </c>
      <c r="BY180">
        <f t="shared" si="212"/>
        <v>0.424</v>
      </c>
      <c r="BZ180">
        <f t="shared" si="213"/>
        <v>0.723</v>
      </c>
      <c r="CA180">
        <f t="shared" si="214"/>
        <v>0.275</v>
      </c>
      <c r="CB180">
        <f t="shared" si="215"/>
        <v>0.011</v>
      </c>
      <c r="CC180">
        <f t="shared" si="216"/>
        <v>1.293</v>
      </c>
      <c r="CD180">
        <f t="shared" si="217"/>
        <v>0.019</v>
      </c>
      <c r="CE180">
        <f t="shared" si="218"/>
        <v>0.004</v>
      </c>
      <c r="CG180" s="6">
        <v>2017</v>
      </c>
      <c r="CH180" s="6" t="s">
        <v>94</v>
      </c>
      <c r="CI180" s="6">
        <v>0.163</v>
      </c>
      <c r="CJ180" s="6">
        <v>0.22</v>
      </c>
      <c r="CK180" s="6" t="s">
        <v>595</v>
      </c>
      <c r="CL180" s="6" t="s">
        <v>596</v>
      </c>
      <c r="CM180" s="6" t="s">
        <v>597</v>
      </c>
    </row>
    <row r="181" spans="4:91">
      <c r="D181">
        <f t="shared" si="220"/>
        <v>2017</v>
      </c>
      <c r="E181" t="s">
        <v>86</v>
      </c>
      <c r="F181" s="1">
        <f t="shared" si="222"/>
        <v>0.000163</v>
      </c>
      <c r="G181" s="1">
        <f t="shared" si="223"/>
        <v>0.000163</v>
      </c>
      <c r="H181" s="1">
        <f t="shared" si="224"/>
        <v>0.002771</v>
      </c>
      <c r="I181" s="1">
        <f t="shared" si="225"/>
        <v>0.008639</v>
      </c>
      <c r="J181" s="1">
        <f t="shared" si="226"/>
        <v>0.000978</v>
      </c>
      <c r="K181" s="1">
        <f t="shared" si="227"/>
        <v>0.039772</v>
      </c>
      <c r="L181" s="1">
        <f t="shared" si="228"/>
        <v>0.000163</v>
      </c>
      <c r="M181" s="1">
        <f t="shared" si="221"/>
        <v>1.530733</v>
      </c>
      <c r="N181" s="1">
        <f t="shared" si="229"/>
        <v>0.000815</v>
      </c>
      <c r="O181" s="1">
        <f t="shared" si="230"/>
        <v>0.000978</v>
      </c>
      <c r="P181" s="1">
        <f t="shared" si="231"/>
        <v>0.05216</v>
      </c>
      <c r="Q181" s="1">
        <f t="shared" si="232"/>
        <v>0.046944</v>
      </c>
      <c r="R181" s="1">
        <f t="shared" si="233"/>
        <v>0.000163</v>
      </c>
      <c r="S181" s="1">
        <f t="shared" si="234"/>
        <v>0.001956</v>
      </c>
      <c r="T181" s="1">
        <f t="shared" si="235"/>
        <v>0.003423</v>
      </c>
      <c r="U181" s="1">
        <f t="shared" si="236"/>
        <v>0</v>
      </c>
      <c r="V181" s="1">
        <f t="shared" si="237"/>
        <v>0.002119</v>
      </c>
      <c r="W181" s="1">
        <f t="shared" si="238"/>
        <v>0.005868</v>
      </c>
      <c r="X181" s="1">
        <f t="shared" si="239"/>
        <v>0</v>
      </c>
      <c r="Y181" s="1">
        <f t="shared" si="240"/>
        <v>0.000652</v>
      </c>
      <c r="Z181" s="1">
        <f t="shared" si="241"/>
        <v>0.000978</v>
      </c>
      <c r="AA181" s="1">
        <f t="shared" si="242"/>
        <v>0.776858</v>
      </c>
      <c r="AB181" s="1">
        <f t="shared" si="243"/>
        <v>0.085901</v>
      </c>
      <c r="AC181" s="1">
        <f t="shared" si="244"/>
        <v>0.000815</v>
      </c>
      <c r="AD181" s="1">
        <f t="shared" si="245"/>
        <v>0.175877</v>
      </c>
      <c r="AE181" s="1">
        <f t="shared" si="246"/>
        <v>0.001304</v>
      </c>
      <c r="AF181" s="1">
        <f t="shared" si="247"/>
        <v>0</v>
      </c>
      <c r="AG181" s="1">
        <f t="shared" si="248"/>
        <v>0.000163</v>
      </c>
      <c r="AH181" s="1">
        <f t="shared" si="249"/>
        <v>0.012877</v>
      </c>
      <c r="AI181" s="1">
        <f t="shared" si="250"/>
        <v>0.021842</v>
      </c>
      <c r="AJ181" s="1">
        <f t="shared" si="251"/>
        <v>0.008476</v>
      </c>
      <c r="AK181" s="1">
        <f t="shared" si="252"/>
        <v>0.000326</v>
      </c>
      <c r="AL181" s="1">
        <f t="shared" si="253"/>
        <v>0.039609</v>
      </c>
      <c r="AM181" s="1">
        <f t="shared" si="254"/>
        <v>0</v>
      </c>
      <c r="AN181" s="1">
        <f t="shared" si="255"/>
        <v>0.000163</v>
      </c>
      <c r="AQ181" s="6">
        <v>2017</v>
      </c>
      <c r="AR181" s="6" t="s">
        <v>86</v>
      </c>
      <c r="AS181" s="6">
        <v>0.163</v>
      </c>
      <c r="AT181" s="6" t="s">
        <v>568</v>
      </c>
      <c r="AU181" s="6" t="s">
        <v>594</v>
      </c>
      <c r="AV181" t="str">
        <f t="shared" si="183"/>
        <v>Tra_EV_Batt-NMC532_virgin</v>
      </c>
      <c r="AW181">
        <f t="shared" si="184"/>
        <v>0.001</v>
      </c>
      <c r="AX181">
        <f t="shared" si="185"/>
        <v>0.001</v>
      </c>
      <c r="AY181">
        <f t="shared" si="186"/>
        <v>0.017</v>
      </c>
      <c r="AZ181">
        <f t="shared" si="187"/>
        <v>0.053</v>
      </c>
      <c r="BA181">
        <f t="shared" si="188"/>
        <v>0.006</v>
      </c>
      <c r="BB181">
        <f t="shared" si="189"/>
        <v>0.244</v>
      </c>
      <c r="BC181">
        <f t="shared" si="190"/>
        <v>0.001</v>
      </c>
      <c r="BD181">
        <f t="shared" si="191"/>
        <v>9.391</v>
      </c>
      <c r="BE181">
        <f t="shared" si="192"/>
        <v>0.005</v>
      </c>
      <c r="BF181">
        <f t="shared" si="193"/>
        <v>0.006</v>
      </c>
      <c r="BG181">
        <f t="shared" si="194"/>
        <v>0.32</v>
      </c>
      <c r="BH181">
        <f t="shared" si="195"/>
        <v>0.288</v>
      </c>
      <c r="BI181">
        <f t="shared" si="196"/>
        <v>0.001</v>
      </c>
      <c r="BJ181">
        <f t="shared" si="197"/>
        <v>0.012</v>
      </c>
      <c r="BK181">
        <f t="shared" si="198"/>
        <v>0.021</v>
      </c>
      <c r="BL181">
        <f t="shared" si="199"/>
        <v>0</v>
      </c>
      <c r="BM181">
        <f t="shared" si="200"/>
        <v>0.013</v>
      </c>
      <c r="BN181">
        <f t="shared" si="201"/>
        <v>0.036</v>
      </c>
      <c r="BO181">
        <f t="shared" si="202"/>
        <v>0</v>
      </c>
      <c r="BP181">
        <f t="shared" si="203"/>
        <v>0.004</v>
      </c>
      <c r="BQ181">
        <f t="shared" si="204"/>
        <v>0.006</v>
      </c>
      <c r="BR181">
        <f t="shared" si="205"/>
        <v>4.766</v>
      </c>
      <c r="BS181">
        <f t="shared" si="206"/>
        <v>0.527</v>
      </c>
      <c r="BT181">
        <f t="shared" si="207"/>
        <v>0.005</v>
      </c>
      <c r="BU181">
        <f t="shared" si="208"/>
        <v>1.079</v>
      </c>
      <c r="BV181">
        <f t="shared" si="209"/>
        <v>0.008</v>
      </c>
      <c r="BW181">
        <f t="shared" si="210"/>
        <v>0</v>
      </c>
      <c r="BX181">
        <f t="shared" si="211"/>
        <v>0.001</v>
      </c>
      <c r="BY181">
        <f t="shared" si="212"/>
        <v>0.079</v>
      </c>
      <c r="BZ181">
        <f t="shared" si="213"/>
        <v>0.134</v>
      </c>
      <c r="CA181">
        <f t="shared" si="214"/>
        <v>0.052</v>
      </c>
      <c r="CB181">
        <f t="shared" si="215"/>
        <v>0.002</v>
      </c>
      <c r="CC181">
        <f t="shared" si="216"/>
        <v>0.243</v>
      </c>
      <c r="CD181">
        <f t="shared" si="217"/>
        <v>0</v>
      </c>
      <c r="CE181">
        <f t="shared" si="218"/>
        <v>0.001</v>
      </c>
      <c r="CG181" s="6">
        <v>2017</v>
      </c>
      <c r="CH181" s="6" t="s">
        <v>86</v>
      </c>
      <c r="CI181" s="6">
        <v>0.163</v>
      </c>
      <c r="CJ181" s="6">
        <v>0.22</v>
      </c>
      <c r="CK181" s="6" t="s">
        <v>595</v>
      </c>
      <c r="CL181" s="6" t="s">
        <v>596</v>
      </c>
      <c r="CM181" s="6" t="s">
        <v>597</v>
      </c>
    </row>
    <row r="182" spans="4:91">
      <c r="D182">
        <f t="shared" si="220"/>
        <v>2017</v>
      </c>
      <c r="E182" t="s">
        <v>77</v>
      </c>
      <c r="F182" s="1">
        <f t="shared" si="222"/>
        <v>0</v>
      </c>
      <c r="G182" s="1">
        <f t="shared" si="223"/>
        <v>0</v>
      </c>
      <c r="H182" s="1">
        <f t="shared" si="224"/>
        <v>0</v>
      </c>
      <c r="I182" s="1">
        <f t="shared" si="225"/>
        <v>0</v>
      </c>
      <c r="J182" s="1">
        <f t="shared" si="226"/>
        <v>0</v>
      </c>
      <c r="K182" s="1">
        <f t="shared" si="227"/>
        <v>0</v>
      </c>
      <c r="L182" s="1">
        <f t="shared" si="228"/>
        <v>0</v>
      </c>
      <c r="M182" s="1">
        <f t="shared" si="221"/>
        <v>0.277263</v>
      </c>
      <c r="N182" s="1">
        <f t="shared" si="229"/>
        <v>0</v>
      </c>
      <c r="O182" s="1">
        <f t="shared" si="230"/>
        <v>0</v>
      </c>
      <c r="P182" s="1">
        <f t="shared" si="231"/>
        <v>0</v>
      </c>
      <c r="Q182" s="1">
        <f t="shared" si="232"/>
        <v>0</v>
      </c>
      <c r="R182" s="1">
        <f t="shared" si="233"/>
        <v>0</v>
      </c>
      <c r="S182" s="1">
        <f t="shared" si="234"/>
        <v>0</v>
      </c>
      <c r="T182" s="1">
        <f t="shared" si="235"/>
        <v>0</v>
      </c>
      <c r="U182" s="1">
        <f t="shared" si="236"/>
        <v>0</v>
      </c>
      <c r="V182" s="1">
        <f t="shared" si="237"/>
        <v>0</v>
      </c>
      <c r="W182" s="1">
        <f t="shared" si="238"/>
        <v>0</v>
      </c>
      <c r="X182" s="1">
        <f t="shared" si="239"/>
        <v>0</v>
      </c>
      <c r="Y182" s="1">
        <f t="shared" si="240"/>
        <v>0</v>
      </c>
      <c r="Z182" s="1">
        <f t="shared" si="241"/>
        <v>0</v>
      </c>
      <c r="AA182" s="1">
        <f t="shared" si="242"/>
        <v>0</v>
      </c>
      <c r="AB182" s="1">
        <f t="shared" si="243"/>
        <v>0</v>
      </c>
      <c r="AC182" s="1">
        <f t="shared" si="244"/>
        <v>0</v>
      </c>
      <c r="AD182" s="1">
        <f t="shared" si="245"/>
        <v>0</v>
      </c>
      <c r="AE182" s="1">
        <f t="shared" si="246"/>
        <v>0</v>
      </c>
      <c r="AF182" s="1">
        <f t="shared" si="247"/>
        <v>0</v>
      </c>
      <c r="AG182" s="1">
        <f t="shared" si="248"/>
        <v>0</v>
      </c>
      <c r="AH182" s="1">
        <f t="shared" si="249"/>
        <v>0</v>
      </c>
      <c r="AI182" s="1">
        <f t="shared" si="250"/>
        <v>0</v>
      </c>
      <c r="AJ182" s="1">
        <f t="shared" si="251"/>
        <v>0</v>
      </c>
      <c r="AK182" s="1">
        <f t="shared" si="252"/>
        <v>0</v>
      </c>
      <c r="AL182" s="1">
        <f t="shared" si="253"/>
        <v>0</v>
      </c>
      <c r="AM182" s="1">
        <f t="shared" si="254"/>
        <v>0</v>
      </c>
      <c r="AN182" s="1">
        <f t="shared" si="255"/>
        <v>0</v>
      </c>
      <c r="AQ182" s="6">
        <v>2017</v>
      </c>
      <c r="AR182" s="6" t="s">
        <v>77</v>
      </c>
      <c r="AS182" s="6">
        <v>0.163</v>
      </c>
      <c r="AT182" s="6" t="s">
        <v>568</v>
      </c>
      <c r="AU182" s="6" t="s">
        <v>594</v>
      </c>
      <c r="AV182" t="str">
        <f t="shared" si="183"/>
        <v>Tra_EV_Batt-NCA_virgin</v>
      </c>
      <c r="AW182">
        <f t="shared" si="184"/>
        <v>0</v>
      </c>
      <c r="AX182">
        <f t="shared" si="185"/>
        <v>0</v>
      </c>
      <c r="AY182">
        <f t="shared" si="186"/>
        <v>0</v>
      </c>
      <c r="AZ182">
        <f t="shared" si="187"/>
        <v>0</v>
      </c>
      <c r="BA182">
        <f t="shared" si="188"/>
        <v>0</v>
      </c>
      <c r="BB182">
        <f t="shared" si="189"/>
        <v>0</v>
      </c>
      <c r="BC182">
        <f t="shared" si="190"/>
        <v>0</v>
      </c>
      <c r="BD182">
        <f t="shared" si="191"/>
        <v>1.701</v>
      </c>
      <c r="BE182">
        <f t="shared" si="192"/>
        <v>0</v>
      </c>
      <c r="BF182">
        <f t="shared" si="193"/>
        <v>0</v>
      </c>
      <c r="BG182">
        <f t="shared" si="194"/>
        <v>0</v>
      </c>
      <c r="BH182">
        <f t="shared" si="195"/>
        <v>0</v>
      </c>
      <c r="BI182">
        <f t="shared" si="196"/>
        <v>0</v>
      </c>
      <c r="BJ182">
        <f t="shared" si="197"/>
        <v>0</v>
      </c>
      <c r="BK182">
        <f t="shared" si="198"/>
        <v>0</v>
      </c>
      <c r="BL182">
        <f t="shared" si="199"/>
        <v>0</v>
      </c>
      <c r="BM182">
        <f t="shared" si="200"/>
        <v>0</v>
      </c>
      <c r="BN182">
        <f t="shared" si="201"/>
        <v>0</v>
      </c>
      <c r="BO182">
        <f t="shared" si="202"/>
        <v>0</v>
      </c>
      <c r="BP182">
        <f t="shared" si="203"/>
        <v>0</v>
      </c>
      <c r="BQ182">
        <f t="shared" si="204"/>
        <v>0</v>
      </c>
      <c r="BR182">
        <f t="shared" si="205"/>
        <v>0</v>
      </c>
      <c r="BS182">
        <f t="shared" si="206"/>
        <v>0</v>
      </c>
      <c r="BT182">
        <f t="shared" si="207"/>
        <v>0</v>
      </c>
      <c r="BU182">
        <f t="shared" si="208"/>
        <v>0</v>
      </c>
      <c r="BV182">
        <f t="shared" si="209"/>
        <v>0</v>
      </c>
      <c r="BW182">
        <f t="shared" si="210"/>
        <v>0</v>
      </c>
      <c r="BX182">
        <f t="shared" si="211"/>
        <v>0</v>
      </c>
      <c r="BY182">
        <f t="shared" si="212"/>
        <v>0</v>
      </c>
      <c r="BZ182">
        <f t="shared" si="213"/>
        <v>0</v>
      </c>
      <c r="CA182">
        <f t="shared" si="214"/>
        <v>0</v>
      </c>
      <c r="CB182">
        <f t="shared" si="215"/>
        <v>0</v>
      </c>
      <c r="CC182">
        <f t="shared" si="216"/>
        <v>0</v>
      </c>
      <c r="CD182">
        <f t="shared" si="217"/>
        <v>0</v>
      </c>
      <c r="CE182">
        <f t="shared" si="218"/>
        <v>0</v>
      </c>
      <c r="CG182" s="6">
        <v>2017</v>
      </c>
      <c r="CH182" s="6" t="s">
        <v>77</v>
      </c>
      <c r="CI182" s="6">
        <v>0.163</v>
      </c>
      <c r="CJ182" s="6">
        <v>0.22</v>
      </c>
      <c r="CK182" s="6" t="s">
        <v>595</v>
      </c>
      <c r="CL182" s="6" t="s">
        <v>596</v>
      </c>
      <c r="CM182" s="6" t="s">
        <v>597</v>
      </c>
    </row>
    <row r="183" spans="4:91">
      <c r="D183">
        <f t="shared" si="220"/>
        <v>2017</v>
      </c>
      <c r="E183" t="s">
        <v>73</v>
      </c>
      <c r="F183" s="1">
        <f t="shared" si="222"/>
        <v>0.000326</v>
      </c>
      <c r="G183" s="1">
        <f t="shared" si="223"/>
        <v>0.000326</v>
      </c>
      <c r="H183" s="1">
        <f t="shared" si="224"/>
        <v>0.010921</v>
      </c>
      <c r="I183" s="1">
        <f t="shared" si="225"/>
        <v>0.034556</v>
      </c>
      <c r="J183" s="1">
        <f t="shared" si="226"/>
        <v>0.004075</v>
      </c>
      <c r="K183" s="1">
        <f t="shared" si="227"/>
        <v>0.159088</v>
      </c>
      <c r="L183" s="1">
        <f t="shared" si="228"/>
        <v>0.000978</v>
      </c>
      <c r="M183" s="1">
        <f t="shared" si="221"/>
        <v>0.415813</v>
      </c>
      <c r="N183" s="1">
        <f t="shared" si="229"/>
        <v>0.003097</v>
      </c>
      <c r="O183" s="1">
        <f t="shared" si="230"/>
        <v>0.003586</v>
      </c>
      <c r="P183" s="1">
        <f t="shared" si="231"/>
        <v>0.208966</v>
      </c>
      <c r="Q183" s="1">
        <f t="shared" si="232"/>
        <v>0.187613</v>
      </c>
      <c r="R183" s="1">
        <f t="shared" si="233"/>
        <v>0.000652</v>
      </c>
      <c r="S183" s="1">
        <f t="shared" si="234"/>
        <v>0.00815</v>
      </c>
      <c r="T183" s="1">
        <f t="shared" si="235"/>
        <v>0.013692</v>
      </c>
      <c r="U183" s="1">
        <f t="shared" si="236"/>
        <v>0</v>
      </c>
      <c r="V183" s="1">
        <f t="shared" si="237"/>
        <v>0.008476</v>
      </c>
      <c r="W183" s="1">
        <f t="shared" si="238"/>
        <v>0.023309</v>
      </c>
      <c r="X183" s="1">
        <f t="shared" si="239"/>
        <v>0.117686</v>
      </c>
      <c r="Y183" s="1">
        <f t="shared" si="240"/>
        <v>0.002771</v>
      </c>
      <c r="Z183" s="1">
        <f t="shared" si="241"/>
        <v>0.004075</v>
      </c>
      <c r="AA183" s="1">
        <f t="shared" si="242"/>
        <v>7.214217</v>
      </c>
      <c r="AB183" s="1">
        <f t="shared" si="243"/>
        <v>0.601144</v>
      </c>
      <c r="AC183" s="1">
        <f t="shared" si="244"/>
        <v>0.003097</v>
      </c>
      <c r="AD183" s="1">
        <f t="shared" si="245"/>
        <v>0.175877</v>
      </c>
      <c r="AE183" s="1">
        <f t="shared" si="246"/>
        <v>0.005379</v>
      </c>
      <c r="AF183" s="1">
        <f t="shared" si="247"/>
        <v>0.000163</v>
      </c>
      <c r="AG183" s="1">
        <f t="shared" si="248"/>
        <v>0.000978</v>
      </c>
      <c r="AH183" s="1">
        <f t="shared" si="249"/>
        <v>0.051345</v>
      </c>
      <c r="AI183" s="1">
        <f t="shared" si="250"/>
        <v>0.087205</v>
      </c>
      <c r="AJ183" s="1">
        <f t="shared" si="251"/>
        <v>0.033904</v>
      </c>
      <c r="AK183" s="1">
        <f t="shared" si="252"/>
        <v>0.000978</v>
      </c>
      <c r="AL183" s="1">
        <f t="shared" si="253"/>
        <v>0.15811</v>
      </c>
      <c r="AM183" s="1">
        <f t="shared" si="254"/>
        <v>0.006031</v>
      </c>
      <c r="AN183" s="1">
        <f t="shared" si="255"/>
        <v>0.000489</v>
      </c>
      <c r="AQ183" s="6">
        <v>2017</v>
      </c>
      <c r="AR183" s="6" t="s">
        <v>73</v>
      </c>
      <c r="AS183" s="6">
        <v>0.163</v>
      </c>
      <c r="AT183" s="6" t="s">
        <v>568</v>
      </c>
      <c r="AU183" s="6" t="s">
        <v>594</v>
      </c>
      <c r="AV183" t="str">
        <f t="shared" ref="AV183:AV214" si="256" xml:space="preserve">AV162</f>
        <v>Tra_EV_Batt-LMO_virgin</v>
      </c>
      <c r="AW183">
        <f t="shared" ref="AW183:AW214" si="257" xml:space="preserve">AW162</f>
        <v>0.002</v>
      </c>
      <c r="AX183">
        <f t="shared" ref="AX183:AX214" si="258" xml:space="preserve">AX162</f>
        <v>0.002</v>
      </c>
      <c r="AY183">
        <f t="shared" ref="AY183:AY214" si="259" xml:space="preserve">AY162</f>
        <v>0.067</v>
      </c>
      <c r="AZ183">
        <f t="shared" ref="AZ183:AZ214" si="260" xml:space="preserve">AZ162</f>
        <v>0.212</v>
      </c>
      <c r="BA183">
        <f t="shared" ref="BA183:BA214" si="261" xml:space="preserve">BA162</f>
        <v>0.025</v>
      </c>
      <c r="BB183">
        <f t="shared" ref="BB183:BB214" si="262" xml:space="preserve">BB162</f>
        <v>0.976</v>
      </c>
      <c r="BC183">
        <f t="shared" ref="BC183:BC214" si="263" xml:space="preserve">BC162</f>
        <v>0.006</v>
      </c>
      <c r="BD183">
        <f t="shared" ref="BD183:BD214" si="264" xml:space="preserve">BD162</f>
        <v>2.551</v>
      </c>
      <c r="BE183">
        <f t="shared" ref="BE183:BE214" si="265" xml:space="preserve">BE162</f>
        <v>0.019</v>
      </c>
      <c r="BF183">
        <f t="shared" ref="BF183:BF214" si="266" xml:space="preserve">BF162</f>
        <v>0.022</v>
      </c>
      <c r="BG183">
        <f t="shared" ref="BG183:BG214" si="267" xml:space="preserve">BG162</f>
        <v>1.282</v>
      </c>
      <c r="BH183">
        <f t="shared" ref="BH183:BH214" si="268" xml:space="preserve">BH162</f>
        <v>1.151</v>
      </c>
      <c r="BI183">
        <f t="shared" ref="BI183:BI214" si="269" xml:space="preserve">BI162</f>
        <v>0.004</v>
      </c>
      <c r="BJ183">
        <f t="shared" ref="BJ183:BJ214" si="270" xml:space="preserve">BJ162</f>
        <v>0.05</v>
      </c>
      <c r="BK183">
        <f t="shared" ref="BK183:BK214" si="271" xml:space="preserve">BK162</f>
        <v>0.084</v>
      </c>
      <c r="BL183">
        <f t="shared" ref="BL183:BL214" si="272" xml:space="preserve">BL162</f>
        <v>0</v>
      </c>
      <c r="BM183">
        <f t="shared" ref="BM183:BM214" si="273" xml:space="preserve">BM162</f>
        <v>0.052</v>
      </c>
      <c r="BN183">
        <f t="shared" ref="BN183:BN214" si="274" xml:space="preserve">BN162</f>
        <v>0.143</v>
      </c>
      <c r="BO183">
        <f t="shared" ref="BO183:BO214" si="275" xml:space="preserve">BO162</f>
        <v>0.722</v>
      </c>
      <c r="BP183">
        <f t="shared" ref="BP183:BP214" si="276" xml:space="preserve">BP162</f>
        <v>0.017</v>
      </c>
      <c r="BQ183">
        <f t="shared" ref="BQ183:BQ214" si="277" xml:space="preserve">BQ162</f>
        <v>0.025</v>
      </c>
      <c r="BR183">
        <f t="shared" ref="BR183:BR214" si="278" xml:space="preserve">BR162</f>
        <v>44.259</v>
      </c>
      <c r="BS183">
        <f t="shared" ref="BS183:BS214" si="279" xml:space="preserve">BS162</f>
        <v>3.688</v>
      </c>
      <c r="BT183">
        <f t="shared" ref="BT183:BT214" si="280" xml:space="preserve">BT162</f>
        <v>0.019</v>
      </c>
      <c r="BU183">
        <f t="shared" ref="BU183:BU214" si="281" xml:space="preserve">BU162</f>
        <v>1.079</v>
      </c>
      <c r="BV183">
        <f t="shared" ref="BV183:BV214" si="282" xml:space="preserve">BV162</f>
        <v>0.033</v>
      </c>
      <c r="BW183">
        <f t="shared" ref="BW183:BW214" si="283" xml:space="preserve">BW162</f>
        <v>0.001</v>
      </c>
      <c r="BX183">
        <f t="shared" ref="BX183:BX214" si="284" xml:space="preserve">BX162</f>
        <v>0.006</v>
      </c>
      <c r="BY183">
        <f t="shared" ref="BY183:BY214" si="285" xml:space="preserve">BY162</f>
        <v>0.315</v>
      </c>
      <c r="BZ183">
        <f t="shared" ref="BZ183:BZ214" si="286" xml:space="preserve">BZ162</f>
        <v>0.535</v>
      </c>
      <c r="CA183">
        <f t="shared" ref="CA183:CA214" si="287" xml:space="preserve">CA162</f>
        <v>0.208</v>
      </c>
      <c r="CB183">
        <f t="shared" ref="CB183:CB214" si="288" xml:space="preserve">CB162</f>
        <v>0.006</v>
      </c>
      <c r="CC183">
        <f t="shared" ref="CC183:CC214" si="289" xml:space="preserve">CC162</f>
        <v>0.97</v>
      </c>
      <c r="CD183">
        <f t="shared" ref="CD183:CD214" si="290" xml:space="preserve">CD162</f>
        <v>0.037</v>
      </c>
      <c r="CE183">
        <f t="shared" ref="CE183:CE214" si="291" xml:space="preserve">CE162</f>
        <v>0.003</v>
      </c>
      <c r="CG183" s="6">
        <v>2017</v>
      </c>
      <c r="CH183" s="6" t="s">
        <v>73</v>
      </c>
      <c r="CI183" s="6">
        <v>0.163</v>
      </c>
      <c r="CJ183" s="6">
        <v>0.22</v>
      </c>
      <c r="CK183" s="6" t="s">
        <v>595</v>
      </c>
      <c r="CL183" s="6" t="s">
        <v>596</v>
      </c>
      <c r="CM183" s="6" t="s">
        <v>597</v>
      </c>
    </row>
    <row r="184" spans="4:91">
      <c r="D184">
        <f t="shared" si="220"/>
        <v>2017</v>
      </c>
      <c r="E184" t="s">
        <v>81</v>
      </c>
      <c r="F184" s="1">
        <f t="shared" si="222"/>
        <v>0.000326</v>
      </c>
      <c r="G184" s="1">
        <f t="shared" si="223"/>
        <v>0.000326</v>
      </c>
      <c r="H184" s="1">
        <f t="shared" si="224"/>
        <v>0.010921</v>
      </c>
      <c r="I184" s="1">
        <f t="shared" si="225"/>
        <v>0.037979</v>
      </c>
      <c r="J184" s="1">
        <f t="shared" si="226"/>
        <v>0.004075</v>
      </c>
      <c r="K184" s="1">
        <f t="shared" si="227"/>
        <v>0.169683</v>
      </c>
      <c r="L184" s="1">
        <f t="shared" si="228"/>
        <v>0.000978</v>
      </c>
      <c r="M184" s="1">
        <f t="shared" si="221"/>
        <v>0.277263</v>
      </c>
      <c r="N184" s="1">
        <f t="shared" si="229"/>
        <v>0.003097</v>
      </c>
      <c r="O184" s="1">
        <f t="shared" si="230"/>
        <v>0.004727</v>
      </c>
      <c r="P184" s="1">
        <f t="shared" si="231"/>
        <v>0.303017</v>
      </c>
      <c r="Q184" s="1">
        <f t="shared" si="232"/>
        <v>0.225592</v>
      </c>
      <c r="R184" s="1">
        <f t="shared" si="233"/>
        <v>0.000652</v>
      </c>
      <c r="S184" s="1">
        <f t="shared" si="234"/>
        <v>0.009291</v>
      </c>
      <c r="T184" s="1">
        <f t="shared" si="235"/>
        <v>0.013692</v>
      </c>
      <c r="U184" s="1">
        <f t="shared" si="236"/>
        <v>0.006846</v>
      </c>
      <c r="V184" s="1">
        <f t="shared" si="237"/>
        <v>0.009128</v>
      </c>
      <c r="W184" s="1">
        <f t="shared" si="238"/>
        <v>0.029014</v>
      </c>
      <c r="X184" s="1">
        <f t="shared" si="239"/>
        <v>0.665692</v>
      </c>
      <c r="Y184" s="1">
        <f t="shared" si="240"/>
        <v>0.003423</v>
      </c>
      <c r="Z184" s="1">
        <f t="shared" si="241"/>
        <v>0.004075</v>
      </c>
      <c r="AA184" s="1">
        <f t="shared" si="242"/>
        <v>1.232769</v>
      </c>
      <c r="AB184" s="1">
        <f t="shared" si="243"/>
        <v>0.354525</v>
      </c>
      <c r="AC184" s="1">
        <f t="shared" si="244"/>
        <v>0.004075</v>
      </c>
      <c r="AD184" s="1">
        <f t="shared" si="245"/>
        <v>0.038631</v>
      </c>
      <c r="AE184" s="1">
        <f t="shared" si="246"/>
        <v>0.005379</v>
      </c>
      <c r="AF184" s="1">
        <f t="shared" si="247"/>
        <v>0.000163</v>
      </c>
      <c r="AG184" s="1">
        <f t="shared" si="248"/>
        <v>0.000978</v>
      </c>
      <c r="AH184" s="1">
        <f t="shared" si="249"/>
        <v>0.057865</v>
      </c>
      <c r="AI184" s="1">
        <f t="shared" si="250"/>
        <v>0.097963</v>
      </c>
      <c r="AJ184" s="1">
        <f t="shared" si="251"/>
        <v>0.037327</v>
      </c>
      <c r="AK184" s="1">
        <f t="shared" si="252"/>
        <v>0.000978</v>
      </c>
      <c r="AL184" s="1">
        <f t="shared" si="253"/>
        <v>0.175388</v>
      </c>
      <c r="AM184" s="1">
        <f t="shared" si="254"/>
        <v>0.033415</v>
      </c>
      <c r="AN184" s="1">
        <f t="shared" si="255"/>
        <v>0.000489</v>
      </c>
      <c r="AQ184" s="6">
        <v>2017</v>
      </c>
      <c r="AR184" s="6" t="s">
        <v>81</v>
      </c>
      <c r="AS184" s="6">
        <v>0.163</v>
      </c>
      <c r="AT184" s="6" t="s">
        <v>568</v>
      </c>
      <c r="AU184" s="6" t="s">
        <v>594</v>
      </c>
      <c r="AV184" t="str">
        <f t="shared" si="256"/>
        <v>Tra_EV_Batt-NMC111_virgin</v>
      </c>
      <c r="AW184">
        <f t="shared" si="257"/>
        <v>0.002</v>
      </c>
      <c r="AX184">
        <f t="shared" si="258"/>
        <v>0.002</v>
      </c>
      <c r="AY184">
        <f t="shared" si="259"/>
        <v>0.067</v>
      </c>
      <c r="AZ184">
        <f t="shared" si="260"/>
        <v>0.233</v>
      </c>
      <c r="BA184">
        <f t="shared" si="261"/>
        <v>0.025</v>
      </c>
      <c r="BB184">
        <f t="shared" si="262"/>
        <v>1.041</v>
      </c>
      <c r="BC184">
        <f t="shared" si="263"/>
        <v>0.006</v>
      </c>
      <c r="BD184">
        <f t="shared" si="264"/>
        <v>1.701</v>
      </c>
      <c r="BE184">
        <f t="shared" si="265"/>
        <v>0.019</v>
      </c>
      <c r="BF184">
        <f t="shared" si="266"/>
        <v>0.029</v>
      </c>
      <c r="BG184">
        <f t="shared" si="267"/>
        <v>1.859</v>
      </c>
      <c r="BH184">
        <f t="shared" si="268"/>
        <v>1.384</v>
      </c>
      <c r="BI184">
        <f t="shared" si="269"/>
        <v>0.004</v>
      </c>
      <c r="BJ184">
        <f t="shared" si="270"/>
        <v>0.057</v>
      </c>
      <c r="BK184">
        <f t="shared" si="271"/>
        <v>0.084</v>
      </c>
      <c r="BL184">
        <f t="shared" si="272"/>
        <v>0.042</v>
      </c>
      <c r="BM184">
        <f t="shared" si="273"/>
        <v>0.056</v>
      </c>
      <c r="BN184">
        <f t="shared" si="274"/>
        <v>0.178</v>
      </c>
      <c r="BO184">
        <f t="shared" si="275"/>
        <v>4.084</v>
      </c>
      <c r="BP184">
        <f t="shared" si="276"/>
        <v>0.021</v>
      </c>
      <c r="BQ184">
        <f t="shared" si="277"/>
        <v>0.025</v>
      </c>
      <c r="BR184">
        <f t="shared" si="278"/>
        <v>7.563</v>
      </c>
      <c r="BS184">
        <f t="shared" si="279"/>
        <v>2.175</v>
      </c>
      <c r="BT184">
        <f t="shared" si="280"/>
        <v>0.025</v>
      </c>
      <c r="BU184">
        <f t="shared" si="281"/>
        <v>0.237</v>
      </c>
      <c r="BV184">
        <f t="shared" si="282"/>
        <v>0.033</v>
      </c>
      <c r="BW184">
        <f t="shared" si="283"/>
        <v>0.001</v>
      </c>
      <c r="BX184">
        <f t="shared" si="284"/>
        <v>0.006</v>
      </c>
      <c r="BY184">
        <f t="shared" si="285"/>
        <v>0.355</v>
      </c>
      <c r="BZ184">
        <f t="shared" si="286"/>
        <v>0.601</v>
      </c>
      <c r="CA184">
        <f t="shared" si="287"/>
        <v>0.229</v>
      </c>
      <c r="CB184">
        <f t="shared" si="288"/>
        <v>0.006</v>
      </c>
      <c r="CC184">
        <f t="shared" si="289"/>
        <v>1.076</v>
      </c>
      <c r="CD184">
        <f t="shared" si="290"/>
        <v>0.205</v>
      </c>
      <c r="CE184">
        <f t="shared" si="291"/>
        <v>0.003</v>
      </c>
      <c r="CG184" s="6">
        <v>2017</v>
      </c>
      <c r="CH184" s="6" t="s">
        <v>81</v>
      </c>
      <c r="CI184" s="6">
        <v>0.163</v>
      </c>
      <c r="CJ184" s="6">
        <v>0.22</v>
      </c>
      <c r="CK184" s="6" t="s">
        <v>595</v>
      </c>
      <c r="CL184" s="6" t="s">
        <v>596</v>
      </c>
      <c r="CM184" s="6" t="s">
        <v>597</v>
      </c>
    </row>
    <row r="185" spans="4:91">
      <c r="D185">
        <f t="shared" si="220"/>
        <v>2017</v>
      </c>
      <c r="E185" t="s">
        <v>69</v>
      </c>
      <c r="F185" s="1">
        <f t="shared" si="222"/>
        <v>0</v>
      </c>
      <c r="G185" s="1">
        <f t="shared" si="223"/>
        <v>0</v>
      </c>
      <c r="H185" s="1">
        <f t="shared" si="224"/>
        <v>0.000652</v>
      </c>
      <c r="I185" s="1">
        <f t="shared" si="225"/>
        <v>0.00163</v>
      </c>
      <c r="J185" s="1">
        <f t="shared" si="226"/>
        <v>0.000652</v>
      </c>
      <c r="K185" s="1">
        <f t="shared" si="227"/>
        <v>0.016952</v>
      </c>
      <c r="L185" s="1">
        <f t="shared" si="228"/>
        <v>0.00163</v>
      </c>
      <c r="M185" s="1">
        <f t="shared" si="221"/>
        <v>19.924794</v>
      </c>
      <c r="N185" s="1">
        <f t="shared" si="229"/>
        <v>0</v>
      </c>
      <c r="O185" s="1">
        <f t="shared" si="230"/>
        <v>0.00163</v>
      </c>
      <c r="P185" s="1">
        <f t="shared" si="231"/>
        <v>0.010269</v>
      </c>
      <c r="Q185" s="1">
        <f t="shared" si="232"/>
        <v>0.008476</v>
      </c>
      <c r="R185" s="1">
        <f t="shared" si="233"/>
        <v>0</v>
      </c>
      <c r="S185" s="1">
        <f t="shared" si="234"/>
        <v>0.00163</v>
      </c>
      <c r="T185" s="1">
        <f t="shared" si="235"/>
        <v>0</v>
      </c>
      <c r="U185" s="1">
        <f t="shared" si="236"/>
        <v>0.020375</v>
      </c>
      <c r="V185" s="1">
        <f t="shared" si="237"/>
        <v>0</v>
      </c>
      <c r="W185" s="1">
        <f t="shared" si="238"/>
        <v>0.003423</v>
      </c>
      <c r="X185" s="1">
        <f t="shared" si="239"/>
        <v>0.00163</v>
      </c>
      <c r="Y185" s="1">
        <f t="shared" si="240"/>
        <v>0.007661</v>
      </c>
      <c r="Z185" s="1">
        <f t="shared" si="241"/>
        <v>0.000652</v>
      </c>
      <c r="AA185" s="1">
        <f t="shared" si="242"/>
        <v>0.023961</v>
      </c>
      <c r="AB185" s="1">
        <f t="shared" si="243"/>
        <v>0.003423</v>
      </c>
      <c r="AC185" s="1">
        <f t="shared" si="244"/>
        <v>0.009291</v>
      </c>
      <c r="AD185" s="1">
        <f t="shared" si="245"/>
        <v>0.010269</v>
      </c>
      <c r="AE185" s="1">
        <f t="shared" si="246"/>
        <v>0.00326</v>
      </c>
      <c r="AF185" s="1">
        <f t="shared" si="247"/>
        <v>0</v>
      </c>
      <c r="AG185" s="1">
        <f t="shared" si="248"/>
        <v>0</v>
      </c>
      <c r="AH185" s="1">
        <f t="shared" si="249"/>
        <v>0.005053</v>
      </c>
      <c r="AI185" s="1">
        <f t="shared" si="250"/>
        <v>0.010269</v>
      </c>
      <c r="AJ185" s="1">
        <f t="shared" si="251"/>
        <v>0.00163</v>
      </c>
      <c r="AK185" s="1">
        <f t="shared" si="252"/>
        <v>0.00163</v>
      </c>
      <c r="AL185" s="1">
        <f t="shared" si="253"/>
        <v>0.013692</v>
      </c>
      <c r="AM185" s="1">
        <f t="shared" si="254"/>
        <v>0</v>
      </c>
      <c r="AN185" s="1">
        <f t="shared" si="255"/>
        <v>0</v>
      </c>
      <c r="AQ185" s="6">
        <v>2017</v>
      </c>
      <c r="AR185" s="6" t="s">
        <v>69</v>
      </c>
      <c r="AS185" s="6">
        <v>0.163</v>
      </c>
      <c r="AT185" s="6" t="s">
        <v>568</v>
      </c>
      <c r="AU185" s="6" t="s">
        <v>594</v>
      </c>
      <c r="AV185" t="str">
        <f t="shared" si="256"/>
        <v>Tra_EV_Batt-LFP_virgin_pack</v>
      </c>
      <c r="AW185">
        <f t="shared" si="257"/>
        <v>0</v>
      </c>
      <c r="AX185">
        <f t="shared" si="258"/>
        <v>0</v>
      </c>
      <c r="AY185">
        <f t="shared" si="259"/>
        <v>0.004</v>
      </c>
      <c r="AZ185">
        <f t="shared" si="260"/>
        <v>0.01</v>
      </c>
      <c r="BA185">
        <f t="shared" si="261"/>
        <v>0.004</v>
      </c>
      <c r="BB185">
        <f t="shared" si="262"/>
        <v>0.104</v>
      </c>
      <c r="BC185">
        <f t="shared" si="263"/>
        <v>0.01</v>
      </c>
      <c r="BD185">
        <f t="shared" si="264"/>
        <v>122.238</v>
      </c>
      <c r="BE185">
        <f t="shared" si="265"/>
        <v>0</v>
      </c>
      <c r="BF185">
        <f t="shared" si="266"/>
        <v>0.01</v>
      </c>
      <c r="BG185">
        <f t="shared" si="267"/>
        <v>0.063</v>
      </c>
      <c r="BH185">
        <f t="shared" si="268"/>
        <v>0.052</v>
      </c>
      <c r="BI185">
        <f t="shared" si="269"/>
        <v>0</v>
      </c>
      <c r="BJ185">
        <f t="shared" si="270"/>
        <v>0.01</v>
      </c>
      <c r="BK185">
        <f t="shared" si="271"/>
        <v>0</v>
      </c>
      <c r="BL185">
        <f t="shared" si="272"/>
        <v>0.125</v>
      </c>
      <c r="BM185">
        <f t="shared" si="273"/>
        <v>0</v>
      </c>
      <c r="BN185">
        <f t="shared" si="274"/>
        <v>0.021</v>
      </c>
      <c r="BO185">
        <f t="shared" si="275"/>
        <v>0.01</v>
      </c>
      <c r="BP185">
        <f t="shared" si="276"/>
        <v>0.047</v>
      </c>
      <c r="BQ185">
        <f t="shared" si="277"/>
        <v>0.004</v>
      </c>
      <c r="BR185">
        <f t="shared" si="278"/>
        <v>0.147</v>
      </c>
      <c r="BS185">
        <f t="shared" si="279"/>
        <v>0.021</v>
      </c>
      <c r="BT185">
        <f t="shared" si="280"/>
        <v>0.057</v>
      </c>
      <c r="BU185">
        <f t="shared" si="281"/>
        <v>0.063</v>
      </c>
      <c r="BV185">
        <f t="shared" si="282"/>
        <v>0.02</v>
      </c>
      <c r="BW185">
        <f t="shared" si="283"/>
        <v>0</v>
      </c>
      <c r="BX185">
        <f t="shared" si="284"/>
        <v>0</v>
      </c>
      <c r="BY185">
        <f t="shared" si="285"/>
        <v>0.031</v>
      </c>
      <c r="BZ185">
        <f t="shared" si="286"/>
        <v>0.063</v>
      </c>
      <c r="CA185">
        <f t="shared" si="287"/>
        <v>0.01</v>
      </c>
      <c r="CB185">
        <f t="shared" si="288"/>
        <v>0.01</v>
      </c>
      <c r="CC185">
        <f t="shared" si="289"/>
        <v>0.084</v>
      </c>
      <c r="CD185">
        <f t="shared" si="290"/>
        <v>0</v>
      </c>
      <c r="CE185">
        <f t="shared" si="291"/>
        <v>0</v>
      </c>
      <c r="CG185" s="6">
        <v>2017</v>
      </c>
      <c r="CH185" s="6" t="s">
        <v>69</v>
      </c>
      <c r="CI185" s="6">
        <v>0.163</v>
      </c>
      <c r="CJ185" s="6">
        <v>0.22</v>
      </c>
      <c r="CK185" s="6" t="s">
        <v>595</v>
      </c>
      <c r="CL185" s="6" t="s">
        <v>596</v>
      </c>
      <c r="CM185" s="6" t="s">
        <v>597</v>
      </c>
    </row>
    <row r="186" spans="4:91">
      <c r="D186">
        <f t="shared" si="220"/>
        <v>2017</v>
      </c>
      <c r="E186" t="s">
        <v>91</v>
      </c>
      <c r="F186" s="1">
        <f t="shared" si="222"/>
        <v>0.000489</v>
      </c>
      <c r="G186" s="1">
        <f t="shared" si="223"/>
        <v>0.000489</v>
      </c>
      <c r="H186" s="1">
        <f t="shared" si="224"/>
        <v>0.016626</v>
      </c>
      <c r="I186" s="1">
        <f t="shared" si="225"/>
        <v>0.055746</v>
      </c>
      <c r="J186" s="1">
        <f t="shared" si="226"/>
        <v>0.006357</v>
      </c>
      <c r="K186" s="1">
        <f t="shared" si="227"/>
        <v>0.254932</v>
      </c>
      <c r="L186" s="1">
        <f t="shared" si="228"/>
        <v>0.001956</v>
      </c>
      <c r="M186" s="1">
        <f t="shared" si="221"/>
        <v>3.43278</v>
      </c>
      <c r="N186" s="1">
        <f t="shared" si="229"/>
        <v>0.004564</v>
      </c>
      <c r="O186" s="1">
        <f t="shared" si="230"/>
        <v>0.007172</v>
      </c>
      <c r="P186" s="1">
        <f t="shared" si="231"/>
        <v>0.41076</v>
      </c>
      <c r="Q186" s="1">
        <f t="shared" si="232"/>
        <v>0.322251</v>
      </c>
      <c r="R186" s="1">
        <f t="shared" si="233"/>
        <v>0.000978</v>
      </c>
      <c r="S186" s="1">
        <f t="shared" si="234"/>
        <v>0.013855</v>
      </c>
      <c r="T186" s="1">
        <f t="shared" si="235"/>
        <v>0.020375</v>
      </c>
      <c r="U186" s="1">
        <f t="shared" si="236"/>
        <v>0.01141</v>
      </c>
      <c r="V186" s="1">
        <f t="shared" si="237"/>
        <v>0.013366</v>
      </c>
      <c r="W186" s="1">
        <f t="shared" si="238"/>
        <v>0.041728</v>
      </c>
      <c r="X186" s="1">
        <f t="shared" si="239"/>
        <v>0.372129</v>
      </c>
      <c r="Y186" s="1">
        <f t="shared" si="240"/>
        <v>0.007335</v>
      </c>
      <c r="Z186" s="1">
        <f t="shared" si="241"/>
        <v>0.006357</v>
      </c>
      <c r="AA186" s="1">
        <f t="shared" si="242"/>
        <v>1.129753</v>
      </c>
      <c r="AB186" s="1">
        <f t="shared" si="243"/>
        <v>0.441404</v>
      </c>
      <c r="AC186" s="1">
        <f t="shared" si="244"/>
        <v>0.008639</v>
      </c>
      <c r="AD186" s="1">
        <f t="shared" si="245"/>
        <v>0.077262</v>
      </c>
      <c r="AE186" s="1">
        <f t="shared" si="246"/>
        <v>0.009128</v>
      </c>
      <c r="AF186" s="1">
        <f t="shared" si="247"/>
        <v>0.000326</v>
      </c>
      <c r="AG186" s="1">
        <f t="shared" si="248"/>
        <v>0.001467</v>
      </c>
      <c r="AH186" s="1">
        <f t="shared" si="249"/>
        <v>0.085249</v>
      </c>
      <c r="AI186" s="1">
        <f t="shared" si="250"/>
        <v>0.14507</v>
      </c>
      <c r="AJ186" s="1">
        <f t="shared" si="251"/>
        <v>0.054931</v>
      </c>
      <c r="AK186" s="1">
        <f t="shared" si="252"/>
        <v>0.001956</v>
      </c>
      <c r="AL186" s="1">
        <f t="shared" si="253"/>
        <v>0.259007</v>
      </c>
      <c r="AM186" s="1">
        <f t="shared" si="254"/>
        <v>0.018256</v>
      </c>
      <c r="AN186" s="1">
        <f t="shared" si="255"/>
        <v>0.000815</v>
      </c>
      <c r="AQ186" s="6">
        <v>2017</v>
      </c>
      <c r="AR186" s="6" t="s">
        <v>91</v>
      </c>
      <c r="AS186" s="6">
        <v>0.163</v>
      </c>
      <c r="AT186" s="6" t="s">
        <v>568</v>
      </c>
      <c r="AU186" s="6" t="s">
        <v>594</v>
      </c>
      <c r="AV186" t="str">
        <f t="shared" si="256"/>
        <v>Tra_EV_Batt-NMC622_virgin_pack</v>
      </c>
      <c r="AW186">
        <f t="shared" si="257"/>
        <v>0.003</v>
      </c>
      <c r="AX186">
        <f t="shared" si="258"/>
        <v>0.003</v>
      </c>
      <c r="AY186">
        <f t="shared" si="259"/>
        <v>0.102</v>
      </c>
      <c r="AZ186">
        <f t="shared" si="260"/>
        <v>0.342</v>
      </c>
      <c r="BA186">
        <f t="shared" si="261"/>
        <v>0.039</v>
      </c>
      <c r="BB186">
        <f t="shared" si="262"/>
        <v>1.564</v>
      </c>
      <c r="BC186">
        <f t="shared" si="263"/>
        <v>0.012</v>
      </c>
      <c r="BD186">
        <f t="shared" si="264"/>
        <v>21.06</v>
      </c>
      <c r="BE186">
        <f t="shared" si="265"/>
        <v>0.028</v>
      </c>
      <c r="BF186">
        <f t="shared" si="266"/>
        <v>0.044</v>
      </c>
      <c r="BG186">
        <f t="shared" si="267"/>
        <v>2.52</v>
      </c>
      <c r="BH186">
        <f t="shared" si="268"/>
        <v>1.977</v>
      </c>
      <c r="BI186">
        <f t="shared" si="269"/>
        <v>0.006</v>
      </c>
      <c r="BJ186">
        <f t="shared" si="270"/>
        <v>0.085</v>
      </c>
      <c r="BK186">
        <f t="shared" si="271"/>
        <v>0.125</v>
      </c>
      <c r="BL186">
        <f t="shared" si="272"/>
        <v>0.07</v>
      </c>
      <c r="BM186">
        <f t="shared" si="273"/>
        <v>0.082</v>
      </c>
      <c r="BN186">
        <f t="shared" si="274"/>
        <v>0.256</v>
      </c>
      <c r="BO186">
        <f t="shared" si="275"/>
        <v>2.283</v>
      </c>
      <c r="BP186">
        <f t="shared" si="276"/>
        <v>0.045</v>
      </c>
      <c r="BQ186">
        <f t="shared" si="277"/>
        <v>0.039</v>
      </c>
      <c r="BR186">
        <f t="shared" si="278"/>
        <v>6.931</v>
      </c>
      <c r="BS186">
        <f t="shared" si="279"/>
        <v>2.708</v>
      </c>
      <c r="BT186">
        <f t="shared" si="280"/>
        <v>0.053</v>
      </c>
      <c r="BU186">
        <f t="shared" si="281"/>
        <v>0.474</v>
      </c>
      <c r="BV186">
        <f t="shared" si="282"/>
        <v>0.056</v>
      </c>
      <c r="BW186">
        <f t="shared" si="283"/>
        <v>0.002</v>
      </c>
      <c r="BX186">
        <f t="shared" si="284"/>
        <v>0.009</v>
      </c>
      <c r="BY186">
        <f t="shared" si="285"/>
        <v>0.523</v>
      </c>
      <c r="BZ186">
        <f t="shared" si="286"/>
        <v>0.89</v>
      </c>
      <c r="CA186">
        <f t="shared" si="287"/>
        <v>0.337</v>
      </c>
      <c r="CB186">
        <f t="shared" si="288"/>
        <v>0.012</v>
      </c>
      <c r="CC186">
        <f t="shared" si="289"/>
        <v>1.589</v>
      </c>
      <c r="CD186">
        <f t="shared" si="290"/>
        <v>0.112</v>
      </c>
      <c r="CE186">
        <f t="shared" si="291"/>
        <v>0.005</v>
      </c>
      <c r="CG186" s="6">
        <v>2017</v>
      </c>
      <c r="CH186" s="6" t="s">
        <v>91</v>
      </c>
      <c r="CI186" s="6">
        <v>0.163</v>
      </c>
      <c r="CJ186" s="6">
        <v>0.22</v>
      </c>
      <c r="CK186" s="6" t="s">
        <v>595</v>
      </c>
      <c r="CL186" s="6" t="s">
        <v>596</v>
      </c>
      <c r="CM186" s="6" t="s">
        <v>597</v>
      </c>
    </row>
    <row r="187" spans="4:91">
      <c r="D187">
        <f t="shared" si="220"/>
        <v>2017</v>
      </c>
      <c r="E187" t="s">
        <v>95</v>
      </c>
      <c r="F187" s="1">
        <f t="shared" si="222"/>
        <v>0.000489</v>
      </c>
      <c r="G187" s="1">
        <f t="shared" si="223"/>
        <v>0.000489</v>
      </c>
      <c r="H187" s="1">
        <f t="shared" si="224"/>
        <v>0.013855</v>
      </c>
      <c r="I187" s="1">
        <f t="shared" si="225"/>
        <v>0.045477</v>
      </c>
      <c r="J187" s="1">
        <f t="shared" si="226"/>
        <v>0.005379</v>
      </c>
      <c r="K187" s="1">
        <f t="shared" si="227"/>
        <v>0.209781</v>
      </c>
      <c r="L187" s="1">
        <f t="shared" si="228"/>
        <v>0.00163</v>
      </c>
      <c r="M187" s="1">
        <f t="shared" si="221"/>
        <v>7.431007</v>
      </c>
      <c r="N187" s="1">
        <f t="shared" si="229"/>
        <v>0.003912</v>
      </c>
      <c r="O187" s="1">
        <f t="shared" si="230"/>
        <v>0.005705</v>
      </c>
      <c r="P187" s="1">
        <f t="shared" si="231"/>
        <v>0.311493</v>
      </c>
      <c r="Q187" s="1">
        <f t="shared" si="232"/>
        <v>0.256399</v>
      </c>
      <c r="R187" s="1">
        <f t="shared" si="233"/>
        <v>0.000815</v>
      </c>
      <c r="S187" s="1">
        <f t="shared" si="234"/>
        <v>0.011247</v>
      </c>
      <c r="T187" s="1">
        <f t="shared" si="235"/>
        <v>0.016952</v>
      </c>
      <c r="U187" s="1">
        <f t="shared" si="236"/>
        <v>0.001141</v>
      </c>
      <c r="V187" s="1">
        <f t="shared" si="237"/>
        <v>0.010921</v>
      </c>
      <c r="W187" s="1">
        <f t="shared" si="238"/>
        <v>0.033089</v>
      </c>
      <c r="X187" s="1">
        <f t="shared" si="239"/>
        <v>0.068786</v>
      </c>
      <c r="Y187" s="1">
        <f t="shared" si="240"/>
        <v>0.006357</v>
      </c>
      <c r="Z187" s="1">
        <f t="shared" si="241"/>
        <v>0.005379</v>
      </c>
      <c r="AA187" s="1">
        <f t="shared" si="242"/>
        <v>0.790876</v>
      </c>
      <c r="AB187" s="1">
        <f t="shared" si="243"/>
        <v>0.264223</v>
      </c>
      <c r="AC187" s="1">
        <f t="shared" si="244"/>
        <v>0.007498</v>
      </c>
      <c r="AD187" s="1">
        <f t="shared" si="245"/>
        <v>0.251346</v>
      </c>
      <c r="AE187" s="1">
        <f t="shared" si="246"/>
        <v>0.007824</v>
      </c>
      <c r="AF187" s="1">
        <f t="shared" si="247"/>
        <v>0.000163</v>
      </c>
      <c r="AG187" s="1">
        <f t="shared" si="248"/>
        <v>0.001141</v>
      </c>
      <c r="AH187" s="1">
        <f t="shared" si="249"/>
        <v>0.069112</v>
      </c>
      <c r="AI187" s="1">
        <f t="shared" si="250"/>
        <v>0.117849</v>
      </c>
      <c r="AJ187" s="1">
        <f t="shared" si="251"/>
        <v>0.044825</v>
      </c>
      <c r="AK187" s="1">
        <f t="shared" si="252"/>
        <v>0.001793</v>
      </c>
      <c r="AL187" s="1">
        <f t="shared" si="253"/>
        <v>0.210759</v>
      </c>
      <c r="AM187" s="1">
        <f t="shared" si="254"/>
        <v>0.003097</v>
      </c>
      <c r="AN187" s="1">
        <f t="shared" si="255"/>
        <v>0.000652</v>
      </c>
      <c r="AQ187" s="6">
        <v>2017</v>
      </c>
      <c r="AR187" s="6" t="s">
        <v>95</v>
      </c>
      <c r="AS187" s="6">
        <v>0.163</v>
      </c>
      <c r="AT187" s="6" t="s">
        <v>568</v>
      </c>
      <c r="AU187" s="6" t="s">
        <v>594</v>
      </c>
      <c r="AV187" t="str">
        <f t="shared" si="256"/>
        <v>Tra_EV_Batt-NMC811_virgin_pack</v>
      </c>
      <c r="AW187">
        <f t="shared" si="257"/>
        <v>0.003</v>
      </c>
      <c r="AX187">
        <f t="shared" si="258"/>
        <v>0.003</v>
      </c>
      <c r="AY187">
        <f t="shared" si="259"/>
        <v>0.085</v>
      </c>
      <c r="AZ187">
        <f t="shared" si="260"/>
        <v>0.279</v>
      </c>
      <c r="BA187">
        <f t="shared" si="261"/>
        <v>0.033</v>
      </c>
      <c r="BB187">
        <f t="shared" si="262"/>
        <v>1.287</v>
      </c>
      <c r="BC187">
        <f t="shared" si="263"/>
        <v>0.01</v>
      </c>
      <c r="BD187">
        <f t="shared" si="264"/>
        <v>45.589</v>
      </c>
      <c r="BE187">
        <f t="shared" si="265"/>
        <v>0.024</v>
      </c>
      <c r="BF187">
        <f t="shared" si="266"/>
        <v>0.035</v>
      </c>
      <c r="BG187">
        <f t="shared" si="267"/>
        <v>1.911</v>
      </c>
      <c r="BH187">
        <f t="shared" si="268"/>
        <v>1.573</v>
      </c>
      <c r="BI187">
        <f t="shared" si="269"/>
        <v>0.005</v>
      </c>
      <c r="BJ187">
        <f t="shared" si="270"/>
        <v>0.069</v>
      </c>
      <c r="BK187">
        <f t="shared" si="271"/>
        <v>0.104</v>
      </c>
      <c r="BL187">
        <f t="shared" si="272"/>
        <v>0.007</v>
      </c>
      <c r="BM187">
        <f t="shared" si="273"/>
        <v>0.067</v>
      </c>
      <c r="BN187">
        <f t="shared" si="274"/>
        <v>0.203</v>
      </c>
      <c r="BO187">
        <f t="shared" si="275"/>
        <v>0.422</v>
      </c>
      <c r="BP187">
        <f t="shared" si="276"/>
        <v>0.039</v>
      </c>
      <c r="BQ187">
        <f t="shared" si="277"/>
        <v>0.033</v>
      </c>
      <c r="BR187">
        <f t="shared" si="278"/>
        <v>4.852</v>
      </c>
      <c r="BS187">
        <f t="shared" si="279"/>
        <v>1.621</v>
      </c>
      <c r="BT187">
        <f t="shared" si="280"/>
        <v>0.046</v>
      </c>
      <c r="BU187">
        <f t="shared" si="281"/>
        <v>1.542</v>
      </c>
      <c r="BV187">
        <f t="shared" si="282"/>
        <v>0.048</v>
      </c>
      <c r="BW187">
        <f t="shared" si="283"/>
        <v>0.001</v>
      </c>
      <c r="BX187">
        <f t="shared" si="284"/>
        <v>0.007</v>
      </c>
      <c r="BY187">
        <f t="shared" si="285"/>
        <v>0.424</v>
      </c>
      <c r="BZ187">
        <f t="shared" si="286"/>
        <v>0.723</v>
      </c>
      <c r="CA187">
        <f t="shared" si="287"/>
        <v>0.275</v>
      </c>
      <c r="CB187">
        <f t="shared" si="288"/>
        <v>0.011</v>
      </c>
      <c r="CC187">
        <f t="shared" si="289"/>
        <v>1.293</v>
      </c>
      <c r="CD187">
        <f t="shared" si="290"/>
        <v>0.019</v>
      </c>
      <c r="CE187">
        <f t="shared" si="291"/>
        <v>0.004</v>
      </c>
      <c r="CG187" s="6">
        <v>2017</v>
      </c>
      <c r="CH187" s="6" t="s">
        <v>95</v>
      </c>
      <c r="CI187" s="6">
        <v>0.163</v>
      </c>
      <c r="CJ187" s="6">
        <v>0.22</v>
      </c>
      <c r="CK187" s="6" t="s">
        <v>595</v>
      </c>
      <c r="CL187" s="6" t="s">
        <v>596</v>
      </c>
      <c r="CM187" s="6" t="s">
        <v>597</v>
      </c>
    </row>
    <row r="188" spans="4:91">
      <c r="D188">
        <f t="shared" si="220"/>
        <v>2017</v>
      </c>
      <c r="E188" t="s">
        <v>87</v>
      </c>
      <c r="F188" s="1">
        <f t="shared" si="222"/>
        <v>0.000163</v>
      </c>
      <c r="G188" s="1">
        <f t="shared" si="223"/>
        <v>0.000163</v>
      </c>
      <c r="H188" s="1">
        <f t="shared" si="224"/>
        <v>0.002771</v>
      </c>
      <c r="I188" s="1">
        <f t="shared" si="225"/>
        <v>0.008639</v>
      </c>
      <c r="J188" s="1">
        <f t="shared" si="226"/>
        <v>0.000978</v>
      </c>
      <c r="K188" s="1">
        <f t="shared" si="227"/>
        <v>0.039772</v>
      </c>
      <c r="L188" s="1">
        <f t="shared" si="228"/>
        <v>0.000163</v>
      </c>
      <c r="M188" s="1">
        <f t="shared" si="221"/>
        <v>1.530733</v>
      </c>
      <c r="N188" s="1">
        <f t="shared" si="229"/>
        <v>0.000815</v>
      </c>
      <c r="O188" s="1">
        <f t="shared" si="230"/>
        <v>0.000978</v>
      </c>
      <c r="P188" s="1">
        <f t="shared" si="231"/>
        <v>0.05216</v>
      </c>
      <c r="Q188" s="1">
        <f t="shared" si="232"/>
        <v>0.046944</v>
      </c>
      <c r="R188" s="1">
        <f t="shared" si="233"/>
        <v>0.000163</v>
      </c>
      <c r="S188" s="1">
        <f t="shared" si="234"/>
        <v>0.001956</v>
      </c>
      <c r="T188" s="1">
        <f t="shared" si="235"/>
        <v>0.003423</v>
      </c>
      <c r="U188" s="1">
        <f t="shared" si="236"/>
        <v>0</v>
      </c>
      <c r="V188" s="1">
        <f t="shared" si="237"/>
        <v>0.002119</v>
      </c>
      <c r="W188" s="1">
        <f t="shared" si="238"/>
        <v>0.005868</v>
      </c>
      <c r="X188" s="1">
        <f t="shared" si="239"/>
        <v>0</v>
      </c>
      <c r="Y188" s="1">
        <f t="shared" si="240"/>
        <v>0.000652</v>
      </c>
      <c r="Z188" s="1">
        <f t="shared" si="241"/>
        <v>0.000978</v>
      </c>
      <c r="AA188" s="1">
        <f t="shared" si="242"/>
        <v>0.776858</v>
      </c>
      <c r="AB188" s="1">
        <f t="shared" si="243"/>
        <v>0.085901</v>
      </c>
      <c r="AC188" s="1">
        <f t="shared" si="244"/>
        <v>0.000815</v>
      </c>
      <c r="AD188" s="1">
        <f t="shared" si="245"/>
        <v>0.175877</v>
      </c>
      <c r="AE188" s="1">
        <f t="shared" si="246"/>
        <v>0.001304</v>
      </c>
      <c r="AF188" s="1">
        <f t="shared" si="247"/>
        <v>0</v>
      </c>
      <c r="AG188" s="1">
        <f t="shared" si="248"/>
        <v>0.000163</v>
      </c>
      <c r="AH188" s="1">
        <f t="shared" si="249"/>
        <v>0.012877</v>
      </c>
      <c r="AI188" s="1">
        <f t="shared" si="250"/>
        <v>0.021842</v>
      </c>
      <c r="AJ188" s="1">
        <f t="shared" si="251"/>
        <v>0.008476</v>
      </c>
      <c r="AK188" s="1">
        <f t="shared" si="252"/>
        <v>0.000326</v>
      </c>
      <c r="AL188" s="1">
        <f t="shared" si="253"/>
        <v>0.039609</v>
      </c>
      <c r="AM188" s="1">
        <f t="shared" si="254"/>
        <v>0</v>
      </c>
      <c r="AN188" s="1">
        <f t="shared" si="255"/>
        <v>0.000163</v>
      </c>
      <c r="AQ188" s="6">
        <v>2017</v>
      </c>
      <c r="AR188" s="6" t="s">
        <v>87</v>
      </c>
      <c r="AS188" s="6">
        <v>0.163</v>
      </c>
      <c r="AT188" s="6" t="s">
        <v>568</v>
      </c>
      <c r="AU188" s="6" t="s">
        <v>594</v>
      </c>
      <c r="AV188" t="str">
        <f t="shared" si="256"/>
        <v> Tra_EV_Batt-NMC532_virgin_pack</v>
      </c>
      <c r="AW188">
        <f t="shared" si="257"/>
        <v>0.001</v>
      </c>
      <c r="AX188">
        <f t="shared" si="258"/>
        <v>0.001</v>
      </c>
      <c r="AY188">
        <f t="shared" si="259"/>
        <v>0.017</v>
      </c>
      <c r="AZ188">
        <f t="shared" si="260"/>
        <v>0.053</v>
      </c>
      <c r="BA188">
        <f t="shared" si="261"/>
        <v>0.006</v>
      </c>
      <c r="BB188">
        <f t="shared" si="262"/>
        <v>0.244</v>
      </c>
      <c r="BC188">
        <f t="shared" si="263"/>
        <v>0.001</v>
      </c>
      <c r="BD188">
        <f t="shared" si="264"/>
        <v>9.391</v>
      </c>
      <c r="BE188">
        <f t="shared" si="265"/>
        <v>0.005</v>
      </c>
      <c r="BF188">
        <f t="shared" si="266"/>
        <v>0.006</v>
      </c>
      <c r="BG188">
        <f t="shared" si="267"/>
        <v>0.32</v>
      </c>
      <c r="BH188">
        <f t="shared" si="268"/>
        <v>0.288</v>
      </c>
      <c r="BI188">
        <f t="shared" si="269"/>
        <v>0.001</v>
      </c>
      <c r="BJ188">
        <f t="shared" si="270"/>
        <v>0.012</v>
      </c>
      <c r="BK188">
        <f t="shared" si="271"/>
        <v>0.021</v>
      </c>
      <c r="BL188">
        <f t="shared" si="272"/>
        <v>0</v>
      </c>
      <c r="BM188">
        <f t="shared" si="273"/>
        <v>0.013</v>
      </c>
      <c r="BN188">
        <f t="shared" si="274"/>
        <v>0.036</v>
      </c>
      <c r="BO188">
        <f t="shared" si="275"/>
        <v>0</v>
      </c>
      <c r="BP188">
        <f t="shared" si="276"/>
        <v>0.004</v>
      </c>
      <c r="BQ188">
        <f t="shared" si="277"/>
        <v>0.006</v>
      </c>
      <c r="BR188">
        <f t="shared" si="278"/>
        <v>4.766</v>
      </c>
      <c r="BS188">
        <f t="shared" si="279"/>
        <v>0.527</v>
      </c>
      <c r="BT188">
        <f t="shared" si="280"/>
        <v>0.005</v>
      </c>
      <c r="BU188">
        <f t="shared" si="281"/>
        <v>1.079</v>
      </c>
      <c r="BV188">
        <f t="shared" si="282"/>
        <v>0.008</v>
      </c>
      <c r="BW188">
        <f t="shared" si="283"/>
        <v>0</v>
      </c>
      <c r="BX188">
        <f t="shared" si="284"/>
        <v>0.001</v>
      </c>
      <c r="BY188">
        <f t="shared" si="285"/>
        <v>0.079</v>
      </c>
      <c r="BZ188">
        <f t="shared" si="286"/>
        <v>0.134</v>
      </c>
      <c r="CA188">
        <f t="shared" si="287"/>
        <v>0.052</v>
      </c>
      <c r="CB188">
        <f t="shared" si="288"/>
        <v>0.002</v>
      </c>
      <c r="CC188">
        <f t="shared" si="289"/>
        <v>0.243</v>
      </c>
      <c r="CD188">
        <f t="shared" si="290"/>
        <v>0</v>
      </c>
      <c r="CE188">
        <f t="shared" si="291"/>
        <v>0.001</v>
      </c>
      <c r="CG188" s="6">
        <v>2017</v>
      </c>
      <c r="CH188" s="6" t="s">
        <v>87</v>
      </c>
      <c r="CI188" s="6">
        <v>0.163</v>
      </c>
      <c r="CJ188" s="6">
        <v>0.22</v>
      </c>
      <c r="CK188" s="6" t="s">
        <v>595</v>
      </c>
      <c r="CL188" s="6" t="s">
        <v>596</v>
      </c>
      <c r="CM188" s="6" t="s">
        <v>597</v>
      </c>
    </row>
    <row r="189" spans="4:91">
      <c r="D189">
        <f t="shared" si="220"/>
        <v>2017</v>
      </c>
      <c r="E189" t="s">
        <v>78</v>
      </c>
      <c r="F189" s="1">
        <f t="shared" si="222"/>
        <v>0</v>
      </c>
      <c r="G189" s="1">
        <f t="shared" si="223"/>
        <v>0</v>
      </c>
      <c r="H189" s="1">
        <f t="shared" si="224"/>
        <v>0</v>
      </c>
      <c r="I189" s="1">
        <f t="shared" si="225"/>
        <v>0</v>
      </c>
      <c r="J189" s="1">
        <f t="shared" si="226"/>
        <v>0</v>
      </c>
      <c r="K189" s="1">
        <f t="shared" si="227"/>
        <v>0</v>
      </c>
      <c r="L189" s="1">
        <f t="shared" si="228"/>
        <v>0</v>
      </c>
      <c r="M189" s="1">
        <f t="shared" si="221"/>
        <v>0.277263</v>
      </c>
      <c r="N189" s="1">
        <f t="shared" si="229"/>
        <v>0</v>
      </c>
      <c r="O189" s="1">
        <f t="shared" si="230"/>
        <v>0</v>
      </c>
      <c r="P189" s="1">
        <f t="shared" si="231"/>
        <v>0</v>
      </c>
      <c r="Q189" s="1">
        <f t="shared" si="232"/>
        <v>0</v>
      </c>
      <c r="R189" s="1">
        <f t="shared" si="233"/>
        <v>0</v>
      </c>
      <c r="S189" s="1">
        <f t="shared" si="234"/>
        <v>0</v>
      </c>
      <c r="T189" s="1">
        <f t="shared" si="235"/>
        <v>0</v>
      </c>
      <c r="U189" s="1">
        <f t="shared" si="236"/>
        <v>0</v>
      </c>
      <c r="V189" s="1">
        <f t="shared" si="237"/>
        <v>0</v>
      </c>
      <c r="W189" s="1">
        <f t="shared" si="238"/>
        <v>0</v>
      </c>
      <c r="X189" s="1">
        <f t="shared" si="239"/>
        <v>0</v>
      </c>
      <c r="Y189" s="1">
        <f t="shared" si="240"/>
        <v>0</v>
      </c>
      <c r="Z189" s="1">
        <f t="shared" si="241"/>
        <v>0</v>
      </c>
      <c r="AA189" s="1">
        <f t="shared" si="242"/>
        <v>0</v>
      </c>
      <c r="AB189" s="1">
        <f t="shared" si="243"/>
        <v>0</v>
      </c>
      <c r="AC189" s="1">
        <f t="shared" si="244"/>
        <v>0</v>
      </c>
      <c r="AD189" s="1">
        <f t="shared" si="245"/>
        <v>0</v>
      </c>
      <c r="AE189" s="1">
        <f t="shared" si="246"/>
        <v>0</v>
      </c>
      <c r="AF189" s="1">
        <f t="shared" si="247"/>
        <v>0</v>
      </c>
      <c r="AG189" s="1">
        <f t="shared" si="248"/>
        <v>0</v>
      </c>
      <c r="AH189" s="1">
        <f t="shared" si="249"/>
        <v>0</v>
      </c>
      <c r="AI189" s="1">
        <f t="shared" si="250"/>
        <v>0</v>
      </c>
      <c r="AJ189" s="1">
        <f t="shared" si="251"/>
        <v>0</v>
      </c>
      <c r="AK189" s="1">
        <f t="shared" si="252"/>
        <v>0</v>
      </c>
      <c r="AL189" s="1">
        <f t="shared" si="253"/>
        <v>0</v>
      </c>
      <c r="AM189" s="1">
        <f t="shared" si="254"/>
        <v>0</v>
      </c>
      <c r="AN189" s="1">
        <f t="shared" si="255"/>
        <v>0</v>
      </c>
      <c r="AQ189" s="6">
        <v>2017</v>
      </c>
      <c r="AR189" s="6" t="s">
        <v>78</v>
      </c>
      <c r="AS189" s="6">
        <v>0.163</v>
      </c>
      <c r="AT189" s="6" t="s">
        <v>568</v>
      </c>
      <c r="AU189" s="6" t="s">
        <v>594</v>
      </c>
      <c r="AV189" t="str">
        <f t="shared" si="256"/>
        <v>Tra_EV_Batt-NCA_virgin_pack</v>
      </c>
      <c r="AW189">
        <f t="shared" si="257"/>
        <v>0</v>
      </c>
      <c r="AX189">
        <f t="shared" si="258"/>
        <v>0</v>
      </c>
      <c r="AY189">
        <f t="shared" si="259"/>
        <v>0</v>
      </c>
      <c r="AZ189">
        <f t="shared" si="260"/>
        <v>0</v>
      </c>
      <c r="BA189">
        <f t="shared" si="261"/>
        <v>0</v>
      </c>
      <c r="BB189">
        <f t="shared" si="262"/>
        <v>0</v>
      </c>
      <c r="BC189">
        <f t="shared" si="263"/>
        <v>0</v>
      </c>
      <c r="BD189">
        <f t="shared" si="264"/>
        <v>1.701</v>
      </c>
      <c r="BE189">
        <f t="shared" si="265"/>
        <v>0</v>
      </c>
      <c r="BF189">
        <f t="shared" si="266"/>
        <v>0</v>
      </c>
      <c r="BG189">
        <f t="shared" si="267"/>
        <v>0</v>
      </c>
      <c r="BH189">
        <f t="shared" si="268"/>
        <v>0</v>
      </c>
      <c r="BI189">
        <f t="shared" si="269"/>
        <v>0</v>
      </c>
      <c r="BJ189">
        <f t="shared" si="270"/>
        <v>0</v>
      </c>
      <c r="BK189">
        <f t="shared" si="271"/>
        <v>0</v>
      </c>
      <c r="BL189">
        <f t="shared" si="272"/>
        <v>0</v>
      </c>
      <c r="BM189">
        <f t="shared" si="273"/>
        <v>0</v>
      </c>
      <c r="BN189">
        <f t="shared" si="274"/>
        <v>0</v>
      </c>
      <c r="BO189">
        <f t="shared" si="275"/>
        <v>0</v>
      </c>
      <c r="BP189">
        <f t="shared" si="276"/>
        <v>0</v>
      </c>
      <c r="BQ189">
        <f t="shared" si="277"/>
        <v>0</v>
      </c>
      <c r="BR189">
        <f t="shared" si="278"/>
        <v>0</v>
      </c>
      <c r="BS189">
        <f t="shared" si="279"/>
        <v>0</v>
      </c>
      <c r="BT189">
        <f t="shared" si="280"/>
        <v>0</v>
      </c>
      <c r="BU189">
        <f t="shared" si="281"/>
        <v>0</v>
      </c>
      <c r="BV189">
        <f t="shared" si="282"/>
        <v>0</v>
      </c>
      <c r="BW189">
        <f t="shared" si="283"/>
        <v>0</v>
      </c>
      <c r="BX189">
        <f t="shared" si="284"/>
        <v>0</v>
      </c>
      <c r="BY189">
        <f t="shared" si="285"/>
        <v>0</v>
      </c>
      <c r="BZ189">
        <f t="shared" si="286"/>
        <v>0</v>
      </c>
      <c r="CA189">
        <f t="shared" si="287"/>
        <v>0</v>
      </c>
      <c r="CB189">
        <f t="shared" si="288"/>
        <v>0</v>
      </c>
      <c r="CC189">
        <f t="shared" si="289"/>
        <v>0</v>
      </c>
      <c r="CD189">
        <f t="shared" si="290"/>
        <v>0</v>
      </c>
      <c r="CE189">
        <f t="shared" si="291"/>
        <v>0</v>
      </c>
      <c r="CG189" s="6">
        <v>2017</v>
      </c>
      <c r="CH189" s="6" t="s">
        <v>78</v>
      </c>
      <c r="CI189" s="6">
        <v>0.163</v>
      </c>
      <c r="CJ189" s="6">
        <v>0.22</v>
      </c>
      <c r="CK189" s="6" t="s">
        <v>595</v>
      </c>
      <c r="CL189" s="6" t="s">
        <v>596</v>
      </c>
      <c r="CM189" s="6" t="s">
        <v>597</v>
      </c>
    </row>
    <row r="190" spans="4:91">
      <c r="D190">
        <f t="shared" si="220"/>
        <v>2017</v>
      </c>
      <c r="E190" t="s">
        <v>74</v>
      </c>
      <c r="F190" s="1">
        <f t="shared" si="222"/>
        <v>0.000326</v>
      </c>
      <c r="G190" s="1">
        <f t="shared" si="223"/>
        <v>0.000326</v>
      </c>
      <c r="H190" s="1">
        <f t="shared" si="224"/>
        <v>0.010921</v>
      </c>
      <c r="I190" s="1">
        <f t="shared" si="225"/>
        <v>0.034556</v>
      </c>
      <c r="J190" s="1">
        <f t="shared" si="226"/>
        <v>0.004075</v>
      </c>
      <c r="K190" s="1">
        <f t="shared" si="227"/>
        <v>0.159088</v>
      </c>
      <c r="L190" s="1">
        <f t="shared" si="228"/>
        <v>0.000978</v>
      </c>
      <c r="M190" s="1">
        <f t="shared" si="221"/>
        <v>0.415813</v>
      </c>
      <c r="N190" s="1">
        <f t="shared" si="229"/>
        <v>0.003097</v>
      </c>
      <c r="O190" s="1">
        <f t="shared" si="230"/>
        <v>0.003586</v>
      </c>
      <c r="P190" s="1">
        <f t="shared" si="231"/>
        <v>0.208966</v>
      </c>
      <c r="Q190" s="1">
        <f t="shared" si="232"/>
        <v>0.187613</v>
      </c>
      <c r="R190" s="1">
        <f t="shared" si="233"/>
        <v>0.000652</v>
      </c>
      <c r="S190" s="1">
        <f t="shared" si="234"/>
        <v>0.00815</v>
      </c>
      <c r="T190" s="1">
        <f t="shared" si="235"/>
        <v>0.013692</v>
      </c>
      <c r="U190" s="1">
        <f t="shared" si="236"/>
        <v>0</v>
      </c>
      <c r="V190" s="1">
        <f t="shared" si="237"/>
        <v>0.008476</v>
      </c>
      <c r="W190" s="1">
        <f t="shared" si="238"/>
        <v>0.023309</v>
      </c>
      <c r="X190" s="1">
        <f t="shared" si="239"/>
        <v>0.117686</v>
      </c>
      <c r="Y190" s="1">
        <f t="shared" si="240"/>
        <v>0.002771</v>
      </c>
      <c r="Z190" s="1">
        <f t="shared" si="241"/>
        <v>0.004075</v>
      </c>
      <c r="AA190" s="1">
        <f t="shared" si="242"/>
        <v>7.214217</v>
      </c>
      <c r="AB190" s="1">
        <f t="shared" si="243"/>
        <v>0.601144</v>
      </c>
      <c r="AC190" s="1">
        <f t="shared" si="244"/>
        <v>0.003097</v>
      </c>
      <c r="AD190" s="1">
        <f t="shared" si="245"/>
        <v>0.175877</v>
      </c>
      <c r="AE190" s="1">
        <f t="shared" si="246"/>
        <v>0.005379</v>
      </c>
      <c r="AF190" s="1">
        <f t="shared" si="247"/>
        <v>0.000163</v>
      </c>
      <c r="AG190" s="1">
        <f t="shared" si="248"/>
        <v>0.000978</v>
      </c>
      <c r="AH190" s="1">
        <f t="shared" si="249"/>
        <v>0.051345</v>
      </c>
      <c r="AI190" s="1">
        <f t="shared" si="250"/>
        <v>0.087205</v>
      </c>
      <c r="AJ190" s="1">
        <f t="shared" si="251"/>
        <v>0.033904</v>
      </c>
      <c r="AK190" s="1">
        <f t="shared" si="252"/>
        <v>0.000978</v>
      </c>
      <c r="AL190" s="1">
        <f t="shared" si="253"/>
        <v>0.15811</v>
      </c>
      <c r="AM190" s="1">
        <f t="shared" si="254"/>
        <v>0.006031</v>
      </c>
      <c r="AN190" s="1">
        <f t="shared" si="255"/>
        <v>0.000489</v>
      </c>
      <c r="AQ190" s="6">
        <v>2017</v>
      </c>
      <c r="AR190" s="6" t="s">
        <v>74</v>
      </c>
      <c r="AS190" s="6">
        <v>0.163</v>
      </c>
      <c r="AT190" s="6" t="s">
        <v>568</v>
      </c>
      <c r="AU190" s="6" t="s">
        <v>594</v>
      </c>
      <c r="AV190" t="str">
        <f t="shared" si="256"/>
        <v> Tra_EV_Batt-LMO_virgin_pack</v>
      </c>
      <c r="AW190">
        <f t="shared" si="257"/>
        <v>0.002</v>
      </c>
      <c r="AX190">
        <f t="shared" si="258"/>
        <v>0.002</v>
      </c>
      <c r="AY190">
        <f t="shared" si="259"/>
        <v>0.067</v>
      </c>
      <c r="AZ190">
        <f t="shared" si="260"/>
        <v>0.212</v>
      </c>
      <c r="BA190">
        <f t="shared" si="261"/>
        <v>0.025</v>
      </c>
      <c r="BB190">
        <f t="shared" si="262"/>
        <v>0.976</v>
      </c>
      <c r="BC190">
        <f t="shared" si="263"/>
        <v>0.006</v>
      </c>
      <c r="BD190">
        <f t="shared" si="264"/>
        <v>2.551</v>
      </c>
      <c r="BE190">
        <f t="shared" si="265"/>
        <v>0.019</v>
      </c>
      <c r="BF190">
        <f t="shared" si="266"/>
        <v>0.022</v>
      </c>
      <c r="BG190">
        <f t="shared" si="267"/>
        <v>1.282</v>
      </c>
      <c r="BH190">
        <f t="shared" si="268"/>
        <v>1.151</v>
      </c>
      <c r="BI190">
        <f t="shared" si="269"/>
        <v>0.004</v>
      </c>
      <c r="BJ190">
        <f t="shared" si="270"/>
        <v>0.05</v>
      </c>
      <c r="BK190">
        <f t="shared" si="271"/>
        <v>0.084</v>
      </c>
      <c r="BL190">
        <f t="shared" si="272"/>
        <v>0</v>
      </c>
      <c r="BM190">
        <f t="shared" si="273"/>
        <v>0.052</v>
      </c>
      <c r="BN190">
        <f t="shared" si="274"/>
        <v>0.143</v>
      </c>
      <c r="BO190">
        <f t="shared" si="275"/>
        <v>0.722</v>
      </c>
      <c r="BP190">
        <f t="shared" si="276"/>
        <v>0.017</v>
      </c>
      <c r="BQ190">
        <f t="shared" si="277"/>
        <v>0.025</v>
      </c>
      <c r="BR190">
        <f t="shared" si="278"/>
        <v>44.259</v>
      </c>
      <c r="BS190">
        <f t="shared" si="279"/>
        <v>3.688</v>
      </c>
      <c r="BT190">
        <f t="shared" si="280"/>
        <v>0.019</v>
      </c>
      <c r="BU190">
        <f t="shared" si="281"/>
        <v>1.079</v>
      </c>
      <c r="BV190">
        <f t="shared" si="282"/>
        <v>0.033</v>
      </c>
      <c r="BW190">
        <f t="shared" si="283"/>
        <v>0.001</v>
      </c>
      <c r="BX190">
        <f t="shared" si="284"/>
        <v>0.006</v>
      </c>
      <c r="BY190">
        <f t="shared" si="285"/>
        <v>0.315</v>
      </c>
      <c r="BZ190">
        <f t="shared" si="286"/>
        <v>0.535</v>
      </c>
      <c r="CA190">
        <f t="shared" si="287"/>
        <v>0.208</v>
      </c>
      <c r="CB190">
        <f t="shared" si="288"/>
        <v>0.006</v>
      </c>
      <c r="CC190">
        <f t="shared" si="289"/>
        <v>0.97</v>
      </c>
      <c r="CD190">
        <f t="shared" si="290"/>
        <v>0.037</v>
      </c>
      <c r="CE190">
        <f t="shared" si="291"/>
        <v>0.003</v>
      </c>
      <c r="CG190" s="6">
        <v>2017</v>
      </c>
      <c r="CH190" s="6" t="s">
        <v>74</v>
      </c>
      <c r="CI190" s="6">
        <v>0.163</v>
      </c>
      <c r="CJ190" s="6">
        <v>0.22</v>
      </c>
      <c r="CK190" s="6" t="s">
        <v>595</v>
      </c>
      <c r="CL190" s="6" t="s">
        <v>596</v>
      </c>
      <c r="CM190" s="6" t="s">
        <v>597</v>
      </c>
    </row>
    <row r="191" spans="4:91">
      <c r="D191">
        <f t="shared" si="220"/>
        <v>2017</v>
      </c>
      <c r="E191" t="s">
        <v>82</v>
      </c>
      <c r="F191" s="1">
        <f t="shared" si="222"/>
        <v>0.000326</v>
      </c>
      <c r="G191" s="1">
        <f t="shared" si="223"/>
        <v>0.000326</v>
      </c>
      <c r="H191" s="1">
        <f t="shared" si="224"/>
        <v>0.010921</v>
      </c>
      <c r="I191" s="1">
        <f t="shared" si="225"/>
        <v>0.037979</v>
      </c>
      <c r="J191" s="1">
        <f t="shared" si="226"/>
        <v>0.004075</v>
      </c>
      <c r="K191" s="1">
        <f t="shared" si="227"/>
        <v>0.169683</v>
      </c>
      <c r="L191" s="1">
        <f t="shared" si="228"/>
        <v>0.000978</v>
      </c>
      <c r="M191" s="1">
        <f t="shared" si="221"/>
        <v>0.277263</v>
      </c>
      <c r="N191" s="1">
        <f t="shared" si="229"/>
        <v>0.003097</v>
      </c>
      <c r="O191" s="1">
        <f t="shared" si="230"/>
        <v>0.004727</v>
      </c>
      <c r="P191" s="1">
        <f t="shared" si="231"/>
        <v>0.303017</v>
      </c>
      <c r="Q191" s="1">
        <f t="shared" si="232"/>
        <v>0.225592</v>
      </c>
      <c r="R191" s="1">
        <f t="shared" si="233"/>
        <v>0.000652</v>
      </c>
      <c r="S191" s="1">
        <f t="shared" si="234"/>
        <v>0.009291</v>
      </c>
      <c r="T191" s="1">
        <f t="shared" si="235"/>
        <v>0.013692</v>
      </c>
      <c r="U191" s="1">
        <f t="shared" si="236"/>
        <v>0.006846</v>
      </c>
      <c r="V191" s="1">
        <f t="shared" si="237"/>
        <v>0.009128</v>
      </c>
      <c r="W191" s="1">
        <f t="shared" si="238"/>
        <v>0.029014</v>
      </c>
      <c r="X191" s="1">
        <f t="shared" si="239"/>
        <v>0.665692</v>
      </c>
      <c r="Y191" s="1">
        <f t="shared" si="240"/>
        <v>0.003423</v>
      </c>
      <c r="Z191" s="1">
        <f t="shared" si="241"/>
        <v>0.004075</v>
      </c>
      <c r="AA191" s="1">
        <f t="shared" si="242"/>
        <v>1.232769</v>
      </c>
      <c r="AB191" s="1">
        <f t="shared" si="243"/>
        <v>0.354525</v>
      </c>
      <c r="AC191" s="1">
        <f t="shared" si="244"/>
        <v>0.004075</v>
      </c>
      <c r="AD191" s="1">
        <f t="shared" si="245"/>
        <v>0.038631</v>
      </c>
      <c r="AE191" s="1">
        <f t="shared" si="246"/>
        <v>0.005379</v>
      </c>
      <c r="AF191" s="1">
        <f t="shared" si="247"/>
        <v>0.000163</v>
      </c>
      <c r="AG191" s="1">
        <f t="shared" si="248"/>
        <v>0.000978</v>
      </c>
      <c r="AH191" s="1">
        <f t="shared" si="249"/>
        <v>0.057865</v>
      </c>
      <c r="AI191" s="1">
        <f t="shared" si="250"/>
        <v>0.097963</v>
      </c>
      <c r="AJ191" s="1">
        <f t="shared" si="251"/>
        <v>0.037327</v>
      </c>
      <c r="AK191" s="1">
        <f t="shared" si="252"/>
        <v>0.000978</v>
      </c>
      <c r="AL191" s="1">
        <f t="shared" si="253"/>
        <v>0.175388</v>
      </c>
      <c r="AM191" s="1">
        <f t="shared" si="254"/>
        <v>0.033415</v>
      </c>
      <c r="AN191" s="1">
        <f t="shared" si="255"/>
        <v>0.000489</v>
      </c>
      <c r="AQ191" s="6">
        <v>2017</v>
      </c>
      <c r="AR191" s="6" t="s">
        <v>82</v>
      </c>
      <c r="AS191" s="6">
        <v>0.163</v>
      </c>
      <c r="AT191" s="6" t="s">
        <v>568</v>
      </c>
      <c r="AU191" s="6" t="s">
        <v>594</v>
      </c>
      <c r="AV191" t="str">
        <f t="shared" si="256"/>
        <v>Tra_EV_Batt-NMC111_virgin_pack</v>
      </c>
      <c r="AW191">
        <f t="shared" si="257"/>
        <v>0.002</v>
      </c>
      <c r="AX191">
        <f t="shared" si="258"/>
        <v>0.002</v>
      </c>
      <c r="AY191">
        <f t="shared" si="259"/>
        <v>0.067</v>
      </c>
      <c r="AZ191">
        <f t="shared" si="260"/>
        <v>0.233</v>
      </c>
      <c r="BA191">
        <f t="shared" si="261"/>
        <v>0.025</v>
      </c>
      <c r="BB191">
        <f t="shared" si="262"/>
        <v>1.041</v>
      </c>
      <c r="BC191">
        <f t="shared" si="263"/>
        <v>0.006</v>
      </c>
      <c r="BD191">
        <f t="shared" si="264"/>
        <v>1.701</v>
      </c>
      <c r="BE191">
        <f t="shared" si="265"/>
        <v>0.019</v>
      </c>
      <c r="BF191">
        <f t="shared" si="266"/>
        <v>0.029</v>
      </c>
      <c r="BG191">
        <f t="shared" si="267"/>
        <v>1.859</v>
      </c>
      <c r="BH191">
        <f t="shared" si="268"/>
        <v>1.384</v>
      </c>
      <c r="BI191">
        <f t="shared" si="269"/>
        <v>0.004</v>
      </c>
      <c r="BJ191">
        <f t="shared" si="270"/>
        <v>0.057</v>
      </c>
      <c r="BK191">
        <f t="shared" si="271"/>
        <v>0.084</v>
      </c>
      <c r="BL191">
        <f t="shared" si="272"/>
        <v>0.042</v>
      </c>
      <c r="BM191">
        <f t="shared" si="273"/>
        <v>0.056</v>
      </c>
      <c r="BN191">
        <f t="shared" si="274"/>
        <v>0.178</v>
      </c>
      <c r="BO191">
        <f t="shared" si="275"/>
        <v>4.084</v>
      </c>
      <c r="BP191">
        <f t="shared" si="276"/>
        <v>0.021</v>
      </c>
      <c r="BQ191">
        <f t="shared" si="277"/>
        <v>0.025</v>
      </c>
      <c r="BR191">
        <f t="shared" si="278"/>
        <v>7.563</v>
      </c>
      <c r="BS191">
        <f t="shared" si="279"/>
        <v>2.175</v>
      </c>
      <c r="BT191">
        <f t="shared" si="280"/>
        <v>0.025</v>
      </c>
      <c r="BU191">
        <f t="shared" si="281"/>
        <v>0.237</v>
      </c>
      <c r="BV191">
        <f t="shared" si="282"/>
        <v>0.033</v>
      </c>
      <c r="BW191">
        <f t="shared" si="283"/>
        <v>0.001</v>
      </c>
      <c r="BX191">
        <f t="shared" si="284"/>
        <v>0.006</v>
      </c>
      <c r="BY191">
        <f t="shared" si="285"/>
        <v>0.355</v>
      </c>
      <c r="BZ191">
        <f t="shared" si="286"/>
        <v>0.601</v>
      </c>
      <c r="CA191">
        <f t="shared" si="287"/>
        <v>0.229</v>
      </c>
      <c r="CB191">
        <f t="shared" si="288"/>
        <v>0.006</v>
      </c>
      <c r="CC191">
        <f t="shared" si="289"/>
        <v>1.076</v>
      </c>
      <c r="CD191">
        <f t="shared" si="290"/>
        <v>0.205</v>
      </c>
      <c r="CE191">
        <f t="shared" si="291"/>
        <v>0.003</v>
      </c>
      <c r="CG191" s="6">
        <v>2017</v>
      </c>
      <c r="CH191" s="6" t="s">
        <v>82</v>
      </c>
      <c r="CI191" s="6">
        <v>0.163</v>
      </c>
      <c r="CJ191" s="6">
        <v>0.22</v>
      </c>
      <c r="CK191" s="6" t="s">
        <v>595</v>
      </c>
      <c r="CL191" s="6" t="s">
        <v>596</v>
      </c>
      <c r="CM191" s="6" t="s">
        <v>597</v>
      </c>
    </row>
    <row r="192" spans="4:91">
      <c r="D192">
        <v>2023</v>
      </c>
      <c r="E192" t="s">
        <v>249</v>
      </c>
      <c r="F192" s="1">
        <f t="shared" si="222"/>
        <v>0</v>
      </c>
      <c r="G192" s="1">
        <f t="shared" si="223"/>
        <v>2.901015</v>
      </c>
      <c r="H192" s="1">
        <f t="shared" si="224"/>
        <v>10.3356</v>
      </c>
      <c r="I192" s="1">
        <f t="shared" si="225"/>
        <v>0</v>
      </c>
      <c r="J192" s="1">
        <f t="shared" si="226"/>
        <v>0</v>
      </c>
      <c r="K192" s="1">
        <f t="shared" si="227"/>
        <v>0</v>
      </c>
      <c r="L192" s="1">
        <f t="shared" si="228"/>
        <v>1.1745</v>
      </c>
      <c r="M192" s="1">
        <f t="shared" si="221"/>
        <v>4.81545</v>
      </c>
      <c r="N192" s="1">
        <f t="shared" si="229"/>
        <v>0</v>
      </c>
      <c r="O192" s="1">
        <f t="shared" si="230"/>
        <v>0</v>
      </c>
      <c r="P192" s="1">
        <f t="shared" si="231"/>
        <v>0</v>
      </c>
      <c r="Q192" s="1">
        <f t="shared" si="232"/>
        <v>0</v>
      </c>
      <c r="R192" s="1">
        <f t="shared" si="233"/>
        <v>0</v>
      </c>
      <c r="S192" s="1">
        <f t="shared" si="234"/>
        <v>0</v>
      </c>
      <c r="T192" s="1">
        <f t="shared" si="235"/>
        <v>0</v>
      </c>
      <c r="U192" s="1">
        <f t="shared" si="236"/>
        <v>0</v>
      </c>
      <c r="V192" s="1">
        <f t="shared" si="237"/>
        <v>0</v>
      </c>
      <c r="W192" s="1">
        <f t="shared" si="238"/>
        <v>0</v>
      </c>
      <c r="X192" s="1">
        <f t="shared" si="239"/>
        <v>0</v>
      </c>
      <c r="Y192" s="1">
        <f t="shared" si="240"/>
        <v>7.86915</v>
      </c>
      <c r="Z192" s="1">
        <f t="shared" si="241"/>
        <v>0</v>
      </c>
      <c r="AA192" s="1">
        <f t="shared" si="242"/>
        <v>0.505035</v>
      </c>
      <c r="AB192" s="1">
        <f t="shared" si="243"/>
        <v>0</v>
      </c>
      <c r="AC192" s="1">
        <f t="shared" si="244"/>
        <v>0</v>
      </c>
      <c r="AD192" s="1">
        <f t="shared" si="245"/>
        <v>0.54027</v>
      </c>
      <c r="AE192" s="1">
        <f t="shared" si="246"/>
        <v>0</v>
      </c>
      <c r="AF192" s="1">
        <f t="shared" si="247"/>
        <v>0</v>
      </c>
      <c r="AG192" s="1">
        <f t="shared" si="248"/>
        <v>0</v>
      </c>
      <c r="AH192" s="1">
        <f t="shared" si="249"/>
        <v>0.04698</v>
      </c>
      <c r="AI192" s="1">
        <f t="shared" si="250"/>
        <v>0</v>
      </c>
      <c r="AJ192" s="1">
        <f t="shared" si="251"/>
        <v>0</v>
      </c>
      <c r="AK192" s="1">
        <f t="shared" si="252"/>
        <v>0</v>
      </c>
      <c r="AL192" s="1">
        <f t="shared" si="253"/>
        <v>0</v>
      </c>
      <c r="AM192" s="1">
        <f t="shared" si="254"/>
        <v>0</v>
      </c>
      <c r="AN192" s="1">
        <f t="shared" si="255"/>
        <v>0</v>
      </c>
      <c r="AQ192" s="6">
        <v>2018</v>
      </c>
      <c r="AR192" s="6" t="s">
        <v>249</v>
      </c>
      <c r="AS192" s="6">
        <v>0.135</v>
      </c>
      <c r="AT192" s="6" t="s">
        <v>591</v>
      </c>
      <c r="AU192" s="6" t="s">
        <v>592</v>
      </c>
      <c r="AV192" t="str">
        <f t="shared" si="256"/>
        <v>MINBatMaterials_LI</v>
      </c>
      <c r="AW192">
        <f t="shared" si="257"/>
        <v>0</v>
      </c>
      <c r="AX192">
        <f t="shared" si="258"/>
        <v>21.489</v>
      </c>
      <c r="AY192">
        <f t="shared" si="259"/>
        <v>76.56</v>
      </c>
      <c r="AZ192">
        <f t="shared" si="260"/>
        <v>0</v>
      </c>
      <c r="BA192">
        <f t="shared" si="261"/>
        <v>0</v>
      </c>
      <c r="BB192">
        <f t="shared" si="262"/>
        <v>0</v>
      </c>
      <c r="BC192">
        <f t="shared" si="263"/>
        <v>8.7</v>
      </c>
      <c r="BD192">
        <f t="shared" si="264"/>
        <v>35.67</v>
      </c>
      <c r="BE192">
        <f t="shared" si="265"/>
        <v>0</v>
      </c>
      <c r="BF192">
        <f t="shared" si="266"/>
        <v>0</v>
      </c>
      <c r="BG192">
        <f t="shared" si="267"/>
        <v>0</v>
      </c>
      <c r="BH192">
        <f t="shared" si="268"/>
        <v>0</v>
      </c>
      <c r="BI192">
        <f t="shared" si="269"/>
        <v>0</v>
      </c>
      <c r="BJ192">
        <f t="shared" si="270"/>
        <v>0</v>
      </c>
      <c r="BK192">
        <f t="shared" si="271"/>
        <v>0</v>
      </c>
      <c r="BL192">
        <f t="shared" si="272"/>
        <v>0</v>
      </c>
      <c r="BM192">
        <f t="shared" si="273"/>
        <v>0</v>
      </c>
      <c r="BN192">
        <f t="shared" si="274"/>
        <v>0</v>
      </c>
      <c r="BO192">
        <f t="shared" si="275"/>
        <v>0</v>
      </c>
      <c r="BP192">
        <f t="shared" si="276"/>
        <v>58.29</v>
      </c>
      <c r="BQ192">
        <f t="shared" si="277"/>
        <v>0</v>
      </c>
      <c r="BR192">
        <f t="shared" si="278"/>
        <v>3.741</v>
      </c>
      <c r="BS192">
        <f t="shared" si="279"/>
        <v>0</v>
      </c>
      <c r="BT192">
        <f t="shared" si="280"/>
        <v>0</v>
      </c>
      <c r="BU192">
        <f t="shared" si="281"/>
        <v>4.002</v>
      </c>
      <c r="BV192">
        <f t="shared" si="282"/>
        <v>0</v>
      </c>
      <c r="BW192">
        <f t="shared" si="283"/>
        <v>0</v>
      </c>
      <c r="BX192">
        <f t="shared" si="284"/>
        <v>0</v>
      </c>
      <c r="BY192">
        <f t="shared" si="285"/>
        <v>0.348</v>
      </c>
      <c r="BZ192">
        <f t="shared" si="286"/>
        <v>0</v>
      </c>
      <c r="CA192">
        <f t="shared" si="287"/>
        <v>0</v>
      </c>
      <c r="CB192">
        <f t="shared" si="288"/>
        <v>0</v>
      </c>
      <c r="CC192">
        <f t="shared" si="289"/>
        <v>0</v>
      </c>
      <c r="CD192">
        <f t="shared" si="290"/>
        <v>0</v>
      </c>
      <c r="CE192">
        <f t="shared" si="291"/>
        <v>0</v>
      </c>
      <c r="CG192" s="6">
        <v>2018</v>
      </c>
      <c r="CH192" s="6" t="s">
        <v>249</v>
      </c>
      <c r="CI192" s="6">
        <v>0.135</v>
      </c>
      <c r="CJ192" s="6">
        <v>0.135</v>
      </c>
      <c r="CK192" s="6" t="s">
        <v>591</v>
      </c>
      <c r="CL192" s="6" t="s">
        <v>591</v>
      </c>
      <c r="CM192" s="6" t="s">
        <v>593</v>
      </c>
    </row>
    <row r="193" spans="4:91">
      <c r="D193">
        <f xml:space="preserve">D192</f>
        <v>2023</v>
      </c>
      <c r="E193" t="s">
        <v>251</v>
      </c>
      <c r="F193" s="1">
        <f t="shared" si="222"/>
        <v>0</v>
      </c>
      <c r="G193" s="1">
        <f t="shared" si="223"/>
        <v>0</v>
      </c>
      <c r="H193" s="1">
        <f t="shared" si="224"/>
        <v>2.2275</v>
      </c>
      <c r="I193" s="1">
        <f t="shared" si="225"/>
        <v>0</v>
      </c>
      <c r="J193" s="1">
        <f t="shared" si="226"/>
        <v>0</v>
      </c>
      <c r="K193" s="1">
        <f t="shared" si="227"/>
        <v>0</v>
      </c>
      <c r="L193" s="1">
        <f t="shared" si="228"/>
        <v>1.55925</v>
      </c>
      <c r="M193" s="1">
        <f t="shared" si="221"/>
        <v>2.43</v>
      </c>
      <c r="N193" s="1">
        <f t="shared" si="229"/>
        <v>0</v>
      </c>
      <c r="O193" s="1">
        <f t="shared" si="230"/>
        <v>0</v>
      </c>
      <c r="P193" s="1">
        <f t="shared" si="231"/>
        <v>0</v>
      </c>
      <c r="Q193" s="1">
        <f t="shared" si="232"/>
        <v>0</v>
      </c>
      <c r="R193" s="1">
        <f t="shared" si="233"/>
        <v>0</v>
      </c>
      <c r="S193" s="1">
        <f t="shared" si="234"/>
        <v>0</v>
      </c>
      <c r="T193" s="1">
        <f t="shared" si="235"/>
        <v>0</v>
      </c>
      <c r="U193" s="1">
        <f t="shared" si="236"/>
        <v>0</v>
      </c>
      <c r="V193" s="1">
        <f t="shared" si="237"/>
        <v>0</v>
      </c>
      <c r="W193" s="1">
        <f t="shared" si="238"/>
        <v>0</v>
      </c>
      <c r="X193" s="1">
        <f t="shared" si="239"/>
        <v>0</v>
      </c>
      <c r="Y193" s="1">
        <f t="shared" si="240"/>
        <v>0</v>
      </c>
      <c r="Z193" s="1">
        <f t="shared" si="241"/>
        <v>0</v>
      </c>
      <c r="AA193" s="1">
        <f t="shared" si="242"/>
        <v>4.0095</v>
      </c>
      <c r="AB193" s="1">
        <f t="shared" si="243"/>
        <v>0</v>
      </c>
      <c r="AC193" s="1">
        <f t="shared" si="244"/>
        <v>0</v>
      </c>
      <c r="AD193" s="1">
        <f t="shared" si="245"/>
        <v>60.44625</v>
      </c>
      <c r="AE193" s="1">
        <f t="shared" si="246"/>
        <v>4.2525</v>
      </c>
      <c r="AF193" s="1">
        <f t="shared" si="247"/>
        <v>0</v>
      </c>
      <c r="AG193" s="1">
        <f t="shared" si="248"/>
        <v>0</v>
      </c>
      <c r="AH193" s="1">
        <f t="shared" si="249"/>
        <v>0</v>
      </c>
      <c r="AI193" s="1">
        <f t="shared" si="250"/>
        <v>0</v>
      </c>
      <c r="AJ193" s="1">
        <f t="shared" si="251"/>
        <v>0</v>
      </c>
      <c r="AK193" s="1">
        <f t="shared" si="252"/>
        <v>0</v>
      </c>
      <c r="AL193" s="1">
        <f t="shared" si="253"/>
        <v>0</v>
      </c>
      <c r="AM193" s="1">
        <f t="shared" si="254"/>
        <v>0</v>
      </c>
      <c r="AN193" s="1">
        <f t="shared" si="255"/>
        <v>0</v>
      </c>
      <c r="AQ193" s="6">
        <v>2018</v>
      </c>
      <c r="AR193" s="6" t="s">
        <v>251</v>
      </c>
      <c r="AS193" s="6">
        <v>0.135</v>
      </c>
      <c r="AT193" s="6" t="s">
        <v>591</v>
      </c>
      <c r="AU193" s="6" t="s">
        <v>592</v>
      </c>
      <c r="AV193" t="str">
        <f t="shared" si="256"/>
        <v>MINBatMaterials_NI</v>
      </c>
      <c r="AW193">
        <f t="shared" si="257"/>
        <v>0</v>
      </c>
      <c r="AX193">
        <f t="shared" si="258"/>
        <v>0</v>
      </c>
      <c r="AY193">
        <f t="shared" si="259"/>
        <v>16.5</v>
      </c>
      <c r="AZ193">
        <f t="shared" si="260"/>
        <v>0</v>
      </c>
      <c r="BA193">
        <f t="shared" si="261"/>
        <v>0</v>
      </c>
      <c r="BB193">
        <f t="shared" si="262"/>
        <v>0</v>
      </c>
      <c r="BC193">
        <f t="shared" si="263"/>
        <v>11.55</v>
      </c>
      <c r="BD193">
        <f t="shared" si="264"/>
        <v>18</v>
      </c>
      <c r="BE193">
        <f t="shared" si="265"/>
        <v>0</v>
      </c>
      <c r="BF193">
        <f t="shared" si="266"/>
        <v>0</v>
      </c>
      <c r="BG193">
        <f t="shared" si="267"/>
        <v>0</v>
      </c>
      <c r="BH193">
        <f t="shared" si="268"/>
        <v>0</v>
      </c>
      <c r="BI193">
        <f t="shared" si="269"/>
        <v>0</v>
      </c>
      <c r="BJ193">
        <f t="shared" si="270"/>
        <v>0</v>
      </c>
      <c r="BK193">
        <f t="shared" si="271"/>
        <v>0</v>
      </c>
      <c r="BL193">
        <f t="shared" si="272"/>
        <v>0</v>
      </c>
      <c r="BM193">
        <f t="shared" si="273"/>
        <v>0</v>
      </c>
      <c r="BN193">
        <f t="shared" si="274"/>
        <v>0</v>
      </c>
      <c r="BO193">
        <f t="shared" si="275"/>
        <v>0</v>
      </c>
      <c r="BP193">
        <f t="shared" si="276"/>
        <v>0</v>
      </c>
      <c r="BQ193">
        <f t="shared" si="277"/>
        <v>0</v>
      </c>
      <c r="BR193">
        <f t="shared" si="278"/>
        <v>29.7</v>
      </c>
      <c r="BS193">
        <f t="shared" si="279"/>
        <v>0</v>
      </c>
      <c r="BT193">
        <f t="shared" si="280"/>
        <v>0</v>
      </c>
      <c r="BU193">
        <f t="shared" si="281"/>
        <v>447.75</v>
      </c>
      <c r="BV193">
        <f t="shared" si="282"/>
        <v>31.5</v>
      </c>
      <c r="BW193">
        <f t="shared" si="283"/>
        <v>0</v>
      </c>
      <c r="BX193">
        <f t="shared" si="284"/>
        <v>0</v>
      </c>
      <c r="BY193">
        <f t="shared" si="285"/>
        <v>0</v>
      </c>
      <c r="BZ193">
        <f t="shared" si="286"/>
        <v>0</v>
      </c>
      <c r="CA193">
        <f t="shared" si="287"/>
        <v>0</v>
      </c>
      <c r="CB193">
        <f t="shared" si="288"/>
        <v>0</v>
      </c>
      <c r="CC193">
        <f t="shared" si="289"/>
        <v>0</v>
      </c>
      <c r="CD193">
        <f t="shared" si="290"/>
        <v>0</v>
      </c>
      <c r="CE193">
        <f t="shared" si="291"/>
        <v>0</v>
      </c>
      <c r="CG193" s="6">
        <v>2018</v>
      </c>
      <c r="CH193" s="6" t="s">
        <v>251</v>
      </c>
      <c r="CI193" s="6">
        <v>0.135</v>
      </c>
      <c r="CJ193" s="6">
        <v>0.135</v>
      </c>
      <c r="CK193" s="6" t="s">
        <v>591</v>
      </c>
      <c r="CL193" s="6" t="s">
        <v>591</v>
      </c>
      <c r="CM193" s="6" t="s">
        <v>593</v>
      </c>
    </row>
    <row r="194" ht="16" spans="4:91">
      <c r="D194">
        <f t="shared" ref="D194:D212" si="292" xml:space="preserve">D193</f>
        <v>2023</v>
      </c>
      <c r="E194" s="18" t="s">
        <v>255</v>
      </c>
      <c r="F194" s="1">
        <f t="shared" si="222"/>
        <v>0</v>
      </c>
      <c r="G194" s="1">
        <f t="shared" si="223"/>
        <v>22.83876</v>
      </c>
      <c r="H194" s="1">
        <f t="shared" si="224"/>
        <v>0.36936</v>
      </c>
      <c r="I194" s="1">
        <f t="shared" si="225"/>
        <v>0</v>
      </c>
      <c r="J194" s="1">
        <f t="shared" si="226"/>
        <v>0</v>
      </c>
      <c r="K194" s="1">
        <f t="shared" si="227"/>
        <v>0</v>
      </c>
      <c r="L194" s="1">
        <f t="shared" si="228"/>
        <v>0</v>
      </c>
      <c r="M194" s="1">
        <f t="shared" si="221"/>
        <v>0</v>
      </c>
      <c r="N194" s="1">
        <f t="shared" si="229"/>
        <v>0</v>
      </c>
      <c r="O194" s="1">
        <f t="shared" si="230"/>
        <v>0</v>
      </c>
      <c r="P194" s="1">
        <f t="shared" si="231"/>
        <v>0</v>
      </c>
      <c r="Q194" s="1">
        <f t="shared" si="232"/>
        <v>0</v>
      </c>
      <c r="R194" s="1">
        <f t="shared" si="233"/>
        <v>0</v>
      </c>
      <c r="S194" s="1">
        <f t="shared" si="234"/>
        <v>0</v>
      </c>
      <c r="T194" s="1">
        <f t="shared" si="235"/>
        <v>0</v>
      </c>
      <c r="U194" s="1">
        <f t="shared" si="236"/>
        <v>0</v>
      </c>
      <c r="V194" s="1">
        <f t="shared" si="237"/>
        <v>0</v>
      </c>
      <c r="W194" s="1">
        <f t="shared" si="238"/>
        <v>0</v>
      </c>
      <c r="X194" s="1">
        <f t="shared" si="239"/>
        <v>0</v>
      </c>
      <c r="Y194" s="1">
        <f t="shared" si="240"/>
        <v>0.3591</v>
      </c>
      <c r="Z194" s="1">
        <f t="shared" si="241"/>
        <v>0</v>
      </c>
      <c r="AA194" s="1">
        <f t="shared" si="242"/>
        <v>0.49248</v>
      </c>
      <c r="AB194" s="1">
        <f t="shared" si="243"/>
        <v>0</v>
      </c>
      <c r="AC194" s="1">
        <f t="shared" si="244"/>
        <v>0</v>
      </c>
      <c r="AD194" s="1">
        <f t="shared" si="245"/>
        <v>4.49388</v>
      </c>
      <c r="AE194" s="1">
        <f t="shared" si="246"/>
        <v>0.89262</v>
      </c>
      <c r="AF194" s="1">
        <f t="shared" si="247"/>
        <v>0</v>
      </c>
      <c r="AG194" s="1">
        <f t="shared" si="248"/>
        <v>0</v>
      </c>
      <c r="AH194" s="1">
        <f t="shared" si="249"/>
        <v>0</v>
      </c>
      <c r="AI194" s="1">
        <f t="shared" si="250"/>
        <v>0</v>
      </c>
      <c r="AJ194" s="1">
        <f t="shared" si="251"/>
        <v>0</v>
      </c>
      <c r="AK194" s="1">
        <f t="shared" si="252"/>
        <v>0.27702</v>
      </c>
      <c r="AL194" s="1">
        <f t="shared" si="253"/>
        <v>0</v>
      </c>
      <c r="AM194" s="1">
        <f t="shared" si="254"/>
        <v>0</v>
      </c>
      <c r="AN194" s="1">
        <f t="shared" si="255"/>
        <v>0</v>
      </c>
      <c r="AQ194" s="6">
        <v>2018</v>
      </c>
      <c r="AR194" s="6" t="s">
        <v>255</v>
      </c>
      <c r="AS194" s="6">
        <v>0.135</v>
      </c>
      <c r="AT194" s="6" t="s">
        <v>591</v>
      </c>
      <c r="AU194" s="6" t="s">
        <v>592</v>
      </c>
      <c r="AV194" t="str">
        <f t="shared" si="256"/>
        <v>MINBatMaterials_COB</v>
      </c>
      <c r="AW194">
        <f t="shared" si="257"/>
        <v>0</v>
      </c>
      <c r="AX194">
        <f t="shared" si="258"/>
        <v>169.176</v>
      </c>
      <c r="AY194">
        <f t="shared" si="259"/>
        <v>2.736</v>
      </c>
      <c r="AZ194">
        <f t="shared" si="260"/>
        <v>0</v>
      </c>
      <c r="BA194">
        <f t="shared" si="261"/>
        <v>0</v>
      </c>
      <c r="BB194">
        <f t="shared" si="262"/>
        <v>0</v>
      </c>
      <c r="BC194">
        <f t="shared" si="263"/>
        <v>0</v>
      </c>
      <c r="BD194">
        <f t="shared" si="264"/>
        <v>0</v>
      </c>
      <c r="BE194">
        <f t="shared" si="265"/>
        <v>0</v>
      </c>
      <c r="BF194">
        <f t="shared" si="266"/>
        <v>0</v>
      </c>
      <c r="BG194">
        <f t="shared" si="267"/>
        <v>0</v>
      </c>
      <c r="BH194">
        <f t="shared" si="268"/>
        <v>0</v>
      </c>
      <c r="BI194">
        <f t="shared" si="269"/>
        <v>0</v>
      </c>
      <c r="BJ194">
        <f t="shared" si="270"/>
        <v>0</v>
      </c>
      <c r="BK194">
        <f t="shared" si="271"/>
        <v>0</v>
      </c>
      <c r="BL194">
        <f t="shared" si="272"/>
        <v>0</v>
      </c>
      <c r="BM194">
        <f t="shared" si="273"/>
        <v>0</v>
      </c>
      <c r="BN194">
        <f t="shared" si="274"/>
        <v>0</v>
      </c>
      <c r="BO194">
        <f t="shared" si="275"/>
        <v>0</v>
      </c>
      <c r="BP194">
        <f t="shared" si="276"/>
        <v>2.66</v>
      </c>
      <c r="BQ194">
        <f t="shared" si="277"/>
        <v>0</v>
      </c>
      <c r="BR194">
        <f t="shared" si="278"/>
        <v>3.648</v>
      </c>
      <c r="BS194">
        <f t="shared" si="279"/>
        <v>0</v>
      </c>
      <c r="BT194">
        <f t="shared" si="280"/>
        <v>0</v>
      </c>
      <c r="BU194">
        <f t="shared" si="281"/>
        <v>33.288</v>
      </c>
      <c r="BV194">
        <f t="shared" si="282"/>
        <v>6.612</v>
      </c>
      <c r="BW194">
        <f t="shared" si="283"/>
        <v>0</v>
      </c>
      <c r="BX194">
        <f t="shared" si="284"/>
        <v>0</v>
      </c>
      <c r="BY194">
        <f t="shared" si="285"/>
        <v>0</v>
      </c>
      <c r="BZ194">
        <f t="shared" si="286"/>
        <v>0</v>
      </c>
      <c r="CA194">
        <f t="shared" si="287"/>
        <v>0</v>
      </c>
      <c r="CB194">
        <f t="shared" si="288"/>
        <v>2.052</v>
      </c>
      <c r="CC194">
        <f t="shared" si="289"/>
        <v>0</v>
      </c>
      <c r="CD194">
        <f t="shared" si="290"/>
        <v>0</v>
      </c>
      <c r="CE194">
        <f t="shared" si="291"/>
        <v>0</v>
      </c>
      <c r="CG194" s="6">
        <v>2018</v>
      </c>
      <c r="CH194" s="6" t="s">
        <v>255</v>
      </c>
      <c r="CI194" s="6">
        <v>0.135</v>
      </c>
      <c r="CJ194" s="6">
        <v>0.135</v>
      </c>
      <c r="CK194" s="6" t="s">
        <v>591</v>
      </c>
      <c r="CL194" s="6" t="s">
        <v>591</v>
      </c>
      <c r="CM194" s="6" t="s">
        <v>593</v>
      </c>
    </row>
    <row r="195" spans="4:91">
      <c r="D195">
        <f t="shared" si="292"/>
        <v>2023</v>
      </c>
      <c r="E195" t="s">
        <v>256</v>
      </c>
      <c r="F195" s="1">
        <f t="shared" si="222"/>
        <v>0</v>
      </c>
      <c r="G195" s="1">
        <f t="shared" si="223"/>
        <v>7.803</v>
      </c>
      <c r="H195" s="1">
        <f t="shared" si="224"/>
        <v>3.78</v>
      </c>
      <c r="I195" s="1">
        <f t="shared" si="225"/>
        <v>0</v>
      </c>
      <c r="J195" s="1">
        <f t="shared" si="226"/>
        <v>0</v>
      </c>
      <c r="K195" s="1">
        <f t="shared" si="227"/>
        <v>0</v>
      </c>
      <c r="L195" s="1">
        <f t="shared" si="228"/>
        <v>0.7965</v>
      </c>
      <c r="M195" s="1">
        <f t="shared" si="221"/>
        <v>1.0395</v>
      </c>
      <c r="N195" s="1">
        <f t="shared" si="229"/>
        <v>0</v>
      </c>
      <c r="O195" s="1">
        <f t="shared" si="230"/>
        <v>0</v>
      </c>
      <c r="P195" s="1">
        <f t="shared" si="231"/>
        <v>0</v>
      </c>
      <c r="Q195" s="1">
        <f t="shared" si="232"/>
        <v>0</v>
      </c>
      <c r="R195" s="1">
        <f t="shared" si="233"/>
        <v>0</v>
      </c>
      <c r="S195" s="1">
        <f t="shared" si="234"/>
        <v>0</v>
      </c>
      <c r="T195" s="1">
        <f t="shared" si="235"/>
        <v>0</v>
      </c>
      <c r="U195" s="1">
        <f t="shared" si="236"/>
        <v>1.08</v>
      </c>
      <c r="V195" s="1">
        <f t="shared" si="237"/>
        <v>0</v>
      </c>
      <c r="W195" s="1">
        <f t="shared" si="238"/>
        <v>0</v>
      </c>
      <c r="X195" s="1">
        <f t="shared" si="239"/>
        <v>0</v>
      </c>
      <c r="Y195" s="1">
        <f t="shared" si="240"/>
        <v>0</v>
      </c>
      <c r="Z195" s="1">
        <f t="shared" si="241"/>
        <v>0</v>
      </c>
      <c r="AA195" s="1">
        <f t="shared" si="242"/>
        <v>0</v>
      </c>
      <c r="AB195" s="1">
        <f t="shared" si="243"/>
        <v>0</v>
      </c>
      <c r="AC195" s="1">
        <f t="shared" si="244"/>
        <v>0</v>
      </c>
      <c r="AD195" s="1">
        <f t="shared" si="245"/>
        <v>2.781</v>
      </c>
      <c r="AE195" s="1">
        <f t="shared" si="246"/>
        <v>0</v>
      </c>
      <c r="AF195" s="1">
        <f t="shared" si="247"/>
        <v>0</v>
      </c>
      <c r="AG195" s="1">
        <f t="shared" si="248"/>
        <v>9.99</v>
      </c>
      <c r="AH195" s="1">
        <f t="shared" si="249"/>
        <v>0</v>
      </c>
      <c r="AI195" s="1">
        <f t="shared" si="250"/>
        <v>0</v>
      </c>
      <c r="AJ195" s="1">
        <f t="shared" si="251"/>
        <v>0</v>
      </c>
      <c r="AK195" s="1">
        <f t="shared" si="252"/>
        <v>0</v>
      </c>
      <c r="AL195" s="1">
        <f t="shared" si="253"/>
        <v>0</v>
      </c>
      <c r="AM195" s="1">
        <f t="shared" si="254"/>
        <v>0</v>
      </c>
      <c r="AN195" s="1">
        <f t="shared" si="255"/>
        <v>0</v>
      </c>
      <c r="AQ195" s="6">
        <v>2018</v>
      </c>
      <c r="AR195" s="6" t="s">
        <v>256</v>
      </c>
      <c r="AS195" s="6">
        <v>0.135</v>
      </c>
      <c r="AT195" s="6" t="s">
        <v>591</v>
      </c>
      <c r="AU195" s="6" t="s">
        <v>592</v>
      </c>
      <c r="AV195" t="str">
        <f t="shared" si="256"/>
        <v>MINBatMaterials_MN</v>
      </c>
      <c r="AW195">
        <f t="shared" si="257"/>
        <v>0</v>
      </c>
      <c r="AX195">
        <f t="shared" si="258"/>
        <v>57.8</v>
      </c>
      <c r="AY195">
        <f t="shared" si="259"/>
        <v>28</v>
      </c>
      <c r="AZ195">
        <f t="shared" si="260"/>
        <v>0</v>
      </c>
      <c r="BA195">
        <f t="shared" si="261"/>
        <v>0</v>
      </c>
      <c r="BB195">
        <f t="shared" si="262"/>
        <v>0</v>
      </c>
      <c r="BC195">
        <f t="shared" si="263"/>
        <v>5.9</v>
      </c>
      <c r="BD195">
        <f t="shared" si="264"/>
        <v>7.7</v>
      </c>
      <c r="BE195">
        <f t="shared" si="265"/>
        <v>0</v>
      </c>
      <c r="BF195">
        <f t="shared" si="266"/>
        <v>0</v>
      </c>
      <c r="BG195">
        <f t="shared" si="267"/>
        <v>0</v>
      </c>
      <c r="BH195">
        <f t="shared" si="268"/>
        <v>0</v>
      </c>
      <c r="BI195">
        <f t="shared" si="269"/>
        <v>0</v>
      </c>
      <c r="BJ195">
        <f t="shared" si="270"/>
        <v>0</v>
      </c>
      <c r="BK195">
        <f t="shared" si="271"/>
        <v>0</v>
      </c>
      <c r="BL195">
        <f t="shared" si="272"/>
        <v>8</v>
      </c>
      <c r="BM195">
        <f t="shared" si="273"/>
        <v>0</v>
      </c>
      <c r="BN195">
        <f t="shared" si="274"/>
        <v>0</v>
      </c>
      <c r="BO195">
        <f t="shared" si="275"/>
        <v>0</v>
      </c>
      <c r="BP195">
        <f t="shared" si="276"/>
        <v>0</v>
      </c>
      <c r="BQ195">
        <f t="shared" si="277"/>
        <v>0</v>
      </c>
      <c r="BR195">
        <f t="shared" si="278"/>
        <v>0</v>
      </c>
      <c r="BS195">
        <f t="shared" si="279"/>
        <v>0</v>
      </c>
      <c r="BT195">
        <f t="shared" si="280"/>
        <v>0</v>
      </c>
      <c r="BU195">
        <f t="shared" si="281"/>
        <v>20.6</v>
      </c>
      <c r="BV195">
        <f t="shared" si="282"/>
        <v>0</v>
      </c>
      <c r="BW195">
        <f t="shared" si="283"/>
        <v>0</v>
      </c>
      <c r="BX195">
        <f t="shared" si="284"/>
        <v>74</v>
      </c>
      <c r="BY195">
        <f t="shared" si="285"/>
        <v>0</v>
      </c>
      <c r="BZ195">
        <f t="shared" si="286"/>
        <v>0</v>
      </c>
      <c r="CA195">
        <f t="shared" si="287"/>
        <v>0</v>
      </c>
      <c r="CB195">
        <f t="shared" si="288"/>
        <v>0</v>
      </c>
      <c r="CC195">
        <f t="shared" si="289"/>
        <v>0</v>
      </c>
      <c r="CD195">
        <f t="shared" si="290"/>
        <v>0</v>
      </c>
      <c r="CE195">
        <f t="shared" si="291"/>
        <v>0</v>
      </c>
      <c r="CG195" s="6">
        <v>2018</v>
      </c>
      <c r="CH195" s="6" t="s">
        <v>256</v>
      </c>
      <c r="CI195" s="6">
        <v>0.135</v>
      </c>
      <c r="CJ195" s="6">
        <v>0.135</v>
      </c>
      <c r="CK195" s="6" t="s">
        <v>591</v>
      </c>
      <c r="CL195" s="6" t="s">
        <v>591</v>
      </c>
      <c r="CM195" s="6" t="s">
        <v>593</v>
      </c>
    </row>
    <row r="196" spans="4:91">
      <c r="D196">
        <f t="shared" si="292"/>
        <v>2023</v>
      </c>
      <c r="E196" t="s">
        <v>258</v>
      </c>
      <c r="F196" s="1">
        <f t="shared" si="222"/>
        <v>0</v>
      </c>
      <c r="G196" s="1">
        <f t="shared" si="223"/>
        <v>0.4293</v>
      </c>
      <c r="H196" s="1">
        <f t="shared" si="224"/>
        <v>25.7094</v>
      </c>
      <c r="I196" s="1">
        <f t="shared" si="225"/>
        <v>0</v>
      </c>
      <c r="J196" s="1">
        <f t="shared" si="226"/>
        <v>0</v>
      </c>
      <c r="K196" s="1">
        <f t="shared" si="227"/>
        <v>0</v>
      </c>
      <c r="L196" s="1">
        <f t="shared" si="228"/>
        <v>15.7113</v>
      </c>
      <c r="M196" s="1">
        <f t="shared" si="221"/>
        <v>119.9772</v>
      </c>
      <c r="N196" s="1">
        <f t="shared" si="229"/>
        <v>0</v>
      </c>
      <c r="O196" s="1">
        <f t="shared" si="230"/>
        <v>0</v>
      </c>
      <c r="P196" s="1">
        <f t="shared" si="231"/>
        <v>0</v>
      </c>
      <c r="Q196" s="1">
        <f t="shared" si="232"/>
        <v>1.3716</v>
      </c>
      <c r="R196" s="1">
        <f t="shared" si="233"/>
        <v>1.2285</v>
      </c>
      <c r="S196" s="1">
        <f t="shared" si="234"/>
        <v>0</v>
      </c>
      <c r="T196" s="1">
        <f t="shared" si="235"/>
        <v>0</v>
      </c>
      <c r="U196" s="1">
        <f t="shared" si="236"/>
        <v>10.854</v>
      </c>
      <c r="V196" s="1">
        <f t="shared" si="237"/>
        <v>2.2842</v>
      </c>
      <c r="W196" s="1">
        <f t="shared" si="238"/>
        <v>0</v>
      </c>
      <c r="X196" s="1">
        <f t="shared" si="239"/>
        <v>0</v>
      </c>
      <c r="Y196" s="1">
        <f t="shared" si="240"/>
        <v>0</v>
      </c>
      <c r="Z196" s="1">
        <f t="shared" si="241"/>
        <v>3.429</v>
      </c>
      <c r="AA196" s="1">
        <f t="shared" si="242"/>
        <v>3.1725</v>
      </c>
      <c r="AB196" s="1">
        <f t="shared" si="243"/>
        <v>0</v>
      </c>
      <c r="AC196" s="1">
        <f t="shared" si="244"/>
        <v>0</v>
      </c>
      <c r="AD196" s="1">
        <f t="shared" si="245"/>
        <v>8.1405</v>
      </c>
      <c r="AE196" s="1">
        <f t="shared" si="246"/>
        <v>4.1418</v>
      </c>
      <c r="AF196" s="1">
        <f t="shared" si="247"/>
        <v>2.5704</v>
      </c>
      <c r="AG196" s="1">
        <f t="shared" si="248"/>
        <v>0</v>
      </c>
      <c r="AH196" s="1">
        <f t="shared" si="249"/>
        <v>1.1718</v>
      </c>
      <c r="AI196" s="1">
        <f t="shared" si="250"/>
        <v>0</v>
      </c>
      <c r="AJ196" s="1">
        <f t="shared" si="251"/>
        <v>0</v>
      </c>
      <c r="AK196" s="1">
        <f t="shared" si="252"/>
        <v>0.4563</v>
      </c>
      <c r="AL196" s="1">
        <f t="shared" si="253"/>
        <v>0</v>
      </c>
      <c r="AM196" s="1">
        <f t="shared" si="254"/>
        <v>0</v>
      </c>
      <c r="AN196" s="1">
        <f t="shared" si="255"/>
        <v>0</v>
      </c>
      <c r="AQ196" s="6">
        <v>2018</v>
      </c>
      <c r="AR196" s="6" t="s">
        <v>258</v>
      </c>
      <c r="AS196" s="6">
        <v>0.135</v>
      </c>
      <c r="AT196" s="6" t="s">
        <v>591</v>
      </c>
      <c r="AU196" s="6" t="s">
        <v>592</v>
      </c>
      <c r="AV196" t="str">
        <f t="shared" si="256"/>
        <v>MINBatMaterials_AL</v>
      </c>
      <c r="AW196">
        <f t="shared" si="257"/>
        <v>0</v>
      </c>
      <c r="AX196">
        <f t="shared" si="258"/>
        <v>3.18</v>
      </c>
      <c r="AY196">
        <f t="shared" si="259"/>
        <v>190.44</v>
      </c>
      <c r="AZ196">
        <f t="shared" si="260"/>
        <v>0</v>
      </c>
      <c r="BA196">
        <f t="shared" si="261"/>
        <v>0</v>
      </c>
      <c r="BB196">
        <f t="shared" si="262"/>
        <v>0</v>
      </c>
      <c r="BC196">
        <f t="shared" si="263"/>
        <v>116.38</v>
      </c>
      <c r="BD196">
        <f t="shared" si="264"/>
        <v>888.72</v>
      </c>
      <c r="BE196">
        <f t="shared" si="265"/>
        <v>0</v>
      </c>
      <c r="BF196">
        <f t="shared" si="266"/>
        <v>0</v>
      </c>
      <c r="BG196">
        <f t="shared" si="267"/>
        <v>0</v>
      </c>
      <c r="BH196">
        <f t="shared" si="268"/>
        <v>10.16</v>
      </c>
      <c r="BI196">
        <f t="shared" si="269"/>
        <v>9.1</v>
      </c>
      <c r="BJ196">
        <f t="shared" si="270"/>
        <v>0</v>
      </c>
      <c r="BK196">
        <f t="shared" si="271"/>
        <v>0</v>
      </c>
      <c r="BL196">
        <f t="shared" si="272"/>
        <v>80.4</v>
      </c>
      <c r="BM196">
        <f t="shared" si="273"/>
        <v>16.92</v>
      </c>
      <c r="BN196">
        <f t="shared" si="274"/>
        <v>0</v>
      </c>
      <c r="BO196">
        <f t="shared" si="275"/>
        <v>0</v>
      </c>
      <c r="BP196">
        <f t="shared" si="276"/>
        <v>0</v>
      </c>
      <c r="BQ196">
        <f t="shared" si="277"/>
        <v>25.4</v>
      </c>
      <c r="BR196">
        <f t="shared" si="278"/>
        <v>23.5</v>
      </c>
      <c r="BS196">
        <f t="shared" si="279"/>
        <v>0</v>
      </c>
      <c r="BT196">
        <f t="shared" si="280"/>
        <v>0</v>
      </c>
      <c r="BU196">
        <f t="shared" si="281"/>
        <v>60.3</v>
      </c>
      <c r="BV196">
        <f t="shared" si="282"/>
        <v>30.68</v>
      </c>
      <c r="BW196">
        <f t="shared" si="283"/>
        <v>19.04</v>
      </c>
      <c r="BX196">
        <f t="shared" si="284"/>
        <v>0</v>
      </c>
      <c r="BY196">
        <f t="shared" si="285"/>
        <v>8.68</v>
      </c>
      <c r="BZ196">
        <f t="shared" si="286"/>
        <v>0</v>
      </c>
      <c r="CA196">
        <f t="shared" si="287"/>
        <v>0</v>
      </c>
      <c r="CB196">
        <f t="shared" si="288"/>
        <v>3.38</v>
      </c>
      <c r="CC196">
        <f t="shared" si="289"/>
        <v>0</v>
      </c>
      <c r="CD196">
        <f t="shared" si="290"/>
        <v>0</v>
      </c>
      <c r="CE196">
        <f t="shared" si="291"/>
        <v>0</v>
      </c>
      <c r="CG196" s="6">
        <v>2018</v>
      </c>
      <c r="CH196" s="6" t="s">
        <v>258</v>
      </c>
      <c r="CI196" s="6">
        <v>0.135</v>
      </c>
      <c r="CJ196" s="6">
        <v>0.135</v>
      </c>
      <c r="CK196" s="6" t="s">
        <v>591</v>
      </c>
      <c r="CL196" s="6" t="s">
        <v>591</v>
      </c>
      <c r="CM196" s="6" t="s">
        <v>593</v>
      </c>
    </row>
    <row r="197" spans="4:91">
      <c r="D197">
        <f t="shared" si="292"/>
        <v>2023</v>
      </c>
      <c r="E197" t="s">
        <v>260</v>
      </c>
      <c r="F197" s="1">
        <f t="shared" si="222"/>
        <v>0</v>
      </c>
      <c r="G197" s="1">
        <f t="shared" si="223"/>
        <v>13.4325</v>
      </c>
      <c r="H197" s="1">
        <f t="shared" si="224"/>
        <v>2.7</v>
      </c>
      <c r="I197" s="1">
        <f t="shared" si="225"/>
        <v>0</v>
      </c>
      <c r="J197" s="1">
        <f t="shared" si="226"/>
        <v>0</v>
      </c>
      <c r="K197" s="1">
        <f t="shared" si="227"/>
        <v>0</v>
      </c>
      <c r="L197" s="1">
        <f t="shared" si="228"/>
        <v>0</v>
      </c>
      <c r="M197" s="1">
        <f t="shared" si="221"/>
        <v>6.075</v>
      </c>
      <c r="N197" s="1">
        <f t="shared" si="229"/>
        <v>0</v>
      </c>
      <c r="O197" s="1">
        <f t="shared" si="230"/>
        <v>0</v>
      </c>
      <c r="P197" s="1">
        <f t="shared" si="231"/>
        <v>0</v>
      </c>
      <c r="Q197" s="1">
        <f t="shared" si="232"/>
        <v>0</v>
      </c>
      <c r="R197" s="1">
        <f t="shared" si="233"/>
        <v>0</v>
      </c>
      <c r="S197" s="1">
        <f t="shared" si="234"/>
        <v>0</v>
      </c>
      <c r="T197" s="1">
        <f t="shared" si="235"/>
        <v>0</v>
      </c>
      <c r="U197" s="1">
        <f t="shared" si="236"/>
        <v>0.10125</v>
      </c>
      <c r="V197" s="1">
        <f t="shared" si="237"/>
        <v>0</v>
      </c>
      <c r="W197" s="1">
        <f t="shared" si="238"/>
        <v>0</v>
      </c>
      <c r="X197" s="1">
        <f t="shared" si="239"/>
        <v>0</v>
      </c>
      <c r="Y197" s="1">
        <f t="shared" si="240"/>
        <v>26.6625</v>
      </c>
      <c r="Z197" s="1">
        <f t="shared" si="241"/>
        <v>0</v>
      </c>
      <c r="AA197" s="1">
        <f t="shared" si="242"/>
        <v>7.59375</v>
      </c>
      <c r="AB197" s="1">
        <f t="shared" si="243"/>
        <v>0</v>
      </c>
      <c r="AC197" s="1">
        <f t="shared" si="244"/>
        <v>1.38375</v>
      </c>
      <c r="AD197" s="1">
        <f t="shared" si="245"/>
        <v>15.8625</v>
      </c>
      <c r="AE197" s="1">
        <f t="shared" si="246"/>
        <v>3.13875</v>
      </c>
      <c r="AF197" s="1">
        <f t="shared" si="247"/>
        <v>0</v>
      </c>
      <c r="AG197" s="1">
        <f t="shared" si="248"/>
        <v>0</v>
      </c>
      <c r="AH197" s="1">
        <f t="shared" si="249"/>
        <v>0</v>
      </c>
      <c r="AI197" s="1">
        <f t="shared" si="250"/>
        <v>0</v>
      </c>
      <c r="AJ197" s="1">
        <f t="shared" si="251"/>
        <v>0</v>
      </c>
      <c r="AK197" s="1">
        <f t="shared" si="252"/>
        <v>0</v>
      </c>
      <c r="AL197" s="1">
        <f t="shared" si="253"/>
        <v>0</v>
      </c>
      <c r="AM197" s="1">
        <f t="shared" si="254"/>
        <v>0</v>
      </c>
      <c r="AN197" s="1">
        <f t="shared" si="255"/>
        <v>0</v>
      </c>
      <c r="AQ197" s="6">
        <v>2018</v>
      </c>
      <c r="AR197" s="6" t="s">
        <v>260</v>
      </c>
      <c r="AS197" s="6">
        <v>0.135</v>
      </c>
      <c r="AT197" s="6" t="s">
        <v>591</v>
      </c>
      <c r="AU197" s="6" t="s">
        <v>592</v>
      </c>
      <c r="AV197" t="str">
        <f t="shared" si="256"/>
        <v>MINBatMaterials_COP</v>
      </c>
      <c r="AW197">
        <f t="shared" si="257"/>
        <v>0</v>
      </c>
      <c r="AX197">
        <f t="shared" si="258"/>
        <v>99.5</v>
      </c>
      <c r="AY197">
        <f t="shared" si="259"/>
        <v>20</v>
      </c>
      <c r="AZ197">
        <f t="shared" si="260"/>
        <v>0</v>
      </c>
      <c r="BA197">
        <f t="shared" si="261"/>
        <v>0</v>
      </c>
      <c r="BB197">
        <f t="shared" si="262"/>
        <v>0</v>
      </c>
      <c r="BC197">
        <f t="shared" si="263"/>
        <v>0</v>
      </c>
      <c r="BD197">
        <f t="shared" si="264"/>
        <v>45</v>
      </c>
      <c r="BE197">
        <f t="shared" si="265"/>
        <v>0</v>
      </c>
      <c r="BF197">
        <f t="shared" si="266"/>
        <v>0</v>
      </c>
      <c r="BG197">
        <f t="shared" si="267"/>
        <v>0</v>
      </c>
      <c r="BH197">
        <f t="shared" si="268"/>
        <v>0</v>
      </c>
      <c r="BI197">
        <f t="shared" si="269"/>
        <v>0</v>
      </c>
      <c r="BJ197">
        <f t="shared" si="270"/>
        <v>0</v>
      </c>
      <c r="BK197">
        <f t="shared" si="271"/>
        <v>0</v>
      </c>
      <c r="BL197">
        <f t="shared" si="272"/>
        <v>0.75</v>
      </c>
      <c r="BM197">
        <f t="shared" si="273"/>
        <v>0</v>
      </c>
      <c r="BN197">
        <f t="shared" si="274"/>
        <v>0</v>
      </c>
      <c r="BO197">
        <f t="shared" si="275"/>
        <v>0</v>
      </c>
      <c r="BP197">
        <f t="shared" si="276"/>
        <v>197.5</v>
      </c>
      <c r="BQ197">
        <f t="shared" si="277"/>
        <v>0</v>
      </c>
      <c r="BR197">
        <f t="shared" si="278"/>
        <v>56.25</v>
      </c>
      <c r="BS197">
        <f t="shared" si="279"/>
        <v>0</v>
      </c>
      <c r="BT197">
        <f t="shared" si="280"/>
        <v>10.25</v>
      </c>
      <c r="BU197">
        <f t="shared" si="281"/>
        <v>117.5</v>
      </c>
      <c r="BV197">
        <f t="shared" si="282"/>
        <v>23.25</v>
      </c>
      <c r="BW197">
        <f t="shared" si="283"/>
        <v>0</v>
      </c>
      <c r="BX197">
        <f t="shared" si="284"/>
        <v>0</v>
      </c>
      <c r="BY197">
        <f t="shared" si="285"/>
        <v>0</v>
      </c>
      <c r="BZ197">
        <f t="shared" si="286"/>
        <v>0</v>
      </c>
      <c r="CA197">
        <f t="shared" si="287"/>
        <v>0</v>
      </c>
      <c r="CB197">
        <f t="shared" si="288"/>
        <v>0</v>
      </c>
      <c r="CC197">
        <f t="shared" si="289"/>
        <v>0</v>
      </c>
      <c r="CD197">
        <f t="shared" si="290"/>
        <v>0</v>
      </c>
      <c r="CE197">
        <f t="shared" si="291"/>
        <v>0</v>
      </c>
      <c r="CG197" s="6">
        <v>2018</v>
      </c>
      <c r="CH197" s="6" t="s">
        <v>260</v>
      </c>
      <c r="CI197" s="6">
        <v>0.135</v>
      </c>
      <c r="CJ197" s="6">
        <v>0.135</v>
      </c>
      <c r="CK197" s="6" t="s">
        <v>591</v>
      </c>
      <c r="CL197" s="6" t="s">
        <v>591</v>
      </c>
      <c r="CM197" s="6" t="s">
        <v>593</v>
      </c>
    </row>
    <row r="198" spans="4:91">
      <c r="D198">
        <f t="shared" si="292"/>
        <v>2023</v>
      </c>
      <c r="E198" t="s">
        <v>262</v>
      </c>
      <c r="F198" s="1">
        <f t="shared" si="222"/>
        <v>0</v>
      </c>
      <c r="G198" s="1">
        <f t="shared" si="223"/>
        <v>22.9635</v>
      </c>
      <c r="H198" s="1">
        <f t="shared" si="224"/>
        <v>0</v>
      </c>
      <c r="I198" s="1">
        <f t="shared" si="225"/>
        <v>0.06075</v>
      </c>
      <c r="J198" s="1">
        <f t="shared" si="226"/>
        <v>0</v>
      </c>
      <c r="K198" s="1">
        <f t="shared" si="227"/>
        <v>0</v>
      </c>
      <c r="L198" s="1">
        <f t="shared" si="228"/>
        <v>8.262</v>
      </c>
      <c r="M198" s="1">
        <f t="shared" si="221"/>
        <v>154.305</v>
      </c>
      <c r="N198" s="1">
        <f t="shared" si="229"/>
        <v>0</v>
      </c>
      <c r="O198" s="1">
        <f t="shared" si="230"/>
        <v>0</v>
      </c>
      <c r="P198" s="1">
        <f t="shared" si="231"/>
        <v>0</v>
      </c>
      <c r="Q198" s="1">
        <f t="shared" si="232"/>
        <v>0.0243</v>
      </c>
      <c r="R198" s="1">
        <f t="shared" si="233"/>
        <v>0</v>
      </c>
      <c r="S198" s="1">
        <f t="shared" si="234"/>
        <v>0</v>
      </c>
      <c r="T198" s="1">
        <f t="shared" si="235"/>
        <v>0</v>
      </c>
      <c r="U198" s="1">
        <f t="shared" si="236"/>
        <v>3.402</v>
      </c>
      <c r="V198" s="1">
        <f t="shared" si="237"/>
        <v>0</v>
      </c>
      <c r="W198" s="1">
        <f t="shared" si="238"/>
        <v>0</v>
      </c>
      <c r="X198" s="1">
        <f t="shared" si="239"/>
        <v>0</v>
      </c>
      <c r="Y198" s="1">
        <f t="shared" si="240"/>
        <v>0</v>
      </c>
      <c r="Z198" s="1">
        <f t="shared" si="241"/>
        <v>0</v>
      </c>
      <c r="AA198" s="1">
        <f t="shared" si="242"/>
        <v>2.53935</v>
      </c>
      <c r="AB198" s="1">
        <f t="shared" si="243"/>
        <v>0.8505</v>
      </c>
      <c r="AC198" s="1">
        <f t="shared" si="244"/>
        <v>0</v>
      </c>
      <c r="AD198" s="1">
        <f t="shared" si="245"/>
        <v>2.78235</v>
      </c>
      <c r="AE198" s="1">
        <f t="shared" si="246"/>
        <v>2.43</v>
      </c>
      <c r="AF198" s="1">
        <f t="shared" si="247"/>
        <v>0</v>
      </c>
      <c r="AG198" s="1">
        <f t="shared" si="248"/>
        <v>0</v>
      </c>
      <c r="AH198" s="1">
        <f t="shared" si="249"/>
        <v>0</v>
      </c>
      <c r="AI198" s="1">
        <f t="shared" si="250"/>
        <v>0</v>
      </c>
      <c r="AJ198" s="1">
        <f t="shared" si="251"/>
        <v>0</v>
      </c>
      <c r="AK198" s="1">
        <f t="shared" si="252"/>
        <v>0.3645</v>
      </c>
      <c r="AL198" s="1">
        <f t="shared" si="253"/>
        <v>0</v>
      </c>
      <c r="AM198" s="1">
        <f t="shared" si="254"/>
        <v>0.1458</v>
      </c>
      <c r="AN198" s="1">
        <f t="shared" si="255"/>
        <v>0</v>
      </c>
      <c r="AQ198" s="6">
        <v>2018</v>
      </c>
      <c r="AR198" s="6" t="s">
        <v>262</v>
      </c>
      <c r="AS198" s="6">
        <v>0.135</v>
      </c>
      <c r="AT198" s="6" t="s">
        <v>591</v>
      </c>
      <c r="AU198" s="6" t="s">
        <v>592</v>
      </c>
      <c r="AV198" t="str">
        <f t="shared" si="256"/>
        <v>MINBatMaterials_GR</v>
      </c>
      <c r="AW198">
        <f t="shared" si="257"/>
        <v>0</v>
      </c>
      <c r="AX198">
        <f t="shared" si="258"/>
        <v>170.1</v>
      </c>
      <c r="AY198">
        <f t="shared" si="259"/>
        <v>0</v>
      </c>
      <c r="AZ198">
        <f t="shared" si="260"/>
        <v>0.45</v>
      </c>
      <c r="BA198">
        <f t="shared" si="261"/>
        <v>0</v>
      </c>
      <c r="BB198">
        <f t="shared" si="262"/>
        <v>0</v>
      </c>
      <c r="BC198">
        <f t="shared" si="263"/>
        <v>61.2</v>
      </c>
      <c r="BD198">
        <f t="shared" si="264"/>
        <v>1143</v>
      </c>
      <c r="BE198">
        <f t="shared" si="265"/>
        <v>0</v>
      </c>
      <c r="BF198">
        <f t="shared" si="266"/>
        <v>0</v>
      </c>
      <c r="BG198">
        <f t="shared" si="267"/>
        <v>0</v>
      </c>
      <c r="BH198">
        <f t="shared" si="268"/>
        <v>0.18</v>
      </c>
      <c r="BI198">
        <f t="shared" si="269"/>
        <v>0</v>
      </c>
      <c r="BJ198">
        <f t="shared" si="270"/>
        <v>0</v>
      </c>
      <c r="BK198">
        <f t="shared" si="271"/>
        <v>0</v>
      </c>
      <c r="BL198">
        <f t="shared" si="272"/>
        <v>25.2</v>
      </c>
      <c r="BM198">
        <f t="shared" si="273"/>
        <v>0</v>
      </c>
      <c r="BN198">
        <f t="shared" si="274"/>
        <v>0</v>
      </c>
      <c r="BO198">
        <f t="shared" si="275"/>
        <v>0</v>
      </c>
      <c r="BP198">
        <f t="shared" si="276"/>
        <v>0</v>
      </c>
      <c r="BQ198">
        <f t="shared" si="277"/>
        <v>0</v>
      </c>
      <c r="BR198">
        <f t="shared" si="278"/>
        <v>18.81</v>
      </c>
      <c r="BS198">
        <f t="shared" si="279"/>
        <v>6.3</v>
      </c>
      <c r="BT198">
        <f t="shared" si="280"/>
        <v>0</v>
      </c>
      <c r="BU198">
        <f t="shared" si="281"/>
        <v>20.61</v>
      </c>
      <c r="BV198">
        <f t="shared" si="282"/>
        <v>18</v>
      </c>
      <c r="BW198">
        <f t="shared" si="283"/>
        <v>0</v>
      </c>
      <c r="BX198">
        <f t="shared" si="284"/>
        <v>0</v>
      </c>
      <c r="BY198">
        <f t="shared" si="285"/>
        <v>0</v>
      </c>
      <c r="BZ198">
        <f t="shared" si="286"/>
        <v>0</v>
      </c>
      <c r="CA198">
        <f t="shared" si="287"/>
        <v>0</v>
      </c>
      <c r="CB198">
        <f t="shared" si="288"/>
        <v>2.7</v>
      </c>
      <c r="CC198">
        <f t="shared" si="289"/>
        <v>0</v>
      </c>
      <c r="CD198">
        <f t="shared" si="290"/>
        <v>1.08</v>
      </c>
      <c r="CE198">
        <f t="shared" si="291"/>
        <v>0</v>
      </c>
      <c r="CG198" s="6">
        <v>2018</v>
      </c>
      <c r="CH198" s="6" t="s">
        <v>262</v>
      </c>
      <c r="CI198" s="6">
        <v>0.135</v>
      </c>
      <c r="CJ198" s="6">
        <v>0.135</v>
      </c>
      <c r="CK198" s="6" t="s">
        <v>591</v>
      </c>
      <c r="CL198" s="6" t="s">
        <v>591</v>
      </c>
      <c r="CM198" s="6" t="s">
        <v>593</v>
      </c>
    </row>
    <row r="199" spans="4:91">
      <c r="D199">
        <v>2018</v>
      </c>
      <c r="E199" t="s">
        <v>68</v>
      </c>
      <c r="F199" s="1">
        <f t="shared" si="222"/>
        <v>0</v>
      </c>
      <c r="G199" s="1">
        <f t="shared" si="223"/>
        <v>0</v>
      </c>
      <c r="H199" s="1">
        <f t="shared" si="224"/>
        <v>0.001204</v>
      </c>
      <c r="I199" s="1">
        <f t="shared" si="225"/>
        <v>0.00301</v>
      </c>
      <c r="J199" s="1">
        <f t="shared" si="226"/>
        <v>0.001204</v>
      </c>
      <c r="K199" s="1">
        <f t="shared" si="227"/>
        <v>0.031304</v>
      </c>
      <c r="L199" s="1">
        <f t="shared" si="228"/>
        <v>0.00301</v>
      </c>
      <c r="M199" s="1">
        <f t="shared" si="221"/>
        <v>36.793638</v>
      </c>
      <c r="N199" s="1">
        <f t="shared" si="229"/>
        <v>0</v>
      </c>
      <c r="O199" s="1">
        <f t="shared" si="230"/>
        <v>0.00301</v>
      </c>
      <c r="P199" s="1">
        <f t="shared" si="231"/>
        <v>0.018963</v>
      </c>
      <c r="Q199" s="1">
        <f t="shared" si="232"/>
        <v>0.015652</v>
      </c>
      <c r="R199" s="1">
        <f t="shared" si="233"/>
        <v>0</v>
      </c>
      <c r="S199" s="1">
        <f t="shared" si="234"/>
        <v>0.00301</v>
      </c>
      <c r="T199" s="1">
        <f t="shared" si="235"/>
        <v>0</v>
      </c>
      <c r="U199" s="1">
        <f t="shared" si="236"/>
        <v>0.037625</v>
      </c>
      <c r="V199" s="1">
        <f t="shared" si="237"/>
        <v>0</v>
      </c>
      <c r="W199" s="1">
        <f t="shared" si="238"/>
        <v>0.006321</v>
      </c>
      <c r="X199" s="1">
        <f t="shared" si="239"/>
        <v>0.00301</v>
      </c>
      <c r="Y199" s="1">
        <f t="shared" si="240"/>
        <v>0.014147</v>
      </c>
      <c r="Z199" s="1">
        <f t="shared" si="241"/>
        <v>0.001204</v>
      </c>
      <c r="AA199" s="1">
        <f t="shared" si="242"/>
        <v>0.044247</v>
      </c>
      <c r="AB199" s="1">
        <f t="shared" si="243"/>
        <v>0.006321</v>
      </c>
      <c r="AC199" s="1">
        <f t="shared" si="244"/>
        <v>0.017157</v>
      </c>
      <c r="AD199" s="1">
        <f t="shared" si="245"/>
        <v>0.018963</v>
      </c>
      <c r="AE199" s="1">
        <f t="shared" si="246"/>
        <v>0.00602</v>
      </c>
      <c r="AF199" s="1">
        <f t="shared" si="247"/>
        <v>0</v>
      </c>
      <c r="AG199" s="1">
        <f t="shared" si="248"/>
        <v>0</v>
      </c>
      <c r="AH199" s="1">
        <f t="shared" si="249"/>
        <v>0.009331</v>
      </c>
      <c r="AI199" s="1">
        <f t="shared" si="250"/>
        <v>0.018963</v>
      </c>
      <c r="AJ199" s="1">
        <f t="shared" si="251"/>
        <v>0.00301</v>
      </c>
      <c r="AK199" s="1">
        <f t="shared" si="252"/>
        <v>0.00301</v>
      </c>
      <c r="AL199" s="1">
        <f t="shared" si="253"/>
        <v>0.025284</v>
      </c>
      <c r="AM199" s="1">
        <f t="shared" si="254"/>
        <v>0</v>
      </c>
      <c r="AN199" s="1">
        <f t="shared" si="255"/>
        <v>0</v>
      </c>
      <c r="AQ199" s="6">
        <v>2018</v>
      </c>
      <c r="AR199" s="6" t="s">
        <v>68</v>
      </c>
      <c r="AS199" s="6">
        <v>0.301</v>
      </c>
      <c r="AT199" s="6" t="s">
        <v>568</v>
      </c>
      <c r="AU199" s="6" t="s">
        <v>594</v>
      </c>
      <c r="AV199" t="str">
        <f t="shared" si="256"/>
        <v>Tra_EV_Batt-LFP_virgin</v>
      </c>
      <c r="AW199">
        <f t="shared" si="257"/>
        <v>0</v>
      </c>
      <c r="AX199">
        <f t="shared" si="258"/>
        <v>0</v>
      </c>
      <c r="AY199">
        <f t="shared" si="259"/>
        <v>0.004</v>
      </c>
      <c r="AZ199">
        <f t="shared" si="260"/>
        <v>0.01</v>
      </c>
      <c r="BA199">
        <f t="shared" si="261"/>
        <v>0.004</v>
      </c>
      <c r="BB199">
        <f t="shared" si="262"/>
        <v>0.104</v>
      </c>
      <c r="BC199">
        <f t="shared" si="263"/>
        <v>0.01</v>
      </c>
      <c r="BD199">
        <f t="shared" si="264"/>
        <v>122.238</v>
      </c>
      <c r="BE199">
        <f t="shared" si="265"/>
        <v>0</v>
      </c>
      <c r="BF199">
        <f t="shared" si="266"/>
        <v>0.01</v>
      </c>
      <c r="BG199">
        <f t="shared" si="267"/>
        <v>0.063</v>
      </c>
      <c r="BH199">
        <f t="shared" si="268"/>
        <v>0.052</v>
      </c>
      <c r="BI199">
        <f t="shared" si="269"/>
        <v>0</v>
      </c>
      <c r="BJ199">
        <f t="shared" si="270"/>
        <v>0.01</v>
      </c>
      <c r="BK199">
        <f t="shared" si="271"/>
        <v>0</v>
      </c>
      <c r="BL199">
        <f t="shared" si="272"/>
        <v>0.125</v>
      </c>
      <c r="BM199">
        <f t="shared" si="273"/>
        <v>0</v>
      </c>
      <c r="BN199">
        <f t="shared" si="274"/>
        <v>0.021</v>
      </c>
      <c r="BO199">
        <f t="shared" si="275"/>
        <v>0.01</v>
      </c>
      <c r="BP199">
        <f t="shared" si="276"/>
        <v>0.047</v>
      </c>
      <c r="BQ199">
        <f t="shared" si="277"/>
        <v>0.004</v>
      </c>
      <c r="BR199">
        <f t="shared" si="278"/>
        <v>0.147</v>
      </c>
      <c r="BS199">
        <f t="shared" si="279"/>
        <v>0.021</v>
      </c>
      <c r="BT199">
        <f t="shared" si="280"/>
        <v>0.057</v>
      </c>
      <c r="BU199">
        <f t="shared" si="281"/>
        <v>0.063</v>
      </c>
      <c r="BV199">
        <f t="shared" si="282"/>
        <v>0.02</v>
      </c>
      <c r="BW199">
        <f t="shared" si="283"/>
        <v>0</v>
      </c>
      <c r="BX199">
        <f t="shared" si="284"/>
        <v>0</v>
      </c>
      <c r="BY199">
        <f t="shared" si="285"/>
        <v>0.031</v>
      </c>
      <c r="BZ199">
        <f t="shared" si="286"/>
        <v>0.063</v>
      </c>
      <c r="CA199">
        <f t="shared" si="287"/>
        <v>0.01</v>
      </c>
      <c r="CB199">
        <f t="shared" si="288"/>
        <v>0.01</v>
      </c>
      <c r="CC199">
        <f t="shared" si="289"/>
        <v>0.084</v>
      </c>
      <c r="CD199">
        <f t="shared" si="290"/>
        <v>0</v>
      </c>
      <c r="CE199">
        <f t="shared" si="291"/>
        <v>0</v>
      </c>
      <c r="CG199" s="6">
        <v>2018</v>
      </c>
      <c r="CH199" s="6" t="s">
        <v>68</v>
      </c>
      <c r="CI199" s="6">
        <v>0.301</v>
      </c>
      <c r="CJ199" s="6">
        <v>0.26</v>
      </c>
      <c r="CK199" s="6" t="s">
        <v>595</v>
      </c>
      <c r="CL199" s="6" t="s">
        <v>596</v>
      </c>
      <c r="CM199" s="6" t="s">
        <v>597</v>
      </c>
    </row>
    <row r="200" spans="4:91">
      <c r="D200">
        <f t="shared" si="292"/>
        <v>2018</v>
      </c>
      <c r="E200" t="s">
        <v>90</v>
      </c>
      <c r="F200" s="1">
        <f t="shared" si="222"/>
        <v>0.000903</v>
      </c>
      <c r="G200" s="1">
        <f t="shared" si="223"/>
        <v>0.000903</v>
      </c>
      <c r="H200" s="1">
        <f t="shared" si="224"/>
        <v>0.030702</v>
      </c>
      <c r="I200" s="1">
        <f t="shared" si="225"/>
        <v>0.102942</v>
      </c>
      <c r="J200" s="1">
        <f t="shared" si="226"/>
        <v>0.011739</v>
      </c>
      <c r="K200" s="1">
        <f t="shared" si="227"/>
        <v>0.470764</v>
      </c>
      <c r="L200" s="1">
        <f t="shared" si="228"/>
        <v>0.003612</v>
      </c>
      <c r="M200" s="1">
        <f t="shared" si="221"/>
        <v>6.33906</v>
      </c>
      <c r="N200" s="1">
        <f t="shared" si="229"/>
        <v>0.008428</v>
      </c>
      <c r="O200" s="1">
        <f t="shared" si="230"/>
        <v>0.013244</v>
      </c>
      <c r="P200" s="1">
        <f t="shared" si="231"/>
        <v>0.75852</v>
      </c>
      <c r="Q200" s="1">
        <f t="shared" si="232"/>
        <v>0.595077</v>
      </c>
      <c r="R200" s="1">
        <f t="shared" si="233"/>
        <v>0.001806</v>
      </c>
      <c r="S200" s="1">
        <f t="shared" si="234"/>
        <v>0.025585</v>
      </c>
      <c r="T200" s="1">
        <f t="shared" si="235"/>
        <v>0.037625</v>
      </c>
      <c r="U200" s="1">
        <f t="shared" si="236"/>
        <v>0.02107</v>
      </c>
      <c r="V200" s="1">
        <f t="shared" si="237"/>
        <v>0.024682</v>
      </c>
      <c r="W200" s="1">
        <f t="shared" si="238"/>
        <v>0.077056</v>
      </c>
      <c r="X200" s="1">
        <f t="shared" si="239"/>
        <v>0.687183</v>
      </c>
      <c r="Y200" s="1">
        <f t="shared" si="240"/>
        <v>0.013545</v>
      </c>
      <c r="Z200" s="1">
        <f t="shared" si="241"/>
        <v>0.011739</v>
      </c>
      <c r="AA200" s="1">
        <f t="shared" si="242"/>
        <v>2.086231</v>
      </c>
      <c r="AB200" s="1">
        <f t="shared" si="243"/>
        <v>0.815108</v>
      </c>
      <c r="AC200" s="1">
        <f t="shared" si="244"/>
        <v>0.015953</v>
      </c>
      <c r="AD200" s="1">
        <f t="shared" si="245"/>
        <v>0.142674</v>
      </c>
      <c r="AE200" s="1">
        <f t="shared" si="246"/>
        <v>0.016856</v>
      </c>
      <c r="AF200" s="1">
        <f t="shared" si="247"/>
        <v>0.000602</v>
      </c>
      <c r="AG200" s="1">
        <f t="shared" si="248"/>
        <v>0.002709</v>
      </c>
      <c r="AH200" s="1">
        <f t="shared" si="249"/>
        <v>0.157423</v>
      </c>
      <c r="AI200" s="1">
        <f t="shared" si="250"/>
        <v>0.26789</v>
      </c>
      <c r="AJ200" s="1">
        <f t="shared" si="251"/>
        <v>0.101437</v>
      </c>
      <c r="AK200" s="1">
        <f t="shared" si="252"/>
        <v>0.003612</v>
      </c>
      <c r="AL200" s="1">
        <f t="shared" si="253"/>
        <v>0.478289</v>
      </c>
      <c r="AM200" s="1">
        <f t="shared" si="254"/>
        <v>0.033712</v>
      </c>
      <c r="AN200" s="1">
        <f t="shared" si="255"/>
        <v>0.001505</v>
      </c>
      <c r="AQ200" s="6">
        <v>2018</v>
      </c>
      <c r="AR200" s="6" t="s">
        <v>90</v>
      </c>
      <c r="AS200" s="6">
        <v>0.301</v>
      </c>
      <c r="AT200" s="6" t="s">
        <v>568</v>
      </c>
      <c r="AU200" s="6" t="s">
        <v>594</v>
      </c>
      <c r="AV200" t="str">
        <f t="shared" si="256"/>
        <v>Tra_EV_Batt-NMC622_virgin</v>
      </c>
      <c r="AW200">
        <f t="shared" si="257"/>
        <v>0.003</v>
      </c>
      <c r="AX200">
        <f t="shared" si="258"/>
        <v>0.003</v>
      </c>
      <c r="AY200">
        <f t="shared" si="259"/>
        <v>0.102</v>
      </c>
      <c r="AZ200">
        <f t="shared" si="260"/>
        <v>0.342</v>
      </c>
      <c r="BA200">
        <f t="shared" si="261"/>
        <v>0.039</v>
      </c>
      <c r="BB200">
        <f t="shared" si="262"/>
        <v>1.564</v>
      </c>
      <c r="BC200">
        <f t="shared" si="263"/>
        <v>0.012</v>
      </c>
      <c r="BD200">
        <f t="shared" si="264"/>
        <v>21.06</v>
      </c>
      <c r="BE200">
        <f t="shared" si="265"/>
        <v>0.028</v>
      </c>
      <c r="BF200">
        <f t="shared" si="266"/>
        <v>0.044</v>
      </c>
      <c r="BG200">
        <f t="shared" si="267"/>
        <v>2.52</v>
      </c>
      <c r="BH200">
        <f t="shared" si="268"/>
        <v>1.977</v>
      </c>
      <c r="BI200">
        <f t="shared" si="269"/>
        <v>0.006</v>
      </c>
      <c r="BJ200">
        <f t="shared" si="270"/>
        <v>0.085</v>
      </c>
      <c r="BK200">
        <f t="shared" si="271"/>
        <v>0.125</v>
      </c>
      <c r="BL200">
        <f t="shared" si="272"/>
        <v>0.07</v>
      </c>
      <c r="BM200">
        <f t="shared" si="273"/>
        <v>0.082</v>
      </c>
      <c r="BN200">
        <f t="shared" si="274"/>
        <v>0.256</v>
      </c>
      <c r="BO200">
        <f t="shared" si="275"/>
        <v>2.283</v>
      </c>
      <c r="BP200">
        <f t="shared" si="276"/>
        <v>0.045</v>
      </c>
      <c r="BQ200">
        <f t="shared" si="277"/>
        <v>0.039</v>
      </c>
      <c r="BR200">
        <f t="shared" si="278"/>
        <v>6.931</v>
      </c>
      <c r="BS200">
        <f t="shared" si="279"/>
        <v>2.708</v>
      </c>
      <c r="BT200">
        <f t="shared" si="280"/>
        <v>0.053</v>
      </c>
      <c r="BU200">
        <f t="shared" si="281"/>
        <v>0.474</v>
      </c>
      <c r="BV200">
        <f t="shared" si="282"/>
        <v>0.056</v>
      </c>
      <c r="BW200">
        <f t="shared" si="283"/>
        <v>0.002</v>
      </c>
      <c r="BX200">
        <f t="shared" si="284"/>
        <v>0.009</v>
      </c>
      <c r="BY200">
        <f t="shared" si="285"/>
        <v>0.523</v>
      </c>
      <c r="BZ200">
        <f t="shared" si="286"/>
        <v>0.89</v>
      </c>
      <c r="CA200">
        <f t="shared" si="287"/>
        <v>0.337</v>
      </c>
      <c r="CB200">
        <f t="shared" si="288"/>
        <v>0.012</v>
      </c>
      <c r="CC200">
        <f t="shared" si="289"/>
        <v>1.589</v>
      </c>
      <c r="CD200">
        <f t="shared" si="290"/>
        <v>0.112</v>
      </c>
      <c r="CE200">
        <f t="shared" si="291"/>
        <v>0.005</v>
      </c>
      <c r="CG200" s="6">
        <v>2018</v>
      </c>
      <c r="CH200" s="6" t="s">
        <v>90</v>
      </c>
      <c r="CI200" s="6">
        <v>0.301</v>
      </c>
      <c r="CJ200" s="6">
        <v>0.26</v>
      </c>
      <c r="CK200" s="6" t="s">
        <v>595</v>
      </c>
      <c r="CL200" s="6" t="s">
        <v>596</v>
      </c>
      <c r="CM200" s="6" t="s">
        <v>597</v>
      </c>
    </row>
    <row r="201" spans="4:91">
      <c r="D201">
        <f t="shared" si="292"/>
        <v>2018</v>
      </c>
      <c r="E201" t="s">
        <v>94</v>
      </c>
      <c r="F201" s="1">
        <f t="shared" si="222"/>
        <v>0.000903</v>
      </c>
      <c r="G201" s="1">
        <f t="shared" si="223"/>
        <v>0.000903</v>
      </c>
      <c r="H201" s="1">
        <f t="shared" si="224"/>
        <v>0.025585</v>
      </c>
      <c r="I201" s="1">
        <f t="shared" si="225"/>
        <v>0.083979</v>
      </c>
      <c r="J201" s="1">
        <f t="shared" si="226"/>
        <v>0.009933</v>
      </c>
      <c r="K201" s="1">
        <f t="shared" si="227"/>
        <v>0.387387</v>
      </c>
      <c r="L201" s="1">
        <f t="shared" si="228"/>
        <v>0.00301</v>
      </c>
      <c r="M201" s="1">
        <f t="shared" si="221"/>
        <v>13.722289</v>
      </c>
      <c r="N201" s="1">
        <f t="shared" si="229"/>
        <v>0.007224</v>
      </c>
      <c r="O201" s="1">
        <f t="shared" si="230"/>
        <v>0.010535</v>
      </c>
      <c r="P201" s="1">
        <f t="shared" si="231"/>
        <v>0.575211</v>
      </c>
      <c r="Q201" s="1">
        <f t="shared" si="232"/>
        <v>0.473473</v>
      </c>
      <c r="R201" s="1">
        <f t="shared" si="233"/>
        <v>0.001505</v>
      </c>
      <c r="S201" s="1">
        <f t="shared" si="234"/>
        <v>0.020769</v>
      </c>
      <c r="T201" s="1">
        <f t="shared" si="235"/>
        <v>0.031304</v>
      </c>
      <c r="U201" s="1">
        <f t="shared" si="236"/>
        <v>0.002107</v>
      </c>
      <c r="V201" s="1">
        <f t="shared" si="237"/>
        <v>0.020167</v>
      </c>
      <c r="W201" s="1">
        <f t="shared" si="238"/>
        <v>0.061103</v>
      </c>
      <c r="X201" s="1">
        <f t="shared" si="239"/>
        <v>0.127022</v>
      </c>
      <c r="Y201" s="1">
        <f t="shared" si="240"/>
        <v>0.011739</v>
      </c>
      <c r="Z201" s="1">
        <f t="shared" si="241"/>
        <v>0.009933</v>
      </c>
      <c r="AA201" s="1">
        <f t="shared" si="242"/>
        <v>1.460452</v>
      </c>
      <c r="AB201" s="1">
        <f t="shared" si="243"/>
        <v>0.487921</v>
      </c>
      <c r="AC201" s="1">
        <f t="shared" si="244"/>
        <v>0.013846</v>
      </c>
      <c r="AD201" s="1">
        <f t="shared" si="245"/>
        <v>0.464142</v>
      </c>
      <c r="AE201" s="1">
        <f t="shared" si="246"/>
        <v>0.014448</v>
      </c>
      <c r="AF201" s="1">
        <f t="shared" si="247"/>
        <v>0.000301</v>
      </c>
      <c r="AG201" s="1">
        <f t="shared" si="248"/>
        <v>0.002107</v>
      </c>
      <c r="AH201" s="1">
        <f t="shared" si="249"/>
        <v>0.127624</v>
      </c>
      <c r="AI201" s="1">
        <f t="shared" si="250"/>
        <v>0.217623</v>
      </c>
      <c r="AJ201" s="1">
        <f t="shared" si="251"/>
        <v>0.082775</v>
      </c>
      <c r="AK201" s="1">
        <f t="shared" si="252"/>
        <v>0.003311</v>
      </c>
      <c r="AL201" s="1">
        <f t="shared" si="253"/>
        <v>0.389193</v>
      </c>
      <c r="AM201" s="1">
        <f t="shared" si="254"/>
        <v>0.005719</v>
      </c>
      <c r="AN201" s="1">
        <f t="shared" si="255"/>
        <v>0.001204</v>
      </c>
      <c r="AQ201" s="6">
        <v>2018</v>
      </c>
      <c r="AR201" s="6" t="s">
        <v>94</v>
      </c>
      <c r="AS201" s="6">
        <v>0.301</v>
      </c>
      <c r="AT201" s="6" t="s">
        <v>568</v>
      </c>
      <c r="AU201" s="6" t="s">
        <v>594</v>
      </c>
      <c r="AV201" t="str">
        <f t="shared" si="256"/>
        <v>Tra_EV_Batt-NMC811_virgin</v>
      </c>
      <c r="AW201">
        <f t="shared" si="257"/>
        <v>0.003</v>
      </c>
      <c r="AX201">
        <f t="shared" si="258"/>
        <v>0.003</v>
      </c>
      <c r="AY201">
        <f t="shared" si="259"/>
        <v>0.085</v>
      </c>
      <c r="AZ201">
        <f t="shared" si="260"/>
        <v>0.279</v>
      </c>
      <c r="BA201">
        <f t="shared" si="261"/>
        <v>0.033</v>
      </c>
      <c r="BB201">
        <f t="shared" si="262"/>
        <v>1.287</v>
      </c>
      <c r="BC201">
        <f t="shared" si="263"/>
        <v>0.01</v>
      </c>
      <c r="BD201">
        <f t="shared" si="264"/>
        <v>45.589</v>
      </c>
      <c r="BE201">
        <f t="shared" si="265"/>
        <v>0.024</v>
      </c>
      <c r="BF201">
        <f t="shared" si="266"/>
        <v>0.035</v>
      </c>
      <c r="BG201">
        <f t="shared" si="267"/>
        <v>1.911</v>
      </c>
      <c r="BH201">
        <f t="shared" si="268"/>
        <v>1.573</v>
      </c>
      <c r="BI201">
        <f t="shared" si="269"/>
        <v>0.005</v>
      </c>
      <c r="BJ201">
        <f t="shared" si="270"/>
        <v>0.069</v>
      </c>
      <c r="BK201">
        <f t="shared" si="271"/>
        <v>0.104</v>
      </c>
      <c r="BL201">
        <f t="shared" si="272"/>
        <v>0.007</v>
      </c>
      <c r="BM201">
        <f t="shared" si="273"/>
        <v>0.067</v>
      </c>
      <c r="BN201">
        <f t="shared" si="274"/>
        <v>0.203</v>
      </c>
      <c r="BO201">
        <f t="shared" si="275"/>
        <v>0.422</v>
      </c>
      <c r="BP201">
        <f t="shared" si="276"/>
        <v>0.039</v>
      </c>
      <c r="BQ201">
        <f t="shared" si="277"/>
        <v>0.033</v>
      </c>
      <c r="BR201">
        <f t="shared" si="278"/>
        <v>4.852</v>
      </c>
      <c r="BS201">
        <f t="shared" si="279"/>
        <v>1.621</v>
      </c>
      <c r="BT201">
        <f t="shared" si="280"/>
        <v>0.046</v>
      </c>
      <c r="BU201">
        <f t="shared" si="281"/>
        <v>1.542</v>
      </c>
      <c r="BV201">
        <f t="shared" si="282"/>
        <v>0.048</v>
      </c>
      <c r="BW201">
        <f t="shared" si="283"/>
        <v>0.001</v>
      </c>
      <c r="BX201">
        <f t="shared" si="284"/>
        <v>0.007</v>
      </c>
      <c r="BY201">
        <f t="shared" si="285"/>
        <v>0.424</v>
      </c>
      <c r="BZ201">
        <f t="shared" si="286"/>
        <v>0.723</v>
      </c>
      <c r="CA201">
        <f t="shared" si="287"/>
        <v>0.275</v>
      </c>
      <c r="CB201">
        <f t="shared" si="288"/>
        <v>0.011</v>
      </c>
      <c r="CC201">
        <f t="shared" si="289"/>
        <v>1.293</v>
      </c>
      <c r="CD201">
        <f t="shared" si="290"/>
        <v>0.019</v>
      </c>
      <c r="CE201">
        <f t="shared" si="291"/>
        <v>0.004</v>
      </c>
      <c r="CG201" s="6">
        <v>2018</v>
      </c>
      <c r="CH201" s="6" t="s">
        <v>94</v>
      </c>
      <c r="CI201" s="6">
        <v>0.301</v>
      </c>
      <c r="CJ201" s="6">
        <v>0.26</v>
      </c>
      <c r="CK201" s="6" t="s">
        <v>595</v>
      </c>
      <c r="CL201" s="6" t="s">
        <v>596</v>
      </c>
      <c r="CM201" s="6" t="s">
        <v>597</v>
      </c>
    </row>
    <row r="202" spans="4:91">
      <c r="D202">
        <f t="shared" si="292"/>
        <v>2018</v>
      </c>
      <c r="E202" t="s">
        <v>86</v>
      </c>
      <c r="F202" s="1">
        <f t="shared" si="222"/>
        <v>0.000301</v>
      </c>
      <c r="G202" s="1">
        <f t="shared" si="223"/>
        <v>0.000301</v>
      </c>
      <c r="H202" s="1">
        <f t="shared" si="224"/>
        <v>0.005117</v>
      </c>
      <c r="I202" s="1">
        <f t="shared" si="225"/>
        <v>0.015953</v>
      </c>
      <c r="J202" s="1">
        <f t="shared" si="226"/>
        <v>0.001806</v>
      </c>
      <c r="K202" s="1">
        <f t="shared" si="227"/>
        <v>0.073444</v>
      </c>
      <c r="L202" s="1">
        <f t="shared" si="228"/>
        <v>0.000301</v>
      </c>
      <c r="M202" s="1">
        <f t="shared" si="221"/>
        <v>2.826691</v>
      </c>
      <c r="N202" s="1">
        <f t="shared" si="229"/>
        <v>0.001505</v>
      </c>
      <c r="O202" s="1">
        <f t="shared" si="230"/>
        <v>0.001806</v>
      </c>
      <c r="P202" s="1">
        <f t="shared" si="231"/>
        <v>0.09632</v>
      </c>
      <c r="Q202" s="1">
        <f t="shared" si="232"/>
        <v>0.086688</v>
      </c>
      <c r="R202" s="1">
        <f t="shared" si="233"/>
        <v>0.000301</v>
      </c>
      <c r="S202" s="1">
        <f t="shared" si="234"/>
        <v>0.003612</v>
      </c>
      <c r="T202" s="1">
        <f t="shared" si="235"/>
        <v>0.006321</v>
      </c>
      <c r="U202" s="1">
        <f t="shared" si="236"/>
        <v>0</v>
      </c>
      <c r="V202" s="1">
        <f t="shared" si="237"/>
        <v>0.003913</v>
      </c>
      <c r="W202" s="1">
        <f t="shared" si="238"/>
        <v>0.010836</v>
      </c>
      <c r="X202" s="1">
        <f t="shared" si="239"/>
        <v>0</v>
      </c>
      <c r="Y202" s="1">
        <f t="shared" si="240"/>
        <v>0.001204</v>
      </c>
      <c r="Z202" s="1">
        <f t="shared" si="241"/>
        <v>0.001806</v>
      </c>
      <c r="AA202" s="1">
        <f t="shared" si="242"/>
        <v>1.434566</v>
      </c>
      <c r="AB202" s="1">
        <f t="shared" si="243"/>
        <v>0.158627</v>
      </c>
      <c r="AC202" s="1">
        <f t="shared" si="244"/>
        <v>0.001505</v>
      </c>
      <c r="AD202" s="1">
        <f t="shared" si="245"/>
        <v>0.324779</v>
      </c>
      <c r="AE202" s="1">
        <f t="shared" si="246"/>
        <v>0.002408</v>
      </c>
      <c r="AF202" s="1">
        <f t="shared" si="247"/>
        <v>0</v>
      </c>
      <c r="AG202" s="1">
        <f t="shared" si="248"/>
        <v>0.000301</v>
      </c>
      <c r="AH202" s="1">
        <f t="shared" si="249"/>
        <v>0.023779</v>
      </c>
      <c r="AI202" s="1">
        <f t="shared" si="250"/>
        <v>0.040334</v>
      </c>
      <c r="AJ202" s="1">
        <f t="shared" si="251"/>
        <v>0.015652</v>
      </c>
      <c r="AK202" s="1">
        <f t="shared" si="252"/>
        <v>0.000602</v>
      </c>
      <c r="AL202" s="1">
        <f t="shared" si="253"/>
        <v>0.073143</v>
      </c>
      <c r="AM202" s="1">
        <f t="shared" si="254"/>
        <v>0</v>
      </c>
      <c r="AN202" s="1">
        <f t="shared" si="255"/>
        <v>0.000301</v>
      </c>
      <c r="AQ202" s="6">
        <v>2018</v>
      </c>
      <c r="AR202" s="6" t="s">
        <v>86</v>
      </c>
      <c r="AS202" s="6">
        <v>0.301</v>
      </c>
      <c r="AT202" s="6" t="s">
        <v>568</v>
      </c>
      <c r="AU202" s="6" t="s">
        <v>594</v>
      </c>
      <c r="AV202" t="str">
        <f t="shared" si="256"/>
        <v>Tra_EV_Batt-NMC532_virgin</v>
      </c>
      <c r="AW202">
        <f t="shared" si="257"/>
        <v>0.001</v>
      </c>
      <c r="AX202">
        <f t="shared" si="258"/>
        <v>0.001</v>
      </c>
      <c r="AY202">
        <f t="shared" si="259"/>
        <v>0.017</v>
      </c>
      <c r="AZ202">
        <f t="shared" si="260"/>
        <v>0.053</v>
      </c>
      <c r="BA202">
        <f t="shared" si="261"/>
        <v>0.006</v>
      </c>
      <c r="BB202">
        <f t="shared" si="262"/>
        <v>0.244</v>
      </c>
      <c r="BC202">
        <f t="shared" si="263"/>
        <v>0.001</v>
      </c>
      <c r="BD202">
        <f t="shared" si="264"/>
        <v>9.391</v>
      </c>
      <c r="BE202">
        <f t="shared" si="265"/>
        <v>0.005</v>
      </c>
      <c r="BF202">
        <f t="shared" si="266"/>
        <v>0.006</v>
      </c>
      <c r="BG202">
        <f t="shared" si="267"/>
        <v>0.32</v>
      </c>
      <c r="BH202">
        <f t="shared" si="268"/>
        <v>0.288</v>
      </c>
      <c r="BI202">
        <f t="shared" si="269"/>
        <v>0.001</v>
      </c>
      <c r="BJ202">
        <f t="shared" si="270"/>
        <v>0.012</v>
      </c>
      <c r="BK202">
        <f t="shared" si="271"/>
        <v>0.021</v>
      </c>
      <c r="BL202">
        <f t="shared" si="272"/>
        <v>0</v>
      </c>
      <c r="BM202">
        <f t="shared" si="273"/>
        <v>0.013</v>
      </c>
      <c r="BN202">
        <f t="shared" si="274"/>
        <v>0.036</v>
      </c>
      <c r="BO202">
        <f t="shared" si="275"/>
        <v>0</v>
      </c>
      <c r="BP202">
        <f t="shared" si="276"/>
        <v>0.004</v>
      </c>
      <c r="BQ202">
        <f t="shared" si="277"/>
        <v>0.006</v>
      </c>
      <c r="BR202">
        <f t="shared" si="278"/>
        <v>4.766</v>
      </c>
      <c r="BS202">
        <f t="shared" si="279"/>
        <v>0.527</v>
      </c>
      <c r="BT202">
        <f t="shared" si="280"/>
        <v>0.005</v>
      </c>
      <c r="BU202">
        <f t="shared" si="281"/>
        <v>1.079</v>
      </c>
      <c r="BV202">
        <f t="shared" si="282"/>
        <v>0.008</v>
      </c>
      <c r="BW202">
        <f t="shared" si="283"/>
        <v>0</v>
      </c>
      <c r="BX202">
        <f t="shared" si="284"/>
        <v>0.001</v>
      </c>
      <c r="BY202">
        <f t="shared" si="285"/>
        <v>0.079</v>
      </c>
      <c r="BZ202">
        <f t="shared" si="286"/>
        <v>0.134</v>
      </c>
      <c r="CA202">
        <f t="shared" si="287"/>
        <v>0.052</v>
      </c>
      <c r="CB202">
        <f t="shared" si="288"/>
        <v>0.002</v>
      </c>
      <c r="CC202">
        <f t="shared" si="289"/>
        <v>0.243</v>
      </c>
      <c r="CD202">
        <f t="shared" si="290"/>
        <v>0</v>
      </c>
      <c r="CE202">
        <f t="shared" si="291"/>
        <v>0.001</v>
      </c>
      <c r="CG202" s="6">
        <v>2018</v>
      </c>
      <c r="CH202" s="6" t="s">
        <v>86</v>
      </c>
      <c r="CI202" s="6">
        <v>0.301</v>
      </c>
      <c r="CJ202" s="6">
        <v>0.26</v>
      </c>
      <c r="CK202" s="6" t="s">
        <v>595</v>
      </c>
      <c r="CL202" s="6" t="s">
        <v>596</v>
      </c>
      <c r="CM202" s="6" t="s">
        <v>597</v>
      </c>
    </row>
    <row r="203" spans="4:91">
      <c r="D203">
        <f t="shared" si="292"/>
        <v>2018</v>
      </c>
      <c r="E203" t="s">
        <v>77</v>
      </c>
      <c r="F203" s="1">
        <f t="shared" si="222"/>
        <v>0</v>
      </c>
      <c r="G203" s="1">
        <f t="shared" si="223"/>
        <v>0</v>
      </c>
      <c r="H203" s="1">
        <f t="shared" si="224"/>
        <v>0</v>
      </c>
      <c r="I203" s="1">
        <f t="shared" si="225"/>
        <v>0</v>
      </c>
      <c r="J203" s="1">
        <f t="shared" si="226"/>
        <v>0</v>
      </c>
      <c r="K203" s="1">
        <f t="shared" si="227"/>
        <v>0</v>
      </c>
      <c r="L203" s="1">
        <f t="shared" si="228"/>
        <v>0</v>
      </c>
      <c r="M203" s="1">
        <f t="shared" si="221"/>
        <v>0.512001</v>
      </c>
      <c r="N203" s="1">
        <f t="shared" si="229"/>
        <v>0</v>
      </c>
      <c r="O203" s="1">
        <f t="shared" si="230"/>
        <v>0</v>
      </c>
      <c r="P203" s="1">
        <f t="shared" si="231"/>
        <v>0</v>
      </c>
      <c r="Q203" s="1">
        <f t="shared" si="232"/>
        <v>0</v>
      </c>
      <c r="R203" s="1">
        <f t="shared" si="233"/>
        <v>0</v>
      </c>
      <c r="S203" s="1">
        <f t="shared" si="234"/>
        <v>0</v>
      </c>
      <c r="T203" s="1">
        <f t="shared" si="235"/>
        <v>0</v>
      </c>
      <c r="U203" s="1">
        <f t="shared" si="236"/>
        <v>0</v>
      </c>
      <c r="V203" s="1">
        <f t="shared" si="237"/>
        <v>0</v>
      </c>
      <c r="W203" s="1">
        <f t="shared" si="238"/>
        <v>0</v>
      </c>
      <c r="X203" s="1">
        <f t="shared" si="239"/>
        <v>0</v>
      </c>
      <c r="Y203" s="1">
        <f t="shared" si="240"/>
        <v>0</v>
      </c>
      <c r="Z203" s="1">
        <f t="shared" si="241"/>
        <v>0</v>
      </c>
      <c r="AA203" s="1">
        <f t="shared" si="242"/>
        <v>0</v>
      </c>
      <c r="AB203" s="1">
        <f t="shared" si="243"/>
        <v>0</v>
      </c>
      <c r="AC203" s="1">
        <f t="shared" si="244"/>
        <v>0</v>
      </c>
      <c r="AD203" s="1">
        <f t="shared" si="245"/>
        <v>0</v>
      </c>
      <c r="AE203" s="1">
        <f t="shared" si="246"/>
        <v>0</v>
      </c>
      <c r="AF203" s="1">
        <f t="shared" si="247"/>
        <v>0</v>
      </c>
      <c r="AG203" s="1">
        <f t="shared" si="248"/>
        <v>0</v>
      </c>
      <c r="AH203" s="1">
        <f t="shared" si="249"/>
        <v>0</v>
      </c>
      <c r="AI203" s="1">
        <f t="shared" si="250"/>
        <v>0</v>
      </c>
      <c r="AJ203" s="1">
        <f t="shared" si="251"/>
        <v>0</v>
      </c>
      <c r="AK203" s="1">
        <f t="shared" si="252"/>
        <v>0</v>
      </c>
      <c r="AL203" s="1">
        <f t="shared" si="253"/>
        <v>0</v>
      </c>
      <c r="AM203" s="1">
        <f t="shared" si="254"/>
        <v>0</v>
      </c>
      <c r="AN203" s="1">
        <f t="shared" si="255"/>
        <v>0</v>
      </c>
      <c r="AQ203" s="6">
        <v>2018</v>
      </c>
      <c r="AR203" s="6" t="s">
        <v>77</v>
      </c>
      <c r="AS203" s="6">
        <v>0.301</v>
      </c>
      <c r="AT203" s="6" t="s">
        <v>568</v>
      </c>
      <c r="AU203" s="6" t="s">
        <v>594</v>
      </c>
      <c r="AV203" t="str">
        <f t="shared" si="256"/>
        <v>Tra_EV_Batt-NCA_virgin</v>
      </c>
      <c r="AW203">
        <f t="shared" si="257"/>
        <v>0</v>
      </c>
      <c r="AX203">
        <f t="shared" si="258"/>
        <v>0</v>
      </c>
      <c r="AY203">
        <f t="shared" si="259"/>
        <v>0</v>
      </c>
      <c r="AZ203">
        <f t="shared" si="260"/>
        <v>0</v>
      </c>
      <c r="BA203">
        <f t="shared" si="261"/>
        <v>0</v>
      </c>
      <c r="BB203">
        <f t="shared" si="262"/>
        <v>0</v>
      </c>
      <c r="BC203">
        <f t="shared" si="263"/>
        <v>0</v>
      </c>
      <c r="BD203">
        <f t="shared" si="264"/>
        <v>1.701</v>
      </c>
      <c r="BE203">
        <f t="shared" si="265"/>
        <v>0</v>
      </c>
      <c r="BF203">
        <f t="shared" si="266"/>
        <v>0</v>
      </c>
      <c r="BG203">
        <f t="shared" si="267"/>
        <v>0</v>
      </c>
      <c r="BH203">
        <f t="shared" si="268"/>
        <v>0</v>
      </c>
      <c r="BI203">
        <f t="shared" si="269"/>
        <v>0</v>
      </c>
      <c r="BJ203">
        <f t="shared" si="270"/>
        <v>0</v>
      </c>
      <c r="BK203">
        <f t="shared" si="271"/>
        <v>0</v>
      </c>
      <c r="BL203">
        <f t="shared" si="272"/>
        <v>0</v>
      </c>
      <c r="BM203">
        <f t="shared" si="273"/>
        <v>0</v>
      </c>
      <c r="BN203">
        <f t="shared" si="274"/>
        <v>0</v>
      </c>
      <c r="BO203">
        <f t="shared" si="275"/>
        <v>0</v>
      </c>
      <c r="BP203">
        <f t="shared" si="276"/>
        <v>0</v>
      </c>
      <c r="BQ203">
        <f t="shared" si="277"/>
        <v>0</v>
      </c>
      <c r="BR203">
        <f t="shared" si="278"/>
        <v>0</v>
      </c>
      <c r="BS203">
        <f t="shared" si="279"/>
        <v>0</v>
      </c>
      <c r="BT203">
        <f t="shared" si="280"/>
        <v>0</v>
      </c>
      <c r="BU203">
        <f t="shared" si="281"/>
        <v>0</v>
      </c>
      <c r="BV203">
        <f t="shared" si="282"/>
        <v>0</v>
      </c>
      <c r="BW203">
        <f t="shared" si="283"/>
        <v>0</v>
      </c>
      <c r="BX203">
        <f t="shared" si="284"/>
        <v>0</v>
      </c>
      <c r="BY203">
        <f t="shared" si="285"/>
        <v>0</v>
      </c>
      <c r="BZ203">
        <f t="shared" si="286"/>
        <v>0</v>
      </c>
      <c r="CA203">
        <f t="shared" si="287"/>
        <v>0</v>
      </c>
      <c r="CB203">
        <f t="shared" si="288"/>
        <v>0</v>
      </c>
      <c r="CC203">
        <f t="shared" si="289"/>
        <v>0</v>
      </c>
      <c r="CD203">
        <f t="shared" si="290"/>
        <v>0</v>
      </c>
      <c r="CE203">
        <f t="shared" si="291"/>
        <v>0</v>
      </c>
      <c r="CG203" s="6">
        <v>2018</v>
      </c>
      <c r="CH203" s="6" t="s">
        <v>77</v>
      </c>
      <c r="CI203" s="6">
        <v>0.301</v>
      </c>
      <c r="CJ203" s="6">
        <v>0.26</v>
      </c>
      <c r="CK203" s="6" t="s">
        <v>595</v>
      </c>
      <c r="CL203" s="6" t="s">
        <v>596</v>
      </c>
      <c r="CM203" s="6" t="s">
        <v>597</v>
      </c>
    </row>
    <row r="204" spans="4:91">
      <c r="D204">
        <f t="shared" si="292"/>
        <v>2018</v>
      </c>
      <c r="E204" t="s">
        <v>73</v>
      </c>
      <c r="F204" s="1">
        <f t="shared" si="222"/>
        <v>0.000602</v>
      </c>
      <c r="G204" s="1">
        <f t="shared" si="223"/>
        <v>0.000602</v>
      </c>
      <c r="H204" s="1">
        <f t="shared" si="224"/>
        <v>0.020167</v>
      </c>
      <c r="I204" s="1">
        <f t="shared" si="225"/>
        <v>0.063812</v>
      </c>
      <c r="J204" s="1">
        <f t="shared" si="226"/>
        <v>0.007525</v>
      </c>
      <c r="K204" s="1">
        <f t="shared" si="227"/>
        <v>0.293776</v>
      </c>
      <c r="L204" s="1">
        <f t="shared" si="228"/>
        <v>0.001806</v>
      </c>
      <c r="M204" s="1">
        <f t="shared" si="221"/>
        <v>0.767851</v>
      </c>
      <c r="N204" s="1">
        <f t="shared" si="229"/>
        <v>0.005719</v>
      </c>
      <c r="O204" s="1">
        <f t="shared" si="230"/>
        <v>0.006622</v>
      </c>
      <c r="P204" s="1">
        <f t="shared" si="231"/>
        <v>0.385882</v>
      </c>
      <c r="Q204" s="1">
        <f t="shared" si="232"/>
        <v>0.346451</v>
      </c>
      <c r="R204" s="1">
        <f t="shared" si="233"/>
        <v>0.001204</v>
      </c>
      <c r="S204" s="1">
        <f t="shared" si="234"/>
        <v>0.01505</v>
      </c>
      <c r="T204" s="1">
        <f t="shared" si="235"/>
        <v>0.025284</v>
      </c>
      <c r="U204" s="1">
        <f t="shared" si="236"/>
        <v>0</v>
      </c>
      <c r="V204" s="1">
        <f t="shared" si="237"/>
        <v>0.015652</v>
      </c>
      <c r="W204" s="1">
        <f t="shared" si="238"/>
        <v>0.043043</v>
      </c>
      <c r="X204" s="1">
        <f t="shared" si="239"/>
        <v>0.217322</v>
      </c>
      <c r="Y204" s="1">
        <f t="shared" si="240"/>
        <v>0.005117</v>
      </c>
      <c r="Z204" s="1">
        <f t="shared" si="241"/>
        <v>0.007525</v>
      </c>
      <c r="AA204" s="1">
        <f t="shared" si="242"/>
        <v>13.321959</v>
      </c>
      <c r="AB204" s="1">
        <f t="shared" si="243"/>
        <v>1.110088</v>
      </c>
      <c r="AC204" s="1">
        <f t="shared" si="244"/>
        <v>0.005719</v>
      </c>
      <c r="AD204" s="1">
        <f t="shared" si="245"/>
        <v>0.324779</v>
      </c>
      <c r="AE204" s="1">
        <f t="shared" si="246"/>
        <v>0.009933</v>
      </c>
      <c r="AF204" s="1">
        <f t="shared" si="247"/>
        <v>0.000301</v>
      </c>
      <c r="AG204" s="1">
        <f t="shared" si="248"/>
        <v>0.001806</v>
      </c>
      <c r="AH204" s="1">
        <f t="shared" si="249"/>
        <v>0.094815</v>
      </c>
      <c r="AI204" s="1">
        <f t="shared" si="250"/>
        <v>0.161035</v>
      </c>
      <c r="AJ204" s="1">
        <f t="shared" si="251"/>
        <v>0.062608</v>
      </c>
      <c r="AK204" s="1">
        <f t="shared" si="252"/>
        <v>0.001806</v>
      </c>
      <c r="AL204" s="1">
        <f t="shared" si="253"/>
        <v>0.29197</v>
      </c>
      <c r="AM204" s="1">
        <f t="shared" si="254"/>
        <v>0.011137</v>
      </c>
      <c r="AN204" s="1">
        <f t="shared" si="255"/>
        <v>0.000903</v>
      </c>
      <c r="AQ204" s="6">
        <v>2018</v>
      </c>
      <c r="AR204" s="6" t="s">
        <v>73</v>
      </c>
      <c r="AS204" s="6">
        <v>0.301</v>
      </c>
      <c r="AT204" s="6" t="s">
        <v>568</v>
      </c>
      <c r="AU204" s="6" t="s">
        <v>594</v>
      </c>
      <c r="AV204" t="str">
        <f t="shared" si="256"/>
        <v>Tra_EV_Batt-LMO_virgin</v>
      </c>
      <c r="AW204">
        <f t="shared" si="257"/>
        <v>0.002</v>
      </c>
      <c r="AX204">
        <f t="shared" si="258"/>
        <v>0.002</v>
      </c>
      <c r="AY204">
        <f t="shared" si="259"/>
        <v>0.067</v>
      </c>
      <c r="AZ204">
        <f t="shared" si="260"/>
        <v>0.212</v>
      </c>
      <c r="BA204">
        <f t="shared" si="261"/>
        <v>0.025</v>
      </c>
      <c r="BB204">
        <f t="shared" si="262"/>
        <v>0.976</v>
      </c>
      <c r="BC204">
        <f t="shared" si="263"/>
        <v>0.006</v>
      </c>
      <c r="BD204">
        <f t="shared" si="264"/>
        <v>2.551</v>
      </c>
      <c r="BE204">
        <f t="shared" si="265"/>
        <v>0.019</v>
      </c>
      <c r="BF204">
        <f t="shared" si="266"/>
        <v>0.022</v>
      </c>
      <c r="BG204">
        <f t="shared" si="267"/>
        <v>1.282</v>
      </c>
      <c r="BH204">
        <f t="shared" si="268"/>
        <v>1.151</v>
      </c>
      <c r="BI204">
        <f t="shared" si="269"/>
        <v>0.004</v>
      </c>
      <c r="BJ204">
        <f t="shared" si="270"/>
        <v>0.05</v>
      </c>
      <c r="BK204">
        <f t="shared" si="271"/>
        <v>0.084</v>
      </c>
      <c r="BL204">
        <f t="shared" si="272"/>
        <v>0</v>
      </c>
      <c r="BM204">
        <f t="shared" si="273"/>
        <v>0.052</v>
      </c>
      <c r="BN204">
        <f t="shared" si="274"/>
        <v>0.143</v>
      </c>
      <c r="BO204">
        <f t="shared" si="275"/>
        <v>0.722</v>
      </c>
      <c r="BP204">
        <f t="shared" si="276"/>
        <v>0.017</v>
      </c>
      <c r="BQ204">
        <f t="shared" si="277"/>
        <v>0.025</v>
      </c>
      <c r="BR204">
        <f t="shared" si="278"/>
        <v>44.259</v>
      </c>
      <c r="BS204">
        <f t="shared" si="279"/>
        <v>3.688</v>
      </c>
      <c r="BT204">
        <f t="shared" si="280"/>
        <v>0.019</v>
      </c>
      <c r="BU204">
        <f t="shared" si="281"/>
        <v>1.079</v>
      </c>
      <c r="BV204">
        <f t="shared" si="282"/>
        <v>0.033</v>
      </c>
      <c r="BW204">
        <f t="shared" si="283"/>
        <v>0.001</v>
      </c>
      <c r="BX204">
        <f t="shared" si="284"/>
        <v>0.006</v>
      </c>
      <c r="BY204">
        <f t="shared" si="285"/>
        <v>0.315</v>
      </c>
      <c r="BZ204">
        <f t="shared" si="286"/>
        <v>0.535</v>
      </c>
      <c r="CA204">
        <f t="shared" si="287"/>
        <v>0.208</v>
      </c>
      <c r="CB204">
        <f t="shared" si="288"/>
        <v>0.006</v>
      </c>
      <c r="CC204">
        <f t="shared" si="289"/>
        <v>0.97</v>
      </c>
      <c r="CD204">
        <f t="shared" si="290"/>
        <v>0.037</v>
      </c>
      <c r="CE204">
        <f t="shared" si="291"/>
        <v>0.003</v>
      </c>
      <c r="CG204" s="6">
        <v>2018</v>
      </c>
      <c r="CH204" s="6" t="s">
        <v>73</v>
      </c>
      <c r="CI204" s="6">
        <v>0.301</v>
      </c>
      <c r="CJ204" s="6">
        <v>0.26</v>
      </c>
      <c r="CK204" s="6" t="s">
        <v>595</v>
      </c>
      <c r="CL204" s="6" t="s">
        <v>596</v>
      </c>
      <c r="CM204" s="6" t="s">
        <v>597</v>
      </c>
    </row>
    <row r="205" spans="4:91">
      <c r="D205">
        <f t="shared" si="292"/>
        <v>2018</v>
      </c>
      <c r="E205" t="s">
        <v>81</v>
      </c>
      <c r="F205" s="1">
        <f t="shared" si="222"/>
        <v>0.000602</v>
      </c>
      <c r="G205" s="1">
        <f t="shared" si="223"/>
        <v>0.000602</v>
      </c>
      <c r="H205" s="1">
        <f t="shared" si="224"/>
        <v>0.020167</v>
      </c>
      <c r="I205" s="1">
        <f t="shared" si="225"/>
        <v>0.070133</v>
      </c>
      <c r="J205" s="1">
        <f t="shared" si="226"/>
        <v>0.007525</v>
      </c>
      <c r="K205" s="1">
        <f t="shared" si="227"/>
        <v>0.313341</v>
      </c>
      <c r="L205" s="1">
        <f t="shared" si="228"/>
        <v>0.001806</v>
      </c>
      <c r="M205" s="1">
        <f t="shared" si="221"/>
        <v>0.512001</v>
      </c>
      <c r="N205" s="1">
        <f t="shared" si="229"/>
        <v>0.005719</v>
      </c>
      <c r="O205" s="1">
        <f t="shared" si="230"/>
        <v>0.008729</v>
      </c>
      <c r="P205" s="1">
        <f t="shared" si="231"/>
        <v>0.559559</v>
      </c>
      <c r="Q205" s="1">
        <f t="shared" si="232"/>
        <v>0.416584</v>
      </c>
      <c r="R205" s="1">
        <f t="shared" si="233"/>
        <v>0.001204</v>
      </c>
      <c r="S205" s="1">
        <f t="shared" si="234"/>
        <v>0.017157</v>
      </c>
      <c r="T205" s="1">
        <f t="shared" si="235"/>
        <v>0.025284</v>
      </c>
      <c r="U205" s="1">
        <f t="shared" si="236"/>
        <v>0.012642</v>
      </c>
      <c r="V205" s="1">
        <f t="shared" si="237"/>
        <v>0.016856</v>
      </c>
      <c r="W205" s="1">
        <f t="shared" si="238"/>
        <v>0.053578</v>
      </c>
      <c r="X205" s="1">
        <f t="shared" si="239"/>
        <v>1.229284</v>
      </c>
      <c r="Y205" s="1">
        <f t="shared" si="240"/>
        <v>0.006321</v>
      </c>
      <c r="Z205" s="1">
        <f t="shared" si="241"/>
        <v>0.007525</v>
      </c>
      <c r="AA205" s="1">
        <f t="shared" si="242"/>
        <v>2.276463</v>
      </c>
      <c r="AB205" s="1">
        <f t="shared" si="243"/>
        <v>0.654675</v>
      </c>
      <c r="AC205" s="1">
        <f t="shared" si="244"/>
        <v>0.007525</v>
      </c>
      <c r="AD205" s="1">
        <f t="shared" si="245"/>
        <v>0.071337</v>
      </c>
      <c r="AE205" s="1">
        <f t="shared" si="246"/>
        <v>0.009933</v>
      </c>
      <c r="AF205" s="1">
        <f t="shared" si="247"/>
        <v>0.000301</v>
      </c>
      <c r="AG205" s="1">
        <f t="shared" si="248"/>
        <v>0.001806</v>
      </c>
      <c r="AH205" s="1">
        <f t="shared" si="249"/>
        <v>0.106855</v>
      </c>
      <c r="AI205" s="1">
        <f t="shared" si="250"/>
        <v>0.180901</v>
      </c>
      <c r="AJ205" s="1">
        <f t="shared" si="251"/>
        <v>0.068929</v>
      </c>
      <c r="AK205" s="1">
        <f t="shared" si="252"/>
        <v>0.001806</v>
      </c>
      <c r="AL205" s="1">
        <f t="shared" si="253"/>
        <v>0.323876</v>
      </c>
      <c r="AM205" s="1">
        <f t="shared" si="254"/>
        <v>0.061705</v>
      </c>
      <c r="AN205" s="1">
        <f t="shared" si="255"/>
        <v>0.000903</v>
      </c>
      <c r="AQ205" s="6">
        <v>2018</v>
      </c>
      <c r="AR205" s="6" t="s">
        <v>81</v>
      </c>
      <c r="AS205" s="6">
        <v>0.301</v>
      </c>
      <c r="AT205" s="6" t="s">
        <v>568</v>
      </c>
      <c r="AU205" s="6" t="s">
        <v>594</v>
      </c>
      <c r="AV205" t="str">
        <f t="shared" si="256"/>
        <v>Tra_EV_Batt-NMC111_virgin</v>
      </c>
      <c r="AW205">
        <f t="shared" si="257"/>
        <v>0.002</v>
      </c>
      <c r="AX205">
        <f t="shared" si="258"/>
        <v>0.002</v>
      </c>
      <c r="AY205">
        <f t="shared" si="259"/>
        <v>0.067</v>
      </c>
      <c r="AZ205">
        <f t="shared" si="260"/>
        <v>0.233</v>
      </c>
      <c r="BA205">
        <f t="shared" si="261"/>
        <v>0.025</v>
      </c>
      <c r="BB205">
        <f t="shared" si="262"/>
        <v>1.041</v>
      </c>
      <c r="BC205">
        <f t="shared" si="263"/>
        <v>0.006</v>
      </c>
      <c r="BD205">
        <f t="shared" si="264"/>
        <v>1.701</v>
      </c>
      <c r="BE205">
        <f t="shared" si="265"/>
        <v>0.019</v>
      </c>
      <c r="BF205">
        <f t="shared" si="266"/>
        <v>0.029</v>
      </c>
      <c r="BG205">
        <f t="shared" si="267"/>
        <v>1.859</v>
      </c>
      <c r="BH205">
        <f t="shared" si="268"/>
        <v>1.384</v>
      </c>
      <c r="BI205">
        <f t="shared" si="269"/>
        <v>0.004</v>
      </c>
      <c r="BJ205">
        <f t="shared" si="270"/>
        <v>0.057</v>
      </c>
      <c r="BK205">
        <f t="shared" si="271"/>
        <v>0.084</v>
      </c>
      <c r="BL205">
        <f t="shared" si="272"/>
        <v>0.042</v>
      </c>
      <c r="BM205">
        <f t="shared" si="273"/>
        <v>0.056</v>
      </c>
      <c r="BN205">
        <f t="shared" si="274"/>
        <v>0.178</v>
      </c>
      <c r="BO205">
        <f t="shared" si="275"/>
        <v>4.084</v>
      </c>
      <c r="BP205">
        <f t="shared" si="276"/>
        <v>0.021</v>
      </c>
      <c r="BQ205">
        <f t="shared" si="277"/>
        <v>0.025</v>
      </c>
      <c r="BR205">
        <f t="shared" si="278"/>
        <v>7.563</v>
      </c>
      <c r="BS205">
        <f t="shared" si="279"/>
        <v>2.175</v>
      </c>
      <c r="BT205">
        <f t="shared" si="280"/>
        <v>0.025</v>
      </c>
      <c r="BU205">
        <f t="shared" si="281"/>
        <v>0.237</v>
      </c>
      <c r="BV205">
        <f t="shared" si="282"/>
        <v>0.033</v>
      </c>
      <c r="BW205">
        <f t="shared" si="283"/>
        <v>0.001</v>
      </c>
      <c r="BX205">
        <f t="shared" si="284"/>
        <v>0.006</v>
      </c>
      <c r="BY205">
        <f t="shared" si="285"/>
        <v>0.355</v>
      </c>
      <c r="BZ205">
        <f t="shared" si="286"/>
        <v>0.601</v>
      </c>
      <c r="CA205">
        <f t="shared" si="287"/>
        <v>0.229</v>
      </c>
      <c r="CB205">
        <f t="shared" si="288"/>
        <v>0.006</v>
      </c>
      <c r="CC205">
        <f t="shared" si="289"/>
        <v>1.076</v>
      </c>
      <c r="CD205">
        <f t="shared" si="290"/>
        <v>0.205</v>
      </c>
      <c r="CE205">
        <f t="shared" si="291"/>
        <v>0.003</v>
      </c>
      <c r="CG205" s="6">
        <v>2018</v>
      </c>
      <c r="CH205" s="6" t="s">
        <v>81</v>
      </c>
      <c r="CI205" s="6">
        <v>0.301</v>
      </c>
      <c r="CJ205" s="6">
        <v>0.26</v>
      </c>
      <c r="CK205" s="6" t="s">
        <v>595</v>
      </c>
      <c r="CL205" s="6" t="s">
        <v>596</v>
      </c>
      <c r="CM205" s="6" t="s">
        <v>597</v>
      </c>
    </row>
    <row r="206" spans="4:91">
      <c r="D206">
        <f t="shared" si="292"/>
        <v>2018</v>
      </c>
      <c r="E206" t="s">
        <v>69</v>
      </c>
      <c r="F206" s="1">
        <f t="shared" si="222"/>
        <v>0</v>
      </c>
      <c r="G206" s="1">
        <f t="shared" si="223"/>
        <v>0</v>
      </c>
      <c r="H206" s="1">
        <f t="shared" si="224"/>
        <v>0.001204</v>
      </c>
      <c r="I206" s="1">
        <f t="shared" si="225"/>
        <v>0.00301</v>
      </c>
      <c r="J206" s="1">
        <f t="shared" si="226"/>
        <v>0.001204</v>
      </c>
      <c r="K206" s="1">
        <f t="shared" si="227"/>
        <v>0.031304</v>
      </c>
      <c r="L206" s="1">
        <f t="shared" si="228"/>
        <v>0.00301</v>
      </c>
      <c r="M206" s="1">
        <f t="shared" si="221"/>
        <v>36.793638</v>
      </c>
      <c r="N206" s="1">
        <f t="shared" si="229"/>
        <v>0</v>
      </c>
      <c r="O206" s="1">
        <f t="shared" si="230"/>
        <v>0.00301</v>
      </c>
      <c r="P206" s="1">
        <f t="shared" si="231"/>
        <v>0.018963</v>
      </c>
      <c r="Q206" s="1">
        <f t="shared" si="232"/>
        <v>0.015652</v>
      </c>
      <c r="R206" s="1">
        <f t="shared" si="233"/>
        <v>0</v>
      </c>
      <c r="S206" s="1">
        <f t="shared" si="234"/>
        <v>0.00301</v>
      </c>
      <c r="T206" s="1">
        <f t="shared" si="235"/>
        <v>0</v>
      </c>
      <c r="U206" s="1">
        <f t="shared" si="236"/>
        <v>0.037625</v>
      </c>
      <c r="V206" s="1">
        <f t="shared" si="237"/>
        <v>0</v>
      </c>
      <c r="W206" s="1">
        <f t="shared" si="238"/>
        <v>0.006321</v>
      </c>
      <c r="X206" s="1">
        <f t="shared" si="239"/>
        <v>0.00301</v>
      </c>
      <c r="Y206" s="1">
        <f t="shared" si="240"/>
        <v>0.014147</v>
      </c>
      <c r="Z206" s="1">
        <f t="shared" si="241"/>
        <v>0.001204</v>
      </c>
      <c r="AA206" s="1">
        <f t="shared" si="242"/>
        <v>0.044247</v>
      </c>
      <c r="AB206" s="1">
        <f t="shared" si="243"/>
        <v>0.006321</v>
      </c>
      <c r="AC206" s="1">
        <f t="shared" si="244"/>
        <v>0.017157</v>
      </c>
      <c r="AD206" s="1">
        <f t="shared" si="245"/>
        <v>0.018963</v>
      </c>
      <c r="AE206" s="1">
        <f t="shared" si="246"/>
        <v>0.00602</v>
      </c>
      <c r="AF206" s="1">
        <f t="shared" si="247"/>
        <v>0</v>
      </c>
      <c r="AG206" s="1">
        <f t="shared" si="248"/>
        <v>0</v>
      </c>
      <c r="AH206" s="1">
        <f t="shared" si="249"/>
        <v>0.009331</v>
      </c>
      <c r="AI206" s="1">
        <f t="shared" si="250"/>
        <v>0.018963</v>
      </c>
      <c r="AJ206" s="1">
        <f t="shared" si="251"/>
        <v>0.00301</v>
      </c>
      <c r="AK206" s="1">
        <f t="shared" si="252"/>
        <v>0.00301</v>
      </c>
      <c r="AL206" s="1">
        <f t="shared" si="253"/>
        <v>0.025284</v>
      </c>
      <c r="AM206" s="1">
        <f t="shared" si="254"/>
        <v>0</v>
      </c>
      <c r="AN206" s="1">
        <f t="shared" si="255"/>
        <v>0</v>
      </c>
      <c r="AQ206" s="6">
        <v>2018</v>
      </c>
      <c r="AR206" s="6" t="s">
        <v>69</v>
      </c>
      <c r="AS206" s="6">
        <v>0.301</v>
      </c>
      <c r="AT206" s="6" t="s">
        <v>568</v>
      </c>
      <c r="AU206" s="6" t="s">
        <v>594</v>
      </c>
      <c r="AV206" t="str">
        <f t="shared" si="256"/>
        <v>Tra_EV_Batt-LFP_virgin_pack</v>
      </c>
      <c r="AW206">
        <f t="shared" si="257"/>
        <v>0</v>
      </c>
      <c r="AX206">
        <f t="shared" si="258"/>
        <v>0</v>
      </c>
      <c r="AY206">
        <f t="shared" si="259"/>
        <v>0.004</v>
      </c>
      <c r="AZ206">
        <f t="shared" si="260"/>
        <v>0.01</v>
      </c>
      <c r="BA206">
        <f t="shared" si="261"/>
        <v>0.004</v>
      </c>
      <c r="BB206">
        <f t="shared" si="262"/>
        <v>0.104</v>
      </c>
      <c r="BC206">
        <f t="shared" si="263"/>
        <v>0.01</v>
      </c>
      <c r="BD206">
        <f t="shared" si="264"/>
        <v>122.238</v>
      </c>
      <c r="BE206">
        <f t="shared" si="265"/>
        <v>0</v>
      </c>
      <c r="BF206">
        <f t="shared" si="266"/>
        <v>0.01</v>
      </c>
      <c r="BG206">
        <f t="shared" si="267"/>
        <v>0.063</v>
      </c>
      <c r="BH206">
        <f t="shared" si="268"/>
        <v>0.052</v>
      </c>
      <c r="BI206">
        <f t="shared" si="269"/>
        <v>0</v>
      </c>
      <c r="BJ206">
        <f t="shared" si="270"/>
        <v>0.01</v>
      </c>
      <c r="BK206">
        <f t="shared" si="271"/>
        <v>0</v>
      </c>
      <c r="BL206">
        <f t="shared" si="272"/>
        <v>0.125</v>
      </c>
      <c r="BM206">
        <f t="shared" si="273"/>
        <v>0</v>
      </c>
      <c r="BN206">
        <f t="shared" si="274"/>
        <v>0.021</v>
      </c>
      <c r="BO206">
        <f t="shared" si="275"/>
        <v>0.01</v>
      </c>
      <c r="BP206">
        <f t="shared" si="276"/>
        <v>0.047</v>
      </c>
      <c r="BQ206">
        <f t="shared" si="277"/>
        <v>0.004</v>
      </c>
      <c r="BR206">
        <f t="shared" si="278"/>
        <v>0.147</v>
      </c>
      <c r="BS206">
        <f t="shared" si="279"/>
        <v>0.021</v>
      </c>
      <c r="BT206">
        <f t="shared" si="280"/>
        <v>0.057</v>
      </c>
      <c r="BU206">
        <f t="shared" si="281"/>
        <v>0.063</v>
      </c>
      <c r="BV206">
        <f t="shared" si="282"/>
        <v>0.02</v>
      </c>
      <c r="BW206">
        <f t="shared" si="283"/>
        <v>0</v>
      </c>
      <c r="BX206">
        <f t="shared" si="284"/>
        <v>0</v>
      </c>
      <c r="BY206">
        <f t="shared" si="285"/>
        <v>0.031</v>
      </c>
      <c r="BZ206">
        <f t="shared" si="286"/>
        <v>0.063</v>
      </c>
      <c r="CA206">
        <f t="shared" si="287"/>
        <v>0.01</v>
      </c>
      <c r="CB206">
        <f t="shared" si="288"/>
        <v>0.01</v>
      </c>
      <c r="CC206">
        <f t="shared" si="289"/>
        <v>0.084</v>
      </c>
      <c r="CD206">
        <f t="shared" si="290"/>
        <v>0</v>
      </c>
      <c r="CE206">
        <f t="shared" si="291"/>
        <v>0</v>
      </c>
      <c r="CG206" s="6">
        <v>2018</v>
      </c>
      <c r="CH206" s="6" t="s">
        <v>69</v>
      </c>
      <c r="CI206" s="6">
        <v>0.301</v>
      </c>
      <c r="CJ206" s="6">
        <v>0.26</v>
      </c>
      <c r="CK206" s="6" t="s">
        <v>595</v>
      </c>
      <c r="CL206" s="6" t="s">
        <v>596</v>
      </c>
      <c r="CM206" s="6" t="s">
        <v>597</v>
      </c>
    </row>
    <row r="207" spans="4:91">
      <c r="D207">
        <f t="shared" si="292"/>
        <v>2018</v>
      </c>
      <c r="E207" t="s">
        <v>91</v>
      </c>
      <c r="F207" s="1">
        <f t="shared" si="222"/>
        <v>0.000903</v>
      </c>
      <c r="G207" s="1">
        <f t="shared" si="223"/>
        <v>0.000903</v>
      </c>
      <c r="H207" s="1">
        <f t="shared" si="224"/>
        <v>0.030702</v>
      </c>
      <c r="I207" s="1">
        <f t="shared" si="225"/>
        <v>0.102942</v>
      </c>
      <c r="J207" s="1">
        <f t="shared" si="226"/>
        <v>0.011739</v>
      </c>
      <c r="K207" s="1">
        <f t="shared" si="227"/>
        <v>0.470764</v>
      </c>
      <c r="L207" s="1">
        <f t="shared" si="228"/>
        <v>0.003612</v>
      </c>
      <c r="M207" s="1">
        <f t="shared" si="221"/>
        <v>6.33906</v>
      </c>
      <c r="N207" s="1">
        <f t="shared" si="229"/>
        <v>0.008428</v>
      </c>
      <c r="O207" s="1">
        <f t="shared" si="230"/>
        <v>0.013244</v>
      </c>
      <c r="P207" s="1">
        <f t="shared" si="231"/>
        <v>0.75852</v>
      </c>
      <c r="Q207" s="1">
        <f t="shared" si="232"/>
        <v>0.595077</v>
      </c>
      <c r="R207" s="1">
        <f t="shared" si="233"/>
        <v>0.001806</v>
      </c>
      <c r="S207" s="1">
        <f t="shared" si="234"/>
        <v>0.025585</v>
      </c>
      <c r="T207" s="1">
        <f t="shared" si="235"/>
        <v>0.037625</v>
      </c>
      <c r="U207" s="1">
        <f t="shared" si="236"/>
        <v>0.02107</v>
      </c>
      <c r="V207" s="1">
        <f t="shared" si="237"/>
        <v>0.024682</v>
      </c>
      <c r="W207" s="1">
        <f t="shared" si="238"/>
        <v>0.077056</v>
      </c>
      <c r="X207" s="1">
        <f t="shared" si="239"/>
        <v>0.687183</v>
      </c>
      <c r="Y207" s="1">
        <f t="shared" si="240"/>
        <v>0.013545</v>
      </c>
      <c r="Z207" s="1">
        <f t="shared" si="241"/>
        <v>0.011739</v>
      </c>
      <c r="AA207" s="1">
        <f t="shared" si="242"/>
        <v>2.086231</v>
      </c>
      <c r="AB207" s="1">
        <f t="shared" si="243"/>
        <v>0.815108</v>
      </c>
      <c r="AC207" s="1">
        <f t="shared" si="244"/>
        <v>0.015953</v>
      </c>
      <c r="AD207" s="1">
        <f t="shared" si="245"/>
        <v>0.142674</v>
      </c>
      <c r="AE207" s="1">
        <f t="shared" si="246"/>
        <v>0.016856</v>
      </c>
      <c r="AF207" s="1">
        <f t="shared" si="247"/>
        <v>0.000602</v>
      </c>
      <c r="AG207" s="1">
        <f t="shared" si="248"/>
        <v>0.002709</v>
      </c>
      <c r="AH207" s="1">
        <f t="shared" si="249"/>
        <v>0.157423</v>
      </c>
      <c r="AI207" s="1">
        <f t="shared" si="250"/>
        <v>0.26789</v>
      </c>
      <c r="AJ207" s="1">
        <f t="shared" si="251"/>
        <v>0.101437</v>
      </c>
      <c r="AK207" s="1">
        <f t="shared" si="252"/>
        <v>0.003612</v>
      </c>
      <c r="AL207" s="1">
        <f t="shared" si="253"/>
        <v>0.478289</v>
      </c>
      <c r="AM207" s="1">
        <f t="shared" si="254"/>
        <v>0.033712</v>
      </c>
      <c r="AN207" s="1">
        <f t="shared" si="255"/>
        <v>0.001505</v>
      </c>
      <c r="AQ207" s="6">
        <v>2018</v>
      </c>
      <c r="AR207" s="6" t="s">
        <v>91</v>
      </c>
      <c r="AS207" s="6">
        <v>0.301</v>
      </c>
      <c r="AT207" s="6" t="s">
        <v>568</v>
      </c>
      <c r="AU207" s="6" t="s">
        <v>594</v>
      </c>
      <c r="AV207" t="str">
        <f t="shared" si="256"/>
        <v>Tra_EV_Batt-NMC622_virgin_pack</v>
      </c>
      <c r="AW207">
        <f t="shared" si="257"/>
        <v>0.003</v>
      </c>
      <c r="AX207">
        <f t="shared" si="258"/>
        <v>0.003</v>
      </c>
      <c r="AY207">
        <f t="shared" si="259"/>
        <v>0.102</v>
      </c>
      <c r="AZ207">
        <f t="shared" si="260"/>
        <v>0.342</v>
      </c>
      <c r="BA207">
        <f t="shared" si="261"/>
        <v>0.039</v>
      </c>
      <c r="BB207">
        <f t="shared" si="262"/>
        <v>1.564</v>
      </c>
      <c r="BC207">
        <f t="shared" si="263"/>
        <v>0.012</v>
      </c>
      <c r="BD207">
        <f t="shared" si="264"/>
        <v>21.06</v>
      </c>
      <c r="BE207">
        <f t="shared" si="265"/>
        <v>0.028</v>
      </c>
      <c r="BF207">
        <f t="shared" si="266"/>
        <v>0.044</v>
      </c>
      <c r="BG207">
        <f t="shared" si="267"/>
        <v>2.52</v>
      </c>
      <c r="BH207">
        <f t="shared" si="268"/>
        <v>1.977</v>
      </c>
      <c r="BI207">
        <f t="shared" si="269"/>
        <v>0.006</v>
      </c>
      <c r="BJ207">
        <f t="shared" si="270"/>
        <v>0.085</v>
      </c>
      <c r="BK207">
        <f t="shared" si="271"/>
        <v>0.125</v>
      </c>
      <c r="BL207">
        <f t="shared" si="272"/>
        <v>0.07</v>
      </c>
      <c r="BM207">
        <f t="shared" si="273"/>
        <v>0.082</v>
      </c>
      <c r="BN207">
        <f t="shared" si="274"/>
        <v>0.256</v>
      </c>
      <c r="BO207">
        <f t="shared" si="275"/>
        <v>2.283</v>
      </c>
      <c r="BP207">
        <f t="shared" si="276"/>
        <v>0.045</v>
      </c>
      <c r="BQ207">
        <f t="shared" si="277"/>
        <v>0.039</v>
      </c>
      <c r="BR207">
        <f t="shared" si="278"/>
        <v>6.931</v>
      </c>
      <c r="BS207">
        <f t="shared" si="279"/>
        <v>2.708</v>
      </c>
      <c r="BT207">
        <f t="shared" si="280"/>
        <v>0.053</v>
      </c>
      <c r="BU207">
        <f t="shared" si="281"/>
        <v>0.474</v>
      </c>
      <c r="BV207">
        <f t="shared" si="282"/>
        <v>0.056</v>
      </c>
      <c r="BW207">
        <f t="shared" si="283"/>
        <v>0.002</v>
      </c>
      <c r="BX207">
        <f t="shared" si="284"/>
        <v>0.009</v>
      </c>
      <c r="BY207">
        <f t="shared" si="285"/>
        <v>0.523</v>
      </c>
      <c r="BZ207">
        <f t="shared" si="286"/>
        <v>0.89</v>
      </c>
      <c r="CA207">
        <f t="shared" si="287"/>
        <v>0.337</v>
      </c>
      <c r="CB207">
        <f t="shared" si="288"/>
        <v>0.012</v>
      </c>
      <c r="CC207">
        <f t="shared" si="289"/>
        <v>1.589</v>
      </c>
      <c r="CD207">
        <f t="shared" si="290"/>
        <v>0.112</v>
      </c>
      <c r="CE207">
        <f t="shared" si="291"/>
        <v>0.005</v>
      </c>
      <c r="CG207" s="6">
        <v>2018</v>
      </c>
      <c r="CH207" s="6" t="s">
        <v>91</v>
      </c>
      <c r="CI207" s="6">
        <v>0.301</v>
      </c>
      <c r="CJ207" s="6">
        <v>0.26</v>
      </c>
      <c r="CK207" s="6" t="s">
        <v>595</v>
      </c>
      <c r="CL207" s="6" t="s">
        <v>596</v>
      </c>
      <c r="CM207" s="6" t="s">
        <v>597</v>
      </c>
    </row>
    <row r="208" spans="4:91">
      <c r="D208">
        <f t="shared" si="292"/>
        <v>2018</v>
      </c>
      <c r="E208" t="s">
        <v>95</v>
      </c>
      <c r="F208" s="1">
        <f t="shared" si="222"/>
        <v>0.000903</v>
      </c>
      <c r="G208" s="1">
        <f t="shared" si="223"/>
        <v>0.000903</v>
      </c>
      <c r="H208" s="1">
        <f t="shared" si="224"/>
        <v>0.025585</v>
      </c>
      <c r="I208" s="1">
        <f t="shared" si="225"/>
        <v>0.083979</v>
      </c>
      <c r="J208" s="1">
        <f t="shared" si="226"/>
        <v>0.009933</v>
      </c>
      <c r="K208" s="1">
        <f t="shared" si="227"/>
        <v>0.387387</v>
      </c>
      <c r="L208" s="1">
        <f t="shared" si="228"/>
        <v>0.00301</v>
      </c>
      <c r="M208" s="1">
        <f t="shared" si="221"/>
        <v>13.722289</v>
      </c>
      <c r="N208" s="1">
        <f t="shared" si="229"/>
        <v>0.007224</v>
      </c>
      <c r="O208" s="1">
        <f t="shared" si="230"/>
        <v>0.010535</v>
      </c>
      <c r="P208" s="1">
        <f t="shared" si="231"/>
        <v>0.575211</v>
      </c>
      <c r="Q208" s="1">
        <f t="shared" si="232"/>
        <v>0.473473</v>
      </c>
      <c r="R208" s="1">
        <f t="shared" si="233"/>
        <v>0.001505</v>
      </c>
      <c r="S208" s="1">
        <f t="shared" si="234"/>
        <v>0.020769</v>
      </c>
      <c r="T208" s="1">
        <f t="shared" si="235"/>
        <v>0.031304</v>
      </c>
      <c r="U208" s="1">
        <f t="shared" si="236"/>
        <v>0.002107</v>
      </c>
      <c r="V208" s="1">
        <f t="shared" si="237"/>
        <v>0.020167</v>
      </c>
      <c r="W208" s="1">
        <f t="shared" si="238"/>
        <v>0.061103</v>
      </c>
      <c r="X208" s="1">
        <f t="shared" si="239"/>
        <v>0.127022</v>
      </c>
      <c r="Y208" s="1">
        <f t="shared" si="240"/>
        <v>0.011739</v>
      </c>
      <c r="Z208" s="1">
        <f t="shared" si="241"/>
        <v>0.009933</v>
      </c>
      <c r="AA208" s="1">
        <f t="shared" si="242"/>
        <v>1.460452</v>
      </c>
      <c r="AB208" s="1">
        <f t="shared" si="243"/>
        <v>0.487921</v>
      </c>
      <c r="AC208" s="1">
        <f t="shared" si="244"/>
        <v>0.013846</v>
      </c>
      <c r="AD208" s="1">
        <f t="shared" si="245"/>
        <v>0.464142</v>
      </c>
      <c r="AE208" s="1">
        <f t="shared" si="246"/>
        <v>0.014448</v>
      </c>
      <c r="AF208" s="1">
        <f t="shared" si="247"/>
        <v>0.000301</v>
      </c>
      <c r="AG208" s="1">
        <f t="shared" si="248"/>
        <v>0.002107</v>
      </c>
      <c r="AH208" s="1">
        <f t="shared" si="249"/>
        <v>0.127624</v>
      </c>
      <c r="AI208" s="1">
        <f t="shared" si="250"/>
        <v>0.217623</v>
      </c>
      <c r="AJ208" s="1">
        <f t="shared" si="251"/>
        <v>0.082775</v>
      </c>
      <c r="AK208" s="1">
        <f t="shared" si="252"/>
        <v>0.003311</v>
      </c>
      <c r="AL208" s="1">
        <f t="shared" si="253"/>
        <v>0.389193</v>
      </c>
      <c r="AM208" s="1">
        <f t="shared" si="254"/>
        <v>0.005719</v>
      </c>
      <c r="AN208" s="1">
        <f t="shared" si="255"/>
        <v>0.001204</v>
      </c>
      <c r="AQ208" s="6">
        <v>2018</v>
      </c>
      <c r="AR208" s="6" t="s">
        <v>95</v>
      </c>
      <c r="AS208" s="6">
        <v>0.301</v>
      </c>
      <c r="AT208" s="6" t="s">
        <v>568</v>
      </c>
      <c r="AU208" s="6" t="s">
        <v>594</v>
      </c>
      <c r="AV208" t="str">
        <f t="shared" si="256"/>
        <v>Tra_EV_Batt-NMC811_virgin_pack</v>
      </c>
      <c r="AW208">
        <f t="shared" si="257"/>
        <v>0.003</v>
      </c>
      <c r="AX208">
        <f t="shared" si="258"/>
        <v>0.003</v>
      </c>
      <c r="AY208">
        <f t="shared" si="259"/>
        <v>0.085</v>
      </c>
      <c r="AZ208">
        <f t="shared" si="260"/>
        <v>0.279</v>
      </c>
      <c r="BA208">
        <f t="shared" si="261"/>
        <v>0.033</v>
      </c>
      <c r="BB208">
        <f t="shared" si="262"/>
        <v>1.287</v>
      </c>
      <c r="BC208">
        <f t="shared" si="263"/>
        <v>0.01</v>
      </c>
      <c r="BD208">
        <f t="shared" si="264"/>
        <v>45.589</v>
      </c>
      <c r="BE208">
        <f t="shared" si="265"/>
        <v>0.024</v>
      </c>
      <c r="BF208">
        <f t="shared" si="266"/>
        <v>0.035</v>
      </c>
      <c r="BG208">
        <f t="shared" si="267"/>
        <v>1.911</v>
      </c>
      <c r="BH208">
        <f t="shared" si="268"/>
        <v>1.573</v>
      </c>
      <c r="BI208">
        <f t="shared" si="269"/>
        <v>0.005</v>
      </c>
      <c r="BJ208">
        <f t="shared" si="270"/>
        <v>0.069</v>
      </c>
      <c r="BK208">
        <f t="shared" si="271"/>
        <v>0.104</v>
      </c>
      <c r="BL208">
        <f t="shared" si="272"/>
        <v>0.007</v>
      </c>
      <c r="BM208">
        <f t="shared" si="273"/>
        <v>0.067</v>
      </c>
      <c r="BN208">
        <f t="shared" si="274"/>
        <v>0.203</v>
      </c>
      <c r="BO208">
        <f t="shared" si="275"/>
        <v>0.422</v>
      </c>
      <c r="BP208">
        <f t="shared" si="276"/>
        <v>0.039</v>
      </c>
      <c r="BQ208">
        <f t="shared" si="277"/>
        <v>0.033</v>
      </c>
      <c r="BR208">
        <f t="shared" si="278"/>
        <v>4.852</v>
      </c>
      <c r="BS208">
        <f t="shared" si="279"/>
        <v>1.621</v>
      </c>
      <c r="BT208">
        <f t="shared" si="280"/>
        <v>0.046</v>
      </c>
      <c r="BU208">
        <f t="shared" si="281"/>
        <v>1.542</v>
      </c>
      <c r="BV208">
        <f t="shared" si="282"/>
        <v>0.048</v>
      </c>
      <c r="BW208">
        <f t="shared" si="283"/>
        <v>0.001</v>
      </c>
      <c r="BX208">
        <f t="shared" si="284"/>
        <v>0.007</v>
      </c>
      <c r="BY208">
        <f t="shared" si="285"/>
        <v>0.424</v>
      </c>
      <c r="BZ208">
        <f t="shared" si="286"/>
        <v>0.723</v>
      </c>
      <c r="CA208">
        <f t="shared" si="287"/>
        <v>0.275</v>
      </c>
      <c r="CB208">
        <f t="shared" si="288"/>
        <v>0.011</v>
      </c>
      <c r="CC208">
        <f t="shared" si="289"/>
        <v>1.293</v>
      </c>
      <c r="CD208">
        <f t="shared" si="290"/>
        <v>0.019</v>
      </c>
      <c r="CE208">
        <f t="shared" si="291"/>
        <v>0.004</v>
      </c>
      <c r="CG208" s="6">
        <v>2018</v>
      </c>
      <c r="CH208" s="6" t="s">
        <v>95</v>
      </c>
      <c r="CI208" s="6">
        <v>0.301</v>
      </c>
      <c r="CJ208" s="6">
        <v>0.26</v>
      </c>
      <c r="CK208" s="6" t="s">
        <v>595</v>
      </c>
      <c r="CL208" s="6" t="s">
        <v>596</v>
      </c>
      <c r="CM208" s="6" t="s">
        <v>597</v>
      </c>
    </row>
    <row r="209" spans="4:91">
      <c r="D209">
        <f t="shared" si="292"/>
        <v>2018</v>
      </c>
      <c r="E209" t="s">
        <v>87</v>
      </c>
      <c r="F209" s="1">
        <f t="shared" si="222"/>
        <v>0.000301</v>
      </c>
      <c r="G209" s="1">
        <f t="shared" si="223"/>
        <v>0.000301</v>
      </c>
      <c r="H209" s="1">
        <f t="shared" si="224"/>
        <v>0.005117</v>
      </c>
      <c r="I209" s="1">
        <f t="shared" si="225"/>
        <v>0.015953</v>
      </c>
      <c r="J209" s="1">
        <f t="shared" si="226"/>
        <v>0.001806</v>
      </c>
      <c r="K209" s="1">
        <f t="shared" si="227"/>
        <v>0.073444</v>
      </c>
      <c r="L209" s="1">
        <f t="shared" si="228"/>
        <v>0.000301</v>
      </c>
      <c r="M209" s="1">
        <f t="shared" si="221"/>
        <v>2.826691</v>
      </c>
      <c r="N209" s="1">
        <f t="shared" si="229"/>
        <v>0.001505</v>
      </c>
      <c r="O209" s="1">
        <f t="shared" si="230"/>
        <v>0.001806</v>
      </c>
      <c r="P209" s="1">
        <f t="shared" si="231"/>
        <v>0.09632</v>
      </c>
      <c r="Q209" s="1">
        <f t="shared" si="232"/>
        <v>0.086688</v>
      </c>
      <c r="R209" s="1">
        <f t="shared" si="233"/>
        <v>0.000301</v>
      </c>
      <c r="S209" s="1">
        <f t="shared" si="234"/>
        <v>0.003612</v>
      </c>
      <c r="T209" s="1">
        <f t="shared" si="235"/>
        <v>0.006321</v>
      </c>
      <c r="U209" s="1">
        <f t="shared" si="236"/>
        <v>0</v>
      </c>
      <c r="V209" s="1">
        <f t="shared" si="237"/>
        <v>0.003913</v>
      </c>
      <c r="W209" s="1">
        <f t="shared" si="238"/>
        <v>0.010836</v>
      </c>
      <c r="X209" s="1">
        <f t="shared" si="239"/>
        <v>0</v>
      </c>
      <c r="Y209" s="1">
        <f t="shared" si="240"/>
        <v>0.001204</v>
      </c>
      <c r="Z209" s="1">
        <f t="shared" si="241"/>
        <v>0.001806</v>
      </c>
      <c r="AA209" s="1">
        <f t="shared" si="242"/>
        <v>1.434566</v>
      </c>
      <c r="AB209" s="1">
        <f t="shared" si="243"/>
        <v>0.158627</v>
      </c>
      <c r="AC209" s="1">
        <f t="shared" si="244"/>
        <v>0.001505</v>
      </c>
      <c r="AD209" s="1">
        <f t="shared" si="245"/>
        <v>0.324779</v>
      </c>
      <c r="AE209" s="1">
        <f t="shared" si="246"/>
        <v>0.002408</v>
      </c>
      <c r="AF209" s="1">
        <f t="shared" si="247"/>
        <v>0</v>
      </c>
      <c r="AG209" s="1">
        <f t="shared" si="248"/>
        <v>0.000301</v>
      </c>
      <c r="AH209" s="1">
        <f t="shared" si="249"/>
        <v>0.023779</v>
      </c>
      <c r="AI209" s="1">
        <f t="shared" si="250"/>
        <v>0.040334</v>
      </c>
      <c r="AJ209" s="1">
        <f t="shared" si="251"/>
        <v>0.015652</v>
      </c>
      <c r="AK209" s="1">
        <f t="shared" si="252"/>
        <v>0.000602</v>
      </c>
      <c r="AL209" s="1">
        <f t="shared" si="253"/>
        <v>0.073143</v>
      </c>
      <c r="AM209" s="1">
        <f t="shared" si="254"/>
        <v>0</v>
      </c>
      <c r="AN209" s="1">
        <f t="shared" si="255"/>
        <v>0.000301</v>
      </c>
      <c r="AQ209" s="6">
        <v>2018</v>
      </c>
      <c r="AR209" s="6" t="s">
        <v>87</v>
      </c>
      <c r="AS209" s="6">
        <v>0.301</v>
      </c>
      <c r="AT209" s="6" t="s">
        <v>568</v>
      </c>
      <c r="AU209" s="6" t="s">
        <v>594</v>
      </c>
      <c r="AV209" t="str">
        <f t="shared" si="256"/>
        <v> Tra_EV_Batt-NMC532_virgin_pack</v>
      </c>
      <c r="AW209">
        <f t="shared" si="257"/>
        <v>0.001</v>
      </c>
      <c r="AX209">
        <f t="shared" si="258"/>
        <v>0.001</v>
      </c>
      <c r="AY209">
        <f t="shared" si="259"/>
        <v>0.017</v>
      </c>
      <c r="AZ209">
        <f t="shared" si="260"/>
        <v>0.053</v>
      </c>
      <c r="BA209">
        <f t="shared" si="261"/>
        <v>0.006</v>
      </c>
      <c r="BB209">
        <f t="shared" si="262"/>
        <v>0.244</v>
      </c>
      <c r="BC209">
        <f t="shared" si="263"/>
        <v>0.001</v>
      </c>
      <c r="BD209">
        <f t="shared" si="264"/>
        <v>9.391</v>
      </c>
      <c r="BE209">
        <f t="shared" si="265"/>
        <v>0.005</v>
      </c>
      <c r="BF209">
        <f t="shared" si="266"/>
        <v>0.006</v>
      </c>
      <c r="BG209">
        <f t="shared" si="267"/>
        <v>0.32</v>
      </c>
      <c r="BH209">
        <f t="shared" si="268"/>
        <v>0.288</v>
      </c>
      <c r="BI209">
        <f t="shared" si="269"/>
        <v>0.001</v>
      </c>
      <c r="BJ209">
        <f t="shared" si="270"/>
        <v>0.012</v>
      </c>
      <c r="BK209">
        <f t="shared" si="271"/>
        <v>0.021</v>
      </c>
      <c r="BL209">
        <f t="shared" si="272"/>
        <v>0</v>
      </c>
      <c r="BM209">
        <f t="shared" si="273"/>
        <v>0.013</v>
      </c>
      <c r="BN209">
        <f t="shared" si="274"/>
        <v>0.036</v>
      </c>
      <c r="BO209">
        <f t="shared" si="275"/>
        <v>0</v>
      </c>
      <c r="BP209">
        <f t="shared" si="276"/>
        <v>0.004</v>
      </c>
      <c r="BQ209">
        <f t="shared" si="277"/>
        <v>0.006</v>
      </c>
      <c r="BR209">
        <f t="shared" si="278"/>
        <v>4.766</v>
      </c>
      <c r="BS209">
        <f t="shared" si="279"/>
        <v>0.527</v>
      </c>
      <c r="BT209">
        <f t="shared" si="280"/>
        <v>0.005</v>
      </c>
      <c r="BU209">
        <f t="shared" si="281"/>
        <v>1.079</v>
      </c>
      <c r="BV209">
        <f t="shared" si="282"/>
        <v>0.008</v>
      </c>
      <c r="BW209">
        <f t="shared" si="283"/>
        <v>0</v>
      </c>
      <c r="BX209">
        <f t="shared" si="284"/>
        <v>0.001</v>
      </c>
      <c r="BY209">
        <f t="shared" si="285"/>
        <v>0.079</v>
      </c>
      <c r="BZ209">
        <f t="shared" si="286"/>
        <v>0.134</v>
      </c>
      <c r="CA209">
        <f t="shared" si="287"/>
        <v>0.052</v>
      </c>
      <c r="CB209">
        <f t="shared" si="288"/>
        <v>0.002</v>
      </c>
      <c r="CC209">
        <f t="shared" si="289"/>
        <v>0.243</v>
      </c>
      <c r="CD209">
        <f t="shared" si="290"/>
        <v>0</v>
      </c>
      <c r="CE209">
        <f t="shared" si="291"/>
        <v>0.001</v>
      </c>
      <c r="CG209" s="6">
        <v>2018</v>
      </c>
      <c r="CH209" s="6" t="s">
        <v>87</v>
      </c>
      <c r="CI209" s="6">
        <v>0.301</v>
      </c>
      <c r="CJ209" s="6">
        <v>0.26</v>
      </c>
      <c r="CK209" s="6" t="s">
        <v>595</v>
      </c>
      <c r="CL209" s="6" t="s">
        <v>596</v>
      </c>
      <c r="CM209" s="6" t="s">
        <v>597</v>
      </c>
    </row>
    <row r="210" spans="4:91">
      <c r="D210">
        <f t="shared" si="292"/>
        <v>2018</v>
      </c>
      <c r="E210" t="s">
        <v>78</v>
      </c>
      <c r="F210" s="1">
        <f t="shared" si="222"/>
        <v>0</v>
      </c>
      <c r="G210" s="1">
        <f t="shared" si="223"/>
        <v>0</v>
      </c>
      <c r="H210" s="1">
        <f t="shared" si="224"/>
        <v>0</v>
      </c>
      <c r="I210" s="1">
        <f t="shared" si="225"/>
        <v>0</v>
      </c>
      <c r="J210" s="1">
        <f t="shared" si="226"/>
        <v>0</v>
      </c>
      <c r="K210" s="1">
        <f t="shared" si="227"/>
        <v>0</v>
      </c>
      <c r="L210" s="1">
        <f t="shared" si="228"/>
        <v>0</v>
      </c>
      <c r="M210" s="1">
        <f t="shared" si="221"/>
        <v>0.512001</v>
      </c>
      <c r="N210" s="1">
        <f t="shared" si="229"/>
        <v>0</v>
      </c>
      <c r="O210" s="1">
        <f t="shared" si="230"/>
        <v>0</v>
      </c>
      <c r="P210" s="1">
        <f t="shared" si="231"/>
        <v>0</v>
      </c>
      <c r="Q210" s="1">
        <f t="shared" si="232"/>
        <v>0</v>
      </c>
      <c r="R210" s="1">
        <f t="shared" si="233"/>
        <v>0</v>
      </c>
      <c r="S210" s="1">
        <f t="shared" si="234"/>
        <v>0</v>
      </c>
      <c r="T210" s="1">
        <f t="shared" si="235"/>
        <v>0</v>
      </c>
      <c r="U210" s="1">
        <f t="shared" si="236"/>
        <v>0</v>
      </c>
      <c r="V210" s="1">
        <f t="shared" si="237"/>
        <v>0</v>
      </c>
      <c r="W210" s="1">
        <f t="shared" si="238"/>
        <v>0</v>
      </c>
      <c r="X210" s="1">
        <f t="shared" si="239"/>
        <v>0</v>
      </c>
      <c r="Y210" s="1">
        <f t="shared" si="240"/>
        <v>0</v>
      </c>
      <c r="Z210" s="1">
        <f t="shared" si="241"/>
        <v>0</v>
      </c>
      <c r="AA210" s="1">
        <f t="shared" si="242"/>
        <v>0</v>
      </c>
      <c r="AB210" s="1">
        <f t="shared" si="243"/>
        <v>0</v>
      </c>
      <c r="AC210" s="1">
        <f t="shared" si="244"/>
        <v>0</v>
      </c>
      <c r="AD210" s="1">
        <f t="shared" si="245"/>
        <v>0</v>
      </c>
      <c r="AE210" s="1">
        <f t="shared" si="246"/>
        <v>0</v>
      </c>
      <c r="AF210" s="1">
        <f t="shared" si="247"/>
        <v>0</v>
      </c>
      <c r="AG210" s="1">
        <f t="shared" si="248"/>
        <v>0</v>
      </c>
      <c r="AH210" s="1">
        <f t="shared" si="249"/>
        <v>0</v>
      </c>
      <c r="AI210" s="1">
        <f t="shared" si="250"/>
        <v>0</v>
      </c>
      <c r="AJ210" s="1">
        <f t="shared" si="251"/>
        <v>0</v>
      </c>
      <c r="AK210" s="1">
        <f t="shared" si="252"/>
        <v>0</v>
      </c>
      <c r="AL210" s="1">
        <f t="shared" si="253"/>
        <v>0</v>
      </c>
      <c r="AM210" s="1">
        <f t="shared" si="254"/>
        <v>0</v>
      </c>
      <c r="AN210" s="1">
        <f t="shared" si="255"/>
        <v>0</v>
      </c>
      <c r="AQ210" s="6">
        <v>2018</v>
      </c>
      <c r="AR210" s="6" t="s">
        <v>78</v>
      </c>
      <c r="AS210" s="6">
        <v>0.301</v>
      </c>
      <c r="AT210" s="6" t="s">
        <v>568</v>
      </c>
      <c r="AU210" s="6" t="s">
        <v>594</v>
      </c>
      <c r="AV210" t="str">
        <f t="shared" si="256"/>
        <v>Tra_EV_Batt-NCA_virgin_pack</v>
      </c>
      <c r="AW210">
        <f t="shared" si="257"/>
        <v>0</v>
      </c>
      <c r="AX210">
        <f t="shared" si="258"/>
        <v>0</v>
      </c>
      <c r="AY210">
        <f t="shared" si="259"/>
        <v>0</v>
      </c>
      <c r="AZ210">
        <f t="shared" si="260"/>
        <v>0</v>
      </c>
      <c r="BA210">
        <f t="shared" si="261"/>
        <v>0</v>
      </c>
      <c r="BB210">
        <f t="shared" si="262"/>
        <v>0</v>
      </c>
      <c r="BC210">
        <f t="shared" si="263"/>
        <v>0</v>
      </c>
      <c r="BD210">
        <f t="shared" si="264"/>
        <v>1.701</v>
      </c>
      <c r="BE210">
        <f t="shared" si="265"/>
        <v>0</v>
      </c>
      <c r="BF210">
        <f t="shared" si="266"/>
        <v>0</v>
      </c>
      <c r="BG210">
        <f t="shared" si="267"/>
        <v>0</v>
      </c>
      <c r="BH210">
        <f t="shared" si="268"/>
        <v>0</v>
      </c>
      <c r="BI210">
        <f t="shared" si="269"/>
        <v>0</v>
      </c>
      <c r="BJ210">
        <f t="shared" si="270"/>
        <v>0</v>
      </c>
      <c r="BK210">
        <f t="shared" si="271"/>
        <v>0</v>
      </c>
      <c r="BL210">
        <f t="shared" si="272"/>
        <v>0</v>
      </c>
      <c r="BM210">
        <f t="shared" si="273"/>
        <v>0</v>
      </c>
      <c r="BN210">
        <f t="shared" si="274"/>
        <v>0</v>
      </c>
      <c r="BO210">
        <f t="shared" si="275"/>
        <v>0</v>
      </c>
      <c r="BP210">
        <f t="shared" si="276"/>
        <v>0</v>
      </c>
      <c r="BQ210">
        <f t="shared" si="277"/>
        <v>0</v>
      </c>
      <c r="BR210">
        <f t="shared" si="278"/>
        <v>0</v>
      </c>
      <c r="BS210">
        <f t="shared" si="279"/>
        <v>0</v>
      </c>
      <c r="BT210">
        <f t="shared" si="280"/>
        <v>0</v>
      </c>
      <c r="BU210">
        <f t="shared" si="281"/>
        <v>0</v>
      </c>
      <c r="BV210">
        <f t="shared" si="282"/>
        <v>0</v>
      </c>
      <c r="BW210">
        <f t="shared" si="283"/>
        <v>0</v>
      </c>
      <c r="BX210">
        <f t="shared" si="284"/>
        <v>0</v>
      </c>
      <c r="BY210">
        <f t="shared" si="285"/>
        <v>0</v>
      </c>
      <c r="BZ210">
        <f t="shared" si="286"/>
        <v>0</v>
      </c>
      <c r="CA210">
        <f t="shared" si="287"/>
        <v>0</v>
      </c>
      <c r="CB210">
        <f t="shared" si="288"/>
        <v>0</v>
      </c>
      <c r="CC210">
        <f t="shared" si="289"/>
        <v>0</v>
      </c>
      <c r="CD210">
        <f t="shared" si="290"/>
        <v>0</v>
      </c>
      <c r="CE210">
        <f t="shared" si="291"/>
        <v>0</v>
      </c>
      <c r="CG210" s="6">
        <v>2018</v>
      </c>
      <c r="CH210" s="6" t="s">
        <v>78</v>
      </c>
      <c r="CI210" s="6">
        <v>0.301</v>
      </c>
      <c r="CJ210" s="6">
        <v>0.26</v>
      </c>
      <c r="CK210" s="6" t="s">
        <v>595</v>
      </c>
      <c r="CL210" s="6" t="s">
        <v>596</v>
      </c>
      <c r="CM210" s="6" t="s">
        <v>597</v>
      </c>
    </row>
    <row r="211" spans="4:91">
      <c r="D211">
        <f t="shared" si="292"/>
        <v>2018</v>
      </c>
      <c r="E211" t="s">
        <v>74</v>
      </c>
      <c r="F211" s="1">
        <f t="shared" si="222"/>
        <v>0.000602</v>
      </c>
      <c r="G211" s="1">
        <f t="shared" si="223"/>
        <v>0.000602</v>
      </c>
      <c r="H211" s="1">
        <f t="shared" si="224"/>
        <v>0.020167</v>
      </c>
      <c r="I211" s="1">
        <f t="shared" si="225"/>
        <v>0.063812</v>
      </c>
      <c r="J211" s="1">
        <f t="shared" si="226"/>
        <v>0.007525</v>
      </c>
      <c r="K211" s="1">
        <f t="shared" si="227"/>
        <v>0.293776</v>
      </c>
      <c r="L211" s="1">
        <f t="shared" si="228"/>
        <v>0.001806</v>
      </c>
      <c r="M211" s="1">
        <f t="shared" si="221"/>
        <v>0.767851</v>
      </c>
      <c r="N211" s="1">
        <f t="shared" si="229"/>
        <v>0.005719</v>
      </c>
      <c r="O211" s="1">
        <f t="shared" si="230"/>
        <v>0.006622</v>
      </c>
      <c r="P211" s="1">
        <f t="shared" si="231"/>
        <v>0.385882</v>
      </c>
      <c r="Q211" s="1">
        <f t="shared" si="232"/>
        <v>0.346451</v>
      </c>
      <c r="R211" s="1">
        <f t="shared" si="233"/>
        <v>0.001204</v>
      </c>
      <c r="S211" s="1">
        <f t="shared" si="234"/>
        <v>0.01505</v>
      </c>
      <c r="T211" s="1">
        <f t="shared" si="235"/>
        <v>0.025284</v>
      </c>
      <c r="U211" s="1">
        <f t="shared" si="236"/>
        <v>0</v>
      </c>
      <c r="V211" s="1">
        <f t="shared" si="237"/>
        <v>0.015652</v>
      </c>
      <c r="W211" s="1">
        <f t="shared" si="238"/>
        <v>0.043043</v>
      </c>
      <c r="X211" s="1">
        <f t="shared" si="239"/>
        <v>0.217322</v>
      </c>
      <c r="Y211" s="1">
        <f t="shared" si="240"/>
        <v>0.005117</v>
      </c>
      <c r="Z211" s="1">
        <f t="shared" si="241"/>
        <v>0.007525</v>
      </c>
      <c r="AA211" s="1">
        <f t="shared" si="242"/>
        <v>13.321959</v>
      </c>
      <c r="AB211" s="1">
        <f t="shared" si="243"/>
        <v>1.110088</v>
      </c>
      <c r="AC211" s="1">
        <f t="shared" si="244"/>
        <v>0.005719</v>
      </c>
      <c r="AD211" s="1">
        <f t="shared" si="245"/>
        <v>0.324779</v>
      </c>
      <c r="AE211" s="1">
        <f t="shared" si="246"/>
        <v>0.009933</v>
      </c>
      <c r="AF211" s="1">
        <f t="shared" si="247"/>
        <v>0.000301</v>
      </c>
      <c r="AG211" s="1">
        <f t="shared" si="248"/>
        <v>0.001806</v>
      </c>
      <c r="AH211" s="1">
        <f t="shared" si="249"/>
        <v>0.094815</v>
      </c>
      <c r="AI211" s="1">
        <f t="shared" si="250"/>
        <v>0.161035</v>
      </c>
      <c r="AJ211" s="1">
        <f t="shared" si="251"/>
        <v>0.062608</v>
      </c>
      <c r="AK211" s="1">
        <f t="shared" si="252"/>
        <v>0.001806</v>
      </c>
      <c r="AL211" s="1">
        <f t="shared" si="253"/>
        <v>0.29197</v>
      </c>
      <c r="AM211" s="1">
        <f t="shared" si="254"/>
        <v>0.011137</v>
      </c>
      <c r="AN211" s="1">
        <f t="shared" si="255"/>
        <v>0.000903</v>
      </c>
      <c r="AQ211" s="6">
        <v>2018</v>
      </c>
      <c r="AR211" s="6" t="s">
        <v>74</v>
      </c>
      <c r="AS211" s="6">
        <v>0.301</v>
      </c>
      <c r="AT211" s="6" t="s">
        <v>568</v>
      </c>
      <c r="AU211" s="6" t="s">
        <v>594</v>
      </c>
      <c r="AV211" t="str">
        <f t="shared" si="256"/>
        <v> Tra_EV_Batt-LMO_virgin_pack</v>
      </c>
      <c r="AW211">
        <f t="shared" si="257"/>
        <v>0.002</v>
      </c>
      <c r="AX211">
        <f t="shared" si="258"/>
        <v>0.002</v>
      </c>
      <c r="AY211">
        <f t="shared" si="259"/>
        <v>0.067</v>
      </c>
      <c r="AZ211">
        <f t="shared" si="260"/>
        <v>0.212</v>
      </c>
      <c r="BA211">
        <f t="shared" si="261"/>
        <v>0.025</v>
      </c>
      <c r="BB211">
        <f t="shared" si="262"/>
        <v>0.976</v>
      </c>
      <c r="BC211">
        <f t="shared" si="263"/>
        <v>0.006</v>
      </c>
      <c r="BD211">
        <f t="shared" si="264"/>
        <v>2.551</v>
      </c>
      <c r="BE211">
        <f t="shared" si="265"/>
        <v>0.019</v>
      </c>
      <c r="BF211">
        <f t="shared" si="266"/>
        <v>0.022</v>
      </c>
      <c r="BG211">
        <f t="shared" si="267"/>
        <v>1.282</v>
      </c>
      <c r="BH211">
        <f t="shared" si="268"/>
        <v>1.151</v>
      </c>
      <c r="BI211">
        <f t="shared" si="269"/>
        <v>0.004</v>
      </c>
      <c r="BJ211">
        <f t="shared" si="270"/>
        <v>0.05</v>
      </c>
      <c r="BK211">
        <f t="shared" si="271"/>
        <v>0.084</v>
      </c>
      <c r="BL211">
        <f t="shared" si="272"/>
        <v>0</v>
      </c>
      <c r="BM211">
        <f t="shared" si="273"/>
        <v>0.052</v>
      </c>
      <c r="BN211">
        <f t="shared" si="274"/>
        <v>0.143</v>
      </c>
      <c r="BO211">
        <f t="shared" si="275"/>
        <v>0.722</v>
      </c>
      <c r="BP211">
        <f t="shared" si="276"/>
        <v>0.017</v>
      </c>
      <c r="BQ211">
        <f t="shared" si="277"/>
        <v>0.025</v>
      </c>
      <c r="BR211">
        <f t="shared" si="278"/>
        <v>44.259</v>
      </c>
      <c r="BS211">
        <f t="shared" si="279"/>
        <v>3.688</v>
      </c>
      <c r="BT211">
        <f t="shared" si="280"/>
        <v>0.019</v>
      </c>
      <c r="BU211">
        <f t="shared" si="281"/>
        <v>1.079</v>
      </c>
      <c r="BV211">
        <f t="shared" si="282"/>
        <v>0.033</v>
      </c>
      <c r="BW211">
        <f t="shared" si="283"/>
        <v>0.001</v>
      </c>
      <c r="BX211">
        <f t="shared" si="284"/>
        <v>0.006</v>
      </c>
      <c r="BY211">
        <f t="shared" si="285"/>
        <v>0.315</v>
      </c>
      <c r="BZ211">
        <f t="shared" si="286"/>
        <v>0.535</v>
      </c>
      <c r="CA211">
        <f t="shared" si="287"/>
        <v>0.208</v>
      </c>
      <c r="CB211">
        <f t="shared" si="288"/>
        <v>0.006</v>
      </c>
      <c r="CC211">
        <f t="shared" si="289"/>
        <v>0.97</v>
      </c>
      <c r="CD211">
        <f t="shared" si="290"/>
        <v>0.037</v>
      </c>
      <c r="CE211">
        <f t="shared" si="291"/>
        <v>0.003</v>
      </c>
      <c r="CG211" s="6">
        <v>2018</v>
      </c>
      <c r="CH211" s="6" t="s">
        <v>74</v>
      </c>
      <c r="CI211" s="6">
        <v>0.301</v>
      </c>
      <c r="CJ211" s="6">
        <v>0.26</v>
      </c>
      <c r="CK211" s="6" t="s">
        <v>595</v>
      </c>
      <c r="CL211" s="6" t="s">
        <v>596</v>
      </c>
      <c r="CM211" s="6" t="s">
        <v>597</v>
      </c>
    </row>
    <row r="212" spans="4:91">
      <c r="D212">
        <f t="shared" si="292"/>
        <v>2018</v>
      </c>
      <c r="E212" t="s">
        <v>82</v>
      </c>
      <c r="F212" s="1">
        <f t="shared" si="222"/>
        <v>0.000602</v>
      </c>
      <c r="G212" s="1">
        <f t="shared" si="223"/>
        <v>0.000602</v>
      </c>
      <c r="H212" s="1">
        <f t="shared" si="224"/>
        <v>0.020167</v>
      </c>
      <c r="I212" s="1">
        <f t="shared" si="225"/>
        <v>0.070133</v>
      </c>
      <c r="J212" s="1">
        <f t="shared" si="226"/>
        <v>0.007525</v>
      </c>
      <c r="K212" s="1">
        <f t="shared" si="227"/>
        <v>0.313341</v>
      </c>
      <c r="L212" s="1">
        <f t="shared" si="228"/>
        <v>0.001806</v>
      </c>
      <c r="M212" s="1">
        <f t="shared" si="221"/>
        <v>0.512001</v>
      </c>
      <c r="N212" s="1">
        <f t="shared" si="229"/>
        <v>0.005719</v>
      </c>
      <c r="O212" s="1">
        <f t="shared" si="230"/>
        <v>0.008729</v>
      </c>
      <c r="P212" s="1">
        <f t="shared" si="231"/>
        <v>0.559559</v>
      </c>
      <c r="Q212" s="1">
        <f t="shared" si="232"/>
        <v>0.416584</v>
      </c>
      <c r="R212" s="1">
        <f t="shared" si="233"/>
        <v>0.001204</v>
      </c>
      <c r="S212" s="1">
        <f t="shared" si="234"/>
        <v>0.017157</v>
      </c>
      <c r="T212" s="1">
        <f t="shared" si="235"/>
        <v>0.025284</v>
      </c>
      <c r="U212" s="1">
        <f t="shared" si="236"/>
        <v>0.012642</v>
      </c>
      <c r="V212" s="1">
        <f t="shared" si="237"/>
        <v>0.016856</v>
      </c>
      <c r="W212" s="1">
        <f t="shared" si="238"/>
        <v>0.053578</v>
      </c>
      <c r="X212" s="1">
        <f t="shared" si="239"/>
        <v>1.229284</v>
      </c>
      <c r="Y212" s="1">
        <f t="shared" si="240"/>
        <v>0.006321</v>
      </c>
      <c r="Z212" s="1">
        <f t="shared" si="241"/>
        <v>0.007525</v>
      </c>
      <c r="AA212" s="1">
        <f t="shared" si="242"/>
        <v>2.276463</v>
      </c>
      <c r="AB212" s="1">
        <f t="shared" si="243"/>
        <v>0.654675</v>
      </c>
      <c r="AC212" s="1">
        <f t="shared" si="244"/>
        <v>0.007525</v>
      </c>
      <c r="AD212" s="1">
        <f t="shared" si="245"/>
        <v>0.071337</v>
      </c>
      <c r="AE212" s="1">
        <f t="shared" si="246"/>
        <v>0.009933</v>
      </c>
      <c r="AF212" s="1">
        <f t="shared" si="247"/>
        <v>0.000301</v>
      </c>
      <c r="AG212" s="1">
        <f t="shared" si="248"/>
        <v>0.001806</v>
      </c>
      <c r="AH212" s="1">
        <f t="shared" si="249"/>
        <v>0.106855</v>
      </c>
      <c r="AI212" s="1">
        <f t="shared" si="250"/>
        <v>0.180901</v>
      </c>
      <c r="AJ212" s="1">
        <f t="shared" si="251"/>
        <v>0.068929</v>
      </c>
      <c r="AK212" s="1">
        <f t="shared" si="252"/>
        <v>0.001806</v>
      </c>
      <c r="AL212" s="1">
        <f t="shared" si="253"/>
        <v>0.323876</v>
      </c>
      <c r="AM212" s="1">
        <f t="shared" si="254"/>
        <v>0.061705</v>
      </c>
      <c r="AN212" s="1">
        <f t="shared" si="255"/>
        <v>0.000903</v>
      </c>
      <c r="AQ212" s="6">
        <v>2018</v>
      </c>
      <c r="AR212" s="6" t="s">
        <v>82</v>
      </c>
      <c r="AS212" s="6">
        <v>0.301</v>
      </c>
      <c r="AT212" s="6" t="s">
        <v>568</v>
      </c>
      <c r="AU212" s="6" t="s">
        <v>594</v>
      </c>
      <c r="AV212" t="str">
        <f t="shared" si="256"/>
        <v>Tra_EV_Batt-NMC111_virgin_pack</v>
      </c>
      <c r="AW212">
        <f t="shared" si="257"/>
        <v>0.002</v>
      </c>
      <c r="AX212">
        <f t="shared" si="258"/>
        <v>0.002</v>
      </c>
      <c r="AY212">
        <f t="shared" si="259"/>
        <v>0.067</v>
      </c>
      <c r="AZ212">
        <f t="shared" si="260"/>
        <v>0.233</v>
      </c>
      <c r="BA212">
        <f t="shared" si="261"/>
        <v>0.025</v>
      </c>
      <c r="BB212">
        <f t="shared" si="262"/>
        <v>1.041</v>
      </c>
      <c r="BC212">
        <f t="shared" si="263"/>
        <v>0.006</v>
      </c>
      <c r="BD212">
        <f t="shared" si="264"/>
        <v>1.701</v>
      </c>
      <c r="BE212">
        <f t="shared" si="265"/>
        <v>0.019</v>
      </c>
      <c r="BF212">
        <f t="shared" si="266"/>
        <v>0.029</v>
      </c>
      <c r="BG212">
        <f t="shared" si="267"/>
        <v>1.859</v>
      </c>
      <c r="BH212">
        <f t="shared" si="268"/>
        <v>1.384</v>
      </c>
      <c r="BI212">
        <f t="shared" si="269"/>
        <v>0.004</v>
      </c>
      <c r="BJ212">
        <f t="shared" si="270"/>
        <v>0.057</v>
      </c>
      <c r="BK212">
        <f t="shared" si="271"/>
        <v>0.084</v>
      </c>
      <c r="BL212">
        <f t="shared" si="272"/>
        <v>0.042</v>
      </c>
      <c r="BM212">
        <f t="shared" si="273"/>
        <v>0.056</v>
      </c>
      <c r="BN212">
        <f t="shared" si="274"/>
        <v>0.178</v>
      </c>
      <c r="BO212">
        <f t="shared" si="275"/>
        <v>4.084</v>
      </c>
      <c r="BP212">
        <f t="shared" si="276"/>
        <v>0.021</v>
      </c>
      <c r="BQ212">
        <f t="shared" si="277"/>
        <v>0.025</v>
      </c>
      <c r="BR212">
        <f t="shared" si="278"/>
        <v>7.563</v>
      </c>
      <c r="BS212">
        <f t="shared" si="279"/>
        <v>2.175</v>
      </c>
      <c r="BT212">
        <f t="shared" si="280"/>
        <v>0.025</v>
      </c>
      <c r="BU212">
        <f t="shared" si="281"/>
        <v>0.237</v>
      </c>
      <c r="BV212">
        <f t="shared" si="282"/>
        <v>0.033</v>
      </c>
      <c r="BW212">
        <f t="shared" si="283"/>
        <v>0.001</v>
      </c>
      <c r="BX212">
        <f t="shared" si="284"/>
        <v>0.006</v>
      </c>
      <c r="BY212">
        <f t="shared" si="285"/>
        <v>0.355</v>
      </c>
      <c r="BZ212">
        <f t="shared" si="286"/>
        <v>0.601</v>
      </c>
      <c r="CA212">
        <f t="shared" si="287"/>
        <v>0.229</v>
      </c>
      <c r="CB212">
        <f t="shared" si="288"/>
        <v>0.006</v>
      </c>
      <c r="CC212">
        <f t="shared" si="289"/>
        <v>1.076</v>
      </c>
      <c r="CD212">
        <f t="shared" si="290"/>
        <v>0.205</v>
      </c>
      <c r="CE212">
        <f t="shared" si="291"/>
        <v>0.003</v>
      </c>
      <c r="CG212" s="6">
        <v>2018</v>
      </c>
      <c r="CH212" s="6" t="s">
        <v>82</v>
      </c>
      <c r="CI212" s="6">
        <v>0.301</v>
      </c>
      <c r="CJ212" s="6">
        <v>0.26</v>
      </c>
      <c r="CK212" s="6" t="s">
        <v>595</v>
      </c>
      <c r="CL212" s="6" t="s">
        <v>596</v>
      </c>
      <c r="CM212" s="6" t="s">
        <v>597</v>
      </c>
    </row>
    <row r="213" spans="4:91">
      <c r="D213">
        <v>2024</v>
      </c>
      <c r="E213" t="s">
        <v>249</v>
      </c>
      <c r="F213" s="1">
        <f t="shared" si="222"/>
        <v>0</v>
      </c>
      <c r="G213" s="1">
        <f t="shared" si="223"/>
        <v>3.22335</v>
      </c>
      <c r="H213" s="1">
        <f t="shared" si="224"/>
        <v>11.484</v>
      </c>
      <c r="I213" s="1">
        <f t="shared" si="225"/>
        <v>0</v>
      </c>
      <c r="J213" s="1">
        <f t="shared" si="226"/>
        <v>0</v>
      </c>
      <c r="K213" s="1">
        <f t="shared" si="227"/>
        <v>0</v>
      </c>
      <c r="L213" s="1">
        <f t="shared" si="228"/>
        <v>1.305</v>
      </c>
      <c r="M213" s="1">
        <f t="shared" si="221"/>
        <v>5.3505</v>
      </c>
      <c r="N213" s="1">
        <f t="shared" si="229"/>
        <v>0</v>
      </c>
      <c r="O213" s="1">
        <f t="shared" si="230"/>
        <v>0</v>
      </c>
      <c r="P213" s="1">
        <f t="shared" si="231"/>
        <v>0</v>
      </c>
      <c r="Q213" s="1">
        <f t="shared" si="232"/>
        <v>0</v>
      </c>
      <c r="R213" s="1">
        <f t="shared" si="233"/>
        <v>0</v>
      </c>
      <c r="S213" s="1">
        <f t="shared" si="234"/>
        <v>0</v>
      </c>
      <c r="T213" s="1">
        <f t="shared" si="235"/>
        <v>0</v>
      </c>
      <c r="U213" s="1">
        <f t="shared" si="236"/>
        <v>0</v>
      </c>
      <c r="V213" s="1">
        <f t="shared" si="237"/>
        <v>0</v>
      </c>
      <c r="W213" s="1">
        <f t="shared" si="238"/>
        <v>0</v>
      </c>
      <c r="X213" s="1">
        <f t="shared" si="239"/>
        <v>0</v>
      </c>
      <c r="Y213" s="1">
        <f t="shared" si="240"/>
        <v>8.7435</v>
      </c>
      <c r="Z213" s="1">
        <f t="shared" si="241"/>
        <v>0</v>
      </c>
      <c r="AA213" s="1">
        <f t="shared" si="242"/>
        <v>0.56115</v>
      </c>
      <c r="AB213" s="1">
        <f t="shared" si="243"/>
        <v>0</v>
      </c>
      <c r="AC213" s="1">
        <f t="shared" si="244"/>
        <v>0</v>
      </c>
      <c r="AD213" s="1">
        <f t="shared" si="245"/>
        <v>0.6003</v>
      </c>
      <c r="AE213" s="1">
        <f t="shared" si="246"/>
        <v>0</v>
      </c>
      <c r="AF213" s="1">
        <f t="shared" si="247"/>
        <v>0</v>
      </c>
      <c r="AG213" s="1">
        <f t="shared" si="248"/>
        <v>0</v>
      </c>
      <c r="AH213" s="1">
        <f t="shared" si="249"/>
        <v>0.0522</v>
      </c>
      <c r="AI213" s="1">
        <f t="shared" si="250"/>
        <v>0</v>
      </c>
      <c r="AJ213" s="1">
        <f t="shared" si="251"/>
        <v>0</v>
      </c>
      <c r="AK213" s="1">
        <f t="shared" si="252"/>
        <v>0</v>
      </c>
      <c r="AL213" s="1">
        <f t="shared" si="253"/>
        <v>0</v>
      </c>
      <c r="AM213" s="1">
        <f t="shared" si="254"/>
        <v>0</v>
      </c>
      <c r="AN213" s="1">
        <f t="shared" si="255"/>
        <v>0</v>
      </c>
      <c r="AQ213" s="6">
        <v>2019</v>
      </c>
      <c r="AR213" s="6" t="s">
        <v>249</v>
      </c>
      <c r="AS213" s="6">
        <v>0.15</v>
      </c>
      <c r="AT213" s="6" t="s">
        <v>591</v>
      </c>
      <c r="AU213" s="6" t="s">
        <v>592</v>
      </c>
      <c r="AV213" t="str">
        <f t="shared" si="256"/>
        <v>MINBatMaterials_LI</v>
      </c>
      <c r="AW213">
        <f t="shared" si="257"/>
        <v>0</v>
      </c>
      <c r="AX213">
        <f t="shared" si="258"/>
        <v>21.489</v>
      </c>
      <c r="AY213">
        <f t="shared" si="259"/>
        <v>76.56</v>
      </c>
      <c r="AZ213">
        <f t="shared" si="260"/>
        <v>0</v>
      </c>
      <c r="BA213">
        <f t="shared" si="261"/>
        <v>0</v>
      </c>
      <c r="BB213">
        <f t="shared" si="262"/>
        <v>0</v>
      </c>
      <c r="BC213">
        <f t="shared" si="263"/>
        <v>8.7</v>
      </c>
      <c r="BD213">
        <f t="shared" si="264"/>
        <v>35.67</v>
      </c>
      <c r="BE213">
        <f t="shared" si="265"/>
        <v>0</v>
      </c>
      <c r="BF213">
        <f t="shared" si="266"/>
        <v>0</v>
      </c>
      <c r="BG213">
        <f t="shared" si="267"/>
        <v>0</v>
      </c>
      <c r="BH213">
        <f t="shared" si="268"/>
        <v>0</v>
      </c>
      <c r="BI213">
        <f t="shared" si="269"/>
        <v>0</v>
      </c>
      <c r="BJ213">
        <f t="shared" si="270"/>
        <v>0</v>
      </c>
      <c r="BK213">
        <f t="shared" si="271"/>
        <v>0</v>
      </c>
      <c r="BL213">
        <f t="shared" si="272"/>
        <v>0</v>
      </c>
      <c r="BM213">
        <f t="shared" si="273"/>
        <v>0</v>
      </c>
      <c r="BN213">
        <f t="shared" si="274"/>
        <v>0</v>
      </c>
      <c r="BO213">
        <f t="shared" si="275"/>
        <v>0</v>
      </c>
      <c r="BP213">
        <f t="shared" si="276"/>
        <v>58.29</v>
      </c>
      <c r="BQ213">
        <f t="shared" si="277"/>
        <v>0</v>
      </c>
      <c r="BR213">
        <f t="shared" si="278"/>
        <v>3.741</v>
      </c>
      <c r="BS213">
        <f t="shared" si="279"/>
        <v>0</v>
      </c>
      <c r="BT213">
        <f t="shared" si="280"/>
        <v>0</v>
      </c>
      <c r="BU213">
        <f t="shared" si="281"/>
        <v>4.002</v>
      </c>
      <c r="BV213">
        <f t="shared" si="282"/>
        <v>0</v>
      </c>
      <c r="BW213">
        <f t="shared" si="283"/>
        <v>0</v>
      </c>
      <c r="BX213">
        <f t="shared" si="284"/>
        <v>0</v>
      </c>
      <c r="BY213">
        <f t="shared" si="285"/>
        <v>0.348</v>
      </c>
      <c r="BZ213">
        <f t="shared" si="286"/>
        <v>0</v>
      </c>
      <c r="CA213">
        <f t="shared" si="287"/>
        <v>0</v>
      </c>
      <c r="CB213">
        <f t="shared" si="288"/>
        <v>0</v>
      </c>
      <c r="CC213">
        <f t="shared" si="289"/>
        <v>0</v>
      </c>
      <c r="CD213">
        <f t="shared" si="290"/>
        <v>0</v>
      </c>
      <c r="CE213">
        <f t="shared" si="291"/>
        <v>0</v>
      </c>
      <c r="CG213" s="6">
        <v>2019</v>
      </c>
      <c r="CH213" s="6" t="s">
        <v>249</v>
      </c>
      <c r="CI213" s="6">
        <v>0.15</v>
      </c>
      <c r="CJ213" s="6">
        <v>0.15</v>
      </c>
      <c r="CK213" s="6" t="s">
        <v>591</v>
      </c>
      <c r="CL213" s="6" t="s">
        <v>591</v>
      </c>
      <c r="CM213" s="6" t="s">
        <v>593</v>
      </c>
    </row>
    <row r="214" spans="4:91">
      <c r="D214">
        <f xml:space="preserve">D213</f>
        <v>2024</v>
      </c>
      <c r="E214" t="s">
        <v>251</v>
      </c>
      <c r="F214" s="1">
        <f t="shared" si="222"/>
        <v>0</v>
      </c>
      <c r="G214" s="1">
        <f t="shared" si="223"/>
        <v>0</v>
      </c>
      <c r="H214" s="1">
        <f t="shared" si="224"/>
        <v>2.475</v>
      </c>
      <c r="I214" s="1">
        <f t="shared" si="225"/>
        <v>0</v>
      </c>
      <c r="J214" s="1">
        <f t="shared" si="226"/>
        <v>0</v>
      </c>
      <c r="K214" s="1">
        <f t="shared" si="227"/>
        <v>0</v>
      </c>
      <c r="L214" s="1">
        <f t="shared" si="228"/>
        <v>1.7325</v>
      </c>
      <c r="M214" s="1">
        <f t="shared" si="221"/>
        <v>2.7</v>
      </c>
      <c r="N214" s="1">
        <f t="shared" si="229"/>
        <v>0</v>
      </c>
      <c r="O214" s="1">
        <f t="shared" si="230"/>
        <v>0</v>
      </c>
      <c r="P214" s="1">
        <f t="shared" si="231"/>
        <v>0</v>
      </c>
      <c r="Q214" s="1">
        <f t="shared" si="232"/>
        <v>0</v>
      </c>
      <c r="R214" s="1">
        <f t="shared" si="233"/>
        <v>0</v>
      </c>
      <c r="S214" s="1">
        <f t="shared" si="234"/>
        <v>0</v>
      </c>
      <c r="T214" s="1">
        <f t="shared" si="235"/>
        <v>0</v>
      </c>
      <c r="U214" s="1">
        <f t="shared" si="236"/>
        <v>0</v>
      </c>
      <c r="V214" s="1">
        <f t="shared" si="237"/>
        <v>0</v>
      </c>
      <c r="W214" s="1">
        <f t="shared" si="238"/>
        <v>0</v>
      </c>
      <c r="X214" s="1">
        <f t="shared" si="239"/>
        <v>0</v>
      </c>
      <c r="Y214" s="1">
        <f t="shared" si="240"/>
        <v>0</v>
      </c>
      <c r="Z214" s="1">
        <f t="shared" si="241"/>
        <v>0</v>
      </c>
      <c r="AA214" s="1">
        <f t="shared" si="242"/>
        <v>4.455</v>
      </c>
      <c r="AB214" s="1">
        <f t="shared" si="243"/>
        <v>0</v>
      </c>
      <c r="AC214" s="1">
        <f t="shared" si="244"/>
        <v>0</v>
      </c>
      <c r="AD214" s="1">
        <f t="shared" si="245"/>
        <v>67.1625</v>
      </c>
      <c r="AE214" s="1">
        <f t="shared" si="246"/>
        <v>4.725</v>
      </c>
      <c r="AF214" s="1">
        <f t="shared" si="247"/>
        <v>0</v>
      </c>
      <c r="AG214" s="1">
        <f t="shared" si="248"/>
        <v>0</v>
      </c>
      <c r="AH214" s="1">
        <f t="shared" si="249"/>
        <v>0</v>
      </c>
      <c r="AI214" s="1">
        <f t="shared" si="250"/>
        <v>0</v>
      </c>
      <c r="AJ214" s="1">
        <f t="shared" si="251"/>
        <v>0</v>
      </c>
      <c r="AK214" s="1">
        <f t="shared" si="252"/>
        <v>0</v>
      </c>
      <c r="AL214" s="1">
        <f t="shared" si="253"/>
        <v>0</v>
      </c>
      <c r="AM214" s="1">
        <f t="shared" si="254"/>
        <v>0</v>
      </c>
      <c r="AN214" s="1">
        <f t="shared" si="255"/>
        <v>0</v>
      </c>
      <c r="AQ214" s="6">
        <v>2019</v>
      </c>
      <c r="AR214" s="6" t="s">
        <v>251</v>
      </c>
      <c r="AS214" s="6">
        <v>0.15</v>
      </c>
      <c r="AT214" s="6" t="s">
        <v>591</v>
      </c>
      <c r="AU214" s="6" t="s">
        <v>592</v>
      </c>
      <c r="AV214" t="str">
        <f t="shared" si="256"/>
        <v>MINBatMaterials_NI</v>
      </c>
      <c r="AW214">
        <f t="shared" si="257"/>
        <v>0</v>
      </c>
      <c r="AX214">
        <f t="shared" si="258"/>
        <v>0</v>
      </c>
      <c r="AY214">
        <f t="shared" si="259"/>
        <v>16.5</v>
      </c>
      <c r="AZ214">
        <f t="shared" si="260"/>
        <v>0</v>
      </c>
      <c r="BA214">
        <f t="shared" si="261"/>
        <v>0</v>
      </c>
      <c r="BB214">
        <f t="shared" si="262"/>
        <v>0</v>
      </c>
      <c r="BC214">
        <f t="shared" si="263"/>
        <v>11.55</v>
      </c>
      <c r="BD214">
        <f t="shared" si="264"/>
        <v>18</v>
      </c>
      <c r="BE214">
        <f t="shared" si="265"/>
        <v>0</v>
      </c>
      <c r="BF214">
        <f t="shared" si="266"/>
        <v>0</v>
      </c>
      <c r="BG214">
        <f t="shared" si="267"/>
        <v>0</v>
      </c>
      <c r="BH214">
        <f t="shared" si="268"/>
        <v>0</v>
      </c>
      <c r="BI214">
        <f t="shared" si="269"/>
        <v>0</v>
      </c>
      <c r="BJ214">
        <f t="shared" si="270"/>
        <v>0</v>
      </c>
      <c r="BK214">
        <f t="shared" si="271"/>
        <v>0</v>
      </c>
      <c r="BL214">
        <f t="shared" si="272"/>
        <v>0</v>
      </c>
      <c r="BM214">
        <f t="shared" si="273"/>
        <v>0</v>
      </c>
      <c r="BN214">
        <f t="shared" si="274"/>
        <v>0</v>
      </c>
      <c r="BO214">
        <f t="shared" si="275"/>
        <v>0</v>
      </c>
      <c r="BP214">
        <f t="shared" si="276"/>
        <v>0</v>
      </c>
      <c r="BQ214">
        <f t="shared" si="277"/>
        <v>0</v>
      </c>
      <c r="BR214">
        <f t="shared" si="278"/>
        <v>29.7</v>
      </c>
      <c r="BS214">
        <f t="shared" si="279"/>
        <v>0</v>
      </c>
      <c r="BT214">
        <f t="shared" si="280"/>
        <v>0</v>
      </c>
      <c r="BU214">
        <f t="shared" si="281"/>
        <v>447.75</v>
      </c>
      <c r="BV214">
        <f t="shared" si="282"/>
        <v>31.5</v>
      </c>
      <c r="BW214">
        <f t="shared" si="283"/>
        <v>0</v>
      </c>
      <c r="BX214">
        <f t="shared" si="284"/>
        <v>0</v>
      </c>
      <c r="BY214">
        <f t="shared" si="285"/>
        <v>0</v>
      </c>
      <c r="BZ214">
        <f t="shared" si="286"/>
        <v>0</v>
      </c>
      <c r="CA214">
        <f t="shared" si="287"/>
        <v>0</v>
      </c>
      <c r="CB214">
        <f t="shared" si="288"/>
        <v>0</v>
      </c>
      <c r="CC214">
        <f t="shared" si="289"/>
        <v>0</v>
      </c>
      <c r="CD214">
        <f t="shared" si="290"/>
        <v>0</v>
      </c>
      <c r="CE214">
        <f t="shared" si="291"/>
        <v>0</v>
      </c>
      <c r="CG214" s="6">
        <v>2019</v>
      </c>
      <c r="CH214" s="6" t="s">
        <v>251</v>
      </c>
      <c r="CI214" s="6">
        <v>0.15</v>
      </c>
      <c r="CJ214" s="6">
        <v>0.15</v>
      </c>
      <c r="CK214" s="6" t="s">
        <v>591</v>
      </c>
      <c r="CL214" s="6" t="s">
        <v>591</v>
      </c>
      <c r="CM214" s="6" t="s">
        <v>593</v>
      </c>
    </row>
    <row r="215" ht="16" spans="4:91">
      <c r="D215">
        <f t="shared" ref="D215:D233" si="293" xml:space="preserve">D214</f>
        <v>2024</v>
      </c>
      <c r="E215" s="18" t="s">
        <v>255</v>
      </c>
      <c r="F215" s="1">
        <f t="shared" si="222"/>
        <v>0</v>
      </c>
      <c r="G215" s="1">
        <f t="shared" si="223"/>
        <v>25.3764</v>
      </c>
      <c r="H215" s="1">
        <f t="shared" si="224"/>
        <v>0.4104</v>
      </c>
      <c r="I215" s="1">
        <f t="shared" si="225"/>
        <v>0</v>
      </c>
      <c r="J215" s="1">
        <f t="shared" si="226"/>
        <v>0</v>
      </c>
      <c r="K215" s="1">
        <f t="shared" si="227"/>
        <v>0</v>
      </c>
      <c r="L215" s="1">
        <f t="shared" si="228"/>
        <v>0</v>
      </c>
      <c r="M215" s="1">
        <f t="shared" si="221"/>
        <v>0</v>
      </c>
      <c r="N215" s="1">
        <f t="shared" si="229"/>
        <v>0</v>
      </c>
      <c r="O215" s="1">
        <f t="shared" si="230"/>
        <v>0</v>
      </c>
      <c r="P215" s="1">
        <f t="shared" si="231"/>
        <v>0</v>
      </c>
      <c r="Q215" s="1">
        <f t="shared" si="232"/>
        <v>0</v>
      </c>
      <c r="R215" s="1">
        <f t="shared" si="233"/>
        <v>0</v>
      </c>
      <c r="S215" s="1">
        <f t="shared" si="234"/>
        <v>0</v>
      </c>
      <c r="T215" s="1">
        <f t="shared" si="235"/>
        <v>0</v>
      </c>
      <c r="U215" s="1">
        <f t="shared" si="236"/>
        <v>0</v>
      </c>
      <c r="V215" s="1">
        <f t="shared" si="237"/>
        <v>0</v>
      </c>
      <c r="W215" s="1">
        <f t="shared" si="238"/>
        <v>0</v>
      </c>
      <c r="X215" s="1">
        <f t="shared" si="239"/>
        <v>0</v>
      </c>
      <c r="Y215" s="1">
        <f t="shared" si="240"/>
        <v>0.399</v>
      </c>
      <c r="Z215" s="1">
        <f t="shared" si="241"/>
        <v>0</v>
      </c>
      <c r="AA215" s="1">
        <f t="shared" si="242"/>
        <v>0.5472</v>
      </c>
      <c r="AB215" s="1">
        <f t="shared" si="243"/>
        <v>0</v>
      </c>
      <c r="AC215" s="1">
        <f t="shared" si="244"/>
        <v>0</v>
      </c>
      <c r="AD215" s="1">
        <f t="shared" si="245"/>
        <v>4.9932</v>
      </c>
      <c r="AE215" s="1">
        <f t="shared" si="246"/>
        <v>0.9918</v>
      </c>
      <c r="AF215" s="1">
        <f t="shared" si="247"/>
        <v>0</v>
      </c>
      <c r="AG215" s="1">
        <f t="shared" si="248"/>
        <v>0</v>
      </c>
      <c r="AH215" s="1">
        <f t="shared" si="249"/>
        <v>0</v>
      </c>
      <c r="AI215" s="1">
        <f t="shared" si="250"/>
        <v>0</v>
      </c>
      <c r="AJ215" s="1">
        <f t="shared" si="251"/>
        <v>0</v>
      </c>
      <c r="AK215" s="1">
        <f t="shared" si="252"/>
        <v>0.3078</v>
      </c>
      <c r="AL215" s="1">
        <f t="shared" si="253"/>
        <v>0</v>
      </c>
      <c r="AM215" s="1">
        <f t="shared" si="254"/>
        <v>0</v>
      </c>
      <c r="AN215" s="1">
        <f t="shared" si="255"/>
        <v>0</v>
      </c>
      <c r="AQ215" s="6">
        <v>2019</v>
      </c>
      <c r="AR215" s="6" t="s">
        <v>255</v>
      </c>
      <c r="AS215" s="6">
        <v>0.15</v>
      </c>
      <c r="AT215" s="6" t="s">
        <v>591</v>
      </c>
      <c r="AU215" s="6" t="s">
        <v>592</v>
      </c>
      <c r="AV215" t="str">
        <f t="shared" ref="AV215:AV254" si="294" xml:space="preserve">AV194</f>
        <v>MINBatMaterials_COB</v>
      </c>
      <c r="AW215">
        <f t="shared" ref="AW215:AW254" si="295" xml:space="preserve">AW194</f>
        <v>0</v>
      </c>
      <c r="AX215">
        <f t="shared" ref="AX215:AX254" si="296" xml:space="preserve">AX194</f>
        <v>169.176</v>
      </c>
      <c r="AY215">
        <f t="shared" ref="AY215:AY254" si="297" xml:space="preserve">AY194</f>
        <v>2.736</v>
      </c>
      <c r="AZ215">
        <f t="shared" ref="AZ215:AZ254" si="298" xml:space="preserve">AZ194</f>
        <v>0</v>
      </c>
      <c r="BA215">
        <f t="shared" ref="BA215:BA254" si="299" xml:space="preserve">BA194</f>
        <v>0</v>
      </c>
      <c r="BB215">
        <f t="shared" ref="BB215:BB254" si="300" xml:space="preserve">BB194</f>
        <v>0</v>
      </c>
      <c r="BC215">
        <f t="shared" ref="BC215:BC254" si="301" xml:space="preserve">BC194</f>
        <v>0</v>
      </c>
      <c r="BD215">
        <f t="shared" ref="BD215:BD254" si="302" xml:space="preserve">BD194</f>
        <v>0</v>
      </c>
      <c r="BE215">
        <f t="shared" ref="BE215:BE254" si="303" xml:space="preserve">BE194</f>
        <v>0</v>
      </c>
      <c r="BF215">
        <f t="shared" ref="BF215:BF254" si="304" xml:space="preserve">BF194</f>
        <v>0</v>
      </c>
      <c r="BG215">
        <f t="shared" ref="BG215:BG254" si="305" xml:space="preserve">BG194</f>
        <v>0</v>
      </c>
      <c r="BH215">
        <f t="shared" ref="BH215:BH254" si="306" xml:space="preserve">BH194</f>
        <v>0</v>
      </c>
      <c r="BI215">
        <f t="shared" ref="BI215:BI254" si="307" xml:space="preserve">BI194</f>
        <v>0</v>
      </c>
      <c r="BJ215">
        <f t="shared" ref="BJ215:BJ254" si="308" xml:space="preserve">BJ194</f>
        <v>0</v>
      </c>
      <c r="BK215">
        <f t="shared" ref="BK215:BK254" si="309" xml:space="preserve">BK194</f>
        <v>0</v>
      </c>
      <c r="BL215">
        <f t="shared" ref="BL215:BL254" si="310" xml:space="preserve">BL194</f>
        <v>0</v>
      </c>
      <c r="BM215">
        <f t="shared" ref="BM215:BM254" si="311" xml:space="preserve">BM194</f>
        <v>0</v>
      </c>
      <c r="BN215">
        <f t="shared" ref="BN215:BN254" si="312" xml:space="preserve">BN194</f>
        <v>0</v>
      </c>
      <c r="BO215">
        <f t="shared" ref="BO215:BO254" si="313" xml:space="preserve">BO194</f>
        <v>0</v>
      </c>
      <c r="BP215">
        <f t="shared" ref="BP215:BP254" si="314" xml:space="preserve">BP194</f>
        <v>2.66</v>
      </c>
      <c r="BQ215">
        <f t="shared" ref="BQ215:BQ254" si="315" xml:space="preserve">BQ194</f>
        <v>0</v>
      </c>
      <c r="BR215">
        <f t="shared" ref="BR215:BR254" si="316" xml:space="preserve">BR194</f>
        <v>3.648</v>
      </c>
      <c r="BS215">
        <f t="shared" ref="BS215:BS254" si="317" xml:space="preserve">BS194</f>
        <v>0</v>
      </c>
      <c r="BT215">
        <f t="shared" ref="BT215:BT254" si="318" xml:space="preserve">BT194</f>
        <v>0</v>
      </c>
      <c r="BU215">
        <f t="shared" ref="BU215:BU254" si="319" xml:space="preserve">BU194</f>
        <v>33.288</v>
      </c>
      <c r="BV215">
        <f t="shared" ref="BV215:BV254" si="320" xml:space="preserve">BV194</f>
        <v>6.612</v>
      </c>
      <c r="BW215">
        <f t="shared" ref="BW215:BW254" si="321" xml:space="preserve">BW194</f>
        <v>0</v>
      </c>
      <c r="BX215">
        <f t="shared" ref="BX215:BX254" si="322" xml:space="preserve">BX194</f>
        <v>0</v>
      </c>
      <c r="BY215">
        <f t="shared" ref="BY215:BY254" si="323" xml:space="preserve">BY194</f>
        <v>0</v>
      </c>
      <c r="BZ215">
        <f t="shared" ref="BZ215:BZ254" si="324" xml:space="preserve">BZ194</f>
        <v>0</v>
      </c>
      <c r="CA215">
        <f t="shared" ref="CA215:CA254" si="325" xml:space="preserve">CA194</f>
        <v>0</v>
      </c>
      <c r="CB215">
        <f t="shared" ref="CB215:CB254" si="326" xml:space="preserve">CB194</f>
        <v>2.052</v>
      </c>
      <c r="CC215">
        <f t="shared" ref="CC215:CC254" si="327" xml:space="preserve">CC194</f>
        <v>0</v>
      </c>
      <c r="CD215">
        <f t="shared" ref="CD215:CD254" si="328" xml:space="preserve">CD194</f>
        <v>0</v>
      </c>
      <c r="CE215">
        <f t="shared" ref="CE215:CE254" si="329" xml:space="preserve">CE194</f>
        <v>0</v>
      </c>
      <c r="CG215" s="6">
        <v>2019</v>
      </c>
      <c r="CH215" s="6" t="s">
        <v>255</v>
      </c>
      <c r="CI215" s="6">
        <v>0.15</v>
      </c>
      <c r="CJ215" s="6">
        <v>0.15</v>
      </c>
      <c r="CK215" s="6" t="s">
        <v>591</v>
      </c>
      <c r="CL215" s="6" t="s">
        <v>591</v>
      </c>
      <c r="CM215" s="6" t="s">
        <v>593</v>
      </c>
    </row>
    <row r="216" spans="4:91">
      <c r="D216">
        <f t="shared" si="293"/>
        <v>2024</v>
      </c>
      <c r="E216" t="s">
        <v>256</v>
      </c>
      <c r="F216" s="1">
        <f t="shared" si="222"/>
        <v>0</v>
      </c>
      <c r="G216" s="1">
        <f t="shared" si="223"/>
        <v>8.67</v>
      </c>
      <c r="H216" s="1">
        <f t="shared" si="224"/>
        <v>4.2</v>
      </c>
      <c r="I216" s="1">
        <f t="shared" si="225"/>
        <v>0</v>
      </c>
      <c r="J216" s="1">
        <f t="shared" si="226"/>
        <v>0</v>
      </c>
      <c r="K216" s="1">
        <f t="shared" si="227"/>
        <v>0</v>
      </c>
      <c r="L216" s="1">
        <f t="shared" si="228"/>
        <v>0.885</v>
      </c>
      <c r="M216" s="1">
        <f t="shared" si="221"/>
        <v>1.155</v>
      </c>
      <c r="N216" s="1">
        <f t="shared" si="229"/>
        <v>0</v>
      </c>
      <c r="O216" s="1">
        <f t="shared" si="230"/>
        <v>0</v>
      </c>
      <c r="P216" s="1">
        <f t="shared" si="231"/>
        <v>0</v>
      </c>
      <c r="Q216" s="1">
        <f t="shared" si="232"/>
        <v>0</v>
      </c>
      <c r="R216" s="1">
        <f t="shared" si="233"/>
        <v>0</v>
      </c>
      <c r="S216" s="1">
        <f t="shared" si="234"/>
        <v>0</v>
      </c>
      <c r="T216" s="1">
        <f t="shared" si="235"/>
        <v>0</v>
      </c>
      <c r="U216" s="1">
        <f t="shared" si="236"/>
        <v>1.2</v>
      </c>
      <c r="V216" s="1">
        <f t="shared" si="237"/>
        <v>0</v>
      </c>
      <c r="W216" s="1">
        <f t="shared" si="238"/>
        <v>0</v>
      </c>
      <c r="X216" s="1">
        <f t="shared" si="239"/>
        <v>0</v>
      </c>
      <c r="Y216" s="1">
        <f t="shared" si="240"/>
        <v>0</v>
      </c>
      <c r="Z216" s="1">
        <f t="shared" si="241"/>
        <v>0</v>
      </c>
      <c r="AA216" s="1">
        <f t="shared" si="242"/>
        <v>0</v>
      </c>
      <c r="AB216" s="1">
        <f t="shared" si="243"/>
        <v>0</v>
      </c>
      <c r="AC216" s="1">
        <f t="shared" si="244"/>
        <v>0</v>
      </c>
      <c r="AD216" s="1">
        <f t="shared" si="245"/>
        <v>3.09</v>
      </c>
      <c r="AE216" s="1">
        <f t="shared" si="246"/>
        <v>0</v>
      </c>
      <c r="AF216" s="1">
        <f t="shared" si="247"/>
        <v>0</v>
      </c>
      <c r="AG216" s="1">
        <f t="shared" si="248"/>
        <v>11.1</v>
      </c>
      <c r="AH216" s="1">
        <f t="shared" si="249"/>
        <v>0</v>
      </c>
      <c r="AI216" s="1">
        <f t="shared" si="250"/>
        <v>0</v>
      </c>
      <c r="AJ216" s="1">
        <f t="shared" si="251"/>
        <v>0</v>
      </c>
      <c r="AK216" s="1">
        <f t="shared" si="252"/>
        <v>0</v>
      </c>
      <c r="AL216" s="1">
        <f t="shared" si="253"/>
        <v>0</v>
      </c>
      <c r="AM216" s="1">
        <f t="shared" si="254"/>
        <v>0</v>
      </c>
      <c r="AN216" s="1">
        <f t="shared" si="255"/>
        <v>0</v>
      </c>
      <c r="AQ216" s="6">
        <v>2019</v>
      </c>
      <c r="AR216" s="6" t="s">
        <v>256</v>
      </c>
      <c r="AS216" s="6">
        <v>0.15</v>
      </c>
      <c r="AT216" s="6" t="s">
        <v>591</v>
      </c>
      <c r="AU216" s="6" t="s">
        <v>592</v>
      </c>
      <c r="AV216" t="str">
        <f t="shared" si="294"/>
        <v>MINBatMaterials_MN</v>
      </c>
      <c r="AW216">
        <f t="shared" si="295"/>
        <v>0</v>
      </c>
      <c r="AX216">
        <f t="shared" si="296"/>
        <v>57.8</v>
      </c>
      <c r="AY216">
        <f t="shared" si="297"/>
        <v>28</v>
      </c>
      <c r="AZ216">
        <f t="shared" si="298"/>
        <v>0</v>
      </c>
      <c r="BA216">
        <f t="shared" si="299"/>
        <v>0</v>
      </c>
      <c r="BB216">
        <f t="shared" si="300"/>
        <v>0</v>
      </c>
      <c r="BC216">
        <f t="shared" si="301"/>
        <v>5.9</v>
      </c>
      <c r="BD216">
        <f t="shared" si="302"/>
        <v>7.7</v>
      </c>
      <c r="BE216">
        <f t="shared" si="303"/>
        <v>0</v>
      </c>
      <c r="BF216">
        <f t="shared" si="304"/>
        <v>0</v>
      </c>
      <c r="BG216">
        <f t="shared" si="305"/>
        <v>0</v>
      </c>
      <c r="BH216">
        <f t="shared" si="306"/>
        <v>0</v>
      </c>
      <c r="BI216">
        <f t="shared" si="307"/>
        <v>0</v>
      </c>
      <c r="BJ216">
        <f t="shared" si="308"/>
        <v>0</v>
      </c>
      <c r="BK216">
        <f t="shared" si="309"/>
        <v>0</v>
      </c>
      <c r="BL216">
        <f t="shared" si="310"/>
        <v>8</v>
      </c>
      <c r="BM216">
        <f t="shared" si="311"/>
        <v>0</v>
      </c>
      <c r="BN216">
        <f t="shared" si="312"/>
        <v>0</v>
      </c>
      <c r="BO216">
        <f t="shared" si="313"/>
        <v>0</v>
      </c>
      <c r="BP216">
        <f t="shared" si="314"/>
        <v>0</v>
      </c>
      <c r="BQ216">
        <f t="shared" si="315"/>
        <v>0</v>
      </c>
      <c r="BR216">
        <f t="shared" si="316"/>
        <v>0</v>
      </c>
      <c r="BS216">
        <f t="shared" si="317"/>
        <v>0</v>
      </c>
      <c r="BT216">
        <f t="shared" si="318"/>
        <v>0</v>
      </c>
      <c r="BU216">
        <f t="shared" si="319"/>
        <v>20.6</v>
      </c>
      <c r="BV216">
        <f t="shared" si="320"/>
        <v>0</v>
      </c>
      <c r="BW216">
        <f t="shared" si="321"/>
        <v>0</v>
      </c>
      <c r="BX216">
        <f t="shared" si="322"/>
        <v>74</v>
      </c>
      <c r="BY216">
        <f t="shared" si="323"/>
        <v>0</v>
      </c>
      <c r="BZ216">
        <f t="shared" si="324"/>
        <v>0</v>
      </c>
      <c r="CA216">
        <f t="shared" si="325"/>
        <v>0</v>
      </c>
      <c r="CB216">
        <f t="shared" si="326"/>
        <v>0</v>
      </c>
      <c r="CC216">
        <f t="shared" si="327"/>
        <v>0</v>
      </c>
      <c r="CD216">
        <f t="shared" si="328"/>
        <v>0</v>
      </c>
      <c r="CE216">
        <f t="shared" si="329"/>
        <v>0</v>
      </c>
      <c r="CG216" s="6">
        <v>2019</v>
      </c>
      <c r="CH216" s="6" t="s">
        <v>256</v>
      </c>
      <c r="CI216" s="6">
        <v>0.15</v>
      </c>
      <c r="CJ216" s="6">
        <v>0.15</v>
      </c>
      <c r="CK216" s="6" t="s">
        <v>591</v>
      </c>
      <c r="CL216" s="6" t="s">
        <v>591</v>
      </c>
      <c r="CM216" s="6" t="s">
        <v>593</v>
      </c>
    </row>
    <row r="217" spans="4:91">
      <c r="D217">
        <f t="shared" si="293"/>
        <v>2024</v>
      </c>
      <c r="E217" t="s">
        <v>258</v>
      </c>
      <c r="F217" s="1">
        <f t="shared" si="222"/>
        <v>0</v>
      </c>
      <c r="G217" s="1">
        <f t="shared" si="223"/>
        <v>0.477</v>
      </c>
      <c r="H217" s="1">
        <f t="shared" si="224"/>
        <v>28.566</v>
      </c>
      <c r="I217" s="1">
        <f t="shared" si="225"/>
        <v>0</v>
      </c>
      <c r="J217" s="1">
        <f t="shared" si="226"/>
        <v>0</v>
      </c>
      <c r="K217" s="1">
        <f t="shared" si="227"/>
        <v>0</v>
      </c>
      <c r="L217" s="1">
        <f t="shared" si="228"/>
        <v>17.457</v>
      </c>
      <c r="M217" s="1">
        <f t="shared" si="221"/>
        <v>133.308</v>
      </c>
      <c r="N217" s="1">
        <f t="shared" si="229"/>
        <v>0</v>
      </c>
      <c r="O217" s="1">
        <f t="shared" si="230"/>
        <v>0</v>
      </c>
      <c r="P217" s="1">
        <f t="shared" si="231"/>
        <v>0</v>
      </c>
      <c r="Q217" s="1">
        <f t="shared" si="232"/>
        <v>1.524</v>
      </c>
      <c r="R217" s="1">
        <f t="shared" si="233"/>
        <v>1.365</v>
      </c>
      <c r="S217" s="1">
        <f t="shared" si="234"/>
        <v>0</v>
      </c>
      <c r="T217" s="1">
        <f t="shared" si="235"/>
        <v>0</v>
      </c>
      <c r="U217" s="1">
        <f t="shared" si="236"/>
        <v>12.06</v>
      </c>
      <c r="V217" s="1">
        <f t="shared" si="237"/>
        <v>2.538</v>
      </c>
      <c r="W217" s="1">
        <f t="shared" si="238"/>
        <v>0</v>
      </c>
      <c r="X217" s="1">
        <f t="shared" si="239"/>
        <v>0</v>
      </c>
      <c r="Y217" s="1">
        <f t="shared" si="240"/>
        <v>0</v>
      </c>
      <c r="Z217" s="1">
        <f t="shared" si="241"/>
        <v>3.81</v>
      </c>
      <c r="AA217" s="1">
        <f t="shared" si="242"/>
        <v>3.525</v>
      </c>
      <c r="AB217" s="1">
        <f t="shared" si="243"/>
        <v>0</v>
      </c>
      <c r="AC217" s="1">
        <f t="shared" si="244"/>
        <v>0</v>
      </c>
      <c r="AD217" s="1">
        <f t="shared" si="245"/>
        <v>9.045</v>
      </c>
      <c r="AE217" s="1">
        <f t="shared" si="246"/>
        <v>4.602</v>
      </c>
      <c r="AF217" s="1">
        <f t="shared" si="247"/>
        <v>2.856</v>
      </c>
      <c r="AG217" s="1">
        <f t="shared" si="248"/>
        <v>0</v>
      </c>
      <c r="AH217" s="1">
        <f t="shared" si="249"/>
        <v>1.302</v>
      </c>
      <c r="AI217" s="1">
        <f t="shared" si="250"/>
        <v>0</v>
      </c>
      <c r="AJ217" s="1">
        <f t="shared" si="251"/>
        <v>0</v>
      </c>
      <c r="AK217" s="1">
        <f t="shared" si="252"/>
        <v>0.507</v>
      </c>
      <c r="AL217" s="1">
        <f t="shared" si="253"/>
        <v>0</v>
      </c>
      <c r="AM217" s="1">
        <f t="shared" si="254"/>
        <v>0</v>
      </c>
      <c r="AN217" s="1">
        <f t="shared" si="255"/>
        <v>0</v>
      </c>
      <c r="AQ217" s="6">
        <v>2019</v>
      </c>
      <c r="AR217" s="6" t="s">
        <v>258</v>
      </c>
      <c r="AS217" s="6">
        <v>0.15</v>
      </c>
      <c r="AT217" s="6" t="s">
        <v>591</v>
      </c>
      <c r="AU217" s="6" t="s">
        <v>592</v>
      </c>
      <c r="AV217" t="str">
        <f t="shared" si="294"/>
        <v>MINBatMaterials_AL</v>
      </c>
      <c r="AW217">
        <f t="shared" si="295"/>
        <v>0</v>
      </c>
      <c r="AX217">
        <f t="shared" si="296"/>
        <v>3.18</v>
      </c>
      <c r="AY217">
        <f t="shared" si="297"/>
        <v>190.44</v>
      </c>
      <c r="AZ217">
        <f t="shared" si="298"/>
        <v>0</v>
      </c>
      <c r="BA217">
        <f t="shared" si="299"/>
        <v>0</v>
      </c>
      <c r="BB217">
        <f t="shared" si="300"/>
        <v>0</v>
      </c>
      <c r="BC217">
        <f t="shared" si="301"/>
        <v>116.38</v>
      </c>
      <c r="BD217">
        <f t="shared" si="302"/>
        <v>888.72</v>
      </c>
      <c r="BE217">
        <f t="shared" si="303"/>
        <v>0</v>
      </c>
      <c r="BF217">
        <f t="shared" si="304"/>
        <v>0</v>
      </c>
      <c r="BG217">
        <f t="shared" si="305"/>
        <v>0</v>
      </c>
      <c r="BH217">
        <f t="shared" si="306"/>
        <v>10.16</v>
      </c>
      <c r="BI217">
        <f t="shared" si="307"/>
        <v>9.1</v>
      </c>
      <c r="BJ217">
        <f t="shared" si="308"/>
        <v>0</v>
      </c>
      <c r="BK217">
        <f t="shared" si="309"/>
        <v>0</v>
      </c>
      <c r="BL217">
        <f t="shared" si="310"/>
        <v>80.4</v>
      </c>
      <c r="BM217">
        <f t="shared" si="311"/>
        <v>16.92</v>
      </c>
      <c r="BN217">
        <f t="shared" si="312"/>
        <v>0</v>
      </c>
      <c r="BO217">
        <f t="shared" si="313"/>
        <v>0</v>
      </c>
      <c r="BP217">
        <f t="shared" si="314"/>
        <v>0</v>
      </c>
      <c r="BQ217">
        <f t="shared" si="315"/>
        <v>25.4</v>
      </c>
      <c r="BR217">
        <f t="shared" si="316"/>
        <v>23.5</v>
      </c>
      <c r="BS217">
        <f t="shared" si="317"/>
        <v>0</v>
      </c>
      <c r="BT217">
        <f t="shared" si="318"/>
        <v>0</v>
      </c>
      <c r="BU217">
        <f t="shared" si="319"/>
        <v>60.3</v>
      </c>
      <c r="BV217">
        <f t="shared" si="320"/>
        <v>30.68</v>
      </c>
      <c r="BW217">
        <f t="shared" si="321"/>
        <v>19.04</v>
      </c>
      <c r="BX217">
        <f t="shared" si="322"/>
        <v>0</v>
      </c>
      <c r="BY217">
        <f t="shared" si="323"/>
        <v>8.68</v>
      </c>
      <c r="BZ217">
        <f t="shared" si="324"/>
        <v>0</v>
      </c>
      <c r="CA217">
        <f t="shared" si="325"/>
        <v>0</v>
      </c>
      <c r="CB217">
        <f t="shared" si="326"/>
        <v>3.38</v>
      </c>
      <c r="CC217">
        <f t="shared" si="327"/>
        <v>0</v>
      </c>
      <c r="CD217">
        <f t="shared" si="328"/>
        <v>0</v>
      </c>
      <c r="CE217">
        <f t="shared" si="329"/>
        <v>0</v>
      </c>
      <c r="CG217" s="6">
        <v>2019</v>
      </c>
      <c r="CH217" s="6" t="s">
        <v>258</v>
      </c>
      <c r="CI217" s="6">
        <v>0.15</v>
      </c>
      <c r="CJ217" s="6">
        <v>0.15</v>
      </c>
      <c r="CK217" s="6" t="s">
        <v>591</v>
      </c>
      <c r="CL217" s="6" t="s">
        <v>591</v>
      </c>
      <c r="CM217" s="6" t="s">
        <v>593</v>
      </c>
    </row>
    <row r="218" spans="4:91">
      <c r="D218">
        <f t="shared" si="293"/>
        <v>2024</v>
      </c>
      <c r="E218" t="s">
        <v>260</v>
      </c>
      <c r="F218" s="1">
        <f t="shared" si="222"/>
        <v>0</v>
      </c>
      <c r="G218" s="1">
        <f t="shared" si="223"/>
        <v>14.925</v>
      </c>
      <c r="H218" s="1">
        <f t="shared" si="224"/>
        <v>3</v>
      </c>
      <c r="I218" s="1">
        <f t="shared" si="225"/>
        <v>0</v>
      </c>
      <c r="J218" s="1">
        <f t="shared" si="226"/>
        <v>0</v>
      </c>
      <c r="K218" s="1">
        <f t="shared" si="227"/>
        <v>0</v>
      </c>
      <c r="L218" s="1">
        <f t="shared" si="228"/>
        <v>0</v>
      </c>
      <c r="M218" s="1">
        <f t="shared" si="221"/>
        <v>6.75</v>
      </c>
      <c r="N218" s="1">
        <f t="shared" si="229"/>
        <v>0</v>
      </c>
      <c r="O218" s="1">
        <f t="shared" si="230"/>
        <v>0</v>
      </c>
      <c r="P218" s="1">
        <f t="shared" si="231"/>
        <v>0</v>
      </c>
      <c r="Q218" s="1">
        <f t="shared" si="232"/>
        <v>0</v>
      </c>
      <c r="R218" s="1">
        <f t="shared" si="233"/>
        <v>0</v>
      </c>
      <c r="S218" s="1">
        <f t="shared" si="234"/>
        <v>0</v>
      </c>
      <c r="T218" s="1">
        <f t="shared" si="235"/>
        <v>0</v>
      </c>
      <c r="U218" s="1">
        <f t="shared" si="236"/>
        <v>0.1125</v>
      </c>
      <c r="V218" s="1">
        <f t="shared" si="237"/>
        <v>0</v>
      </c>
      <c r="W218" s="1">
        <f t="shared" si="238"/>
        <v>0</v>
      </c>
      <c r="X218" s="1">
        <f t="shared" si="239"/>
        <v>0</v>
      </c>
      <c r="Y218" s="1">
        <f t="shared" si="240"/>
        <v>29.625</v>
      </c>
      <c r="Z218" s="1">
        <f t="shared" si="241"/>
        <v>0</v>
      </c>
      <c r="AA218" s="1">
        <f t="shared" si="242"/>
        <v>8.4375</v>
      </c>
      <c r="AB218" s="1">
        <f t="shared" si="243"/>
        <v>0</v>
      </c>
      <c r="AC218" s="1">
        <f t="shared" si="244"/>
        <v>1.5375</v>
      </c>
      <c r="AD218" s="1">
        <f t="shared" si="245"/>
        <v>17.625</v>
      </c>
      <c r="AE218" s="1">
        <f t="shared" si="246"/>
        <v>3.4875</v>
      </c>
      <c r="AF218" s="1">
        <f t="shared" si="247"/>
        <v>0</v>
      </c>
      <c r="AG218" s="1">
        <f t="shared" si="248"/>
        <v>0</v>
      </c>
      <c r="AH218" s="1">
        <f t="shared" si="249"/>
        <v>0</v>
      </c>
      <c r="AI218" s="1">
        <f t="shared" si="250"/>
        <v>0</v>
      </c>
      <c r="AJ218" s="1">
        <f t="shared" si="251"/>
        <v>0</v>
      </c>
      <c r="AK218" s="1">
        <f t="shared" si="252"/>
        <v>0</v>
      </c>
      <c r="AL218" s="1">
        <f t="shared" si="253"/>
        <v>0</v>
      </c>
      <c r="AM218" s="1">
        <f t="shared" si="254"/>
        <v>0</v>
      </c>
      <c r="AN218" s="1">
        <f t="shared" si="255"/>
        <v>0</v>
      </c>
      <c r="AQ218" s="6">
        <v>2019</v>
      </c>
      <c r="AR218" s="6" t="s">
        <v>260</v>
      </c>
      <c r="AS218" s="6">
        <v>0.15</v>
      </c>
      <c r="AT218" s="6" t="s">
        <v>591</v>
      </c>
      <c r="AU218" s="6" t="s">
        <v>592</v>
      </c>
      <c r="AV218" t="str">
        <f t="shared" si="294"/>
        <v>MINBatMaterials_COP</v>
      </c>
      <c r="AW218">
        <f t="shared" si="295"/>
        <v>0</v>
      </c>
      <c r="AX218">
        <f t="shared" si="296"/>
        <v>99.5</v>
      </c>
      <c r="AY218">
        <f t="shared" si="297"/>
        <v>20</v>
      </c>
      <c r="AZ218">
        <f t="shared" si="298"/>
        <v>0</v>
      </c>
      <c r="BA218">
        <f t="shared" si="299"/>
        <v>0</v>
      </c>
      <c r="BB218">
        <f t="shared" si="300"/>
        <v>0</v>
      </c>
      <c r="BC218">
        <f t="shared" si="301"/>
        <v>0</v>
      </c>
      <c r="BD218">
        <f t="shared" si="302"/>
        <v>45</v>
      </c>
      <c r="BE218">
        <f t="shared" si="303"/>
        <v>0</v>
      </c>
      <c r="BF218">
        <f t="shared" si="304"/>
        <v>0</v>
      </c>
      <c r="BG218">
        <f t="shared" si="305"/>
        <v>0</v>
      </c>
      <c r="BH218">
        <f t="shared" si="306"/>
        <v>0</v>
      </c>
      <c r="BI218">
        <f t="shared" si="307"/>
        <v>0</v>
      </c>
      <c r="BJ218">
        <f t="shared" si="308"/>
        <v>0</v>
      </c>
      <c r="BK218">
        <f t="shared" si="309"/>
        <v>0</v>
      </c>
      <c r="BL218">
        <f t="shared" si="310"/>
        <v>0.75</v>
      </c>
      <c r="BM218">
        <f t="shared" si="311"/>
        <v>0</v>
      </c>
      <c r="BN218">
        <f t="shared" si="312"/>
        <v>0</v>
      </c>
      <c r="BO218">
        <f t="shared" si="313"/>
        <v>0</v>
      </c>
      <c r="BP218">
        <f t="shared" si="314"/>
        <v>197.5</v>
      </c>
      <c r="BQ218">
        <f t="shared" si="315"/>
        <v>0</v>
      </c>
      <c r="BR218">
        <f t="shared" si="316"/>
        <v>56.25</v>
      </c>
      <c r="BS218">
        <f t="shared" si="317"/>
        <v>0</v>
      </c>
      <c r="BT218">
        <f t="shared" si="318"/>
        <v>10.25</v>
      </c>
      <c r="BU218">
        <f t="shared" si="319"/>
        <v>117.5</v>
      </c>
      <c r="BV218">
        <f t="shared" si="320"/>
        <v>23.25</v>
      </c>
      <c r="BW218">
        <f t="shared" si="321"/>
        <v>0</v>
      </c>
      <c r="BX218">
        <f t="shared" si="322"/>
        <v>0</v>
      </c>
      <c r="BY218">
        <f t="shared" si="323"/>
        <v>0</v>
      </c>
      <c r="BZ218">
        <f t="shared" si="324"/>
        <v>0</v>
      </c>
      <c r="CA218">
        <f t="shared" si="325"/>
        <v>0</v>
      </c>
      <c r="CB218">
        <f t="shared" si="326"/>
        <v>0</v>
      </c>
      <c r="CC218">
        <f t="shared" si="327"/>
        <v>0</v>
      </c>
      <c r="CD218">
        <f t="shared" si="328"/>
        <v>0</v>
      </c>
      <c r="CE218">
        <f t="shared" si="329"/>
        <v>0</v>
      </c>
      <c r="CG218" s="6">
        <v>2019</v>
      </c>
      <c r="CH218" s="6" t="s">
        <v>260</v>
      </c>
      <c r="CI218" s="6">
        <v>0.15</v>
      </c>
      <c r="CJ218" s="6">
        <v>0.15</v>
      </c>
      <c r="CK218" s="6" t="s">
        <v>591</v>
      </c>
      <c r="CL218" s="6" t="s">
        <v>591</v>
      </c>
      <c r="CM218" s="6" t="s">
        <v>593</v>
      </c>
    </row>
    <row r="219" spans="4:91">
      <c r="D219">
        <f t="shared" si="293"/>
        <v>2024</v>
      </c>
      <c r="E219" t="s">
        <v>262</v>
      </c>
      <c r="F219" s="1">
        <f t="shared" si="222"/>
        <v>0</v>
      </c>
      <c r="G219" s="1">
        <f t="shared" si="223"/>
        <v>25.515</v>
      </c>
      <c r="H219" s="1">
        <f t="shared" si="224"/>
        <v>0</v>
      </c>
      <c r="I219" s="1">
        <f t="shared" si="225"/>
        <v>0.0675</v>
      </c>
      <c r="J219" s="1">
        <f t="shared" si="226"/>
        <v>0</v>
      </c>
      <c r="K219" s="1">
        <f t="shared" si="227"/>
        <v>0</v>
      </c>
      <c r="L219" s="1">
        <f t="shared" si="228"/>
        <v>9.18</v>
      </c>
      <c r="M219" s="1">
        <f t="shared" si="221"/>
        <v>171.45</v>
      </c>
      <c r="N219" s="1">
        <f t="shared" si="229"/>
        <v>0</v>
      </c>
      <c r="O219" s="1">
        <f t="shared" si="230"/>
        <v>0</v>
      </c>
      <c r="P219" s="1">
        <f t="shared" si="231"/>
        <v>0</v>
      </c>
      <c r="Q219" s="1">
        <f t="shared" si="232"/>
        <v>0.027</v>
      </c>
      <c r="R219" s="1">
        <f t="shared" si="233"/>
        <v>0</v>
      </c>
      <c r="S219" s="1">
        <f t="shared" si="234"/>
        <v>0</v>
      </c>
      <c r="T219" s="1">
        <f t="shared" si="235"/>
        <v>0</v>
      </c>
      <c r="U219" s="1">
        <f t="shared" si="236"/>
        <v>3.78</v>
      </c>
      <c r="V219" s="1">
        <f t="shared" si="237"/>
        <v>0</v>
      </c>
      <c r="W219" s="1">
        <f t="shared" si="238"/>
        <v>0</v>
      </c>
      <c r="X219" s="1">
        <f t="shared" si="239"/>
        <v>0</v>
      </c>
      <c r="Y219" s="1">
        <f t="shared" si="240"/>
        <v>0</v>
      </c>
      <c r="Z219" s="1">
        <f t="shared" si="241"/>
        <v>0</v>
      </c>
      <c r="AA219" s="1">
        <f t="shared" si="242"/>
        <v>2.8215</v>
      </c>
      <c r="AB219" s="1">
        <f t="shared" si="243"/>
        <v>0.945</v>
      </c>
      <c r="AC219" s="1">
        <f t="shared" si="244"/>
        <v>0</v>
      </c>
      <c r="AD219" s="1">
        <f t="shared" si="245"/>
        <v>3.0915</v>
      </c>
      <c r="AE219" s="1">
        <f t="shared" si="246"/>
        <v>2.7</v>
      </c>
      <c r="AF219" s="1">
        <f t="shared" si="247"/>
        <v>0</v>
      </c>
      <c r="AG219" s="1">
        <f t="shared" si="248"/>
        <v>0</v>
      </c>
      <c r="AH219" s="1">
        <f t="shared" si="249"/>
        <v>0</v>
      </c>
      <c r="AI219" s="1">
        <f t="shared" si="250"/>
        <v>0</v>
      </c>
      <c r="AJ219" s="1">
        <f t="shared" si="251"/>
        <v>0</v>
      </c>
      <c r="AK219" s="1">
        <f t="shared" si="252"/>
        <v>0.405</v>
      </c>
      <c r="AL219" s="1">
        <f t="shared" si="253"/>
        <v>0</v>
      </c>
      <c r="AM219" s="1">
        <f t="shared" si="254"/>
        <v>0.162</v>
      </c>
      <c r="AN219" s="1">
        <f t="shared" si="255"/>
        <v>0</v>
      </c>
      <c r="AQ219" s="6">
        <v>2019</v>
      </c>
      <c r="AR219" s="6" t="s">
        <v>262</v>
      </c>
      <c r="AS219" s="6">
        <v>0.15</v>
      </c>
      <c r="AT219" s="6" t="s">
        <v>591</v>
      </c>
      <c r="AU219" s="6" t="s">
        <v>592</v>
      </c>
      <c r="AV219" t="str">
        <f t="shared" si="294"/>
        <v>MINBatMaterials_GR</v>
      </c>
      <c r="AW219">
        <f t="shared" si="295"/>
        <v>0</v>
      </c>
      <c r="AX219">
        <f t="shared" si="296"/>
        <v>170.1</v>
      </c>
      <c r="AY219">
        <f t="shared" si="297"/>
        <v>0</v>
      </c>
      <c r="AZ219">
        <f t="shared" si="298"/>
        <v>0.45</v>
      </c>
      <c r="BA219">
        <f t="shared" si="299"/>
        <v>0</v>
      </c>
      <c r="BB219">
        <f t="shared" si="300"/>
        <v>0</v>
      </c>
      <c r="BC219">
        <f t="shared" si="301"/>
        <v>61.2</v>
      </c>
      <c r="BD219">
        <f t="shared" si="302"/>
        <v>1143</v>
      </c>
      <c r="BE219">
        <f t="shared" si="303"/>
        <v>0</v>
      </c>
      <c r="BF219">
        <f t="shared" si="304"/>
        <v>0</v>
      </c>
      <c r="BG219">
        <f t="shared" si="305"/>
        <v>0</v>
      </c>
      <c r="BH219">
        <f t="shared" si="306"/>
        <v>0.18</v>
      </c>
      <c r="BI219">
        <f t="shared" si="307"/>
        <v>0</v>
      </c>
      <c r="BJ219">
        <f t="shared" si="308"/>
        <v>0</v>
      </c>
      <c r="BK219">
        <f t="shared" si="309"/>
        <v>0</v>
      </c>
      <c r="BL219">
        <f t="shared" si="310"/>
        <v>25.2</v>
      </c>
      <c r="BM219">
        <f t="shared" si="311"/>
        <v>0</v>
      </c>
      <c r="BN219">
        <f t="shared" si="312"/>
        <v>0</v>
      </c>
      <c r="BO219">
        <f t="shared" si="313"/>
        <v>0</v>
      </c>
      <c r="BP219">
        <f t="shared" si="314"/>
        <v>0</v>
      </c>
      <c r="BQ219">
        <f t="shared" si="315"/>
        <v>0</v>
      </c>
      <c r="BR219">
        <f t="shared" si="316"/>
        <v>18.81</v>
      </c>
      <c r="BS219">
        <f t="shared" si="317"/>
        <v>6.3</v>
      </c>
      <c r="BT219">
        <f t="shared" si="318"/>
        <v>0</v>
      </c>
      <c r="BU219">
        <f t="shared" si="319"/>
        <v>20.61</v>
      </c>
      <c r="BV219">
        <f t="shared" si="320"/>
        <v>18</v>
      </c>
      <c r="BW219">
        <f t="shared" si="321"/>
        <v>0</v>
      </c>
      <c r="BX219">
        <f t="shared" si="322"/>
        <v>0</v>
      </c>
      <c r="BY219">
        <f t="shared" si="323"/>
        <v>0</v>
      </c>
      <c r="BZ219">
        <f t="shared" si="324"/>
        <v>0</v>
      </c>
      <c r="CA219">
        <f t="shared" si="325"/>
        <v>0</v>
      </c>
      <c r="CB219">
        <f t="shared" si="326"/>
        <v>2.7</v>
      </c>
      <c r="CC219">
        <f t="shared" si="327"/>
        <v>0</v>
      </c>
      <c r="CD219">
        <f t="shared" si="328"/>
        <v>1.08</v>
      </c>
      <c r="CE219">
        <f t="shared" si="329"/>
        <v>0</v>
      </c>
      <c r="CG219" s="6">
        <v>2019</v>
      </c>
      <c r="CH219" s="6" t="s">
        <v>262</v>
      </c>
      <c r="CI219" s="6">
        <v>0.15</v>
      </c>
      <c r="CJ219" s="6">
        <v>0.15</v>
      </c>
      <c r="CK219" s="6" t="s">
        <v>591</v>
      </c>
      <c r="CL219" s="6" t="s">
        <v>591</v>
      </c>
      <c r="CM219" s="6" t="s">
        <v>593</v>
      </c>
    </row>
    <row r="220" spans="4:91">
      <c r="D220">
        <v>2019</v>
      </c>
      <c r="E220" t="s">
        <v>68</v>
      </c>
      <c r="F220" s="1">
        <f t="shared" si="222"/>
        <v>0</v>
      </c>
      <c r="G220" s="1">
        <f t="shared" si="223"/>
        <v>0</v>
      </c>
      <c r="H220" s="1">
        <f t="shared" si="224"/>
        <v>0.001312</v>
      </c>
      <c r="I220" s="1">
        <f t="shared" si="225"/>
        <v>0.00328</v>
      </c>
      <c r="J220" s="1">
        <f t="shared" si="226"/>
        <v>0.001312</v>
      </c>
      <c r="K220" s="1">
        <f t="shared" si="227"/>
        <v>0.034112</v>
      </c>
      <c r="L220" s="1">
        <f t="shared" si="228"/>
        <v>0.00328</v>
      </c>
      <c r="M220" s="1">
        <f t="shared" si="221"/>
        <v>40.094064</v>
      </c>
      <c r="N220" s="1">
        <f t="shared" si="229"/>
        <v>0</v>
      </c>
      <c r="O220" s="1">
        <f t="shared" si="230"/>
        <v>0.00328</v>
      </c>
      <c r="P220" s="1">
        <f t="shared" si="231"/>
        <v>0.020664</v>
      </c>
      <c r="Q220" s="1">
        <f t="shared" si="232"/>
        <v>0.017056</v>
      </c>
      <c r="R220" s="1">
        <f t="shared" si="233"/>
        <v>0</v>
      </c>
      <c r="S220" s="1">
        <f t="shared" si="234"/>
        <v>0.00328</v>
      </c>
      <c r="T220" s="1">
        <f t="shared" si="235"/>
        <v>0</v>
      </c>
      <c r="U220" s="1">
        <f t="shared" si="236"/>
        <v>0.041</v>
      </c>
      <c r="V220" s="1">
        <f t="shared" si="237"/>
        <v>0</v>
      </c>
      <c r="W220" s="1">
        <f t="shared" si="238"/>
        <v>0.006888</v>
      </c>
      <c r="X220" s="1">
        <f t="shared" si="239"/>
        <v>0.00328</v>
      </c>
      <c r="Y220" s="1">
        <f t="shared" si="240"/>
        <v>0.015416</v>
      </c>
      <c r="Z220" s="1">
        <f t="shared" si="241"/>
        <v>0.001312</v>
      </c>
      <c r="AA220" s="1">
        <f t="shared" si="242"/>
        <v>0.048216</v>
      </c>
      <c r="AB220" s="1">
        <f t="shared" si="243"/>
        <v>0.006888</v>
      </c>
      <c r="AC220" s="1">
        <f t="shared" si="244"/>
        <v>0.018696</v>
      </c>
      <c r="AD220" s="1">
        <f t="shared" si="245"/>
        <v>0.020664</v>
      </c>
      <c r="AE220" s="1">
        <f t="shared" si="246"/>
        <v>0.00656</v>
      </c>
      <c r="AF220" s="1">
        <f t="shared" si="247"/>
        <v>0</v>
      </c>
      <c r="AG220" s="1">
        <f t="shared" si="248"/>
        <v>0</v>
      </c>
      <c r="AH220" s="1">
        <f t="shared" si="249"/>
        <v>0.010168</v>
      </c>
      <c r="AI220" s="1">
        <f t="shared" si="250"/>
        <v>0.020664</v>
      </c>
      <c r="AJ220" s="1">
        <f t="shared" si="251"/>
        <v>0.00328</v>
      </c>
      <c r="AK220" s="1">
        <f t="shared" si="252"/>
        <v>0.00328</v>
      </c>
      <c r="AL220" s="1">
        <f t="shared" si="253"/>
        <v>0.027552</v>
      </c>
      <c r="AM220" s="1">
        <f t="shared" si="254"/>
        <v>0</v>
      </c>
      <c r="AN220" s="1">
        <f t="shared" si="255"/>
        <v>0</v>
      </c>
      <c r="AQ220" s="6">
        <v>2019</v>
      </c>
      <c r="AR220" s="6" t="s">
        <v>68</v>
      </c>
      <c r="AS220" s="6">
        <v>0.328</v>
      </c>
      <c r="AT220" s="6" t="s">
        <v>568</v>
      </c>
      <c r="AU220" s="6" t="s">
        <v>594</v>
      </c>
      <c r="AV220" t="str">
        <f t="shared" si="294"/>
        <v>Tra_EV_Batt-LFP_virgin</v>
      </c>
      <c r="AW220">
        <f t="shared" si="295"/>
        <v>0</v>
      </c>
      <c r="AX220">
        <f t="shared" si="296"/>
        <v>0</v>
      </c>
      <c r="AY220">
        <f t="shared" si="297"/>
        <v>0.004</v>
      </c>
      <c r="AZ220">
        <f t="shared" si="298"/>
        <v>0.01</v>
      </c>
      <c r="BA220">
        <f t="shared" si="299"/>
        <v>0.004</v>
      </c>
      <c r="BB220">
        <f t="shared" si="300"/>
        <v>0.104</v>
      </c>
      <c r="BC220">
        <f t="shared" si="301"/>
        <v>0.01</v>
      </c>
      <c r="BD220">
        <f t="shared" si="302"/>
        <v>122.238</v>
      </c>
      <c r="BE220">
        <f t="shared" si="303"/>
        <v>0</v>
      </c>
      <c r="BF220">
        <f t="shared" si="304"/>
        <v>0.01</v>
      </c>
      <c r="BG220">
        <f t="shared" si="305"/>
        <v>0.063</v>
      </c>
      <c r="BH220">
        <f t="shared" si="306"/>
        <v>0.052</v>
      </c>
      <c r="BI220">
        <f t="shared" si="307"/>
        <v>0</v>
      </c>
      <c r="BJ220">
        <f t="shared" si="308"/>
        <v>0.01</v>
      </c>
      <c r="BK220">
        <f t="shared" si="309"/>
        <v>0</v>
      </c>
      <c r="BL220">
        <f t="shared" si="310"/>
        <v>0.125</v>
      </c>
      <c r="BM220">
        <f t="shared" si="311"/>
        <v>0</v>
      </c>
      <c r="BN220">
        <f t="shared" si="312"/>
        <v>0.021</v>
      </c>
      <c r="BO220">
        <f t="shared" si="313"/>
        <v>0.01</v>
      </c>
      <c r="BP220">
        <f t="shared" si="314"/>
        <v>0.047</v>
      </c>
      <c r="BQ220">
        <f t="shared" si="315"/>
        <v>0.004</v>
      </c>
      <c r="BR220">
        <f t="shared" si="316"/>
        <v>0.147</v>
      </c>
      <c r="BS220">
        <f t="shared" si="317"/>
        <v>0.021</v>
      </c>
      <c r="BT220">
        <f t="shared" si="318"/>
        <v>0.057</v>
      </c>
      <c r="BU220">
        <f t="shared" si="319"/>
        <v>0.063</v>
      </c>
      <c r="BV220">
        <f t="shared" si="320"/>
        <v>0.02</v>
      </c>
      <c r="BW220">
        <f t="shared" si="321"/>
        <v>0</v>
      </c>
      <c r="BX220">
        <f t="shared" si="322"/>
        <v>0</v>
      </c>
      <c r="BY220">
        <f t="shared" si="323"/>
        <v>0.031</v>
      </c>
      <c r="BZ220">
        <f t="shared" si="324"/>
        <v>0.063</v>
      </c>
      <c r="CA220">
        <f t="shared" si="325"/>
        <v>0.01</v>
      </c>
      <c r="CB220">
        <f t="shared" si="326"/>
        <v>0.01</v>
      </c>
      <c r="CC220">
        <f t="shared" si="327"/>
        <v>0.084</v>
      </c>
      <c r="CD220">
        <f t="shared" si="328"/>
        <v>0</v>
      </c>
      <c r="CE220">
        <f t="shared" si="329"/>
        <v>0</v>
      </c>
      <c r="CG220" s="6">
        <v>2019</v>
      </c>
      <c r="CH220" s="6" t="s">
        <v>68</v>
      </c>
      <c r="CI220" s="6">
        <v>0.328</v>
      </c>
      <c r="CJ220" s="6">
        <v>0.209</v>
      </c>
      <c r="CK220" s="6" t="s">
        <v>595</v>
      </c>
      <c r="CL220" s="6" t="s">
        <v>596</v>
      </c>
      <c r="CM220" s="6" t="s">
        <v>597</v>
      </c>
    </row>
    <row r="221" spans="4:91">
      <c r="D221">
        <f t="shared" si="293"/>
        <v>2019</v>
      </c>
      <c r="E221" t="s">
        <v>90</v>
      </c>
      <c r="F221" s="1">
        <f t="shared" si="222"/>
        <v>0.000984</v>
      </c>
      <c r="G221" s="1">
        <f t="shared" si="223"/>
        <v>0.000984</v>
      </c>
      <c r="H221" s="1">
        <f t="shared" si="224"/>
        <v>0.033456</v>
      </c>
      <c r="I221" s="1">
        <f t="shared" si="225"/>
        <v>0.112176</v>
      </c>
      <c r="J221" s="1">
        <f t="shared" si="226"/>
        <v>0.012792</v>
      </c>
      <c r="K221" s="1">
        <f t="shared" si="227"/>
        <v>0.512992</v>
      </c>
      <c r="L221" s="1">
        <f t="shared" si="228"/>
        <v>0.003936</v>
      </c>
      <c r="M221" s="1">
        <f t="shared" si="221"/>
        <v>6.90768</v>
      </c>
      <c r="N221" s="1">
        <f t="shared" si="229"/>
        <v>0.009184</v>
      </c>
      <c r="O221" s="1">
        <f t="shared" si="230"/>
        <v>0.014432</v>
      </c>
      <c r="P221" s="1">
        <f t="shared" si="231"/>
        <v>0.82656</v>
      </c>
      <c r="Q221" s="1">
        <f t="shared" si="232"/>
        <v>0.648456</v>
      </c>
      <c r="R221" s="1">
        <f t="shared" si="233"/>
        <v>0.001968</v>
      </c>
      <c r="S221" s="1">
        <f t="shared" si="234"/>
        <v>0.02788</v>
      </c>
      <c r="T221" s="1">
        <f t="shared" si="235"/>
        <v>0.041</v>
      </c>
      <c r="U221" s="1">
        <f t="shared" si="236"/>
        <v>0.02296</v>
      </c>
      <c r="V221" s="1">
        <f t="shared" si="237"/>
        <v>0.026896</v>
      </c>
      <c r="W221" s="1">
        <f t="shared" si="238"/>
        <v>0.083968</v>
      </c>
      <c r="X221" s="1">
        <f t="shared" si="239"/>
        <v>0.748824</v>
      </c>
      <c r="Y221" s="1">
        <f t="shared" si="240"/>
        <v>0.01476</v>
      </c>
      <c r="Z221" s="1">
        <f t="shared" si="241"/>
        <v>0.012792</v>
      </c>
      <c r="AA221" s="1">
        <f t="shared" si="242"/>
        <v>2.273368</v>
      </c>
      <c r="AB221" s="1">
        <f t="shared" si="243"/>
        <v>0.888224</v>
      </c>
      <c r="AC221" s="1">
        <f t="shared" si="244"/>
        <v>0.017384</v>
      </c>
      <c r="AD221" s="1">
        <f t="shared" si="245"/>
        <v>0.155472</v>
      </c>
      <c r="AE221" s="1">
        <f t="shared" si="246"/>
        <v>0.018368</v>
      </c>
      <c r="AF221" s="1">
        <f t="shared" si="247"/>
        <v>0.000656</v>
      </c>
      <c r="AG221" s="1">
        <f t="shared" si="248"/>
        <v>0.002952</v>
      </c>
      <c r="AH221" s="1">
        <f t="shared" si="249"/>
        <v>0.171544</v>
      </c>
      <c r="AI221" s="1">
        <f t="shared" si="250"/>
        <v>0.29192</v>
      </c>
      <c r="AJ221" s="1">
        <f t="shared" si="251"/>
        <v>0.110536</v>
      </c>
      <c r="AK221" s="1">
        <f t="shared" si="252"/>
        <v>0.003936</v>
      </c>
      <c r="AL221" s="1">
        <f t="shared" si="253"/>
        <v>0.521192</v>
      </c>
      <c r="AM221" s="1">
        <f t="shared" si="254"/>
        <v>0.036736</v>
      </c>
      <c r="AN221" s="1">
        <f t="shared" si="255"/>
        <v>0.00164</v>
      </c>
      <c r="AQ221" s="6">
        <v>2019</v>
      </c>
      <c r="AR221" s="6" t="s">
        <v>90</v>
      </c>
      <c r="AS221" s="6">
        <v>0.328</v>
      </c>
      <c r="AT221" s="6" t="s">
        <v>568</v>
      </c>
      <c r="AU221" s="6" t="s">
        <v>594</v>
      </c>
      <c r="AV221" t="str">
        <f t="shared" si="294"/>
        <v>Tra_EV_Batt-NMC622_virgin</v>
      </c>
      <c r="AW221">
        <f t="shared" si="295"/>
        <v>0.003</v>
      </c>
      <c r="AX221">
        <f t="shared" si="296"/>
        <v>0.003</v>
      </c>
      <c r="AY221">
        <f t="shared" si="297"/>
        <v>0.102</v>
      </c>
      <c r="AZ221">
        <f t="shared" si="298"/>
        <v>0.342</v>
      </c>
      <c r="BA221">
        <f t="shared" si="299"/>
        <v>0.039</v>
      </c>
      <c r="BB221">
        <f t="shared" si="300"/>
        <v>1.564</v>
      </c>
      <c r="BC221">
        <f t="shared" si="301"/>
        <v>0.012</v>
      </c>
      <c r="BD221">
        <f t="shared" si="302"/>
        <v>21.06</v>
      </c>
      <c r="BE221">
        <f t="shared" si="303"/>
        <v>0.028</v>
      </c>
      <c r="BF221">
        <f t="shared" si="304"/>
        <v>0.044</v>
      </c>
      <c r="BG221">
        <f t="shared" si="305"/>
        <v>2.52</v>
      </c>
      <c r="BH221">
        <f t="shared" si="306"/>
        <v>1.977</v>
      </c>
      <c r="BI221">
        <f t="shared" si="307"/>
        <v>0.006</v>
      </c>
      <c r="BJ221">
        <f t="shared" si="308"/>
        <v>0.085</v>
      </c>
      <c r="BK221">
        <f t="shared" si="309"/>
        <v>0.125</v>
      </c>
      <c r="BL221">
        <f t="shared" si="310"/>
        <v>0.07</v>
      </c>
      <c r="BM221">
        <f t="shared" si="311"/>
        <v>0.082</v>
      </c>
      <c r="BN221">
        <f t="shared" si="312"/>
        <v>0.256</v>
      </c>
      <c r="BO221">
        <f t="shared" si="313"/>
        <v>2.283</v>
      </c>
      <c r="BP221">
        <f t="shared" si="314"/>
        <v>0.045</v>
      </c>
      <c r="BQ221">
        <f t="shared" si="315"/>
        <v>0.039</v>
      </c>
      <c r="BR221">
        <f t="shared" si="316"/>
        <v>6.931</v>
      </c>
      <c r="BS221">
        <f t="shared" si="317"/>
        <v>2.708</v>
      </c>
      <c r="BT221">
        <f t="shared" si="318"/>
        <v>0.053</v>
      </c>
      <c r="BU221">
        <f t="shared" si="319"/>
        <v>0.474</v>
      </c>
      <c r="BV221">
        <f t="shared" si="320"/>
        <v>0.056</v>
      </c>
      <c r="BW221">
        <f t="shared" si="321"/>
        <v>0.002</v>
      </c>
      <c r="BX221">
        <f t="shared" si="322"/>
        <v>0.009</v>
      </c>
      <c r="BY221">
        <f t="shared" si="323"/>
        <v>0.523</v>
      </c>
      <c r="BZ221">
        <f t="shared" si="324"/>
        <v>0.89</v>
      </c>
      <c r="CA221">
        <f t="shared" si="325"/>
        <v>0.337</v>
      </c>
      <c r="CB221">
        <f t="shared" si="326"/>
        <v>0.012</v>
      </c>
      <c r="CC221">
        <f t="shared" si="327"/>
        <v>1.589</v>
      </c>
      <c r="CD221">
        <f t="shared" si="328"/>
        <v>0.112</v>
      </c>
      <c r="CE221">
        <f t="shared" si="329"/>
        <v>0.005</v>
      </c>
      <c r="CG221" s="6">
        <v>2019</v>
      </c>
      <c r="CH221" s="6" t="s">
        <v>90</v>
      </c>
      <c r="CI221" s="6">
        <v>0.328</v>
      </c>
      <c r="CJ221" s="6">
        <v>0.209</v>
      </c>
      <c r="CK221" s="6" t="s">
        <v>595</v>
      </c>
      <c r="CL221" s="6" t="s">
        <v>596</v>
      </c>
      <c r="CM221" s="6" t="s">
        <v>597</v>
      </c>
    </row>
    <row r="222" spans="4:91">
      <c r="D222">
        <f t="shared" si="293"/>
        <v>2019</v>
      </c>
      <c r="E222" t="s">
        <v>94</v>
      </c>
      <c r="F222" s="1">
        <f t="shared" si="222"/>
        <v>0.000984</v>
      </c>
      <c r="G222" s="1">
        <f t="shared" si="223"/>
        <v>0.000984</v>
      </c>
      <c r="H222" s="1">
        <f t="shared" si="224"/>
        <v>0.02788</v>
      </c>
      <c r="I222" s="1">
        <f t="shared" si="225"/>
        <v>0.091512</v>
      </c>
      <c r="J222" s="1">
        <f t="shared" si="226"/>
        <v>0.010824</v>
      </c>
      <c r="K222" s="1">
        <f t="shared" si="227"/>
        <v>0.422136</v>
      </c>
      <c r="L222" s="1">
        <f t="shared" si="228"/>
        <v>0.00328</v>
      </c>
      <c r="M222" s="1">
        <f t="shared" si="221"/>
        <v>14.953192</v>
      </c>
      <c r="N222" s="1">
        <f t="shared" si="229"/>
        <v>0.007872</v>
      </c>
      <c r="O222" s="1">
        <f t="shared" si="230"/>
        <v>0.01148</v>
      </c>
      <c r="P222" s="1">
        <f t="shared" si="231"/>
        <v>0.626808</v>
      </c>
      <c r="Q222" s="1">
        <f t="shared" si="232"/>
        <v>0.515944</v>
      </c>
      <c r="R222" s="1">
        <f t="shared" si="233"/>
        <v>0.00164</v>
      </c>
      <c r="S222" s="1">
        <f t="shared" si="234"/>
        <v>0.022632</v>
      </c>
      <c r="T222" s="1">
        <f t="shared" si="235"/>
        <v>0.034112</v>
      </c>
      <c r="U222" s="1">
        <f t="shared" si="236"/>
        <v>0.002296</v>
      </c>
      <c r="V222" s="1">
        <f t="shared" si="237"/>
        <v>0.021976</v>
      </c>
      <c r="W222" s="1">
        <f t="shared" si="238"/>
        <v>0.066584</v>
      </c>
      <c r="X222" s="1">
        <f t="shared" si="239"/>
        <v>0.138416</v>
      </c>
      <c r="Y222" s="1">
        <f t="shared" si="240"/>
        <v>0.012792</v>
      </c>
      <c r="Z222" s="1">
        <f t="shared" si="241"/>
        <v>0.010824</v>
      </c>
      <c r="AA222" s="1">
        <f t="shared" si="242"/>
        <v>1.591456</v>
      </c>
      <c r="AB222" s="1">
        <f t="shared" si="243"/>
        <v>0.531688</v>
      </c>
      <c r="AC222" s="1">
        <f t="shared" si="244"/>
        <v>0.015088</v>
      </c>
      <c r="AD222" s="1">
        <f t="shared" si="245"/>
        <v>0.505776</v>
      </c>
      <c r="AE222" s="1">
        <f t="shared" si="246"/>
        <v>0.015744</v>
      </c>
      <c r="AF222" s="1">
        <f t="shared" si="247"/>
        <v>0.000328</v>
      </c>
      <c r="AG222" s="1">
        <f t="shared" si="248"/>
        <v>0.002296</v>
      </c>
      <c r="AH222" s="1">
        <f t="shared" si="249"/>
        <v>0.139072</v>
      </c>
      <c r="AI222" s="1">
        <f t="shared" si="250"/>
        <v>0.237144</v>
      </c>
      <c r="AJ222" s="1">
        <f t="shared" si="251"/>
        <v>0.0902</v>
      </c>
      <c r="AK222" s="1">
        <f t="shared" si="252"/>
        <v>0.003608</v>
      </c>
      <c r="AL222" s="1">
        <f t="shared" si="253"/>
        <v>0.424104</v>
      </c>
      <c r="AM222" s="1">
        <f t="shared" si="254"/>
        <v>0.006232</v>
      </c>
      <c r="AN222" s="1">
        <f t="shared" si="255"/>
        <v>0.001312</v>
      </c>
      <c r="AQ222" s="6">
        <v>2019</v>
      </c>
      <c r="AR222" s="6" t="s">
        <v>94</v>
      </c>
      <c r="AS222" s="6">
        <v>0.328</v>
      </c>
      <c r="AT222" s="6" t="s">
        <v>568</v>
      </c>
      <c r="AU222" s="6" t="s">
        <v>594</v>
      </c>
      <c r="AV222" t="str">
        <f t="shared" si="294"/>
        <v>Tra_EV_Batt-NMC811_virgin</v>
      </c>
      <c r="AW222">
        <f t="shared" si="295"/>
        <v>0.003</v>
      </c>
      <c r="AX222">
        <f t="shared" si="296"/>
        <v>0.003</v>
      </c>
      <c r="AY222">
        <f t="shared" si="297"/>
        <v>0.085</v>
      </c>
      <c r="AZ222">
        <f t="shared" si="298"/>
        <v>0.279</v>
      </c>
      <c r="BA222">
        <f t="shared" si="299"/>
        <v>0.033</v>
      </c>
      <c r="BB222">
        <f t="shared" si="300"/>
        <v>1.287</v>
      </c>
      <c r="BC222">
        <f t="shared" si="301"/>
        <v>0.01</v>
      </c>
      <c r="BD222">
        <f t="shared" si="302"/>
        <v>45.589</v>
      </c>
      <c r="BE222">
        <f t="shared" si="303"/>
        <v>0.024</v>
      </c>
      <c r="BF222">
        <f t="shared" si="304"/>
        <v>0.035</v>
      </c>
      <c r="BG222">
        <f t="shared" si="305"/>
        <v>1.911</v>
      </c>
      <c r="BH222">
        <f t="shared" si="306"/>
        <v>1.573</v>
      </c>
      <c r="BI222">
        <f t="shared" si="307"/>
        <v>0.005</v>
      </c>
      <c r="BJ222">
        <f t="shared" si="308"/>
        <v>0.069</v>
      </c>
      <c r="BK222">
        <f t="shared" si="309"/>
        <v>0.104</v>
      </c>
      <c r="BL222">
        <f t="shared" si="310"/>
        <v>0.007</v>
      </c>
      <c r="BM222">
        <f t="shared" si="311"/>
        <v>0.067</v>
      </c>
      <c r="BN222">
        <f t="shared" si="312"/>
        <v>0.203</v>
      </c>
      <c r="BO222">
        <f t="shared" si="313"/>
        <v>0.422</v>
      </c>
      <c r="BP222">
        <f t="shared" si="314"/>
        <v>0.039</v>
      </c>
      <c r="BQ222">
        <f t="shared" si="315"/>
        <v>0.033</v>
      </c>
      <c r="BR222">
        <f t="shared" si="316"/>
        <v>4.852</v>
      </c>
      <c r="BS222">
        <f t="shared" si="317"/>
        <v>1.621</v>
      </c>
      <c r="BT222">
        <f t="shared" si="318"/>
        <v>0.046</v>
      </c>
      <c r="BU222">
        <f t="shared" si="319"/>
        <v>1.542</v>
      </c>
      <c r="BV222">
        <f t="shared" si="320"/>
        <v>0.048</v>
      </c>
      <c r="BW222">
        <f t="shared" si="321"/>
        <v>0.001</v>
      </c>
      <c r="BX222">
        <f t="shared" si="322"/>
        <v>0.007</v>
      </c>
      <c r="BY222">
        <f t="shared" si="323"/>
        <v>0.424</v>
      </c>
      <c r="BZ222">
        <f t="shared" si="324"/>
        <v>0.723</v>
      </c>
      <c r="CA222">
        <f t="shared" si="325"/>
        <v>0.275</v>
      </c>
      <c r="CB222">
        <f t="shared" si="326"/>
        <v>0.011</v>
      </c>
      <c r="CC222">
        <f t="shared" si="327"/>
        <v>1.293</v>
      </c>
      <c r="CD222">
        <f t="shared" si="328"/>
        <v>0.019</v>
      </c>
      <c r="CE222">
        <f t="shared" si="329"/>
        <v>0.004</v>
      </c>
      <c r="CG222" s="6">
        <v>2019</v>
      </c>
      <c r="CH222" s="6" t="s">
        <v>94</v>
      </c>
      <c r="CI222" s="6">
        <v>0.328</v>
      </c>
      <c r="CJ222" s="6">
        <v>0.209</v>
      </c>
      <c r="CK222" s="6" t="s">
        <v>595</v>
      </c>
      <c r="CL222" s="6" t="s">
        <v>596</v>
      </c>
      <c r="CM222" s="6" t="s">
        <v>597</v>
      </c>
    </row>
    <row r="223" spans="4:91">
      <c r="D223">
        <f t="shared" si="293"/>
        <v>2019</v>
      </c>
      <c r="E223" t="s">
        <v>86</v>
      </c>
      <c r="F223" s="1">
        <f t="shared" si="222"/>
        <v>0.000328</v>
      </c>
      <c r="G223" s="1">
        <f t="shared" si="223"/>
        <v>0.000328</v>
      </c>
      <c r="H223" s="1">
        <f t="shared" si="224"/>
        <v>0.005576</v>
      </c>
      <c r="I223" s="1">
        <f t="shared" si="225"/>
        <v>0.017384</v>
      </c>
      <c r="J223" s="1">
        <f t="shared" si="226"/>
        <v>0.001968</v>
      </c>
      <c r="K223" s="1">
        <f t="shared" si="227"/>
        <v>0.080032</v>
      </c>
      <c r="L223" s="1">
        <f t="shared" si="228"/>
        <v>0.000328</v>
      </c>
      <c r="M223" s="1">
        <f t="shared" si="221"/>
        <v>3.080248</v>
      </c>
      <c r="N223" s="1">
        <f t="shared" si="229"/>
        <v>0.00164</v>
      </c>
      <c r="O223" s="1">
        <f t="shared" si="230"/>
        <v>0.001968</v>
      </c>
      <c r="P223" s="1">
        <f t="shared" si="231"/>
        <v>0.10496</v>
      </c>
      <c r="Q223" s="1">
        <f t="shared" si="232"/>
        <v>0.094464</v>
      </c>
      <c r="R223" s="1">
        <f t="shared" si="233"/>
        <v>0.000328</v>
      </c>
      <c r="S223" s="1">
        <f t="shared" si="234"/>
        <v>0.003936</v>
      </c>
      <c r="T223" s="1">
        <f t="shared" si="235"/>
        <v>0.006888</v>
      </c>
      <c r="U223" s="1">
        <f t="shared" si="236"/>
        <v>0</v>
      </c>
      <c r="V223" s="1">
        <f t="shared" si="237"/>
        <v>0.004264</v>
      </c>
      <c r="W223" s="1">
        <f t="shared" si="238"/>
        <v>0.011808</v>
      </c>
      <c r="X223" s="1">
        <f t="shared" si="239"/>
        <v>0</v>
      </c>
      <c r="Y223" s="1">
        <f t="shared" si="240"/>
        <v>0.001312</v>
      </c>
      <c r="Z223" s="1">
        <f t="shared" si="241"/>
        <v>0.001968</v>
      </c>
      <c r="AA223" s="1">
        <f t="shared" si="242"/>
        <v>1.563248</v>
      </c>
      <c r="AB223" s="1">
        <f t="shared" si="243"/>
        <v>0.172856</v>
      </c>
      <c r="AC223" s="1">
        <f t="shared" si="244"/>
        <v>0.00164</v>
      </c>
      <c r="AD223" s="1">
        <f t="shared" si="245"/>
        <v>0.353912</v>
      </c>
      <c r="AE223" s="1">
        <f t="shared" si="246"/>
        <v>0.002624</v>
      </c>
      <c r="AF223" s="1">
        <f t="shared" si="247"/>
        <v>0</v>
      </c>
      <c r="AG223" s="1">
        <f t="shared" si="248"/>
        <v>0.000328</v>
      </c>
      <c r="AH223" s="1">
        <f t="shared" si="249"/>
        <v>0.025912</v>
      </c>
      <c r="AI223" s="1">
        <f t="shared" si="250"/>
        <v>0.043952</v>
      </c>
      <c r="AJ223" s="1">
        <f t="shared" si="251"/>
        <v>0.017056</v>
      </c>
      <c r="AK223" s="1">
        <f t="shared" si="252"/>
        <v>0.000656</v>
      </c>
      <c r="AL223" s="1">
        <f t="shared" si="253"/>
        <v>0.079704</v>
      </c>
      <c r="AM223" s="1">
        <f t="shared" si="254"/>
        <v>0</v>
      </c>
      <c r="AN223" s="1">
        <f t="shared" si="255"/>
        <v>0.000328</v>
      </c>
      <c r="AQ223" s="6">
        <v>2019</v>
      </c>
      <c r="AR223" s="6" t="s">
        <v>86</v>
      </c>
      <c r="AS223" s="6">
        <v>0.328</v>
      </c>
      <c r="AT223" s="6" t="s">
        <v>568</v>
      </c>
      <c r="AU223" s="6" t="s">
        <v>594</v>
      </c>
      <c r="AV223" t="str">
        <f t="shared" si="294"/>
        <v>Tra_EV_Batt-NMC532_virgin</v>
      </c>
      <c r="AW223">
        <f t="shared" si="295"/>
        <v>0.001</v>
      </c>
      <c r="AX223">
        <f t="shared" si="296"/>
        <v>0.001</v>
      </c>
      <c r="AY223">
        <f t="shared" si="297"/>
        <v>0.017</v>
      </c>
      <c r="AZ223">
        <f t="shared" si="298"/>
        <v>0.053</v>
      </c>
      <c r="BA223">
        <f t="shared" si="299"/>
        <v>0.006</v>
      </c>
      <c r="BB223">
        <f t="shared" si="300"/>
        <v>0.244</v>
      </c>
      <c r="BC223">
        <f t="shared" si="301"/>
        <v>0.001</v>
      </c>
      <c r="BD223">
        <f t="shared" si="302"/>
        <v>9.391</v>
      </c>
      <c r="BE223">
        <f t="shared" si="303"/>
        <v>0.005</v>
      </c>
      <c r="BF223">
        <f t="shared" si="304"/>
        <v>0.006</v>
      </c>
      <c r="BG223">
        <f t="shared" si="305"/>
        <v>0.32</v>
      </c>
      <c r="BH223">
        <f t="shared" si="306"/>
        <v>0.288</v>
      </c>
      <c r="BI223">
        <f t="shared" si="307"/>
        <v>0.001</v>
      </c>
      <c r="BJ223">
        <f t="shared" si="308"/>
        <v>0.012</v>
      </c>
      <c r="BK223">
        <f t="shared" si="309"/>
        <v>0.021</v>
      </c>
      <c r="BL223">
        <f t="shared" si="310"/>
        <v>0</v>
      </c>
      <c r="BM223">
        <f t="shared" si="311"/>
        <v>0.013</v>
      </c>
      <c r="BN223">
        <f t="shared" si="312"/>
        <v>0.036</v>
      </c>
      <c r="BO223">
        <f t="shared" si="313"/>
        <v>0</v>
      </c>
      <c r="BP223">
        <f t="shared" si="314"/>
        <v>0.004</v>
      </c>
      <c r="BQ223">
        <f t="shared" si="315"/>
        <v>0.006</v>
      </c>
      <c r="BR223">
        <f t="shared" si="316"/>
        <v>4.766</v>
      </c>
      <c r="BS223">
        <f t="shared" si="317"/>
        <v>0.527</v>
      </c>
      <c r="BT223">
        <f t="shared" si="318"/>
        <v>0.005</v>
      </c>
      <c r="BU223">
        <f t="shared" si="319"/>
        <v>1.079</v>
      </c>
      <c r="BV223">
        <f t="shared" si="320"/>
        <v>0.008</v>
      </c>
      <c r="BW223">
        <f t="shared" si="321"/>
        <v>0</v>
      </c>
      <c r="BX223">
        <f t="shared" si="322"/>
        <v>0.001</v>
      </c>
      <c r="BY223">
        <f t="shared" si="323"/>
        <v>0.079</v>
      </c>
      <c r="BZ223">
        <f t="shared" si="324"/>
        <v>0.134</v>
      </c>
      <c r="CA223">
        <f t="shared" si="325"/>
        <v>0.052</v>
      </c>
      <c r="CB223">
        <f t="shared" si="326"/>
        <v>0.002</v>
      </c>
      <c r="CC223">
        <f t="shared" si="327"/>
        <v>0.243</v>
      </c>
      <c r="CD223">
        <f t="shared" si="328"/>
        <v>0</v>
      </c>
      <c r="CE223">
        <f t="shared" si="329"/>
        <v>0.001</v>
      </c>
      <c r="CG223" s="6">
        <v>2019</v>
      </c>
      <c r="CH223" s="6" t="s">
        <v>86</v>
      </c>
      <c r="CI223" s="6">
        <v>0.328</v>
      </c>
      <c r="CJ223" s="6">
        <v>0.209</v>
      </c>
      <c r="CK223" s="6" t="s">
        <v>595</v>
      </c>
      <c r="CL223" s="6" t="s">
        <v>596</v>
      </c>
      <c r="CM223" s="6" t="s">
        <v>597</v>
      </c>
    </row>
    <row r="224" spans="4:91">
      <c r="D224">
        <f t="shared" si="293"/>
        <v>2019</v>
      </c>
      <c r="E224" t="s">
        <v>77</v>
      </c>
      <c r="F224" s="1">
        <f t="shared" si="222"/>
        <v>0</v>
      </c>
      <c r="G224" s="1">
        <f t="shared" si="223"/>
        <v>0</v>
      </c>
      <c r="H224" s="1">
        <f t="shared" si="224"/>
        <v>0</v>
      </c>
      <c r="I224" s="1">
        <f t="shared" si="225"/>
        <v>0</v>
      </c>
      <c r="J224" s="1">
        <f t="shared" si="226"/>
        <v>0</v>
      </c>
      <c r="K224" s="1">
        <f t="shared" si="227"/>
        <v>0</v>
      </c>
      <c r="L224" s="1">
        <f t="shared" si="228"/>
        <v>0</v>
      </c>
      <c r="M224" s="1">
        <f t="shared" si="221"/>
        <v>0.557928</v>
      </c>
      <c r="N224" s="1">
        <f t="shared" si="229"/>
        <v>0</v>
      </c>
      <c r="O224" s="1">
        <f t="shared" si="230"/>
        <v>0</v>
      </c>
      <c r="P224" s="1">
        <f t="shared" si="231"/>
        <v>0</v>
      </c>
      <c r="Q224" s="1">
        <f t="shared" si="232"/>
        <v>0</v>
      </c>
      <c r="R224" s="1">
        <f t="shared" si="233"/>
        <v>0</v>
      </c>
      <c r="S224" s="1">
        <f t="shared" si="234"/>
        <v>0</v>
      </c>
      <c r="T224" s="1">
        <f t="shared" si="235"/>
        <v>0</v>
      </c>
      <c r="U224" s="1">
        <f t="shared" si="236"/>
        <v>0</v>
      </c>
      <c r="V224" s="1">
        <f t="shared" si="237"/>
        <v>0</v>
      </c>
      <c r="W224" s="1">
        <f t="shared" si="238"/>
        <v>0</v>
      </c>
      <c r="X224" s="1">
        <f t="shared" si="239"/>
        <v>0</v>
      </c>
      <c r="Y224" s="1">
        <f t="shared" si="240"/>
        <v>0</v>
      </c>
      <c r="Z224" s="1">
        <f t="shared" si="241"/>
        <v>0</v>
      </c>
      <c r="AA224" s="1">
        <f t="shared" si="242"/>
        <v>0</v>
      </c>
      <c r="AB224" s="1">
        <f t="shared" si="243"/>
        <v>0</v>
      </c>
      <c r="AC224" s="1">
        <f t="shared" si="244"/>
        <v>0</v>
      </c>
      <c r="AD224" s="1">
        <f t="shared" si="245"/>
        <v>0</v>
      </c>
      <c r="AE224" s="1">
        <f t="shared" si="246"/>
        <v>0</v>
      </c>
      <c r="AF224" s="1">
        <f t="shared" si="247"/>
        <v>0</v>
      </c>
      <c r="AG224" s="1">
        <f t="shared" si="248"/>
        <v>0</v>
      </c>
      <c r="AH224" s="1">
        <f t="shared" si="249"/>
        <v>0</v>
      </c>
      <c r="AI224" s="1">
        <f t="shared" si="250"/>
        <v>0</v>
      </c>
      <c r="AJ224" s="1">
        <f t="shared" si="251"/>
        <v>0</v>
      </c>
      <c r="AK224" s="1">
        <f t="shared" si="252"/>
        <v>0</v>
      </c>
      <c r="AL224" s="1">
        <f t="shared" si="253"/>
        <v>0</v>
      </c>
      <c r="AM224" s="1">
        <f t="shared" si="254"/>
        <v>0</v>
      </c>
      <c r="AN224" s="1">
        <f t="shared" si="255"/>
        <v>0</v>
      </c>
      <c r="AQ224" s="6">
        <v>2019</v>
      </c>
      <c r="AR224" s="6" t="s">
        <v>77</v>
      </c>
      <c r="AS224" s="6">
        <v>0.328</v>
      </c>
      <c r="AT224" s="6" t="s">
        <v>568</v>
      </c>
      <c r="AU224" s="6" t="s">
        <v>594</v>
      </c>
      <c r="AV224" t="str">
        <f t="shared" si="294"/>
        <v>Tra_EV_Batt-NCA_virgin</v>
      </c>
      <c r="AW224">
        <f t="shared" si="295"/>
        <v>0</v>
      </c>
      <c r="AX224">
        <f t="shared" si="296"/>
        <v>0</v>
      </c>
      <c r="AY224">
        <f t="shared" si="297"/>
        <v>0</v>
      </c>
      <c r="AZ224">
        <f t="shared" si="298"/>
        <v>0</v>
      </c>
      <c r="BA224">
        <f t="shared" si="299"/>
        <v>0</v>
      </c>
      <c r="BB224">
        <f t="shared" si="300"/>
        <v>0</v>
      </c>
      <c r="BC224">
        <f t="shared" si="301"/>
        <v>0</v>
      </c>
      <c r="BD224">
        <f t="shared" si="302"/>
        <v>1.701</v>
      </c>
      <c r="BE224">
        <f t="shared" si="303"/>
        <v>0</v>
      </c>
      <c r="BF224">
        <f t="shared" si="304"/>
        <v>0</v>
      </c>
      <c r="BG224">
        <f t="shared" si="305"/>
        <v>0</v>
      </c>
      <c r="BH224">
        <f t="shared" si="306"/>
        <v>0</v>
      </c>
      <c r="BI224">
        <f t="shared" si="307"/>
        <v>0</v>
      </c>
      <c r="BJ224">
        <f t="shared" si="308"/>
        <v>0</v>
      </c>
      <c r="BK224">
        <f t="shared" si="309"/>
        <v>0</v>
      </c>
      <c r="BL224">
        <f t="shared" si="310"/>
        <v>0</v>
      </c>
      <c r="BM224">
        <f t="shared" si="311"/>
        <v>0</v>
      </c>
      <c r="BN224">
        <f t="shared" si="312"/>
        <v>0</v>
      </c>
      <c r="BO224">
        <f t="shared" si="313"/>
        <v>0</v>
      </c>
      <c r="BP224">
        <f t="shared" si="314"/>
        <v>0</v>
      </c>
      <c r="BQ224">
        <f t="shared" si="315"/>
        <v>0</v>
      </c>
      <c r="BR224">
        <f t="shared" si="316"/>
        <v>0</v>
      </c>
      <c r="BS224">
        <f t="shared" si="317"/>
        <v>0</v>
      </c>
      <c r="BT224">
        <f t="shared" si="318"/>
        <v>0</v>
      </c>
      <c r="BU224">
        <f t="shared" si="319"/>
        <v>0</v>
      </c>
      <c r="BV224">
        <f t="shared" si="320"/>
        <v>0</v>
      </c>
      <c r="BW224">
        <f t="shared" si="321"/>
        <v>0</v>
      </c>
      <c r="BX224">
        <f t="shared" si="322"/>
        <v>0</v>
      </c>
      <c r="BY224">
        <f t="shared" si="323"/>
        <v>0</v>
      </c>
      <c r="BZ224">
        <f t="shared" si="324"/>
        <v>0</v>
      </c>
      <c r="CA224">
        <f t="shared" si="325"/>
        <v>0</v>
      </c>
      <c r="CB224">
        <f t="shared" si="326"/>
        <v>0</v>
      </c>
      <c r="CC224">
        <f t="shared" si="327"/>
        <v>0</v>
      </c>
      <c r="CD224">
        <f t="shared" si="328"/>
        <v>0</v>
      </c>
      <c r="CE224">
        <f t="shared" si="329"/>
        <v>0</v>
      </c>
      <c r="CG224" s="6">
        <v>2019</v>
      </c>
      <c r="CH224" s="6" t="s">
        <v>77</v>
      </c>
      <c r="CI224" s="6">
        <v>0.328</v>
      </c>
      <c r="CJ224" s="6">
        <v>0.209</v>
      </c>
      <c r="CK224" s="6" t="s">
        <v>595</v>
      </c>
      <c r="CL224" s="6" t="s">
        <v>596</v>
      </c>
      <c r="CM224" s="6" t="s">
        <v>597</v>
      </c>
    </row>
    <row r="225" spans="4:91">
      <c r="D225">
        <f t="shared" si="293"/>
        <v>2019</v>
      </c>
      <c r="E225" t="s">
        <v>73</v>
      </c>
      <c r="F225" s="1">
        <f t="shared" si="222"/>
        <v>0.000656</v>
      </c>
      <c r="G225" s="1">
        <f t="shared" si="223"/>
        <v>0.000656</v>
      </c>
      <c r="H225" s="1">
        <f t="shared" si="224"/>
        <v>0.021976</v>
      </c>
      <c r="I225" s="1">
        <f t="shared" si="225"/>
        <v>0.069536</v>
      </c>
      <c r="J225" s="1">
        <f t="shared" si="226"/>
        <v>0.0082</v>
      </c>
      <c r="K225" s="1">
        <f t="shared" si="227"/>
        <v>0.320128</v>
      </c>
      <c r="L225" s="1">
        <f t="shared" si="228"/>
        <v>0.001968</v>
      </c>
      <c r="M225" s="1">
        <f t="shared" si="221"/>
        <v>0.836728</v>
      </c>
      <c r="N225" s="1">
        <f t="shared" si="229"/>
        <v>0.006232</v>
      </c>
      <c r="O225" s="1">
        <f t="shared" si="230"/>
        <v>0.007216</v>
      </c>
      <c r="P225" s="1">
        <f t="shared" si="231"/>
        <v>0.420496</v>
      </c>
      <c r="Q225" s="1">
        <f t="shared" si="232"/>
        <v>0.377528</v>
      </c>
      <c r="R225" s="1">
        <f t="shared" si="233"/>
        <v>0.001312</v>
      </c>
      <c r="S225" s="1">
        <f t="shared" si="234"/>
        <v>0.0164</v>
      </c>
      <c r="T225" s="1">
        <f t="shared" si="235"/>
        <v>0.027552</v>
      </c>
      <c r="U225" s="1">
        <f t="shared" si="236"/>
        <v>0</v>
      </c>
      <c r="V225" s="1">
        <f t="shared" si="237"/>
        <v>0.017056</v>
      </c>
      <c r="W225" s="1">
        <f t="shared" si="238"/>
        <v>0.046904</v>
      </c>
      <c r="X225" s="1">
        <f t="shared" si="239"/>
        <v>0.236816</v>
      </c>
      <c r="Y225" s="1">
        <f t="shared" si="240"/>
        <v>0.005576</v>
      </c>
      <c r="Z225" s="1">
        <f t="shared" si="241"/>
        <v>0.0082</v>
      </c>
      <c r="AA225" s="1">
        <f t="shared" si="242"/>
        <v>14.516952</v>
      </c>
      <c r="AB225" s="1">
        <f t="shared" si="243"/>
        <v>1.209664</v>
      </c>
      <c r="AC225" s="1">
        <f t="shared" si="244"/>
        <v>0.006232</v>
      </c>
      <c r="AD225" s="1">
        <f t="shared" si="245"/>
        <v>0.353912</v>
      </c>
      <c r="AE225" s="1">
        <f t="shared" si="246"/>
        <v>0.010824</v>
      </c>
      <c r="AF225" s="1">
        <f t="shared" si="247"/>
        <v>0.000328</v>
      </c>
      <c r="AG225" s="1">
        <f t="shared" si="248"/>
        <v>0.001968</v>
      </c>
      <c r="AH225" s="1">
        <f t="shared" si="249"/>
        <v>0.10332</v>
      </c>
      <c r="AI225" s="1">
        <f t="shared" si="250"/>
        <v>0.17548</v>
      </c>
      <c r="AJ225" s="1">
        <f t="shared" si="251"/>
        <v>0.068224</v>
      </c>
      <c r="AK225" s="1">
        <f t="shared" si="252"/>
        <v>0.001968</v>
      </c>
      <c r="AL225" s="1">
        <f t="shared" si="253"/>
        <v>0.31816</v>
      </c>
      <c r="AM225" s="1">
        <f t="shared" si="254"/>
        <v>0.012136</v>
      </c>
      <c r="AN225" s="1">
        <f t="shared" si="255"/>
        <v>0.000984</v>
      </c>
      <c r="AQ225" s="6">
        <v>2019</v>
      </c>
      <c r="AR225" s="6" t="s">
        <v>73</v>
      </c>
      <c r="AS225" s="6">
        <v>0.328</v>
      </c>
      <c r="AT225" s="6" t="s">
        <v>568</v>
      </c>
      <c r="AU225" s="6" t="s">
        <v>594</v>
      </c>
      <c r="AV225" t="str">
        <f t="shared" si="294"/>
        <v>Tra_EV_Batt-LMO_virgin</v>
      </c>
      <c r="AW225">
        <f t="shared" si="295"/>
        <v>0.002</v>
      </c>
      <c r="AX225">
        <f t="shared" si="296"/>
        <v>0.002</v>
      </c>
      <c r="AY225">
        <f t="shared" si="297"/>
        <v>0.067</v>
      </c>
      <c r="AZ225">
        <f t="shared" si="298"/>
        <v>0.212</v>
      </c>
      <c r="BA225">
        <f t="shared" si="299"/>
        <v>0.025</v>
      </c>
      <c r="BB225">
        <f t="shared" si="300"/>
        <v>0.976</v>
      </c>
      <c r="BC225">
        <f t="shared" si="301"/>
        <v>0.006</v>
      </c>
      <c r="BD225">
        <f t="shared" si="302"/>
        <v>2.551</v>
      </c>
      <c r="BE225">
        <f t="shared" si="303"/>
        <v>0.019</v>
      </c>
      <c r="BF225">
        <f t="shared" si="304"/>
        <v>0.022</v>
      </c>
      <c r="BG225">
        <f t="shared" si="305"/>
        <v>1.282</v>
      </c>
      <c r="BH225">
        <f t="shared" si="306"/>
        <v>1.151</v>
      </c>
      <c r="BI225">
        <f t="shared" si="307"/>
        <v>0.004</v>
      </c>
      <c r="BJ225">
        <f t="shared" si="308"/>
        <v>0.05</v>
      </c>
      <c r="BK225">
        <f t="shared" si="309"/>
        <v>0.084</v>
      </c>
      <c r="BL225">
        <f t="shared" si="310"/>
        <v>0</v>
      </c>
      <c r="BM225">
        <f t="shared" si="311"/>
        <v>0.052</v>
      </c>
      <c r="BN225">
        <f t="shared" si="312"/>
        <v>0.143</v>
      </c>
      <c r="BO225">
        <f t="shared" si="313"/>
        <v>0.722</v>
      </c>
      <c r="BP225">
        <f t="shared" si="314"/>
        <v>0.017</v>
      </c>
      <c r="BQ225">
        <f t="shared" si="315"/>
        <v>0.025</v>
      </c>
      <c r="BR225">
        <f t="shared" si="316"/>
        <v>44.259</v>
      </c>
      <c r="BS225">
        <f t="shared" si="317"/>
        <v>3.688</v>
      </c>
      <c r="BT225">
        <f t="shared" si="318"/>
        <v>0.019</v>
      </c>
      <c r="BU225">
        <f t="shared" si="319"/>
        <v>1.079</v>
      </c>
      <c r="BV225">
        <f t="shared" si="320"/>
        <v>0.033</v>
      </c>
      <c r="BW225">
        <f t="shared" si="321"/>
        <v>0.001</v>
      </c>
      <c r="BX225">
        <f t="shared" si="322"/>
        <v>0.006</v>
      </c>
      <c r="BY225">
        <f t="shared" si="323"/>
        <v>0.315</v>
      </c>
      <c r="BZ225">
        <f t="shared" si="324"/>
        <v>0.535</v>
      </c>
      <c r="CA225">
        <f t="shared" si="325"/>
        <v>0.208</v>
      </c>
      <c r="CB225">
        <f t="shared" si="326"/>
        <v>0.006</v>
      </c>
      <c r="CC225">
        <f t="shared" si="327"/>
        <v>0.97</v>
      </c>
      <c r="CD225">
        <f t="shared" si="328"/>
        <v>0.037</v>
      </c>
      <c r="CE225">
        <f t="shared" si="329"/>
        <v>0.003</v>
      </c>
      <c r="CG225" s="6">
        <v>2019</v>
      </c>
      <c r="CH225" s="6" t="s">
        <v>73</v>
      </c>
      <c r="CI225" s="6">
        <v>0.328</v>
      </c>
      <c r="CJ225" s="6">
        <v>0.209</v>
      </c>
      <c r="CK225" s="6" t="s">
        <v>595</v>
      </c>
      <c r="CL225" s="6" t="s">
        <v>596</v>
      </c>
      <c r="CM225" s="6" t="s">
        <v>597</v>
      </c>
    </row>
    <row r="226" spans="4:91">
      <c r="D226">
        <f t="shared" si="293"/>
        <v>2019</v>
      </c>
      <c r="E226" t="s">
        <v>81</v>
      </c>
      <c r="F226" s="1">
        <f t="shared" si="222"/>
        <v>0.000656</v>
      </c>
      <c r="G226" s="1">
        <f t="shared" si="223"/>
        <v>0.000656</v>
      </c>
      <c r="H226" s="1">
        <f t="shared" si="224"/>
        <v>0.021976</v>
      </c>
      <c r="I226" s="1">
        <f t="shared" si="225"/>
        <v>0.076424</v>
      </c>
      <c r="J226" s="1">
        <f t="shared" si="226"/>
        <v>0.0082</v>
      </c>
      <c r="K226" s="1">
        <f t="shared" si="227"/>
        <v>0.341448</v>
      </c>
      <c r="L226" s="1">
        <f t="shared" si="228"/>
        <v>0.001968</v>
      </c>
      <c r="M226" s="1">
        <f t="shared" si="221"/>
        <v>0.557928</v>
      </c>
      <c r="N226" s="1">
        <f t="shared" si="229"/>
        <v>0.006232</v>
      </c>
      <c r="O226" s="1">
        <f t="shared" si="230"/>
        <v>0.009512</v>
      </c>
      <c r="P226" s="1">
        <f t="shared" si="231"/>
        <v>0.609752</v>
      </c>
      <c r="Q226" s="1">
        <f t="shared" si="232"/>
        <v>0.453952</v>
      </c>
      <c r="R226" s="1">
        <f t="shared" si="233"/>
        <v>0.001312</v>
      </c>
      <c r="S226" s="1">
        <f t="shared" si="234"/>
        <v>0.018696</v>
      </c>
      <c r="T226" s="1">
        <f t="shared" si="235"/>
        <v>0.027552</v>
      </c>
      <c r="U226" s="1">
        <f t="shared" si="236"/>
        <v>0.013776</v>
      </c>
      <c r="V226" s="1">
        <f t="shared" si="237"/>
        <v>0.018368</v>
      </c>
      <c r="W226" s="1">
        <f t="shared" si="238"/>
        <v>0.058384</v>
      </c>
      <c r="X226" s="1">
        <f t="shared" si="239"/>
        <v>1.339552</v>
      </c>
      <c r="Y226" s="1">
        <f t="shared" si="240"/>
        <v>0.006888</v>
      </c>
      <c r="Z226" s="1">
        <f t="shared" si="241"/>
        <v>0.0082</v>
      </c>
      <c r="AA226" s="1">
        <f t="shared" si="242"/>
        <v>2.480664</v>
      </c>
      <c r="AB226" s="1">
        <f t="shared" si="243"/>
        <v>0.7134</v>
      </c>
      <c r="AC226" s="1">
        <f t="shared" si="244"/>
        <v>0.0082</v>
      </c>
      <c r="AD226" s="1">
        <f t="shared" si="245"/>
        <v>0.077736</v>
      </c>
      <c r="AE226" s="1">
        <f t="shared" si="246"/>
        <v>0.010824</v>
      </c>
      <c r="AF226" s="1">
        <f t="shared" si="247"/>
        <v>0.000328</v>
      </c>
      <c r="AG226" s="1">
        <f t="shared" si="248"/>
        <v>0.001968</v>
      </c>
      <c r="AH226" s="1">
        <f t="shared" si="249"/>
        <v>0.11644</v>
      </c>
      <c r="AI226" s="1">
        <f t="shared" si="250"/>
        <v>0.197128</v>
      </c>
      <c r="AJ226" s="1">
        <f t="shared" si="251"/>
        <v>0.075112</v>
      </c>
      <c r="AK226" s="1">
        <f t="shared" si="252"/>
        <v>0.001968</v>
      </c>
      <c r="AL226" s="1">
        <f t="shared" si="253"/>
        <v>0.352928</v>
      </c>
      <c r="AM226" s="1">
        <f t="shared" si="254"/>
        <v>0.06724</v>
      </c>
      <c r="AN226" s="1">
        <f t="shared" si="255"/>
        <v>0.000984</v>
      </c>
      <c r="AQ226" s="6">
        <v>2019</v>
      </c>
      <c r="AR226" s="6" t="s">
        <v>81</v>
      </c>
      <c r="AS226" s="6">
        <v>0.328</v>
      </c>
      <c r="AT226" s="6" t="s">
        <v>568</v>
      </c>
      <c r="AU226" s="6" t="s">
        <v>594</v>
      </c>
      <c r="AV226" t="str">
        <f t="shared" si="294"/>
        <v>Tra_EV_Batt-NMC111_virgin</v>
      </c>
      <c r="AW226">
        <f t="shared" si="295"/>
        <v>0.002</v>
      </c>
      <c r="AX226">
        <f t="shared" si="296"/>
        <v>0.002</v>
      </c>
      <c r="AY226">
        <f t="shared" si="297"/>
        <v>0.067</v>
      </c>
      <c r="AZ226">
        <f t="shared" si="298"/>
        <v>0.233</v>
      </c>
      <c r="BA226">
        <f t="shared" si="299"/>
        <v>0.025</v>
      </c>
      <c r="BB226">
        <f t="shared" si="300"/>
        <v>1.041</v>
      </c>
      <c r="BC226">
        <f t="shared" si="301"/>
        <v>0.006</v>
      </c>
      <c r="BD226">
        <f t="shared" si="302"/>
        <v>1.701</v>
      </c>
      <c r="BE226">
        <f t="shared" si="303"/>
        <v>0.019</v>
      </c>
      <c r="BF226">
        <f t="shared" si="304"/>
        <v>0.029</v>
      </c>
      <c r="BG226">
        <f t="shared" si="305"/>
        <v>1.859</v>
      </c>
      <c r="BH226">
        <f t="shared" si="306"/>
        <v>1.384</v>
      </c>
      <c r="BI226">
        <f t="shared" si="307"/>
        <v>0.004</v>
      </c>
      <c r="BJ226">
        <f t="shared" si="308"/>
        <v>0.057</v>
      </c>
      <c r="BK226">
        <f t="shared" si="309"/>
        <v>0.084</v>
      </c>
      <c r="BL226">
        <f t="shared" si="310"/>
        <v>0.042</v>
      </c>
      <c r="BM226">
        <f t="shared" si="311"/>
        <v>0.056</v>
      </c>
      <c r="BN226">
        <f t="shared" si="312"/>
        <v>0.178</v>
      </c>
      <c r="BO226">
        <f t="shared" si="313"/>
        <v>4.084</v>
      </c>
      <c r="BP226">
        <f t="shared" si="314"/>
        <v>0.021</v>
      </c>
      <c r="BQ226">
        <f t="shared" si="315"/>
        <v>0.025</v>
      </c>
      <c r="BR226">
        <f t="shared" si="316"/>
        <v>7.563</v>
      </c>
      <c r="BS226">
        <f t="shared" si="317"/>
        <v>2.175</v>
      </c>
      <c r="BT226">
        <f t="shared" si="318"/>
        <v>0.025</v>
      </c>
      <c r="BU226">
        <f t="shared" si="319"/>
        <v>0.237</v>
      </c>
      <c r="BV226">
        <f t="shared" si="320"/>
        <v>0.033</v>
      </c>
      <c r="BW226">
        <f t="shared" si="321"/>
        <v>0.001</v>
      </c>
      <c r="BX226">
        <f t="shared" si="322"/>
        <v>0.006</v>
      </c>
      <c r="BY226">
        <f t="shared" si="323"/>
        <v>0.355</v>
      </c>
      <c r="BZ226">
        <f t="shared" si="324"/>
        <v>0.601</v>
      </c>
      <c r="CA226">
        <f t="shared" si="325"/>
        <v>0.229</v>
      </c>
      <c r="CB226">
        <f t="shared" si="326"/>
        <v>0.006</v>
      </c>
      <c r="CC226">
        <f t="shared" si="327"/>
        <v>1.076</v>
      </c>
      <c r="CD226">
        <f t="shared" si="328"/>
        <v>0.205</v>
      </c>
      <c r="CE226">
        <f t="shared" si="329"/>
        <v>0.003</v>
      </c>
      <c r="CG226" s="6">
        <v>2019</v>
      </c>
      <c r="CH226" s="6" t="s">
        <v>81</v>
      </c>
      <c r="CI226" s="6">
        <v>0.328</v>
      </c>
      <c r="CJ226" s="6">
        <v>0.209</v>
      </c>
      <c r="CK226" s="6" t="s">
        <v>595</v>
      </c>
      <c r="CL226" s="6" t="s">
        <v>596</v>
      </c>
      <c r="CM226" s="6" t="s">
        <v>597</v>
      </c>
    </row>
    <row r="227" spans="4:91">
      <c r="D227">
        <f t="shared" si="293"/>
        <v>2019</v>
      </c>
      <c r="E227" t="s">
        <v>69</v>
      </c>
      <c r="F227" s="1">
        <f t="shared" si="222"/>
        <v>0</v>
      </c>
      <c r="G227" s="1">
        <f t="shared" si="223"/>
        <v>0</v>
      </c>
      <c r="H227" s="1">
        <f t="shared" si="224"/>
        <v>0.001312</v>
      </c>
      <c r="I227" s="1">
        <f t="shared" si="225"/>
        <v>0.00328</v>
      </c>
      <c r="J227" s="1">
        <f t="shared" si="226"/>
        <v>0.001312</v>
      </c>
      <c r="K227" s="1">
        <f t="shared" si="227"/>
        <v>0.034112</v>
      </c>
      <c r="L227" s="1">
        <f t="shared" si="228"/>
        <v>0.00328</v>
      </c>
      <c r="M227" s="1">
        <f t="shared" si="221"/>
        <v>40.094064</v>
      </c>
      <c r="N227" s="1">
        <f t="shared" si="229"/>
        <v>0</v>
      </c>
      <c r="O227" s="1">
        <f t="shared" si="230"/>
        <v>0.00328</v>
      </c>
      <c r="P227" s="1">
        <f t="shared" si="231"/>
        <v>0.020664</v>
      </c>
      <c r="Q227" s="1">
        <f t="shared" si="232"/>
        <v>0.017056</v>
      </c>
      <c r="R227" s="1">
        <f t="shared" si="233"/>
        <v>0</v>
      </c>
      <c r="S227" s="1">
        <f t="shared" si="234"/>
        <v>0.00328</v>
      </c>
      <c r="T227" s="1">
        <f t="shared" si="235"/>
        <v>0</v>
      </c>
      <c r="U227" s="1">
        <f t="shared" si="236"/>
        <v>0.041</v>
      </c>
      <c r="V227" s="1">
        <f t="shared" si="237"/>
        <v>0</v>
      </c>
      <c r="W227" s="1">
        <f t="shared" si="238"/>
        <v>0.006888</v>
      </c>
      <c r="X227" s="1">
        <f t="shared" si="239"/>
        <v>0.00328</v>
      </c>
      <c r="Y227" s="1">
        <f t="shared" si="240"/>
        <v>0.015416</v>
      </c>
      <c r="Z227" s="1">
        <f t="shared" si="241"/>
        <v>0.001312</v>
      </c>
      <c r="AA227" s="1">
        <f t="shared" si="242"/>
        <v>0.048216</v>
      </c>
      <c r="AB227" s="1">
        <f t="shared" si="243"/>
        <v>0.006888</v>
      </c>
      <c r="AC227" s="1">
        <f t="shared" si="244"/>
        <v>0.018696</v>
      </c>
      <c r="AD227" s="1">
        <f t="shared" si="245"/>
        <v>0.020664</v>
      </c>
      <c r="AE227" s="1">
        <f t="shared" si="246"/>
        <v>0.00656</v>
      </c>
      <c r="AF227" s="1">
        <f t="shared" si="247"/>
        <v>0</v>
      </c>
      <c r="AG227" s="1">
        <f t="shared" si="248"/>
        <v>0</v>
      </c>
      <c r="AH227" s="1">
        <f t="shared" si="249"/>
        <v>0.010168</v>
      </c>
      <c r="AI227" s="1">
        <f t="shared" si="250"/>
        <v>0.020664</v>
      </c>
      <c r="AJ227" s="1">
        <f t="shared" si="251"/>
        <v>0.00328</v>
      </c>
      <c r="AK227" s="1">
        <f t="shared" si="252"/>
        <v>0.00328</v>
      </c>
      <c r="AL227" s="1">
        <f t="shared" si="253"/>
        <v>0.027552</v>
      </c>
      <c r="AM227" s="1">
        <f t="shared" si="254"/>
        <v>0</v>
      </c>
      <c r="AN227" s="1">
        <f t="shared" si="255"/>
        <v>0</v>
      </c>
      <c r="AQ227" s="6">
        <v>2019</v>
      </c>
      <c r="AR227" s="6" t="s">
        <v>69</v>
      </c>
      <c r="AS227" s="6">
        <v>0.328</v>
      </c>
      <c r="AT227" s="6" t="s">
        <v>568</v>
      </c>
      <c r="AU227" s="6" t="s">
        <v>594</v>
      </c>
      <c r="AV227" t="str">
        <f t="shared" si="294"/>
        <v>Tra_EV_Batt-LFP_virgin_pack</v>
      </c>
      <c r="AW227">
        <f t="shared" si="295"/>
        <v>0</v>
      </c>
      <c r="AX227">
        <f t="shared" si="296"/>
        <v>0</v>
      </c>
      <c r="AY227">
        <f t="shared" si="297"/>
        <v>0.004</v>
      </c>
      <c r="AZ227">
        <f t="shared" si="298"/>
        <v>0.01</v>
      </c>
      <c r="BA227">
        <f t="shared" si="299"/>
        <v>0.004</v>
      </c>
      <c r="BB227">
        <f t="shared" si="300"/>
        <v>0.104</v>
      </c>
      <c r="BC227">
        <f t="shared" si="301"/>
        <v>0.01</v>
      </c>
      <c r="BD227">
        <f t="shared" si="302"/>
        <v>122.238</v>
      </c>
      <c r="BE227">
        <f t="shared" si="303"/>
        <v>0</v>
      </c>
      <c r="BF227">
        <f t="shared" si="304"/>
        <v>0.01</v>
      </c>
      <c r="BG227">
        <f t="shared" si="305"/>
        <v>0.063</v>
      </c>
      <c r="BH227">
        <f t="shared" si="306"/>
        <v>0.052</v>
      </c>
      <c r="BI227">
        <f t="shared" si="307"/>
        <v>0</v>
      </c>
      <c r="BJ227">
        <f t="shared" si="308"/>
        <v>0.01</v>
      </c>
      <c r="BK227">
        <f t="shared" si="309"/>
        <v>0</v>
      </c>
      <c r="BL227">
        <f t="shared" si="310"/>
        <v>0.125</v>
      </c>
      <c r="BM227">
        <f t="shared" si="311"/>
        <v>0</v>
      </c>
      <c r="BN227">
        <f t="shared" si="312"/>
        <v>0.021</v>
      </c>
      <c r="BO227">
        <f t="shared" si="313"/>
        <v>0.01</v>
      </c>
      <c r="BP227">
        <f t="shared" si="314"/>
        <v>0.047</v>
      </c>
      <c r="BQ227">
        <f t="shared" si="315"/>
        <v>0.004</v>
      </c>
      <c r="BR227">
        <f t="shared" si="316"/>
        <v>0.147</v>
      </c>
      <c r="BS227">
        <f t="shared" si="317"/>
        <v>0.021</v>
      </c>
      <c r="BT227">
        <f t="shared" si="318"/>
        <v>0.057</v>
      </c>
      <c r="BU227">
        <f t="shared" si="319"/>
        <v>0.063</v>
      </c>
      <c r="BV227">
        <f t="shared" si="320"/>
        <v>0.02</v>
      </c>
      <c r="BW227">
        <f t="shared" si="321"/>
        <v>0</v>
      </c>
      <c r="BX227">
        <f t="shared" si="322"/>
        <v>0</v>
      </c>
      <c r="BY227">
        <f t="shared" si="323"/>
        <v>0.031</v>
      </c>
      <c r="BZ227">
        <f t="shared" si="324"/>
        <v>0.063</v>
      </c>
      <c r="CA227">
        <f t="shared" si="325"/>
        <v>0.01</v>
      </c>
      <c r="CB227">
        <f t="shared" si="326"/>
        <v>0.01</v>
      </c>
      <c r="CC227">
        <f t="shared" si="327"/>
        <v>0.084</v>
      </c>
      <c r="CD227">
        <f t="shared" si="328"/>
        <v>0</v>
      </c>
      <c r="CE227">
        <f t="shared" si="329"/>
        <v>0</v>
      </c>
      <c r="CG227" s="6">
        <v>2019</v>
      </c>
      <c r="CH227" s="6" t="s">
        <v>69</v>
      </c>
      <c r="CI227" s="6">
        <v>0.328</v>
      </c>
      <c r="CJ227" s="6">
        <v>0.209</v>
      </c>
      <c r="CK227" s="6" t="s">
        <v>595</v>
      </c>
      <c r="CL227" s="6" t="s">
        <v>596</v>
      </c>
      <c r="CM227" s="6" t="s">
        <v>597</v>
      </c>
    </row>
    <row r="228" spans="4:91">
      <c r="D228">
        <f t="shared" si="293"/>
        <v>2019</v>
      </c>
      <c r="E228" t="s">
        <v>91</v>
      </c>
      <c r="F228" s="1">
        <f t="shared" si="222"/>
        <v>0.000984</v>
      </c>
      <c r="G228" s="1">
        <f t="shared" si="223"/>
        <v>0.000984</v>
      </c>
      <c r="H228" s="1">
        <f t="shared" si="224"/>
        <v>0.033456</v>
      </c>
      <c r="I228" s="1">
        <f t="shared" si="225"/>
        <v>0.112176</v>
      </c>
      <c r="J228" s="1">
        <f t="shared" si="226"/>
        <v>0.012792</v>
      </c>
      <c r="K228" s="1">
        <f t="shared" si="227"/>
        <v>0.512992</v>
      </c>
      <c r="L228" s="1">
        <f t="shared" si="228"/>
        <v>0.003936</v>
      </c>
      <c r="M228" s="1">
        <f t="shared" si="221"/>
        <v>6.90768</v>
      </c>
      <c r="N228" s="1">
        <f t="shared" si="229"/>
        <v>0.009184</v>
      </c>
      <c r="O228" s="1">
        <f t="shared" si="230"/>
        <v>0.014432</v>
      </c>
      <c r="P228" s="1">
        <f t="shared" si="231"/>
        <v>0.82656</v>
      </c>
      <c r="Q228" s="1">
        <f t="shared" si="232"/>
        <v>0.648456</v>
      </c>
      <c r="R228" s="1">
        <f t="shared" si="233"/>
        <v>0.001968</v>
      </c>
      <c r="S228" s="1">
        <f t="shared" si="234"/>
        <v>0.02788</v>
      </c>
      <c r="T228" s="1">
        <f t="shared" si="235"/>
        <v>0.041</v>
      </c>
      <c r="U228" s="1">
        <f t="shared" si="236"/>
        <v>0.02296</v>
      </c>
      <c r="V228" s="1">
        <f t="shared" si="237"/>
        <v>0.026896</v>
      </c>
      <c r="W228" s="1">
        <f t="shared" si="238"/>
        <v>0.083968</v>
      </c>
      <c r="X228" s="1">
        <f t="shared" si="239"/>
        <v>0.748824</v>
      </c>
      <c r="Y228" s="1">
        <f t="shared" si="240"/>
        <v>0.01476</v>
      </c>
      <c r="Z228" s="1">
        <f t="shared" si="241"/>
        <v>0.012792</v>
      </c>
      <c r="AA228" s="1">
        <f t="shared" si="242"/>
        <v>2.273368</v>
      </c>
      <c r="AB228" s="1">
        <f t="shared" si="243"/>
        <v>0.888224</v>
      </c>
      <c r="AC228" s="1">
        <f t="shared" si="244"/>
        <v>0.017384</v>
      </c>
      <c r="AD228" s="1">
        <f t="shared" si="245"/>
        <v>0.155472</v>
      </c>
      <c r="AE228" s="1">
        <f t="shared" si="246"/>
        <v>0.018368</v>
      </c>
      <c r="AF228" s="1">
        <f t="shared" si="247"/>
        <v>0.000656</v>
      </c>
      <c r="AG228" s="1">
        <f t="shared" si="248"/>
        <v>0.002952</v>
      </c>
      <c r="AH228" s="1">
        <f t="shared" si="249"/>
        <v>0.171544</v>
      </c>
      <c r="AI228" s="1">
        <f t="shared" si="250"/>
        <v>0.29192</v>
      </c>
      <c r="AJ228" s="1">
        <f t="shared" si="251"/>
        <v>0.110536</v>
      </c>
      <c r="AK228" s="1">
        <f t="shared" si="252"/>
        <v>0.003936</v>
      </c>
      <c r="AL228" s="1">
        <f t="shared" si="253"/>
        <v>0.521192</v>
      </c>
      <c r="AM228" s="1">
        <f t="shared" si="254"/>
        <v>0.036736</v>
      </c>
      <c r="AN228" s="1">
        <f t="shared" si="255"/>
        <v>0.00164</v>
      </c>
      <c r="AQ228" s="6">
        <v>2019</v>
      </c>
      <c r="AR228" s="6" t="s">
        <v>91</v>
      </c>
      <c r="AS228" s="6">
        <v>0.328</v>
      </c>
      <c r="AT228" s="6" t="s">
        <v>568</v>
      </c>
      <c r="AU228" s="6" t="s">
        <v>594</v>
      </c>
      <c r="AV228" t="str">
        <f t="shared" si="294"/>
        <v>Tra_EV_Batt-NMC622_virgin_pack</v>
      </c>
      <c r="AW228">
        <f t="shared" si="295"/>
        <v>0.003</v>
      </c>
      <c r="AX228">
        <f t="shared" si="296"/>
        <v>0.003</v>
      </c>
      <c r="AY228">
        <f t="shared" si="297"/>
        <v>0.102</v>
      </c>
      <c r="AZ228">
        <f t="shared" si="298"/>
        <v>0.342</v>
      </c>
      <c r="BA228">
        <f t="shared" si="299"/>
        <v>0.039</v>
      </c>
      <c r="BB228">
        <f t="shared" si="300"/>
        <v>1.564</v>
      </c>
      <c r="BC228">
        <f t="shared" si="301"/>
        <v>0.012</v>
      </c>
      <c r="BD228">
        <f t="shared" si="302"/>
        <v>21.06</v>
      </c>
      <c r="BE228">
        <f t="shared" si="303"/>
        <v>0.028</v>
      </c>
      <c r="BF228">
        <f t="shared" si="304"/>
        <v>0.044</v>
      </c>
      <c r="BG228">
        <f t="shared" si="305"/>
        <v>2.52</v>
      </c>
      <c r="BH228">
        <f t="shared" si="306"/>
        <v>1.977</v>
      </c>
      <c r="BI228">
        <f t="shared" si="307"/>
        <v>0.006</v>
      </c>
      <c r="BJ228">
        <f t="shared" si="308"/>
        <v>0.085</v>
      </c>
      <c r="BK228">
        <f t="shared" si="309"/>
        <v>0.125</v>
      </c>
      <c r="BL228">
        <f t="shared" si="310"/>
        <v>0.07</v>
      </c>
      <c r="BM228">
        <f t="shared" si="311"/>
        <v>0.082</v>
      </c>
      <c r="BN228">
        <f t="shared" si="312"/>
        <v>0.256</v>
      </c>
      <c r="BO228">
        <f t="shared" si="313"/>
        <v>2.283</v>
      </c>
      <c r="BP228">
        <f t="shared" si="314"/>
        <v>0.045</v>
      </c>
      <c r="BQ228">
        <f t="shared" si="315"/>
        <v>0.039</v>
      </c>
      <c r="BR228">
        <f t="shared" si="316"/>
        <v>6.931</v>
      </c>
      <c r="BS228">
        <f t="shared" si="317"/>
        <v>2.708</v>
      </c>
      <c r="BT228">
        <f t="shared" si="318"/>
        <v>0.053</v>
      </c>
      <c r="BU228">
        <f t="shared" si="319"/>
        <v>0.474</v>
      </c>
      <c r="BV228">
        <f t="shared" si="320"/>
        <v>0.056</v>
      </c>
      <c r="BW228">
        <f t="shared" si="321"/>
        <v>0.002</v>
      </c>
      <c r="BX228">
        <f t="shared" si="322"/>
        <v>0.009</v>
      </c>
      <c r="BY228">
        <f t="shared" si="323"/>
        <v>0.523</v>
      </c>
      <c r="BZ228">
        <f t="shared" si="324"/>
        <v>0.89</v>
      </c>
      <c r="CA228">
        <f t="shared" si="325"/>
        <v>0.337</v>
      </c>
      <c r="CB228">
        <f t="shared" si="326"/>
        <v>0.012</v>
      </c>
      <c r="CC228">
        <f t="shared" si="327"/>
        <v>1.589</v>
      </c>
      <c r="CD228">
        <f t="shared" si="328"/>
        <v>0.112</v>
      </c>
      <c r="CE228">
        <f t="shared" si="329"/>
        <v>0.005</v>
      </c>
      <c r="CG228" s="6">
        <v>2019</v>
      </c>
      <c r="CH228" s="6" t="s">
        <v>91</v>
      </c>
      <c r="CI228" s="6">
        <v>0.328</v>
      </c>
      <c r="CJ228" s="6">
        <v>0.209</v>
      </c>
      <c r="CK228" s="6" t="s">
        <v>595</v>
      </c>
      <c r="CL228" s="6" t="s">
        <v>596</v>
      </c>
      <c r="CM228" s="6" t="s">
        <v>597</v>
      </c>
    </row>
    <row r="229" spans="4:91">
      <c r="D229">
        <f t="shared" si="293"/>
        <v>2019</v>
      </c>
      <c r="E229" t="s">
        <v>95</v>
      </c>
      <c r="F229" s="1">
        <f t="shared" si="222"/>
        <v>0.000984</v>
      </c>
      <c r="G229" s="1">
        <f t="shared" si="223"/>
        <v>0.000984</v>
      </c>
      <c r="H229" s="1">
        <f t="shared" si="224"/>
        <v>0.02788</v>
      </c>
      <c r="I229" s="1">
        <f t="shared" si="225"/>
        <v>0.091512</v>
      </c>
      <c r="J229" s="1">
        <f t="shared" si="226"/>
        <v>0.010824</v>
      </c>
      <c r="K229" s="1">
        <f t="shared" si="227"/>
        <v>0.422136</v>
      </c>
      <c r="L229" s="1">
        <f t="shared" si="228"/>
        <v>0.00328</v>
      </c>
      <c r="M229" s="1">
        <f t="shared" si="221"/>
        <v>14.953192</v>
      </c>
      <c r="N229" s="1">
        <f t="shared" si="229"/>
        <v>0.007872</v>
      </c>
      <c r="O229" s="1">
        <f t="shared" si="230"/>
        <v>0.01148</v>
      </c>
      <c r="P229" s="1">
        <f t="shared" si="231"/>
        <v>0.626808</v>
      </c>
      <c r="Q229" s="1">
        <f t="shared" si="232"/>
        <v>0.515944</v>
      </c>
      <c r="R229" s="1">
        <f t="shared" si="233"/>
        <v>0.00164</v>
      </c>
      <c r="S229" s="1">
        <f t="shared" si="234"/>
        <v>0.022632</v>
      </c>
      <c r="T229" s="1">
        <f t="shared" si="235"/>
        <v>0.034112</v>
      </c>
      <c r="U229" s="1">
        <f t="shared" si="236"/>
        <v>0.002296</v>
      </c>
      <c r="V229" s="1">
        <f t="shared" si="237"/>
        <v>0.021976</v>
      </c>
      <c r="W229" s="1">
        <f t="shared" si="238"/>
        <v>0.066584</v>
      </c>
      <c r="X229" s="1">
        <f t="shared" si="239"/>
        <v>0.138416</v>
      </c>
      <c r="Y229" s="1">
        <f t="shared" si="240"/>
        <v>0.012792</v>
      </c>
      <c r="Z229" s="1">
        <f t="shared" si="241"/>
        <v>0.010824</v>
      </c>
      <c r="AA229" s="1">
        <f t="shared" si="242"/>
        <v>1.591456</v>
      </c>
      <c r="AB229" s="1">
        <f t="shared" si="243"/>
        <v>0.531688</v>
      </c>
      <c r="AC229" s="1">
        <f t="shared" si="244"/>
        <v>0.015088</v>
      </c>
      <c r="AD229" s="1">
        <f t="shared" si="245"/>
        <v>0.505776</v>
      </c>
      <c r="AE229" s="1">
        <f t="shared" si="246"/>
        <v>0.015744</v>
      </c>
      <c r="AF229" s="1">
        <f t="shared" si="247"/>
        <v>0.000328</v>
      </c>
      <c r="AG229" s="1">
        <f t="shared" si="248"/>
        <v>0.002296</v>
      </c>
      <c r="AH229" s="1">
        <f t="shared" si="249"/>
        <v>0.139072</v>
      </c>
      <c r="AI229" s="1">
        <f t="shared" si="250"/>
        <v>0.237144</v>
      </c>
      <c r="AJ229" s="1">
        <f t="shared" si="251"/>
        <v>0.0902</v>
      </c>
      <c r="AK229" s="1">
        <f t="shared" si="252"/>
        <v>0.003608</v>
      </c>
      <c r="AL229" s="1">
        <f t="shared" si="253"/>
        <v>0.424104</v>
      </c>
      <c r="AM229" s="1">
        <f t="shared" si="254"/>
        <v>0.006232</v>
      </c>
      <c r="AN229" s="1">
        <f t="shared" si="255"/>
        <v>0.001312</v>
      </c>
      <c r="AQ229" s="6">
        <v>2019</v>
      </c>
      <c r="AR229" s="6" t="s">
        <v>95</v>
      </c>
      <c r="AS229" s="6">
        <v>0.328</v>
      </c>
      <c r="AT229" s="6" t="s">
        <v>568</v>
      </c>
      <c r="AU229" s="6" t="s">
        <v>594</v>
      </c>
      <c r="AV229" t="str">
        <f t="shared" si="294"/>
        <v>Tra_EV_Batt-NMC811_virgin_pack</v>
      </c>
      <c r="AW229">
        <f t="shared" si="295"/>
        <v>0.003</v>
      </c>
      <c r="AX229">
        <f t="shared" si="296"/>
        <v>0.003</v>
      </c>
      <c r="AY229">
        <f t="shared" si="297"/>
        <v>0.085</v>
      </c>
      <c r="AZ229">
        <f t="shared" si="298"/>
        <v>0.279</v>
      </c>
      <c r="BA229">
        <f t="shared" si="299"/>
        <v>0.033</v>
      </c>
      <c r="BB229">
        <f t="shared" si="300"/>
        <v>1.287</v>
      </c>
      <c r="BC229">
        <f t="shared" si="301"/>
        <v>0.01</v>
      </c>
      <c r="BD229">
        <f t="shared" si="302"/>
        <v>45.589</v>
      </c>
      <c r="BE229">
        <f t="shared" si="303"/>
        <v>0.024</v>
      </c>
      <c r="BF229">
        <f t="shared" si="304"/>
        <v>0.035</v>
      </c>
      <c r="BG229">
        <f t="shared" si="305"/>
        <v>1.911</v>
      </c>
      <c r="BH229">
        <f t="shared" si="306"/>
        <v>1.573</v>
      </c>
      <c r="BI229">
        <f t="shared" si="307"/>
        <v>0.005</v>
      </c>
      <c r="BJ229">
        <f t="shared" si="308"/>
        <v>0.069</v>
      </c>
      <c r="BK229">
        <f t="shared" si="309"/>
        <v>0.104</v>
      </c>
      <c r="BL229">
        <f t="shared" si="310"/>
        <v>0.007</v>
      </c>
      <c r="BM229">
        <f t="shared" si="311"/>
        <v>0.067</v>
      </c>
      <c r="BN229">
        <f t="shared" si="312"/>
        <v>0.203</v>
      </c>
      <c r="BO229">
        <f t="shared" si="313"/>
        <v>0.422</v>
      </c>
      <c r="BP229">
        <f t="shared" si="314"/>
        <v>0.039</v>
      </c>
      <c r="BQ229">
        <f t="shared" si="315"/>
        <v>0.033</v>
      </c>
      <c r="BR229">
        <f t="shared" si="316"/>
        <v>4.852</v>
      </c>
      <c r="BS229">
        <f t="shared" si="317"/>
        <v>1.621</v>
      </c>
      <c r="BT229">
        <f t="shared" si="318"/>
        <v>0.046</v>
      </c>
      <c r="BU229">
        <f t="shared" si="319"/>
        <v>1.542</v>
      </c>
      <c r="BV229">
        <f t="shared" si="320"/>
        <v>0.048</v>
      </c>
      <c r="BW229">
        <f t="shared" si="321"/>
        <v>0.001</v>
      </c>
      <c r="BX229">
        <f t="shared" si="322"/>
        <v>0.007</v>
      </c>
      <c r="BY229">
        <f t="shared" si="323"/>
        <v>0.424</v>
      </c>
      <c r="BZ229">
        <f t="shared" si="324"/>
        <v>0.723</v>
      </c>
      <c r="CA229">
        <f t="shared" si="325"/>
        <v>0.275</v>
      </c>
      <c r="CB229">
        <f t="shared" si="326"/>
        <v>0.011</v>
      </c>
      <c r="CC229">
        <f t="shared" si="327"/>
        <v>1.293</v>
      </c>
      <c r="CD229">
        <f t="shared" si="328"/>
        <v>0.019</v>
      </c>
      <c r="CE229">
        <f t="shared" si="329"/>
        <v>0.004</v>
      </c>
      <c r="CG229" s="6">
        <v>2019</v>
      </c>
      <c r="CH229" s="6" t="s">
        <v>95</v>
      </c>
      <c r="CI229" s="6">
        <v>0.328</v>
      </c>
      <c r="CJ229" s="6">
        <v>0.209</v>
      </c>
      <c r="CK229" s="6" t="s">
        <v>595</v>
      </c>
      <c r="CL229" s="6" t="s">
        <v>596</v>
      </c>
      <c r="CM229" s="6" t="s">
        <v>597</v>
      </c>
    </row>
    <row r="230" spans="4:91">
      <c r="D230">
        <f t="shared" si="293"/>
        <v>2019</v>
      </c>
      <c r="E230" t="s">
        <v>87</v>
      </c>
      <c r="F230" s="1">
        <f t="shared" si="222"/>
        <v>0.000328</v>
      </c>
      <c r="G230" s="1">
        <f t="shared" si="223"/>
        <v>0.000328</v>
      </c>
      <c r="H230" s="1">
        <f t="shared" si="224"/>
        <v>0.005576</v>
      </c>
      <c r="I230" s="1">
        <f t="shared" si="225"/>
        <v>0.017384</v>
      </c>
      <c r="J230" s="1">
        <f t="shared" si="226"/>
        <v>0.001968</v>
      </c>
      <c r="K230" s="1">
        <f t="shared" si="227"/>
        <v>0.080032</v>
      </c>
      <c r="L230" s="1">
        <f t="shared" si="228"/>
        <v>0.000328</v>
      </c>
      <c r="M230" s="1">
        <f t="shared" si="221"/>
        <v>3.080248</v>
      </c>
      <c r="N230" s="1">
        <f t="shared" si="229"/>
        <v>0.00164</v>
      </c>
      <c r="O230" s="1">
        <f t="shared" si="230"/>
        <v>0.001968</v>
      </c>
      <c r="P230" s="1">
        <f t="shared" si="231"/>
        <v>0.10496</v>
      </c>
      <c r="Q230" s="1">
        <f t="shared" si="232"/>
        <v>0.094464</v>
      </c>
      <c r="R230" s="1">
        <f t="shared" si="233"/>
        <v>0.000328</v>
      </c>
      <c r="S230" s="1">
        <f t="shared" si="234"/>
        <v>0.003936</v>
      </c>
      <c r="T230" s="1">
        <f t="shared" si="235"/>
        <v>0.006888</v>
      </c>
      <c r="U230" s="1">
        <f t="shared" si="236"/>
        <v>0</v>
      </c>
      <c r="V230" s="1">
        <f t="shared" si="237"/>
        <v>0.004264</v>
      </c>
      <c r="W230" s="1">
        <f t="shared" si="238"/>
        <v>0.011808</v>
      </c>
      <c r="X230" s="1">
        <f t="shared" si="239"/>
        <v>0</v>
      </c>
      <c r="Y230" s="1">
        <f t="shared" si="240"/>
        <v>0.001312</v>
      </c>
      <c r="Z230" s="1">
        <f t="shared" si="241"/>
        <v>0.001968</v>
      </c>
      <c r="AA230" s="1">
        <f t="shared" si="242"/>
        <v>1.563248</v>
      </c>
      <c r="AB230" s="1">
        <f t="shared" si="243"/>
        <v>0.172856</v>
      </c>
      <c r="AC230" s="1">
        <f t="shared" si="244"/>
        <v>0.00164</v>
      </c>
      <c r="AD230" s="1">
        <f t="shared" si="245"/>
        <v>0.353912</v>
      </c>
      <c r="AE230" s="1">
        <f t="shared" si="246"/>
        <v>0.002624</v>
      </c>
      <c r="AF230" s="1">
        <f t="shared" si="247"/>
        <v>0</v>
      </c>
      <c r="AG230" s="1">
        <f t="shared" si="248"/>
        <v>0.000328</v>
      </c>
      <c r="AH230" s="1">
        <f t="shared" si="249"/>
        <v>0.025912</v>
      </c>
      <c r="AI230" s="1">
        <f t="shared" si="250"/>
        <v>0.043952</v>
      </c>
      <c r="AJ230" s="1">
        <f t="shared" si="251"/>
        <v>0.017056</v>
      </c>
      <c r="AK230" s="1">
        <f t="shared" si="252"/>
        <v>0.000656</v>
      </c>
      <c r="AL230" s="1">
        <f t="shared" si="253"/>
        <v>0.079704</v>
      </c>
      <c r="AM230" s="1">
        <f t="shared" si="254"/>
        <v>0</v>
      </c>
      <c r="AN230" s="1">
        <f t="shared" si="255"/>
        <v>0.000328</v>
      </c>
      <c r="AQ230" s="6">
        <v>2019</v>
      </c>
      <c r="AR230" s="6" t="s">
        <v>87</v>
      </c>
      <c r="AS230" s="6">
        <v>0.328</v>
      </c>
      <c r="AT230" s="6" t="s">
        <v>568</v>
      </c>
      <c r="AU230" s="6" t="s">
        <v>594</v>
      </c>
      <c r="AV230" t="str">
        <f t="shared" si="294"/>
        <v> Tra_EV_Batt-NMC532_virgin_pack</v>
      </c>
      <c r="AW230">
        <f t="shared" si="295"/>
        <v>0.001</v>
      </c>
      <c r="AX230">
        <f t="shared" si="296"/>
        <v>0.001</v>
      </c>
      <c r="AY230">
        <f t="shared" si="297"/>
        <v>0.017</v>
      </c>
      <c r="AZ230">
        <f t="shared" si="298"/>
        <v>0.053</v>
      </c>
      <c r="BA230">
        <f t="shared" si="299"/>
        <v>0.006</v>
      </c>
      <c r="BB230">
        <f t="shared" si="300"/>
        <v>0.244</v>
      </c>
      <c r="BC230">
        <f t="shared" si="301"/>
        <v>0.001</v>
      </c>
      <c r="BD230">
        <f t="shared" si="302"/>
        <v>9.391</v>
      </c>
      <c r="BE230">
        <f t="shared" si="303"/>
        <v>0.005</v>
      </c>
      <c r="BF230">
        <f t="shared" si="304"/>
        <v>0.006</v>
      </c>
      <c r="BG230">
        <f t="shared" si="305"/>
        <v>0.32</v>
      </c>
      <c r="BH230">
        <f t="shared" si="306"/>
        <v>0.288</v>
      </c>
      <c r="BI230">
        <f t="shared" si="307"/>
        <v>0.001</v>
      </c>
      <c r="BJ230">
        <f t="shared" si="308"/>
        <v>0.012</v>
      </c>
      <c r="BK230">
        <f t="shared" si="309"/>
        <v>0.021</v>
      </c>
      <c r="BL230">
        <f t="shared" si="310"/>
        <v>0</v>
      </c>
      <c r="BM230">
        <f t="shared" si="311"/>
        <v>0.013</v>
      </c>
      <c r="BN230">
        <f t="shared" si="312"/>
        <v>0.036</v>
      </c>
      <c r="BO230">
        <f t="shared" si="313"/>
        <v>0</v>
      </c>
      <c r="BP230">
        <f t="shared" si="314"/>
        <v>0.004</v>
      </c>
      <c r="BQ230">
        <f t="shared" si="315"/>
        <v>0.006</v>
      </c>
      <c r="BR230">
        <f t="shared" si="316"/>
        <v>4.766</v>
      </c>
      <c r="BS230">
        <f t="shared" si="317"/>
        <v>0.527</v>
      </c>
      <c r="BT230">
        <f t="shared" si="318"/>
        <v>0.005</v>
      </c>
      <c r="BU230">
        <f t="shared" si="319"/>
        <v>1.079</v>
      </c>
      <c r="BV230">
        <f t="shared" si="320"/>
        <v>0.008</v>
      </c>
      <c r="BW230">
        <f t="shared" si="321"/>
        <v>0</v>
      </c>
      <c r="BX230">
        <f t="shared" si="322"/>
        <v>0.001</v>
      </c>
      <c r="BY230">
        <f t="shared" si="323"/>
        <v>0.079</v>
      </c>
      <c r="BZ230">
        <f t="shared" si="324"/>
        <v>0.134</v>
      </c>
      <c r="CA230">
        <f t="shared" si="325"/>
        <v>0.052</v>
      </c>
      <c r="CB230">
        <f t="shared" si="326"/>
        <v>0.002</v>
      </c>
      <c r="CC230">
        <f t="shared" si="327"/>
        <v>0.243</v>
      </c>
      <c r="CD230">
        <f t="shared" si="328"/>
        <v>0</v>
      </c>
      <c r="CE230">
        <f t="shared" si="329"/>
        <v>0.001</v>
      </c>
      <c r="CG230" s="6">
        <v>2019</v>
      </c>
      <c r="CH230" s="6" t="s">
        <v>87</v>
      </c>
      <c r="CI230" s="6">
        <v>0.328</v>
      </c>
      <c r="CJ230" s="6">
        <v>0.209</v>
      </c>
      <c r="CK230" s="6" t="s">
        <v>595</v>
      </c>
      <c r="CL230" s="6" t="s">
        <v>596</v>
      </c>
      <c r="CM230" s="6" t="s">
        <v>597</v>
      </c>
    </row>
    <row r="231" spans="4:91">
      <c r="D231">
        <f t="shared" si="293"/>
        <v>2019</v>
      </c>
      <c r="E231" t="s">
        <v>78</v>
      </c>
      <c r="F231" s="1">
        <f t="shared" si="222"/>
        <v>0</v>
      </c>
      <c r="G231" s="1">
        <f t="shared" si="223"/>
        <v>0</v>
      </c>
      <c r="H231" s="1">
        <f t="shared" si="224"/>
        <v>0</v>
      </c>
      <c r="I231" s="1">
        <f t="shared" si="225"/>
        <v>0</v>
      </c>
      <c r="J231" s="1">
        <f t="shared" si="226"/>
        <v>0</v>
      </c>
      <c r="K231" s="1">
        <f t="shared" si="227"/>
        <v>0</v>
      </c>
      <c r="L231" s="1">
        <f t="shared" si="228"/>
        <v>0</v>
      </c>
      <c r="M231" s="1">
        <f t="shared" si="221"/>
        <v>0.557928</v>
      </c>
      <c r="N231" s="1">
        <f t="shared" si="229"/>
        <v>0</v>
      </c>
      <c r="O231" s="1">
        <f t="shared" si="230"/>
        <v>0</v>
      </c>
      <c r="P231" s="1">
        <f t="shared" si="231"/>
        <v>0</v>
      </c>
      <c r="Q231" s="1">
        <f t="shared" si="232"/>
        <v>0</v>
      </c>
      <c r="R231" s="1">
        <f t="shared" si="233"/>
        <v>0</v>
      </c>
      <c r="S231" s="1">
        <f t="shared" si="234"/>
        <v>0</v>
      </c>
      <c r="T231" s="1">
        <f t="shared" si="235"/>
        <v>0</v>
      </c>
      <c r="U231" s="1">
        <f t="shared" si="236"/>
        <v>0</v>
      </c>
      <c r="V231" s="1">
        <f t="shared" si="237"/>
        <v>0</v>
      </c>
      <c r="W231" s="1">
        <f t="shared" si="238"/>
        <v>0</v>
      </c>
      <c r="X231" s="1">
        <f t="shared" si="239"/>
        <v>0</v>
      </c>
      <c r="Y231" s="1">
        <f t="shared" si="240"/>
        <v>0</v>
      </c>
      <c r="Z231" s="1">
        <f t="shared" si="241"/>
        <v>0</v>
      </c>
      <c r="AA231" s="1">
        <f t="shared" si="242"/>
        <v>0</v>
      </c>
      <c r="AB231" s="1">
        <f t="shared" si="243"/>
        <v>0</v>
      </c>
      <c r="AC231" s="1">
        <f t="shared" si="244"/>
        <v>0</v>
      </c>
      <c r="AD231" s="1">
        <f t="shared" si="245"/>
        <v>0</v>
      </c>
      <c r="AE231" s="1">
        <f t="shared" si="246"/>
        <v>0</v>
      </c>
      <c r="AF231" s="1">
        <f t="shared" si="247"/>
        <v>0</v>
      </c>
      <c r="AG231" s="1">
        <f t="shared" si="248"/>
        <v>0</v>
      </c>
      <c r="AH231" s="1">
        <f t="shared" si="249"/>
        <v>0</v>
      </c>
      <c r="AI231" s="1">
        <f t="shared" si="250"/>
        <v>0</v>
      </c>
      <c r="AJ231" s="1">
        <f t="shared" si="251"/>
        <v>0</v>
      </c>
      <c r="AK231" s="1">
        <f t="shared" si="252"/>
        <v>0</v>
      </c>
      <c r="AL231" s="1">
        <f t="shared" si="253"/>
        <v>0</v>
      </c>
      <c r="AM231" s="1">
        <f t="shared" si="254"/>
        <v>0</v>
      </c>
      <c r="AN231" s="1">
        <f t="shared" si="255"/>
        <v>0</v>
      </c>
      <c r="AQ231" s="6">
        <v>2019</v>
      </c>
      <c r="AR231" s="6" t="s">
        <v>78</v>
      </c>
      <c r="AS231" s="6">
        <v>0.328</v>
      </c>
      <c r="AT231" s="6" t="s">
        <v>568</v>
      </c>
      <c r="AU231" s="6" t="s">
        <v>594</v>
      </c>
      <c r="AV231" t="str">
        <f t="shared" si="294"/>
        <v>Tra_EV_Batt-NCA_virgin_pack</v>
      </c>
      <c r="AW231">
        <f t="shared" si="295"/>
        <v>0</v>
      </c>
      <c r="AX231">
        <f t="shared" si="296"/>
        <v>0</v>
      </c>
      <c r="AY231">
        <f t="shared" si="297"/>
        <v>0</v>
      </c>
      <c r="AZ231">
        <f t="shared" si="298"/>
        <v>0</v>
      </c>
      <c r="BA231">
        <f t="shared" si="299"/>
        <v>0</v>
      </c>
      <c r="BB231">
        <f t="shared" si="300"/>
        <v>0</v>
      </c>
      <c r="BC231">
        <f t="shared" si="301"/>
        <v>0</v>
      </c>
      <c r="BD231">
        <f t="shared" si="302"/>
        <v>1.701</v>
      </c>
      <c r="BE231">
        <f t="shared" si="303"/>
        <v>0</v>
      </c>
      <c r="BF231">
        <f t="shared" si="304"/>
        <v>0</v>
      </c>
      <c r="BG231">
        <f t="shared" si="305"/>
        <v>0</v>
      </c>
      <c r="BH231">
        <f t="shared" si="306"/>
        <v>0</v>
      </c>
      <c r="BI231">
        <f t="shared" si="307"/>
        <v>0</v>
      </c>
      <c r="BJ231">
        <f t="shared" si="308"/>
        <v>0</v>
      </c>
      <c r="BK231">
        <f t="shared" si="309"/>
        <v>0</v>
      </c>
      <c r="BL231">
        <f t="shared" si="310"/>
        <v>0</v>
      </c>
      <c r="BM231">
        <f t="shared" si="311"/>
        <v>0</v>
      </c>
      <c r="BN231">
        <f t="shared" si="312"/>
        <v>0</v>
      </c>
      <c r="BO231">
        <f t="shared" si="313"/>
        <v>0</v>
      </c>
      <c r="BP231">
        <f t="shared" si="314"/>
        <v>0</v>
      </c>
      <c r="BQ231">
        <f t="shared" si="315"/>
        <v>0</v>
      </c>
      <c r="BR231">
        <f t="shared" si="316"/>
        <v>0</v>
      </c>
      <c r="BS231">
        <f t="shared" si="317"/>
        <v>0</v>
      </c>
      <c r="BT231">
        <f t="shared" si="318"/>
        <v>0</v>
      </c>
      <c r="BU231">
        <f t="shared" si="319"/>
        <v>0</v>
      </c>
      <c r="BV231">
        <f t="shared" si="320"/>
        <v>0</v>
      </c>
      <c r="BW231">
        <f t="shared" si="321"/>
        <v>0</v>
      </c>
      <c r="BX231">
        <f t="shared" si="322"/>
        <v>0</v>
      </c>
      <c r="BY231">
        <f t="shared" si="323"/>
        <v>0</v>
      </c>
      <c r="BZ231">
        <f t="shared" si="324"/>
        <v>0</v>
      </c>
      <c r="CA231">
        <f t="shared" si="325"/>
        <v>0</v>
      </c>
      <c r="CB231">
        <f t="shared" si="326"/>
        <v>0</v>
      </c>
      <c r="CC231">
        <f t="shared" si="327"/>
        <v>0</v>
      </c>
      <c r="CD231">
        <f t="shared" si="328"/>
        <v>0</v>
      </c>
      <c r="CE231">
        <f t="shared" si="329"/>
        <v>0</v>
      </c>
      <c r="CG231" s="6">
        <v>2019</v>
      </c>
      <c r="CH231" s="6" t="s">
        <v>78</v>
      </c>
      <c r="CI231" s="6">
        <v>0.328</v>
      </c>
      <c r="CJ231" s="6">
        <v>0.209</v>
      </c>
      <c r="CK231" s="6" t="s">
        <v>595</v>
      </c>
      <c r="CL231" s="6" t="s">
        <v>596</v>
      </c>
      <c r="CM231" s="6" t="s">
        <v>597</v>
      </c>
    </row>
    <row r="232" spans="4:91">
      <c r="D232">
        <f t="shared" si="293"/>
        <v>2019</v>
      </c>
      <c r="E232" t="s">
        <v>74</v>
      </c>
      <c r="F232" s="1">
        <f t="shared" si="222"/>
        <v>0.000656</v>
      </c>
      <c r="G232" s="1">
        <f t="shared" si="223"/>
        <v>0.000656</v>
      </c>
      <c r="H232" s="1">
        <f t="shared" si="224"/>
        <v>0.021976</v>
      </c>
      <c r="I232" s="1">
        <f t="shared" si="225"/>
        <v>0.069536</v>
      </c>
      <c r="J232" s="1">
        <f t="shared" si="226"/>
        <v>0.0082</v>
      </c>
      <c r="K232" s="1">
        <f t="shared" si="227"/>
        <v>0.320128</v>
      </c>
      <c r="L232" s="1">
        <f t="shared" si="228"/>
        <v>0.001968</v>
      </c>
      <c r="M232" s="1">
        <f t="shared" si="221"/>
        <v>0.836728</v>
      </c>
      <c r="N232" s="1">
        <f t="shared" si="229"/>
        <v>0.006232</v>
      </c>
      <c r="O232" s="1">
        <f t="shared" si="230"/>
        <v>0.007216</v>
      </c>
      <c r="P232" s="1">
        <f t="shared" si="231"/>
        <v>0.420496</v>
      </c>
      <c r="Q232" s="1">
        <f t="shared" si="232"/>
        <v>0.377528</v>
      </c>
      <c r="R232" s="1">
        <f t="shared" si="233"/>
        <v>0.001312</v>
      </c>
      <c r="S232" s="1">
        <f t="shared" si="234"/>
        <v>0.0164</v>
      </c>
      <c r="T232" s="1">
        <f t="shared" si="235"/>
        <v>0.027552</v>
      </c>
      <c r="U232" s="1">
        <f t="shared" si="236"/>
        <v>0</v>
      </c>
      <c r="V232" s="1">
        <f t="shared" si="237"/>
        <v>0.017056</v>
      </c>
      <c r="W232" s="1">
        <f t="shared" si="238"/>
        <v>0.046904</v>
      </c>
      <c r="X232" s="1">
        <f t="shared" si="239"/>
        <v>0.236816</v>
      </c>
      <c r="Y232" s="1">
        <f t="shared" si="240"/>
        <v>0.005576</v>
      </c>
      <c r="Z232" s="1">
        <f t="shared" si="241"/>
        <v>0.0082</v>
      </c>
      <c r="AA232" s="1">
        <f t="shared" si="242"/>
        <v>14.516952</v>
      </c>
      <c r="AB232" s="1">
        <f t="shared" si="243"/>
        <v>1.209664</v>
      </c>
      <c r="AC232" s="1">
        <f t="shared" si="244"/>
        <v>0.006232</v>
      </c>
      <c r="AD232" s="1">
        <f t="shared" si="245"/>
        <v>0.353912</v>
      </c>
      <c r="AE232" s="1">
        <f t="shared" si="246"/>
        <v>0.010824</v>
      </c>
      <c r="AF232" s="1">
        <f t="shared" si="247"/>
        <v>0.000328</v>
      </c>
      <c r="AG232" s="1">
        <f t="shared" si="248"/>
        <v>0.001968</v>
      </c>
      <c r="AH232" s="1">
        <f t="shared" si="249"/>
        <v>0.10332</v>
      </c>
      <c r="AI232" s="1">
        <f t="shared" si="250"/>
        <v>0.17548</v>
      </c>
      <c r="AJ232" s="1">
        <f t="shared" si="251"/>
        <v>0.068224</v>
      </c>
      <c r="AK232" s="1">
        <f t="shared" si="252"/>
        <v>0.001968</v>
      </c>
      <c r="AL232" s="1">
        <f t="shared" si="253"/>
        <v>0.31816</v>
      </c>
      <c r="AM232" s="1">
        <f t="shared" si="254"/>
        <v>0.012136</v>
      </c>
      <c r="AN232" s="1">
        <f t="shared" si="255"/>
        <v>0.000984</v>
      </c>
      <c r="AQ232" s="6">
        <v>2019</v>
      </c>
      <c r="AR232" s="6" t="s">
        <v>74</v>
      </c>
      <c r="AS232" s="6">
        <v>0.328</v>
      </c>
      <c r="AT232" s="6" t="s">
        <v>568</v>
      </c>
      <c r="AU232" s="6" t="s">
        <v>594</v>
      </c>
      <c r="AV232" t="str">
        <f t="shared" si="294"/>
        <v> Tra_EV_Batt-LMO_virgin_pack</v>
      </c>
      <c r="AW232">
        <f t="shared" si="295"/>
        <v>0.002</v>
      </c>
      <c r="AX232">
        <f t="shared" si="296"/>
        <v>0.002</v>
      </c>
      <c r="AY232">
        <f t="shared" si="297"/>
        <v>0.067</v>
      </c>
      <c r="AZ232">
        <f t="shared" si="298"/>
        <v>0.212</v>
      </c>
      <c r="BA232">
        <f t="shared" si="299"/>
        <v>0.025</v>
      </c>
      <c r="BB232">
        <f t="shared" si="300"/>
        <v>0.976</v>
      </c>
      <c r="BC232">
        <f t="shared" si="301"/>
        <v>0.006</v>
      </c>
      <c r="BD232">
        <f t="shared" si="302"/>
        <v>2.551</v>
      </c>
      <c r="BE232">
        <f t="shared" si="303"/>
        <v>0.019</v>
      </c>
      <c r="BF232">
        <f t="shared" si="304"/>
        <v>0.022</v>
      </c>
      <c r="BG232">
        <f t="shared" si="305"/>
        <v>1.282</v>
      </c>
      <c r="BH232">
        <f t="shared" si="306"/>
        <v>1.151</v>
      </c>
      <c r="BI232">
        <f t="shared" si="307"/>
        <v>0.004</v>
      </c>
      <c r="BJ232">
        <f t="shared" si="308"/>
        <v>0.05</v>
      </c>
      <c r="BK232">
        <f t="shared" si="309"/>
        <v>0.084</v>
      </c>
      <c r="BL232">
        <f t="shared" si="310"/>
        <v>0</v>
      </c>
      <c r="BM232">
        <f t="shared" si="311"/>
        <v>0.052</v>
      </c>
      <c r="BN232">
        <f t="shared" si="312"/>
        <v>0.143</v>
      </c>
      <c r="BO232">
        <f t="shared" si="313"/>
        <v>0.722</v>
      </c>
      <c r="BP232">
        <f t="shared" si="314"/>
        <v>0.017</v>
      </c>
      <c r="BQ232">
        <f t="shared" si="315"/>
        <v>0.025</v>
      </c>
      <c r="BR232">
        <f t="shared" si="316"/>
        <v>44.259</v>
      </c>
      <c r="BS232">
        <f t="shared" si="317"/>
        <v>3.688</v>
      </c>
      <c r="BT232">
        <f t="shared" si="318"/>
        <v>0.019</v>
      </c>
      <c r="BU232">
        <f t="shared" si="319"/>
        <v>1.079</v>
      </c>
      <c r="BV232">
        <f t="shared" si="320"/>
        <v>0.033</v>
      </c>
      <c r="BW232">
        <f t="shared" si="321"/>
        <v>0.001</v>
      </c>
      <c r="BX232">
        <f t="shared" si="322"/>
        <v>0.006</v>
      </c>
      <c r="BY232">
        <f t="shared" si="323"/>
        <v>0.315</v>
      </c>
      <c r="BZ232">
        <f t="shared" si="324"/>
        <v>0.535</v>
      </c>
      <c r="CA232">
        <f t="shared" si="325"/>
        <v>0.208</v>
      </c>
      <c r="CB232">
        <f t="shared" si="326"/>
        <v>0.006</v>
      </c>
      <c r="CC232">
        <f t="shared" si="327"/>
        <v>0.97</v>
      </c>
      <c r="CD232">
        <f t="shared" si="328"/>
        <v>0.037</v>
      </c>
      <c r="CE232">
        <f t="shared" si="329"/>
        <v>0.003</v>
      </c>
      <c r="CG232" s="6">
        <v>2019</v>
      </c>
      <c r="CH232" s="6" t="s">
        <v>74</v>
      </c>
      <c r="CI232" s="6">
        <v>0.328</v>
      </c>
      <c r="CJ232" s="6">
        <v>0.209</v>
      </c>
      <c r="CK232" s="6" t="s">
        <v>595</v>
      </c>
      <c r="CL232" s="6" t="s">
        <v>596</v>
      </c>
      <c r="CM232" s="6" t="s">
        <v>597</v>
      </c>
    </row>
    <row r="233" spans="4:91">
      <c r="D233">
        <f t="shared" si="293"/>
        <v>2019</v>
      </c>
      <c r="E233" t="s">
        <v>82</v>
      </c>
      <c r="F233" s="1">
        <f t="shared" si="222"/>
        <v>0.000656</v>
      </c>
      <c r="G233" s="1">
        <f t="shared" si="223"/>
        <v>0.000656</v>
      </c>
      <c r="H233" s="1">
        <f t="shared" si="224"/>
        <v>0.021976</v>
      </c>
      <c r="I233" s="1">
        <f t="shared" si="225"/>
        <v>0.076424</v>
      </c>
      <c r="J233" s="1">
        <f t="shared" si="226"/>
        <v>0.0082</v>
      </c>
      <c r="K233" s="1">
        <f t="shared" si="227"/>
        <v>0.341448</v>
      </c>
      <c r="L233" s="1">
        <f t="shared" si="228"/>
        <v>0.001968</v>
      </c>
      <c r="M233" s="1">
        <f t="shared" si="221"/>
        <v>0.557928</v>
      </c>
      <c r="N233" s="1">
        <f t="shared" si="229"/>
        <v>0.006232</v>
      </c>
      <c r="O233" s="1">
        <f t="shared" si="230"/>
        <v>0.009512</v>
      </c>
      <c r="P233" s="1">
        <f t="shared" si="231"/>
        <v>0.609752</v>
      </c>
      <c r="Q233" s="1">
        <f t="shared" si="232"/>
        <v>0.453952</v>
      </c>
      <c r="R233" s="1">
        <f t="shared" si="233"/>
        <v>0.001312</v>
      </c>
      <c r="S233" s="1">
        <f t="shared" si="234"/>
        <v>0.018696</v>
      </c>
      <c r="T233" s="1">
        <f t="shared" si="235"/>
        <v>0.027552</v>
      </c>
      <c r="U233" s="1">
        <f t="shared" si="236"/>
        <v>0.013776</v>
      </c>
      <c r="V233" s="1">
        <f t="shared" si="237"/>
        <v>0.018368</v>
      </c>
      <c r="W233" s="1">
        <f t="shared" si="238"/>
        <v>0.058384</v>
      </c>
      <c r="X233" s="1">
        <f t="shared" si="239"/>
        <v>1.339552</v>
      </c>
      <c r="Y233" s="1">
        <f t="shared" si="240"/>
        <v>0.006888</v>
      </c>
      <c r="Z233" s="1">
        <f t="shared" si="241"/>
        <v>0.0082</v>
      </c>
      <c r="AA233" s="1">
        <f t="shared" si="242"/>
        <v>2.480664</v>
      </c>
      <c r="AB233" s="1">
        <f t="shared" si="243"/>
        <v>0.7134</v>
      </c>
      <c r="AC233" s="1">
        <f t="shared" si="244"/>
        <v>0.0082</v>
      </c>
      <c r="AD233" s="1">
        <f t="shared" si="245"/>
        <v>0.077736</v>
      </c>
      <c r="AE233" s="1">
        <f t="shared" si="246"/>
        <v>0.010824</v>
      </c>
      <c r="AF233" s="1">
        <f t="shared" si="247"/>
        <v>0.000328</v>
      </c>
      <c r="AG233" s="1">
        <f t="shared" si="248"/>
        <v>0.001968</v>
      </c>
      <c r="AH233" s="1">
        <f t="shared" si="249"/>
        <v>0.11644</v>
      </c>
      <c r="AI233" s="1">
        <f t="shared" si="250"/>
        <v>0.197128</v>
      </c>
      <c r="AJ233" s="1">
        <f t="shared" si="251"/>
        <v>0.075112</v>
      </c>
      <c r="AK233" s="1">
        <f t="shared" si="252"/>
        <v>0.001968</v>
      </c>
      <c r="AL233" s="1">
        <f t="shared" si="253"/>
        <v>0.352928</v>
      </c>
      <c r="AM233" s="1">
        <f t="shared" si="254"/>
        <v>0.06724</v>
      </c>
      <c r="AN233" s="1">
        <f t="shared" si="255"/>
        <v>0.000984</v>
      </c>
      <c r="AQ233" s="6">
        <v>2019</v>
      </c>
      <c r="AR233" s="6" t="s">
        <v>82</v>
      </c>
      <c r="AS233" s="6">
        <v>0.328</v>
      </c>
      <c r="AT233" s="6" t="s">
        <v>568</v>
      </c>
      <c r="AU233" s="6" t="s">
        <v>594</v>
      </c>
      <c r="AV233" t="str">
        <f t="shared" si="294"/>
        <v>Tra_EV_Batt-NMC111_virgin_pack</v>
      </c>
      <c r="AW233">
        <f t="shared" si="295"/>
        <v>0.002</v>
      </c>
      <c r="AX233">
        <f t="shared" si="296"/>
        <v>0.002</v>
      </c>
      <c r="AY233">
        <f t="shared" si="297"/>
        <v>0.067</v>
      </c>
      <c r="AZ233">
        <f t="shared" si="298"/>
        <v>0.233</v>
      </c>
      <c r="BA233">
        <f t="shared" si="299"/>
        <v>0.025</v>
      </c>
      <c r="BB233">
        <f t="shared" si="300"/>
        <v>1.041</v>
      </c>
      <c r="BC233">
        <f t="shared" si="301"/>
        <v>0.006</v>
      </c>
      <c r="BD233">
        <f t="shared" si="302"/>
        <v>1.701</v>
      </c>
      <c r="BE233">
        <f t="shared" si="303"/>
        <v>0.019</v>
      </c>
      <c r="BF233">
        <f t="shared" si="304"/>
        <v>0.029</v>
      </c>
      <c r="BG233">
        <f t="shared" si="305"/>
        <v>1.859</v>
      </c>
      <c r="BH233">
        <f t="shared" si="306"/>
        <v>1.384</v>
      </c>
      <c r="BI233">
        <f t="shared" si="307"/>
        <v>0.004</v>
      </c>
      <c r="BJ233">
        <f t="shared" si="308"/>
        <v>0.057</v>
      </c>
      <c r="BK233">
        <f t="shared" si="309"/>
        <v>0.084</v>
      </c>
      <c r="BL233">
        <f t="shared" si="310"/>
        <v>0.042</v>
      </c>
      <c r="BM233">
        <f t="shared" si="311"/>
        <v>0.056</v>
      </c>
      <c r="BN233">
        <f t="shared" si="312"/>
        <v>0.178</v>
      </c>
      <c r="BO233">
        <f t="shared" si="313"/>
        <v>4.084</v>
      </c>
      <c r="BP233">
        <f t="shared" si="314"/>
        <v>0.021</v>
      </c>
      <c r="BQ233">
        <f t="shared" si="315"/>
        <v>0.025</v>
      </c>
      <c r="BR233">
        <f t="shared" si="316"/>
        <v>7.563</v>
      </c>
      <c r="BS233">
        <f t="shared" si="317"/>
        <v>2.175</v>
      </c>
      <c r="BT233">
        <f t="shared" si="318"/>
        <v>0.025</v>
      </c>
      <c r="BU233">
        <f t="shared" si="319"/>
        <v>0.237</v>
      </c>
      <c r="BV233">
        <f t="shared" si="320"/>
        <v>0.033</v>
      </c>
      <c r="BW233">
        <f t="shared" si="321"/>
        <v>0.001</v>
      </c>
      <c r="BX233">
        <f t="shared" si="322"/>
        <v>0.006</v>
      </c>
      <c r="BY233">
        <f t="shared" si="323"/>
        <v>0.355</v>
      </c>
      <c r="BZ233">
        <f t="shared" si="324"/>
        <v>0.601</v>
      </c>
      <c r="CA233">
        <f t="shared" si="325"/>
        <v>0.229</v>
      </c>
      <c r="CB233">
        <f t="shared" si="326"/>
        <v>0.006</v>
      </c>
      <c r="CC233">
        <f t="shared" si="327"/>
        <v>1.076</v>
      </c>
      <c r="CD233">
        <f t="shared" si="328"/>
        <v>0.205</v>
      </c>
      <c r="CE233">
        <f t="shared" si="329"/>
        <v>0.003</v>
      </c>
      <c r="CG233" s="6">
        <v>2019</v>
      </c>
      <c r="CH233" s="6" t="s">
        <v>82</v>
      </c>
      <c r="CI233" s="6">
        <v>0.328</v>
      </c>
      <c r="CJ233" s="6">
        <v>0.209</v>
      </c>
      <c r="CK233" s="6" t="s">
        <v>595</v>
      </c>
      <c r="CL233" s="6" t="s">
        <v>596</v>
      </c>
      <c r="CM233" s="6" t="s">
        <v>597</v>
      </c>
    </row>
    <row r="234" spans="4:91">
      <c r="D234">
        <v>2015</v>
      </c>
      <c r="E234" t="s">
        <v>249</v>
      </c>
      <c r="F234" s="1">
        <f t="shared" si="222"/>
        <v>0</v>
      </c>
      <c r="G234" s="1">
        <f t="shared" si="223"/>
        <v>1.50423</v>
      </c>
      <c r="H234" s="1">
        <f t="shared" si="224"/>
        <v>5.3592</v>
      </c>
      <c r="I234" s="1">
        <f t="shared" si="225"/>
        <v>0</v>
      </c>
      <c r="J234" s="1">
        <f t="shared" si="226"/>
        <v>0</v>
      </c>
      <c r="K234" s="1">
        <f t="shared" si="227"/>
        <v>0</v>
      </c>
      <c r="L234" s="1">
        <f t="shared" si="228"/>
        <v>0.609</v>
      </c>
      <c r="M234" s="1">
        <f t="shared" si="221"/>
        <v>2.4969</v>
      </c>
      <c r="N234" s="1">
        <f t="shared" si="229"/>
        <v>0</v>
      </c>
      <c r="O234" s="1">
        <f t="shared" si="230"/>
        <v>0</v>
      </c>
      <c r="P234" s="1">
        <f t="shared" si="231"/>
        <v>0</v>
      </c>
      <c r="Q234" s="1">
        <f t="shared" si="232"/>
        <v>0</v>
      </c>
      <c r="R234" s="1">
        <f t="shared" si="233"/>
        <v>0</v>
      </c>
      <c r="S234" s="1">
        <f t="shared" si="234"/>
        <v>0</v>
      </c>
      <c r="T234" s="1">
        <f t="shared" si="235"/>
        <v>0</v>
      </c>
      <c r="U234" s="1">
        <f t="shared" si="236"/>
        <v>0</v>
      </c>
      <c r="V234" s="1">
        <f t="shared" si="237"/>
        <v>0</v>
      </c>
      <c r="W234" s="1">
        <f t="shared" si="238"/>
        <v>0</v>
      </c>
      <c r="X234" s="1">
        <f t="shared" si="239"/>
        <v>0</v>
      </c>
      <c r="Y234" s="1">
        <f t="shared" si="240"/>
        <v>4.0803</v>
      </c>
      <c r="Z234" s="1">
        <f t="shared" si="241"/>
        <v>0</v>
      </c>
      <c r="AA234" s="1">
        <f t="shared" si="242"/>
        <v>0.26187</v>
      </c>
      <c r="AB234" s="1">
        <f t="shared" si="243"/>
        <v>0</v>
      </c>
      <c r="AC234" s="1">
        <f t="shared" si="244"/>
        <v>0</v>
      </c>
      <c r="AD234" s="1">
        <f t="shared" si="245"/>
        <v>0.28014</v>
      </c>
      <c r="AE234" s="1">
        <f t="shared" si="246"/>
        <v>0</v>
      </c>
      <c r="AF234" s="1">
        <f t="shared" si="247"/>
        <v>0</v>
      </c>
      <c r="AG234" s="1">
        <f t="shared" si="248"/>
        <v>0</v>
      </c>
      <c r="AH234" s="1">
        <f t="shared" si="249"/>
        <v>0.02436</v>
      </c>
      <c r="AI234" s="1">
        <f t="shared" si="250"/>
        <v>0</v>
      </c>
      <c r="AJ234" s="1">
        <f t="shared" si="251"/>
        <v>0</v>
      </c>
      <c r="AK234" s="1">
        <f t="shared" si="252"/>
        <v>0</v>
      </c>
      <c r="AL234" s="1">
        <f t="shared" si="253"/>
        <v>0</v>
      </c>
      <c r="AM234" s="1">
        <f t="shared" si="254"/>
        <v>0</v>
      </c>
      <c r="AN234" s="1">
        <f t="shared" si="255"/>
        <v>0</v>
      </c>
      <c r="AQ234" s="6">
        <v>2010</v>
      </c>
      <c r="AR234" s="6" t="s">
        <v>249</v>
      </c>
      <c r="AS234" s="6">
        <v>0.07</v>
      </c>
      <c r="AT234" s="6" t="s">
        <v>591</v>
      </c>
      <c r="AU234" s="6" t="s">
        <v>592</v>
      </c>
      <c r="AV234" t="str">
        <f t="shared" si="294"/>
        <v>MINBatMaterials_LI</v>
      </c>
      <c r="AW234">
        <f t="shared" si="295"/>
        <v>0</v>
      </c>
      <c r="AX234">
        <f t="shared" si="296"/>
        <v>21.489</v>
      </c>
      <c r="AY234">
        <f t="shared" si="297"/>
        <v>76.56</v>
      </c>
      <c r="AZ234">
        <f t="shared" si="298"/>
        <v>0</v>
      </c>
      <c r="BA234">
        <f t="shared" si="299"/>
        <v>0</v>
      </c>
      <c r="BB234">
        <f t="shared" si="300"/>
        <v>0</v>
      </c>
      <c r="BC234">
        <f t="shared" si="301"/>
        <v>8.7</v>
      </c>
      <c r="BD234">
        <f t="shared" si="302"/>
        <v>35.67</v>
      </c>
      <c r="BE234">
        <f t="shared" si="303"/>
        <v>0</v>
      </c>
      <c r="BF234">
        <f t="shared" si="304"/>
        <v>0</v>
      </c>
      <c r="BG234">
        <f t="shared" si="305"/>
        <v>0</v>
      </c>
      <c r="BH234">
        <f t="shared" si="306"/>
        <v>0</v>
      </c>
      <c r="BI234">
        <f t="shared" si="307"/>
        <v>0</v>
      </c>
      <c r="BJ234">
        <f t="shared" si="308"/>
        <v>0</v>
      </c>
      <c r="BK234">
        <f t="shared" si="309"/>
        <v>0</v>
      </c>
      <c r="BL234">
        <f t="shared" si="310"/>
        <v>0</v>
      </c>
      <c r="BM234">
        <f t="shared" si="311"/>
        <v>0</v>
      </c>
      <c r="BN234">
        <f t="shared" si="312"/>
        <v>0</v>
      </c>
      <c r="BO234">
        <f t="shared" si="313"/>
        <v>0</v>
      </c>
      <c r="BP234">
        <f t="shared" si="314"/>
        <v>58.29</v>
      </c>
      <c r="BQ234">
        <f t="shared" si="315"/>
        <v>0</v>
      </c>
      <c r="BR234">
        <f t="shared" si="316"/>
        <v>3.741</v>
      </c>
      <c r="BS234">
        <f t="shared" si="317"/>
        <v>0</v>
      </c>
      <c r="BT234">
        <f t="shared" si="318"/>
        <v>0</v>
      </c>
      <c r="BU234">
        <f t="shared" si="319"/>
        <v>4.002</v>
      </c>
      <c r="BV234">
        <f t="shared" si="320"/>
        <v>0</v>
      </c>
      <c r="BW234">
        <f t="shared" si="321"/>
        <v>0</v>
      </c>
      <c r="BX234">
        <f t="shared" si="322"/>
        <v>0</v>
      </c>
      <c r="BY234">
        <f t="shared" si="323"/>
        <v>0.348</v>
      </c>
      <c r="BZ234">
        <f t="shared" si="324"/>
        <v>0</v>
      </c>
      <c r="CA234">
        <f t="shared" si="325"/>
        <v>0</v>
      </c>
      <c r="CB234">
        <f t="shared" si="326"/>
        <v>0</v>
      </c>
      <c r="CC234">
        <f t="shared" si="327"/>
        <v>0</v>
      </c>
      <c r="CD234">
        <f t="shared" si="328"/>
        <v>0</v>
      </c>
      <c r="CE234">
        <f t="shared" si="329"/>
        <v>0</v>
      </c>
      <c r="CG234" s="6">
        <v>2010</v>
      </c>
      <c r="CH234" s="6" t="s">
        <v>249</v>
      </c>
      <c r="CI234" s="6">
        <v>0.07</v>
      </c>
      <c r="CJ234" s="6">
        <v>0.07</v>
      </c>
      <c r="CK234" s="6" t="s">
        <v>591</v>
      </c>
      <c r="CL234" s="6" t="s">
        <v>591</v>
      </c>
      <c r="CM234" s="6" t="s">
        <v>593</v>
      </c>
    </row>
    <row r="235" spans="4:91">
      <c r="D235">
        <f xml:space="preserve">D234</f>
        <v>2015</v>
      </c>
      <c r="E235" t="s">
        <v>251</v>
      </c>
      <c r="F235" s="1">
        <f t="shared" si="222"/>
        <v>0</v>
      </c>
      <c r="G235" s="1">
        <f t="shared" si="223"/>
        <v>0</v>
      </c>
      <c r="H235" s="1">
        <f t="shared" si="224"/>
        <v>1.155</v>
      </c>
      <c r="I235" s="1">
        <f t="shared" si="225"/>
        <v>0</v>
      </c>
      <c r="J235" s="1">
        <f t="shared" si="226"/>
        <v>0</v>
      </c>
      <c r="K235" s="1">
        <f t="shared" si="227"/>
        <v>0</v>
      </c>
      <c r="L235" s="1">
        <f t="shared" si="228"/>
        <v>0.8085</v>
      </c>
      <c r="M235" s="1">
        <f t="shared" si="221"/>
        <v>1.26</v>
      </c>
      <c r="N235" s="1">
        <f t="shared" si="229"/>
        <v>0</v>
      </c>
      <c r="O235" s="1">
        <f t="shared" si="230"/>
        <v>0</v>
      </c>
      <c r="P235" s="1">
        <f t="shared" si="231"/>
        <v>0</v>
      </c>
      <c r="Q235" s="1">
        <f t="shared" si="232"/>
        <v>0</v>
      </c>
      <c r="R235" s="1">
        <f t="shared" si="233"/>
        <v>0</v>
      </c>
      <c r="S235" s="1">
        <f t="shared" si="234"/>
        <v>0</v>
      </c>
      <c r="T235" s="1">
        <f t="shared" si="235"/>
        <v>0</v>
      </c>
      <c r="U235" s="1">
        <f t="shared" si="236"/>
        <v>0</v>
      </c>
      <c r="V235" s="1">
        <f t="shared" si="237"/>
        <v>0</v>
      </c>
      <c r="W235" s="1">
        <f t="shared" si="238"/>
        <v>0</v>
      </c>
      <c r="X235" s="1">
        <f t="shared" si="239"/>
        <v>0</v>
      </c>
      <c r="Y235" s="1">
        <f t="shared" si="240"/>
        <v>0</v>
      </c>
      <c r="Z235" s="1">
        <f t="shared" si="241"/>
        <v>0</v>
      </c>
      <c r="AA235" s="1">
        <f t="shared" si="242"/>
        <v>2.079</v>
      </c>
      <c r="AB235" s="1">
        <f t="shared" si="243"/>
        <v>0</v>
      </c>
      <c r="AC235" s="1">
        <f t="shared" si="244"/>
        <v>0</v>
      </c>
      <c r="AD235" s="1">
        <f t="shared" si="245"/>
        <v>31.3425</v>
      </c>
      <c r="AE235" s="1">
        <f t="shared" si="246"/>
        <v>2.205</v>
      </c>
      <c r="AF235" s="1">
        <f t="shared" si="247"/>
        <v>0</v>
      </c>
      <c r="AG235" s="1">
        <f t="shared" si="248"/>
        <v>0</v>
      </c>
      <c r="AH235" s="1">
        <f t="shared" si="249"/>
        <v>0</v>
      </c>
      <c r="AI235" s="1">
        <f t="shared" si="250"/>
        <v>0</v>
      </c>
      <c r="AJ235" s="1">
        <f t="shared" si="251"/>
        <v>0</v>
      </c>
      <c r="AK235" s="1">
        <f t="shared" si="252"/>
        <v>0</v>
      </c>
      <c r="AL235" s="1">
        <f t="shared" si="253"/>
        <v>0</v>
      </c>
      <c r="AM235" s="1">
        <f t="shared" si="254"/>
        <v>0</v>
      </c>
      <c r="AN235" s="1">
        <f t="shared" si="255"/>
        <v>0</v>
      </c>
      <c r="AQ235" s="6">
        <v>2010</v>
      </c>
      <c r="AR235" s="6" t="s">
        <v>251</v>
      </c>
      <c r="AS235" s="6">
        <v>0.07</v>
      </c>
      <c r="AT235" s="6" t="s">
        <v>591</v>
      </c>
      <c r="AU235" s="6" t="s">
        <v>592</v>
      </c>
      <c r="AV235" t="str">
        <f t="shared" si="294"/>
        <v>MINBatMaterials_NI</v>
      </c>
      <c r="AW235">
        <f t="shared" si="295"/>
        <v>0</v>
      </c>
      <c r="AX235">
        <f t="shared" si="296"/>
        <v>0</v>
      </c>
      <c r="AY235">
        <f t="shared" si="297"/>
        <v>16.5</v>
      </c>
      <c r="AZ235">
        <f t="shared" si="298"/>
        <v>0</v>
      </c>
      <c r="BA235">
        <f t="shared" si="299"/>
        <v>0</v>
      </c>
      <c r="BB235">
        <f t="shared" si="300"/>
        <v>0</v>
      </c>
      <c r="BC235">
        <f t="shared" si="301"/>
        <v>11.55</v>
      </c>
      <c r="BD235">
        <f t="shared" si="302"/>
        <v>18</v>
      </c>
      <c r="BE235">
        <f t="shared" si="303"/>
        <v>0</v>
      </c>
      <c r="BF235">
        <f t="shared" si="304"/>
        <v>0</v>
      </c>
      <c r="BG235">
        <f t="shared" si="305"/>
        <v>0</v>
      </c>
      <c r="BH235">
        <f t="shared" si="306"/>
        <v>0</v>
      </c>
      <c r="BI235">
        <f t="shared" si="307"/>
        <v>0</v>
      </c>
      <c r="BJ235">
        <f t="shared" si="308"/>
        <v>0</v>
      </c>
      <c r="BK235">
        <f t="shared" si="309"/>
        <v>0</v>
      </c>
      <c r="BL235">
        <f t="shared" si="310"/>
        <v>0</v>
      </c>
      <c r="BM235">
        <f t="shared" si="311"/>
        <v>0</v>
      </c>
      <c r="BN235">
        <f t="shared" si="312"/>
        <v>0</v>
      </c>
      <c r="BO235">
        <f t="shared" si="313"/>
        <v>0</v>
      </c>
      <c r="BP235">
        <f t="shared" si="314"/>
        <v>0</v>
      </c>
      <c r="BQ235">
        <f t="shared" si="315"/>
        <v>0</v>
      </c>
      <c r="BR235">
        <f t="shared" si="316"/>
        <v>29.7</v>
      </c>
      <c r="BS235">
        <f t="shared" si="317"/>
        <v>0</v>
      </c>
      <c r="BT235">
        <f t="shared" si="318"/>
        <v>0</v>
      </c>
      <c r="BU235">
        <f t="shared" si="319"/>
        <v>447.75</v>
      </c>
      <c r="BV235">
        <f t="shared" si="320"/>
        <v>31.5</v>
      </c>
      <c r="BW235">
        <f t="shared" si="321"/>
        <v>0</v>
      </c>
      <c r="BX235">
        <f t="shared" si="322"/>
        <v>0</v>
      </c>
      <c r="BY235">
        <f t="shared" si="323"/>
        <v>0</v>
      </c>
      <c r="BZ235">
        <f t="shared" si="324"/>
        <v>0</v>
      </c>
      <c r="CA235">
        <f t="shared" si="325"/>
        <v>0</v>
      </c>
      <c r="CB235">
        <f t="shared" si="326"/>
        <v>0</v>
      </c>
      <c r="CC235">
        <f t="shared" si="327"/>
        <v>0</v>
      </c>
      <c r="CD235">
        <f t="shared" si="328"/>
        <v>0</v>
      </c>
      <c r="CE235">
        <f t="shared" si="329"/>
        <v>0</v>
      </c>
      <c r="CG235" s="6">
        <v>2010</v>
      </c>
      <c r="CH235" s="6" t="s">
        <v>251</v>
      </c>
      <c r="CI235" s="6">
        <v>0.07</v>
      </c>
      <c r="CJ235" s="6">
        <v>0.07</v>
      </c>
      <c r="CK235" s="6" t="s">
        <v>591</v>
      </c>
      <c r="CL235" s="6" t="s">
        <v>591</v>
      </c>
      <c r="CM235" s="6" t="s">
        <v>593</v>
      </c>
    </row>
    <row r="236" ht="16" spans="4:91">
      <c r="D236">
        <f t="shared" ref="D236:D254" si="330" xml:space="preserve">D235</f>
        <v>2015</v>
      </c>
      <c r="E236" s="18" t="s">
        <v>255</v>
      </c>
      <c r="F236" s="1">
        <f t="shared" si="222"/>
        <v>0</v>
      </c>
      <c r="G236" s="1">
        <f t="shared" si="223"/>
        <v>11.84232</v>
      </c>
      <c r="H236" s="1">
        <f t="shared" si="224"/>
        <v>0.19152</v>
      </c>
      <c r="I236" s="1">
        <f t="shared" si="225"/>
        <v>0</v>
      </c>
      <c r="J236" s="1">
        <f t="shared" si="226"/>
        <v>0</v>
      </c>
      <c r="K236" s="1">
        <f t="shared" si="227"/>
        <v>0</v>
      </c>
      <c r="L236" s="1">
        <f t="shared" si="228"/>
        <v>0</v>
      </c>
      <c r="M236" s="1">
        <f t="shared" si="221"/>
        <v>0</v>
      </c>
      <c r="N236" s="1">
        <f t="shared" si="229"/>
        <v>0</v>
      </c>
      <c r="O236" s="1">
        <f t="shared" si="230"/>
        <v>0</v>
      </c>
      <c r="P236" s="1">
        <f t="shared" si="231"/>
        <v>0</v>
      </c>
      <c r="Q236" s="1">
        <f t="shared" si="232"/>
        <v>0</v>
      </c>
      <c r="R236" s="1">
        <f t="shared" si="233"/>
        <v>0</v>
      </c>
      <c r="S236" s="1">
        <f t="shared" si="234"/>
        <v>0</v>
      </c>
      <c r="T236" s="1">
        <f t="shared" si="235"/>
        <v>0</v>
      </c>
      <c r="U236" s="1">
        <f t="shared" si="236"/>
        <v>0</v>
      </c>
      <c r="V236" s="1">
        <f t="shared" si="237"/>
        <v>0</v>
      </c>
      <c r="W236" s="1">
        <f t="shared" si="238"/>
        <v>0</v>
      </c>
      <c r="X236" s="1">
        <f t="shared" si="239"/>
        <v>0</v>
      </c>
      <c r="Y236" s="1">
        <f t="shared" si="240"/>
        <v>0.1862</v>
      </c>
      <c r="Z236" s="1">
        <f t="shared" si="241"/>
        <v>0</v>
      </c>
      <c r="AA236" s="1">
        <f t="shared" si="242"/>
        <v>0.25536</v>
      </c>
      <c r="AB236" s="1">
        <f t="shared" si="243"/>
        <v>0</v>
      </c>
      <c r="AC236" s="1">
        <f t="shared" si="244"/>
        <v>0</v>
      </c>
      <c r="AD236" s="1">
        <f t="shared" si="245"/>
        <v>2.33016</v>
      </c>
      <c r="AE236" s="1">
        <f t="shared" si="246"/>
        <v>0.46284</v>
      </c>
      <c r="AF236" s="1">
        <f t="shared" si="247"/>
        <v>0</v>
      </c>
      <c r="AG236" s="1">
        <f t="shared" si="248"/>
        <v>0</v>
      </c>
      <c r="AH236" s="1">
        <f t="shared" si="249"/>
        <v>0</v>
      </c>
      <c r="AI236" s="1">
        <f t="shared" si="250"/>
        <v>0</v>
      </c>
      <c r="AJ236" s="1">
        <f t="shared" si="251"/>
        <v>0</v>
      </c>
      <c r="AK236" s="1">
        <f t="shared" si="252"/>
        <v>0.14364</v>
      </c>
      <c r="AL236" s="1">
        <f t="shared" si="253"/>
        <v>0</v>
      </c>
      <c r="AM236" s="1">
        <f t="shared" si="254"/>
        <v>0</v>
      </c>
      <c r="AN236" s="1">
        <f t="shared" si="255"/>
        <v>0</v>
      </c>
      <c r="AQ236" s="6">
        <v>2010</v>
      </c>
      <c r="AR236" s="6" t="s">
        <v>255</v>
      </c>
      <c r="AS236" s="6">
        <v>0.07</v>
      </c>
      <c r="AT236" s="6" t="s">
        <v>591</v>
      </c>
      <c r="AU236" s="6" t="s">
        <v>592</v>
      </c>
      <c r="AV236" t="str">
        <f t="shared" si="294"/>
        <v>MINBatMaterials_COB</v>
      </c>
      <c r="AW236">
        <f t="shared" si="295"/>
        <v>0</v>
      </c>
      <c r="AX236">
        <f t="shared" si="296"/>
        <v>169.176</v>
      </c>
      <c r="AY236">
        <f t="shared" si="297"/>
        <v>2.736</v>
      </c>
      <c r="AZ236">
        <f t="shared" si="298"/>
        <v>0</v>
      </c>
      <c r="BA236">
        <f t="shared" si="299"/>
        <v>0</v>
      </c>
      <c r="BB236">
        <f t="shared" si="300"/>
        <v>0</v>
      </c>
      <c r="BC236">
        <f t="shared" si="301"/>
        <v>0</v>
      </c>
      <c r="BD236">
        <f t="shared" si="302"/>
        <v>0</v>
      </c>
      <c r="BE236">
        <f t="shared" si="303"/>
        <v>0</v>
      </c>
      <c r="BF236">
        <f t="shared" si="304"/>
        <v>0</v>
      </c>
      <c r="BG236">
        <f t="shared" si="305"/>
        <v>0</v>
      </c>
      <c r="BH236">
        <f t="shared" si="306"/>
        <v>0</v>
      </c>
      <c r="BI236">
        <f t="shared" si="307"/>
        <v>0</v>
      </c>
      <c r="BJ236">
        <f t="shared" si="308"/>
        <v>0</v>
      </c>
      <c r="BK236">
        <f t="shared" si="309"/>
        <v>0</v>
      </c>
      <c r="BL236">
        <f t="shared" si="310"/>
        <v>0</v>
      </c>
      <c r="BM236">
        <f t="shared" si="311"/>
        <v>0</v>
      </c>
      <c r="BN236">
        <f t="shared" si="312"/>
        <v>0</v>
      </c>
      <c r="BO236">
        <f t="shared" si="313"/>
        <v>0</v>
      </c>
      <c r="BP236">
        <f t="shared" si="314"/>
        <v>2.66</v>
      </c>
      <c r="BQ236">
        <f t="shared" si="315"/>
        <v>0</v>
      </c>
      <c r="BR236">
        <f t="shared" si="316"/>
        <v>3.648</v>
      </c>
      <c r="BS236">
        <f t="shared" si="317"/>
        <v>0</v>
      </c>
      <c r="BT236">
        <f t="shared" si="318"/>
        <v>0</v>
      </c>
      <c r="BU236">
        <f t="shared" si="319"/>
        <v>33.288</v>
      </c>
      <c r="BV236">
        <f t="shared" si="320"/>
        <v>6.612</v>
      </c>
      <c r="BW236">
        <f t="shared" si="321"/>
        <v>0</v>
      </c>
      <c r="BX236">
        <f t="shared" si="322"/>
        <v>0</v>
      </c>
      <c r="BY236">
        <f t="shared" si="323"/>
        <v>0</v>
      </c>
      <c r="BZ236">
        <f t="shared" si="324"/>
        <v>0</v>
      </c>
      <c r="CA236">
        <f t="shared" si="325"/>
        <v>0</v>
      </c>
      <c r="CB236">
        <f t="shared" si="326"/>
        <v>2.052</v>
      </c>
      <c r="CC236">
        <f t="shared" si="327"/>
        <v>0</v>
      </c>
      <c r="CD236">
        <f t="shared" si="328"/>
        <v>0</v>
      </c>
      <c r="CE236">
        <f t="shared" si="329"/>
        <v>0</v>
      </c>
      <c r="CG236" s="6">
        <v>2010</v>
      </c>
      <c r="CH236" s="6" t="s">
        <v>255</v>
      </c>
      <c r="CI236" s="6">
        <v>0.07</v>
      </c>
      <c r="CJ236" s="6">
        <v>0.07</v>
      </c>
      <c r="CK236" s="6" t="s">
        <v>591</v>
      </c>
      <c r="CL236" s="6" t="s">
        <v>591</v>
      </c>
      <c r="CM236" s="6" t="s">
        <v>593</v>
      </c>
    </row>
    <row r="237" spans="4:91">
      <c r="D237">
        <f t="shared" si="330"/>
        <v>2015</v>
      </c>
      <c r="E237" t="s">
        <v>256</v>
      </c>
      <c r="F237" s="1">
        <f t="shared" si="222"/>
        <v>0</v>
      </c>
      <c r="G237" s="1">
        <f t="shared" si="223"/>
        <v>4.046</v>
      </c>
      <c r="H237" s="1">
        <f t="shared" si="224"/>
        <v>1.96</v>
      </c>
      <c r="I237" s="1">
        <f t="shared" si="225"/>
        <v>0</v>
      </c>
      <c r="J237" s="1">
        <f t="shared" si="226"/>
        <v>0</v>
      </c>
      <c r="K237" s="1">
        <f t="shared" si="227"/>
        <v>0</v>
      </c>
      <c r="L237" s="1">
        <f t="shared" si="228"/>
        <v>0.413</v>
      </c>
      <c r="M237" s="1">
        <f t="shared" si="221"/>
        <v>0.539</v>
      </c>
      <c r="N237" s="1">
        <f t="shared" si="229"/>
        <v>0</v>
      </c>
      <c r="O237" s="1">
        <f t="shared" si="230"/>
        <v>0</v>
      </c>
      <c r="P237" s="1">
        <f t="shared" si="231"/>
        <v>0</v>
      </c>
      <c r="Q237" s="1">
        <f t="shared" si="232"/>
        <v>0</v>
      </c>
      <c r="R237" s="1">
        <f t="shared" si="233"/>
        <v>0</v>
      </c>
      <c r="S237" s="1">
        <f t="shared" si="234"/>
        <v>0</v>
      </c>
      <c r="T237" s="1">
        <f t="shared" si="235"/>
        <v>0</v>
      </c>
      <c r="U237" s="1">
        <f t="shared" si="236"/>
        <v>0.56</v>
      </c>
      <c r="V237" s="1">
        <f t="shared" si="237"/>
        <v>0</v>
      </c>
      <c r="W237" s="1">
        <f t="shared" si="238"/>
        <v>0</v>
      </c>
      <c r="X237" s="1">
        <f t="shared" si="239"/>
        <v>0</v>
      </c>
      <c r="Y237" s="1">
        <f t="shared" si="240"/>
        <v>0</v>
      </c>
      <c r="Z237" s="1">
        <f t="shared" si="241"/>
        <v>0</v>
      </c>
      <c r="AA237" s="1">
        <f t="shared" si="242"/>
        <v>0</v>
      </c>
      <c r="AB237" s="1">
        <f t="shared" si="243"/>
        <v>0</v>
      </c>
      <c r="AC237" s="1">
        <f t="shared" si="244"/>
        <v>0</v>
      </c>
      <c r="AD237" s="1">
        <f t="shared" si="245"/>
        <v>1.442</v>
      </c>
      <c r="AE237" s="1">
        <f t="shared" si="246"/>
        <v>0</v>
      </c>
      <c r="AF237" s="1">
        <f t="shared" si="247"/>
        <v>0</v>
      </c>
      <c r="AG237" s="1">
        <f t="shared" si="248"/>
        <v>5.18</v>
      </c>
      <c r="AH237" s="1">
        <f t="shared" si="249"/>
        <v>0</v>
      </c>
      <c r="AI237" s="1">
        <f t="shared" si="250"/>
        <v>0</v>
      </c>
      <c r="AJ237" s="1">
        <f t="shared" si="251"/>
        <v>0</v>
      </c>
      <c r="AK237" s="1">
        <f t="shared" si="252"/>
        <v>0</v>
      </c>
      <c r="AL237" s="1">
        <f t="shared" si="253"/>
        <v>0</v>
      </c>
      <c r="AM237" s="1">
        <f t="shared" si="254"/>
        <v>0</v>
      </c>
      <c r="AN237" s="1">
        <f t="shared" si="255"/>
        <v>0</v>
      </c>
      <c r="AQ237" s="6">
        <v>2010</v>
      </c>
      <c r="AR237" s="6" t="s">
        <v>256</v>
      </c>
      <c r="AS237" s="6">
        <v>0.07</v>
      </c>
      <c r="AT237" s="6" t="s">
        <v>591</v>
      </c>
      <c r="AU237" s="6" t="s">
        <v>592</v>
      </c>
      <c r="AV237" t="str">
        <f t="shared" si="294"/>
        <v>MINBatMaterials_MN</v>
      </c>
      <c r="AW237">
        <f t="shared" si="295"/>
        <v>0</v>
      </c>
      <c r="AX237">
        <f t="shared" si="296"/>
        <v>57.8</v>
      </c>
      <c r="AY237">
        <f t="shared" si="297"/>
        <v>28</v>
      </c>
      <c r="AZ237">
        <f t="shared" si="298"/>
        <v>0</v>
      </c>
      <c r="BA237">
        <f t="shared" si="299"/>
        <v>0</v>
      </c>
      <c r="BB237">
        <f t="shared" si="300"/>
        <v>0</v>
      </c>
      <c r="BC237">
        <f t="shared" si="301"/>
        <v>5.9</v>
      </c>
      <c r="BD237">
        <f t="shared" si="302"/>
        <v>7.7</v>
      </c>
      <c r="BE237">
        <f t="shared" si="303"/>
        <v>0</v>
      </c>
      <c r="BF237">
        <f t="shared" si="304"/>
        <v>0</v>
      </c>
      <c r="BG237">
        <f t="shared" si="305"/>
        <v>0</v>
      </c>
      <c r="BH237">
        <f t="shared" si="306"/>
        <v>0</v>
      </c>
      <c r="BI237">
        <f t="shared" si="307"/>
        <v>0</v>
      </c>
      <c r="BJ237">
        <f t="shared" si="308"/>
        <v>0</v>
      </c>
      <c r="BK237">
        <f t="shared" si="309"/>
        <v>0</v>
      </c>
      <c r="BL237">
        <f t="shared" si="310"/>
        <v>8</v>
      </c>
      <c r="BM237">
        <f t="shared" si="311"/>
        <v>0</v>
      </c>
      <c r="BN237">
        <f t="shared" si="312"/>
        <v>0</v>
      </c>
      <c r="BO237">
        <f t="shared" si="313"/>
        <v>0</v>
      </c>
      <c r="BP237">
        <f t="shared" si="314"/>
        <v>0</v>
      </c>
      <c r="BQ237">
        <f t="shared" si="315"/>
        <v>0</v>
      </c>
      <c r="BR237">
        <f t="shared" si="316"/>
        <v>0</v>
      </c>
      <c r="BS237">
        <f t="shared" si="317"/>
        <v>0</v>
      </c>
      <c r="BT237">
        <f t="shared" si="318"/>
        <v>0</v>
      </c>
      <c r="BU237">
        <f t="shared" si="319"/>
        <v>20.6</v>
      </c>
      <c r="BV237">
        <f t="shared" si="320"/>
        <v>0</v>
      </c>
      <c r="BW237">
        <f t="shared" si="321"/>
        <v>0</v>
      </c>
      <c r="BX237">
        <f t="shared" si="322"/>
        <v>74</v>
      </c>
      <c r="BY237">
        <f t="shared" si="323"/>
        <v>0</v>
      </c>
      <c r="BZ237">
        <f t="shared" si="324"/>
        <v>0</v>
      </c>
      <c r="CA237">
        <f t="shared" si="325"/>
        <v>0</v>
      </c>
      <c r="CB237">
        <f t="shared" si="326"/>
        <v>0</v>
      </c>
      <c r="CC237">
        <f t="shared" si="327"/>
        <v>0</v>
      </c>
      <c r="CD237">
        <f t="shared" si="328"/>
        <v>0</v>
      </c>
      <c r="CE237">
        <f t="shared" si="329"/>
        <v>0</v>
      </c>
      <c r="CG237" s="6">
        <v>2010</v>
      </c>
      <c r="CH237" s="6" t="s">
        <v>256</v>
      </c>
      <c r="CI237" s="6">
        <v>0.07</v>
      </c>
      <c r="CJ237" s="6">
        <v>0.07</v>
      </c>
      <c r="CK237" s="6" t="s">
        <v>591</v>
      </c>
      <c r="CL237" s="6" t="s">
        <v>591</v>
      </c>
      <c r="CM237" s="6" t="s">
        <v>593</v>
      </c>
    </row>
    <row r="238" spans="4:91">
      <c r="D238">
        <f t="shared" si="330"/>
        <v>2015</v>
      </c>
      <c r="E238" t="s">
        <v>258</v>
      </c>
      <c r="F238" s="1">
        <f t="shared" si="222"/>
        <v>0</v>
      </c>
      <c r="G238" s="1">
        <f t="shared" si="223"/>
        <v>0.2226</v>
      </c>
      <c r="H238" s="1">
        <f t="shared" si="224"/>
        <v>13.3308</v>
      </c>
      <c r="I238" s="1">
        <f t="shared" si="225"/>
        <v>0</v>
      </c>
      <c r="J238" s="1">
        <f t="shared" si="226"/>
        <v>0</v>
      </c>
      <c r="K238" s="1">
        <f t="shared" si="227"/>
        <v>0</v>
      </c>
      <c r="L238" s="1">
        <f t="shared" si="228"/>
        <v>8.1466</v>
      </c>
      <c r="M238" s="1">
        <f t="shared" ref="M238:M254" si="331" xml:space="preserve">BD238*$CI238</f>
        <v>62.2104</v>
      </c>
      <c r="N238" s="1">
        <f t="shared" si="229"/>
        <v>0</v>
      </c>
      <c r="O238" s="1">
        <f t="shared" si="230"/>
        <v>0</v>
      </c>
      <c r="P238" s="1">
        <f t="shared" si="231"/>
        <v>0</v>
      </c>
      <c r="Q238" s="1">
        <f t="shared" si="232"/>
        <v>0.7112</v>
      </c>
      <c r="R238" s="1">
        <f t="shared" si="233"/>
        <v>0.637</v>
      </c>
      <c r="S238" s="1">
        <f t="shared" si="234"/>
        <v>0</v>
      </c>
      <c r="T238" s="1">
        <f t="shared" si="235"/>
        <v>0</v>
      </c>
      <c r="U238" s="1">
        <f t="shared" si="236"/>
        <v>5.628</v>
      </c>
      <c r="V238" s="1">
        <f t="shared" si="237"/>
        <v>1.1844</v>
      </c>
      <c r="W238" s="1">
        <f t="shared" si="238"/>
        <v>0</v>
      </c>
      <c r="X238" s="1">
        <f t="shared" si="239"/>
        <v>0</v>
      </c>
      <c r="Y238" s="1">
        <f t="shared" si="240"/>
        <v>0</v>
      </c>
      <c r="Z238" s="1">
        <f t="shared" si="241"/>
        <v>1.778</v>
      </c>
      <c r="AA238" s="1">
        <f t="shared" si="242"/>
        <v>1.645</v>
      </c>
      <c r="AB238" s="1">
        <f t="shared" si="243"/>
        <v>0</v>
      </c>
      <c r="AC238" s="1">
        <f t="shared" si="244"/>
        <v>0</v>
      </c>
      <c r="AD238" s="1">
        <f t="shared" si="245"/>
        <v>4.221</v>
      </c>
      <c r="AE238" s="1">
        <f t="shared" si="246"/>
        <v>2.1476</v>
      </c>
      <c r="AF238" s="1">
        <f t="shared" si="247"/>
        <v>1.3328</v>
      </c>
      <c r="AG238" s="1">
        <f t="shared" si="248"/>
        <v>0</v>
      </c>
      <c r="AH238" s="1">
        <f t="shared" si="249"/>
        <v>0.6076</v>
      </c>
      <c r="AI238" s="1">
        <f t="shared" si="250"/>
        <v>0</v>
      </c>
      <c r="AJ238" s="1">
        <f t="shared" si="251"/>
        <v>0</v>
      </c>
      <c r="AK238" s="1">
        <f t="shared" si="252"/>
        <v>0.2366</v>
      </c>
      <c r="AL238" s="1">
        <f t="shared" si="253"/>
        <v>0</v>
      </c>
      <c r="AM238" s="1">
        <f t="shared" si="254"/>
        <v>0</v>
      </c>
      <c r="AN238" s="1">
        <f t="shared" si="255"/>
        <v>0</v>
      </c>
      <c r="AQ238" s="6">
        <v>2010</v>
      </c>
      <c r="AR238" s="6" t="s">
        <v>258</v>
      </c>
      <c r="AS238" s="6">
        <v>0.07</v>
      </c>
      <c r="AT238" s="6" t="s">
        <v>591</v>
      </c>
      <c r="AU238" s="6" t="s">
        <v>592</v>
      </c>
      <c r="AV238" t="str">
        <f t="shared" si="294"/>
        <v>MINBatMaterials_AL</v>
      </c>
      <c r="AW238">
        <f t="shared" si="295"/>
        <v>0</v>
      </c>
      <c r="AX238">
        <f t="shared" si="296"/>
        <v>3.18</v>
      </c>
      <c r="AY238">
        <f t="shared" si="297"/>
        <v>190.44</v>
      </c>
      <c r="AZ238">
        <f t="shared" si="298"/>
        <v>0</v>
      </c>
      <c r="BA238">
        <f t="shared" si="299"/>
        <v>0</v>
      </c>
      <c r="BB238">
        <f t="shared" si="300"/>
        <v>0</v>
      </c>
      <c r="BC238">
        <f t="shared" si="301"/>
        <v>116.38</v>
      </c>
      <c r="BD238">
        <f t="shared" si="302"/>
        <v>888.72</v>
      </c>
      <c r="BE238">
        <f t="shared" si="303"/>
        <v>0</v>
      </c>
      <c r="BF238">
        <f t="shared" si="304"/>
        <v>0</v>
      </c>
      <c r="BG238">
        <f t="shared" si="305"/>
        <v>0</v>
      </c>
      <c r="BH238">
        <f t="shared" si="306"/>
        <v>10.16</v>
      </c>
      <c r="BI238">
        <f t="shared" si="307"/>
        <v>9.1</v>
      </c>
      <c r="BJ238">
        <f t="shared" si="308"/>
        <v>0</v>
      </c>
      <c r="BK238">
        <f t="shared" si="309"/>
        <v>0</v>
      </c>
      <c r="BL238">
        <f t="shared" si="310"/>
        <v>80.4</v>
      </c>
      <c r="BM238">
        <f t="shared" si="311"/>
        <v>16.92</v>
      </c>
      <c r="BN238">
        <f t="shared" si="312"/>
        <v>0</v>
      </c>
      <c r="BO238">
        <f t="shared" si="313"/>
        <v>0</v>
      </c>
      <c r="BP238">
        <f t="shared" si="314"/>
        <v>0</v>
      </c>
      <c r="BQ238">
        <f t="shared" si="315"/>
        <v>25.4</v>
      </c>
      <c r="BR238">
        <f t="shared" si="316"/>
        <v>23.5</v>
      </c>
      <c r="BS238">
        <f t="shared" si="317"/>
        <v>0</v>
      </c>
      <c r="BT238">
        <f t="shared" si="318"/>
        <v>0</v>
      </c>
      <c r="BU238">
        <f t="shared" si="319"/>
        <v>60.3</v>
      </c>
      <c r="BV238">
        <f t="shared" si="320"/>
        <v>30.68</v>
      </c>
      <c r="BW238">
        <f t="shared" si="321"/>
        <v>19.04</v>
      </c>
      <c r="BX238">
        <f t="shared" si="322"/>
        <v>0</v>
      </c>
      <c r="BY238">
        <f t="shared" si="323"/>
        <v>8.68</v>
      </c>
      <c r="BZ238">
        <f t="shared" si="324"/>
        <v>0</v>
      </c>
      <c r="CA238">
        <f t="shared" si="325"/>
        <v>0</v>
      </c>
      <c r="CB238">
        <f t="shared" si="326"/>
        <v>3.38</v>
      </c>
      <c r="CC238">
        <f t="shared" si="327"/>
        <v>0</v>
      </c>
      <c r="CD238">
        <f t="shared" si="328"/>
        <v>0</v>
      </c>
      <c r="CE238">
        <f t="shared" si="329"/>
        <v>0</v>
      </c>
      <c r="CG238" s="6">
        <v>2010</v>
      </c>
      <c r="CH238" s="6" t="s">
        <v>258</v>
      </c>
      <c r="CI238" s="6">
        <v>0.07</v>
      </c>
      <c r="CJ238" s="6">
        <v>0.07</v>
      </c>
      <c r="CK238" s="6" t="s">
        <v>591</v>
      </c>
      <c r="CL238" s="6" t="s">
        <v>591</v>
      </c>
      <c r="CM238" s="6" t="s">
        <v>593</v>
      </c>
    </row>
    <row r="239" spans="4:91">
      <c r="D239">
        <f t="shared" si="330"/>
        <v>2015</v>
      </c>
      <c r="E239" t="s">
        <v>260</v>
      </c>
      <c r="F239" s="1">
        <f t="shared" si="222"/>
        <v>0</v>
      </c>
      <c r="G239" s="1">
        <f t="shared" si="223"/>
        <v>6.965</v>
      </c>
      <c r="H239" s="1">
        <f t="shared" si="224"/>
        <v>1.4</v>
      </c>
      <c r="I239" s="1">
        <f t="shared" si="225"/>
        <v>0</v>
      </c>
      <c r="J239" s="1">
        <f t="shared" si="226"/>
        <v>0</v>
      </c>
      <c r="K239" s="1">
        <f t="shared" si="227"/>
        <v>0</v>
      </c>
      <c r="L239" s="1">
        <f t="shared" si="228"/>
        <v>0</v>
      </c>
      <c r="M239" s="1">
        <f t="shared" si="331"/>
        <v>3.15</v>
      </c>
      <c r="N239" s="1">
        <f t="shared" si="229"/>
        <v>0</v>
      </c>
      <c r="O239" s="1">
        <f t="shared" si="230"/>
        <v>0</v>
      </c>
      <c r="P239" s="1">
        <f t="shared" si="231"/>
        <v>0</v>
      </c>
      <c r="Q239" s="1">
        <f t="shared" si="232"/>
        <v>0</v>
      </c>
      <c r="R239" s="1">
        <f t="shared" si="233"/>
        <v>0</v>
      </c>
      <c r="S239" s="1">
        <f t="shared" si="234"/>
        <v>0</v>
      </c>
      <c r="T239" s="1">
        <f t="shared" si="235"/>
        <v>0</v>
      </c>
      <c r="U239" s="1">
        <f t="shared" si="236"/>
        <v>0.0525</v>
      </c>
      <c r="V239" s="1">
        <f t="shared" si="237"/>
        <v>0</v>
      </c>
      <c r="W239" s="1">
        <f t="shared" si="238"/>
        <v>0</v>
      </c>
      <c r="X239" s="1">
        <f t="shared" si="239"/>
        <v>0</v>
      </c>
      <c r="Y239" s="1">
        <f t="shared" si="240"/>
        <v>13.825</v>
      </c>
      <c r="Z239" s="1">
        <f t="shared" si="241"/>
        <v>0</v>
      </c>
      <c r="AA239" s="1">
        <f t="shared" si="242"/>
        <v>3.9375</v>
      </c>
      <c r="AB239" s="1">
        <f t="shared" si="243"/>
        <v>0</v>
      </c>
      <c r="AC239" s="1">
        <f t="shared" si="244"/>
        <v>0.7175</v>
      </c>
      <c r="AD239" s="1">
        <f t="shared" si="245"/>
        <v>8.225</v>
      </c>
      <c r="AE239" s="1">
        <f t="shared" si="246"/>
        <v>1.6275</v>
      </c>
      <c r="AF239" s="1">
        <f t="shared" si="247"/>
        <v>0</v>
      </c>
      <c r="AG239" s="1">
        <f t="shared" si="248"/>
        <v>0</v>
      </c>
      <c r="AH239" s="1">
        <f t="shared" si="249"/>
        <v>0</v>
      </c>
      <c r="AI239" s="1">
        <f t="shared" si="250"/>
        <v>0</v>
      </c>
      <c r="AJ239" s="1">
        <f t="shared" si="251"/>
        <v>0</v>
      </c>
      <c r="AK239" s="1">
        <f t="shared" si="252"/>
        <v>0</v>
      </c>
      <c r="AL239" s="1">
        <f t="shared" si="253"/>
        <v>0</v>
      </c>
      <c r="AM239" s="1">
        <f t="shared" si="254"/>
        <v>0</v>
      </c>
      <c r="AN239" s="1">
        <f t="shared" si="255"/>
        <v>0</v>
      </c>
      <c r="AQ239" s="6">
        <v>2010</v>
      </c>
      <c r="AR239" s="6" t="s">
        <v>260</v>
      </c>
      <c r="AS239" s="6">
        <v>0.07</v>
      </c>
      <c r="AT239" s="6" t="s">
        <v>591</v>
      </c>
      <c r="AU239" s="6" t="s">
        <v>592</v>
      </c>
      <c r="AV239" t="str">
        <f t="shared" si="294"/>
        <v>MINBatMaterials_COP</v>
      </c>
      <c r="AW239">
        <f t="shared" si="295"/>
        <v>0</v>
      </c>
      <c r="AX239">
        <f t="shared" si="296"/>
        <v>99.5</v>
      </c>
      <c r="AY239">
        <f t="shared" si="297"/>
        <v>20</v>
      </c>
      <c r="AZ239">
        <f t="shared" si="298"/>
        <v>0</v>
      </c>
      <c r="BA239">
        <f t="shared" si="299"/>
        <v>0</v>
      </c>
      <c r="BB239">
        <f t="shared" si="300"/>
        <v>0</v>
      </c>
      <c r="BC239">
        <f t="shared" si="301"/>
        <v>0</v>
      </c>
      <c r="BD239">
        <f t="shared" si="302"/>
        <v>45</v>
      </c>
      <c r="BE239">
        <f t="shared" si="303"/>
        <v>0</v>
      </c>
      <c r="BF239">
        <f t="shared" si="304"/>
        <v>0</v>
      </c>
      <c r="BG239">
        <f t="shared" si="305"/>
        <v>0</v>
      </c>
      <c r="BH239">
        <f t="shared" si="306"/>
        <v>0</v>
      </c>
      <c r="BI239">
        <f t="shared" si="307"/>
        <v>0</v>
      </c>
      <c r="BJ239">
        <f t="shared" si="308"/>
        <v>0</v>
      </c>
      <c r="BK239">
        <f t="shared" si="309"/>
        <v>0</v>
      </c>
      <c r="BL239">
        <f t="shared" si="310"/>
        <v>0.75</v>
      </c>
      <c r="BM239">
        <f t="shared" si="311"/>
        <v>0</v>
      </c>
      <c r="BN239">
        <f t="shared" si="312"/>
        <v>0</v>
      </c>
      <c r="BO239">
        <f t="shared" si="313"/>
        <v>0</v>
      </c>
      <c r="BP239">
        <f t="shared" si="314"/>
        <v>197.5</v>
      </c>
      <c r="BQ239">
        <f t="shared" si="315"/>
        <v>0</v>
      </c>
      <c r="BR239">
        <f t="shared" si="316"/>
        <v>56.25</v>
      </c>
      <c r="BS239">
        <f t="shared" si="317"/>
        <v>0</v>
      </c>
      <c r="BT239">
        <f t="shared" si="318"/>
        <v>10.25</v>
      </c>
      <c r="BU239">
        <f t="shared" si="319"/>
        <v>117.5</v>
      </c>
      <c r="BV239">
        <f t="shared" si="320"/>
        <v>23.25</v>
      </c>
      <c r="BW239">
        <f t="shared" si="321"/>
        <v>0</v>
      </c>
      <c r="BX239">
        <f t="shared" si="322"/>
        <v>0</v>
      </c>
      <c r="BY239">
        <f t="shared" si="323"/>
        <v>0</v>
      </c>
      <c r="BZ239">
        <f t="shared" si="324"/>
        <v>0</v>
      </c>
      <c r="CA239">
        <f t="shared" si="325"/>
        <v>0</v>
      </c>
      <c r="CB239">
        <f t="shared" si="326"/>
        <v>0</v>
      </c>
      <c r="CC239">
        <f t="shared" si="327"/>
        <v>0</v>
      </c>
      <c r="CD239">
        <f t="shared" si="328"/>
        <v>0</v>
      </c>
      <c r="CE239">
        <f t="shared" si="329"/>
        <v>0</v>
      </c>
      <c r="CG239" s="6">
        <v>2010</v>
      </c>
      <c r="CH239" s="6" t="s">
        <v>260</v>
      </c>
      <c r="CI239" s="6">
        <v>0.07</v>
      </c>
      <c r="CJ239" s="6">
        <v>0.07</v>
      </c>
      <c r="CK239" s="6" t="s">
        <v>591</v>
      </c>
      <c r="CL239" s="6" t="s">
        <v>591</v>
      </c>
      <c r="CM239" s="6" t="s">
        <v>593</v>
      </c>
    </row>
    <row r="240" spans="4:91">
      <c r="D240">
        <f t="shared" si="330"/>
        <v>2015</v>
      </c>
      <c r="E240" t="s">
        <v>262</v>
      </c>
      <c r="F240" s="1">
        <f t="shared" ref="F240:L240" si="332" xml:space="preserve">AW240*$AS240</f>
        <v>0</v>
      </c>
      <c r="G240" s="1">
        <f t="shared" si="332"/>
        <v>11.907</v>
      </c>
      <c r="H240" s="1">
        <f t="shared" si="332"/>
        <v>0</v>
      </c>
      <c r="I240" s="1">
        <f t="shared" si="332"/>
        <v>0.0315</v>
      </c>
      <c r="J240" s="1">
        <f t="shared" si="332"/>
        <v>0</v>
      </c>
      <c r="K240" s="1">
        <f t="shared" si="332"/>
        <v>0</v>
      </c>
      <c r="L240" s="1">
        <f t="shared" si="332"/>
        <v>4.284</v>
      </c>
      <c r="M240" s="1">
        <f t="shared" si="331"/>
        <v>80.01</v>
      </c>
      <c r="N240" s="1">
        <f t="shared" ref="N240:AN240" si="333" xml:space="preserve">BE240*$AS240</f>
        <v>0</v>
      </c>
      <c r="O240" s="1">
        <f t="shared" si="333"/>
        <v>0</v>
      </c>
      <c r="P240" s="1">
        <f t="shared" si="333"/>
        <v>0</v>
      </c>
      <c r="Q240" s="1">
        <f t="shared" si="333"/>
        <v>0.0126</v>
      </c>
      <c r="R240" s="1">
        <f t="shared" si="333"/>
        <v>0</v>
      </c>
      <c r="S240" s="1">
        <f t="shared" si="333"/>
        <v>0</v>
      </c>
      <c r="T240" s="1">
        <f t="shared" si="333"/>
        <v>0</v>
      </c>
      <c r="U240" s="1">
        <f t="shared" si="333"/>
        <v>1.764</v>
      </c>
      <c r="V240" s="1">
        <f t="shared" si="333"/>
        <v>0</v>
      </c>
      <c r="W240" s="1">
        <f t="shared" si="333"/>
        <v>0</v>
      </c>
      <c r="X240" s="1">
        <f t="shared" si="333"/>
        <v>0</v>
      </c>
      <c r="Y240" s="1">
        <f t="shared" si="333"/>
        <v>0</v>
      </c>
      <c r="Z240" s="1">
        <f t="shared" si="333"/>
        <v>0</v>
      </c>
      <c r="AA240" s="1">
        <f t="shared" si="333"/>
        <v>1.3167</v>
      </c>
      <c r="AB240" s="1">
        <f t="shared" si="333"/>
        <v>0.441</v>
      </c>
      <c r="AC240" s="1">
        <f t="shared" si="333"/>
        <v>0</v>
      </c>
      <c r="AD240" s="1">
        <f t="shared" si="333"/>
        <v>1.4427</v>
      </c>
      <c r="AE240" s="1">
        <f t="shared" si="333"/>
        <v>1.26</v>
      </c>
      <c r="AF240" s="1">
        <f t="shared" si="333"/>
        <v>0</v>
      </c>
      <c r="AG240" s="1">
        <f t="shared" si="333"/>
        <v>0</v>
      </c>
      <c r="AH240" s="1">
        <f t="shared" si="333"/>
        <v>0</v>
      </c>
      <c r="AI240" s="1">
        <f t="shared" si="333"/>
        <v>0</v>
      </c>
      <c r="AJ240" s="1">
        <f t="shared" si="333"/>
        <v>0</v>
      </c>
      <c r="AK240" s="1">
        <f t="shared" si="333"/>
        <v>0.189</v>
      </c>
      <c r="AL240" s="1">
        <f t="shared" si="333"/>
        <v>0</v>
      </c>
      <c r="AM240" s="1">
        <f t="shared" si="333"/>
        <v>0.0756</v>
      </c>
      <c r="AN240" s="1">
        <f t="shared" si="333"/>
        <v>0</v>
      </c>
      <c r="AQ240" s="6">
        <v>2010</v>
      </c>
      <c r="AR240" s="6" t="s">
        <v>262</v>
      </c>
      <c r="AS240" s="6">
        <v>0.07</v>
      </c>
      <c r="AT240" s="6" t="s">
        <v>591</v>
      </c>
      <c r="AU240" s="6" t="s">
        <v>592</v>
      </c>
      <c r="AV240" t="str">
        <f t="shared" si="294"/>
        <v>MINBatMaterials_GR</v>
      </c>
      <c r="AW240">
        <f t="shared" si="295"/>
        <v>0</v>
      </c>
      <c r="AX240">
        <f t="shared" si="296"/>
        <v>170.1</v>
      </c>
      <c r="AY240">
        <f t="shared" si="297"/>
        <v>0</v>
      </c>
      <c r="AZ240">
        <f t="shared" si="298"/>
        <v>0.45</v>
      </c>
      <c r="BA240">
        <f t="shared" si="299"/>
        <v>0</v>
      </c>
      <c r="BB240">
        <f t="shared" si="300"/>
        <v>0</v>
      </c>
      <c r="BC240">
        <f t="shared" si="301"/>
        <v>61.2</v>
      </c>
      <c r="BD240">
        <f t="shared" si="302"/>
        <v>1143</v>
      </c>
      <c r="BE240">
        <f t="shared" si="303"/>
        <v>0</v>
      </c>
      <c r="BF240">
        <f t="shared" si="304"/>
        <v>0</v>
      </c>
      <c r="BG240">
        <f t="shared" si="305"/>
        <v>0</v>
      </c>
      <c r="BH240">
        <f t="shared" si="306"/>
        <v>0.18</v>
      </c>
      <c r="BI240">
        <f t="shared" si="307"/>
        <v>0</v>
      </c>
      <c r="BJ240">
        <f t="shared" si="308"/>
        <v>0</v>
      </c>
      <c r="BK240">
        <f t="shared" si="309"/>
        <v>0</v>
      </c>
      <c r="BL240">
        <f t="shared" si="310"/>
        <v>25.2</v>
      </c>
      <c r="BM240">
        <f t="shared" si="311"/>
        <v>0</v>
      </c>
      <c r="BN240">
        <f t="shared" si="312"/>
        <v>0</v>
      </c>
      <c r="BO240">
        <f t="shared" si="313"/>
        <v>0</v>
      </c>
      <c r="BP240">
        <f t="shared" si="314"/>
        <v>0</v>
      </c>
      <c r="BQ240">
        <f t="shared" si="315"/>
        <v>0</v>
      </c>
      <c r="BR240">
        <f t="shared" si="316"/>
        <v>18.81</v>
      </c>
      <c r="BS240">
        <f t="shared" si="317"/>
        <v>6.3</v>
      </c>
      <c r="BT240">
        <f t="shared" si="318"/>
        <v>0</v>
      </c>
      <c r="BU240">
        <f t="shared" si="319"/>
        <v>20.61</v>
      </c>
      <c r="BV240">
        <f t="shared" si="320"/>
        <v>18</v>
      </c>
      <c r="BW240">
        <f t="shared" si="321"/>
        <v>0</v>
      </c>
      <c r="BX240">
        <f t="shared" si="322"/>
        <v>0</v>
      </c>
      <c r="BY240">
        <f t="shared" si="323"/>
        <v>0</v>
      </c>
      <c r="BZ240">
        <f t="shared" si="324"/>
        <v>0</v>
      </c>
      <c r="CA240">
        <f t="shared" si="325"/>
        <v>0</v>
      </c>
      <c r="CB240">
        <f t="shared" si="326"/>
        <v>2.7</v>
      </c>
      <c r="CC240">
        <f t="shared" si="327"/>
        <v>0</v>
      </c>
      <c r="CD240">
        <f t="shared" si="328"/>
        <v>1.08</v>
      </c>
      <c r="CE240">
        <f t="shared" si="329"/>
        <v>0</v>
      </c>
      <c r="CG240" s="6">
        <v>2010</v>
      </c>
      <c r="CH240" s="6" t="s">
        <v>262</v>
      </c>
      <c r="CI240" s="6">
        <v>0.07</v>
      </c>
      <c r="CJ240" s="6">
        <v>0.07</v>
      </c>
      <c r="CK240" s="6" t="s">
        <v>591</v>
      </c>
      <c r="CL240" s="6" t="s">
        <v>591</v>
      </c>
      <c r="CM240" s="6" t="s">
        <v>593</v>
      </c>
    </row>
    <row r="241" spans="4:91">
      <c r="D241">
        <v>2010</v>
      </c>
      <c r="E241" t="s">
        <v>68</v>
      </c>
      <c r="F241" s="1">
        <f t="shared" ref="F241:L241" si="334" xml:space="preserve">AW241*$AS241</f>
        <v>0</v>
      </c>
      <c r="G241" s="1">
        <f t="shared" si="334"/>
        <v>0</v>
      </c>
      <c r="H241" s="1">
        <f t="shared" si="334"/>
        <v>4e-6</v>
      </c>
      <c r="I241" s="1">
        <f t="shared" si="334"/>
        <v>1e-5</v>
      </c>
      <c r="J241" s="1">
        <f t="shared" si="334"/>
        <v>4e-6</v>
      </c>
      <c r="K241" s="1">
        <f t="shared" si="334"/>
        <v>0.000104</v>
      </c>
      <c r="L241" s="1">
        <f t="shared" si="334"/>
        <v>1e-5</v>
      </c>
      <c r="M241" s="1">
        <f t="shared" si="331"/>
        <v>0.122238</v>
      </c>
      <c r="N241" s="1">
        <f t="shared" ref="N241:AN241" si="335" xml:space="preserve">BE241*$AS241</f>
        <v>0</v>
      </c>
      <c r="O241" s="1">
        <f t="shared" si="335"/>
        <v>1e-5</v>
      </c>
      <c r="P241" s="1">
        <f t="shared" si="335"/>
        <v>6.3e-5</v>
      </c>
      <c r="Q241" s="1">
        <f t="shared" si="335"/>
        <v>5.2e-5</v>
      </c>
      <c r="R241" s="1">
        <f t="shared" si="335"/>
        <v>0</v>
      </c>
      <c r="S241" s="1">
        <f t="shared" si="335"/>
        <v>1e-5</v>
      </c>
      <c r="T241" s="1">
        <f t="shared" si="335"/>
        <v>0</v>
      </c>
      <c r="U241" s="1">
        <f t="shared" si="335"/>
        <v>0.000125</v>
      </c>
      <c r="V241" s="1">
        <f t="shared" si="335"/>
        <v>0</v>
      </c>
      <c r="W241" s="1">
        <f t="shared" si="335"/>
        <v>2.1e-5</v>
      </c>
      <c r="X241" s="1">
        <f t="shared" si="335"/>
        <v>1e-5</v>
      </c>
      <c r="Y241" s="1">
        <f t="shared" si="335"/>
        <v>4.7e-5</v>
      </c>
      <c r="Z241" s="1">
        <f t="shared" si="335"/>
        <v>4e-6</v>
      </c>
      <c r="AA241" s="1">
        <f t="shared" si="335"/>
        <v>0.000147</v>
      </c>
      <c r="AB241" s="1">
        <f t="shared" si="335"/>
        <v>2.1e-5</v>
      </c>
      <c r="AC241" s="1">
        <f t="shared" si="335"/>
        <v>5.7e-5</v>
      </c>
      <c r="AD241" s="1">
        <f t="shared" si="335"/>
        <v>6.3e-5</v>
      </c>
      <c r="AE241" s="1">
        <f t="shared" si="335"/>
        <v>2e-5</v>
      </c>
      <c r="AF241" s="1">
        <f t="shared" si="335"/>
        <v>0</v>
      </c>
      <c r="AG241" s="1">
        <f t="shared" si="335"/>
        <v>0</v>
      </c>
      <c r="AH241" s="1">
        <f t="shared" si="335"/>
        <v>3.1e-5</v>
      </c>
      <c r="AI241" s="1">
        <f t="shared" si="335"/>
        <v>6.3e-5</v>
      </c>
      <c r="AJ241" s="1">
        <f t="shared" si="335"/>
        <v>1e-5</v>
      </c>
      <c r="AK241" s="1">
        <f t="shared" si="335"/>
        <v>1e-5</v>
      </c>
      <c r="AL241" s="1">
        <f t="shared" si="335"/>
        <v>8.4e-5</v>
      </c>
      <c r="AM241" s="1">
        <f t="shared" si="335"/>
        <v>0</v>
      </c>
      <c r="AN241" s="1">
        <f t="shared" si="335"/>
        <v>0</v>
      </c>
      <c r="AQ241" s="6">
        <v>2010</v>
      </c>
      <c r="AR241" s="6" t="s">
        <v>68</v>
      </c>
      <c r="AS241" s="6">
        <v>0.001</v>
      </c>
      <c r="AT241" s="6" t="s">
        <v>568</v>
      </c>
      <c r="AU241" s="6" t="s">
        <v>594</v>
      </c>
      <c r="AV241" t="str">
        <f t="shared" si="294"/>
        <v>Tra_EV_Batt-LFP_virgin</v>
      </c>
      <c r="AW241">
        <f t="shared" si="295"/>
        <v>0</v>
      </c>
      <c r="AX241">
        <f t="shared" si="296"/>
        <v>0</v>
      </c>
      <c r="AY241">
        <f t="shared" si="297"/>
        <v>0.004</v>
      </c>
      <c r="AZ241">
        <f t="shared" si="298"/>
        <v>0.01</v>
      </c>
      <c r="BA241">
        <f t="shared" si="299"/>
        <v>0.004</v>
      </c>
      <c r="BB241">
        <f t="shared" si="300"/>
        <v>0.104</v>
      </c>
      <c r="BC241">
        <f t="shared" si="301"/>
        <v>0.01</v>
      </c>
      <c r="BD241">
        <f t="shared" si="302"/>
        <v>122.238</v>
      </c>
      <c r="BE241">
        <f t="shared" si="303"/>
        <v>0</v>
      </c>
      <c r="BF241">
        <f t="shared" si="304"/>
        <v>0.01</v>
      </c>
      <c r="BG241">
        <f t="shared" si="305"/>
        <v>0.063</v>
      </c>
      <c r="BH241">
        <f t="shared" si="306"/>
        <v>0.052</v>
      </c>
      <c r="BI241">
        <f t="shared" si="307"/>
        <v>0</v>
      </c>
      <c r="BJ241">
        <f t="shared" si="308"/>
        <v>0.01</v>
      </c>
      <c r="BK241">
        <f t="shared" si="309"/>
        <v>0</v>
      </c>
      <c r="BL241">
        <f t="shared" si="310"/>
        <v>0.125</v>
      </c>
      <c r="BM241">
        <f t="shared" si="311"/>
        <v>0</v>
      </c>
      <c r="BN241">
        <f t="shared" si="312"/>
        <v>0.021</v>
      </c>
      <c r="BO241">
        <f t="shared" si="313"/>
        <v>0.01</v>
      </c>
      <c r="BP241">
        <f t="shared" si="314"/>
        <v>0.047</v>
      </c>
      <c r="BQ241">
        <f t="shared" si="315"/>
        <v>0.004</v>
      </c>
      <c r="BR241">
        <f t="shared" si="316"/>
        <v>0.147</v>
      </c>
      <c r="BS241">
        <f t="shared" si="317"/>
        <v>0.021</v>
      </c>
      <c r="BT241">
        <f t="shared" si="318"/>
        <v>0.057</v>
      </c>
      <c r="BU241">
        <f t="shared" si="319"/>
        <v>0.063</v>
      </c>
      <c r="BV241">
        <f t="shared" si="320"/>
        <v>0.02</v>
      </c>
      <c r="BW241">
        <f t="shared" si="321"/>
        <v>0</v>
      </c>
      <c r="BX241">
        <f t="shared" si="322"/>
        <v>0</v>
      </c>
      <c r="BY241">
        <f t="shared" si="323"/>
        <v>0.031</v>
      </c>
      <c r="BZ241">
        <f t="shared" si="324"/>
        <v>0.063</v>
      </c>
      <c r="CA241">
        <f t="shared" si="325"/>
        <v>0.01</v>
      </c>
      <c r="CB241">
        <f t="shared" si="326"/>
        <v>0.01</v>
      </c>
      <c r="CC241">
        <f t="shared" si="327"/>
        <v>0.084</v>
      </c>
      <c r="CD241">
        <f t="shared" si="328"/>
        <v>0</v>
      </c>
      <c r="CE241">
        <f t="shared" si="329"/>
        <v>0</v>
      </c>
      <c r="CG241" s="6">
        <v>2010</v>
      </c>
      <c r="CH241" s="6" t="s">
        <v>68</v>
      </c>
      <c r="CI241" s="6">
        <v>0.001</v>
      </c>
      <c r="CJ241" s="6">
        <v>0.001</v>
      </c>
      <c r="CK241" s="6" t="s">
        <v>595</v>
      </c>
      <c r="CL241" s="6" t="s">
        <v>596</v>
      </c>
      <c r="CM241" s="6" t="s">
        <v>597</v>
      </c>
    </row>
    <row r="242" spans="4:91">
      <c r="D242">
        <f t="shared" si="330"/>
        <v>2010</v>
      </c>
      <c r="E242" t="s">
        <v>90</v>
      </c>
      <c r="F242" s="1">
        <f t="shared" ref="F242:L242" si="336" xml:space="preserve">AW242*$AS242</f>
        <v>3e-6</v>
      </c>
      <c r="G242" s="1">
        <f t="shared" si="336"/>
        <v>3e-6</v>
      </c>
      <c r="H242" s="1">
        <f t="shared" si="336"/>
        <v>0.000102</v>
      </c>
      <c r="I242" s="1">
        <f t="shared" si="336"/>
        <v>0.000342</v>
      </c>
      <c r="J242" s="1">
        <f t="shared" si="336"/>
        <v>3.9e-5</v>
      </c>
      <c r="K242" s="1">
        <f t="shared" si="336"/>
        <v>0.001564</v>
      </c>
      <c r="L242" s="1">
        <f t="shared" si="336"/>
        <v>1.2e-5</v>
      </c>
      <c r="M242" s="1">
        <f t="shared" si="331"/>
        <v>0.02106</v>
      </c>
      <c r="N242" s="1">
        <f t="shared" ref="N242:AN242" si="337" xml:space="preserve">BE242*$AS242</f>
        <v>2.8e-5</v>
      </c>
      <c r="O242" s="1">
        <f t="shared" si="337"/>
        <v>4.4e-5</v>
      </c>
      <c r="P242" s="1">
        <f t="shared" si="337"/>
        <v>0.00252</v>
      </c>
      <c r="Q242" s="1">
        <f t="shared" si="337"/>
        <v>0.001977</v>
      </c>
      <c r="R242" s="1">
        <f t="shared" si="337"/>
        <v>6e-6</v>
      </c>
      <c r="S242" s="1">
        <f t="shared" si="337"/>
        <v>8.5e-5</v>
      </c>
      <c r="T242" s="1">
        <f t="shared" si="337"/>
        <v>0.000125</v>
      </c>
      <c r="U242" s="1">
        <f t="shared" si="337"/>
        <v>7e-5</v>
      </c>
      <c r="V242" s="1">
        <f t="shared" si="337"/>
        <v>8.2e-5</v>
      </c>
      <c r="W242" s="1">
        <f t="shared" si="337"/>
        <v>0.000256</v>
      </c>
      <c r="X242" s="1">
        <f t="shared" si="337"/>
        <v>0.002283</v>
      </c>
      <c r="Y242" s="1">
        <f t="shared" si="337"/>
        <v>4.5e-5</v>
      </c>
      <c r="Z242" s="1">
        <f t="shared" si="337"/>
        <v>3.9e-5</v>
      </c>
      <c r="AA242" s="1">
        <f t="shared" si="337"/>
        <v>0.006931</v>
      </c>
      <c r="AB242" s="1">
        <f t="shared" si="337"/>
        <v>0.002708</v>
      </c>
      <c r="AC242" s="1">
        <f t="shared" si="337"/>
        <v>5.3e-5</v>
      </c>
      <c r="AD242" s="1">
        <f t="shared" si="337"/>
        <v>0.000474</v>
      </c>
      <c r="AE242" s="1">
        <f t="shared" si="337"/>
        <v>5.6e-5</v>
      </c>
      <c r="AF242" s="1">
        <f t="shared" si="337"/>
        <v>2e-6</v>
      </c>
      <c r="AG242" s="1">
        <f t="shared" si="337"/>
        <v>9e-6</v>
      </c>
      <c r="AH242" s="1">
        <f t="shared" si="337"/>
        <v>0.000523</v>
      </c>
      <c r="AI242" s="1">
        <f t="shared" si="337"/>
        <v>0.00089</v>
      </c>
      <c r="AJ242" s="1">
        <f t="shared" si="337"/>
        <v>0.000337</v>
      </c>
      <c r="AK242" s="1">
        <f t="shared" si="337"/>
        <v>1.2e-5</v>
      </c>
      <c r="AL242" s="1">
        <f t="shared" si="337"/>
        <v>0.001589</v>
      </c>
      <c r="AM242" s="1">
        <f t="shared" si="337"/>
        <v>0.000112</v>
      </c>
      <c r="AN242" s="1">
        <f t="shared" si="337"/>
        <v>5e-6</v>
      </c>
      <c r="AQ242" s="6">
        <v>2010</v>
      </c>
      <c r="AR242" s="6" t="s">
        <v>90</v>
      </c>
      <c r="AS242" s="6">
        <v>0.001</v>
      </c>
      <c r="AT242" s="6" t="s">
        <v>568</v>
      </c>
      <c r="AU242" s="6" t="s">
        <v>594</v>
      </c>
      <c r="AV242" t="str">
        <f t="shared" si="294"/>
        <v>Tra_EV_Batt-NMC622_virgin</v>
      </c>
      <c r="AW242">
        <f t="shared" si="295"/>
        <v>0.003</v>
      </c>
      <c r="AX242">
        <f t="shared" si="296"/>
        <v>0.003</v>
      </c>
      <c r="AY242">
        <f t="shared" si="297"/>
        <v>0.102</v>
      </c>
      <c r="AZ242">
        <f t="shared" si="298"/>
        <v>0.342</v>
      </c>
      <c r="BA242">
        <f t="shared" si="299"/>
        <v>0.039</v>
      </c>
      <c r="BB242">
        <f t="shared" si="300"/>
        <v>1.564</v>
      </c>
      <c r="BC242">
        <f t="shared" si="301"/>
        <v>0.012</v>
      </c>
      <c r="BD242">
        <f t="shared" si="302"/>
        <v>21.06</v>
      </c>
      <c r="BE242">
        <f t="shared" si="303"/>
        <v>0.028</v>
      </c>
      <c r="BF242">
        <f t="shared" si="304"/>
        <v>0.044</v>
      </c>
      <c r="BG242">
        <f t="shared" si="305"/>
        <v>2.52</v>
      </c>
      <c r="BH242">
        <f t="shared" si="306"/>
        <v>1.977</v>
      </c>
      <c r="BI242">
        <f t="shared" si="307"/>
        <v>0.006</v>
      </c>
      <c r="BJ242">
        <f t="shared" si="308"/>
        <v>0.085</v>
      </c>
      <c r="BK242">
        <f t="shared" si="309"/>
        <v>0.125</v>
      </c>
      <c r="BL242">
        <f t="shared" si="310"/>
        <v>0.07</v>
      </c>
      <c r="BM242">
        <f t="shared" si="311"/>
        <v>0.082</v>
      </c>
      <c r="BN242">
        <f t="shared" si="312"/>
        <v>0.256</v>
      </c>
      <c r="BO242">
        <f t="shared" si="313"/>
        <v>2.283</v>
      </c>
      <c r="BP242">
        <f t="shared" si="314"/>
        <v>0.045</v>
      </c>
      <c r="BQ242">
        <f t="shared" si="315"/>
        <v>0.039</v>
      </c>
      <c r="BR242">
        <f t="shared" si="316"/>
        <v>6.931</v>
      </c>
      <c r="BS242">
        <f t="shared" si="317"/>
        <v>2.708</v>
      </c>
      <c r="BT242">
        <f t="shared" si="318"/>
        <v>0.053</v>
      </c>
      <c r="BU242">
        <f t="shared" si="319"/>
        <v>0.474</v>
      </c>
      <c r="BV242">
        <f t="shared" si="320"/>
        <v>0.056</v>
      </c>
      <c r="BW242">
        <f t="shared" si="321"/>
        <v>0.002</v>
      </c>
      <c r="BX242">
        <f t="shared" si="322"/>
        <v>0.009</v>
      </c>
      <c r="BY242">
        <f t="shared" si="323"/>
        <v>0.523</v>
      </c>
      <c r="BZ242">
        <f t="shared" si="324"/>
        <v>0.89</v>
      </c>
      <c r="CA242">
        <f t="shared" si="325"/>
        <v>0.337</v>
      </c>
      <c r="CB242">
        <f t="shared" si="326"/>
        <v>0.012</v>
      </c>
      <c r="CC242">
        <f t="shared" si="327"/>
        <v>1.589</v>
      </c>
      <c r="CD242">
        <f t="shared" si="328"/>
        <v>0.112</v>
      </c>
      <c r="CE242">
        <f t="shared" si="329"/>
        <v>0.005</v>
      </c>
      <c r="CG242" s="6">
        <v>2010</v>
      </c>
      <c r="CH242" s="6" t="s">
        <v>90</v>
      </c>
      <c r="CI242" s="6">
        <v>0.001</v>
      </c>
      <c r="CJ242" s="6">
        <v>0.001</v>
      </c>
      <c r="CK242" s="6" t="s">
        <v>595</v>
      </c>
      <c r="CL242" s="6" t="s">
        <v>596</v>
      </c>
      <c r="CM242" s="6" t="s">
        <v>597</v>
      </c>
    </row>
    <row r="243" spans="4:91">
      <c r="D243">
        <f t="shared" si="330"/>
        <v>2010</v>
      </c>
      <c r="E243" t="s">
        <v>94</v>
      </c>
      <c r="F243" s="1">
        <f t="shared" ref="F243:L243" si="338" xml:space="preserve">AW243*$AS243</f>
        <v>3e-6</v>
      </c>
      <c r="G243" s="1">
        <f t="shared" si="338"/>
        <v>3e-6</v>
      </c>
      <c r="H243" s="1">
        <f t="shared" si="338"/>
        <v>8.5e-5</v>
      </c>
      <c r="I243" s="1">
        <f t="shared" si="338"/>
        <v>0.000279</v>
      </c>
      <c r="J243" s="1">
        <f t="shared" si="338"/>
        <v>3.3e-5</v>
      </c>
      <c r="K243" s="1">
        <f t="shared" si="338"/>
        <v>0.001287</v>
      </c>
      <c r="L243" s="1">
        <f t="shared" si="338"/>
        <v>1e-5</v>
      </c>
      <c r="M243" s="1">
        <f t="shared" si="331"/>
        <v>0.045589</v>
      </c>
      <c r="N243" s="1">
        <f t="shared" ref="N243:AN243" si="339" xml:space="preserve">BE243*$AS243</f>
        <v>2.4e-5</v>
      </c>
      <c r="O243" s="1">
        <f t="shared" si="339"/>
        <v>3.5e-5</v>
      </c>
      <c r="P243" s="1">
        <f t="shared" si="339"/>
        <v>0.001911</v>
      </c>
      <c r="Q243" s="1">
        <f t="shared" si="339"/>
        <v>0.001573</v>
      </c>
      <c r="R243" s="1">
        <f t="shared" si="339"/>
        <v>5e-6</v>
      </c>
      <c r="S243" s="1">
        <f t="shared" si="339"/>
        <v>6.9e-5</v>
      </c>
      <c r="T243" s="1">
        <f t="shared" si="339"/>
        <v>0.000104</v>
      </c>
      <c r="U243" s="1">
        <f t="shared" si="339"/>
        <v>7e-6</v>
      </c>
      <c r="V243" s="1">
        <f t="shared" si="339"/>
        <v>6.7e-5</v>
      </c>
      <c r="W243" s="1">
        <f t="shared" si="339"/>
        <v>0.000203</v>
      </c>
      <c r="X243" s="1">
        <f t="shared" si="339"/>
        <v>0.000422</v>
      </c>
      <c r="Y243" s="1">
        <f t="shared" si="339"/>
        <v>3.9e-5</v>
      </c>
      <c r="Z243" s="1">
        <f t="shared" si="339"/>
        <v>3.3e-5</v>
      </c>
      <c r="AA243" s="1">
        <f t="shared" si="339"/>
        <v>0.004852</v>
      </c>
      <c r="AB243" s="1">
        <f t="shared" si="339"/>
        <v>0.001621</v>
      </c>
      <c r="AC243" s="1">
        <f t="shared" si="339"/>
        <v>4.6e-5</v>
      </c>
      <c r="AD243" s="1">
        <f t="shared" si="339"/>
        <v>0.001542</v>
      </c>
      <c r="AE243" s="1">
        <f t="shared" si="339"/>
        <v>4.8e-5</v>
      </c>
      <c r="AF243" s="1">
        <f t="shared" si="339"/>
        <v>1e-6</v>
      </c>
      <c r="AG243" s="1">
        <f t="shared" si="339"/>
        <v>7e-6</v>
      </c>
      <c r="AH243" s="1">
        <f t="shared" si="339"/>
        <v>0.000424</v>
      </c>
      <c r="AI243" s="1">
        <f t="shared" si="339"/>
        <v>0.000723</v>
      </c>
      <c r="AJ243" s="1">
        <f t="shared" si="339"/>
        <v>0.000275</v>
      </c>
      <c r="AK243" s="1">
        <f t="shared" si="339"/>
        <v>1.1e-5</v>
      </c>
      <c r="AL243" s="1">
        <f t="shared" si="339"/>
        <v>0.001293</v>
      </c>
      <c r="AM243" s="1">
        <f t="shared" si="339"/>
        <v>1.9e-5</v>
      </c>
      <c r="AN243" s="1">
        <f t="shared" si="339"/>
        <v>4e-6</v>
      </c>
      <c r="AQ243" s="6">
        <v>2010</v>
      </c>
      <c r="AR243" s="6" t="s">
        <v>94</v>
      </c>
      <c r="AS243" s="6">
        <v>0.001</v>
      </c>
      <c r="AT243" s="6" t="s">
        <v>568</v>
      </c>
      <c r="AU243" s="6" t="s">
        <v>594</v>
      </c>
      <c r="AV243" t="str">
        <f t="shared" si="294"/>
        <v>Tra_EV_Batt-NMC811_virgin</v>
      </c>
      <c r="AW243">
        <f t="shared" si="295"/>
        <v>0.003</v>
      </c>
      <c r="AX243">
        <f t="shared" si="296"/>
        <v>0.003</v>
      </c>
      <c r="AY243">
        <f t="shared" si="297"/>
        <v>0.085</v>
      </c>
      <c r="AZ243">
        <f t="shared" si="298"/>
        <v>0.279</v>
      </c>
      <c r="BA243">
        <f t="shared" si="299"/>
        <v>0.033</v>
      </c>
      <c r="BB243">
        <f t="shared" si="300"/>
        <v>1.287</v>
      </c>
      <c r="BC243">
        <f t="shared" si="301"/>
        <v>0.01</v>
      </c>
      <c r="BD243">
        <f t="shared" si="302"/>
        <v>45.589</v>
      </c>
      <c r="BE243">
        <f t="shared" si="303"/>
        <v>0.024</v>
      </c>
      <c r="BF243">
        <f t="shared" si="304"/>
        <v>0.035</v>
      </c>
      <c r="BG243">
        <f t="shared" si="305"/>
        <v>1.911</v>
      </c>
      <c r="BH243">
        <f t="shared" si="306"/>
        <v>1.573</v>
      </c>
      <c r="BI243">
        <f t="shared" si="307"/>
        <v>0.005</v>
      </c>
      <c r="BJ243">
        <f t="shared" si="308"/>
        <v>0.069</v>
      </c>
      <c r="BK243">
        <f t="shared" si="309"/>
        <v>0.104</v>
      </c>
      <c r="BL243">
        <f t="shared" si="310"/>
        <v>0.007</v>
      </c>
      <c r="BM243">
        <f t="shared" si="311"/>
        <v>0.067</v>
      </c>
      <c r="BN243">
        <f t="shared" si="312"/>
        <v>0.203</v>
      </c>
      <c r="BO243">
        <f t="shared" si="313"/>
        <v>0.422</v>
      </c>
      <c r="BP243">
        <f t="shared" si="314"/>
        <v>0.039</v>
      </c>
      <c r="BQ243">
        <f t="shared" si="315"/>
        <v>0.033</v>
      </c>
      <c r="BR243">
        <f t="shared" si="316"/>
        <v>4.852</v>
      </c>
      <c r="BS243">
        <f t="shared" si="317"/>
        <v>1.621</v>
      </c>
      <c r="BT243">
        <f t="shared" si="318"/>
        <v>0.046</v>
      </c>
      <c r="BU243">
        <f t="shared" si="319"/>
        <v>1.542</v>
      </c>
      <c r="BV243">
        <f t="shared" si="320"/>
        <v>0.048</v>
      </c>
      <c r="BW243">
        <f t="shared" si="321"/>
        <v>0.001</v>
      </c>
      <c r="BX243">
        <f t="shared" si="322"/>
        <v>0.007</v>
      </c>
      <c r="BY243">
        <f t="shared" si="323"/>
        <v>0.424</v>
      </c>
      <c r="BZ243">
        <f t="shared" si="324"/>
        <v>0.723</v>
      </c>
      <c r="CA243">
        <f t="shared" si="325"/>
        <v>0.275</v>
      </c>
      <c r="CB243">
        <f t="shared" si="326"/>
        <v>0.011</v>
      </c>
      <c r="CC243">
        <f t="shared" si="327"/>
        <v>1.293</v>
      </c>
      <c r="CD243">
        <f t="shared" si="328"/>
        <v>0.019</v>
      </c>
      <c r="CE243">
        <f t="shared" si="329"/>
        <v>0.004</v>
      </c>
      <c r="CG243" s="6">
        <v>2010</v>
      </c>
      <c r="CH243" s="6" t="s">
        <v>94</v>
      </c>
      <c r="CI243" s="6">
        <v>0.001</v>
      </c>
      <c r="CJ243" s="6">
        <v>0.001</v>
      </c>
      <c r="CK243" s="6" t="s">
        <v>595</v>
      </c>
      <c r="CL243" s="6" t="s">
        <v>596</v>
      </c>
      <c r="CM243" s="6" t="s">
        <v>597</v>
      </c>
    </row>
    <row r="244" spans="4:91">
      <c r="D244">
        <f t="shared" si="330"/>
        <v>2010</v>
      </c>
      <c r="E244" t="s">
        <v>86</v>
      </c>
      <c r="F244" s="1">
        <f t="shared" ref="F244:L244" si="340" xml:space="preserve">AW244*$AS244</f>
        <v>1e-6</v>
      </c>
      <c r="G244" s="1">
        <f t="shared" si="340"/>
        <v>1e-6</v>
      </c>
      <c r="H244" s="1">
        <f t="shared" si="340"/>
        <v>1.7e-5</v>
      </c>
      <c r="I244" s="1">
        <f t="shared" si="340"/>
        <v>5.3e-5</v>
      </c>
      <c r="J244" s="1">
        <f t="shared" si="340"/>
        <v>6e-6</v>
      </c>
      <c r="K244" s="1">
        <f t="shared" si="340"/>
        <v>0.000244</v>
      </c>
      <c r="L244" s="1">
        <f t="shared" si="340"/>
        <v>1e-6</v>
      </c>
      <c r="M244" s="1">
        <f t="shared" si="331"/>
        <v>0.009391</v>
      </c>
      <c r="N244" s="1">
        <f t="shared" ref="N244:AN244" si="341" xml:space="preserve">BE244*$AS244</f>
        <v>5e-6</v>
      </c>
      <c r="O244" s="1">
        <f t="shared" si="341"/>
        <v>6e-6</v>
      </c>
      <c r="P244" s="1">
        <f t="shared" si="341"/>
        <v>0.00032</v>
      </c>
      <c r="Q244" s="1">
        <f t="shared" si="341"/>
        <v>0.000288</v>
      </c>
      <c r="R244" s="1">
        <f t="shared" si="341"/>
        <v>1e-6</v>
      </c>
      <c r="S244" s="1">
        <f t="shared" si="341"/>
        <v>1.2e-5</v>
      </c>
      <c r="T244" s="1">
        <f t="shared" si="341"/>
        <v>2.1e-5</v>
      </c>
      <c r="U244" s="1">
        <f t="shared" si="341"/>
        <v>0</v>
      </c>
      <c r="V244" s="1">
        <f t="shared" si="341"/>
        <v>1.3e-5</v>
      </c>
      <c r="W244" s="1">
        <f t="shared" si="341"/>
        <v>3.6e-5</v>
      </c>
      <c r="X244" s="1">
        <f t="shared" si="341"/>
        <v>0</v>
      </c>
      <c r="Y244" s="1">
        <f t="shared" si="341"/>
        <v>4e-6</v>
      </c>
      <c r="Z244" s="1">
        <f t="shared" si="341"/>
        <v>6e-6</v>
      </c>
      <c r="AA244" s="1">
        <f t="shared" si="341"/>
        <v>0.004766</v>
      </c>
      <c r="AB244" s="1">
        <f t="shared" si="341"/>
        <v>0.000527</v>
      </c>
      <c r="AC244" s="1">
        <f t="shared" si="341"/>
        <v>5e-6</v>
      </c>
      <c r="AD244" s="1">
        <f t="shared" si="341"/>
        <v>0.001079</v>
      </c>
      <c r="AE244" s="1">
        <f t="shared" si="341"/>
        <v>8e-6</v>
      </c>
      <c r="AF244" s="1">
        <f t="shared" si="341"/>
        <v>0</v>
      </c>
      <c r="AG244" s="1">
        <f t="shared" si="341"/>
        <v>1e-6</v>
      </c>
      <c r="AH244" s="1">
        <f t="shared" si="341"/>
        <v>7.9e-5</v>
      </c>
      <c r="AI244" s="1">
        <f t="shared" si="341"/>
        <v>0.000134</v>
      </c>
      <c r="AJ244" s="1">
        <f t="shared" si="341"/>
        <v>5.2e-5</v>
      </c>
      <c r="AK244" s="1">
        <f t="shared" si="341"/>
        <v>2e-6</v>
      </c>
      <c r="AL244" s="1">
        <f t="shared" si="341"/>
        <v>0.000243</v>
      </c>
      <c r="AM244" s="1">
        <f t="shared" si="341"/>
        <v>0</v>
      </c>
      <c r="AN244" s="1">
        <f t="shared" si="341"/>
        <v>1e-6</v>
      </c>
      <c r="AQ244" s="6">
        <v>2010</v>
      </c>
      <c r="AR244" s="6" t="s">
        <v>86</v>
      </c>
      <c r="AS244" s="6">
        <v>0.001</v>
      </c>
      <c r="AT244" s="6" t="s">
        <v>568</v>
      </c>
      <c r="AU244" s="6" t="s">
        <v>594</v>
      </c>
      <c r="AV244" t="str">
        <f t="shared" si="294"/>
        <v>Tra_EV_Batt-NMC532_virgin</v>
      </c>
      <c r="AW244">
        <f t="shared" si="295"/>
        <v>0.001</v>
      </c>
      <c r="AX244">
        <f t="shared" si="296"/>
        <v>0.001</v>
      </c>
      <c r="AY244">
        <f t="shared" si="297"/>
        <v>0.017</v>
      </c>
      <c r="AZ244">
        <f t="shared" si="298"/>
        <v>0.053</v>
      </c>
      <c r="BA244">
        <f t="shared" si="299"/>
        <v>0.006</v>
      </c>
      <c r="BB244">
        <f t="shared" si="300"/>
        <v>0.244</v>
      </c>
      <c r="BC244">
        <f t="shared" si="301"/>
        <v>0.001</v>
      </c>
      <c r="BD244">
        <f t="shared" si="302"/>
        <v>9.391</v>
      </c>
      <c r="BE244">
        <f t="shared" si="303"/>
        <v>0.005</v>
      </c>
      <c r="BF244">
        <f t="shared" si="304"/>
        <v>0.006</v>
      </c>
      <c r="BG244">
        <f t="shared" si="305"/>
        <v>0.32</v>
      </c>
      <c r="BH244">
        <f t="shared" si="306"/>
        <v>0.288</v>
      </c>
      <c r="BI244">
        <f t="shared" si="307"/>
        <v>0.001</v>
      </c>
      <c r="BJ244">
        <f t="shared" si="308"/>
        <v>0.012</v>
      </c>
      <c r="BK244">
        <f t="shared" si="309"/>
        <v>0.021</v>
      </c>
      <c r="BL244">
        <f t="shared" si="310"/>
        <v>0</v>
      </c>
      <c r="BM244">
        <f t="shared" si="311"/>
        <v>0.013</v>
      </c>
      <c r="BN244">
        <f t="shared" si="312"/>
        <v>0.036</v>
      </c>
      <c r="BO244">
        <f t="shared" si="313"/>
        <v>0</v>
      </c>
      <c r="BP244">
        <f t="shared" si="314"/>
        <v>0.004</v>
      </c>
      <c r="BQ244">
        <f t="shared" si="315"/>
        <v>0.006</v>
      </c>
      <c r="BR244">
        <f t="shared" si="316"/>
        <v>4.766</v>
      </c>
      <c r="BS244">
        <f t="shared" si="317"/>
        <v>0.527</v>
      </c>
      <c r="BT244">
        <f t="shared" si="318"/>
        <v>0.005</v>
      </c>
      <c r="BU244">
        <f t="shared" si="319"/>
        <v>1.079</v>
      </c>
      <c r="BV244">
        <f t="shared" si="320"/>
        <v>0.008</v>
      </c>
      <c r="BW244">
        <f t="shared" si="321"/>
        <v>0</v>
      </c>
      <c r="BX244">
        <f t="shared" si="322"/>
        <v>0.001</v>
      </c>
      <c r="BY244">
        <f t="shared" si="323"/>
        <v>0.079</v>
      </c>
      <c r="BZ244">
        <f t="shared" si="324"/>
        <v>0.134</v>
      </c>
      <c r="CA244">
        <f t="shared" si="325"/>
        <v>0.052</v>
      </c>
      <c r="CB244">
        <f t="shared" si="326"/>
        <v>0.002</v>
      </c>
      <c r="CC244">
        <f t="shared" si="327"/>
        <v>0.243</v>
      </c>
      <c r="CD244">
        <f t="shared" si="328"/>
        <v>0</v>
      </c>
      <c r="CE244">
        <f t="shared" si="329"/>
        <v>0.001</v>
      </c>
      <c r="CG244" s="6">
        <v>2010</v>
      </c>
      <c r="CH244" s="6" t="s">
        <v>86</v>
      </c>
      <c r="CI244" s="6">
        <v>0.001</v>
      </c>
      <c r="CJ244" s="6">
        <v>0.001</v>
      </c>
      <c r="CK244" s="6" t="s">
        <v>595</v>
      </c>
      <c r="CL244" s="6" t="s">
        <v>596</v>
      </c>
      <c r="CM244" s="6" t="s">
        <v>597</v>
      </c>
    </row>
    <row r="245" spans="4:91">
      <c r="D245">
        <f t="shared" si="330"/>
        <v>2010</v>
      </c>
      <c r="E245" t="s">
        <v>77</v>
      </c>
      <c r="F245" s="1">
        <f t="shared" ref="F245:L245" si="342" xml:space="preserve">AW245*$AS245</f>
        <v>0</v>
      </c>
      <c r="G245" s="1">
        <f t="shared" si="342"/>
        <v>0</v>
      </c>
      <c r="H245" s="1">
        <f t="shared" si="342"/>
        <v>0</v>
      </c>
      <c r="I245" s="1">
        <f t="shared" si="342"/>
        <v>0</v>
      </c>
      <c r="J245" s="1">
        <f t="shared" si="342"/>
        <v>0</v>
      </c>
      <c r="K245" s="1">
        <f t="shared" si="342"/>
        <v>0</v>
      </c>
      <c r="L245" s="1">
        <f t="shared" si="342"/>
        <v>0</v>
      </c>
      <c r="M245" s="1">
        <f t="shared" si="331"/>
        <v>0.001701</v>
      </c>
      <c r="N245" s="1">
        <f t="shared" ref="N245:AN245" si="343" xml:space="preserve">BE245*$AS245</f>
        <v>0</v>
      </c>
      <c r="O245" s="1">
        <f t="shared" si="343"/>
        <v>0</v>
      </c>
      <c r="P245" s="1">
        <f t="shared" si="343"/>
        <v>0</v>
      </c>
      <c r="Q245" s="1">
        <f t="shared" si="343"/>
        <v>0</v>
      </c>
      <c r="R245" s="1">
        <f t="shared" si="343"/>
        <v>0</v>
      </c>
      <c r="S245" s="1">
        <f t="shared" si="343"/>
        <v>0</v>
      </c>
      <c r="T245" s="1">
        <f t="shared" si="343"/>
        <v>0</v>
      </c>
      <c r="U245" s="1">
        <f t="shared" si="343"/>
        <v>0</v>
      </c>
      <c r="V245" s="1">
        <f t="shared" si="343"/>
        <v>0</v>
      </c>
      <c r="W245" s="1">
        <f t="shared" si="343"/>
        <v>0</v>
      </c>
      <c r="X245" s="1">
        <f t="shared" si="343"/>
        <v>0</v>
      </c>
      <c r="Y245" s="1">
        <f t="shared" si="343"/>
        <v>0</v>
      </c>
      <c r="Z245" s="1">
        <f t="shared" si="343"/>
        <v>0</v>
      </c>
      <c r="AA245" s="1">
        <f t="shared" si="343"/>
        <v>0</v>
      </c>
      <c r="AB245" s="1">
        <f t="shared" si="343"/>
        <v>0</v>
      </c>
      <c r="AC245" s="1">
        <f t="shared" si="343"/>
        <v>0</v>
      </c>
      <c r="AD245" s="1">
        <f t="shared" si="343"/>
        <v>0</v>
      </c>
      <c r="AE245" s="1">
        <f t="shared" si="343"/>
        <v>0</v>
      </c>
      <c r="AF245" s="1">
        <f t="shared" si="343"/>
        <v>0</v>
      </c>
      <c r="AG245" s="1">
        <f t="shared" si="343"/>
        <v>0</v>
      </c>
      <c r="AH245" s="1">
        <f t="shared" si="343"/>
        <v>0</v>
      </c>
      <c r="AI245" s="1">
        <f t="shared" si="343"/>
        <v>0</v>
      </c>
      <c r="AJ245" s="1">
        <f t="shared" si="343"/>
        <v>0</v>
      </c>
      <c r="AK245" s="1">
        <f t="shared" si="343"/>
        <v>0</v>
      </c>
      <c r="AL245" s="1">
        <f t="shared" si="343"/>
        <v>0</v>
      </c>
      <c r="AM245" s="1">
        <f t="shared" si="343"/>
        <v>0</v>
      </c>
      <c r="AN245" s="1">
        <f t="shared" si="343"/>
        <v>0</v>
      </c>
      <c r="AQ245" s="6">
        <v>2010</v>
      </c>
      <c r="AR245" s="6" t="s">
        <v>77</v>
      </c>
      <c r="AS245" s="6">
        <v>0.001</v>
      </c>
      <c r="AT245" s="6" t="s">
        <v>568</v>
      </c>
      <c r="AU245" s="6" t="s">
        <v>594</v>
      </c>
      <c r="AV245" t="str">
        <f t="shared" si="294"/>
        <v>Tra_EV_Batt-NCA_virgin</v>
      </c>
      <c r="AW245">
        <f t="shared" si="295"/>
        <v>0</v>
      </c>
      <c r="AX245">
        <f t="shared" si="296"/>
        <v>0</v>
      </c>
      <c r="AY245">
        <f t="shared" si="297"/>
        <v>0</v>
      </c>
      <c r="AZ245">
        <f t="shared" si="298"/>
        <v>0</v>
      </c>
      <c r="BA245">
        <f t="shared" si="299"/>
        <v>0</v>
      </c>
      <c r="BB245">
        <f t="shared" si="300"/>
        <v>0</v>
      </c>
      <c r="BC245">
        <f t="shared" si="301"/>
        <v>0</v>
      </c>
      <c r="BD245">
        <f t="shared" si="302"/>
        <v>1.701</v>
      </c>
      <c r="BE245">
        <f t="shared" si="303"/>
        <v>0</v>
      </c>
      <c r="BF245">
        <f t="shared" si="304"/>
        <v>0</v>
      </c>
      <c r="BG245">
        <f t="shared" si="305"/>
        <v>0</v>
      </c>
      <c r="BH245">
        <f t="shared" si="306"/>
        <v>0</v>
      </c>
      <c r="BI245">
        <f t="shared" si="307"/>
        <v>0</v>
      </c>
      <c r="BJ245">
        <f t="shared" si="308"/>
        <v>0</v>
      </c>
      <c r="BK245">
        <f t="shared" si="309"/>
        <v>0</v>
      </c>
      <c r="BL245">
        <f t="shared" si="310"/>
        <v>0</v>
      </c>
      <c r="BM245">
        <f t="shared" si="311"/>
        <v>0</v>
      </c>
      <c r="BN245">
        <f t="shared" si="312"/>
        <v>0</v>
      </c>
      <c r="BO245">
        <f t="shared" si="313"/>
        <v>0</v>
      </c>
      <c r="BP245">
        <f t="shared" si="314"/>
        <v>0</v>
      </c>
      <c r="BQ245">
        <f t="shared" si="315"/>
        <v>0</v>
      </c>
      <c r="BR245">
        <f t="shared" si="316"/>
        <v>0</v>
      </c>
      <c r="BS245">
        <f t="shared" si="317"/>
        <v>0</v>
      </c>
      <c r="BT245">
        <f t="shared" si="318"/>
        <v>0</v>
      </c>
      <c r="BU245">
        <f t="shared" si="319"/>
        <v>0</v>
      </c>
      <c r="BV245">
        <f t="shared" si="320"/>
        <v>0</v>
      </c>
      <c r="BW245">
        <f t="shared" si="321"/>
        <v>0</v>
      </c>
      <c r="BX245">
        <f t="shared" si="322"/>
        <v>0</v>
      </c>
      <c r="BY245">
        <f t="shared" si="323"/>
        <v>0</v>
      </c>
      <c r="BZ245">
        <f t="shared" si="324"/>
        <v>0</v>
      </c>
      <c r="CA245">
        <f t="shared" si="325"/>
        <v>0</v>
      </c>
      <c r="CB245">
        <f t="shared" si="326"/>
        <v>0</v>
      </c>
      <c r="CC245">
        <f t="shared" si="327"/>
        <v>0</v>
      </c>
      <c r="CD245">
        <f t="shared" si="328"/>
        <v>0</v>
      </c>
      <c r="CE245">
        <f t="shared" si="329"/>
        <v>0</v>
      </c>
      <c r="CG245" s="6">
        <v>2010</v>
      </c>
      <c r="CH245" s="6" t="s">
        <v>77</v>
      </c>
      <c r="CI245" s="6">
        <v>0.001</v>
      </c>
      <c r="CJ245" s="6">
        <v>0.001</v>
      </c>
      <c r="CK245" s="6" t="s">
        <v>595</v>
      </c>
      <c r="CL245" s="6" t="s">
        <v>596</v>
      </c>
      <c r="CM245" s="6" t="s">
        <v>597</v>
      </c>
    </row>
    <row r="246" spans="4:91">
      <c r="D246">
        <f t="shared" si="330"/>
        <v>2010</v>
      </c>
      <c r="E246" t="s">
        <v>73</v>
      </c>
      <c r="F246" s="1">
        <f t="shared" ref="F246:L246" si="344" xml:space="preserve">AW246*$AS246</f>
        <v>2e-6</v>
      </c>
      <c r="G246" s="1">
        <f t="shared" si="344"/>
        <v>2e-6</v>
      </c>
      <c r="H246" s="1">
        <f t="shared" si="344"/>
        <v>6.7e-5</v>
      </c>
      <c r="I246" s="1">
        <f t="shared" si="344"/>
        <v>0.000212</v>
      </c>
      <c r="J246" s="1">
        <f t="shared" si="344"/>
        <v>2.5e-5</v>
      </c>
      <c r="K246" s="1">
        <f t="shared" si="344"/>
        <v>0.000976</v>
      </c>
      <c r="L246" s="1">
        <f t="shared" si="344"/>
        <v>6e-6</v>
      </c>
      <c r="M246" s="1">
        <f t="shared" si="331"/>
        <v>0.002551</v>
      </c>
      <c r="N246" s="1">
        <f t="shared" ref="N246:AN246" si="345" xml:space="preserve">BE246*$AS246</f>
        <v>1.9e-5</v>
      </c>
      <c r="O246" s="1">
        <f t="shared" si="345"/>
        <v>2.2e-5</v>
      </c>
      <c r="P246" s="1">
        <f t="shared" si="345"/>
        <v>0.001282</v>
      </c>
      <c r="Q246" s="1">
        <f t="shared" si="345"/>
        <v>0.001151</v>
      </c>
      <c r="R246" s="1">
        <f t="shared" si="345"/>
        <v>4e-6</v>
      </c>
      <c r="S246" s="1">
        <f t="shared" si="345"/>
        <v>5e-5</v>
      </c>
      <c r="T246" s="1">
        <f t="shared" si="345"/>
        <v>8.4e-5</v>
      </c>
      <c r="U246" s="1">
        <f t="shared" si="345"/>
        <v>0</v>
      </c>
      <c r="V246" s="1">
        <f t="shared" si="345"/>
        <v>5.2e-5</v>
      </c>
      <c r="W246" s="1">
        <f t="shared" si="345"/>
        <v>0.000143</v>
      </c>
      <c r="X246" s="1">
        <f t="shared" si="345"/>
        <v>0.000722</v>
      </c>
      <c r="Y246" s="1">
        <f t="shared" si="345"/>
        <v>1.7e-5</v>
      </c>
      <c r="Z246" s="1">
        <f t="shared" si="345"/>
        <v>2.5e-5</v>
      </c>
      <c r="AA246" s="1">
        <f t="shared" si="345"/>
        <v>0.044259</v>
      </c>
      <c r="AB246" s="1">
        <f t="shared" si="345"/>
        <v>0.003688</v>
      </c>
      <c r="AC246" s="1">
        <f t="shared" si="345"/>
        <v>1.9e-5</v>
      </c>
      <c r="AD246" s="1">
        <f t="shared" si="345"/>
        <v>0.001079</v>
      </c>
      <c r="AE246" s="1">
        <f t="shared" si="345"/>
        <v>3.3e-5</v>
      </c>
      <c r="AF246" s="1">
        <f t="shared" si="345"/>
        <v>1e-6</v>
      </c>
      <c r="AG246" s="1">
        <f t="shared" si="345"/>
        <v>6e-6</v>
      </c>
      <c r="AH246" s="1">
        <f t="shared" si="345"/>
        <v>0.000315</v>
      </c>
      <c r="AI246" s="1">
        <f t="shared" si="345"/>
        <v>0.000535</v>
      </c>
      <c r="AJ246" s="1">
        <f t="shared" si="345"/>
        <v>0.000208</v>
      </c>
      <c r="AK246" s="1">
        <f t="shared" si="345"/>
        <v>6e-6</v>
      </c>
      <c r="AL246" s="1">
        <f t="shared" si="345"/>
        <v>0.00097</v>
      </c>
      <c r="AM246" s="1">
        <f t="shared" si="345"/>
        <v>3.7e-5</v>
      </c>
      <c r="AN246" s="1">
        <f t="shared" si="345"/>
        <v>3e-6</v>
      </c>
      <c r="AQ246" s="6">
        <v>2010</v>
      </c>
      <c r="AR246" s="6" t="s">
        <v>73</v>
      </c>
      <c r="AS246" s="6">
        <v>0.001</v>
      </c>
      <c r="AT246" s="6" t="s">
        <v>568</v>
      </c>
      <c r="AU246" s="6" t="s">
        <v>594</v>
      </c>
      <c r="AV246" t="str">
        <f t="shared" si="294"/>
        <v>Tra_EV_Batt-LMO_virgin</v>
      </c>
      <c r="AW246">
        <f t="shared" si="295"/>
        <v>0.002</v>
      </c>
      <c r="AX246">
        <f t="shared" si="296"/>
        <v>0.002</v>
      </c>
      <c r="AY246">
        <f t="shared" si="297"/>
        <v>0.067</v>
      </c>
      <c r="AZ246">
        <f t="shared" si="298"/>
        <v>0.212</v>
      </c>
      <c r="BA246">
        <f t="shared" si="299"/>
        <v>0.025</v>
      </c>
      <c r="BB246">
        <f t="shared" si="300"/>
        <v>0.976</v>
      </c>
      <c r="BC246">
        <f t="shared" si="301"/>
        <v>0.006</v>
      </c>
      <c r="BD246">
        <f t="shared" si="302"/>
        <v>2.551</v>
      </c>
      <c r="BE246">
        <f t="shared" si="303"/>
        <v>0.019</v>
      </c>
      <c r="BF246">
        <f t="shared" si="304"/>
        <v>0.022</v>
      </c>
      <c r="BG246">
        <f t="shared" si="305"/>
        <v>1.282</v>
      </c>
      <c r="BH246">
        <f t="shared" si="306"/>
        <v>1.151</v>
      </c>
      <c r="BI246">
        <f t="shared" si="307"/>
        <v>0.004</v>
      </c>
      <c r="BJ246">
        <f t="shared" si="308"/>
        <v>0.05</v>
      </c>
      <c r="BK246">
        <f t="shared" si="309"/>
        <v>0.084</v>
      </c>
      <c r="BL246">
        <f t="shared" si="310"/>
        <v>0</v>
      </c>
      <c r="BM246">
        <f t="shared" si="311"/>
        <v>0.052</v>
      </c>
      <c r="BN246">
        <f t="shared" si="312"/>
        <v>0.143</v>
      </c>
      <c r="BO246">
        <f t="shared" si="313"/>
        <v>0.722</v>
      </c>
      <c r="BP246">
        <f t="shared" si="314"/>
        <v>0.017</v>
      </c>
      <c r="BQ246">
        <f t="shared" si="315"/>
        <v>0.025</v>
      </c>
      <c r="BR246">
        <f t="shared" si="316"/>
        <v>44.259</v>
      </c>
      <c r="BS246">
        <f t="shared" si="317"/>
        <v>3.688</v>
      </c>
      <c r="BT246">
        <f t="shared" si="318"/>
        <v>0.019</v>
      </c>
      <c r="BU246">
        <f t="shared" si="319"/>
        <v>1.079</v>
      </c>
      <c r="BV246">
        <f t="shared" si="320"/>
        <v>0.033</v>
      </c>
      <c r="BW246">
        <f t="shared" si="321"/>
        <v>0.001</v>
      </c>
      <c r="BX246">
        <f t="shared" si="322"/>
        <v>0.006</v>
      </c>
      <c r="BY246">
        <f t="shared" si="323"/>
        <v>0.315</v>
      </c>
      <c r="BZ246">
        <f t="shared" si="324"/>
        <v>0.535</v>
      </c>
      <c r="CA246">
        <f t="shared" si="325"/>
        <v>0.208</v>
      </c>
      <c r="CB246">
        <f t="shared" si="326"/>
        <v>0.006</v>
      </c>
      <c r="CC246">
        <f t="shared" si="327"/>
        <v>0.97</v>
      </c>
      <c r="CD246">
        <f t="shared" si="328"/>
        <v>0.037</v>
      </c>
      <c r="CE246">
        <f t="shared" si="329"/>
        <v>0.003</v>
      </c>
      <c r="CG246" s="6">
        <v>2010</v>
      </c>
      <c r="CH246" s="6" t="s">
        <v>73</v>
      </c>
      <c r="CI246" s="6">
        <v>0.001</v>
      </c>
      <c r="CJ246" s="6">
        <v>0.001</v>
      </c>
      <c r="CK246" s="6" t="s">
        <v>595</v>
      </c>
      <c r="CL246" s="6" t="s">
        <v>596</v>
      </c>
      <c r="CM246" s="6" t="s">
        <v>597</v>
      </c>
    </row>
    <row r="247" spans="4:91">
      <c r="D247">
        <f t="shared" si="330"/>
        <v>2010</v>
      </c>
      <c r="E247" t="s">
        <v>81</v>
      </c>
      <c r="F247" s="1">
        <f t="shared" ref="F247:L247" si="346" xml:space="preserve">AW247*$AS247</f>
        <v>2e-6</v>
      </c>
      <c r="G247" s="1">
        <f t="shared" si="346"/>
        <v>2e-6</v>
      </c>
      <c r="H247" s="1">
        <f t="shared" si="346"/>
        <v>6.7e-5</v>
      </c>
      <c r="I247" s="1">
        <f t="shared" si="346"/>
        <v>0.000233</v>
      </c>
      <c r="J247" s="1">
        <f t="shared" si="346"/>
        <v>2.5e-5</v>
      </c>
      <c r="K247" s="1">
        <f t="shared" si="346"/>
        <v>0.001041</v>
      </c>
      <c r="L247" s="1">
        <f t="shared" si="346"/>
        <v>6e-6</v>
      </c>
      <c r="M247" s="1">
        <f t="shared" si="331"/>
        <v>0.001701</v>
      </c>
      <c r="N247" s="1">
        <f t="shared" ref="N247:AN247" si="347" xml:space="preserve">BE247*$AS247</f>
        <v>1.9e-5</v>
      </c>
      <c r="O247" s="1">
        <f t="shared" si="347"/>
        <v>2.9e-5</v>
      </c>
      <c r="P247" s="1">
        <f t="shared" si="347"/>
        <v>0.001859</v>
      </c>
      <c r="Q247" s="1">
        <f t="shared" si="347"/>
        <v>0.001384</v>
      </c>
      <c r="R247" s="1">
        <f t="shared" si="347"/>
        <v>4e-6</v>
      </c>
      <c r="S247" s="1">
        <f t="shared" si="347"/>
        <v>5.7e-5</v>
      </c>
      <c r="T247" s="1">
        <f t="shared" si="347"/>
        <v>8.4e-5</v>
      </c>
      <c r="U247" s="1">
        <f t="shared" si="347"/>
        <v>4.2e-5</v>
      </c>
      <c r="V247" s="1">
        <f t="shared" si="347"/>
        <v>5.6e-5</v>
      </c>
      <c r="W247" s="1">
        <f t="shared" si="347"/>
        <v>0.000178</v>
      </c>
      <c r="X247" s="1">
        <f t="shared" si="347"/>
        <v>0.004084</v>
      </c>
      <c r="Y247" s="1">
        <f t="shared" si="347"/>
        <v>2.1e-5</v>
      </c>
      <c r="Z247" s="1">
        <f t="shared" si="347"/>
        <v>2.5e-5</v>
      </c>
      <c r="AA247" s="1">
        <f t="shared" si="347"/>
        <v>0.007563</v>
      </c>
      <c r="AB247" s="1">
        <f t="shared" si="347"/>
        <v>0.002175</v>
      </c>
      <c r="AC247" s="1">
        <f t="shared" si="347"/>
        <v>2.5e-5</v>
      </c>
      <c r="AD247" s="1">
        <f t="shared" si="347"/>
        <v>0.000237</v>
      </c>
      <c r="AE247" s="1">
        <f t="shared" si="347"/>
        <v>3.3e-5</v>
      </c>
      <c r="AF247" s="1">
        <f t="shared" si="347"/>
        <v>1e-6</v>
      </c>
      <c r="AG247" s="1">
        <f t="shared" si="347"/>
        <v>6e-6</v>
      </c>
      <c r="AH247" s="1">
        <f t="shared" si="347"/>
        <v>0.000355</v>
      </c>
      <c r="AI247" s="1">
        <f t="shared" si="347"/>
        <v>0.000601</v>
      </c>
      <c r="AJ247" s="1">
        <f t="shared" si="347"/>
        <v>0.000229</v>
      </c>
      <c r="AK247" s="1">
        <f t="shared" si="347"/>
        <v>6e-6</v>
      </c>
      <c r="AL247" s="1">
        <f t="shared" si="347"/>
        <v>0.001076</v>
      </c>
      <c r="AM247" s="1">
        <f t="shared" si="347"/>
        <v>0.000205</v>
      </c>
      <c r="AN247" s="1">
        <f t="shared" si="347"/>
        <v>3e-6</v>
      </c>
      <c r="AQ247" s="6">
        <v>2010</v>
      </c>
      <c r="AR247" s="6" t="s">
        <v>81</v>
      </c>
      <c r="AS247" s="6">
        <v>0.001</v>
      </c>
      <c r="AT247" s="6" t="s">
        <v>568</v>
      </c>
      <c r="AU247" s="6" t="s">
        <v>594</v>
      </c>
      <c r="AV247" t="str">
        <f t="shared" si="294"/>
        <v>Tra_EV_Batt-NMC111_virgin</v>
      </c>
      <c r="AW247">
        <f t="shared" si="295"/>
        <v>0.002</v>
      </c>
      <c r="AX247">
        <f t="shared" si="296"/>
        <v>0.002</v>
      </c>
      <c r="AY247">
        <f t="shared" si="297"/>
        <v>0.067</v>
      </c>
      <c r="AZ247">
        <f t="shared" si="298"/>
        <v>0.233</v>
      </c>
      <c r="BA247">
        <f t="shared" si="299"/>
        <v>0.025</v>
      </c>
      <c r="BB247">
        <f t="shared" si="300"/>
        <v>1.041</v>
      </c>
      <c r="BC247">
        <f t="shared" si="301"/>
        <v>0.006</v>
      </c>
      <c r="BD247">
        <f t="shared" si="302"/>
        <v>1.701</v>
      </c>
      <c r="BE247">
        <f t="shared" si="303"/>
        <v>0.019</v>
      </c>
      <c r="BF247">
        <f t="shared" si="304"/>
        <v>0.029</v>
      </c>
      <c r="BG247">
        <f t="shared" si="305"/>
        <v>1.859</v>
      </c>
      <c r="BH247">
        <f t="shared" si="306"/>
        <v>1.384</v>
      </c>
      <c r="BI247">
        <f t="shared" si="307"/>
        <v>0.004</v>
      </c>
      <c r="BJ247">
        <f t="shared" si="308"/>
        <v>0.057</v>
      </c>
      <c r="BK247">
        <f t="shared" si="309"/>
        <v>0.084</v>
      </c>
      <c r="BL247">
        <f t="shared" si="310"/>
        <v>0.042</v>
      </c>
      <c r="BM247">
        <f t="shared" si="311"/>
        <v>0.056</v>
      </c>
      <c r="BN247">
        <f t="shared" si="312"/>
        <v>0.178</v>
      </c>
      <c r="BO247">
        <f t="shared" si="313"/>
        <v>4.084</v>
      </c>
      <c r="BP247">
        <f t="shared" si="314"/>
        <v>0.021</v>
      </c>
      <c r="BQ247">
        <f t="shared" si="315"/>
        <v>0.025</v>
      </c>
      <c r="BR247">
        <f t="shared" si="316"/>
        <v>7.563</v>
      </c>
      <c r="BS247">
        <f t="shared" si="317"/>
        <v>2.175</v>
      </c>
      <c r="BT247">
        <f t="shared" si="318"/>
        <v>0.025</v>
      </c>
      <c r="BU247">
        <f t="shared" si="319"/>
        <v>0.237</v>
      </c>
      <c r="BV247">
        <f t="shared" si="320"/>
        <v>0.033</v>
      </c>
      <c r="BW247">
        <f t="shared" si="321"/>
        <v>0.001</v>
      </c>
      <c r="BX247">
        <f t="shared" si="322"/>
        <v>0.006</v>
      </c>
      <c r="BY247">
        <f t="shared" si="323"/>
        <v>0.355</v>
      </c>
      <c r="BZ247">
        <f t="shared" si="324"/>
        <v>0.601</v>
      </c>
      <c r="CA247">
        <f t="shared" si="325"/>
        <v>0.229</v>
      </c>
      <c r="CB247">
        <f t="shared" si="326"/>
        <v>0.006</v>
      </c>
      <c r="CC247">
        <f t="shared" si="327"/>
        <v>1.076</v>
      </c>
      <c r="CD247">
        <f t="shared" si="328"/>
        <v>0.205</v>
      </c>
      <c r="CE247">
        <f t="shared" si="329"/>
        <v>0.003</v>
      </c>
      <c r="CG247" s="6">
        <v>2010</v>
      </c>
      <c r="CH247" s="6" t="s">
        <v>81</v>
      </c>
      <c r="CI247" s="6">
        <v>0.001</v>
      </c>
      <c r="CJ247" s="6">
        <v>0.001</v>
      </c>
      <c r="CK247" s="6" t="s">
        <v>595</v>
      </c>
      <c r="CL247" s="6" t="s">
        <v>596</v>
      </c>
      <c r="CM247" s="6" t="s">
        <v>597</v>
      </c>
    </row>
    <row r="248" spans="4:91">
      <c r="D248">
        <f t="shared" si="330"/>
        <v>2010</v>
      </c>
      <c r="E248" t="s">
        <v>69</v>
      </c>
      <c r="F248" s="1">
        <f t="shared" ref="F248:L248" si="348" xml:space="preserve">AW248*$AS248</f>
        <v>0</v>
      </c>
      <c r="G248" s="1">
        <f t="shared" si="348"/>
        <v>0</v>
      </c>
      <c r="H248" s="1">
        <f t="shared" si="348"/>
        <v>4e-6</v>
      </c>
      <c r="I248" s="1">
        <f t="shared" si="348"/>
        <v>1e-5</v>
      </c>
      <c r="J248" s="1">
        <f t="shared" si="348"/>
        <v>4e-6</v>
      </c>
      <c r="K248" s="1">
        <f t="shared" si="348"/>
        <v>0.000104</v>
      </c>
      <c r="L248" s="1">
        <f t="shared" si="348"/>
        <v>1e-5</v>
      </c>
      <c r="M248" s="1">
        <f t="shared" si="331"/>
        <v>0.122238</v>
      </c>
      <c r="N248" s="1">
        <f t="shared" ref="N248:AN248" si="349" xml:space="preserve">BE248*$AS248</f>
        <v>0</v>
      </c>
      <c r="O248" s="1">
        <f t="shared" si="349"/>
        <v>1e-5</v>
      </c>
      <c r="P248" s="1">
        <f t="shared" si="349"/>
        <v>6.3e-5</v>
      </c>
      <c r="Q248" s="1">
        <f t="shared" si="349"/>
        <v>5.2e-5</v>
      </c>
      <c r="R248" s="1">
        <f t="shared" si="349"/>
        <v>0</v>
      </c>
      <c r="S248" s="1">
        <f t="shared" si="349"/>
        <v>1e-5</v>
      </c>
      <c r="T248" s="1">
        <f t="shared" si="349"/>
        <v>0</v>
      </c>
      <c r="U248" s="1">
        <f t="shared" si="349"/>
        <v>0.000125</v>
      </c>
      <c r="V248" s="1">
        <f t="shared" si="349"/>
        <v>0</v>
      </c>
      <c r="W248" s="1">
        <f t="shared" si="349"/>
        <v>2.1e-5</v>
      </c>
      <c r="X248" s="1">
        <f t="shared" si="349"/>
        <v>1e-5</v>
      </c>
      <c r="Y248" s="1">
        <f t="shared" si="349"/>
        <v>4.7e-5</v>
      </c>
      <c r="Z248" s="1">
        <f t="shared" si="349"/>
        <v>4e-6</v>
      </c>
      <c r="AA248" s="1">
        <f t="shared" si="349"/>
        <v>0.000147</v>
      </c>
      <c r="AB248" s="1">
        <f t="shared" si="349"/>
        <v>2.1e-5</v>
      </c>
      <c r="AC248" s="1">
        <f t="shared" si="349"/>
        <v>5.7e-5</v>
      </c>
      <c r="AD248" s="1">
        <f t="shared" si="349"/>
        <v>6.3e-5</v>
      </c>
      <c r="AE248" s="1">
        <f t="shared" si="349"/>
        <v>2e-5</v>
      </c>
      <c r="AF248" s="1">
        <f t="shared" si="349"/>
        <v>0</v>
      </c>
      <c r="AG248" s="1">
        <f t="shared" si="349"/>
        <v>0</v>
      </c>
      <c r="AH248" s="1">
        <f t="shared" si="349"/>
        <v>3.1e-5</v>
      </c>
      <c r="AI248" s="1">
        <f t="shared" si="349"/>
        <v>6.3e-5</v>
      </c>
      <c r="AJ248" s="1">
        <f t="shared" si="349"/>
        <v>1e-5</v>
      </c>
      <c r="AK248" s="1">
        <f t="shared" si="349"/>
        <v>1e-5</v>
      </c>
      <c r="AL248" s="1">
        <f t="shared" si="349"/>
        <v>8.4e-5</v>
      </c>
      <c r="AM248" s="1">
        <f t="shared" si="349"/>
        <v>0</v>
      </c>
      <c r="AN248" s="1">
        <f t="shared" si="349"/>
        <v>0</v>
      </c>
      <c r="AQ248" s="6">
        <v>2010</v>
      </c>
      <c r="AR248" s="6" t="s">
        <v>69</v>
      </c>
      <c r="AS248" s="6">
        <v>0.001</v>
      </c>
      <c r="AT248" s="6" t="s">
        <v>568</v>
      </c>
      <c r="AU248" s="6" t="s">
        <v>594</v>
      </c>
      <c r="AV248" t="str">
        <f t="shared" si="294"/>
        <v>Tra_EV_Batt-LFP_virgin_pack</v>
      </c>
      <c r="AW248">
        <f t="shared" si="295"/>
        <v>0</v>
      </c>
      <c r="AX248">
        <f t="shared" si="296"/>
        <v>0</v>
      </c>
      <c r="AY248">
        <f t="shared" si="297"/>
        <v>0.004</v>
      </c>
      <c r="AZ248">
        <f t="shared" si="298"/>
        <v>0.01</v>
      </c>
      <c r="BA248">
        <f t="shared" si="299"/>
        <v>0.004</v>
      </c>
      <c r="BB248">
        <f t="shared" si="300"/>
        <v>0.104</v>
      </c>
      <c r="BC248">
        <f t="shared" si="301"/>
        <v>0.01</v>
      </c>
      <c r="BD248">
        <f t="shared" si="302"/>
        <v>122.238</v>
      </c>
      <c r="BE248">
        <f t="shared" si="303"/>
        <v>0</v>
      </c>
      <c r="BF248">
        <f t="shared" si="304"/>
        <v>0.01</v>
      </c>
      <c r="BG248">
        <f t="shared" si="305"/>
        <v>0.063</v>
      </c>
      <c r="BH248">
        <f t="shared" si="306"/>
        <v>0.052</v>
      </c>
      <c r="BI248">
        <f t="shared" si="307"/>
        <v>0</v>
      </c>
      <c r="BJ248">
        <f t="shared" si="308"/>
        <v>0.01</v>
      </c>
      <c r="BK248">
        <f t="shared" si="309"/>
        <v>0</v>
      </c>
      <c r="BL248">
        <f t="shared" si="310"/>
        <v>0.125</v>
      </c>
      <c r="BM248">
        <f t="shared" si="311"/>
        <v>0</v>
      </c>
      <c r="BN248">
        <f t="shared" si="312"/>
        <v>0.021</v>
      </c>
      <c r="BO248">
        <f t="shared" si="313"/>
        <v>0.01</v>
      </c>
      <c r="BP248">
        <f t="shared" si="314"/>
        <v>0.047</v>
      </c>
      <c r="BQ248">
        <f t="shared" si="315"/>
        <v>0.004</v>
      </c>
      <c r="BR248">
        <f t="shared" si="316"/>
        <v>0.147</v>
      </c>
      <c r="BS248">
        <f t="shared" si="317"/>
        <v>0.021</v>
      </c>
      <c r="BT248">
        <f t="shared" si="318"/>
        <v>0.057</v>
      </c>
      <c r="BU248">
        <f t="shared" si="319"/>
        <v>0.063</v>
      </c>
      <c r="BV248">
        <f t="shared" si="320"/>
        <v>0.02</v>
      </c>
      <c r="BW248">
        <f t="shared" si="321"/>
        <v>0</v>
      </c>
      <c r="BX248">
        <f t="shared" si="322"/>
        <v>0</v>
      </c>
      <c r="BY248">
        <f t="shared" si="323"/>
        <v>0.031</v>
      </c>
      <c r="BZ248">
        <f t="shared" si="324"/>
        <v>0.063</v>
      </c>
      <c r="CA248">
        <f t="shared" si="325"/>
        <v>0.01</v>
      </c>
      <c r="CB248">
        <f t="shared" si="326"/>
        <v>0.01</v>
      </c>
      <c r="CC248">
        <f t="shared" si="327"/>
        <v>0.084</v>
      </c>
      <c r="CD248">
        <f t="shared" si="328"/>
        <v>0</v>
      </c>
      <c r="CE248">
        <f t="shared" si="329"/>
        <v>0</v>
      </c>
      <c r="CG248" s="6">
        <v>2010</v>
      </c>
      <c r="CH248" s="6" t="s">
        <v>69</v>
      </c>
      <c r="CI248" s="6">
        <v>0.001</v>
      </c>
      <c r="CJ248" s="6">
        <v>0.001</v>
      </c>
      <c r="CK248" s="6" t="s">
        <v>595</v>
      </c>
      <c r="CL248" s="6" t="s">
        <v>596</v>
      </c>
      <c r="CM248" s="6" t="s">
        <v>597</v>
      </c>
    </row>
    <row r="249" spans="4:91">
      <c r="D249">
        <f t="shared" si="330"/>
        <v>2010</v>
      </c>
      <c r="E249" t="s">
        <v>91</v>
      </c>
      <c r="F249" s="1">
        <f t="shared" ref="F249:L249" si="350" xml:space="preserve">AW249*$AS249</f>
        <v>3e-6</v>
      </c>
      <c r="G249" s="1">
        <f t="shared" si="350"/>
        <v>3e-6</v>
      </c>
      <c r="H249" s="1">
        <f t="shared" si="350"/>
        <v>0.000102</v>
      </c>
      <c r="I249" s="1">
        <f t="shared" si="350"/>
        <v>0.000342</v>
      </c>
      <c r="J249" s="1">
        <f t="shared" si="350"/>
        <v>3.9e-5</v>
      </c>
      <c r="K249" s="1">
        <f t="shared" si="350"/>
        <v>0.001564</v>
      </c>
      <c r="L249" s="1">
        <f t="shared" si="350"/>
        <v>1.2e-5</v>
      </c>
      <c r="M249" s="1">
        <f t="shared" si="331"/>
        <v>0.02106</v>
      </c>
      <c r="N249" s="1">
        <f t="shared" ref="N249:AN249" si="351" xml:space="preserve">BE249*$AS249</f>
        <v>2.8e-5</v>
      </c>
      <c r="O249" s="1">
        <f t="shared" si="351"/>
        <v>4.4e-5</v>
      </c>
      <c r="P249" s="1">
        <f t="shared" si="351"/>
        <v>0.00252</v>
      </c>
      <c r="Q249" s="1">
        <f t="shared" si="351"/>
        <v>0.001977</v>
      </c>
      <c r="R249" s="1">
        <f t="shared" si="351"/>
        <v>6e-6</v>
      </c>
      <c r="S249" s="1">
        <f t="shared" si="351"/>
        <v>8.5e-5</v>
      </c>
      <c r="T249" s="1">
        <f t="shared" si="351"/>
        <v>0.000125</v>
      </c>
      <c r="U249" s="1">
        <f t="shared" si="351"/>
        <v>7e-5</v>
      </c>
      <c r="V249" s="1">
        <f t="shared" si="351"/>
        <v>8.2e-5</v>
      </c>
      <c r="W249" s="1">
        <f t="shared" si="351"/>
        <v>0.000256</v>
      </c>
      <c r="X249" s="1">
        <f t="shared" si="351"/>
        <v>0.002283</v>
      </c>
      <c r="Y249" s="1">
        <f t="shared" si="351"/>
        <v>4.5e-5</v>
      </c>
      <c r="Z249" s="1">
        <f t="shared" si="351"/>
        <v>3.9e-5</v>
      </c>
      <c r="AA249" s="1">
        <f t="shared" si="351"/>
        <v>0.006931</v>
      </c>
      <c r="AB249" s="1">
        <f t="shared" si="351"/>
        <v>0.002708</v>
      </c>
      <c r="AC249" s="1">
        <f t="shared" si="351"/>
        <v>5.3e-5</v>
      </c>
      <c r="AD249" s="1">
        <f t="shared" si="351"/>
        <v>0.000474</v>
      </c>
      <c r="AE249" s="1">
        <f t="shared" si="351"/>
        <v>5.6e-5</v>
      </c>
      <c r="AF249" s="1">
        <f t="shared" si="351"/>
        <v>2e-6</v>
      </c>
      <c r="AG249" s="1">
        <f t="shared" si="351"/>
        <v>9e-6</v>
      </c>
      <c r="AH249" s="1">
        <f t="shared" si="351"/>
        <v>0.000523</v>
      </c>
      <c r="AI249" s="1">
        <f t="shared" si="351"/>
        <v>0.00089</v>
      </c>
      <c r="AJ249" s="1">
        <f t="shared" si="351"/>
        <v>0.000337</v>
      </c>
      <c r="AK249" s="1">
        <f t="shared" si="351"/>
        <v>1.2e-5</v>
      </c>
      <c r="AL249" s="1">
        <f t="shared" si="351"/>
        <v>0.001589</v>
      </c>
      <c r="AM249" s="1">
        <f t="shared" si="351"/>
        <v>0.000112</v>
      </c>
      <c r="AN249" s="1">
        <f t="shared" si="351"/>
        <v>5e-6</v>
      </c>
      <c r="AQ249" s="6">
        <v>2010</v>
      </c>
      <c r="AR249" s="6" t="s">
        <v>91</v>
      </c>
      <c r="AS249" s="6">
        <v>0.001</v>
      </c>
      <c r="AT249" s="6" t="s">
        <v>568</v>
      </c>
      <c r="AU249" s="6" t="s">
        <v>594</v>
      </c>
      <c r="AV249" t="str">
        <f t="shared" si="294"/>
        <v>Tra_EV_Batt-NMC622_virgin_pack</v>
      </c>
      <c r="AW249">
        <f t="shared" si="295"/>
        <v>0.003</v>
      </c>
      <c r="AX249">
        <f t="shared" si="296"/>
        <v>0.003</v>
      </c>
      <c r="AY249">
        <f t="shared" si="297"/>
        <v>0.102</v>
      </c>
      <c r="AZ249">
        <f t="shared" si="298"/>
        <v>0.342</v>
      </c>
      <c r="BA249">
        <f t="shared" si="299"/>
        <v>0.039</v>
      </c>
      <c r="BB249">
        <f t="shared" si="300"/>
        <v>1.564</v>
      </c>
      <c r="BC249">
        <f t="shared" si="301"/>
        <v>0.012</v>
      </c>
      <c r="BD249">
        <f t="shared" si="302"/>
        <v>21.06</v>
      </c>
      <c r="BE249">
        <f t="shared" si="303"/>
        <v>0.028</v>
      </c>
      <c r="BF249">
        <f t="shared" si="304"/>
        <v>0.044</v>
      </c>
      <c r="BG249">
        <f t="shared" si="305"/>
        <v>2.52</v>
      </c>
      <c r="BH249">
        <f t="shared" si="306"/>
        <v>1.977</v>
      </c>
      <c r="BI249">
        <f t="shared" si="307"/>
        <v>0.006</v>
      </c>
      <c r="BJ249">
        <f t="shared" si="308"/>
        <v>0.085</v>
      </c>
      <c r="BK249">
        <f t="shared" si="309"/>
        <v>0.125</v>
      </c>
      <c r="BL249">
        <f t="shared" si="310"/>
        <v>0.07</v>
      </c>
      <c r="BM249">
        <f t="shared" si="311"/>
        <v>0.082</v>
      </c>
      <c r="BN249">
        <f t="shared" si="312"/>
        <v>0.256</v>
      </c>
      <c r="BO249">
        <f t="shared" si="313"/>
        <v>2.283</v>
      </c>
      <c r="BP249">
        <f t="shared" si="314"/>
        <v>0.045</v>
      </c>
      <c r="BQ249">
        <f t="shared" si="315"/>
        <v>0.039</v>
      </c>
      <c r="BR249">
        <f t="shared" si="316"/>
        <v>6.931</v>
      </c>
      <c r="BS249">
        <f t="shared" si="317"/>
        <v>2.708</v>
      </c>
      <c r="BT249">
        <f t="shared" si="318"/>
        <v>0.053</v>
      </c>
      <c r="BU249">
        <f t="shared" si="319"/>
        <v>0.474</v>
      </c>
      <c r="BV249">
        <f t="shared" si="320"/>
        <v>0.056</v>
      </c>
      <c r="BW249">
        <f t="shared" si="321"/>
        <v>0.002</v>
      </c>
      <c r="BX249">
        <f t="shared" si="322"/>
        <v>0.009</v>
      </c>
      <c r="BY249">
        <f t="shared" si="323"/>
        <v>0.523</v>
      </c>
      <c r="BZ249">
        <f t="shared" si="324"/>
        <v>0.89</v>
      </c>
      <c r="CA249">
        <f t="shared" si="325"/>
        <v>0.337</v>
      </c>
      <c r="CB249">
        <f t="shared" si="326"/>
        <v>0.012</v>
      </c>
      <c r="CC249">
        <f t="shared" si="327"/>
        <v>1.589</v>
      </c>
      <c r="CD249">
        <f t="shared" si="328"/>
        <v>0.112</v>
      </c>
      <c r="CE249">
        <f t="shared" si="329"/>
        <v>0.005</v>
      </c>
      <c r="CG249" s="6">
        <v>2010</v>
      </c>
      <c r="CH249" s="6" t="s">
        <v>91</v>
      </c>
      <c r="CI249" s="6">
        <v>0.001</v>
      </c>
      <c r="CJ249" s="6">
        <v>0.001</v>
      </c>
      <c r="CK249" s="6" t="s">
        <v>595</v>
      </c>
      <c r="CL249" s="6" t="s">
        <v>596</v>
      </c>
      <c r="CM249" s="6" t="s">
        <v>597</v>
      </c>
    </row>
    <row r="250" spans="4:91">
      <c r="D250">
        <f t="shared" si="330"/>
        <v>2010</v>
      </c>
      <c r="E250" t="s">
        <v>95</v>
      </c>
      <c r="F250" s="1">
        <f t="shared" ref="F250:L250" si="352" xml:space="preserve">AW250*$AS250</f>
        <v>3e-6</v>
      </c>
      <c r="G250" s="1">
        <f t="shared" si="352"/>
        <v>3e-6</v>
      </c>
      <c r="H250" s="1">
        <f t="shared" si="352"/>
        <v>8.5e-5</v>
      </c>
      <c r="I250" s="1">
        <f t="shared" si="352"/>
        <v>0.000279</v>
      </c>
      <c r="J250" s="1">
        <f t="shared" si="352"/>
        <v>3.3e-5</v>
      </c>
      <c r="K250" s="1">
        <f t="shared" si="352"/>
        <v>0.001287</v>
      </c>
      <c r="L250" s="1">
        <f t="shared" si="352"/>
        <v>1e-5</v>
      </c>
      <c r="M250" s="1">
        <f t="shared" si="331"/>
        <v>0.045589</v>
      </c>
      <c r="N250" s="1">
        <f t="shared" ref="N250:AN250" si="353" xml:space="preserve">BE250*$AS250</f>
        <v>2.4e-5</v>
      </c>
      <c r="O250" s="1">
        <f t="shared" si="353"/>
        <v>3.5e-5</v>
      </c>
      <c r="P250" s="1">
        <f t="shared" si="353"/>
        <v>0.001911</v>
      </c>
      <c r="Q250" s="1">
        <f t="shared" si="353"/>
        <v>0.001573</v>
      </c>
      <c r="R250" s="1">
        <f t="shared" si="353"/>
        <v>5e-6</v>
      </c>
      <c r="S250" s="1">
        <f t="shared" si="353"/>
        <v>6.9e-5</v>
      </c>
      <c r="T250" s="1">
        <f t="shared" si="353"/>
        <v>0.000104</v>
      </c>
      <c r="U250" s="1">
        <f t="shared" si="353"/>
        <v>7e-6</v>
      </c>
      <c r="V250" s="1">
        <f t="shared" si="353"/>
        <v>6.7e-5</v>
      </c>
      <c r="W250" s="1">
        <f t="shared" si="353"/>
        <v>0.000203</v>
      </c>
      <c r="X250" s="1">
        <f t="shared" si="353"/>
        <v>0.000422</v>
      </c>
      <c r="Y250" s="1">
        <f t="shared" si="353"/>
        <v>3.9e-5</v>
      </c>
      <c r="Z250" s="1">
        <f t="shared" si="353"/>
        <v>3.3e-5</v>
      </c>
      <c r="AA250" s="1">
        <f t="shared" si="353"/>
        <v>0.004852</v>
      </c>
      <c r="AB250" s="1">
        <f t="shared" si="353"/>
        <v>0.001621</v>
      </c>
      <c r="AC250" s="1">
        <f t="shared" si="353"/>
        <v>4.6e-5</v>
      </c>
      <c r="AD250" s="1">
        <f t="shared" si="353"/>
        <v>0.001542</v>
      </c>
      <c r="AE250" s="1">
        <f t="shared" si="353"/>
        <v>4.8e-5</v>
      </c>
      <c r="AF250" s="1">
        <f t="shared" si="353"/>
        <v>1e-6</v>
      </c>
      <c r="AG250" s="1">
        <f t="shared" si="353"/>
        <v>7e-6</v>
      </c>
      <c r="AH250" s="1">
        <f t="shared" si="353"/>
        <v>0.000424</v>
      </c>
      <c r="AI250" s="1">
        <f t="shared" si="353"/>
        <v>0.000723</v>
      </c>
      <c r="AJ250" s="1">
        <f t="shared" si="353"/>
        <v>0.000275</v>
      </c>
      <c r="AK250" s="1">
        <f t="shared" si="353"/>
        <v>1.1e-5</v>
      </c>
      <c r="AL250" s="1">
        <f t="shared" si="353"/>
        <v>0.001293</v>
      </c>
      <c r="AM250" s="1">
        <f t="shared" si="353"/>
        <v>1.9e-5</v>
      </c>
      <c r="AN250" s="1">
        <f t="shared" si="353"/>
        <v>4e-6</v>
      </c>
      <c r="AQ250" s="6">
        <v>2010</v>
      </c>
      <c r="AR250" s="6" t="s">
        <v>95</v>
      </c>
      <c r="AS250" s="6">
        <v>0.001</v>
      </c>
      <c r="AT250" s="6" t="s">
        <v>568</v>
      </c>
      <c r="AU250" s="6" t="s">
        <v>594</v>
      </c>
      <c r="AV250" t="str">
        <f t="shared" si="294"/>
        <v>Tra_EV_Batt-NMC811_virgin_pack</v>
      </c>
      <c r="AW250">
        <f t="shared" si="295"/>
        <v>0.003</v>
      </c>
      <c r="AX250">
        <f t="shared" si="296"/>
        <v>0.003</v>
      </c>
      <c r="AY250">
        <f t="shared" si="297"/>
        <v>0.085</v>
      </c>
      <c r="AZ250">
        <f t="shared" si="298"/>
        <v>0.279</v>
      </c>
      <c r="BA250">
        <f t="shared" si="299"/>
        <v>0.033</v>
      </c>
      <c r="BB250">
        <f t="shared" si="300"/>
        <v>1.287</v>
      </c>
      <c r="BC250">
        <f t="shared" si="301"/>
        <v>0.01</v>
      </c>
      <c r="BD250">
        <f t="shared" si="302"/>
        <v>45.589</v>
      </c>
      <c r="BE250">
        <f t="shared" si="303"/>
        <v>0.024</v>
      </c>
      <c r="BF250">
        <f t="shared" si="304"/>
        <v>0.035</v>
      </c>
      <c r="BG250">
        <f t="shared" si="305"/>
        <v>1.911</v>
      </c>
      <c r="BH250">
        <f t="shared" si="306"/>
        <v>1.573</v>
      </c>
      <c r="BI250">
        <f t="shared" si="307"/>
        <v>0.005</v>
      </c>
      <c r="BJ250">
        <f t="shared" si="308"/>
        <v>0.069</v>
      </c>
      <c r="BK250">
        <f t="shared" si="309"/>
        <v>0.104</v>
      </c>
      <c r="BL250">
        <f t="shared" si="310"/>
        <v>0.007</v>
      </c>
      <c r="BM250">
        <f t="shared" si="311"/>
        <v>0.067</v>
      </c>
      <c r="BN250">
        <f t="shared" si="312"/>
        <v>0.203</v>
      </c>
      <c r="BO250">
        <f t="shared" si="313"/>
        <v>0.422</v>
      </c>
      <c r="BP250">
        <f t="shared" si="314"/>
        <v>0.039</v>
      </c>
      <c r="BQ250">
        <f t="shared" si="315"/>
        <v>0.033</v>
      </c>
      <c r="BR250">
        <f t="shared" si="316"/>
        <v>4.852</v>
      </c>
      <c r="BS250">
        <f t="shared" si="317"/>
        <v>1.621</v>
      </c>
      <c r="BT250">
        <f t="shared" si="318"/>
        <v>0.046</v>
      </c>
      <c r="BU250">
        <f t="shared" si="319"/>
        <v>1.542</v>
      </c>
      <c r="BV250">
        <f t="shared" si="320"/>
        <v>0.048</v>
      </c>
      <c r="BW250">
        <f t="shared" si="321"/>
        <v>0.001</v>
      </c>
      <c r="BX250">
        <f t="shared" si="322"/>
        <v>0.007</v>
      </c>
      <c r="BY250">
        <f t="shared" si="323"/>
        <v>0.424</v>
      </c>
      <c r="BZ250">
        <f t="shared" si="324"/>
        <v>0.723</v>
      </c>
      <c r="CA250">
        <f t="shared" si="325"/>
        <v>0.275</v>
      </c>
      <c r="CB250">
        <f t="shared" si="326"/>
        <v>0.011</v>
      </c>
      <c r="CC250">
        <f t="shared" si="327"/>
        <v>1.293</v>
      </c>
      <c r="CD250">
        <f t="shared" si="328"/>
        <v>0.019</v>
      </c>
      <c r="CE250">
        <f t="shared" si="329"/>
        <v>0.004</v>
      </c>
      <c r="CG250" s="6">
        <v>2010</v>
      </c>
      <c r="CH250" s="6" t="s">
        <v>95</v>
      </c>
      <c r="CI250" s="6">
        <v>0.001</v>
      </c>
      <c r="CJ250" s="6">
        <v>0.001</v>
      </c>
      <c r="CK250" s="6" t="s">
        <v>595</v>
      </c>
      <c r="CL250" s="6" t="s">
        <v>596</v>
      </c>
      <c r="CM250" s="6" t="s">
        <v>597</v>
      </c>
    </row>
    <row r="251" spans="4:91">
      <c r="D251">
        <f t="shared" si="330"/>
        <v>2010</v>
      </c>
      <c r="E251" t="s">
        <v>87</v>
      </c>
      <c r="F251" s="1">
        <f t="shared" ref="F251:L251" si="354" xml:space="preserve">AW251*$AS251</f>
        <v>1e-6</v>
      </c>
      <c r="G251" s="1">
        <f t="shared" si="354"/>
        <v>1e-6</v>
      </c>
      <c r="H251" s="1">
        <f t="shared" si="354"/>
        <v>1.7e-5</v>
      </c>
      <c r="I251" s="1">
        <f t="shared" si="354"/>
        <v>5.3e-5</v>
      </c>
      <c r="J251" s="1">
        <f t="shared" si="354"/>
        <v>6e-6</v>
      </c>
      <c r="K251" s="1">
        <f t="shared" si="354"/>
        <v>0.000244</v>
      </c>
      <c r="L251" s="1">
        <f t="shared" si="354"/>
        <v>1e-6</v>
      </c>
      <c r="M251" s="1">
        <f t="shared" si="331"/>
        <v>0.009391</v>
      </c>
      <c r="N251" s="1">
        <f t="shared" ref="N251:AN251" si="355" xml:space="preserve">BE251*$AS251</f>
        <v>5e-6</v>
      </c>
      <c r="O251" s="1">
        <f t="shared" si="355"/>
        <v>6e-6</v>
      </c>
      <c r="P251" s="1">
        <f t="shared" si="355"/>
        <v>0.00032</v>
      </c>
      <c r="Q251" s="1">
        <f t="shared" si="355"/>
        <v>0.000288</v>
      </c>
      <c r="R251" s="1">
        <f t="shared" si="355"/>
        <v>1e-6</v>
      </c>
      <c r="S251" s="1">
        <f t="shared" si="355"/>
        <v>1.2e-5</v>
      </c>
      <c r="T251" s="1">
        <f t="shared" si="355"/>
        <v>2.1e-5</v>
      </c>
      <c r="U251" s="1">
        <f t="shared" si="355"/>
        <v>0</v>
      </c>
      <c r="V251" s="1">
        <f t="shared" si="355"/>
        <v>1.3e-5</v>
      </c>
      <c r="W251" s="1">
        <f t="shared" si="355"/>
        <v>3.6e-5</v>
      </c>
      <c r="X251" s="1">
        <f t="shared" si="355"/>
        <v>0</v>
      </c>
      <c r="Y251" s="1">
        <f t="shared" si="355"/>
        <v>4e-6</v>
      </c>
      <c r="Z251" s="1">
        <f t="shared" si="355"/>
        <v>6e-6</v>
      </c>
      <c r="AA251" s="1">
        <f t="shared" si="355"/>
        <v>0.004766</v>
      </c>
      <c r="AB251" s="1">
        <f t="shared" si="355"/>
        <v>0.000527</v>
      </c>
      <c r="AC251" s="1">
        <f t="shared" si="355"/>
        <v>5e-6</v>
      </c>
      <c r="AD251" s="1">
        <f t="shared" si="355"/>
        <v>0.001079</v>
      </c>
      <c r="AE251" s="1">
        <f t="shared" si="355"/>
        <v>8e-6</v>
      </c>
      <c r="AF251" s="1">
        <f t="shared" si="355"/>
        <v>0</v>
      </c>
      <c r="AG251" s="1">
        <f t="shared" si="355"/>
        <v>1e-6</v>
      </c>
      <c r="AH251" s="1">
        <f t="shared" si="355"/>
        <v>7.9e-5</v>
      </c>
      <c r="AI251" s="1">
        <f t="shared" si="355"/>
        <v>0.000134</v>
      </c>
      <c r="AJ251" s="1">
        <f t="shared" si="355"/>
        <v>5.2e-5</v>
      </c>
      <c r="AK251" s="1">
        <f t="shared" si="355"/>
        <v>2e-6</v>
      </c>
      <c r="AL251" s="1">
        <f t="shared" si="355"/>
        <v>0.000243</v>
      </c>
      <c r="AM251" s="1">
        <f t="shared" si="355"/>
        <v>0</v>
      </c>
      <c r="AN251" s="1">
        <f t="shared" si="355"/>
        <v>1e-6</v>
      </c>
      <c r="AQ251" s="6">
        <v>2010</v>
      </c>
      <c r="AR251" s="6" t="s">
        <v>87</v>
      </c>
      <c r="AS251" s="6">
        <v>0.001</v>
      </c>
      <c r="AT251" s="6" t="s">
        <v>568</v>
      </c>
      <c r="AU251" s="6" t="s">
        <v>594</v>
      </c>
      <c r="AV251" t="str">
        <f t="shared" si="294"/>
        <v> Tra_EV_Batt-NMC532_virgin_pack</v>
      </c>
      <c r="AW251">
        <f t="shared" si="295"/>
        <v>0.001</v>
      </c>
      <c r="AX251">
        <f t="shared" si="296"/>
        <v>0.001</v>
      </c>
      <c r="AY251">
        <f t="shared" si="297"/>
        <v>0.017</v>
      </c>
      <c r="AZ251">
        <f t="shared" si="298"/>
        <v>0.053</v>
      </c>
      <c r="BA251">
        <f t="shared" si="299"/>
        <v>0.006</v>
      </c>
      <c r="BB251">
        <f t="shared" si="300"/>
        <v>0.244</v>
      </c>
      <c r="BC251">
        <f t="shared" si="301"/>
        <v>0.001</v>
      </c>
      <c r="BD251">
        <f t="shared" si="302"/>
        <v>9.391</v>
      </c>
      <c r="BE251">
        <f t="shared" si="303"/>
        <v>0.005</v>
      </c>
      <c r="BF251">
        <f t="shared" si="304"/>
        <v>0.006</v>
      </c>
      <c r="BG251">
        <f t="shared" si="305"/>
        <v>0.32</v>
      </c>
      <c r="BH251">
        <f t="shared" si="306"/>
        <v>0.288</v>
      </c>
      <c r="BI251">
        <f t="shared" si="307"/>
        <v>0.001</v>
      </c>
      <c r="BJ251">
        <f t="shared" si="308"/>
        <v>0.012</v>
      </c>
      <c r="BK251">
        <f t="shared" si="309"/>
        <v>0.021</v>
      </c>
      <c r="BL251">
        <f t="shared" si="310"/>
        <v>0</v>
      </c>
      <c r="BM251">
        <f t="shared" si="311"/>
        <v>0.013</v>
      </c>
      <c r="BN251">
        <f t="shared" si="312"/>
        <v>0.036</v>
      </c>
      <c r="BO251">
        <f t="shared" si="313"/>
        <v>0</v>
      </c>
      <c r="BP251">
        <f t="shared" si="314"/>
        <v>0.004</v>
      </c>
      <c r="BQ251">
        <f t="shared" si="315"/>
        <v>0.006</v>
      </c>
      <c r="BR251">
        <f t="shared" si="316"/>
        <v>4.766</v>
      </c>
      <c r="BS251">
        <f t="shared" si="317"/>
        <v>0.527</v>
      </c>
      <c r="BT251">
        <f t="shared" si="318"/>
        <v>0.005</v>
      </c>
      <c r="BU251">
        <f t="shared" si="319"/>
        <v>1.079</v>
      </c>
      <c r="BV251">
        <f t="shared" si="320"/>
        <v>0.008</v>
      </c>
      <c r="BW251">
        <f t="shared" si="321"/>
        <v>0</v>
      </c>
      <c r="BX251">
        <f t="shared" si="322"/>
        <v>0.001</v>
      </c>
      <c r="BY251">
        <f t="shared" si="323"/>
        <v>0.079</v>
      </c>
      <c r="BZ251">
        <f t="shared" si="324"/>
        <v>0.134</v>
      </c>
      <c r="CA251">
        <f t="shared" si="325"/>
        <v>0.052</v>
      </c>
      <c r="CB251">
        <f t="shared" si="326"/>
        <v>0.002</v>
      </c>
      <c r="CC251">
        <f t="shared" si="327"/>
        <v>0.243</v>
      </c>
      <c r="CD251">
        <f t="shared" si="328"/>
        <v>0</v>
      </c>
      <c r="CE251">
        <f t="shared" si="329"/>
        <v>0.001</v>
      </c>
      <c r="CG251" s="6">
        <v>2010</v>
      </c>
      <c r="CH251" s="6" t="s">
        <v>87</v>
      </c>
      <c r="CI251" s="6">
        <v>0.001</v>
      </c>
      <c r="CJ251" s="6">
        <v>0.001</v>
      </c>
      <c r="CK251" s="6" t="s">
        <v>595</v>
      </c>
      <c r="CL251" s="6" t="s">
        <v>596</v>
      </c>
      <c r="CM251" s="6" t="s">
        <v>597</v>
      </c>
    </row>
    <row r="252" spans="4:91">
      <c r="D252">
        <f t="shared" si="330"/>
        <v>2010</v>
      </c>
      <c r="E252" t="s">
        <v>78</v>
      </c>
      <c r="F252" s="1">
        <f t="shared" ref="F252:L252" si="356" xml:space="preserve">AW252*$AS252</f>
        <v>0</v>
      </c>
      <c r="G252" s="1">
        <f t="shared" si="356"/>
        <v>0</v>
      </c>
      <c r="H252" s="1">
        <f t="shared" si="356"/>
        <v>0</v>
      </c>
      <c r="I252" s="1">
        <f t="shared" si="356"/>
        <v>0</v>
      </c>
      <c r="J252" s="1">
        <f t="shared" si="356"/>
        <v>0</v>
      </c>
      <c r="K252" s="1">
        <f t="shared" si="356"/>
        <v>0</v>
      </c>
      <c r="L252" s="1">
        <f t="shared" si="356"/>
        <v>0</v>
      </c>
      <c r="M252" s="1">
        <f t="shared" si="331"/>
        <v>0.001701</v>
      </c>
      <c r="N252" s="1">
        <f t="shared" ref="N252:AN252" si="357" xml:space="preserve">BE252*$AS252</f>
        <v>0</v>
      </c>
      <c r="O252" s="1">
        <f t="shared" si="357"/>
        <v>0</v>
      </c>
      <c r="P252" s="1">
        <f t="shared" si="357"/>
        <v>0</v>
      </c>
      <c r="Q252" s="1">
        <f t="shared" si="357"/>
        <v>0</v>
      </c>
      <c r="R252" s="1">
        <f t="shared" si="357"/>
        <v>0</v>
      </c>
      <c r="S252" s="1">
        <f t="shared" si="357"/>
        <v>0</v>
      </c>
      <c r="T252" s="1">
        <f t="shared" si="357"/>
        <v>0</v>
      </c>
      <c r="U252" s="1">
        <f t="shared" si="357"/>
        <v>0</v>
      </c>
      <c r="V252" s="1">
        <f t="shared" si="357"/>
        <v>0</v>
      </c>
      <c r="W252" s="1">
        <f t="shared" si="357"/>
        <v>0</v>
      </c>
      <c r="X252" s="1">
        <f t="shared" si="357"/>
        <v>0</v>
      </c>
      <c r="Y252" s="1">
        <f t="shared" si="357"/>
        <v>0</v>
      </c>
      <c r="Z252" s="1">
        <f t="shared" si="357"/>
        <v>0</v>
      </c>
      <c r="AA252" s="1">
        <f t="shared" si="357"/>
        <v>0</v>
      </c>
      <c r="AB252" s="1">
        <f t="shared" si="357"/>
        <v>0</v>
      </c>
      <c r="AC252" s="1">
        <f t="shared" si="357"/>
        <v>0</v>
      </c>
      <c r="AD252" s="1">
        <f t="shared" si="357"/>
        <v>0</v>
      </c>
      <c r="AE252" s="1">
        <f t="shared" si="357"/>
        <v>0</v>
      </c>
      <c r="AF252" s="1">
        <f t="shared" si="357"/>
        <v>0</v>
      </c>
      <c r="AG252" s="1">
        <f t="shared" si="357"/>
        <v>0</v>
      </c>
      <c r="AH252" s="1">
        <f t="shared" si="357"/>
        <v>0</v>
      </c>
      <c r="AI252" s="1">
        <f t="shared" si="357"/>
        <v>0</v>
      </c>
      <c r="AJ252" s="1">
        <f t="shared" si="357"/>
        <v>0</v>
      </c>
      <c r="AK252" s="1">
        <f t="shared" si="357"/>
        <v>0</v>
      </c>
      <c r="AL252" s="1">
        <f t="shared" si="357"/>
        <v>0</v>
      </c>
      <c r="AM252" s="1">
        <f t="shared" si="357"/>
        <v>0</v>
      </c>
      <c r="AN252" s="1">
        <f t="shared" si="357"/>
        <v>0</v>
      </c>
      <c r="AQ252" s="6">
        <v>2010</v>
      </c>
      <c r="AR252" s="6" t="s">
        <v>78</v>
      </c>
      <c r="AS252" s="6">
        <v>0.001</v>
      </c>
      <c r="AT252" s="6" t="s">
        <v>568</v>
      </c>
      <c r="AU252" s="6" t="s">
        <v>594</v>
      </c>
      <c r="AV252" t="str">
        <f t="shared" si="294"/>
        <v>Tra_EV_Batt-NCA_virgin_pack</v>
      </c>
      <c r="AW252">
        <f t="shared" si="295"/>
        <v>0</v>
      </c>
      <c r="AX252">
        <f t="shared" si="296"/>
        <v>0</v>
      </c>
      <c r="AY252">
        <f t="shared" si="297"/>
        <v>0</v>
      </c>
      <c r="AZ252">
        <f t="shared" si="298"/>
        <v>0</v>
      </c>
      <c r="BA252">
        <f t="shared" si="299"/>
        <v>0</v>
      </c>
      <c r="BB252">
        <f t="shared" si="300"/>
        <v>0</v>
      </c>
      <c r="BC252">
        <f t="shared" si="301"/>
        <v>0</v>
      </c>
      <c r="BD252">
        <f t="shared" si="302"/>
        <v>1.701</v>
      </c>
      <c r="BE252">
        <f t="shared" si="303"/>
        <v>0</v>
      </c>
      <c r="BF252">
        <f t="shared" si="304"/>
        <v>0</v>
      </c>
      <c r="BG252">
        <f t="shared" si="305"/>
        <v>0</v>
      </c>
      <c r="BH252">
        <f t="shared" si="306"/>
        <v>0</v>
      </c>
      <c r="BI252">
        <f t="shared" si="307"/>
        <v>0</v>
      </c>
      <c r="BJ252">
        <f t="shared" si="308"/>
        <v>0</v>
      </c>
      <c r="BK252">
        <f t="shared" si="309"/>
        <v>0</v>
      </c>
      <c r="BL252">
        <f t="shared" si="310"/>
        <v>0</v>
      </c>
      <c r="BM252">
        <f t="shared" si="311"/>
        <v>0</v>
      </c>
      <c r="BN252">
        <f t="shared" si="312"/>
        <v>0</v>
      </c>
      <c r="BO252">
        <f t="shared" si="313"/>
        <v>0</v>
      </c>
      <c r="BP252">
        <f t="shared" si="314"/>
        <v>0</v>
      </c>
      <c r="BQ252">
        <f t="shared" si="315"/>
        <v>0</v>
      </c>
      <c r="BR252">
        <f t="shared" si="316"/>
        <v>0</v>
      </c>
      <c r="BS252">
        <f t="shared" si="317"/>
        <v>0</v>
      </c>
      <c r="BT252">
        <f t="shared" si="318"/>
        <v>0</v>
      </c>
      <c r="BU252">
        <f t="shared" si="319"/>
        <v>0</v>
      </c>
      <c r="BV252">
        <f t="shared" si="320"/>
        <v>0</v>
      </c>
      <c r="BW252">
        <f t="shared" si="321"/>
        <v>0</v>
      </c>
      <c r="BX252">
        <f t="shared" si="322"/>
        <v>0</v>
      </c>
      <c r="BY252">
        <f t="shared" si="323"/>
        <v>0</v>
      </c>
      <c r="BZ252">
        <f t="shared" si="324"/>
        <v>0</v>
      </c>
      <c r="CA252">
        <f t="shared" si="325"/>
        <v>0</v>
      </c>
      <c r="CB252">
        <f t="shared" si="326"/>
        <v>0</v>
      </c>
      <c r="CC252">
        <f t="shared" si="327"/>
        <v>0</v>
      </c>
      <c r="CD252">
        <f t="shared" si="328"/>
        <v>0</v>
      </c>
      <c r="CE252">
        <f t="shared" si="329"/>
        <v>0</v>
      </c>
      <c r="CG252" s="6">
        <v>2010</v>
      </c>
      <c r="CH252" s="6" t="s">
        <v>78</v>
      </c>
      <c r="CI252" s="6">
        <v>0.001</v>
      </c>
      <c r="CJ252" s="6">
        <v>0.001</v>
      </c>
      <c r="CK252" s="6" t="s">
        <v>595</v>
      </c>
      <c r="CL252" s="6" t="s">
        <v>596</v>
      </c>
      <c r="CM252" s="6" t="s">
        <v>597</v>
      </c>
    </row>
    <row r="253" spans="4:91">
      <c r="D253">
        <f t="shared" si="330"/>
        <v>2010</v>
      </c>
      <c r="E253" t="s">
        <v>74</v>
      </c>
      <c r="F253" s="1">
        <f t="shared" ref="F253:L253" si="358" xml:space="preserve">AW253*$AS253</f>
        <v>2e-6</v>
      </c>
      <c r="G253" s="1">
        <f t="shared" si="358"/>
        <v>2e-6</v>
      </c>
      <c r="H253" s="1">
        <f t="shared" si="358"/>
        <v>6.7e-5</v>
      </c>
      <c r="I253" s="1">
        <f t="shared" si="358"/>
        <v>0.000212</v>
      </c>
      <c r="J253" s="1">
        <f t="shared" si="358"/>
        <v>2.5e-5</v>
      </c>
      <c r="K253" s="1">
        <f t="shared" si="358"/>
        <v>0.000976</v>
      </c>
      <c r="L253" s="1">
        <f t="shared" si="358"/>
        <v>6e-6</v>
      </c>
      <c r="M253" s="1">
        <f t="shared" si="331"/>
        <v>0.002551</v>
      </c>
      <c r="N253" s="1">
        <f t="shared" ref="N253:AN253" si="359" xml:space="preserve">BE253*$AS253</f>
        <v>1.9e-5</v>
      </c>
      <c r="O253" s="1">
        <f t="shared" si="359"/>
        <v>2.2e-5</v>
      </c>
      <c r="P253" s="1">
        <f t="shared" si="359"/>
        <v>0.001282</v>
      </c>
      <c r="Q253" s="1">
        <f t="shared" si="359"/>
        <v>0.001151</v>
      </c>
      <c r="R253" s="1">
        <f t="shared" si="359"/>
        <v>4e-6</v>
      </c>
      <c r="S253" s="1">
        <f t="shared" si="359"/>
        <v>5e-5</v>
      </c>
      <c r="T253" s="1">
        <f t="shared" si="359"/>
        <v>8.4e-5</v>
      </c>
      <c r="U253" s="1">
        <f t="shared" si="359"/>
        <v>0</v>
      </c>
      <c r="V253" s="1">
        <f t="shared" si="359"/>
        <v>5.2e-5</v>
      </c>
      <c r="W253" s="1">
        <f t="shared" si="359"/>
        <v>0.000143</v>
      </c>
      <c r="X253" s="1">
        <f t="shared" si="359"/>
        <v>0.000722</v>
      </c>
      <c r="Y253" s="1">
        <f t="shared" si="359"/>
        <v>1.7e-5</v>
      </c>
      <c r="Z253" s="1">
        <f t="shared" si="359"/>
        <v>2.5e-5</v>
      </c>
      <c r="AA253" s="1">
        <f t="shared" si="359"/>
        <v>0.044259</v>
      </c>
      <c r="AB253" s="1">
        <f t="shared" si="359"/>
        <v>0.003688</v>
      </c>
      <c r="AC253" s="1">
        <f t="shared" si="359"/>
        <v>1.9e-5</v>
      </c>
      <c r="AD253" s="1">
        <f t="shared" si="359"/>
        <v>0.001079</v>
      </c>
      <c r="AE253" s="1">
        <f t="shared" si="359"/>
        <v>3.3e-5</v>
      </c>
      <c r="AF253" s="1">
        <f t="shared" si="359"/>
        <v>1e-6</v>
      </c>
      <c r="AG253" s="1">
        <f t="shared" si="359"/>
        <v>6e-6</v>
      </c>
      <c r="AH253" s="1">
        <f t="shared" si="359"/>
        <v>0.000315</v>
      </c>
      <c r="AI253" s="1">
        <f t="shared" si="359"/>
        <v>0.000535</v>
      </c>
      <c r="AJ253" s="1">
        <f t="shared" si="359"/>
        <v>0.000208</v>
      </c>
      <c r="AK253" s="1">
        <f t="shared" si="359"/>
        <v>6e-6</v>
      </c>
      <c r="AL253" s="1">
        <f t="shared" si="359"/>
        <v>0.00097</v>
      </c>
      <c r="AM253" s="1">
        <f t="shared" si="359"/>
        <v>3.7e-5</v>
      </c>
      <c r="AN253" s="1">
        <f t="shared" si="359"/>
        <v>3e-6</v>
      </c>
      <c r="AQ253" s="6">
        <v>2010</v>
      </c>
      <c r="AR253" s="6" t="s">
        <v>74</v>
      </c>
      <c r="AS253" s="6">
        <v>0.001</v>
      </c>
      <c r="AT253" s="6" t="s">
        <v>568</v>
      </c>
      <c r="AU253" s="6" t="s">
        <v>594</v>
      </c>
      <c r="AV253" t="str">
        <f t="shared" si="294"/>
        <v> Tra_EV_Batt-LMO_virgin_pack</v>
      </c>
      <c r="AW253">
        <f t="shared" si="295"/>
        <v>0.002</v>
      </c>
      <c r="AX253">
        <f t="shared" si="296"/>
        <v>0.002</v>
      </c>
      <c r="AY253">
        <f t="shared" si="297"/>
        <v>0.067</v>
      </c>
      <c r="AZ253">
        <f t="shared" si="298"/>
        <v>0.212</v>
      </c>
      <c r="BA253">
        <f t="shared" si="299"/>
        <v>0.025</v>
      </c>
      <c r="BB253">
        <f t="shared" si="300"/>
        <v>0.976</v>
      </c>
      <c r="BC253">
        <f t="shared" si="301"/>
        <v>0.006</v>
      </c>
      <c r="BD253">
        <f t="shared" si="302"/>
        <v>2.551</v>
      </c>
      <c r="BE253">
        <f t="shared" si="303"/>
        <v>0.019</v>
      </c>
      <c r="BF253">
        <f t="shared" si="304"/>
        <v>0.022</v>
      </c>
      <c r="BG253">
        <f t="shared" si="305"/>
        <v>1.282</v>
      </c>
      <c r="BH253">
        <f t="shared" si="306"/>
        <v>1.151</v>
      </c>
      <c r="BI253">
        <f t="shared" si="307"/>
        <v>0.004</v>
      </c>
      <c r="BJ253">
        <f t="shared" si="308"/>
        <v>0.05</v>
      </c>
      <c r="BK253">
        <f t="shared" si="309"/>
        <v>0.084</v>
      </c>
      <c r="BL253">
        <f t="shared" si="310"/>
        <v>0</v>
      </c>
      <c r="BM253">
        <f t="shared" si="311"/>
        <v>0.052</v>
      </c>
      <c r="BN253">
        <f t="shared" si="312"/>
        <v>0.143</v>
      </c>
      <c r="BO253">
        <f t="shared" si="313"/>
        <v>0.722</v>
      </c>
      <c r="BP253">
        <f t="shared" si="314"/>
        <v>0.017</v>
      </c>
      <c r="BQ253">
        <f t="shared" si="315"/>
        <v>0.025</v>
      </c>
      <c r="BR253">
        <f t="shared" si="316"/>
        <v>44.259</v>
      </c>
      <c r="BS253">
        <f t="shared" si="317"/>
        <v>3.688</v>
      </c>
      <c r="BT253">
        <f t="shared" si="318"/>
        <v>0.019</v>
      </c>
      <c r="BU253">
        <f t="shared" si="319"/>
        <v>1.079</v>
      </c>
      <c r="BV253">
        <f t="shared" si="320"/>
        <v>0.033</v>
      </c>
      <c r="BW253">
        <f t="shared" si="321"/>
        <v>0.001</v>
      </c>
      <c r="BX253">
        <f t="shared" si="322"/>
        <v>0.006</v>
      </c>
      <c r="BY253">
        <f t="shared" si="323"/>
        <v>0.315</v>
      </c>
      <c r="BZ253">
        <f t="shared" si="324"/>
        <v>0.535</v>
      </c>
      <c r="CA253">
        <f t="shared" si="325"/>
        <v>0.208</v>
      </c>
      <c r="CB253">
        <f t="shared" si="326"/>
        <v>0.006</v>
      </c>
      <c r="CC253">
        <f t="shared" si="327"/>
        <v>0.97</v>
      </c>
      <c r="CD253">
        <f t="shared" si="328"/>
        <v>0.037</v>
      </c>
      <c r="CE253">
        <f t="shared" si="329"/>
        <v>0.003</v>
      </c>
      <c r="CG253" s="6">
        <v>2010</v>
      </c>
      <c r="CH253" s="6" t="s">
        <v>74</v>
      </c>
      <c r="CI253" s="6">
        <v>0.001</v>
      </c>
      <c r="CJ253" s="6">
        <v>0.001</v>
      </c>
      <c r="CK253" s="6" t="s">
        <v>595</v>
      </c>
      <c r="CL253" s="6" t="s">
        <v>596</v>
      </c>
      <c r="CM253" s="6" t="s">
        <v>597</v>
      </c>
    </row>
    <row r="254" spans="4:91">
      <c r="D254">
        <f t="shared" si="330"/>
        <v>2010</v>
      </c>
      <c r="E254" t="s">
        <v>82</v>
      </c>
      <c r="F254" s="1">
        <f t="shared" ref="F254:L254" si="360" xml:space="preserve">AW254*$AS254</f>
        <v>2e-6</v>
      </c>
      <c r="G254" s="1">
        <f t="shared" si="360"/>
        <v>2e-6</v>
      </c>
      <c r="H254" s="1">
        <f t="shared" si="360"/>
        <v>6.7e-5</v>
      </c>
      <c r="I254" s="1">
        <f t="shared" si="360"/>
        <v>0.000233</v>
      </c>
      <c r="J254" s="1">
        <f t="shared" si="360"/>
        <v>2.5e-5</v>
      </c>
      <c r="K254" s="1">
        <f t="shared" si="360"/>
        <v>0.001041</v>
      </c>
      <c r="L254" s="1">
        <f t="shared" si="360"/>
        <v>6e-6</v>
      </c>
      <c r="M254" s="1">
        <f t="shared" si="331"/>
        <v>0.001701</v>
      </c>
      <c r="N254" s="1">
        <f t="shared" ref="N254:AN254" si="361" xml:space="preserve">BE254*$AS254</f>
        <v>1.9e-5</v>
      </c>
      <c r="O254" s="1">
        <f t="shared" si="361"/>
        <v>2.9e-5</v>
      </c>
      <c r="P254" s="1">
        <f t="shared" si="361"/>
        <v>0.001859</v>
      </c>
      <c r="Q254" s="1">
        <f t="shared" si="361"/>
        <v>0.001384</v>
      </c>
      <c r="R254" s="1">
        <f t="shared" si="361"/>
        <v>4e-6</v>
      </c>
      <c r="S254" s="1">
        <f t="shared" si="361"/>
        <v>5.7e-5</v>
      </c>
      <c r="T254" s="1">
        <f t="shared" si="361"/>
        <v>8.4e-5</v>
      </c>
      <c r="U254" s="1">
        <f t="shared" si="361"/>
        <v>4.2e-5</v>
      </c>
      <c r="V254" s="1">
        <f t="shared" si="361"/>
        <v>5.6e-5</v>
      </c>
      <c r="W254" s="1">
        <f t="shared" si="361"/>
        <v>0.000178</v>
      </c>
      <c r="X254" s="1">
        <f t="shared" si="361"/>
        <v>0.004084</v>
      </c>
      <c r="Y254" s="1">
        <f t="shared" si="361"/>
        <v>2.1e-5</v>
      </c>
      <c r="Z254" s="1">
        <f t="shared" si="361"/>
        <v>2.5e-5</v>
      </c>
      <c r="AA254" s="1">
        <f t="shared" si="361"/>
        <v>0.007563</v>
      </c>
      <c r="AB254" s="1">
        <f t="shared" si="361"/>
        <v>0.002175</v>
      </c>
      <c r="AC254" s="1">
        <f t="shared" si="361"/>
        <v>2.5e-5</v>
      </c>
      <c r="AD254" s="1">
        <f t="shared" si="361"/>
        <v>0.000237</v>
      </c>
      <c r="AE254" s="1">
        <f t="shared" si="361"/>
        <v>3.3e-5</v>
      </c>
      <c r="AF254" s="1">
        <f t="shared" si="361"/>
        <v>1e-6</v>
      </c>
      <c r="AG254" s="1">
        <f t="shared" si="361"/>
        <v>6e-6</v>
      </c>
      <c r="AH254" s="1">
        <f t="shared" si="361"/>
        <v>0.000355</v>
      </c>
      <c r="AI254" s="1">
        <f t="shared" si="361"/>
        <v>0.000601</v>
      </c>
      <c r="AJ254" s="1">
        <f t="shared" si="361"/>
        <v>0.000229</v>
      </c>
      <c r="AK254" s="1">
        <f t="shared" si="361"/>
        <v>6e-6</v>
      </c>
      <c r="AL254" s="1">
        <f t="shared" si="361"/>
        <v>0.001076</v>
      </c>
      <c r="AM254" s="1">
        <f t="shared" si="361"/>
        <v>0.000205</v>
      </c>
      <c r="AN254" s="1">
        <f t="shared" si="361"/>
        <v>3e-6</v>
      </c>
      <c r="AQ254" s="6">
        <v>2010</v>
      </c>
      <c r="AR254" s="6" t="s">
        <v>82</v>
      </c>
      <c r="AS254" s="6">
        <v>0.001</v>
      </c>
      <c r="AT254" s="6" t="s">
        <v>568</v>
      </c>
      <c r="AU254" s="6" t="s">
        <v>594</v>
      </c>
      <c r="AV254" t="str">
        <f t="shared" si="294"/>
        <v>Tra_EV_Batt-NMC111_virgin_pack</v>
      </c>
      <c r="AW254">
        <f t="shared" si="295"/>
        <v>0.002</v>
      </c>
      <c r="AX254">
        <f t="shared" si="296"/>
        <v>0.002</v>
      </c>
      <c r="AY254">
        <f t="shared" si="297"/>
        <v>0.067</v>
      </c>
      <c r="AZ254">
        <f t="shared" si="298"/>
        <v>0.233</v>
      </c>
      <c r="BA254">
        <f t="shared" si="299"/>
        <v>0.025</v>
      </c>
      <c r="BB254">
        <f t="shared" si="300"/>
        <v>1.041</v>
      </c>
      <c r="BC254">
        <f t="shared" si="301"/>
        <v>0.006</v>
      </c>
      <c r="BD254">
        <f t="shared" si="302"/>
        <v>1.701</v>
      </c>
      <c r="BE254">
        <f t="shared" si="303"/>
        <v>0.019</v>
      </c>
      <c r="BF254">
        <f t="shared" si="304"/>
        <v>0.029</v>
      </c>
      <c r="BG254">
        <f t="shared" si="305"/>
        <v>1.859</v>
      </c>
      <c r="BH254">
        <f t="shared" si="306"/>
        <v>1.384</v>
      </c>
      <c r="BI254">
        <f t="shared" si="307"/>
        <v>0.004</v>
      </c>
      <c r="BJ254">
        <f t="shared" si="308"/>
        <v>0.057</v>
      </c>
      <c r="BK254">
        <f t="shared" si="309"/>
        <v>0.084</v>
      </c>
      <c r="BL254">
        <f t="shared" si="310"/>
        <v>0.042</v>
      </c>
      <c r="BM254">
        <f t="shared" si="311"/>
        <v>0.056</v>
      </c>
      <c r="BN254">
        <f t="shared" si="312"/>
        <v>0.178</v>
      </c>
      <c r="BO254">
        <f t="shared" si="313"/>
        <v>4.084</v>
      </c>
      <c r="BP254">
        <f t="shared" si="314"/>
        <v>0.021</v>
      </c>
      <c r="BQ254">
        <f t="shared" si="315"/>
        <v>0.025</v>
      </c>
      <c r="BR254">
        <f t="shared" si="316"/>
        <v>7.563</v>
      </c>
      <c r="BS254">
        <f t="shared" si="317"/>
        <v>2.175</v>
      </c>
      <c r="BT254">
        <f t="shared" si="318"/>
        <v>0.025</v>
      </c>
      <c r="BU254">
        <f t="shared" si="319"/>
        <v>0.237</v>
      </c>
      <c r="BV254">
        <f t="shared" si="320"/>
        <v>0.033</v>
      </c>
      <c r="BW254">
        <f t="shared" si="321"/>
        <v>0.001</v>
      </c>
      <c r="BX254">
        <f t="shared" si="322"/>
        <v>0.006</v>
      </c>
      <c r="BY254">
        <f t="shared" si="323"/>
        <v>0.355</v>
      </c>
      <c r="BZ254">
        <f t="shared" si="324"/>
        <v>0.601</v>
      </c>
      <c r="CA254">
        <f t="shared" si="325"/>
        <v>0.229</v>
      </c>
      <c r="CB254">
        <f t="shared" si="326"/>
        <v>0.006</v>
      </c>
      <c r="CC254">
        <f t="shared" si="327"/>
        <v>1.076</v>
      </c>
      <c r="CD254">
        <f t="shared" si="328"/>
        <v>0.205</v>
      </c>
      <c r="CE254">
        <f t="shared" si="329"/>
        <v>0.003</v>
      </c>
      <c r="CG254" s="6">
        <v>2010</v>
      </c>
      <c r="CH254" s="6" t="s">
        <v>82</v>
      </c>
      <c r="CI254" s="6">
        <v>0.001</v>
      </c>
      <c r="CJ254" s="6">
        <v>0.001</v>
      </c>
      <c r="CK254" s="6" t="s">
        <v>595</v>
      </c>
      <c r="CL254" s="6" t="s">
        <v>596</v>
      </c>
      <c r="CM254" s="6" t="s">
        <v>597</v>
      </c>
    </row>
    <row r="260" spans="48:83">
      <c r="AV260" s="19" t="s">
        <v>600</v>
      </c>
      <c r="AW260" s="19">
        <f t="shared" ref="AW260:CE260" si="362" xml:space="preserve">AW239</f>
        <v>0</v>
      </c>
      <c r="AX260" s="19">
        <f t="shared" si="362"/>
        <v>99.5</v>
      </c>
      <c r="AY260" s="19">
        <f t="shared" si="362"/>
        <v>20</v>
      </c>
      <c r="AZ260" s="19">
        <f t="shared" si="362"/>
        <v>0</v>
      </c>
      <c r="BA260" s="19">
        <f t="shared" si="362"/>
        <v>0</v>
      </c>
      <c r="BB260" s="19">
        <f t="shared" si="362"/>
        <v>0</v>
      </c>
      <c r="BC260" s="19">
        <f t="shared" si="362"/>
        <v>0</v>
      </c>
      <c r="BD260" s="19">
        <f t="shared" si="362"/>
        <v>45</v>
      </c>
      <c r="BE260" s="19">
        <f t="shared" si="362"/>
        <v>0</v>
      </c>
      <c r="BF260" s="19">
        <f t="shared" si="362"/>
        <v>0</v>
      </c>
      <c r="BG260" s="19">
        <f t="shared" si="362"/>
        <v>0</v>
      </c>
      <c r="BH260" s="19">
        <f t="shared" si="362"/>
        <v>0</v>
      </c>
      <c r="BI260" s="19">
        <f t="shared" si="362"/>
        <v>0</v>
      </c>
      <c r="BJ260" s="19">
        <f t="shared" si="362"/>
        <v>0</v>
      </c>
      <c r="BK260" s="19">
        <f t="shared" si="362"/>
        <v>0</v>
      </c>
      <c r="BL260" s="19">
        <f t="shared" si="362"/>
        <v>0.75</v>
      </c>
      <c r="BM260" s="19">
        <f t="shared" si="362"/>
        <v>0</v>
      </c>
      <c r="BN260" s="19">
        <f t="shared" si="362"/>
        <v>0</v>
      </c>
      <c r="BO260" s="19">
        <f t="shared" si="362"/>
        <v>0</v>
      </c>
      <c r="BP260" s="19">
        <f t="shared" si="362"/>
        <v>197.5</v>
      </c>
      <c r="BQ260" s="19">
        <f t="shared" si="362"/>
        <v>0</v>
      </c>
      <c r="BR260" s="19">
        <f t="shared" si="362"/>
        <v>56.25</v>
      </c>
      <c r="BS260" s="19">
        <f t="shared" si="362"/>
        <v>0</v>
      </c>
      <c r="BT260" s="19">
        <f t="shared" si="362"/>
        <v>10.25</v>
      </c>
      <c r="BU260" s="19">
        <f t="shared" si="362"/>
        <v>117.5</v>
      </c>
      <c r="BV260" s="19">
        <f t="shared" si="362"/>
        <v>23.25</v>
      </c>
      <c r="BW260" s="19">
        <f t="shared" si="362"/>
        <v>0</v>
      </c>
      <c r="BX260" s="19">
        <f t="shared" si="362"/>
        <v>0</v>
      </c>
      <c r="BY260" s="19">
        <f t="shared" si="362"/>
        <v>0</v>
      </c>
      <c r="BZ260" s="19">
        <f t="shared" si="362"/>
        <v>0</v>
      </c>
      <c r="CA260" s="19">
        <f t="shared" si="362"/>
        <v>0</v>
      </c>
      <c r="CB260" s="19">
        <f t="shared" si="362"/>
        <v>0</v>
      </c>
      <c r="CC260" s="19">
        <f t="shared" si="362"/>
        <v>0</v>
      </c>
      <c r="CD260" s="19">
        <f t="shared" si="362"/>
        <v>0</v>
      </c>
      <c r="CE260" s="19">
        <f t="shared" si="362"/>
        <v>0</v>
      </c>
    </row>
    <row r="261" spans="48:83">
      <c r="AV261" s="19"/>
      <c r="AW261" s="19">
        <f t="shared" ref="AW261:CE261" si="363" xml:space="preserve">AW240</f>
        <v>0</v>
      </c>
      <c r="AX261" s="19">
        <f t="shared" si="363"/>
        <v>170.1</v>
      </c>
      <c r="AY261" s="19">
        <f t="shared" si="363"/>
        <v>0</v>
      </c>
      <c r="AZ261" s="19">
        <f t="shared" si="363"/>
        <v>0.45</v>
      </c>
      <c r="BA261" s="19">
        <f t="shared" si="363"/>
        <v>0</v>
      </c>
      <c r="BB261" s="19">
        <f t="shared" si="363"/>
        <v>0</v>
      </c>
      <c r="BC261" s="19">
        <f t="shared" si="363"/>
        <v>61.2</v>
      </c>
      <c r="BD261" s="19">
        <f t="shared" si="363"/>
        <v>1143</v>
      </c>
      <c r="BE261" s="19">
        <f t="shared" si="363"/>
        <v>0</v>
      </c>
      <c r="BF261" s="19">
        <f t="shared" si="363"/>
        <v>0</v>
      </c>
      <c r="BG261" s="19">
        <f t="shared" si="363"/>
        <v>0</v>
      </c>
      <c r="BH261" s="19">
        <f t="shared" si="363"/>
        <v>0.18</v>
      </c>
      <c r="BI261" s="19">
        <f t="shared" si="363"/>
        <v>0</v>
      </c>
      <c r="BJ261" s="19">
        <f t="shared" si="363"/>
        <v>0</v>
      </c>
      <c r="BK261" s="19">
        <f t="shared" si="363"/>
        <v>0</v>
      </c>
      <c r="BL261" s="19">
        <f t="shared" si="363"/>
        <v>25.2</v>
      </c>
      <c r="BM261" s="19">
        <f t="shared" si="363"/>
        <v>0</v>
      </c>
      <c r="BN261" s="19">
        <f t="shared" si="363"/>
        <v>0</v>
      </c>
      <c r="BO261" s="19">
        <f t="shared" si="363"/>
        <v>0</v>
      </c>
      <c r="BP261" s="19">
        <f t="shared" si="363"/>
        <v>0</v>
      </c>
      <c r="BQ261" s="19">
        <f t="shared" si="363"/>
        <v>0</v>
      </c>
      <c r="BR261" s="19">
        <f t="shared" si="363"/>
        <v>18.81</v>
      </c>
      <c r="BS261" s="19">
        <f t="shared" si="363"/>
        <v>6.3</v>
      </c>
      <c r="BT261" s="19">
        <f t="shared" si="363"/>
        <v>0</v>
      </c>
      <c r="BU261" s="19">
        <f t="shared" si="363"/>
        <v>20.61</v>
      </c>
      <c r="BV261" s="19">
        <f t="shared" si="363"/>
        <v>18</v>
      </c>
      <c r="BW261" s="19">
        <f t="shared" si="363"/>
        <v>0</v>
      </c>
      <c r="BX261" s="19">
        <f t="shared" si="363"/>
        <v>0</v>
      </c>
      <c r="BY261" s="19">
        <f t="shared" si="363"/>
        <v>0</v>
      </c>
      <c r="BZ261" s="19">
        <f t="shared" si="363"/>
        <v>0</v>
      </c>
      <c r="CA261" s="19">
        <f t="shared" si="363"/>
        <v>0</v>
      </c>
      <c r="CB261" s="19">
        <f t="shared" si="363"/>
        <v>2.7</v>
      </c>
      <c r="CC261" s="19">
        <f t="shared" si="363"/>
        <v>0</v>
      </c>
      <c r="CD261" s="19">
        <f t="shared" si="363"/>
        <v>1.08</v>
      </c>
      <c r="CE261" s="19">
        <f t="shared" si="363"/>
        <v>0</v>
      </c>
    </row>
    <row r="262" spans="48:83">
      <c r="AV262" s="19"/>
      <c r="AW262" s="19">
        <f t="shared" ref="AW262:CE262" si="364" xml:space="preserve">AW241</f>
        <v>0</v>
      </c>
      <c r="AX262" s="19">
        <f t="shared" si="364"/>
        <v>0</v>
      </c>
      <c r="AY262" s="19">
        <f t="shared" si="364"/>
        <v>0.004</v>
      </c>
      <c r="AZ262" s="19">
        <f t="shared" si="364"/>
        <v>0.01</v>
      </c>
      <c r="BA262" s="19">
        <f t="shared" si="364"/>
        <v>0.004</v>
      </c>
      <c r="BB262" s="19">
        <f t="shared" si="364"/>
        <v>0.104</v>
      </c>
      <c r="BC262" s="19">
        <f t="shared" si="364"/>
        <v>0.01</v>
      </c>
      <c r="BD262" s="19">
        <f t="shared" si="364"/>
        <v>122.238</v>
      </c>
      <c r="BE262" s="19">
        <f t="shared" si="364"/>
        <v>0</v>
      </c>
      <c r="BF262" s="19">
        <f t="shared" si="364"/>
        <v>0.01</v>
      </c>
      <c r="BG262" s="19">
        <f t="shared" si="364"/>
        <v>0.063</v>
      </c>
      <c r="BH262" s="19">
        <f t="shared" si="364"/>
        <v>0.052</v>
      </c>
      <c r="BI262" s="19">
        <f t="shared" si="364"/>
        <v>0</v>
      </c>
      <c r="BJ262" s="19">
        <f t="shared" si="364"/>
        <v>0.01</v>
      </c>
      <c r="BK262" s="19">
        <f t="shared" si="364"/>
        <v>0</v>
      </c>
      <c r="BL262" s="19">
        <f t="shared" si="364"/>
        <v>0.125</v>
      </c>
      <c r="BM262" s="19">
        <f t="shared" si="364"/>
        <v>0</v>
      </c>
      <c r="BN262" s="19">
        <f t="shared" si="364"/>
        <v>0.021</v>
      </c>
      <c r="BO262" s="19">
        <f t="shared" si="364"/>
        <v>0.01</v>
      </c>
      <c r="BP262" s="19">
        <f t="shared" si="364"/>
        <v>0.047</v>
      </c>
      <c r="BQ262" s="19">
        <f t="shared" si="364"/>
        <v>0.004</v>
      </c>
      <c r="BR262" s="19">
        <f t="shared" si="364"/>
        <v>0.147</v>
      </c>
      <c r="BS262" s="19">
        <f t="shared" si="364"/>
        <v>0.021</v>
      </c>
      <c r="BT262" s="19">
        <f t="shared" si="364"/>
        <v>0.057</v>
      </c>
      <c r="BU262" s="19">
        <f t="shared" si="364"/>
        <v>0.063</v>
      </c>
      <c r="BV262" s="19">
        <f t="shared" si="364"/>
        <v>0.02</v>
      </c>
      <c r="BW262" s="19">
        <f t="shared" si="364"/>
        <v>0</v>
      </c>
      <c r="BX262" s="19">
        <f t="shared" si="364"/>
        <v>0</v>
      </c>
      <c r="BY262" s="19">
        <f t="shared" si="364"/>
        <v>0.031</v>
      </c>
      <c r="BZ262" s="19">
        <f t="shared" si="364"/>
        <v>0.063</v>
      </c>
      <c r="CA262" s="19">
        <f t="shared" si="364"/>
        <v>0.01</v>
      </c>
      <c r="CB262" s="19">
        <f t="shared" si="364"/>
        <v>0.01</v>
      </c>
      <c r="CC262" s="19">
        <f t="shared" si="364"/>
        <v>0.084</v>
      </c>
      <c r="CD262" s="19">
        <f t="shared" si="364"/>
        <v>0</v>
      </c>
      <c r="CE262" s="19">
        <f t="shared" si="364"/>
        <v>0</v>
      </c>
    </row>
    <row r="263" spans="48:83">
      <c r="AV263" s="19"/>
      <c r="AW263" s="19">
        <f t="shared" ref="AW263:CE263" si="365" xml:space="preserve">AW242</f>
        <v>0.003</v>
      </c>
      <c r="AX263" s="19">
        <f t="shared" si="365"/>
        <v>0.003</v>
      </c>
      <c r="AY263" s="19">
        <f t="shared" si="365"/>
        <v>0.102</v>
      </c>
      <c r="AZ263" s="19">
        <f t="shared" si="365"/>
        <v>0.342</v>
      </c>
      <c r="BA263" s="19">
        <f t="shared" si="365"/>
        <v>0.039</v>
      </c>
      <c r="BB263" s="19">
        <f t="shared" si="365"/>
        <v>1.564</v>
      </c>
      <c r="BC263" s="19">
        <f t="shared" si="365"/>
        <v>0.012</v>
      </c>
      <c r="BD263" s="19">
        <f t="shared" si="365"/>
        <v>21.06</v>
      </c>
      <c r="BE263" s="19">
        <f t="shared" si="365"/>
        <v>0.028</v>
      </c>
      <c r="BF263" s="19">
        <f t="shared" si="365"/>
        <v>0.044</v>
      </c>
      <c r="BG263" s="19">
        <f t="shared" si="365"/>
        <v>2.52</v>
      </c>
      <c r="BH263" s="19">
        <f t="shared" si="365"/>
        <v>1.977</v>
      </c>
      <c r="BI263" s="19">
        <f t="shared" si="365"/>
        <v>0.006</v>
      </c>
      <c r="BJ263" s="19">
        <f t="shared" si="365"/>
        <v>0.085</v>
      </c>
      <c r="BK263" s="19">
        <f t="shared" si="365"/>
        <v>0.125</v>
      </c>
      <c r="BL263" s="19">
        <f t="shared" si="365"/>
        <v>0.07</v>
      </c>
      <c r="BM263" s="19">
        <f t="shared" si="365"/>
        <v>0.082</v>
      </c>
      <c r="BN263" s="19">
        <f t="shared" si="365"/>
        <v>0.256</v>
      </c>
      <c r="BO263" s="19">
        <f t="shared" si="365"/>
        <v>2.283</v>
      </c>
      <c r="BP263" s="19">
        <f t="shared" si="365"/>
        <v>0.045</v>
      </c>
      <c r="BQ263" s="19">
        <f t="shared" si="365"/>
        <v>0.039</v>
      </c>
      <c r="BR263" s="19">
        <f t="shared" si="365"/>
        <v>6.931</v>
      </c>
      <c r="BS263" s="19">
        <f t="shared" si="365"/>
        <v>2.708</v>
      </c>
      <c r="BT263" s="19">
        <f t="shared" si="365"/>
        <v>0.053</v>
      </c>
      <c r="BU263" s="19">
        <f t="shared" si="365"/>
        <v>0.474</v>
      </c>
      <c r="BV263" s="19">
        <f t="shared" si="365"/>
        <v>0.056</v>
      </c>
      <c r="BW263" s="19">
        <f t="shared" si="365"/>
        <v>0.002</v>
      </c>
      <c r="BX263" s="19">
        <f t="shared" si="365"/>
        <v>0.009</v>
      </c>
      <c r="BY263" s="19">
        <f t="shared" si="365"/>
        <v>0.523</v>
      </c>
      <c r="BZ263" s="19">
        <f t="shared" si="365"/>
        <v>0.89</v>
      </c>
      <c r="CA263" s="19">
        <f t="shared" si="365"/>
        <v>0.337</v>
      </c>
      <c r="CB263" s="19">
        <f t="shared" si="365"/>
        <v>0.012</v>
      </c>
      <c r="CC263" s="19">
        <f t="shared" si="365"/>
        <v>1.589</v>
      </c>
      <c r="CD263" s="19">
        <f t="shared" si="365"/>
        <v>0.112</v>
      </c>
      <c r="CE263" s="19">
        <f t="shared" si="365"/>
        <v>0.005</v>
      </c>
    </row>
    <row r="264" spans="48:83">
      <c r="AV264" s="19"/>
      <c r="AW264" s="19">
        <f t="shared" ref="AW264:CE264" si="366" xml:space="preserve">AW243</f>
        <v>0.003</v>
      </c>
      <c r="AX264" s="19">
        <f t="shared" si="366"/>
        <v>0.003</v>
      </c>
      <c r="AY264" s="19">
        <f t="shared" si="366"/>
        <v>0.085</v>
      </c>
      <c r="AZ264" s="19">
        <f t="shared" si="366"/>
        <v>0.279</v>
      </c>
      <c r="BA264" s="19">
        <f t="shared" si="366"/>
        <v>0.033</v>
      </c>
      <c r="BB264" s="19">
        <f t="shared" si="366"/>
        <v>1.287</v>
      </c>
      <c r="BC264" s="19">
        <f t="shared" si="366"/>
        <v>0.01</v>
      </c>
      <c r="BD264" s="19">
        <f t="shared" si="366"/>
        <v>45.589</v>
      </c>
      <c r="BE264" s="19">
        <f t="shared" si="366"/>
        <v>0.024</v>
      </c>
      <c r="BF264" s="19">
        <f t="shared" si="366"/>
        <v>0.035</v>
      </c>
      <c r="BG264" s="19">
        <f t="shared" si="366"/>
        <v>1.911</v>
      </c>
      <c r="BH264" s="19">
        <f t="shared" si="366"/>
        <v>1.573</v>
      </c>
      <c r="BI264" s="19">
        <f t="shared" si="366"/>
        <v>0.005</v>
      </c>
      <c r="BJ264" s="19">
        <f t="shared" si="366"/>
        <v>0.069</v>
      </c>
      <c r="BK264" s="19">
        <f t="shared" si="366"/>
        <v>0.104</v>
      </c>
      <c r="BL264" s="19">
        <f t="shared" si="366"/>
        <v>0.007</v>
      </c>
      <c r="BM264" s="19">
        <f t="shared" si="366"/>
        <v>0.067</v>
      </c>
      <c r="BN264" s="19">
        <f t="shared" si="366"/>
        <v>0.203</v>
      </c>
      <c r="BO264" s="19">
        <f t="shared" si="366"/>
        <v>0.422</v>
      </c>
      <c r="BP264" s="19">
        <f t="shared" si="366"/>
        <v>0.039</v>
      </c>
      <c r="BQ264" s="19">
        <f t="shared" si="366"/>
        <v>0.033</v>
      </c>
      <c r="BR264" s="19">
        <f t="shared" si="366"/>
        <v>4.852</v>
      </c>
      <c r="BS264" s="19">
        <f t="shared" si="366"/>
        <v>1.621</v>
      </c>
      <c r="BT264" s="19">
        <f t="shared" si="366"/>
        <v>0.046</v>
      </c>
      <c r="BU264" s="19">
        <f t="shared" si="366"/>
        <v>1.542</v>
      </c>
      <c r="BV264" s="19">
        <f t="shared" si="366"/>
        <v>0.048</v>
      </c>
      <c r="BW264" s="19">
        <f t="shared" si="366"/>
        <v>0.001</v>
      </c>
      <c r="BX264" s="19">
        <f t="shared" si="366"/>
        <v>0.007</v>
      </c>
      <c r="BY264" s="19">
        <f t="shared" si="366"/>
        <v>0.424</v>
      </c>
      <c r="BZ264" s="19">
        <f t="shared" si="366"/>
        <v>0.723</v>
      </c>
      <c r="CA264" s="19">
        <f t="shared" si="366"/>
        <v>0.275</v>
      </c>
      <c r="CB264" s="19">
        <f t="shared" si="366"/>
        <v>0.011</v>
      </c>
      <c r="CC264" s="19">
        <f t="shared" si="366"/>
        <v>1.293</v>
      </c>
      <c r="CD264" s="19">
        <f t="shared" si="366"/>
        <v>0.019</v>
      </c>
      <c r="CE264" s="19">
        <f t="shared" si="366"/>
        <v>0.004</v>
      </c>
    </row>
    <row r="265" spans="48:83">
      <c r="AV265" s="19"/>
      <c r="AW265" s="19">
        <f t="shared" ref="AW265:CE265" si="367" xml:space="preserve">AW244</f>
        <v>0.001</v>
      </c>
      <c r="AX265" s="19">
        <f t="shared" si="367"/>
        <v>0.001</v>
      </c>
      <c r="AY265" s="19">
        <f t="shared" si="367"/>
        <v>0.017</v>
      </c>
      <c r="AZ265" s="19">
        <f t="shared" si="367"/>
        <v>0.053</v>
      </c>
      <c r="BA265" s="19">
        <f t="shared" si="367"/>
        <v>0.006</v>
      </c>
      <c r="BB265" s="19">
        <f t="shared" si="367"/>
        <v>0.244</v>
      </c>
      <c r="BC265" s="19">
        <f t="shared" si="367"/>
        <v>0.001</v>
      </c>
      <c r="BD265" s="19">
        <f t="shared" si="367"/>
        <v>9.391</v>
      </c>
      <c r="BE265" s="19">
        <f t="shared" si="367"/>
        <v>0.005</v>
      </c>
      <c r="BF265" s="19">
        <f t="shared" si="367"/>
        <v>0.006</v>
      </c>
      <c r="BG265" s="19">
        <f t="shared" si="367"/>
        <v>0.32</v>
      </c>
      <c r="BH265" s="19">
        <f t="shared" si="367"/>
        <v>0.288</v>
      </c>
      <c r="BI265" s="19">
        <f t="shared" si="367"/>
        <v>0.001</v>
      </c>
      <c r="BJ265" s="19">
        <f t="shared" si="367"/>
        <v>0.012</v>
      </c>
      <c r="BK265" s="19">
        <f t="shared" si="367"/>
        <v>0.021</v>
      </c>
      <c r="BL265" s="19">
        <f t="shared" si="367"/>
        <v>0</v>
      </c>
      <c r="BM265" s="19">
        <f t="shared" si="367"/>
        <v>0.013</v>
      </c>
      <c r="BN265" s="19">
        <f t="shared" si="367"/>
        <v>0.036</v>
      </c>
      <c r="BO265" s="19">
        <f t="shared" si="367"/>
        <v>0</v>
      </c>
      <c r="BP265" s="19">
        <f t="shared" si="367"/>
        <v>0.004</v>
      </c>
      <c r="BQ265" s="19">
        <f t="shared" si="367"/>
        <v>0.006</v>
      </c>
      <c r="BR265" s="19">
        <f t="shared" si="367"/>
        <v>4.766</v>
      </c>
      <c r="BS265" s="19">
        <f t="shared" si="367"/>
        <v>0.527</v>
      </c>
      <c r="BT265" s="19">
        <f t="shared" si="367"/>
        <v>0.005</v>
      </c>
      <c r="BU265" s="19">
        <f t="shared" si="367"/>
        <v>1.079</v>
      </c>
      <c r="BV265" s="19">
        <f t="shared" si="367"/>
        <v>0.008</v>
      </c>
      <c r="BW265" s="19">
        <f t="shared" si="367"/>
        <v>0</v>
      </c>
      <c r="BX265" s="19">
        <f t="shared" si="367"/>
        <v>0.001</v>
      </c>
      <c r="BY265" s="19">
        <f t="shared" si="367"/>
        <v>0.079</v>
      </c>
      <c r="BZ265" s="19">
        <f t="shared" si="367"/>
        <v>0.134</v>
      </c>
      <c r="CA265" s="19">
        <f t="shared" si="367"/>
        <v>0.052</v>
      </c>
      <c r="CB265" s="19">
        <f t="shared" si="367"/>
        <v>0.002</v>
      </c>
      <c r="CC265" s="19">
        <f t="shared" si="367"/>
        <v>0.243</v>
      </c>
      <c r="CD265" s="19">
        <f t="shared" si="367"/>
        <v>0</v>
      </c>
      <c r="CE265" s="19">
        <f t="shared" si="367"/>
        <v>0.001</v>
      </c>
    </row>
    <row r="266" spans="48:83">
      <c r="AV266" s="19"/>
      <c r="AW266" s="19">
        <f t="shared" ref="AW266:CE266" si="368" xml:space="preserve">AW245</f>
        <v>0</v>
      </c>
      <c r="AX266" s="19">
        <f t="shared" si="368"/>
        <v>0</v>
      </c>
      <c r="AY266" s="19">
        <f t="shared" si="368"/>
        <v>0</v>
      </c>
      <c r="AZ266" s="19">
        <f t="shared" si="368"/>
        <v>0</v>
      </c>
      <c r="BA266" s="19">
        <f t="shared" si="368"/>
        <v>0</v>
      </c>
      <c r="BB266" s="19">
        <f t="shared" si="368"/>
        <v>0</v>
      </c>
      <c r="BC266" s="19">
        <f t="shared" si="368"/>
        <v>0</v>
      </c>
      <c r="BD266" s="19">
        <f t="shared" si="368"/>
        <v>1.701</v>
      </c>
      <c r="BE266" s="19">
        <f t="shared" si="368"/>
        <v>0</v>
      </c>
      <c r="BF266" s="19">
        <f t="shared" si="368"/>
        <v>0</v>
      </c>
      <c r="BG266" s="19">
        <f t="shared" si="368"/>
        <v>0</v>
      </c>
      <c r="BH266" s="19">
        <f t="shared" si="368"/>
        <v>0</v>
      </c>
      <c r="BI266" s="19">
        <f t="shared" si="368"/>
        <v>0</v>
      </c>
      <c r="BJ266" s="19">
        <f t="shared" si="368"/>
        <v>0</v>
      </c>
      <c r="BK266" s="19">
        <f t="shared" si="368"/>
        <v>0</v>
      </c>
      <c r="BL266" s="19">
        <f t="shared" si="368"/>
        <v>0</v>
      </c>
      <c r="BM266" s="19">
        <f t="shared" si="368"/>
        <v>0</v>
      </c>
      <c r="BN266" s="19">
        <f t="shared" si="368"/>
        <v>0</v>
      </c>
      <c r="BO266" s="19">
        <f t="shared" si="368"/>
        <v>0</v>
      </c>
      <c r="BP266" s="19">
        <f t="shared" si="368"/>
        <v>0</v>
      </c>
      <c r="BQ266" s="19">
        <f t="shared" si="368"/>
        <v>0</v>
      </c>
      <c r="BR266" s="19">
        <f t="shared" si="368"/>
        <v>0</v>
      </c>
      <c r="BS266" s="19">
        <f t="shared" si="368"/>
        <v>0</v>
      </c>
      <c r="BT266" s="19">
        <f t="shared" si="368"/>
        <v>0</v>
      </c>
      <c r="BU266" s="19">
        <f t="shared" si="368"/>
        <v>0</v>
      </c>
      <c r="BV266" s="19">
        <f t="shared" si="368"/>
        <v>0</v>
      </c>
      <c r="BW266" s="19">
        <f t="shared" si="368"/>
        <v>0</v>
      </c>
      <c r="BX266" s="19">
        <f t="shared" si="368"/>
        <v>0</v>
      </c>
      <c r="BY266" s="19">
        <f t="shared" si="368"/>
        <v>0</v>
      </c>
      <c r="BZ266" s="19">
        <f t="shared" si="368"/>
        <v>0</v>
      </c>
      <c r="CA266" s="19">
        <f t="shared" si="368"/>
        <v>0</v>
      </c>
      <c r="CB266" s="19">
        <f t="shared" si="368"/>
        <v>0</v>
      </c>
      <c r="CC266" s="19">
        <f t="shared" si="368"/>
        <v>0</v>
      </c>
      <c r="CD266" s="19">
        <f t="shared" si="368"/>
        <v>0</v>
      </c>
      <c r="CE266" s="19">
        <f t="shared" si="368"/>
        <v>0</v>
      </c>
    </row>
  </sheetData>
  <mergeCells count="1">
    <mergeCell ref="CG43:CL43"/>
  </mergeCells>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AT172"/>
  <sheetViews>
    <sheetView zoomScale="60" zoomScaleNormal="60" topLeftCell="Z6" workbookViewId="0">
      <selection activeCell="AJ31" sqref="AJ31"/>
    </sheetView>
  </sheetViews>
  <sheetFormatPr defaultColWidth="8.72727272727273" defaultRowHeight="14.5"/>
  <cols>
    <col min="3" max="3" width="9.85454545454546" style="6"/>
    <col min="4" max="4" width="28.5727272727273" style="6" customWidth="1"/>
    <col min="5" max="5" width="23" style="6" customWidth="1"/>
    <col min="6" max="6" width="50" style="6" customWidth="1"/>
    <col min="7" max="9" width="9.85454545454546" style="6"/>
    <col min="10" max="10" width="10.5727272727273" style="6"/>
    <col min="11" max="11" width="12.8545454545455" style="6"/>
    <col min="12" max="12" width="9.85454545454546" style="6"/>
    <col min="13" max="13" width="48.4272727272727" style="6" customWidth="1"/>
    <col min="14" max="14" width="10.5727272727273" style="6"/>
    <col min="15" max="15" width="12.8545454545455" style="6"/>
    <col min="16" max="16" width="9.85454545454546" style="6"/>
    <col min="17" max="17" width="12.8545454545455" style="6"/>
    <col min="18" max="18" width="10.5727272727273" style="6"/>
    <col min="19" max="19" width="12.8545454545455" style="6"/>
    <col min="20" max="20" width="9.85454545454546" style="6"/>
    <col min="21" max="21" width="12.8545454545455" style="6"/>
    <col min="22" max="22" width="10.5727272727273" style="6"/>
    <col min="23" max="23" width="12.8545454545455" style="6"/>
    <col min="24" max="24" width="9.85454545454546" style="6"/>
    <col min="25" max="26" width="48.4272727272727" style="6" customWidth="1"/>
    <col min="29" max="29" width="28.1454545454545" customWidth="1"/>
    <col min="30" max="30" width="12.8545454545455"/>
    <col min="31" max="33" width="14"/>
    <col min="41" max="41" width="25.8545454545455" customWidth="1"/>
    <col min="42" max="42" width="11.4272727272727" customWidth="1"/>
    <col min="43" max="45" width="12.8545454545455"/>
  </cols>
  <sheetData>
    <row r="3" spans="3:46">
      <c r="AT3" s="1"/>
    </row>
    <row r="4" spans="3:46">
      <c r="AT4" s="1"/>
    </row>
    <row r="5" spans="3:46">
      <c r="AH5" s="1"/>
      <c r="AI5" s="1"/>
      <c r="AJ5" s="8"/>
      <c r="AK5" s="8"/>
      <c r="AL5" s="8"/>
      <c r="AM5" s="8"/>
    </row>
    <row r="6" spans="3:46">
      <c r="AH6" s="1"/>
      <c r="AI6" s="1"/>
      <c r="AJ6" s="8"/>
      <c r="AK6" s="8"/>
      <c r="AL6" s="8"/>
      <c r="AM6" s="8"/>
    </row>
    <row r="7" ht="15.25" spans="3:46">
      <c r="AC7" s="9" t="s">
        <v>601</v>
      </c>
      <c r="AH7" s="1"/>
      <c r="AI7" s="1"/>
      <c r="AJ7" s="8"/>
      <c r="AK7" s="8"/>
      <c r="AL7" s="8"/>
      <c r="AM7" s="8"/>
    </row>
    <row r="8" spans="3:46">
      <c r="AH8" s="10"/>
      <c r="AI8" s="1"/>
      <c r="AJ8" s="11"/>
      <c r="AK8" s="8"/>
      <c r="AL8" s="8"/>
      <c r="AM8" s="8"/>
    </row>
    <row r="9" spans="3:46">
      <c r="AD9" s="1"/>
      <c r="AE9" s="1"/>
      <c r="AF9" s="1"/>
      <c r="AG9" s="1"/>
      <c r="AH9" s="1"/>
      <c r="AI9" s="1"/>
      <c r="AJ9" s="8"/>
      <c r="AK9" s="8"/>
      <c r="AL9" s="8"/>
      <c r="AM9" s="8"/>
    </row>
    <row r="10" spans="3:46">
      <c r="C10" s="6" t="s">
        <v>602</v>
      </c>
      <c r="D10" s="6" t="s">
        <v>603</v>
      </c>
      <c r="E10" s="6" t="s">
        <v>604</v>
      </c>
      <c r="F10" s="6" t="s">
        <v>605</v>
      </c>
      <c r="G10" s="6" t="s">
        <v>606</v>
      </c>
      <c r="H10" s="6" t="s">
        <v>607</v>
      </c>
      <c r="I10" s="6" t="s">
        <v>608</v>
      </c>
      <c r="J10" s="6" t="s">
        <v>609</v>
      </c>
      <c r="K10" s="6" t="s">
        <v>610</v>
      </c>
      <c r="L10" s="6" t="s">
        <v>611</v>
      </c>
      <c r="M10" s="6" t="s">
        <v>612</v>
      </c>
      <c r="N10" s="6" t="s">
        <v>613</v>
      </c>
      <c r="O10" s="6" t="s">
        <v>614</v>
      </c>
      <c r="P10" s="6" t="s">
        <v>615</v>
      </c>
      <c r="Q10" s="6" t="s">
        <v>616</v>
      </c>
      <c r="R10" s="6" t="s">
        <v>617</v>
      </c>
      <c r="S10" s="6" t="s">
        <v>618</v>
      </c>
      <c r="T10" s="6" t="s">
        <v>619</v>
      </c>
      <c r="U10" s="6" t="s">
        <v>620</v>
      </c>
      <c r="V10" s="6" t="s">
        <v>621</v>
      </c>
      <c r="W10" s="6" t="s">
        <v>622</v>
      </c>
      <c r="X10" s="6" t="s">
        <v>623</v>
      </c>
      <c r="Y10" s="6" t="s">
        <v>624</v>
      </c>
      <c r="AC10" s="1" t="s">
        <v>2</v>
      </c>
      <c r="AD10" s="1">
        <v>2020</v>
      </c>
      <c r="AE10" s="1">
        <v>2030</v>
      </c>
      <c r="AF10" s="1">
        <v>2040</v>
      </c>
      <c r="AG10" s="1">
        <v>2050</v>
      </c>
      <c r="AH10" s="1"/>
      <c r="AI10" s="1"/>
      <c r="AJ10" s="8"/>
      <c r="AK10" s="8"/>
      <c r="AL10" s="8"/>
      <c r="AM10" s="8"/>
    </row>
    <row r="11" spans="3:46">
      <c r="C11" s="6" t="s">
        <v>625</v>
      </c>
      <c r="D11" s="6" t="s">
        <v>490</v>
      </c>
      <c r="E11" s="6" t="s">
        <v>490</v>
      </c>
      <c r="F11" s="6" t="s">
        <v>626</v>
      </c>
      <c r="G11" s="6">
        <v>120</v>
      </c>
      <c r="H11" s="6">
        <v>21.6</v>
      </c>
      <c r="J11" s="6">
        <v>98.825217</v>
      </c>
      <c r="K11" s="6">
        <v>2134.624687</v>
      </c>
      <c r="L11" s="6">
        <v>23158</v>
      </c>
      <c r="M11" s="6">
        <v>21023.375313</v>
      </c>
      <c r="N11" s="6">
        <v>58.691111</v>
      </c>
      <c r="O11" s="6">
        <v>1267.727998</v>
      </c>
      <c r="P11" s="6">
        <v>20752</v>
      </c>
      <c r="Q11" s="6">
        <v>19484.272002</v>
      </c>
      <c r="R11" s="6">
        <v>37.356208</v>
      </c>
      <c r="S11" s="6">
        <v>806.894093</v>
      </c>
      <c r="T11" s="6">
        <v>20218</v>
      </c>
      <c r="U11" s="6">
        <v>19411.105907</v>
      </c>
      <c r="V11" s="6">
        <v>29.258319</v>
      </c>
      <c r="W11" s="6">
        <v>631.97969</v>
      </c>
      <c r="X11" s="6">
        <v>20033</v>
      </c>
      <c r="Y11" s="6">
        <v>19401.02031</v>
      </c>
      <c r="AC11" t="str">
        <f xml:space="preserve">E11</f>
        <v>Trd_car_elc_120</v>
      </c>
      <c r="AD11">
        <f xml:space="preserve">M11</f>
        <v>21023.375313</v>
      </c>
      <c r="AE11">
        <f xml:space="preserve">Q11</f>
        <v>19484.272002</v>
      </c>
      <c r="AF11">
        <f xml:space="preserve">U11</f>
        <v>19411.105907</v>
      </c>
      <c r="AG11">
        <f xml:space="preserve">Y11</f>
        <v>19401.02031</v>
      </c>
      <c r="AH11" s="1"/>
      <c r="AI11" s="1"/>
      <c r="AJ11" s="8"/>
      <c r="AK11" s="8"/>
      <c r="AL11" s="8"/>
      <c r="AM11" s="8"/>
    </row>
    <row r="12" spans="3:46">
      <c r="C12" s="6" t="s">
        <v>625</v>
      </c>
      <c r="D12" s="6" t="s">
        <v>494</v>
      </c>
      <c r="E12" s="6" t="s">
        <v>494</v>
      </c>
      <c r="F12" s="6" t="s">
        <v>626</v>
      </c>
      <c r="G12" s="6">
        <v>160</v>
      </c>
      <c r="H12" s="6">
        <v>28.8</v>
      </c>
      <c r="J12" s="6">
        <v>98.825217</v>
      </c>
      <c r="K12" s="6">
        <v>2846.16625</v>
      </c>
      <c r="L12" s="6">
        <v>24797</v>
      </c>
      <c r="M12" s="6">
        <v>21950.83375</v>
      </c>
      <c r="N12" s="6">
        <v>58.691111</v>
      </c>
      <c r="O12" s="6">
        <v>1690.303997</v>
      </c>
      <c r="P12" s="6">
        <v>20898</v>
      </c>
      <c r="Q12" s="6">
        <v>19207.696003</v>
      </c>
      <c r="R12" s="6">
        <v>37.356208</v>
      </c>
      <c r="S12" s="6">
        <v>1075.85879</v>
      </c>
      <c r="T12" s="6">
        <v>20316</v>
      </c>
      <c r="U12" s="6">
        <v>19240.14121</v>
      </c>
      <c r="V12" s="6">
        <v>29.258319</v>
      </c>
      <c r="W12" s="6">
        <v>842.639587</v>
      </c>
      <c r="X12" s="6">
        <v>20115</v>
      </c>
      <c r="Y12" s="6">
        <v>19272.360413</v>
      </c>
      <c r="AC12" t="str">
        <f t="shared" ref="AC12:AC43" si="0" xml:space="preserve">E12</f>
        <v>Trd_car_elc_160</v>
      </c>
      <c r="AD12">
        <f t="shared" ref="AD12:AD43" si="1" xml:space="preserve">M12</f>
        <v>21950.83375</v>
      </c>
      <c r="AE12">
        <f t="shared" ref="AE12:AE43" si="2" xml:space="preserve">Q12</f>
        <v>19207.696003</v>
      </c>
      <c r="AF12">
        <f t="shared" ref="AF12:AF43" si="3" xml:space="preserve">U12</f>
        <v>19240.14121</v>
      </c>
      <c r="AG12">
        <f t="shared" ref="AG12:AG43" si="4" xml:space="preserve">Y12</f>
        <v>19272.360413</v>
      </c>
      <c r="AH12" s="1"/>
      <c r="AI12" s="1"/>
      <c r="AJ12" s="8"/>
      <c r="AK12" s="8"/>
      <c r="AL12" s="8"/>
      <c r="AM12" s="8"/>
    </row>
    <row r="13" spans="3:46">
      <c r="C13" s="6" t="s">
        <v>625</v>
      </c>
      <c r="D13" s="6" t="s">
        <v>495</v>
      </c>
      <c r="E13" s="6" t="s">
        <v>495</v>
      </c>
      <c r="F13" s="6" t="s">
        <v>626</v>
      </c>
      <c r="G13" s="6">
        <v>200</v>
      </c>
      <c r="H13" s="6">
        <v>36</v>
      </c>
      <c r="J13" s="6">
        <v>98.825217</v>
      </c>
      <c r="K13" s="6">
        <v>3557.707812</v>
      </c>
      <c r="L13" s="6">
        <v>26437</v>
      </c>
      <c r="M13" s="6">
        <v>22879.292188</v>
      </c>
      <c r="N13" s="6">
        <v>58.691111</v>
      </c>
      <c r="O13" s="6">
        <v>2112.879996</v>
      </c>
      <c r="P13" s="6">
        <v>21188</v>
      </c>
      <c r="Q13" s="6">
        <v>19075.120004</v>
      </c>
      <c r="R13" s="6">
        <v>37.356208</v>
      </c>
      <c r="S13" s="6">
        <v>1344.823488</v>
      </c>
      <c r="T13" s="6">
        <v>20512</v>
      </c>
      <c r="U13" s="6">
        <v>19167.176512</v>
      </c>
      <c r="V13" s="6">
        <v>29.258319</v>
      </c>
      <c r="W13" s="6">
        <v>1053.299484</v>
      </c>
      <c r="X13" s="6">
        <v>20277</v>
      </c>
      <c r="Y13" s="6">
        <v>19223.700516</v>
      </c>
      <c r="AC13" t="str">
        <f t="shared" si="0"/>
        <v>Trd_car_elc_200</v>
      </c>
      <c r="AD13">
        <f t="shared" si="1"/>
        <v>22879.292188</v>
      </c>
      <c r="AE13">
        <f t="shared" si="2"/>
        <v>19075.120004</v>
      </c>
      <c r="AF13">
        <f t="shared" si="3"/>
        <v>19167.176512</v>
      </c>
      <c r="AG13">
        <f t="shared" si="4"/>
        <v>19223.700516</v>
      </c>
      <c r="AH13" s="1"/>
      <c r="AI13" s="1"/>
      <c r="AJ13" s="8"/>
      <c r="AK13" s="8"/>
      <c r="AL13" s="8"/>
      <c r="AM13" s="8"/>
    </row>
    <row r="14" spans="3:46">
      <c r="C14" s="6" t="s">
        <v>625</v>
      </c>
      <c r="D14" s="6" t="s">
        <v>496</v>
      </c>
      <c r="E14" s="6" t="s">
        <v>496</v>
      </c>
      <c r="F14" s="6" t="s">
        <v>626</v>
      </c>
      <c r="G14" s="6">
        <v>250</v>
      </c>
      <c r="H14" s="6">
        <v>45</v>
      </c>
      <c r="J14" s="6">
        <v>98.825217</v>
      </c>
      <c r="K14" s="6">
        <v>4447.134765</v>
      </c>
      <c r="L14" s="6">
        <v>28564</v>
      </c>
      <c r="M14" s="6">
        <v>24116.865235</v>
      </c>
      <c r="N14" s="6">
        <v>58.691111</v>
      </c>
      <c r="O14" s="6">
        <v>2641.099995</v>
      </c>
      <c r="P14" s="6">
        <v>21785</v>
      </c>
      <c r="Q14" s="6">
        <v>19143.900005</v>
      </c>
      <c r="R14" s="6">
        <v>37.356208</v>
      </c>
      <c r="S14" s="6">
        <v>1681.02936</v>
      </c>
      <c r="T14" s="6">
        <v>20914</v>
      </c>
      <c r="U14" s="6">
        <v>19232.97064</v>
      </c>
      <c r="V14" s="6">
        <v>29.258319</v>
      </c>
      <c r="W14" s="6">
        <v>1316.624355</v>
      </c>
      <c r="X14" s="6">
        <v>20612</v>
      </c>
      <c r="Y14" s="6">
        <v>19295.375645</v>
      </c>
      <c r="AC14" t="str">
        <f t="shared" si="0"/>
        <v>Trd_car_elc_250</v>
      </c>
      <c r="AD14">
        <f t="shared" si="1"/>
        <v>24116.865235</v>
      </c>
      <c r="AE14">
        <f t="shared" si="2"/>
        <v>19143.900005</v>
      </c>
      <c r="AF14">
        <f t="shared" si="3"/>
        <v>19232.97064</v>
      </c>
      <c r="AG14">
        <f t="shared" si="4"/>
        <v>19295.375645</v>
      </c>
      <c r="AH14" s="1"/>
      <c r="AI14" s="1"/>
      <c r="AJ14" s="8"/>
      <c r="AK14" s="8"/>
      <c r="AL14" s="8"/>
      <c r="AM14" s="8"/>
    </row>
    <row r="15" spans="3:46">
      <c r="C15" s="6" t="s">
        <v>625</v>
      </c>
      <c r="D15" s="6" t="s">
        <v>497</v>
      </c>
      <c r="E15" s="6" t="s">
        <v>497</v>
      </c>
      <c r="F15" s="6" t="s">
        <v>626</v>
      </c>
      <c r="G15" s="6">
        <v>300</v>
      </c>
      <c r="H15" s="6">
        <v>54</v>
      </c>
      <c r="J15" s="6">
        <v>98.825217</v>
      </c>
      <c r="K15" s="6">
        <v>5336.561718</v>
      </c>
      <c r="L15" s="6">
        <v>30691</v>
      </c>
      <c r="M15" s="6">
        <v>25354.438282</v>
      </c>
      <c r="N15" s="6">
        <v>58.691111</v>
      </c>
      <c r="O15" s="6">
        <v>3169.319994</v>
      </c>
      <c r="P15" s="6">
        <v>22382</v>
      </c>
      <c r="Q15" s="6">
        <v>19212.680006</v>
      </c>
      <c r="R15" s="6">
        <v>37.356208</v>
      </c>
      <c r="S15" s="6">
        <v>2017.235232</v>
      </c>
      <c r="T15" s="6">
        <v>21316</v>
      </c>
      <c r="U15" s="6">
        <v>19298.764768</v>
      </c>
      <c r="V15" s="6">
        <v>29.258319</v>
      </c>
      <c r="W15" s="6">
        <v>1579.949226</v>
      </c>
      <c r="X15" s="6">
        <v>20947</v>
      </c>
      <c r="Y15" s="6">
        <v>19367.050774</v>
      </c>
      <c r="AC15" t="str">
        <f t="shared" si="0"/>
        <v>Trd_car_elc_300</v>
      </c>
      <c r="AD15">
        <f t="shared" si="1"/>
        <v>25354.438282</v>
      </c>
      <c r="AE15">
        <f t="shared" si="2"/>
        <v>19212.680006</v>
      </c>
      <c r="AF15">
        <f t="shared" si="3"/>
        <v>19298.764768</v>
      </c>
      <c r="AG15">
        <f t="shared" si="4"/>
        <v>19367.050774</v>
      </c>
      <c r="AH15" s="1"/>
      <c r="AI15" s="1"/>
      <c r="AJ15" s="8"/>
      <c r="AK15" s="8"/>
      <c r="AL15" s="8"/>
      <c r="AM15" s="8"/>
    </row>
    <row r="16" spans="3:46">
      <c r="C16" s="6" t="s">
        <v>625</v>
      </c>
      <c r="D16" s="6" t="s">
        <v>498</v>
      </c>
      <c r="E16" s="6" t="s">
        <v>498</v>
      </c>
      <c r="F16" s="6" t="s">
        <v>626</v>
      </c>
      <c r="G16" s="6">
        <v>350</v>
      </c>
      <c r="H16" s="6">
        <v>63</v>
      </c>
      <c r="J16" s="6">
        <v>98.825217</v>
      </c>
      <c r="K16" s="6">
        <v>6225.988671</v>
      </c>
      <c r="L16" s="6">
        <v>33573</v>
      </c>
      <c r="M16" s="6">
        <v>27347.011329</v>
      </c>
      <c r="N16" s="6">
        <v>58.691111</v>
      </c>
      <c r="O16" s="6">
        <v>3697.539993</v>
      </c>
      <c r="P16" s="6">
        <v>23102</v>
      </c>
      <c r="Q16" s="6">
        <v>19404.460007</v>
      </c>
      <c r="R16" s="6">
        <v>37.356208</v>
      </c>
      <c r="S16" s="6">
        <v>2353.441104</v>
      </c>
      <c r="T16" s="6">
        <v>21723</v>
      </c>
      <c r="U16" s="6">
        <v>19369.558896</v>
      </c>
      <c r="V16" s="6">
        <v>29.258319</v>
      </c>
      <c r="W16" s="6">
        <v>1843.274097</v>
      </c>
      <c r="X16" s="6">
        <v>21285</v>
      </c>
      <c r="Y16" s="6">
        <v>19441.725903</v>
      </c>
      <c r="AC16" t="str">
        <f t="shared" si="0"/>
        <v>Trd_car_elc_350</v>
      </c>
      <c r="AD16">
        <f t="shared" si="1"/>
        <v>27347.011329</v>
      </c>
      <c r="AE16">
        <f t="shared" si="2"/>
        <v>19404.460007</v>
      </c>
      <c r="AF16">
        <f t="shared" si="3"/>
        <v>19369.558896</v>
      </c>
      <c r="AG16">
        <f t="shared" si="4"/>
        <v>19441.725903</v>
      </c>
      <c r="AH16" s="1"/>
      <c r="AI16" s="1"/>
      <c r="AJ16" s="8"/>
      <c r="AK16" s="8"/>
      <c r="AL16" s="8"/>
      <c r="AM16" s="8"/>
    </row>
    <row r="17" spans="3:39">
      <c r="C17" s="6" t="s">
        <v>625</v>
      </c>
      <c r="D17" s="6" t="s">
        <v>499</v>
      </c>
      <c r="E17" s="6" t="s">
        <v>499</v>
      </c>
      <c r="F17" s="6" t="s">
        <v>626</v>
      </c>
      <c r="G17" s="6">
        <v>400</v>
      </c>
      <c r="H17" s="6">
        <v>72</v>
      </c>
      <c r="J17" s="6">
        <v>98.825217</v>
      </c>
      <c r="K17" s="6">
        <v>7115.415624</v>
      </c>
      <c r="L17" s="6">
        <v>36673</v>
      </c>
      <c r="M17" s="6">
        <v>29557.584376</v>
      </c>
      <c r="N17" s="6">
        <v>58.691111</v>
      </c>
      <c r="O17" s="6">
        <v>4225.759992</v>
      </c>
      <c r="P17" s="6">
        <v>23858</v>
      </c>
      <c r="Q17" s="6">
        <v>19632.240008</v>
      </c>
      <c r="R17" s="6">
        <v>37.356208</v>
      </c>
      <c r="S17" s="6">
        <v>2689.646976</v>
      </c>
      <c r="T17" s="6">
        <v>22129</v>
      </c>
      <c r="U17" s="6">
        <v>19439.353024</v>
      </c>
      <c r="V17" s="6">
        <v>29.258319</v>
      </c>
      <c r="W17" s="6">
        <v>2106.598968</v>
      </c>
      <c r="X17" s="6">
        <v>21624</v>
      </c>
      <c r="Y17" s="6">
        <v>19517.401032</v>
      </c>
      <c r="AC17" t="str">
        <f t="shared" si="0"/>
        <v>Trd_car_elc_400</v>
      </c>
      <c r="AD17">
        <f t="shared" si="1"/>
        <v>29557.584376</v>
      </c>
      <c r="AE17">
        <f t="shared" si="2"/>
        <v>19632.240008</v>
      </c>
      <c r="AF17">
        <f t="shared" si="3"/>
        <v>19439.353024</v>
      </c>
      <c r="AG17">
        <f t="shared" si="4"/>
        <v>19517.401032</v>
      </c>
      <c r="AH17" s="1"/>
      <c r="AI17" s="1"/>
      <c r="AJ17" s="8"/>
      <c r="AK17" s="8"/>
      <c r="AL17" s="8"/>
      <c r="AM17" s="8"/>
    </row>
    <row r="18" spans="3:39">
      <c r="C18" s="6" t="s">
        <v>625</v>
      </c>
      <c r="D18" s="6" t="s">
        <v>500</v>
      </c>
      <c r="E18" s="6" t="s">
        <v>500</v>
      </c>
      <c r="F18" s="6" t="s">
        <v>626</v>
      </c>
      <c r="G18" s="6">
        <v>500</v>
      </c>
      <c r="H18" s="6">
        <v>90</v>
      </c>
      <c r="J18" s="6">
        <v>98.825217</v>
      </c>
      <c r="K18" s="6">
        <v>8894.26953</v>
      </c>
      <c r="L18" s="6">
        <v>43533</v>
      </c>
      <c r="M18" s="6">
        <v>34638.73047</v>
      </c>
      <c r="N18" s="6">
        <v>58.691111</v>
      </c>
      <c r="O18" s="6">
        <v>5282.19999</v>
      </c>
      <c r="P18" s="6">
        <v>25648</v>
      </c>
      <c r="Q18" s="6">
        <v>20365.80001</v>
      </c>
      <c r="R18" s="6">
        <v>37.356208</v>
      </c>
      <c r="S18" s="6">
        <v>3362.05872</v>
      </c>
      <c r="T18" s="6">
        <v>23096</v>
      </c>
      <c r="U18" s="6">
        <v>19733.94128</v>
      </c>
      <c r="V18" s="6">
        <v>29.258319</v>
      </c>
      <c r="W18" s="6">
        <v>2633.24871</v>
      </c>
      <c r="X18" s="6">
        <v>22301</v>
      </c>
      <c r="Y18" s="6">
        <v>19667.75129</v>
      </c>
      <c r="AC18" t="str">
        <f t="shared" si="0"/>
        <v>Trd_car_elc_500</v>
      </c>
      <c r="AD18">
        <f t="shared" si="1"/>
        <v>34638.73047</v>
      </c>
      <c r="AE18">
        <f t="shared" si="2"/>
        <v>20365.80001</v>
      </c>
      <c r="AF18">
        <f t="shared" si="3"/>
        <v>19733.94128</v>
      </c>
      <c r="AG18">
        <f t="shared" si="4"/>
        <v>19667.75129</v>
      </c>
      <c r="AH18" s="1"/>
      <c r="AI18" s="1"/>
      <c r="AJ18" s="8"/>
      <c r="AK18" s="8"/>
      <c r="AL18" s="8"/>
      <c r="AM18" s="8"/>
    </row>
    <row r="19" spans="3:39">
      <c r="C19" s="6" t="s">
        <v>627</v>
      </c>
      <c r="D19" s="6" t="s">
        <v>501</v>
      </c>
      <c r="E19" s="6" t="s">
        <v>501</v>
      </c>
      <c r="F19" s="6" t="s">
        <v>626</v>
      </c>
      <c r="G19" s="6">
        <v>120</v>
      </c>
      <c r="H19" s="6">
        <v>36</v>
      </c>
      <c r="J19" s="6">
        <v>98.825217</v>
      </c>
      <c r="K19" s="6">
        <v>3557.707812</v>
      </c>
      <c r="L19" s="6">
        <v>22061</v>
      </c>
      <c r="M19" s="6">
        <v>18503.292188</v>
      </c>
      <c r="N19" s="6">
        <v>58.691111</v>
      </c>
      <c r="O19" s="6">
        <v>2112.879996</v>
      </c>
      <c r="P19" s="6">
        <v>18978</v>
      </c>
      <c r="Q19" s="6">
        <v>16865.120004</v>
      </c>
      <c r="R19" s="6">
        <v>37.356208</v>
      </c>
      <c r="S19" s="6">
        <v>1344.823488</v>
      </c>
      <c r="T19" s="6">
        <v>18466</v>
      </c>
      <c r="U19" s="6">
        <v>17121.176512</v>
      </c>
      <c r="V19" s="6">
        <v>29.258319</v>
      </c>
      <c r="W19" s="6">
        <v>1053.299484</v>
      </c>
      <c r="X19" s="6">
        <v>18289</v>
      </c>
      <c r="Y19" s="6">
        <v>17235.700516</v>
      </c>
      <c r="AC19" t="str">
        <f t="shared" si="0"/>
        <v>Trd_lcv_elc_120</v>
      </c>
      <c r="AD19">
        <f t="shared" si="1"/>
        <v>18503.292188</v>
      </c>
      <c r="AE19">
        <f t="shared" si="2"/>
        <v>16865.120004</v>
      </c>
      <c r="AF19">
        <f t="shared" si="3"/>
        <v>17121.176512</v>
      </c>
      <c r="AG19">
        <f t="shared" si="4"/>
        <v>17235.700516</v>
      </c>
      <c r="AH19" s="1"/>
      <c r="AI19" s="1"/>
      <c r="AJ19" s="8"/>
      <c r="AK19" s="8"/>
      <c r="AL19" s="8"/>
      <c r="AM19" s="8"/>
    </row>
    <row r="20" spans="3:39">
      <c r="C20" s="6" t="s">
        <v>627</v>
      </c>
      <c r="D20" s="6" t="s">
        <v>502</v>
      </c>
      <c r="E20" s="6" t="s">
        <v>502</v>
      </c>
      <c r="F20" s="6" t="s">
        <v>626</v>
      </c>
      <c r="G20" s="6">
        <v>160</v>
      </c>
      <c r="H20" s="6">
        <v>48</v>
      </c>
      <c r="J20" s="6">
        <v>98.825217</v>
      </c>
      <c r="K20" s="6">
        <v>4743.610416</v>
      </c>
      <c r="L20" s="6">
        <v>23848</v>
      </c>
      <c r="M20" s="6">
        <v>19104.389584</v>
      </c>
      <c r="N20" s="6">
        <v>58.691111</v>
      </c>
      <c r="O20" s="6">
        <v>2817.173328</v>
      </c>
      <c r="P20" s="6">
        <v>20089</v>
      </c>
      <c r="Q20" s="6">
        <v>17271.826672</v>
      </c>
      <c r="R20" s="6">
        <v>37.356208</v>
      </c>
      <c r="S20" s="6">
        <v>1793.097984</v>
      </c>
      <c r="T20" s="6">
        <v>19214</v>
      </c>
      <c r="U20" s="6">
        <v>17420.902016</v>
      </c>
      <c r="V20" s="6">
        <v>29.258319</v>
      </c>
      <c r="W20" s="6">
        <v>1404.399312</v>
      </c>
      <c r="X20" s="6">
        <v>18912</v>
      </c>
      <c r="Y20" s="6">
        <v>17507.600688</v>
      </c>
      <c r="AC20" t="str">
        <f t="shared" si="0"/>
        <v>Trd_lcv_elc_160</v>
      </c>
      <c r="AD20">
        <f t="shared" si="1"/>
        <v>19104.389584</v>
      </c>
      <c r="AE20">
        <f t="shared" si="2"/>
        <v>17271.826672</v>
      </c>
      <c r="AF20">
        <f t="shared" si="3"/>
        <v>17420.902016</v>
      </c>
      <c r="AG20">
        <f t="shared" si="4"/>
        <v>17507.600688</v>
      </c>
      <c r="AH20" s="1"/>
      <c r="AI20" s="1"/>
      <c r="AJ20" s="8"/>
      <c r="AK20" s="8"/>
      <c r="AL20" s="8"/>
      <c r="AM20" s="8"/>
    </row>
    <row r="21" spans="3:39">
      <c r="C21" s="6" t="s">
        <v>627</v>
      </c>
      <c r="D21" s="6" t="s">
        <v>503</v>
      </c>
      <c r="E21" s="6" t="s">
        <v>503</v>
      </c>
      <c r="F21" s="6" t="s">
        <v>626</v>
      </c>
      <c r="G21" s="6">
        <v>200</v>
      </c>
      <c r="H21" s="6">
        <v>60</v>
      </c>
      <c r="J21" s="6">
        <v>98.825217</v>
      </c>
      <c r="K21" s="6">
        <v>5929.51302</v>
      </c>
      <c r="L21" s="6">
        <v>25634</v>
      </c>
      <c r="M21" s="6">
        <v>19704.48698</v>
      </c>
      <c r="N21" s="6">
        <v>58.691111</v>
      </c>
      <c r="O21" s="6">
        <v>3521.46666</v>
      </c>
      <c r="P21" s="6">
        <v>20759</v>
      </c>
      <c r="Q21" s="6">
        <v>17237.53334</v>
      </c>
      <c r="R21" s="6">
        <v>37.356208</v>
      </c>
      <c r="S21" s="6">
        <v>2241.37248</v>
      </c>
      <c r="T21" s="6">
        <v>19666</v>
      </c>
      <c r="U21" s="6">
        <v>17424.62752</v>
      </c>
      <c r="V21" s="6">
        <v>29.258319</v>
      </c>
      <c r="W21" s="6">
        <v>1755.49914</v>
      </c>
      <c r="X21" s="6">
        <v>19288</v>
      </c>
      <c r="Y21" s="6">
        <v>17532.50086</v>
      </c>
      <c r="AC21" t="str">
        <f t="shared" si="0"/>
        <v>Trd_lcv_elc_200</v>
      </c>
      <c r="AD21">
        <f t="shared" si="1"/>
        <v>19704.48698</v>
      </c>
      <c r="AE21">
        <f t="shared" si="2"/>
        <v>17237.53334</v>
      </c>
      <c r="AF21">
        <f t="shared" si="3"/>
        <v>17424.62752</v>
      </c>
      <c r="AG21">
        <f t="shared" si="4"/>
        <v>17532.50086</v>
      </c>
      <c r="AH21" s="1"/>
      <c r="AI21" s="1"/>
      <c r="AJ21" s="8"/>
      <c r="AK21" s="8"/>
      <c r="AL21" s="8"/>
      <c r="AM21" s="8"/>
    </row>
    <row r="22" spans="3:39">
      <c r="C22" s="6" t="s">
        <v>627</v>
      </c>
      <c r="D22" s="6" t="s">
        <v>504</v>
      </c>
      <c r="E22" s="6" t="s">
        <v>504</v>
      </c>
      <c r="F22" s="6" t="s">
        <v>626</v>
      </c>
      <c r="G22" s="6">
        <v>250</v>
      </c>
      <c r="H22" s="6">
        <v>75</v>
      </c>
      <c r="J22" s="6">
        <v>98.825217</v>
      </c>
      <c r="K22" s="6">
        <v>7411.891275</v>
      </c>
      <c r="L22" s="6">
        <v>27948</v>
      </c>
      <c r="M22" s="6">
        <v>20536.108725</v>
      </c>
      <c r="N22" s="6">
        <v>58.691111</v>
      </c>
      <c r="O22" s="6">
        <v>4401.833325</v>
      </c>
      <c r="P22" s="6">
        <v>21677</v>
      </c>
      <c r="Q22" s="6">
        <v>17275.166675</v>
      </c>
      <c r="R22" s="6">
        <v>37.356208</v>
      </c>
      <c r="S22" s="6">
        <v>2801.7156</v>
      </c>
      <c r="T22" s="6">
        <v>20284</v>
      </c>
      <c r="U22" s="6">
        <v>17482.2844</v>
      </c>
      <c r="V22" s="6">
        <v>29.258319</v>
      </c>
      <c r="W22" s="6">
        <v>2194.373925</v>
      </c>
      <c r="X22" s="6">
        <v>19802</v>
      </c>
      <c r="Y22" s="6">
        <v>17607.626075</v>
      </c>
      <c r="AC22" t="str">
        <f t="shared" si="0"/>
        <v>Trd_lcv_elc_250</v>
      </c>
      <c r="AD22">
        <f t="shared" si="1"/>
        <v>20536.108725</v>
      </c>
      <c r="AE22">
        <f t="shared" si="2"/>
        <v>17275.166675</v>
      </c>
      <c r="AF22">
        <f t="shared" si="3"/>
        <v>17482.2844</v>
      </c>
      <c r="AG22">
        <f t="shared" si="4"/>
        <v>17607.626075</v>
      </c>
      <c r="AH22" s="1"/>
      <c r="AI22" s="1"/>
      <c r="AJ22" s="8"/>
      <c r="AK22" s="8"/>
      <c r="AL22" s="8"/>
      <c r="AM22" s="8"/>
    </row>
    <row r="23" spans="3:39">
      <c r="C23" s="6" t="s">
        <v>627</v>
      </c>
      <c r="D23" s="6" t="s">
        <v>505</v>
      </c>
      <c r="E23" s="6" t="s">
        <v>505</v>
      </c>
      <c r="F23" s="6" t="s">
        <v>626</v>
      </c>
      <c r="G23" s="6">
        <v>300</v>
      </c>
      <c r="H23" s="6">
        <v>90</v>
      </c>
      <c r="J23" s="6">
        <v>98.825217</v>
      </c>
      <c r="K23" s="6">
        <v>8894.26953</v>
      </c>
      <c r="L23" s="6">
        <v>30262</v>
      </c>
      <c r="M23" s="6">
        <v>21367.73047</v>
      </c>
      <c r="N23" s="6">
        <v>58.691111</v>
      </c>
      <c r="O23" s="6">
        <v>5282.19999</v>
      </c>
      <c r="P23" s="6">
        <v>22594</v>
      </c>
      <c r="Q23" s="6">
        <v>17311.80001</v>
      </c>
      <c r="R23" s="6">
        <v>37.356208</v>
      </c>
      <c r="S23" s="6">
        <v>3362.05872</v>
      </c>
      <c r="T23" s="6">
        <v>20902</v>
      </c>
      <c r="U23" s="6">
        <v>17539.94128</v>
      </c>
      <c r="V23" s="6">
        <v>29.258319</v>
      </c>
      <c r="W23" s="6">
        <v>2633.24871</v>
      </c>
      <c r="X23" s="6">
        <v>20316</v>
      </c>
      <c r="Y23" s="6">
        <v>17682.75129</v>
      </c>
      <c r="AC23" t="str">
        <f t="shared" si="0"/>
        <v>Trd_lcv_elc_300</v>
      </c>
      <c r="AD23">
        <f t="shared" si="1"/>
        <v>21367.73047</v>
      </c>
      <c r="AE23">
        <f t="shared" si="2"/>
        <v>17311.80001</v>
      </c>
      <c r="AF23">
        <f t="shared" si="3"/>
        <v>17539.94128</v>
      </c>
      <c r="AG23">
        <f t="shared" si="4"/>
        <v>17682.75129</v>
      </c>
      <c r="AH23" s="1"/>
      <c r="AI23" s="1"/>
      <c r="AJ23" s="8"/>
      <c r="AK23" s="8"/>
      <c r="AL23" s="8"/>
      <c r="AM23" s="8"/>
    </row>
    <row r="24" spans="3:39">
      <c r="C24" s="6" t="s">
        <v>627</v>
      </c>
      <c r="D24" s="6" t="s">
        <v>506</v>
      </c>
      <c r="E24" s="6" t="s">
        <v>506</v>
      </c>
      <c r="F24" s="6" t="s">
        <v>626</v>
      </c>
      <c r="G24" s="6">
        <v>350</v>
      </c>
      <c r="H24" s="6">
        <v>105</v>
      </c>
      <c r="J24" s="6">
        <v>98.825217</v>
      </c>
      <c r="K24" s="6">
        <v>10376.647785</v>
      </c>
      <c r="L24" s="6">
        <v>33408</v>
      </c>
      <c r="M24" s="6">
        <v>23031.352215</v>
      </c>
      <c r="N24" s="6">
        <v>58.691111</v>
      </c>
      <c r="O24" s="6">
        <v>6162.566655</v>
      </c>
      <c r="P24" s="6">
        <v>23703</v>
      </c>
      <c r="Q24" s="6">
        <v>17540.433345</v>
      </c>
      <c r="R24" s="6">
        <v>37.356208</v>
      </c>
      <c r="S24" s="6">
        <v>3922.40184</v>
      </c>
      <c r="T24" s="6">
        <v>21526</v>
      </c>
      <c r="U24" s="6">
        <v>17603.59816</v>
      </c>
      <c r="V24" s="6">
        <v>29.258319</v>
      </c>
      <c r="W24" s="6">
        <v>3072.123495</v>
      </c>
      <c r="X24" s="6">
        <v>20836</v>
      </c>
      <c r="Y24" s="6">
        <v>17763.876505</v>
      </c>
      <c r="AC24" t="str">
        <f t="shared" si="0"/>
        <v>Trd_lcv_elc_350</v>
      </c>
      <c r="AD24">
        <f t="shared" si="1"/>
        <v>23031.352215</v>
      </c>
      <c r="AE24">
        <f t="shared" si="2"/>
        <v>17540.433345</v>
      </c>
      <c r="AF24">
        <f t="shared" si="3"/>
        <v>17603.59816</v>
      </c>
      <c r="AG24">
        <f t="shared" si="4"/>
        <v>17763.876505</v>
      </c>
      <c r="AH24" s="1"/>
      <c r="AI24" s="1"/>
      <c r="AJ24" s="8"/>
      <c r="AK24" s="8"/>
      <c r="AL24" s="8"/>
      <c r="AM24" s="8"/>
    </row>
    <row r="25" spans="3:39">
      <c r="C25" s="6" t="s">
        <v>627</v>
      </c>
      <c r="D25" s="6" t="s">
        <v>507</v>
      </c>
      <c r="E25" s="6" t="s">
        <v>507</v>
      </c>
      <c r="F25" s="6" t="s">
        <v>626</v>
      </c>
      <c r="G25" s="6">
        <v>400</v>
      </c>
      <c r="H25" s="6">
        <v>120</v>
      </c>
      <c r="J25" s="6">
        <v>98.825217</v>
      </c>
      <c r="K25" s="6">
        <v>11859.02604</v>
      </c>
      <c r="L25" s="6">
        <v>36793</v>
      </c>
      <c r="M25" s="6">
        <v>24933.97396</v>
      </c>
      <c r="N25" s="6">
        <v>58.691111</v>
      </c>
      <c r="O25" s="6">
        <v>7042.93332</v>
      </c>
      <c r="P25" s="6">
        <v>24867</v>
      </c>
      <c r="Q25" s="6">
        <v>17824.06668</v>
      </c>
      <c r="R25" s="6">
        <v>37.356208</v>
      </c>
      <c r="S25" s="6">
        <v>4482.74496</v>
      </c>
      <c r="T25" s="6">
        <v>22150</v>
      </c>
      <c r="U25" s="6">
        <v>17667.25504</v>
      </c>
      <c r="V25" s="6">
        <v>29.258319</v>
      </c>
      <c r="W25" s="6">
        <v>3510.99828</v>
      </c>
      <c r="X25" s="6">
        <v>21355</v>
      </c>
      <c r="Y25" s="6">
        <v>17844.00172</v>
      </c>
      <c r="AC25" t="str">
        <f t="shared" si="0"/>
        <v>Trd_lcv_elc_400</v>
      </c>
      <c r="AD25">
        <f t="shared" si="1"/>
        <v>24933.97396</v>
      </c>
      <c r="AE25">
        <f t="shared" si="2"/>
        <v>17824.06668</v>
      </c>
      <c r="AF25">
        <f t="shared" si="3"/>
        <v>17667.25504</v>
      </c>
      <c r="AG25">
        <f t="shared" si="4"/>
        <v>17844.00172</v>
      </c>
      <c r="AH25" s="1"/>
      <c r="AI25" s="1"/>
      <c r="AJ25" s="8"/>
      <c r="AK25" s="8"/>
      <c r="AL25" s="8"/>
      <c r="AM25" s="8"/>
    </row>
    <row r="26" spans="3:39">
      <c r="C26" s="6" t="s">
        <v>627</v>
      </c>
      <c r="D26" s="6" t="s">
        <v>508</v>
      </c>
      <c r="E26" s="6" t="s">
        <v>508</v>
      </c>
      <c r="F26" s="6" t="s">
        <v>626</v>
      </c>
      <c r="G26" s="6">
        <v>500</v>
      </c>
      <c r="H26" s="6">
        <v>150</v>
      </c>
      <c r="J26" s="6">
        <v>98.825217</v>
      </c>
      <c r="K26" s="6">
        <v>14823.78255</v>
      </c>
      <c r="L26" s="6">
        <v>44277</v>
      </c>
      <c r="M26" s="6">
        <v>29453.21745</v>
      </c>
      <c r="N26" s="6">
        <v>58.691111</v>
      </c>
      <c r="O26" s="6">
        <v>8803.66665</v>
      </c>
      <c r="P26" s="6">
        <v>27630</v>
      </c>
      <c r="Q26" s="6">
        <v>18826.33335</v>
      </c>
      <c r="R26" s="6">
        <v>37.356208</v>
      </c>
      <c r="S26" s="6">
        <v>5603.4312</v>
      </c>
      <c r="T26" s="6">
        <v>23637</v>
      </c>
      <c r="U26" s="6">
        <v>18033.5688</v>
      </c>
      <c r="V26" s="6">
        <v>29.258319</v>
      </c>
      <c r="W26" s="6">
        <v>4388.74785</v>
      </c>
      <c r="X26" s="6">
        <v>22393</v>
      </c>
      <c r="Y26" s="6">
        <v>18004.25215</v>
      </c>
      <c r="AC26" t="str">
        <f t="shared" si="0"/>
        <v>Trd_lcv_elc_500</v>
      </c>
      <c r="AD26">
        <f t="shared" si="1"/>
        <v>29453.21745</v>
      </c>
      <c r="AE26">
        <f t="shared" si="2"/>
        <v>18826.33335</v>
      </c>
      <c r="AF26">
        <f t="shared" si="3"/>
        <v>18033.5688</v>
      </c>
      <c r="AG26">
        <f t="shared" si="4"/>
        <v>18004.25215</v>
      </c>
      <c r="AH26" s="1"/>
      <c r="AI26" s="1"/>
      <c r="AJ26" s="8"/>
      <c r="AK26" s="8"/>
      <c r="AL26" s="8"/>
      <c r="AM26" s="8"/>
    </row>
    <row r="27" spans="3:39">
      <c r="C27" s="6" t="s">
        <v>628</v>
      </c>
      <c r="D27" s="6" t="s">
        <v>629</v>
      </c>
      <c r="E27" s="6" t="s">
        <v>629</v>
      </c>
      <c r="F27" s="6" t="s">
        <v>630</v>
      </c>
      <c r="G27" s="12">
        <v>0.825</v>
      </c>
      <c r="H27" s="6">
        <v>18</v>
      </c>
      <c r="J27" s="6">
        <v>98.825217</v>
      </c>
      <c r="K27" s="6">
        <v>1778.853906</v>
      </c>
      <c r="L27" s="6">
        <v>25855</v>
      </c>
      <c r="M27" s="6">
        <v>24076.146094</v>
      </c>
      <c r="N27" s="6">
        <v>58.691111</v>
      </c>
      <c r="O27" s="6">
        <v>1056.439998</v>
      </c>
      <c r="P27" s="6">
        <v>20946</v>
      </c>
      <c r="Q27" s="6">
        <v>19889.560002</v>
      </c>
      <c r="R27" s="6">
        <v>37.356208</v>
      </c>
      <c r="S27" s="6">
        <v>672.411744</v>
      </c>
      <c r="T27" s="6">
        <v>19751</v>
      </c>
      <c r="U27" s="6">
        <v>19078.588256</v>
      </c>
      <c r="V27" s="6">
        <v>29.258319</v>
      </c>
      <c r="W27" s="6">
        <v>526.649742</v>
      </c>
      <c r="X27" s="6">
        <v>19403</v>
      </c>
      <c r="Y27" s="6">
        <v>18876.350258</v>
      </c>
      <c r="AC27" t="str">
        <f t="shared" si="0"/>
        <v>Trd_lcv_gsl-pih_83</v>
      </c>
      <c r="AD27">
        <f t="shared" si="1"/>
        <v>24076.146094</v>
      </c>
      <c r="AE27">
        <f t="shared" si="2"/>
        <v>19889.560002</v>
      </c>
      <c r="AF27">
        <f t="shared" si="3"/>
        <v>19078.588256</v>
      </c>
      <c r="AG27">
        <f t="shared" si="4"/>
        <v>18876.350258</v>
      </c>
      <c r="AH27" s="1"/>
      <c r="AI27" s="1"/>
      <c r="AJ27" s="8"/>
      <c r="AK27" s="8"/>
      <c r="AL27" s="8"/>
      <c r="AM27" s="8"/>
    </row>
    <row r="28" spans="3:39">
      <c r="C28" s="6" t="s">
        <v>628</v>
      </c>
      <c r="D28" s="6" t="s">
        <v>631</v>
      </c>
      <c r="E28" s="6" t="s">
        <v>631</v>
      </c>
      <c r="F28" s="6" t="s">
        <v>630</v>
      </c>
      <c r="G28" s="12">
        <v>0.835</v>
      </c>
      <c r="H28" s="6">
        <v>18</v>
      </c>
      <c r="J28" s="6">
        <v>98.825217</v>
      </c>
      <c r="K28" s="6">
        <v>1778.853906</v>
      </c>
      <c r="L28" s="6">
        <v>25937</v>
      </c>
      <c r="M28" s="6">
        <v>24158.146094</v>
      </c>
      <c r="N28" s="6">
        <v>58.691111</v>
      </c>
      <c r="O28" s="6">
        <v>1056.439998</v>
      </c>
      <c r="P28" s="6">
        <v>20973</v>
      </c>
      <c r="Q28" s="6">
        <v>19916.560002</v>
      </c>
      <c r="R28" s="6">
        <v>37.356208</v>
      </c>
      <c r="S28" s="6">
        <v>672.411744</v>
      </c>
      <c r="T28" s="6">
        <v>19767</v>
      </c>
      <c r="U28" s="6">
        <v>19094.588256</v>
      </c>
      <c r="V28" s="6">
        <v>29.258319</v>
      </c>
      <c r="W28" s="6">
        <v>526.649742</v>
      </c>
      <c r="X28" s="6">
        <v>19415</v>
      </c>
      <c r="Y28" s="6">
        <v>18888.350258</v>
      </c>
      <c r="AC28" t="str">
        <f t="shared" si="0"/>
        <v>Trd_lcv_gsl-pih_84</v>
      </c>
      <c r="AD28">
        <f t="shared" si="1"/>
        <v>24158.146094</v>
      </c>
      <c r="AE28">
        <f t="shared" si="2"/>
        <v>19916.560002</v>
      </c>
      <c r="AF28">
        <f t="shared" si="3"/>
        <v>19094.588256</v>
      </c>
      <c r="AG28">
        <f t="shared" si="4"/>
        <v>18888.350258</v>
      </c>
      <c r="AH28" s="1"/>
      <c r="AI28" s="1"/>
      <c r="AJ28" s="8"/>
      <c r="AK28" s="8"/>
      <c r="AL28" s="8"/>
      <c r="AM28" s="8"/>
    </row>
    <row r="29" spans="3:39">
      <c r="C29" s="6" t="s">
        <v>628</v>
      </c>
      <c r="D29" s="6" t="s">
        <v>632</v>
      </c>
      <c r="E29" s="6" t="s">
        <v>632</v>
      </c>
      <c r="F29" s="6" t="s">
        <v>630</v>
      </c>
      <c r="G29" s="12">
        <v>0.848</v>
      </c>
      <c r="H29" s="6">
        <v>18</v>
      </c>
      <c r="J29" s="6">
        <v>98.825217</v>
      </c>
      <c r="K29" s="6">
        <v>1778.853906</v>
      </c>
      <c r="L29" s="6">
        <v>26068</v>
      </c>
      <c r="M29" s="6">
        <v>24289.146094</v>
      </c>
      <c r="N29" s="6">
        <v>58.691111</v>
      </c>
      <c r="O29" s="6">
        <v>1056.439998</v>
      </c>
      <c r="P29" s="6">
        <v>20984</v>
      </c>
      <c r="Q29" s="6">
        <v>19927.560002</v>
      </c>
      <c r="R29" s="6">
        <v>37.356208</v>
      </c>
      <c r="S29" s="6">
        <v>672.411744</v>
      </c>
      <c r="T29" s="6">
        <v>19772</v>
      </c>
      <c r="U29" s="6">
        <v>19099.588256</v>
      </c>
      <c r="V29" s="6">
        <v>29.258319</v>
      </c>
      <c r="W29" s="6">
        <v>526.649742</v>
      </c>
      <c r="X29" s="6">
        <v>19418</v>
      </c>
      <c r="Y29" s="6">
        <v>18891.350258</v>
      </c>
      <c r="AC29" t="str">
        <f t="shared" si="0"/>
        <v>Trd_lcv_gsl-pih_85</v>
      </c>
      <c r="AD29">
        <f t="shared" si="1"/>
        <v>24289.146094</v>
      </c>
      <c r="AE29">
        <f t="shared" si="2"/>
        <v>19927.560002</v>
      </c>
      <c r="AF29">
        <f t="shared" si="3"/>
        <v>19099.588256</v>
      </c>
      <c r="AG29">
        <f t="shared" si="4"/>
        <v>18891.350258</v>
      </c>
      <c r="AH29" s="1"/>
      <c r="AI29" s="1"/>
      <c r="AJ29" s="8"/>
      <c r="AK29" s="8"/>
      <c r="AL29" s="8"/>
      <c r="AM29" s="8"/>
    </row>
    <row r="30" spans="3:39">
      <c r="C30" s="6" t="s">
        <v>628</v>
      </c>
      <c r="D30" s="6" t="s">
        <v>633</v>
      </c>
      <c r="E30" s="6" t="s">
        <v>633</v>
      </c>
      <c r="F30" s="6" t="s">
        <v>630</v>
      </c>
      <c r="G30" s="12">
        <v>0.858</v>
      </c>
      <c r="H30" s="6">
        <v>18</v>
      </c>
      <c r="J30" s="6">
        <v>98.825217</v>
      </c>
      <c r="K30" s="6">
        <v>1778.853906</v>
      </c>
      <c r="L30" s="6">
        <v>29189</v>
      </c>
      <c r="M30" s="6">
        <v>27410.146094</v>
      </c>
      <c r="N30" s="6">
        <v>58.691111</v>
      </c>
      <c r="O30" s="6">
        <v>1056.439998</v>
      </c>
      <c r="P30" s="6">
        <v>21014</v>
      </c>
      <c r="Q30" s="6">
        <v>19957.560002</v>
      </c>
      <c r="R30" s="6">
        <v>37.356208</v>
      </c>
      <c r="S30" s="6">
        <v>672.411744</v>
      </c>
      <c r="T30" s="6">
        <v>19796</v>
      </c>
      <c r="U30" s="6">
        <v>19123.588256</v>
      </c>
      <c r="V30" s="6">
        <v>29.258319</v>
      </c>
      <c r="W30" s="6">
        <v>526.649742</v>
      </c>
      <c r="X30" s="6">
        <v>19441</v>
      </c>
      <c r="Y30" s="6">
        <v>18914.350258</v>
      </c>
      <c r="AC30" t="str">
        <f t="shared" si="0"/>
        <v>Trd_lcv_gsl-pih_86</v>
      </c>
      <c r="AD30">
        <f t="shared" si="1"/>
        <v>27410.146094</v>
      </c>
      <c r="AE30">
        <f t="shared" si="2"/>
        <v>19957.560002</v>
      </c>
      <c r="AF30">
        <f t="shared" si="3"/>
        <v>19123.588256</v>
      </c>
      <c r="AG30">
        <f t="shared" si="4"/>
        <v>18914.350258</v>
      </c>
      <c r="AH30" s="1"/>
      <c r="AI30" s="1"/>
      <c r="AJ30" s="8"/>
      <c r="AK30" s="8"/>
      <c r="AL30" s="8"/>
      <c r="AM30" s="8"/>
    </row>
    <row r="31" spans="3:39">
      <c r="C31" s="6" t="s">
        <v>628</v>
      </c>
      <c r="D31" s="6" t="s">
        <v>634</v>
      </c>
      <c r="E31" s="6" t="s">
        <v>634</v>
      </c>
      <c r="F31" s="6" t="s">
        <v>630</v>
      </c>
      <c r="G31" s="12">
        <v>0.868</v>
      </c>
      <c r="H31" s="6">
        <v>18</v>
      </c>
      <c r="J31" s="6">
        <v>98.825217</v>
      </c>
      <c r="K31" s="6">
        <v>1778.853906</v>
      </c>
      <c r="L31" s="6">
        <v>44990</v>
      </c>
      <c r="M31" s="6">
        <v>43211.146094</v>
      </c>
      <c r="N31" s="6">
        <v>58.691111</v>
      </c>
      <c r="O31" s="6">
        <v>1056.439998</v>
      </c>
      <c r="P31" s="6">
        <v>21033</v>
      </c>
      <c r="Q31" s="6">
        <v>19976.560002</v>
      </c>
      <c r="R31" s="6">
        <v>37.356208</v>
      </c>
      <c r="S31" s="6">
        <v>672.411744</v>
      </c>
      <c r="T31" s="6">
        <v>19824</v>
      </c>
      <c r="U31" s="6">
        <v>19151.588256</v>
      </c>
      <c r="V31" s="6">
        <v>29.258319</v>
      </c>
      <c r="W31" s="6">
        <v>526.649742</v>
      </c>
      <c r="X31" s="6">
        <v>19473</v>
      </c>
      <c r="Y31" s="6">
        <v>18946.350258</v>
      </c>
      <c r="AC31" t="str">
        <f t="shared" si="0"/>
        <v>Trd_lcv_gsl-pih_87</v>
      </c>
      <c r="AD31">
        <f t="shared" si="1"/>
        <v>43211.146094</v>
      </c>
      <c r="AE31">
        <f t="shared" si="2"/>
        <v>19976.560002</v>
      </c>
      <c r="AF31">
        <f t="shared" si="3"/>
        <v>19151.588256</v>
      </c>
      <c r="AG31">
        <f t="shared" si="4"/>
        <v>18946.350258</v>
      </c>
      <c r="AH31" s="1"/>
      <c r="AI31" s="1"/>
      <c r="AJ31" s="8"/>
      <c r="AK31" s="8"/>
      <c r="AL31" s="8"/>
      <c r="AM31" s="8"/>
    </row>
    <row r="32" spans="3:39">
      <c r="C32" s="6" t="s">
        <v>628</v>
      </c>
      <c r="D32" s="6" t="s">
        <v>635</v>
      </c>
      <c r="E32" s="6" t="s">
        <v>635</v>
      </c>
      <c r="F32" s="6" t="s">
        <v>630</v>
      </c>
      <c r="G32" s="12">
        <v>0.915</v>
      </c>
      <c r="H32" s="6">
        <v>18</v>
      </c>
      <c r="J32" s="6">
        <v>98.825217</v>
      </c>
      <c r="K32" s="6">
        <v>1778.853906</v>
      </c>
      <c r="L32" s="6">
        <v>61079</v>
      </c>
      <c r="M32" s="6">
        <v>59300.146094</v>
      </c>
      <c r="N32" s="6">
        <v>58.691111</v>
      </c>
      <c r="O32" s="6">
        <v>1056.439998</v>
      </c>
      <c r="P32" s="6">
        <v>24621</v>
      </c>
      <c r="Q32" s="6">
        <v>23564.560002</v>
      </c>
      <c r="R32" s="6">
        <v>37.356208</v>
      </c>
      <c r="S32" s="6">
        <v>672.411744</v>
      </c>
      <c r="T32" s="6">
        <v>22832</v>
      </c>
      <c r="U32" s="6">
        <v>22159.588256</v>
      </c>
      <c r="V32" s="6">
        <v>29.258319</v>
      </c>
      <c r="W32" s="6">
        <v>526.649742</v>
      </c>
      <c r="X32" s="6">
        <v>22357</v>
      </c>
      <c r="Y32" s="6">
        <v>21830.350258</v>
      </c>
      <c r="AC32" t="str">
        <f t="shared" si="0"/>
        <v>Trd_lcv_gsl-pih_92</v>
      </c>
      <c r="AD32">
        <f t="shared" si="1"/>
        <v>59300.146094</v>
      </c>
      <c r="AE32">
        <f t="shared" si="2"/>
        <v>23564.560002</v>
      </c>
      <c r="AF32">
        <f t="shared" si="3"/>
        <v>22159.588256</v>
      </c>
      <c r="AG32">
        <f t="shared" si="4"/>
        <v>21830.350258</v>
      </c>
      <c r="AH32" s="1"/>
      <c r="AI32" s="1"/>
      <c r="AJ32" s="8"/>
      <c r="AK32" s="8"/>
      <c r="AL32" s="8"/>
      <c r="AM32" s="8"/>
    </row>
    <row r="33" spans="3:39">
      <c r="C33" s="6" t="s">
        <v>628</v>
      </c>
      <c r="D33" s="6" t="s">
        <v>636</v>
      </c>
      <c r="E33" s="6" t="s">
        <v>636</v>
      </c>
      <c r="F33" s="6" t="s">
        <v>630</v>
      </c>
      <c r="G33" s="12">
        <v>0.923</v>
      </c>
      <c r="H33" s="6">
        <v>18</v>
      </c>
      <c r="J33" s="6">
        <v>98.825217</v>
      </c>
      <c r="K33" s="6">
        <v>1778.853906</v>
      </c>
      <c r="L33" s="6">
        <v>61659</v>
      </c>
      <c r="M33" s="6">
        <v>59880.146094</v>
      </c>
      <c r="N33" s="6">
        <v>58.691111</v>
      </c>
      <c r="O33" s="6">
        <v>1056.439998</v>
      </c>
      <c r="P33" s="6">
        <v>36663</v>
      </c>
      <c r="Q33" s="6">
        <v>35606.560002</v>
      </c>
      <c r="R33" s="6">
        <v>37.356208</v>
      </c>
      <c r="S33" s="6">
        <v>672.411744</v>
      </c>
      <c r="T33" s="6">
        <v>34512</v>
      </c>
      <c r="U33" s="6">
        <v>33839.588256</v>
      </c>
      <c r="V33" s="6">
        <v>29.258319</v>
      </c>
      <c r="W33" s="6">
        <v>526.649742</v>
      </c>
      <c r="X33" s="6">
        <v>34243</v>
      </c>
      <c r="Y33" s="6">
        <v>33716.350258</v>
      </c>
      <c r="AC33" t="str">
        <f t="shared" si="0"/>
        <v>Trd_lcv_gsl-pih_93</v>
      </c>
      <c r="AD33">
        <f t="shared" si="1"/>
        <v>59880.146094</v>
      </c>
      <c r="AE33">
        <f t="shared" si="2"/>
        <v>35606.560002</v>
      </c>
      <c r="AF33">
        <f t="shared" si="3"/>
        <v>33839.588256</v>
      </c>
      <c r="AG33">
        <f t="shared" si="4"/>
        <v>33716.350258</v>
      </c>
      <c r="AH33" s="1"/>
      <c r="AI33" s="1"/>
      <c r="AJ33" s="8"/>
      <c r="AK33" s="8"/>
      <c r="AL33" s="8"/>
      <c r="AM33" s="8"/>
    </row>
    <row r="34" spans="3:39">
      <c r="C34" s="6" t="s">
        <v>628</v>
      </c>
      <c r="D34" s="6" t="s">
        <v>637</v>
      </c>
      <c r="E34" s="6" t="s">
        <v>637</v>
      </c>
      <c r="F34" s="6" t="s">
        <v>630</v>
      </c>
      <c r="G34" s="12">
        <v>0.93</v>
      </c>
      <c r="H34" s="6">
        <v>18</v>
      </c>
      <c r="I34" s="6" t="s">
        <v>638</v>
      </c>
      <c r="J34" s="6">
        <v>98.825217</v>
      </c>
      <c r="K34" s="6">
        <v>1778.853906</v>
      </c>
      <c r="L34" s="6">
        <v>99214</v>
      </c>
      <c r="M34" s="6">
        <v>97435.146094</v>
      </c>
      <c r="N34" s="6">
        <v>58.691111</v>
      </c>
      <c r="O34" s="6">
        <v>1056.439998</v>
      </c>
      <c r="P34" s="6">
        <v>52428</v>
      </c>
      <c r="Q34" s="6">
        <v>51371.560002</v>
      </c>
      <c r="R34" s="6">
        <v>37.356208</v>
      </c>
      <c r="S34" s="6">
        <v>672.411744</v>
      </c>
      <c r="T34" s="6">
        <v>50000</v>
      </c>
      <c r="U34" s="6">
        <v>49327.588256</v>
      </c>
      <c r="V34" s="6">
        <v>29.258319</v>
      </c>
      <c r="W34" s="6">
        <v>526.649742</v>
      </c>
      <c r="X34" s="6">
        <v>50077</v>
      </c>
      <c r="Y34" s="6">
        <v>49550.350258</v>
      </c>
      <c r="AC34" t="s">
        <v>4</v>
      </c>
      <c r="AD34">
        <f t="shared" si="1"/>
        <v>97435.146094</v>
      </c>
      <c r="AE34">
        <f t="shared" si="2"/>
        <v>51371.560002</v>
      </c>
      <c r="AF34">
        <f t="shared" si="3"/>
        <v>49327.588256</v>
      </c>
      <c r="AG34">
        <f t="shared" si="4"/>
        <v>49550.350258</v>
      </c>
      <c r="AH34" s="1"/>
      <c r="AI34" s="1"/>
      <c r="AJ34" s="8"/>
      <c r="AK34" s="8"/>
      <c r="AL34" s="8"/>
      <c r="AM34" s="8"/>
    </row>
    <row r="35" spans="3:39">
      <c r="C35" s="6" t="s">
        <v>639</v>
      </c>
      <c r="D35" s="6" t="s">
        <v>509</v>
      </c>
      <c r="E35" s="6" t="s">
        <v>509</v>
      </c>
      <c r="F35" s="6" t="s">
        <v>626</v>
      </c>
      <c r="G35" s="6">
        <v>150</v>
      </c>
      <c r="H35" s="6">
        <v>180</v>
      </c>
      <c r="J35" s="6">
        <v>98.825217</v>
      </c>
      <c r="K35" s="6">
        <v>17788.53906</v>
      </c>
      <c r="L35" s="6">
        <v>144374</v>
      </c>
      <c r="M35" s="6">
        <v>126585.46094</v>
      </c>
      <c r="N35" s="6">
        <v>58.691111</v>
      </c>
      <c r="O35" s="6">
        <v>10564.39998</v>
      </c>
      <c r="P35" s="6">
        <v>95781</v>
      </c>
      <c r="Q35" s="6">
        <v>85216.60002</v>
      </c>
      <c r="R35" s="6">
        <v>37.356208</v>
      </c>
      <c r="S35" s="6">
        <v>6724.11744</v>
      </c>
      <c r="T35" s="6">
        <v>90630</v>
      </c>
      <c r="U35" s="6">
        <v>83905.88256</v>
      </c>
      <c r="V35" s="6">
        <v>29.258319</v>
      </c>
      <c r="W35" s="6">
        <v>5266.49742</v>
      </c>
      <c r="X35" s="6">
        <v>88753</v>
      </c>
      <c r="Y35" s="6">
        <v>83486.50258</v>
      </c>
      <c r="AC35" t="str">
        <f t="shared" si="0"/>
        <v>Trd_hdt_elc_150</v>
      </c>
      <c r="AD35">
        <f t="shared" si="1"/>
        <v>126585.46094</v>
      </c>
      <c r="AE35">
        <f t="shared" si="2"/>
        <v>85216.60002</v>
      </c>
      <c r="AF35">
        <f t="shared" si="3"/>
        <v>83905.88256</v>
      </c>
      <c r="AG35">
        <f t="shared" si="4"/>
        <v>83486.50258</v>
      </c>
      <c r="AH35" s="1"/>
      <c r="AI35" s="1"/>
      <c r="AJ35" s="8"/>
      <c r="AK35" s="8"/>
      <c r="AL35" s="8"/>
      <c r="AM35" s="8"/>
    </row>
    <row r="36" spans="3:39">
      <c r="C36" s="6" t="s">
        <v>639</v>
      </c>
      <c r="D36" s="6" t="s">
        <v>510</v>
      </c>
      <c r="E36" s="6" t="s">
        <v>510</v>
      </c>
      <c r="F36" s="6" t="s">
        <v>626</v>
      </c>
      <c r="G36" s="6">
        <v>179</v>
      </c>
      <c r="H36" s="6">
        <v>214.8</v>
      </c>
      <c r="J36" s="6">
        <v>98.825217</v>
      </c>
      <c r="K36" s="6">
        <v>21227.656612</v>
      </c>
      <c r="L36" s="6">
        <v>147802</v>
      </c>
      <c r="M36" s="6">
        <v>126574.343388</v>
      </c>
      <c r="N36" s="6">
        <v>58.691111</v>
      </c>
      <c r="O36" s="6">
        <v>12606.850643</v>
      </c>
      <c r="P36" s="6">
        <v>97793</v>
      </c>
      <c r="Q36" s="6">
        <v>85186.149357</v>
      </c>
      <c r="R36" s="6">
        <v>37.356208</v>
      </c>
      <c r="S36" s="6">
        <v>8024.113478</v>
      </c>
      <c r="T36" s="6">
        <v>92047</v>
      </c>
      <c r="U36" s="6">
        <v>84022.886522</v>
      </c>
      <c r="V36" s="6">
        <v>29.258319</v>
      </c>
      <c r="W36" s="6">
        <v>6284.686921</v>
      </c>
      <c r="X36" s="6">
        <v>89777</v>
      </c>
      <c r="Y36" s="6">
        <v>83492.313079</v>
      </c>
      <c r="AC36" t="str">
        <f t="shared" si="0"/>
        <v>Trd_hdt_elc_179</v>
      </c>
      <c r="AD36">
        <f t="shared" si="1"/>
        <v>126574.343388</v>
      </c>
      <c r="AE36">
        <f t="shared" si="2"/>
        <v>85186.149357</v>
      </c>
      <c r="AF36">
        <f t="shared" si="3"/>
        <v>84022.886522</v>
      </c>
      <c r="AG36">
        <f t="shared" si="4"/>
        <v>83492.313079</v>
      </c>
      <c r="AH36" s="1"/>
      <c r="AI36" s="1"/>
      <c r="AJ36" s="8"/>
      <c r="AK36" s="8"/>
      <c r="AL36" s="8"/>
      <c r="AM36" s="8"/>
    </row>
    <row r="37" spans="3:39">
      <c r="C37" s="6" t="s">
        <v>639</v>
      </c>
      <c r="D37" s="6" t="s">
        <v>512</v>
      </c>
      <c r="E37" s="6" t="s">
        <v>512</v>
      </c>
      <c r="F37" s="6" t="s">
        <v>626</v>
      </c>
      <c r="G37" s="6">
        <v>207</v>
      </c>
      <c r="H37" s="6">
        <v>248.4</v>
      </c>
      <c r="J37" s="6">
        <v>98.825217</v>
      </c>
      <c r="K37" s="6">
        <v>24548.183903</v>
      </c>
      <c r="L37" s="6">
        <v>149289</v>
      </c>
      <c r="M37" s="6">
        <v>124740.816097</v>
      </c>
      <c r="N37" s="6">
        <v>58.691111</v>
      </c>
      <c r="O37" s="6">
        <v>14578.871972</v>
      </c>
      <c r="P37" s="6">
        <v>100586</v>
      </c>
      <c r="Q37" s="6">
        <v>86007.128028</v>
      </c>
      <c r="R37" s="6">
        <v>37.356208</v>
      </c>
      <c r="S37" s="6">
        <v>9279.282067</v>
      </c>
      <c r="T37" s="6">
        <v>93658</v>
      </c>
      <c r="U37" s="6">
        <v>84378.717933</v>
      </c>
      <c r="V37" s="6">
        <v>29.258319</v>
      </c>
      <c r="W37" s="6">
        <v>7267.76644</v>
      </c>
      <c r="X37" s="6">
        <v>90964</v>
      </c>
      <c r="Y37" s="6">
        <v>83696.23356</v>
      </c>
      <c r="AC37" t="str">
        <f t="shared" si="0"/>
        <v>Trd_hdt_elc_207</v>
      </c>
      <c r="AD37">
        <f t="shared" si="1"/>
        <v>124740.816097</v>
      </c>
      <c r="AE37">
        <f t="shared" si="2"/>
        <v>86007.128028</v>
      </c>
      <c r="AF37">
        <f t="shared" si="3"/>
        <v>84378.717933</v>
      </c>
      <c r="AG37">
        <f t="shared" si="4"/>
        <v>83696.23356</v>
      </c>
      <c r="AH37" s="1"/>
      <c r="AI37" s="1"/>
      <c r="AJ37" s="8"/>
      <c r="AK37" s="8"/>
      <c r="AL37" s="8"/>
      <c r="AM37" s="8"/>
    </row>
    <row r="38" spans="3:39">
      <c r="C38" s="6" t="s">
        <v>639</v>
      </c>
      <c r="D38" s="6" t="s">
        <v>514</v>
      </c>
      <c r="E38" s="6" t="s">
        <v>514</v>
      </c>
      <c r="F38" s="6" t="s">
        <v>626</v>
      </c>
      <c r="G38" s="6">
        <v>236</v>
      </c>
      <c r="H38" s="6">
        <v>283.2</v>
      </c>
      <c r="J38" s="6">
        <v>98.825217</v>
      </c>
      <c r="K38" s="6">
        <v>27987.301454</v>
      </c>
      <c r="L38" s="6">
        <v>152494</v>
      </c>
      <c r="M38" s="6">
        <v>124506.698546</v>
      </c>
      <c r="N38" s="6">
        <v>58.691111</v>
      </c>
      <c r="O38" s="6">
        <v>16621.322635</v>
      </c>
      <c r="P38" s="6">
        <v>102554</v>
      </c>
      <c r="Q38" s="6">
        <v>85932.677365</v>
      </c>
      <c r="R38" s="6">
        <v>37.356208</v>
      </c>
      <c r="S38" s="6">
        <v>10579.278106</v>
      </c>
      <c r="T38" s="6">
        <v>94660</v>
      </c>
      <c r="U38" s="6">
        <v>84080.721894</v>
      </c>
      <c r="V38" s="6">
        <v>29.258319</v>
      </c>
      <c r="W38" s="6">
        <v>8285.955941</v>
      </c>
      <c r="X38" s="6">
        <v>92015</v>
      </c>
      <c r="Y38" s="6">
        <v>83729.044059</v>
      </c>
      <c r="AC38" t="str">
        <f t="shared" si="0"/>
        <v>Trd_hdt_elc_236</v>
      </c>
      <c r="AD38">
        <f t="shared" si="1"/>
        <v>124506.698546</v>
      </c>
      <c r="AE38">
        <f t="shared" si="2"/>
        <v>85932.677365</v>
      </c>
      <c r="AF38">
        <f t="shared" si="3"/>
        <v>84080.721894</v>
      </c>
      <c r="AG38">
        <f t="shared" si="4"/>
        <v>83729.044059</v>
      </c>
      <c r="AH38" s="1"/>
      <c r="AI38" s="1"/>
      <c r="AJ38" s="8"/>
      <c r="AK38" s="8"/>
      <c r="AL38" s="8"/>
      <c r="AM38" s="8"/>
    </row>
    <row r="39" spans="3:39">
      <c r="C39" s="6" t="s">
        <v>639</v>
      </c>
      <c r="D39" s="6" t="s">
        <v>516</v>
      </c>
      <c r="E39" s="6" t="s">
        <v>516</v>
      </c>
      <c r="F39" s="6" t="s">
        <v>626</v>
      </c>
      <c r="G39" s="6">
        <v>264</v>
      </c>
      <c r="H39" s="6">
        <v>316.8</v>
      </c>
      <c r="J39" s="6">
        <v>98.825217</v>
      </c>
      <c r="K39" s="6">
        <v>31307.828746</v>
      </c>
      <c r="L39" s="6">
        <v>155632</v>
      </c>
      <c r="M39" s="6">
        <v>124324.171254</v>
      </c>
      <c r="N39" s="6">
        <v>58.691111</v>
      </c>
      <c r="O39" s="6">
        <v>18593.343965</v>
      </c>
      <c r="P39" s="6">
        <v>104580</v>
      </c>
      <c r="Q39" s="6">
        <v>85986.656035</v>
      </c>
      <c r="R39" s="6">
        <v>37.356208</v>
      </c>
      <c r="S39" s="6">
        <v>11834.446694</v>
      </c>
      <c r="T39" s="6">
        <v>95570</v>
      </c>
      <c r="U39" s="6">
        <v>83735.553306</v>
      </c>
      <c r="V39" s="6">
        <v>29.258319</v>
      </c>
      <c r="W39" s="6">
        <v>9269.035459</v>
      </c>
      <c r="X39" s="6">
        <v>92931</v>
      </c>
      <c r="Y39" s="6">
        <v>83661.964541</v>
      </c>
      <c r="AC39" t="str">
        <f t="shared" si="0"/>
        <v>Trd_hdt_elc_264</v>
      </c>
      <c r="AD39">
        <f t="shared" si="1"/>
        <v>124324.171254</v>
      </c>
      <c r="AE39">
        <f t="shared" si="2"/>
        <v>85986.656035</v>
      </c>
      <c r="AF39">
        <f t="shared" si="3"/>
        <v>83735.553306</v>
      </c>
      <c r="AG39">
        <f t="shared" si="4"/>
        <v>83661.964541</v>
      </c>
      <c r="AH39" s="1"/>
      <c r="AI39" s="1"/>
      <c r="AJ39" s="8"/>
      <c r="AK39" s="8"/>
      <c r="AL39" s="8"/>
      <c r="AM39" s="8"/>
    </row>
    <row r="40" spans="3:39">
      <c r="C40" s="6" t="s">
        <v>639</v>
      </c>
      <c r="D40" s="6" t="s">
        <v>517</v>
      </c>
      <c r="E40" s="6" t="s">
        <v>517</v>
      </c>
      <c r="F40" s="6" t="s">
        <v>626</v>
      </c>
      <c r="G40" s="6">
        <v>350</v>
      </c>
      <c r="H40" s="6">
        <v>420</v>
      </c>
      <c r="J40" s="6">
        <v>98.825217</v>
      </c>
      <c r="K40" s="6">
        <v>41506.59114</v>
      </c>
      <c r="L40" s="6">
        <v>159705</v>
      </c>
      <c r="M40" s="6">
        <v>118198.40886</v>
      </c>
      <c r="N40" s="6">
        <v>58.691111</v>
      </c>
      <c r="O40" s="6">
        <v>24650.26662</v>
      </c>
      <c r="P40" s="6">
        <v>107786</v>
      </c>
      <c r="Q40" s="6">
        <v>83135.73338</v>
      </c>
      <c r="R40" s="6">
        <v>37.356208</v>
      </c>
      <c r="S40" s="6">
        <v>15689.60736</v>
      </c>
      <c r="T40" s="6">
        <v>98254</v>
      </c>
      <c r="U40" s="6">
        <v>82564.39264</v>
      </c>
      <c r="V40" s="6">
        <v>29.258319</v>
      </c>
      <c r="W40" s="6">
        <v>12288.49398</v>
      </c>
      <c r="X40" s="6">
        <v>95332</v>
      </c>
      <c r="Y40" s="6">
        <v>83043.50602</v>
      </c>
      <c r="AC40" t="str">
        <f t="shared" si="0"/>
        <v>Trd_hdt_elc_350</v>
      </c>
      <c r="AD40">
        <f t="shared" si="1"/>
        <v>118198.40886</v>
      </c>
      <c r="AE40">
        <f t="shared" si="2"/>
        <v>83135.73338</v>
      </c>
      <c r="AF40">
        <f t="shared" si="3"/>
        <v>82564.39264</v>
      </c>
      <c r="AG40">
        <f t="shared" si="4"/>
        <v>83043.50602</v>
      </c>
      <c r="AH40" s="1"/>
      <c r="AI40" s="1"/>
      <c r="AJ40" s="8"/>
      <c r="AK40" s="8"/>
      <c r="AL40" s="8"/>
      <c r="AM40" s="8"/>
    </row>
    <row r="41" spans="3:39">
      <c r="C41" s="6" t="s">
        <v>639</v>
      </c>
      <c r="D41" s="6" t="s">
        <v>518</v>
      </c>
      <c r="E41" s="6" t="s">
        <v>518</v>
      </c>
      <c r="F41" s="6" t="s">
        <v>626</v>
      </c>
      <c r="G41" s="6">
        <v>500</v>
      </c>
      <c r="H41" s="6">
        <v>600</v>
      </c>
      <c r="J41" s="6">
        <v>98.825217</v>
      </c>
      <c r="K41" s="6">
        <v>59295.1302</v>
      </c>
      <c r="L41" s="6">
        <v>179613</v>
      </c>
      <c r="M41" s="6">
        <v>120317.8698</v>
      </c>
      <c r="N41" s="6">
        <v>58.691111</v>
      </c>
      <c r="O41" s="6">
        <v>35214.6666</v>
      </c>
      <c r="P41" s="6">
        <v>119565</v>
      </c>
      <c r="Q41" s="6">
        <v>84350.3334</v>
      </c>
      <c r="R41" s="6">
        <v>37.356208</v>
      </c>
      <c r="S41" s="6">
        <v>22413.7248</v>
      </c>
      <c r="T41" s="6">
        <v>104087</v>
      </c>
      <c r="U41" s="6">
        <v>81673.2752</v>
      </c>
      <c r="V41" s="6">
        <v>29.258319</v>
      </c>
      <c r="W41" s="6">
        <v>17554.9914</v>
      </c>
      <c r="X41" s="6">
        <v>100030</v>
      </c>
      <c r="Y41" s="6">
        <v>82475.0086</v>
      </c>
      <c r="AC41" t="str">
        <f t="shared" si="0"/>
        <v>Trd_hdt_elc_500</v>
      </c>
      <c r="AD41">
        <f t="shared" si="1"/>
        <v>120317.8698</v>
      </c>
      <c r="AE41">
        <f t="shared" si="2"/>
        <v>84350.3334</v>
      </c>
      <c r="AF41">
        <f t="shared" si="3"/>
        <v>81673.2752</v>
      </c>
      <c r="AG41">
        <f t="shared" si="4"/>
        <v>82475.0086</v>
      </c>
      <c r="AH41" s="1"/>
      <c r="AI41" s="1"/>
      <c r="AJ41" s="8"/>
      <c r="AK41" s="8"/>
      <c r="AL41" s="8"/>
      <c r="AM41" s="8"/>
    </row>
    <row r="42" spans="3:39">
      <c r="C42" s="6" t="s">
        <v>639</v>
      </c>
      <c r="D42" s="6" t="s">
        <v>519</v>
      </c>
      <c r="E42" s="6" t="s">
        <v>519</v>
      </c>
      <c r="F42" s="6" t="s">
        <v>626</v>
      </c>
      <c r="G42" s="6">
        <v>600</v>
      </c>
      <c r="H42" s="6">
        <v>720</v>
      </c>
      <c r="J42" s="6">
        <v>98.825217</v>
      </c>
      <c r="K42" s="6">
        <v>71154.15624</v>
      </c>
      <c r="L42" s="6">
        <v>193069</v>
      </c>
      <c r="M42" s="6">
        <v>121914.84376</v>
      </c>
      <c r="N42" s="6">
        <v>58.691111</v>
      </c>
      <c r="O42" s="6">
        <v>42257.59992</v>
      </c>
      <c r="P42" s="6">
        <v>125557</v>
      </c>
      <c r="Q42" s="6">
        <v>83299.40008</v>
      </c>
      <c r="R42" s="6">
        <v>37.356208</v>
      </c>
      <c r="S42" s="6">
        <v>26896.46976</v>
      </c>
      <c r="T42" s="6">
        <v>111128</v>
      </c>
      <c r="U42" s="6">
        <v>84231.53024</v>
      </c>
      <c r="V42" s="6">
        <v>29.258319</v>
      </c>
      <c r="W42" s="6">
        <v>21065.98968</v>
      </c>
      <c r="X42" s="6">
        <v>104587</v>
      </c>
      <c r="Y42" s="6">
        <v>83521.01032</v>
      </c>
      <c r="AC42" t="str">
        <f t="shared" si="0"/>
        <v>Trd_hdt_elc_600</v>
      </c>
      <c r="AD42">
        <f t="shared" si="1"/>
        <v>121914.84376</v>
      </c>
      <c r="AE42">
        <f t="shared" si="2"/>
        <v>83299.40008</v>
      </c>
      <c r="AF42">
        <f t="shared" si="3"/>
        <v>84231.53024</v>
      </c>
      <c r="AG42">
        <f t="shared" si="4"/>
        <v>83521.01032</v>
      </c>
      <c r="AH42" s="1"/>
      <c r="AI42" s="1"/>
      <c r="AJ42" s="8"/>
      <c r="AK42" s="8"/>
      <c r="AL42" s="8"/>
      <c r="AM42" s="8"/>
    </row>
    <row r="43" spans="3:39">
      <c r="C43" s="6" t="s">
        <v>640</v>
      </c>
      <c r="D43" s="6" t="s">
        <v>520</v>
      </c>
      <c r="E43" s="6" t="s">
        <v>520</v>
      </c>
      <c r="F43" s="6" t="s">
        <v>626</v>
      </c>
      <c r="G43" s="6">
        <v>120</v>
      </c>
      <c r="H43" s="6">
        <v>3.6</v>
      </c>
      <c r="J43" s="6">
        <v>98.825217</v>
      </c>
      <c r="K43" s="6">
        <v>355.770781</v>
      </c>
      <c r="L43" s="6">
        <v>5018</v>
      </c>
      <c r="M43" s="6">
        <v>4662.229219</v>
      </c>
      <c r="N43" s="6">
        <v>58.691111</v>
      </c>
      <c r="O43" s="6">
        <v>211.288</v>
      </c>
      <c r="P43" s="6">
        <v>3932</v>
      </c>
      <c r="Q43" s="6">
        <v>3720.712</v>
      </c>
      <c r="R43" s="6">
        <v>37.356208</v>
      </c>
      <c r="S43" s="6">
        <v>134.482349</v>
      </c>
      <c r="T43" s="6">
        <v>3378</v>
      </c>
      <c r="U43" s="6">
        <v>3243.517651</v>
      </c>
      <c r="V43" s="6">
        <v>29.258319</v>
      </c>
      <c r="W43" s="6">
        <v>105.329948</v>
      </c>
      <c r="X43" s="6">
        <v>3216</v>
      </c>
      <c r="Y43" s="6">
        <v>3110.670052</v>
      </c>
      <c r="AC43" t="str">
        <f t="shared" si="0"/>
        <v>Trd_2w_elc150_120</v>
      </c>
      <c r="AD43">
        <f t="shared" si="1"/>
        <v>4662.229219</v>
      </c>
      <c r="AE43">
        <f t="shared" si="2"/>
        <v>3720.712</v>
      </c>
      <c r="AF43">
        <f t="shared" si="3"/>
        <v>3243.517651</v>
      </c>
      <c r="AG43">
        <f t="shared" si="4"/>
        <v>3110.670052</v>
      </c>
      <c r="AH43" s="1"/>
      <c r="AI43" s="1"/>
      <c r="AJ43" s="8"/>
      <c r="AK43" s="8"/>
      <c r="AL43" s="8"/>
      <c r="AM43" s="8"/>
    </row>
    <row r="44" spans="3:39">
      <c r="C44" s="6" t="s">
        <v>640</v>
      </c>
      <c r="D44" s="6" t="s">
        <v>522</v>
      </c>
      <c r="E44" s="6" t="s">
        <v>522</v>
      </c>
      <c r="F44" s="6" t="s">
        <v>626</v>
      </c>
      <c r="G44" s="6">
        <v>131</v>
      </c>
      <c r="H44" s="6">
        <v>3.93</v>
      </c>
      <c r="J44" s="6">
        <v>98.825217</v>
      </c>
      <c r="K44" s="6">
        <v>388.383103</v>
      </c>
      <c r="L44" s="6">
        <v>5255</v>
      </c>
      <c r="M44" s="6">
        <v>4866.616897</v>
      </c>
      <c r="N44" s="6">
        <v>58.691111</v>
      </c>
      <c r="O44" s="6">
        <v>230.656066</v>
      </c>
      <c r="P44" s="6">
        <v>4065</v>
      </c>
      <c r="Q44" s="6">
        <v>3834.343934</v>
      </c>
      <c r="R44" s="6">
        <v>37.356208</v>
      </c>
      <c r="S44" s="6">
        <v>146.809897</v>
      </c>
      <c r="T44" s="6">
        <v>3458</v>
      </c>
      <c r="U44" s="6">
        <v>3311.190103</v>
      </c>
      <c r="V44" s="6">
        <v>29.258319</v>
      </c>
      <c r="W44" s="6">
        <v>114.985194</v>
      </c>
      <c r="X44" s="6">
        <v>3281</v>
      </c>
      <c r="Y44" s="6">
        <v>3166.014806</v>
      </c>
      <c r="AC44" t="str">
        <f t="shared" ref="AC44:AC82" si="5" xml:space="preserve">E44</f>
        <v>Trd_2w_elc150_131</v>
      </c>
      <c r="AD44">
        <f t="shared" ref="AD44:AD82" si="6" xml:space="preserve">M44</f>
        <v>4866.616897</v>
      </c>
      <c r="AE44">
        <f t="shared" ref="AE44:AE82" si="7" xml:space="preserve">Q44</f>
        <v>3834.343934</v>
      </c>
      <c r="AF44">
        <f t="shared" ref="AF44:AF82" si="8" xml:space="preserve">U44</f>
        <v>3311.190103</v>
      </c>
      <c r="AG44">
        <f t="shared" ref="AG44:AG82" si="9" xml:space="preserve">Y44</f>
        <v>3166.014806</v>
      </c>
      <c r="AH44" s="1"/>
      <c r="AI44" s="1"/>
      <c r="AJ44" s="8"/>
      <c r="AK44" s="8"/>
      <c r="AL44" s="8"/>
      <c r="AM44" s="8"/>
    </row>
    <row r="45" spans="3:39">
      <c r="C45" s="6" t="s">
        <v>640</v>
      </c>
      <c r="D45" s="6" t="s">
        <v>523</v>
      </c>
      <c r="E45" s="6" t="s">
        <v>523</v>
      </c>
      <c r="F45" s="6" t="s">
        <v>626</v>
      </c>
      <c r="G45" s="6">
        <v>143</v>
      </c>
      <c r="H45" s="6">
        <v>4.29</v>
      </c>
      <c r="J45" s="6">
        <v>98.825217</v>
      </c>
      <c r="K45" s="6">
        <v>423.960181</v>
      </c>
      <c r="L45" s="6">
        <v>5369</v>
      </c>
      <c r="M45" s="6">
        <v>4945.039819</v>
      </c>
      <c r="N45" s="6">
        <v>58.691111</v>
      </c>
      <c r="O45" s="6">
        <v>251.784866</v>
      </c>
      <c r="P45" s="6">
        <v>4129</v>
      </c>
      <c r="Q45" s="6">
        <v>3877.215134</v>
      </c>
      <c r="R45" s="6">
        <v>37.356208</v>
      </c>
      <c r="S45" s="6">
        <v>160.258132</v>
      </c>
      <c r="T45" s="6">
        <v>3497</v>
      </c>
      <c r="U45" s="6">
        <v>3336.741868</v>
      </c>
      <c r="V45" s="6">
        <v>29.258319</v>
      </c>
      <c r="W45" s="6">
        <v>125.518189</v>
      </c>
      <c r="X45" s="6">
        <v>3312</v>
      </c>
      <c r="Y45" s="6">
        <v>3186.481811</v>
      </c>
      <c r="AC45" t="str">
        <f t="shared" si="5"/>
        <v>Trd_2w_elc150_143</v>
      </c>
      <c r="AD45">
        <f t="shared" si="6"/>
        <v>4945.039819</v>
      </c>
      <c r="AE45">
        <f t="shared" si="7"/>
        <v>3877.215134</v>
      </c>
      <c r="AF45">
        <f t="shared" si="8"/>
        <v>3336.741868</v>
      </c>
      <c r="AG45">
        <f t="shared" si="9"/>
        <v>3186.481811</v>
      </c>
      <c r="AH45" s="1"/>
      <c r="AI45" s="1"/>
      <c r="AJ45" s="8"/>
      <c r="AK45" s="8"/>
      <c r="AL45" s="8"/>
      <c r="AM45" s="8"/>
    </row>
    <row r="46" spans="3:39">
      <c r="C46" s="6" t="s">
        <v>640</v>
      </c>
      <c r="D46" s="6" t="s">
        <v>525</v>
      </c>
      <c r="E46" s="6" t="s">
        <v>525</v>
      </c>
      <c r="F46" s="6" t="s">
        <v>626</v>
      </c>
      <c r="G46" s="6">
        <v>154</v>
      </c>
      <c r="H46" s="6">
        <v>4.62</v>
      </c>
      <c r="J46" s="6">
        <v>98.825217</v>
      </c>
      <c r="K46" s="6">
        <v>456.572503</v>
      </c>
      <c r="L46" s="6">
        <v>5409</v>
      </c>
      <c r="M46" s="6">
        <v>4952.427497</v>
      </c>
      <c r="N46" s="6">
        <v>58.691111</v>
      </c>
      <c r="O46" s="6">
        <v>271.152933</v>
      </c>
      <c r="P46" s="6">
        <v>4152</v>
      </c>
      <c r="Q46" s="6">
        <v>3880.847067</v>
      </c>
      <c r="R46" s="6">
        <v>37.356208</v>
      </c>
      <c r="S46" s="6">
        <v>172.585681</v>
      </c>
      <c r="T46" s="6">
        <v>3510</v>
      </c>
      <c r="U46" s="6">
        <v>3337.414319</v>
      </c>
      <c r="V46" s="6">
        <v>29.258319</v>
      </c>
      <c r="W46" s="6">
        <v>135.173434</v>
      </c>
      <c r="X46" s="6">
        <v>3324</v>
      </c>
      <c r="Y46" s="6">
        <v>3188.826566</v>
      </c>
      <c r="AC46" t="str">
        <f t="shared" si="5"/>
        <v>Trd_2w_elc150_154</v>
      </c>
      <c r="AD46">
        <f t="shared" si="6"/>
        <v>4952.427497</v>
      </c>
      <c r="AE46">
        <f t="shared" si="7"/>
        <v>3880.847067</v>
      </c>
      <c r="AF46">
        <f t="shared" si="8"/>
        <v>3337.414319</v>
      </c>
      <c r="AG46">
        <f t="shared" si="9"/>
        <v>3188.826566</v>
      </c>
      <c r="AH46" s="1"/>
      <c r="AI46" s="1"/>
      <c r="AJ46" s="8"/>
      <c r="AK46" s="8"/>
      <c r="AL46" s="8"/>
      <c r="AM46" s="8"/>
    </row>
    <row r="47" spans="3:39">
      <c r="C47" s="6" t="s">
        <v>640</v>
      </c>
      <c r="D47" s="6" t="s">
        <v>526</v>
      </c>
      <c r="E47" s="6" t="s">
        <v>526</v>
      </c>
      <c r="F47" s="6" t="s">
        <v>626</v>
      </c>
      <c r="G47" s="6">
        <v>166</v>
      </c>
      <c r="H47" s="6">
        <v>4.98</v>
      </c>
      <c r="J47" s="6">
        <v>98.825217</v>
      </c>
      <c r="K47" s="6">
        <v>492.149581</v>
      </c>
      <c r="L47" s="6">
        <v>5536</v>
      </c>
      <c r="M47" s="6">
        <v>5043.850419</v>
      </c>
      <c r="N47" s="6">
        <v>58.691111</v>
      </c>
      <c r="O47" s="6">
        <v>292.281733</v>
      </c>
      <c r="P47" s="6">
        <v>4223</v>
      </c>
      <c r="Q47" s="6">
        <v>3930.718267</v>
      </c>
      <c r="R47" s="6">
        <v>37.356208</v>
      </c>
      <c r="S47" s="6">
        <v>186.033916</v>
      </c>
      <c r="T47" s="6">
        <v>3554</v>
      </c>
      <c r="U47" s="6">
        <v>3367.966084</v>
      </c>
      <c r="V47" s="6">
        <v>29.258319</v>
      </c>
      <c r="W47" s="6">
        <v>145.706429</v>
      </c>
      <c r="X47" s="6">
        <v>3359</v>
      </c>
      <c r="Y47" s="6">
        <v>3213.293571</v>
      </c>
      <c r="AC47" t="str">
        <f t="shared" si="5"/>
        <v>Trd_2w_elc150_166</v>
      </c>
      <c r="AD47">
        <f t="shared" si="6"/>
        <v>5043.850419</v>
      </c>
      <c r="AE47">
        <f t="shared" si="7"/>
        <v>3930.718267</v>
      </c>
      <c r="AF47">
        <f t="shared" si="8"/>
        <v>3367.966084</v>
      </c>
      <c r="AG47">
        <f t="shared" si="9"/>
        <v>3213.293571</v>
      </c>
      <c r="AH47" s="1"/>
      <c r="AI47" s="1"/>
      <c r="AJ47" s="8"/>
      <c r="AK47" s="8"/>
      <c r="AL47" s="8"/>
      <c r="AM47" s="8"/>
    </row>
    <row r="48" spans="3:39">
      <c r="C48" s="6" t="s">
        <v>640</v>
      </c>
      <c r="D48" s="6" t="s">
        <v>527</v>
      </c>
      <c r="E48" s="6" t="s">
        <v>527</v>
      </c>
      <c r="F48" s="6" t="s">
        <v>626</v>
      </c>
      <c r="G48" s="6">
        <v>177</v>
      </c>
      <c r="H48" s="6">
        <v>5.31</v>
      </c>
      <c r="J48" s="6">
        <v>98.825217</v>
      </c>
      <c r="K48" s="6">
        <v>524.761902</v>
      </c>
      <c r="L48" s="6">
        <v>5652</v>
      </c>
      <c r="M48" s="6">
        <v>5127.238098</v>
      </c>
      <c r="N48" s="6">
        <v>58.691111</v>
      </c>
      <c r="O48" s="6">
        <v>311.649799</v>
      </c>
      <c r="P48" s="6">
        <v>4288</v>
      </c>
      <c r="Q48" s="6">
        <v>3976.350201</v>
      </c>
      <c r="R48" s="6">
        <v>37.356208</v>
      </c>
      <c r="S48" s="6">
        <v>198.361464</v>
      </c>
      <c r="T48" s="6">
        <v>3593</v>
      </c>
      <c r="U48" s="6">
        <v>3394.638536</v>
      </c>
      <c r="V48" s="6">
        <v>29.258319</v>
      </c>
      <c r="W48" s="6">
        <v>155.361674</v>
      </c>
      <c r="X48" s="6">
        <v>3390</v>
      </c>
      <c r="Y48" s="6">
        <v>3234.638326</v>
      </c>
      <c r="AC48" t="str">
        <f t="shared" si="5"/>
        <v>Trd_2w_elc150_177</v>
      </c>
      <c r="AD48">
        <f t="shared" si="6"/>
        <v>5127.238098</v>
      </c>
      <c r="AE48">
        <f t="shared" si="7"/>
        <v>3976.350201</v>
      </c>
      <c r="AF48">
        <f t="shared" si="8"/>
        <v>3394.638536</v>
      </c>
      <c r="AG48">
        <f t="shared" si="9"/>
        <v>3234.638326</v>
      </c>
      <c r="AH48" s="1"/>
      <c r="AI48" s="1"/>
      <c r="AJ48" s="8"/>
      <c r="AK48" s="8"/>
      <c r="AL48" s="8"/>
      <c r="AM48" s="8"/>
    </row>
    <row r="49" spans="3:39">
      <c r="C49" s="6" t="s">
        <v>640</v>
      </c>
      <c r="D49" s="6" t="s">
        <v>528</v>
      </c>
      <c r="E49" s="6" t="s">
        <v>528</v>
      </c>
      <c r="F49" s="6" t="s">
        <v>626</v>
      </c>
      <c r="G49" s="6">
        <v>189</v>
      </c>
      <c r="H49" s="6">
        <v>5.67</v>
      </c>
      <c r="J49" s="6">
        <v>98.825217</v>
      </c>
      <c r="K49" s="6">
        <v>560.33898</v>
      </c>
      <c r="L49" s="6">
        <v>5820</v>
      </c>
      <c r="M49" s="6">
        <v>5259.66102</v>
      </c>
      <c r="N49" s="6">
        <v>58.691111</v>
      </c>
      <c r="O49" s="6">
        <v>332.778599</v>
      </c>
      <c r="P49" s="6">
        <v>4383</v>
      </c>
      <c r="Q49" s="6">
        <v>4050.221401</v>
      </c>
      <c r="R49" s="6">
        <v>37.356208</v>
      </c>
      <c r="S49" s="6">
        <v>211.809699</v>
      </c>
      <c r="T49" s="6">
        <v>3650</v>
      </c>
      <c r="U49" s="6">
        <v>3438.190301</v>
      </c>
      <c r="V49" s="6">
        <v>29.258319</v>
      </c>
      <c r="W49" s="6">
        <v>165.894669</v>
      </c>
      <c r="X49" s="6">
        <v>3437</v>
      </c>
      <c r="Y49" s="6">
        <v>3271.105331</v>
      </c>
      <c r="AC49" t="str">
        <f t="shared" si="5"/>
        <v>Trd_2w_elc150_189</v>
      </c>
      <c r="AD49">
        <f t="shared" si="6"/>
        <v>5259.66102</v>
      </c>
      <c r="AE49">
        <f t="shared" si="7"/>
        <v>4050.221401</v>
      </c>
      <c r="AF49">
        <f t="shared" si="8"/>
        <v>3438.190301</v>
      </c>
      <c r="AG49">
        <f t="shared" si="9"/>
        <v>3271.105331</v>
      </c>
      <c r="AH49" s="1"/>
      <c r="AI49" s="1"/>
      <c r="AJ49" s="8"/>
      <c r="AK49" s="8"/>
      <c r="AL49" s="8"/>
      <c r="AM49" s="8"/>
    </row>
    <row r="50" spans="3:39">
      <c r="C50" s="6" t="s">
        <v>640</v>
      </c>
      <c r="D50" s="6" t="s">
        <v>529</v>
      </c>
      <c r="E50" s="6" t="s">
        <v>529</v>
      </c>
      <c r="F50" s="6" t="s">
        <v>626</v>
      </c>
      <c r="G50" s="6">
        <v>200</v>
      </c>
      <c r="H50" s="6">
        <v>6</v>
      </c>
      <c r="J50" s="6">
        <v>98.825217</v>
      </c>
      <c r="K50" s="6">
        <v>592.951302</v>
      </c>
      <c r="L50" s="6">
        <v>5985</v>
      </c>
      <c r="M50" s="6">
        <v>5392.048698</v>
      </c>
      <c r="N50" s="6">
        <v>58.691111</v>
      </c>
      <c r="O50" s="6">
        <v>352.146666</v>
      </c>
      <c r="P50" s="6">
        <v>4476</v>
      </c>
      <c r="Q50" s="6">
        <v>4123.853334</v>
      </c>
      <c r="R50" s="6">
        <v>37.356208</v>
      </c>
      <c r="S50" s="6">
        <v>224.137248</v>
      </c>
      <c r="T50" s="6">
        <v>3706</v>
      </c>
      <c r="U50" s="6">
        <v>3481.862752</v>
      </c>
      <c r="V50" s="6">
        <v>29.258319</v>
      </c>
      <c r="W50" s="6">
        <v>175.549914</v>
      </c>
      <c r="X50" s="6">
        <v>3482</v>
      </c>
      <c r="Y50" s="6">
        <v>3306.450086</v>
      </c>
      <c r="AC50" t="str">
        <f t="shared" si="5"/>
        <v>Trd_2w_elc150_200</v>
      </c>
      <c r="AD50">
        <f t="shared" si="6"/>
        <v>5392.048698</v>
      </c>
      <c r="AE50">
        <f t="shared" si="7"/>
        <v>4123.853334</v>
      </c>
      <c r="AF50">
        <f t="shared" si="8"/>
        <v>3481.862752</v>
      </c>
      <c r="AG50">
        <f t="shared" si="9"/>
        <v>3306.450086</v>
      </c>
      <c r="AH50" s="1"/>
      <c r="AI50" s="1"/>
      <c r="AJ50" s="8"/>
      <c r="AK50" s="8"/>
      <c r="AL50" s="8"/>
      <c r="AM50" s="8"/>
    </row>
    <row r="51" spans="3:39">
      <c r="C51" s="6" t="s">
        <v>641</v>
      </c>
      <c r="D51" s="6" t="s">
        <v>530</v>
      </c>
      <c r="E51" s="6" t="s">
        <v>530</v>
      </c>
      <c r="F51" s="6" t="s">
        <v>626</v>
      </c>
      <c r="G51" s="6">
        <v>120</v>
      </c>
      <c r="H51" s="6">
        <v>4.8</v>
      </c>
      <c r="J51" s="6">
        <v>98.825217</v>
      </c>
      <c r="K51" s="6">
        <v>474.361042</v>
      </c>
      <c r="L51" s="6">
        <v>9005</v>
      </c>
      <c r="M51" s="6">
        <v>8530.638958</v>
      </c>
      <c r="N51" s="6">
        <v>58.691111</v>
      </c>
      <c r="O51" s="6">
        <v>281.717333</v>
      </c>
      <c r="P51" s="6">
        <v>7694</v>
      </c>
      <c r="Q51" s="6">
        <v>7412.282667</v>
      </c>
      <c r="R51" s="6">
        <v>37.356208</v>
      </c>
      <c r="S51" s="6">
        <v>179.309798</v>
      </c>
      <c r="T51" s="6">
        <v>7025</v>
      </c>
      <c r="U51" s="6">
        <v>6845.690202</v>
      </c>
      <c r="V51" s="6">
        <v>29.258319</v>
      </c>
      <c r="W51" s="6">
        <v>140.439931</v>
      </c>
      <c r="X51" s="6">
        <v>6831</v>
      </c>
      <c r="Y51" s="6">
        <v>6690.560069</v>
      </c>
      <c r="AC51" t="str">
        <f t="shared" si="5"/>
        <v>Trd_2w_elc500_120</v>
      </c>
      <c r="AD51">
        <f t="shared" si="6"/>
        <v>8530.638958</v>
      </c>
      <c r="AE51">
        <f t="shared" si="7"/>
        <v>7412.282667</v>
      </c>
      <c r="AF51">
        <f t="shared" si="8"/>
        <v>6845.690202</v>
      </c>
      <c r="AG51">
        <f t="shared" si="9"/>
        <v>6690.560069</v>
      </c>
      <c r="AH51" s="1"/>
      <c r="AI51" s="1"/>
      <c r="AJ51" s="8"/>
      <c r="AK51" s="8"/>
      <c r="AL51" s="8"/>
      <c r="AM51" s="8"/>
    </row>
    <row r="52" spans="3:39">
      <c r="C52" s="6" t="s">
        <v>641</v>
      </c>
      <c r="D52" s="6" t="s">
        <v>532</v>
      </c>
      <c r="E52" s="6" t="s">
        <v>532</v>
      </c>
      <c r="F52" s="6" t="s">
        <v>626</v>
      </c>
      <c r="G52" s="6">
        <v>131</v>
      </c>
      <c r="H52" s="6">
        <v>5.24</v>
      </c>
      <c r="J52" s="6">
        <v>98.825217</v>
      </c>
      <c r="K52" s="6">
        <v>517.844137</v>
      </c>
      <c r="L52" s="6">
        <v>9279</v>
      </c>
      <c r="M52" s="6">
        <v>8761.155863</v>
      </c>
      <c r="N52" s="6">
        <v>58.691111</v>
      </c>
      <c r="O52" s="6">
        <v>307.541422</v>
      </c>
      <c r="P52" s="6">
        <v>7849</v>
      </c>
      <c r="Q52" s="6">
        <v>7541.458578</v>
      </c>
      <c r="R52" s="6">
        <v>37.356208</v>
      </c>
      <c r="S52" s="6">
        <v>195.74653</v>
      </c>
      <c r="T52" s="6">
        <v>7118</v>
      </c>
      <c r="U52" s="6">
        <v>6922.25347</v>
      </c>
      <c r="V52" s="6">
        <v>29.258319</v>
      </c>
      <c r="W52" s="6">
        <v>153.313592</v>
      </c>
      <c r="X52" s="6">
        <v>6906</v>
      </c>
      <c r="Y52" s="6">
        <v>6752.686408</v>
      </c>
      <c r="AC52" t="str">
        <f t="shared" si="5"/>
        <v>Trd_2w_elc500_131</v>
      </c>
      <c r="AD52">
        <f t="shared" si="6"/>
        <v>8761.155863</v>
      </c>
      <c r="AE52">
        <f t="shared" si="7"/>
        <v>7541.458578</v>
      </c>
      <c r="AF52">
        <f t="shared" si="8"/>
        <v>6922.25347</v>
      </c>
      <c r="AG52">
        <f t="shared" si="9"/>
        <v>6752.686408</v>
      </c>
      <c r="AH52" s="1"/>
      <c r="AI52" s="1"/>
      <c r="AJ52" s="8"/>
      <c r="AK52" s="8"/>
      <c r="AL52" s="8"/>
      <c r="AM52" s="8"/>
    </row>
    <row r="53" spans="3:39">
      <c r="C53" s="6" t="s">
        <v>641</v>
      </c>
      <c r="D53" s="6" t="s">
        <v>534</v>
      </c>
      <c r="E53" s="6" t="s">
        <v>534</v>
      </c>
      <c r="F53" s="6" t="s">
        <v>626</v>
      </c>
      <c r="G53" s="6">
        <v>143</v>
      </c>
      <c r="H53" s="6">
        <v>5.72</v>
      </c>
      <c r="J53" s="6">
        <v>98.825217</v>
      </c>
      <c r="K53" s="6">
        <v>565.280241</v>
      </c>
      <c r="L53" s="6">
        <v>9404</v>
      </c>
      <c r="M53" s="6">
        <v>8838.719759</v>
      </c>
      <c r="N53" s="6">
        <v>58.691111</v>
      </c>
      <c r="O53" s="6">
        <v>335.713155</v>
      </c>
      <c r="P53" s="6">
        <v>7919</v>
      </c>
      <c r="Q53" s="6">
        <v>7583.286845</v>
      </c>
      <c r="R53" s="6">
        <v>37.356208</v>
      </c>
      <c r="S53" s="6">
        <v>213.67751</v>
      </c>
      <c r="T53" s="6">
        <v>7161</v>
      </c>
      <c r="U53" s="6">
        <v>6947.32249</v>
      </c>
      <c r="V53" s="6">
        <v>29.258319</v>
      </c>
      <c r="W53" s="6">
        <v>167.357585</v>
      </c>
      <c r="X53" s="6">
        <v>6940</v>
      </c>
      <c r="Y53" s="6">
        <v>6772.642415</v>
      </c>
      <c r="AC53" t="str">
        <f t="shared" si="5"/>
        <v>Trd_2w_elc500_143</v>
      </c>
      <c r="AD53">
        <f t="shared" si="6"/>
        <v>8838.719759</v>
      </c>
      <c r="AE53">
        <f t="shared" si="7"/>
        <v>7583.286845</v>
      </c>
      <c r="AF53">
        <f t="shared" si="8"/>
        <v>6947.32249</v>
      </c>
      <c r="AG53">
        <f t="shared" si="9"/>
        <v>6772.642415</v>
      </c>
      <c r="AH53" s="1"/>
      <c r="AI53" s="1"/>
      <c r="AJ53" s="8"/>
      <c r="AK53" s="8"/>
      <c r="AL53" s="8"/>
      <c r="AM53" s="8"/>
    </row>
    <row r="54" spans="3:39">
      <c r="C54" s="6" t="s">
        <v>641</v>
      </c>
      <c r="D54" s="6" t="s">
        <v>535</v>
      </c>
      <c r="E54" s="6" t="s">
        <v>535</v>
      </c>
      <c r="F54" s="6" t="s">
        <v>626</v>
      </c>
      <c r="G54" s="6">
        <v>154</v>
      </c>
      <c r="H54" s="6">
        <v>6.16</v>
      </c>
      <c r="J54" s="6">
        <v>98.825217</v>
      </c>
      <c r="K54" s="6">
        <v>608.763337</v>
      </c>
      <c r="L54" s="6">
        <v>9440</v>
      </c>
      <c r="M54" s="6">
        <v>8831.236663</v>
      </c>
      <c r="N54" s="6">
        <v>58.691111</v>
      </c>
      <c r="O54" s="6">
        <v>361.537244</v>
      </c>
      <c r="P54" s="6">
        <v>7939</v>
      </c>
      <c r="Q54" s="6">
        <v>7577.462756</v>
      </c>
      <c r="R54" s="6">
        <v>37.356208</v>
      </c>
      <c r="S54" s="6">
        <v>230.114241</v>
      </c>
      <c r="T54" s="6">
        <v>7173</v>
      </c>
      <c r="U54" s="6">
        <v>6942.885759</v>
      </c>
      <c r="V54" s="6">
        <v>29.258319</v>
      </c>
      <c r="W54" s="6">
        <v>180.231245</v>
      </c>
      <c r="X54" s="6">
        <v>6950</v>
      </c>
      <c r="Y54" s="6">
        <v>6769.768755</v>
      </c>
      <c r="AC54" t="str">
        <f t="shared" si="5"/>
        <v>Trd_2w_elc500_154</v>
      </c>
      <c r="AD54">
        <f t="shared" si="6"/>
        <v>8831.236663</v>
      </c>
      <c r="AE54">
        <f t="shared" si="7"/>
        <v>7577.462756</v>
      </c>
      <c r="AF54">
        <f t="shared" si="8"/>
        <v>6942.885759</v>
      </c>
      <c r="AG54">
        <f t="shared" si="9"/>
        <v>6769.768755</v>
      </c>
      <c r="AH54" s="1"/>
      <c r="AI54" s="1"/>
      <c r="AJ54" s="8"/>
      <c r="AK54" s="8"/>
      <c r="AL54" s="8"/>
      <c r="AM54" s="8"/>
    </row>
    <row r="55" spans="3:39">
      <c r="C55" s="6" t="s">
        <v>641</v>
      </c>
      <c r="D55" s="6" t="s">
        <v>536</v>
      </c>
      <c r="E55" s="6" t="s">
        <v>536</v>
      </c>
      <c r="F55" s="6" t="s">
        <v>626</v>
      </c>
      <c r="G55" s="6">
        <v>166</v>
      </c>
      <c r="H55" s="6">
        <v>6.64</v>
      </c>
      <c r="J55" s="6">
        <v>98.825217</v>
      </c>
      <c r="K55" s="6">
        <v>656.199441</v>
      </c>
      <c r="L55" s="6">
        <v>9579</v>
      </c>
      <c r="M55" s="6">
        <v>8922.800559</v>
      </c>
      <c r="N55" s="6">
        <v>58.691111</v>
      </c>
      <c r="O55" s="6">
        <v>389.708977</v>
      </c>
      <c r="P55" s="6">
        <v>8017</v>
      </c>
      <c r="Q55" s="6">
        <v>7627.291023</v>
      </c>
      <c r="R55" s="6">
        <v>37.356208</v>
      </c>
      <c r="S55" s="6">
        <v>248.045221</v>
      </c>
      <c r="T55" s="6">
        <v>7220</v>
      </c>
      <c r="U55" s="6">
        <v>6971.954779</v>
      </c>
      <c r="V55" s="6">
        <v>29.258319</v>
      </c>
      <c r="W55" s="6">
        <v>194.275238</v>
      </c>
      <c r="X55" s="6">
        <v>6988</v>
      </c>
      <c r="Y55" s="6">
        <v>6793.724762</v>
      </c>
      <c r="AC55" t="str">
        <f t="shared" si="5"/>
        <v>Trd_2w_elc500_166</v>
      </c>
      <c r="AD55">
        <f t="shared" si="6"/>
        <v>8922.800559</v>
      </c>
      <c r="AE55">
        <f t="shared" si="7"/>
        <v>7627.291023</v>
      </c>
      <c r="AF55">
        <f t="shared" si="8"/>
        <v>6971.954779</v>
      </c>
      <c r="AG55">
        <f t="shared" si="9"/>
        <v>6793.724762</v>
      </c>
      <c r="AH55" s="1"/>
      <c r="AI55" s="1"/>
      <c r="AJ55" s="8"/>
      <c r="AK55" s="8"/>
      <c r="AL55" s="8"/>
      <c r="AM55" s="8"/>
    </row>
    <row r="56" spans="3:39">
      <c r="C56" s="6" t="s">
        <v>641</v>
      </c>
      <c r="D56" s="6" t="s">
        <v>537</v>
      </c>
      <c r="E56" s="6" t="s">
        <v>537</v>
      </c>
      <c r="F56" s="6" t="s">
        <v>626</v>
      </c>
      <c r="G56" s="6">
        <v>177</v>
      </c>
      <c r="H56" s="6">
        <v>7.08</v>
      </c>
      <c r="J56" s="6">
        <v>98.825217</v>
      </c>
      <c r="K56" s="6">
        <v>699.682536</v>
      </c>
      <c r="L56" s="6">
        <v>9704</v>
      </c>
      <c r="M56" s="6">
        <v>9004.317464</v>
      </c>
      <c r="N56" s="6">
        <v>58.691111</v>
      </c>
      <c r="O56" s="6">
        <v>415.533066</v>
      </c>
      <c r="P56" s="6">
        <v>8087</v>
      </c>
      <c r="Q56" s="6">
        <v>7671.466934</v>
      </c>
      <c r="R56" s="6">
        <v>37.356208</v>
      </c>
      <c r="S56" s="6">
        <v>264.481953</v>
      </c>
      <c r="T56" s="6">
        <v>7263</v>
      </c>
      <c r="U56" s="6">
        <v>6998.518047</v>
      </c>
      <c r="V56" s="6">
        <v>29.258319</v>
      </c>
      <c r="W56" s="6">
        <v>207.148899</v>
      </c>
      <c r="X56" s="6">
        <v>7022</v>
      </c>
      <c r="Y56" s="6">
        <v>6814.851101</v>
      </c>
      <c r="AC56" t="str">
        <f t="shared" si="5"/>
        <v>Trd_2w_elc500_177</v>
      </c>
      <c r="AD56">
        <f t="shared" si="6"/>
        <v>9004.317464</v>
      </c>
      <c r="AE56">
        <f t="shared" si="7"/>
        <v>7671.466934</v>
      </c>
      <c r="AF56">
        <f t="shared" si="8"/>
        <v>6998.518047</v>
      </c>
      <c r="AG56">
        <f t="shared" si="9"/>
        <v>6814.851101</v>
      </c>
      <c r="AH56" s="1"/>
      <c r="AI56" s="1"/>
      <c r="AJ56" s="8"/>
      <c r="AK56" s="8"/>
      <c r="AL56" s="8"/>
      <c r="AM56" s="8"/>
    </row>
    <row r="57" spans="3:39">
      <c r="C57" s="6" t="s">
        <v>641</v>
      </c>
      <c r="D57" s="6" t="s">
        <v>538</v>
      </c>
      <c r="E57" s="6" t="s">
        <v>538</v>
      </c>
      <c r="F57" s="6" t="s">
        <v>626</v>
      </c>
      <c r="G57" s="6">
        <v>189</v>
      </c>
      <c r="H57" s="6">
        <v>7.56</v>
      </c>
      <c r="J57" s="6">
        <v>98.825217</v>
      </c>
      <c r="K57" s="6">
        <v>747.118641</v>
      </c>
      <c r="L57" s="6">
        <v>9890</v>
      </c>
      <c r="M57" s="6">
        <v>9142.881359</v>
      </c>
      <c r="N57" s="6">
        <v>58.691111</v>
      </c>
      <c r="O57" s="6">
        <v>443.704799</v>
      </c>
      <c r="P57" s="6">
        <v>8192</v>
      </c>
      <c r="Q57" s="6">
        <v>7748.295201</v>
      </c>
      <c r="R57" s="6">
        <v>37.356208</v>
      </c>
      <c r="S57" s="6">
        <v>282.412932</v>
      </c>
      <c r="T57" s="6">
        <v>7326</v>
      </c>
      <c r="U57" s="6">
        <v>7043.587068</v>
      </c>
      <c r="V57" s="6">
        <v>29.258319</v>
      </c>
      <c r="W57" s="6">
        <v>221.192892</v>
      </c>
      <c r="X57" s="6">
        <v>7074</v>
      </c>
      <c r="Y57" s="6">
        <v>6852.807108</v>
      </c>
      <c r="AC57" t="str">
        <f t="shared" si="5"/>
        <v>Trd_2w_elc500_189</v>
      </c>
      <c r="AD57">
        <f t="shared" si="6"/>
        <v>9142.881359</v>
      </c>
      <c r="AE57">
        <f t="shared" si="7"/>
        <v>7748.295201</v>
      </c>
      <c r="AF57">
        <f t="shared" si="8"/>
        <v>7043.587068</v>
      </c>
      <c r="AG57">
        <f t="shared" si="9"/>
        <v>6852.807108</v>
      </c>
      <c r="AH57" s="1"/>
      <c r="AI57" s="1"/>
      <c r="AJ57" s="8"/>
      <c r="AK57" s="8"/>
      <c r="AL57" s="8"/>
      <c r="AM57" s="8"/>
    </row>
    <row r="58" spans="3:39">
      <c r="C58" s="6" t="s">
        <v>641</v>
      </c>
      <c r="D58" s="6" t="s">
        <v>539</v>
      </c>
      <c r="E58" s="6" t="s">
        <v>539</v>
      </c>
      <c r="F58" s="6" t="s">
        <v>626</v>
      </c>
      <c r="G58" s="6">
        <v>200</v>
      </c>
      <c r="H58" s="6">
        <v>8</v>
      </c>
      <c r="J58" s="6">
        <v>98.825217</v>
      </c>
      <c r="K58" s="6">
        <v>790.601736</v>
      </c>
      <c r="L58" s="6">
        <v>10070</v>
      </c>
      <c r="M58" s="6">
        <v>9279.398264</v>
      </c>
      <c r="N58" s="6">
        <v>58.691111</v>
      </c>
      <c r="O58" s="6">
        <v>469.528888</v>
      </c>
      <c r="P58" s="6">
        <v>8293</v>
      </c>
      <c r="Q58" s="6">
        <v>7823.471112</v>
      </c>
      <c r="R58" s="6">
        <v>37.356208</v>
      </c>
      <c r="S58" s="6">
        <v>298.849664</v>
      </c>
      <c r="T58" s="6">
        <v>7387</v>
      </c>
      <c r="U58" s="6">
        <v>7088.150336</v>
      </c>
      <c r="V58" s="6">
        <v>29.258319</v>
      </c>
      <c r="W58" s="6">
        <v>234.066552</v>
      </c>
      <c r="X58" s="6">
        <v>7123</v>
      </c>
      <c r="Y58" s="6">
        <v>6888.933448</v>
      </c>
      <c r="AC58" t="str">
        <f t="shared" si="5"/>
        <v>Trd_2w_elc500_200</v>
      </c>
      <c r="AD58">
        <f t="shared" si="6"/>
        <v>9279.398264</v>
      </c>
      <c r="AE58">
        <f t="shared" si="7"/>
        <v>7823.471112</v>
      </c>
      <c r="AF58">
        <f t="shared" si="8"/>
        <v>7088.150336</v>
      </c>
      <c r="AG58">
        <f t="shared" si="9"/>
        <v>6888.933448</v>
      </c>
      <c r="AH58" s="10"/>
      <c r="AI58" s="1"/>
      <c r="AJ58" s="11"/>
      <c r="AK58" s="8"/>
      <c r="AL58" s="8"/>
      <c r="AM58" s="8"/>
    </row>
    <row r="59" spans="3:39">
      <c r="C59" s="6" t="s">
        <v>642</v>
      </c>
      <c r="D59" s="6" t="s">
        <v>643</v>
      </c>
      <c r="E59" s="6" t="s">
        <v>540</v>
      </c>
      <c r="F59" s="6" t="s">
        <v>626</v>
      </c>
      <c r="G59" s="6">
        <v>120</v>
      </c>
      <c r="H59" s="6">
        <v>6</v>
      </c>
      <c r="I59" s="6" t="s">
        <v>644</v>
      </c>
      <c r="J59" s="6">
        <v>98.825217</v>
      </c>
      <c r="K59" s="6">
        <v>592.951302</v>
      </c>
      <c r="L59" s="6">
        <v>14417</v>
      </c>
      <c r="M59" s="6">
        <v>13824.048698</v>
      </c>
      <c r="N59" s="6">
        <v>58.691111</v>
      </c>
      <c r="O59" s="6">
        <v>352.146666</v>
      </c>
      <c r="P59" s="6">
        <v>12950</v>
      </c>
      <c r="Q59" s="6">
        <v>12597.853334</v>
      </c>
      <c r="R59" s="6">
        <v>37.356208</v>
      </c>
      <c r="S59" s="6">
        <v>224.137248</v>
      </c>
      <c r="T59" s="6">
        <v>12202</v>
      </c>
      <c r="U59" s="6">
        <v>11977.862752</v>
      </c>
      <c r="V59" s="6">
        <v>29.258319</v>
      </c>
      <c r="W59" s="6">
        <v>175.549914</v>
      </c>
      <c r="X59" s="6">
        <v>11984</v>
      </c>
      <c r="Y59" s="6">
        <v>11808.450086</v>
      </c>
      <c r="AC59" t="str">
        <f t="shared" si="5"/>
        <v>Trd_3w_elc_120</v>
      </c>
      <c r="AD59">
        <f t="shared" si="6"/>
        <v>13824.048698</v>
      </c>
      <c r="AE59">
        <f t="shared" si="7"/>
        <v>12597.853334</v>
      </c>
      <c r="AF59">
        <f t="shared" si="8"/>
        <v>11977.862752</v>
      </c>
      <c r="AG59">
        <f t="shared" si="9"/>
        <v>11808.450086</v>
      </c>
      <c r="AH59" s="1"/>
      <c r="AI59" s="1"/>
      <c r="AJ59" s="8"/>
      <c r="AK59" s="8"/>
      <c r="AL59" s="8"/>
      <c r="AM59" s="8"/>
    </row>
    <row r="60" spans="3:39">
      <c r="C60" s="6" t="s">
        <v>642</v>
      </c>
      <c r="D60" s="6" t="s">
        <v>645</v>
      </c>
      <c r="E60" s="6" t="s">
        <v>541</v>
      </c>
      <c r="F60" s="6" t="s">
        <v>626</v>
      </c>
      <c r="G60" s="6">
        <v>131</v>
      </c>
      <c r="H60" s="6">
        <v>6.55</v>
      </c>
      <c r="I60" s="6" t="s">
        <v>644</v>
      </c>
      <c r="J60" s="6">
        <v>98.825217</v>
      </c>
      <c r="K60" s="6">
        <v>647.305171</v>
      </c>
      <c r="L60" s="6">
        <v>14725</v>
      </c>
      <c r="M60" s="6">
        <v>14077.694829</v>
      </c>
      <c r="N60" s="6">
        <v>58.691111</v>
      </c>
      <c r="O60" s="6">
        <v>384.426777</v>
      </c>
      <c r="P60" s="6">
        <v>13124</v>
      </c>
      <c r="Q60" s="6">
        <v>12739.573223</v>
      </c>
      <c r="R60" s="6">
        <v>37.356208</v>
      </c>
      <c r="S60" s="6">
        <v>244.683162</v>
      </c>
      <c r="T60" s="6">
        <v>12306</v>
      </c>
      <c r="U60" s="6">
        <v>12061.316838</v>
      </c>
      <c r="V60" s="6">
        <v>29.258319</v>
      </c>
      <c r="W60" s="6">
        <v>191.641989</v>
      </c>
      <c r="X60" s="6">
        <v>12069</v>
      </c>
      <c r="Y60" s="6">
        <v>11877.358011</v>
      </c>
      <c r="AC60" t="str">
        <f t="shared" si="5"/>
        <v>Trd_3w_elc_131</v>
      </c>
      <c r="AD60">
        <f t="shared" si="6"/>
        <v>14077.694829</v>
      </c>
      <c r="AE60">
        <f t="shared" si="7"/>
        <v>12739.573223</v>
      </c>
      <c r="AF60">
        <f t="shared" si="8"/>
        <v>12061.316838</v>
      </c>
      <c r="AG60">
        <f t="shared" si="9"/>
        <v>11877.358011</v>
      </c>
      <c r="AH60" s="1"/>
      <c r="AI60" s="1"/>
      <c r="AJ60" s="8"/>
      <c r="AK60" s="8"/>
      <c r="AL60" s="8"/>
      <c r="AM60" s="8"/>
    </row>
    <row r="61" spans="3:39">
      <c r="C61" s="6" t="s">
        <v>642</v>
      </c>
      <c r="D61" s="6" t="s">
        <v>646</v>
      </c>
      <c r="E61" s="6" t="s">
        <v>542</v>
      </c>
      <c r="F61" s="6" t="s">
        <v>626</v>
      </c>
      <c r="G61" s="6">
        <v>143</v>
      </c>
      <c r="H61" s="6">
        <v>7.15</v>
      </c>
      <c r="I61" s="6" t="s">
        <v>644</v>
      </c>
      <c r="J61" s="6">
        <v>98.825217</v>
      </c>
      <c r="K61" s="6">
        <v>706.600302</v>
      </c>
      <c r="L61" s="6">
        <v>14865</v>
      </c>
      <c r="M61" s="6">
        <v>14158.399698</v>
      </c>
      <c r="N61" s="6">
        <v>58.691111</v>
      </c>
      <c r="O61" s="6">
        <v>419.641444</v>
      </c>
      <c r="P61" s="6">
        <v>13203</v>
      </c>
      <c r="Q61" s="6">
        <v>12783.358556</v>
      </c>
      <c r="R61" s="6">
        <v>37.356208</v>
      </c>
      <c r="S61" s="6">
        <v>267.096887</v>
      </c>
      <c r="T61" s="6">
        <v>12354</v>
      </c>
      <c r="U61" s="6">
        <v>12086.903113</v>
      </c>
      <c r="V61" s="6">
        <v>29.258319</v>
      </c>
      <c r="W61" s="6">
        <v>209.196981</v>
      </c>
      <c r="X61" s="6">
        <v>12107</v>
      </c>
      <c r="Y61" s="6">
        <v>11897.803019</v>
      </c>
      <c r="AC61" t="str">
        <f t="shared" si="5"/>
        <v>Trd_3w_elc_143</v>
      </c>
      <c r="AD61">
        <f t="shared" si="6"/>
        <v>14158.399698</v>
      </c>
      <c r="AE61">
        <f t="shared" si="7"/>
        <v>12783.358556</v>
      </c>
      <c r="AF61">
        <f t="shared" si="8"/>
        <v>12086.903113</v>
      </c>
      <c r="AG61">
        <f t="shared" si="9"/>
        <v>11897.803019</v>
      </c>
      <c r="AH61" s="1"/>
      <c r="AI61" s="1"/>
      <c r="AJ61" s="8"/>
      <c r="AK61" s="8"/>
      <c r="AL61" s="8"/>
      <c r="AM61" s="8"/>
    </row>
    <row r="62" spans="3:39">
      <c r="C62" s="6" t="s">
        <v>642</v>
      </c>
      <c r="D62" s="6" t="s">
        <v>647</v>
      </c>
      <c r="E62" s="6" t="s">
        <v>543</v>
      </c>
      <c r="F62" s="6" t="s">
        <v>626</v>
      </c>
      <c r="G62" s="6">
        <v>154</v>
      </c>
      <c r="H62" s="6">
        <v>7.7</v>
      </c>
      <c r="I62" s="6" t="s">
        <v>644</v>
      </c>
      <c r="J62" s="6">
        <v>98.825217</v>
      </c>
      <c r="K62" s="6">
        <v>760.954171</v>
      </c>
      <c r="L62" s="6">
        <v>14907</v>
      </c>
      <c r="M62" s="6">
        <v>14146.045829</v>
      </c>
      <c r="N62" s="6">
        <v>58.691111</v>
      </c>
      <c r="O62" s="6">
        <v>451.921555</v>
      </c>
      <c r="P62" s="6">
        <v>13226</v>
      </c>
      <c r="Q62" s="6">
        <v>12774.078445</v>
      </c>
      <c r="R62" s="6">
        <v>37.356208</v>
      </c>
      <c r="S62" s="6">
        <v>287.642802</v>
      </c>
      <c r="T62" s="6">
        <v>12368</v>
      </c>
      <c r="U62" s="6">
        <v>12080.357198</v>
      </c>
      <c r="V62" s="6">
        <v>29.258319</v>
      </c>
      <c r="W62" s="6">
        <v>225.289056</v>
      </c>
      <c r="X62" s="6">
        <v>12119</v>
      </c>
      <c r="Y62" s="6">
        <v>11893.710944</v>
      </c>
      <c r="AC62" t="str">
        <f t="shared" si="5"/>
        <v>Trd_3w_elc_154</v>
      </c>
      <c r="AD62">
        <f t="shared" si="6"/>
        <v>14146.045829</v>
      </c>
      <c r="AE62">
        <f t="shared" si="7"/>
        <v>12774.078445</v>
      </c>
      <c r="AF62">
        <f t="shared" si="8"/>
        <v>12080.357198</v>
      </c>
      <c r="AG62">
        <f t="shared" si="9"/>
        <v>11893.710944</v>
      </c>
      <c r="AH62" s="1"/>
      <c r="AI62" s="1"/>
      <c r="AJ62" s="8"/>
      <c r="AK62" s="8"/>
      <c r="AL62" s="8"/>
      <c r="AM62" s="8"/>
    </row>
    <row r="63" spans="3:39">
      <c r="C63" s="6" t="s">
        <v>642</v>
      </c>
      <c r="D63" s="6" t="s">
        <v>648</v>
      </c>
      <c r="E63" s="6" t="s">
        <v>544</v>
      </c>
      <c r="F63" s="6" t="s">
        <v>626</v>
      </c>
      <c r="G63" s="6">
        <v>166</v>
      </c>
      <c r="H63" s="6">
        <v>8.3</v>
      </c>
      <c r="I63" s="6" t="s">
        <v>644</v>
      </c>
      <c r="J63" s="6">
        <v>98.825217</v>
      </c>
      <c r="K63" s="6">
        <v>820.249301</v>
      </c>
      <c r="L63" s="6">
        <v>15065</v>
      </c>
      <c r="M63" s="6">
        <v>14244.750699</v>
      </c>
      <c r="N63" s="6">
        <v>58.691111</v>
      </c>
      <c r="O63" s="6">
        <v>487.136221</v>
      </c>
      <c r="P63" s="6">
        <v>13315</v>
      </c>
      <c r="Q63" s="6">
        <v>12827.863779</v>
      </c>
      <c r="R63" s="6">
        <v>37.356208</v>
      </c>
      <c r="S63" s="6">
        <v>310.056526</v>
      </c>
      <c r="T63" s="6">
        <v>12422</v>
      </c>
      <c r="U63" s="6">
        <v>12111.943474</v>
      </c>
      <c r="V63" s="6">
        <v>29.258319</v>
      </c>
      <c r="W63" s="6">
        <v>242.844048</v>
      </c>
      <c r="X63" s="6">
        <v>12162</v>
      </c>
      <c r="Y63" s="6">
        <v>11919.155952</v>
      </c>
      <c r="AC63" t="str">
        <f t="shared" si="5"/>
        <v>Trd_3w_elc_166</v>
      </c>
      <c r="AD63">
        <f t="shared" si="6"/>
        <v>14244.750699</v>
      </c>
      <c r="AE63">
        <f t="shared" si="7"/>
        <v>12827.863779</v>
      </c>
      <c r="AF63">
        <f t="shared" si="8"/>
        <v>12111.943474</v>
      </c>
      <c r="AG63">
        <f t="shared" si="9"/>
        <v>11919.155952</v>
      </c>
      <c r="AH63" s="1"/>
      <c r="AI63" s="1"/>
      <c r="AJ63" s="8"/>
      <c r="AK63" s="8"/>
      <c r="AL63" s="8"/>
      <c r="AM63" s="8"/>
    </row>
    <row r="64" spans="3:39">
      <c r="C64" s="6" t="s">
        <v>642</v>
      </c>
      <c r="D64" s="6" t="s">
        <v>649</v>
      </c>
      <c r="E64" s="6" t="s">
        <v>545</v>
      </c>
      <c r="F64" s="6" t="s">
        <v>626</v>
      </c>
      <c r="G64" s="6">
        <v>177</v>
      </c>
      <c r="H64" s="6">
        <v>8.85</v>
      </c>
      <c r="I64" s="6" t="s">
        <v>644</v>
      </c>
      <c r="J64" s="6">
        <v>98.825217</v>
      </c>
      <c r="K64" s="6">
        <v>874.60317</v>
      </c>
      <c r="L64" s="6">
        <v>15205</v>
      </c>
      <c r="M64" s="6">
        <v>14330.39683</v>
      </c>
      <c r="N64" s="6">
        <v>58.691111</v>
      </c>
      <c r="O64" s="6">
        <v>519.416332</v>
      </c>
      <c r="P64" s="6">
        <v>13394</v>
      </c>
      <c r="Q64" s="6">
        <v>12874.583668</v>
      </c>
      <c r="R64" s="6">
        <v>37.356208</v>
      </c>
      <c r="S64" s="6">
        <v>330.602441</v>
      </c>
      <c r="T64" s="6">
        <v>12470</v>
      </c>
      <c r="U64" s="6">
        <v>12139.397559</v>
      </c>
      <c r="V64" s="6">
        <v>29.258319</v>
      </c>
      <c r="W64" s="6">
        <v>258.936123</v>
      </c>
      <c r="X64" s="6">
        <v>12201</v>
      </c>
      <c r="Y64" s="6">
        <v>11942.063877</v>
      </c>
      <c r="AC64" t="str">
        <f t="shared" si="5"/>
        <v>Trd_3w_elc_177</v>
      </c>
      <c r="AD64">
        <f t="shared" si="6"/>
        <v>14330.39683</v>
      </c>
      <c r="AE64">
        <f t="shared" si="7"/>
        <v>12874.583668</v>
      </c>
      <c r="AF64">
        <f t="shared" si="8"/>
        <v>12139.397559</v>
      </c>
      <c r="AG64">
        <f t="shared" si="9"/>
        <v>11942.063877</v>
      </c>
      <c r="AH64" s="1"/>
      <c r="AI64" s="1"/>
      <c r="AJ64" s="8"/>
      <c r="AK64" s="8"/>
      <c r="AL64" s="8"/>
      <c r="AM64" s="8"/>
    </row>
    <row r="65" spans="3:39">
      <c r="C65" s="6" t="s">
        <v>642</v>
      </c>
      <c r="D65" s="6" t="s">
        <v>650</v>
      </c>
      <c r="E65" s="6" t="s">
        <v>546</v>
      </c>
      <c r="F65" s="6" t="s">
        <v>626</v>
      </c>
      <c r="G65" s="6">
        <v>189</v>
      </c>
      <c r="H65" s="6">
        <v>9.45</v>
      </c>
      <c r="I65" s="6" t="s">
        <v>644</v>
      </c>
      <c r="J65" s="6">
        <v>98.825217</v>
      </c>
      <c r="K65" s="6">
        <v>933.898301</v>
      </c>
      <c r="L65" s="6">
        <v>15415</v>
      </c>
      <c r="M65" s="6">
        <v>14481.101699</v>
      </c>
      <c r="N65" s="6">
        <v>58.691111</v>
      </c>
      <c r="O65" s="6">
        <v>554.630999</v>
      </c>
      <c r="P65" s="6">
        <v>13512</v>
      </c>
      <c r="Q65" s="6">
        <v>12957.369001</v>
      </c>
      <c r="R65" s="6">
        <v>37.356208</v>
      </c>
      <c r="S65" s="6">
        <v>353.016166</v>
      </c>
      <c r="T65" s="6">
        <v>12541</v>
      </c>
      <c r="U65" s="6">
        <v>12187.983834</v>
      </c>
      <c r="V65" s="6">
        <v>29.258319</v>
      </c>
      <c r="W65" s="6">
        <v>276.491115</v>
      </c>
      <c r="X65" s="6">
        <v>12258</v>
      </c>
      <c r="Y65" s="6">
        <v>11981.508885</v>
      </c>
      <c r="AC65" t="str">
        <f t="shared" si="5"/>
        <v>Trd_3w_elc_189</v>
      </c>
      <c r="AD65">
        <f t="shared" si="6"/>
        <v>14481.101699</v>
      </c>
      <c r="AE65">
        <f t="shared" si="7"/>
        <v>12957.369001</v>
      </c>
      <c r="AF65">
        <f t="shared" si="8"/>
        <v>12187.983834</v>
      </c>
      <c r="AG65">
        <f t="shared" si="9"/>
        <v>11981.508885</v>
      </c>
      <c r="AH65" s="1"/>
      <c r="AI65" s="1"/>
      <c r="AJ65" s="8"/>
      <c r="AK65" s="8"/>
      <c r="AL65" s="8"/>
      <c r="AM65" s="8"/>
    </row>
    <row r="66" spans="3:39">
      <c r="C66" s="6" t="s">
        <v>642</v>
      </c>
      <c r="D66" s="6" t="s">
        <v>651</v>
      </c>
      <c r="E66" s="6" t="s">
        <v>547</v>
      </c>
      <c r="F66" s="6" t="s">
        <v>626</v>
      </c>
      <c r="G66" s="6">
        <v>200</v>
      </c>
      <c r="H66" s="6">
        <v>10</v>
      </c>
      <c r="I66" s="6" t="s">
        <v>644</v>
      </c>
      <c r="J66" s="6">
        <v>98.825217</v>
      </c>
      <c r="K66" s="6">
        <v>988.25217</v>
      </c>
      <c r="L66" s="6">
        <v>15618</v>
      </c>
      <c r="M66" s="6">
        <v>14629.74783</v>
      </c>
      <c r="N66" s="6">
        <v>58.691111</v>
      </c>
      <c r="O66" s="6">
        <v>586.91111</v>
      </c>
      <c r="P66" s="6">
        <v>13626</v>
      </c>
      <c r="Q66" s="6">
        <v>13039.08889</v>
      </c>
      <c r="R66" s="6">
        <v>37.356208</v>
      </c>
      <c r="S66" s="6">
        <v>373.56208</v>
      </c>
      <c r="T66" s="6">
        <v>12610</v>
      </c>
      <c r="U66" s="6">
        <v>12236.43792</v>
      </c>
      <c r="V66" s="6">
        <v>29.258319</v>
      </c>
      <c r="W66" s="6">
        <v>292.58319</v>
      </c>
      <c r="X66" s="6">
        <v>12314</v>
      </c>
      <c r="Y66" s="6">
        <v>12021.41681</v>
      </c>
      <c r="AC66" t="str">
        <f t="shared" si="5"/>
        <v>Trd_3w_elc_200</v>
      </c>
      <c r="AD66">
        <f t="shared" si="6"/>
        <v>14629.74783</v>
      </c>
      <c r="AE66">
        <f t="shared" si="7"/>
        <v>13039.08889</v>
      </c>
      <c r="AF66">
        <f t="shared" si="8"/>
        <v>12236.43792</v>
      </c>
      <c r="AG66">
        <f t="shared" si="9"/>
        <v>12021.41681</v>
      </c>
      <c r="AH66" s="1"/>
      <c r="AI66" s="1"/>
      <c r="AJ66" s="8"/>
      <c r="AK66" s="8"/>
      <c r="AL66" s="8"/>
      <c r="AM66" s="8"/>
    </row>
    <row r="67" spans="3:39">
      <c r="C67" s="6" t="s">
        <v>652</v>
      </c>
      <c r="D67" s="6" t="s">
        <v>548</v>
      </c>
      <c r="E67" s="6" t="s">
        <v>548</v>
      </c>
      <c r="F67" s="6" t="s">
        <v>626</v>
      </c>
      <c r="G67" s="6">
        <v>100</v>
      </c>
      <c r="H67" s="6">
        <v>2</v>
      </c>
      <c r="J67" s="6">
        <v>98.825217</v>
      </c>
      <c r="K67" s="6">
        <v>197.650434</v>
      </c>
      <c r="L67" s="6">
        <v>4599</v>
      </c>
      <c r="M67" s="6">
        <v>4401.349566</v>
      </c>
      <c r="N67" s="6">
        <v>58.691111</v>
      </c>
      <c r="O67" s="6">
        <v>117.382222</v>
      </c>
      <c r="P67" s="6">
        <v>3006</v>
      </c>
      <c r="Q67" s="6">
        <v>2888.617778</v>
      </c>
      <c r="R67" s="6">
        <v>37.356208</v>
      </c>
      <c r="S67" s="6">
        <v>74.712416</v>
      </c>
      <c r="T67" s="6">
        <v>2744</v>
      </c>
      <c r="U67" s="6">
        <v>2669.287584</v>
      </c>
      <c r="V67" s="6">
        <v>29.258319</v>
      </c>
      <c r="W67" s="6">
        <v>58.516638</v>
      </c>
      <c r="X67" s="6">
        <v>2562</v>
      </c>
      <c r="Y67" s="6">
        <v>2503.483362</v>
      </c>
      <c r="AC67" t="str">
        <f t="shared" si="5"/>
        <v>Trd_2w_elc50_100</v>
      </c>
      <c r="AD67">
        <f t="shared" si="6"/>
        <v>4401.349566</v>
      </c>
      <c r="AE67">
        <f t="shared" si="7"/>
        <v>2888.617778</v>
      </c>
      <c r="AF67">
        <f t="shared" si="8"/>
        <v>2669.287584</v>
      </c>
      <c r="AG67">
        <f t="shared" si="9"/>
        <v>2503.483362</v>
      </c>
      <c r="AH67" s="1"/>
      <c r="AI67" s="1"/>
      <c r="AJ67" s="8"/>
      <c r="AK67" s="8"/>
      <c r="AL67" s="8"/>
      <c r="AM67" s="8"/>
    </row>
    <row r="68" spans="3:39">
      <c r="C68" s="6" t="s">
        <v>652</v>
      </c>
      <c r="D68" s="6" t="s">
        <v>549</v>
      </c>
      <c r="E68" s="6" t="s">
        <v>549</v>
      </c>
      <c r="F68" s="6" t="s">
        <v>626</v>
      </c>
      <c r="G68" s="6">
        <v>109</v>
      </c>
      <c r="H68" s="6">
        <v>2.18</v>
      </c>
      <c r="J68" s="6">
        <v>98.825217</v>
      </c>
      <c r="K68" s="6">
        <v>215.438973</v>
      </c>
      <c r="L68" s="6">
        <v>4826</v>
      </c>
      <c r="M68" s="6">
        <v>4610.561027</v>
      </c>
      <c r="N68" s="6">
        <v>58.691111</v>
      </c>
      <c r="O68" s="6">
        <v>127.946622</v>
      </c>
      <c r="P68" s="6">
        <v>3104</v>
      </c>
      <c r="Q68" s="6">
        <v>2976.053378</v>
      </c>
      <c r="R68" s="6">
        <v>37.356208</v>
      </c>
      <c r="S68" s="6">
        <v>81.436533</v>
      </c>
      <c r="T68" s="6">
        <v>2821</v>
      </c>
      <c r="U68" s="6">
        <v>2739.563467</v>
      </c>
      <c r="V68" s="6">
        <v>29.258319</v>
      </c>
      <c r="W68" s="6">
        <v>63.783135</v>
      </c>
      <c r="X68" s="6">
        <v>2624</v>
      </c>
      <c r="Y68" s="6">
        <v>2560.216865</v>
      </c>
      <c r="AC68" t="str">
        <f t="shared" si="5"/>
        <v>Trd_2w_elc50_109</v>
      </c>
      <c r="AD68">
        <f t="shared" si="6"/>
        <v>4610.561027</v>
      </c>
      <c r="AE68">
        <f t="shared" si="7"/>
        <v>2976.053378</v>
      </c>
      <c r="AF68">
        <f t="shared" si="8"/>
        <v>2739.563467</v>
      </c>
      <c r="AG68">
        <f t="shared" si="9"/>
        <v>2560.216865</v>
      </c>
      <c r="AH68" s="1"/>
      <c r="AI68" s="1"/>
      <c r="AJ68" s="8"/>
      <c r="AK68" s="8"/>
      <c r="AL68" s="8"/>
      <c r="AM68" s="8"/>
    </row>
    <row r="69" spans="3:39">
      <c r="C69" s="6" t="s">
        <v>652</v>
      </c>
      <c r="D69" s="6" t="s">
        <v>550</v>
      </c>
      <c r="E69" s="6" t="s">
        <v>550</v>
      </c>
      <c r="F69" s="6" t="s">
        <v>626</v>
      </c>
      <c r="G69" s="6">
        <v>117</v>
      </c>
      <c r="H69" s="6">
        <v>2.34</v>
      </c>
      <c r="J69" s="6">
        <v>98.825217</v>
      </c>
      <c r="K69" s="6">
        <v>231.251008</v>
      </c>
      <c r="L69" s="6">
        <v>4915</v>
      </c>
      <c r="M69" s="6">
        <v>4683.748992</v>
      </c>
      <c r="N69" s="6">
        <v>58.691111</v>
      </c>
      <c r="O69" s="6">
        <v>137.3372</v>
      </c>
      <c r="P69" s="6">
        <v>3143</v>
      </c>
      <c r="Q69" s="6">
        <v>3005.6628</v>
      </c>
      <c r="R69" s="6">
        <v>37.356208</v>
      </c>
      <c r="S69" s="6">
        <v>87.413527</v>
      </c>
      <c r="T69" s="6">
        <v>2851</v>
      </c>
      <c r="U69" s="6">
        <v>2763.586473</v>
      </c>
      <c r="V69" s="6">
        <v>29.258319</v>
      </c>
      <c r="W69" s="6">
        <v>68.464466</v>
      </c>
      <c r="X69" s="6">
        <v>2648</v>
      </c>
      <c r="Y69" s="6">
        <v>2579.535534</v>
      </c>
      <c r="AC69" t="str">
        <f t="shared" si="5"/>
        <v>Trd_2w_elc50_117</v>
      </c>
      <c r="AD69">
        <f t="shared" si="6"/>
        <v>4683.748992</v>
      </c>
      <c r="AE69">
        <f t="shared" si="7"/>
        <v>3005.6628</v>
      </c>
      <c r="AF69">
        <f t="shared" si="8"/>
        <v>2763.586473</v>
      </c>
      <c r="AG69">
        <f t="shared" si="9"/>
        <v>2579.535534</v>
      </c>
      <c r="AH69" s="1"/>
      <c r="AI69" s="1"/>
      <c r="AJ69" s="8"/>
      <c r="AK69" s="8"/>
      <c r="AL69" s="8"/>
      <c r="AM69" s="8"/>
    </row>
    <row r="70" spans="3:39">
      <c r="C70" s="6" t="s">
        <v>652</v>
      </c>
      <c r="D70" s="6" t="s">
        <v>551</v>
      </c>
      <c r="E70" s="6" t="s">
        <v>551</v>
      </c>
      <c r="F70" s="6" t="s">
        <v>626</v>
      </c>
      <c r="G70" s="6">
        <v>126</v>
      </c>
      <c r="H70" s="6">
        <v>2.52</v>
      </c>
      <c r="J70" s="6">
        <v>98.825217</v>
      </c>
      <c r="K70" s="6">
        <v>249.039547</v>
      </c>
      <c r="L70" s="6">
        <v>4926</v>
      </c>
      <c r="M70" s="6">
        <v>4676.960453</v>
      </c>
      <c r="N70" s="6">
        <v>58.691111</v>
      </c>
      <c r="O70" s="6">
        <v>147.9016</v>
      </c>
      <c r="P70" s="6">
        <v>3147</v>
      </c>
      <c r="Q70" s="6">
        <v>2999.0984</v>
      </c>
      <c r="R70" s="6">
        <v>37.356208</v>
      </c>
      <c r="S70" s="6">
        <v>94.137644</v>
      </c>
      <c r="T70" s="6">
        <v>2855</v>
      </c>
      <c r="U70" s="6">
        <v>2760.862356</v>
      </c>
      <c r="V70" s="6">
        <v>29.258319</v>
      </c>
      <c r="W70" s="6">
        <v>73.730964</v>
      </c>
      <c r="X70" s="6">
        <v>2651</v>
      </c>
      <c r="Y70" s="6">
        <v>2577.269036</v>
      </c>
      <c r="AC70" t="str">
        <f t="shared" si="5"/>
        <v>Trd_2w_elc50_126</v>
      </c>
      <c r="AD70">
        <f t="shared" si="6"/>
        <v>4676.960453</v>
      </c>
      <c r="AE70">
        <f t="shared" si="7"/>
        <v>2999.0984</v>
      </c>
      <c r="AF70">
        <f t="shared" si="8"/>
        <v>2760.862356</v>
      </c>
      <c r="AG70">
        <f t="shared" si="9"/>
        <v>2577.269036</v>
      </c>
      <c r="AH70" s="1"/>
      <c r="AI70" s="1"/>
      <c r="AJ70" s="8"/>
      <c r="AK70" s="8"/>
      <c r="AL70" s="8"/>
      <c r="AM70" s="8"/>
    </row>
    <row r="71" spans="3:39">
      <c r="C71" s="6" t="s">
        <v>652</v>
      </c>
      <c r="D71" s="6" t="s">
        <v>552</v>
      </c>
      <c r="E71" s="6" t="s">
        <v>552</v>
      </c>
      <c r="F71" s="6" t="s">
        <v>626</v>
      </c>
      <c r="G71" s="6">
        <v>134</v>
      </c>
      <c r="H71" s="6">
        <v>2.68</v>
      </c>
      <c r="J71" s="6">
        <v>98.825217</v>
      </c>
      <c r="K71" s="6">
        <v>264.851582</v>
      </c>
      <c r="L71" s="6">
        <v>5032</v>
      </c>
      <c r="M71" s="6">
        <v>4767.148418</v>
      </c>
      <c r="N71" s="6">
        <v>58.691111</v>
      </c>
      <c r="O71" s="6">
        <v>157.292177</v>
      </c>
      <c r="P71" s="6">
        <v>3193</v>
      </c>
      <c r="Q71" s="6">
        <v>3035.707823</v>
      </c>
      <c r="R71" s="6">
        <v>37.356208</v>
      </c>
      <c r="S71" s="6">
        <v>100.114637</v>
      </c>
      <c r="T71" s="6">
        <v>2891</v>
      </c>
      <c r="U71" s="6">
        <v>2790.885363</v>
      </c>
      <c r="V71" s="6">
        <v>29.258319</v>
      </c>
      <c r="W71" s="6">
        <v>78.412295</v>
      </c>
      <c r="X71" s="6">
        <v>2680</v>
      </c>
      <c r="Y71" s="6">
        <v>2601.587705</v>
      </c>
      <c r="AC71" t="str">
        <f t="shared" si="5"/>
        <v>Trd_2w_elc50_134</v>
      </c>
      <c r="AD71">
        <f t="shared" si="6"/>
        <v>4767.148418</v>
      </c>
      <c r="AE71">
        <f t="shared" si="7"/>
        <v>3035.707823</v>
      </c>
      <c r="AF71">
        <f t="shared" si="8"/>
        <v>2790.885363</v>
      </c>
      <c r="AG71">
        <f t="shared" si="9"/>
        <v>2601.587705</v>
      </c>
      <c r="AH71" s="1"/>
      <c r="AI71" s="1"/>
      <c r="AJ71" s="8"/>
      <c r="AK71" s="8"/>
      <c r="AL71" s="8"/>
      <c r="AM71" s="8"/>
    </row>
    <row r="72" spans="3:39">
      <c r="C72" s="6" t="s">
        <v>652</v>
      </c>
      <c r="D72" s="6" t="s">
        <v>553</v>
      </c>
      <c r="E72" s="6" t="s">
        <v>553</v>
      </c>
      <c r="F72" s="6" t="s">
        <v>626</v>
      </c>
      <c r="G72" s="6">
        <v>143</v>
      </c>
      <c r="H72" s="6">
        <v>2.86</v>
      </c>
      <c r="J72" s="6">
        <v>98.825217</v>
      </c>
      <c r="K72" s="6">
        <v>282.640121</v>
      </c>
      <c r="L72" s="6">
        <v>5125</v>
      </c>
      <c r="M72" s="6">
        <v>4842.359879</v>
      </c>
      <c r="N72" s="6">
        <v>58.691111</v>
      </c>
      <c r="O72" s="6">
        <v>167.856577</v>
      </c>
      <c r="P72" s="6">
        <v>3233</v>
      </c>
      <c r="Q72" s="6">
        <v>3065.143423</v>
      </c>
      <c r="R72" s="6">
        <v>37.356208</v>
      </c>
      <c r="S72" s="6">
        <v>106.838755</v>
      </c>
      <c r="T72" s="6">
        <v>2923</v>
      </c>
      <c r="U72" s="6">
        <v>2816.161245</v>
      </c>
      <c r="V72" s="6">
        <v>29.258319</v>
      </c>
      <c r="W72" s="6">
        <v>83.678792</v>
      </c>
      <c r="X72" s="6">
        <v>2706</v>
      </c>
      <c r="Y72" s="6">
        <v>2622.321208</v>
      </c>
      <c r="AC72" t="str">
        <f t="shared" si="5"/>
        <v>Trd_2w_elc50_143</v>
      </c>
      <c r="AD72">
        <f t="shared" si="6"/>
        <v>4842.359879</v>
      </c>
      <c r="AE72">
        <f t="shared" si="7"/>
        <v>3065.143423</v>
      </c>
      <c r="AF72">
        <f t="shared" si="8"/>
        <v>2816.161245</v>
      </c>
      <c r="AG72">
        <f t="shared" si="9"/>
        <v>2622.321208</v>
      </c>
      <c r="AH72" s="1"/>
      <c r="AI72" s="1"/>
      <c r="AJ72" s="8"/>
      <c r="AK72" s="8"/>
      <c r="AL72" s="8"/>
      <c r="AM72" s="8"/>
    </row>
    <row r="73" spans="3:39">
      <c r="C73" s="6" t="s">
        <v>652</v>
      </c>
      <c r="D73" s="6" t="s">
        <v>554</v>
      </c>
      <c r="E73" s="6" t="s">
        <v>554</v>
      </c>
      <c r="F73" s="6" t="s">
        <v>626</v>
      </c>
      <c r="G73" s="6">
        <v>151</v>
      </c>
      <c r="H73" s="6">
        <v>3.02</v>
      </c>
      <c r="J73" s="6">
        <v>98.825217</v>
      </c>
      <c r="K73" s="6">
        <v>298.452155</v>
      </c>
      <c r="L73" s="6">
        <v>5274</v>
      </c>
      <c r="M73" s="6">
        <v>4975.547845</v>
      </c>
      <c r="N73" s="6">
        <v>58.691111</v>
      </c>
      <c r="O73" s="6">
        <v>177.247155</v>
      </c>
      <c r="P73" s="6">
        <v>3298</v>
      </c>
      <c r="Q73" s="6">
        <v>3120.752845</v>
      </c>
      <c r="R73" s="6">
        <v>37.356208</v>
      </c>
      <c r="S73" s="6">
        <v>112.815748</v>
      </c>
      <c r="T73" s="6">
        <v>2974</v>
      </c>
      <c r="U73" s="6">
        <v>2861.184252</v>
      </c>
      <c r="V73" s="6">
        <v>29.258319</v>
      </c>
      <c r="W73" s="6">
        <v>88.360123</v>
      </c>
      <c r="X73" s="6">
        <v>2747</v>
      </c>
      <c r="Y73" s="6">
        <v>2658.639877</v>
      </c>
      <c r="AC73" t="str">
        <f t="shared" si="5"/>
        <v>Trd_2w_elc50_151</v>
      </c>
      <c r="AD73">
        <f t="shared" si="6"/>
        <v>4975.547845</v>
      </c>
      <c r="AE73">
        <f t="shared" si="7"/>
        <v>3120.752845</v>
      </c>
      <c r="AF73">
        <f t="shared" si="8"/>
        <v>2861.184252</v>
      </c>
      <c r="AG73">
        <f t="shared" si="9"/>
        <v>2658.639877</v>
      </c>
      <c r="AH73" s="1"/>
      <c r="AI73" s="1"/>
      <c r="AJ73" s="8"/>
      <c r="AK73" s="8"/>
      <c r="AL73" s="8"/>
      <c r="AM73" s="8"/>
    </row>
    <row r="74" spans="3:39">
      <c r="C74" s="6" t="s">
        <v>652</v>
      </c>
      <c r="D74" s="6" t="s">
        <v>555</v>
      </c>
      <c r="E74" s="6" t="s">
        <v>555</v>
      </c>
      <c r="F74" s="6" t="s">
        <v>626</v>
      </c>
      <c r="G74" s="6">
        <v>160</v>
      </c>
      <c r="H74" s="6">
        <v>3.2</v>
      </c>
      <c r="J74" s="6">
        <v>98.825217</v>
      </c>
      <c r="K74" s="6">
        <v>316.240694</v>
      </c>
      <c r="L74" s="6">
        <v>5418</v>
      </c>
      <c r="M74" s="6">
        <v>5101.759306</v>
      </c>
      <c r="N74" s="6">
        <v>58.691111</v>
      </c>
      <c r="O74" s="6">
        <v>187.811555</v>
      </c>
      <c r="P74" s="6">
        <v>3361</v>
      </c>
      <c r="Q74" s="6">
        <v>3173.188445</v>
      </c>
      <c r="R74" s="6">
        <v>37.356208</v>
      </c>
      <c r="S74" s="6">
        <v>119.539866</v>
      </c>
      <c r="T74" s="6">
        <v>3022</v>
      </c>
      <c r="U74" s="6">
        <v>2902.460134</v>
      </c>
      <c r="V74" s="6">
        <v>29.258319</v>
      </c>
      <c r="W74" s="6">
        <v>93.626621</v>
      </c>
      <c r="X74" s="6">
        <v>2787</v>
      </c>
      <c r="Y74" s="6">
        <v>2693.373379</v>
      </c>
      <c r="AC74" t="str">
        <f t="shared" si="5"/>
        <v>Trd_2w_elc50_160</v>
      </c>
      <c r="AD74">
        <f t="shared" si="6"/>
        <v>5101.759306</v>
      </c>
      <c r="AE74">
        <f t="shared" si="7"/>
        <v>3173.188445</v>
      </c>
      <c r="AF74">
        <f t="shared" si="8"/>
        <v>2902.460134</v>
      </c>
      <c r="AG74">
        <f t="shared" si="9"/>
        <v>2693.373379</v>
      </c>
      <c r="AH74" s="1"/>
      <c r="AI74" s="1"/>
      <c r="AJ74" s="8"/>
      <c r="AK74" s="8"/>
      <c r="AL74" s="8"/>
      <c r="AM74" s="8"/>
    </row>
    <row r="75" spans="3:39">
      <c r="C75" s="6" t="s">
        <v>653</v>
      </c>
      <c r="D75" s="6" t="s">
        <v>556</v>
      </c>
      <c r="E75" s="6" t="s">
        <v>556</v>
      </c>
      <c r="F75" s="6" t="s">
        <v>626</v>
      </c>
      <c r="G75" s="6">
        <v>120</v>
      </c>
      <c r="H75" s="6">
        <v>120</v>
      </c>
      <c r="J75" s="6">
        <v>98.825217</v>
      </c>
      <c r="K75" s="6">
        <v>11859.02604</v>
      </c>
      <c r="L75" s="6">
        <v>414283</v>
      </c>
      <c r="M75" s="6">
        <v>402423.97396</v>
      </c>
      <c r="N75" s="6">
        <v>58.691111</v>
      </c>
      <c r="O75" s="6">
        <v>7042.93332</v>
      </c>
      <c r="P75" s="6">
        <v>303169</v>
      </c>
      <c r="Q75" s="6">
        <v>296126.06668</v>
      </c>
      <c r="R75" s="6">
        <v>37.356208</v>
      </c>
      <c r="S75" s="6">
        <v>4482.74496</v>
      </c>
      <c r="T75" s="6">
        <v>289801</v>
      </c>
      <c r="U75" s="6">
        <v>285318.25504</v>
      </c>
      <c r="V75" s="6">
        <v>29.258319</v>
      </c>
      <c r="W75" s="6">
        <v>3510.99828</v>
      </c>
      <c r="X75" s="6">
        <v>284257</v>
      </c>
      <c r="Y75" s="6">
        <v>280746.00172</v>
      </c>
      <c r="AC75" t="str">
        <f t="shared" si="5"/>
        <v>Trd_bus_elc_120</v>
      </c>
      <c r="AD75">
        <f t="shared" si="6"/>
        <v>402423.97396</v>
      </c>
      <c r="AE75">
        <f t="shared" si="7"/>
        <v>296126.06668</v>
      </c>
      <c r="AF75">
        <f t="shared" si="8"/>
        <v>285318.25504</v>
      </c>
      <c r="AG75">
        <f t="shared" si="9"/>
        <v>280746.00172</v>
      </c>
      <c r="AH75" s="1"/>
      <c r="AI75" s="1"/>
      <c r="AJ75" s="8"/>
      <c r="AK75" s="8"/>
      <c r="AL75" s="8"/>
      <c r="AM75" s="8"/>
    </row>
    <row r="76" spans="3:39">
      <c r="C76" s="6" t="s">
        <v>653</v>
      </c>
      <c r="D76" s="6" t="s">
        <v>557</v>
      </c>
      <c r="E76" s="6" t="s">
        <v>557</v>
      </c>
      <c r="F76" s="6" t="s">
        <v>626</v>
      </c>
      <c r="G76" s="6">
        <v>134</v>
      </c>
      <c r="H76" s="6">
        <v>134</v>
      </c>
      <c r="J76" s="6">
        <v>98.825217</v>
      </c>
      <c r="K76" s="6">
        <v>13242.579078</v>
      </c>
      <c r="L76" s="6">
        <v>418677</v>
      </c>
      <c r="M76" s="6">
        <v>405434.420922</v>
      </c>
      <c r="N76" s="6">
        <v>58.691111</v>
      </c>
      <c r="O76" s="6">
        <v>7864.608874</v>
      </c>
      <c r="P76" s="6">
        <v>306295</v>
      </c>
      <c r="Q76" s="6">
        <v>298430.391126</v>
      </c>
      <c r="R76" s="6">
        <v>37.356208</v>
      </c>
      <c r="S76" s="6">
        <v>5005.731872</v>
      </c>
      <c r="T76" s="6">
        <v>291399</v>
      </c>
      <c r="U76" s="6">
        <v>286393.268128</v>
      </c>
      <c r="V76" s="6">
        <v>29.258319</v>
      </c>
      <c r="W76" s="6">
        <v>3920.614746</v>
      </c>
      <c r="X76" s="6">
        <v>285221</v>
      </c>
      <c r="Y76" s="6">
        <v>281300.385254</v>
      </c>
      <c r="AC76" t="str">
        <f t="shared" si="5"/>
        <v>Trd_bus_elc_134</v>
      </c>
      <c r="AD76">
        <f t="shared" si="6"/>
        <v>405434.420922</v>
      </c>
      <c r="AE76">
        <f t="shared" si="7"/>
        <v>298430.391126</v>
      </c>
      <c r="AF76">
        <f t="shared" si="8"/>
        <v>286393.268128</v>
      </c>
      <c r="AG76">
        <f t="shared" si="9"/>
        <v>281300.385254</v>
      </c>
      <c r="AH76" s="1"/>
      <c r="AI76" s="1"/>
      <c r="AJ76" s="8"/>
      <c r="AK76" s="8"/>
      <c r="AL76" s="8"/>
      <c r="AM76" s="8"/>
    </row>
    <row r="77" spans="3:39">
      <c r="C77" s="6" t="s">
        <v>653</v>
      </c>
      <c r="D77" s="6" t="s">
        <v>558</v>
      </c>
      <c r="E77" s="6" t="s">
        <v>558</v>
      </c>
      <c r="F77" s="6" t="s">
        <v>626</v>
      </c>
      <c r="G77" s="6">
        <v>149</v>
      </c>
      <c r="H77" s="6">
        <v>149</v>
      </c>
      <c r="J77" s="6">
        <v>98.825217</v>
      </c>
      <c r="K77" s="6">
        <v>14724.957333</v>
      </c>
      <c r="L77" s="6">
        <v>421066</v>
      </c>
      <c r="M77" s="6">
        <v>406341.042667</v>
      </c>
      <c r="N77" s="6">
        <v>58.691111</v>
      </c>
      <c r="O77" s="6">
        <v>8744.975539</v>
      </c>
      <c r="P77" s="6">
        <v>307993</v>
      </c>
      <c r="Q77" s="6">
        <v>299248.024461</v>
      </c>
      <c r="R77" s="6">
        <v>37.356208</v>
      </c>
      <c r="S77" s="6">
        <v>5566.074992</v>
      </c>
      <c r="T77" s="6">
        <v>292267</v>
      </c>
      <c r="U77" s="6">
        <v>286700.925008</v>
      </c>
      <c r="V77" s="6">
        <v>29.258319</v>
      </c>
      <c r="W77" s="6">
        <v>4359.489531</v>
      </c>
      <c r="X77" s="6">
        <v>285745</v>
      </c>
      <c r="Y77" s="6">
        <v>281385.510469</v>
      </c>
      <c r="AC77" t="str">
        <f t="shared" si="5"/>
        <v>Trd_bus_elc_149</v>
      </c>
      <c r="AD77">
        <f t="shared" si="6"/>
        <v>406341.042667</v>
      </c>
      <c r="AE77">
        <f t="shared" si="7"/>
        <v>299248.024461</v>
      </c>
      <c r="AF77">
        <f t="shared" si="8"/>
        <v>286700.925008</v>
      </c>
      <c r="AG77">
        <f t="shared" si="9"/>
        <v>281385.510469</v>
      </c>
      <c r="AH77" s="1"/>
      <c r="AI77" s="1"/>
      <c r="AJ77" s="8"/>
      <c r="AK77" s="8"/>
      <c r="AL77" s="8"/>
      <c r="AM77" s="8"/>
    </row>
    <row r="78" spans="3:39">
      <c r="C78" s="6" t="s">
        <v>653</v>
      </c>
      <c r="D78" s="6" t="s">
        <v>559</v>
      </c>
      <c r="E78" s="6" t="s">
        <v>559</v>
      </c>
      <c r="F78" s="6" t="s">
        <v>626</v>
      </c>
      <c r="G78" s="6">
        <v>163</v>
      </c>
      <c r="H78" s="6">
        <v>163</v>
      </c>
      <c r="J78" s="6">
        <v>98.825217</v>
      </c>
      <c r="K78" s="6">
        <v>16108.510371</v>
      </c>
      <c r="L78" s="6">
        <v>423484</v>
      </c>
      <c r="M78" s="6">
        <v>407375.489629</v>
      </c>
      <c r="N78" s="6">
        <v>58.691111</v>
      </c>
      <c r="O78" s="6">
        <v>9566.651093</v>
      </c>
      <c r="P78" s="6">
        <v>309713</v>
      </c>
      <c r="Q78" s="6">
        <v>300146.348907</v>
      </c>
      <c r="R78" s="6">
        <v>37.356208</v>
      </c>
      <c r="S78" s="6">
        <v>6089.061904</v>
      </c>
      <c r="T78" s="6">
        <v>293146</v>
      </c>
      <c r="U78" s="6">
        <v>287056.938096</v>
      </c>
      <c r="V78" s="6">
        <v>29.258319</v>
      </c>
      <c r="W78" s="6">
        <v>4769.105997</v>
      </c>
      <c r="X78" s="6">
        <v>286276</v>
      </c>
      <c r="Y78" s="6">
        <v>281506.894003</v>
      </c>
      <c r="AC78" t="str">
        <f t="shared" si="5"/>
        <v>Trd_bus_elc_163</v>
      </c>
      <c r="AD78">
        <f t="shared" si="6"/>
        <v>407375.489629</v>
      </c>
      <c r="AE78">
        <f t="shared" si="7"/>
        <v>300146.348907</v>
      </c>
      <c r="AF78">
        <f t="shared" si="8"/>
        <v>287056.938096</v>
      </c>
      <c r="AG78">
        <f t="shared" si="9"/>
        <v>281506.894003</v>
      </c>
      <c r="AH78" s="1"/>
      <c r="AI78" s="1"/>
      <c r="AJ78" s="8"/>
      <c r="AK78" s="8"/>
      <c r="AL78" s="8"/>
      <c r="AM78" s="8"/>
    </row>
    <row r="79" spans="3:39">
      <c r="C79" s="6" t="s">
        <v>653</v>
      </c>
      <c r="D79" s="6" t="s">
        <v>560</v>
      </c>
      <c r="E79" s="6" t="s">
        <v>560</v>
      </c>
      <c r="F79" s="6" t="s">
        <v>626</v>
      </c>
      <c r="G79" s="6">
        <v>177</v>
      </c>
      <c r="H79" s="6">
        <v>177</v>
      </c>
      <c r="J79" s="6">
        <v>98.825217</v>
      </c>
      <c r="K79" s="6">
        <v>17492.063409</v>
      </c>
      <c r="L79" s="6">
        <v>426045</v>
      </c>
      <c r="M79" s="6">
        <v>408552.936591</v>
      </c>
      <c r="N79" s="6">
        <v>58.691111</v>
      </c>
      <c r="O79" s="6">
        <v>10388.326647</v>
      </c>
      <c r="P79" s="6">
        <v>311534</v>
      </c>
      <c r="Q79" s="6">
        <v>301145.673353</v>
      </c>
      <c r="R79" s="6">
        <v>37.356208</v>
      </c>
      <c r="S79" s="6">
        <v>6612.048816</v>
      </c>
      <c r="T79" s="6">
        <v>294077</v>
      </c>
      <c r="U79" s="6">
        <v>287464.951184</v>
      </c>
      <c r="V79" s="6">
        <v>29.258319</v>
      </c>
      <c r="W79" s="6">
        <v>5178.722463</v>
      </c>
      <c r="X79" s="6">
        <v>286838</v>
      </c>
      <c r="Y79" s="6">
        <v>281659.277537</v>
      </c>
      <c r="AC79" t="str">
        <f t="shared" si="5"/>
        <v>Trd_bus_elc_177</v>
      </c>
      <c r="AD79">
        <f t="shared" si="6"/>
        <v>408552.936591</v>
      </c>
      <c r="AE79">
        <f t="shared" si="7"/>
        <v>301145.673353</v>
      </c>
      <c r="AF79">
        <f t="shared" si="8"/>
        <v>287464.951184</v>
      </c>
      <c r="AG79">
        <f t="shared" si="9"/>
        <v>281659.277537</v>
      </c>
      <c r="AH79" s="1"/>
      <c r="AI79" s="1"/>
      <c r="AJ79" s="8"/>
      <c r="AK79" s="8"/>
      <c r="AL79" s="8"/>
      <c r="AM79" s="8"/>
    </row>
    <row r="80" spans="3:39">
      <c r="C80" s="6" t="s">
        <v>653</v>
      </c>
      <c r="D80" s="6" t="s">
        <v>561</v>
      </c>
      <c r="E80" s="6" t="s">
        <v>561</v>
      </c>
      <c r="F80" s="6" t="s">
        <v>626</v>
      </c>
      <c r="G80" s="6">
        <v>191</v>
      </c>
      <c r="H80" s="6">
        <v>191</v>
      </c>
      <c r="J80" s="6">
        <v>98.825217</v>
      </c>
      <c r="K80" s="6">
        <v>18875.616447</v>
      </c>
      <c r="L80" s="6">
        <v>429934</v>
      </c>
      <c r="M80" s="6">
        <v>411058.383553</v>
      </c>
      <c r="N80" s="6">
        <v>58.691111</v>
      </c>
      <c r="O80" s="6">
        <v>11210.002201</v>
      </c>
      <c r="P80" s="6">
        <v>314299</v>
      </c>
      <c r="Q80" s="6">
        <v>303088.997799</v>
      </c>
      <c r="R80" s="6">
        <v>37.356208</v>
      </c>
      <c r="S80" s="6">
        <v>7135.035728</v>
      </c>
      <c r="T80" s="6">
        <v>295873</v>
      </c>
      <c r="U80" s="6">
        <v>288737.964272</v>
      </c>
      <c r="V80" s="6">
        <v>29.258319</v>
      </c>
      <c r="W80" s="6">
        <v>5588.338929</v>
      </c>
      <c r="X80" s="6">
        <v>287922</v>
      </c>
      <c r="Y80" s="6">
        <v>282333.661071</v>
      </c>
      <c r="AC80" t="str">
        <f t="shared" si="5"/>
        <v>Trd_bus_elc_191</v>
      </c>
      <c r="AD80">
        <f t="shared" si="6"/>
        <v>411058.383553</v>
      </c>
      <c r="AE80">
        <f t="shared" si="7"/>
        <v>303088.997799</v>
      </c>
      <c r="AF80">
        <f t="shared" si="8"/>
        <v>288737.964272</v>
      </c>
      <c r="AG80">
        <f t="shared" si="9"/>
        <v>282333.661071</v>
      </c>
      <c r="AH80" s="1"/>
      <c r="AI80" s="1"/>
      <c r="AJ80" s="8"/>
      <c r="AK80" s="8"/>
      <c r="AL80" s="8"/>
      <c r="AM80" s="8"/>
    </row>
    <row r="81" spans="3:39">
      <c r="C81" s="6" t="s">
        <v>653</v>
      </c>
      <c r="D81" s="6" t="s">
        <v>562</v>
      </c>
      <c r="E81" s="6" t="s">
        <v>562</v>
      </c>
      <c r="F81" s="6" t="s">
        <v>626</v>
      </c>
      <c r="G81" s="6">
        <v>206</v>
      </c>
      <c r="H81" s="6">
        <v>206</v>
      </c>
      <c r="J81" s="6">
        <v>98.825217</v>
      </c>
      <c r="K81" s="6">
        <v>20357.994702</v>
      </c>
      <c r="L81" s="6">
        <v>434837</v>
      </c>
      <c r="M81" s="6">
        <v>414479.005298</v>
      </c>
      <c r="N81" s="6">
        <v>58.691111</v>
      </c>
      <c r="O81" s="6">
        <v>12090.368866</v>
      </c>
      <c r="P81" s="6">
        <v>317786</v>
      </c>
      <c r="Q81" s="6">
        <v>305695.631134</v>
      </c>
      <c r="R81" s="6">
        <v>37.356208</v>
      </c>
      <c r="S81" s="6">
        <v>7695.378848</v>
      </c>
      <c r="T81" s="6">
        <v>297679</v>
      </c>
      <c r="U81" s="6">
        <v>289983.621152</v>
      </c>
      <c r="V81" s="6">
        <v>29.258319</v>
      </c>
      <c r="W81" s="6">
        <v>6027.213714</v>
      </c>
      <c r="X81" s="6">
        <v>289012</v>
      </c>
      <c r="Y81" s="6">
        <v>282984.786286</v>
      </c>
      <c r="AC81" t="str">
        <f t="shared" si="5"/>
        <v>Trd_bus_elc_206</v>
      </c>
      <c r="AD81">
        <f t="shared" si="6"/>
        <v>414479.005298</v>
      </c>
      <c r="AE81">
        <f t="shared" si="7"/>
        <v>305695.631134</v>
      </c>
      <c r="AF81">
        <f t="shared" si="8"/>
        <v>289983.621152</v>
      </c>
      <c r="AG81">
        <f t="shared" si="9"/>
        <v>282984.786286</v>
      </c>
      <c r="AH81" s="1"/>
      <c r="AI81" s="1"/>
      <c r="AJ81" s="8"/>
      <c r="AK81" s="8"/>
      <c r="AL81" s="8"/>
      <c r="AM81" s="8"/>
    </row>
    <row r="82" spans="3:39">
      <c r="C82" s="6" t="s">
        <v>653</v>
      </c>
      <c r="D82" s="6" t="s">
        <v>563</v>
      </c>
      <c r="E82" s="6" t="s">
        <v>563</v>
      </c>
      <c r="F82" s="6" t="s">
        <v>626</v>
      </c>
      <c r="G82" s="6">
        <v>220</v>
      </c>
      <c r="H82" s="6">
        <v>220</v>
      </c>
      <c r="J82" s="6">
        <v>98.825217</v>
      </c>
      <c r="K82" s="6">
        <v>21741.54774</v>
      </c>
      <c r="L82" s="6">
        <v>439776</v>
      </c>
      <c r="M82" s="6">
        <v>418034.45226</v>
      </c>
      <c r="N82" s="6">
        <v>58.691111</v>
      </c>
      <c r="O82" s="6">
        <v>12912.04442</v>
      </c>
      <c r="P82" s="6">
        <v>321297</v>
      </c>
      <c r="Q82" s="6">
        <v>308384.95558</v>
      </c>
      <c r="R82" s="6">
        <v>37.356208</v>
      </c>
      <c r="S82" s="6">
        <v>8218.36576</v>
      </c>
      <c r="T82" s="6">
        <v>299069</v>
      </c>
      <c r="U82" s="6">
        <v>290850.63424</v>
      </c>
      <c r="V82" s="6">
        <v>29.258319</v>
      </c>
      <c r="W82" s="6">
        <v>6436.83018</v>
      </c>
      <c r="X82" s="6">
        <v>289851</v>
      </c>
      <c r="Y82" s="6">
        <v>283414.16982</v>
      </c>
      <c r="AC82" t="str">
        <f t="shared" si="5"/>
        <v>Trd_bus_elc_220</v>
      </c>
      <c r="AD82">
        <f t="shared" si="6"/>
        <v>418034.45226</v>
      </c>
      <c r="AE82">
        <f t="shared" si="7"/>
        <v>308384.95558</v>
      </c>
      <c r="AF82">
        <f t="shared" si="8"/>
        <v>290850.63424</v>
      </c>
      <c r="AG82">
        <f t="shared" si="9"/>
        <v>283414.16982</v>
      </c>
      <c r="AH82" s="1"/>
      <c r="AI82" s="1"/>
      <c r="AJ82" s="8"/>
      <c r="AK82" s="8"/>
      <c r="AL82" s="8"/>
      <c r="AM82" s="8"/>
    </row>
    <row r="83" spans="3:39">
      <c r="AH83" s="1"/>
      <c r="AI83" s="1"/>
      <c r="AJ83" s="8"/>
      <c r="AK83" s="8"/>
      <c r="AL83" s="8"/>
      <c r="AM83" s="8"/>
    </row>
    <row r="84" spans="3:39">
      <c r="AH84" s="1"/>
      <c r="AI84" s="1"/>
      <c r="AJ84" s="8"/>
      <c r="AK84" s="8"/>
      <c r="AL84" s="8"/>
      <c r="AM84" s="8"/>
    </row>
    <row r="85" spans="3:39">
      <c r="AH85" s="1"/>
      <c r="AI85" s="1"/>
      <c r="AJ85" s="8"/>
      <c r="AK85" s="8"/>
      <c r="AL85" s="8"/>
      <c r="AM85" s="8"/>
    </row>
    <row r="86" spans="3:39">
      <c r="AH86" s="1"/>
      <c r="AI86" s="1"/>
      <c r="AJ86" s="8"/>
      <c r="AK86" s="8"/>
      <c r="AL86" s="8"/>
      <c r="AM86" s="8"/>
    </row>
    <row r="87" spans="3:39">
      <c r="AH87" s="1"/>
      <c r="AI87" s="1"/>
      <c r="AJ87" s="8"/>
      <c r="AK87" s="8"/>
      <c r="AL87" s="8"/>
      <c r="AM87" s="8"/>
    </row>
    <row r="88" spans="3:39">
      <c r="AH88" s="1"/>
      <c r="AI88" s="1"/>
      <c r="AJ88" s="8"/>
      <c r="AK88" s="8"/>
      <c r="AL88" s="8"/>
      <c r="AM88" s="8"/>
    </row>
    <row r="89" spans="3:39">
      <c r="AH89" s="1"/>
      <c r="AI89" s="1"/>
      <c r="AJ89" s="8"/>
      <c r="AK89" s="8"/>
      <c r="AL89" s="8"/>
      <c r="AM89" s="8"/>
    </row>
    <row r="90" spans="3:39">
      <c r="AH90" s="1"/>
      <c r="AI90" s="1"/>
      <c r="AJ90" s="8"/>
      <c r="AK90" s="8"/>
      <c r="AL90" s="8"/>
      <c r="AM90" s="8"/>
    </row>
    <row r="91" spans="3:39">
      <c r="AH91" s="1"/>
      <c r="AI91" s="1"/>
      <c r="AJ91" s="8"/>
      <c r="AK91" s="8"/>
      <c r="AL91" s="8"/>
      <c r="AM91" s="8"/>
    </row>
    <row r="92" spans="3:39">
      <c r="AH92" s="1"/>
      <c r="AI92" s="1"/>
      <c r="AJ92" s="8"/>
      <c r="AK92" s="8"/>
      <c r="AL92" s="8"/>
      <c r="AM92" s="8"/>
    </row>
    <row r="93" spans="3:39">
      <c r="AH93" s="1"/>
      <c r="AI93" s="1"/>
      <c r="AJ93" s="8"/>
      <c r="AK93" s="8"/>
      <c r="AL93" s="8"/>
      <c r="AM93" s="8"/>
    </row>
    <row r="94" spans="3:39">
      <c r="AH94" s="1"/>
      <c r="AI94" s="1"/>
      <c r="AJ94" s="8"/>
      <c r="AK94" s="8"/>
      <c r="AL94" s="8"/>
      <c r="AM94" s="8"/>
    </row>
    <row r="95" spans="3:39">
      <c r="AH95" s="1"/>
      <c r="AI95" s="1"/>
      <c r="AJ95" s="8"/>
      <c r="AK95" s="8"/>
      <c r="AL95" s="8"/>
      <c r="AM95" s="8"/>
    </row>
    <row r="96" spans="3:39">
      <c r="AH96" s="1"/>
      <c r="AI96" s="1"/>
      <c r="AJ96" s="8"/>
      <c r="AK96" s="8"/>
      <c r="AL96" s="8"/>
      <c r="AM96" s="8"/>
    </row>
    <row r="97" spans="34:39">
      <c r="AH97" s="1"/>
      <c r="AI97" s="1"/>
      <c r="AJ97" s="8"/>
      <c r="AK97" s="8"/>
      <c r="AL97" s="8"/>
      <c r="AM97" s="8"/>
    </row>
    <row r="98" spans="34:39">
      <c r="AH98" s="1"/>
      <c r="AI98" s="1"/>
      <c r="AJ98" s="8"/>
      <c r="AK98" s="8"/>
      <c r="AL98" s="8"/>
      <c r="AM98" s="8"/>
    </row>
    <row r="99" spans="34:39">
      <c r="AH99" s="1"/>
      <c r="AI99" s="1"/>
      <c r="AJ99" s="8"/>
      <c r="AK99" s="8"/>
      <c r="AL99" s="8"/>
      <c r="AM99" s="8"/>
    </row>
    <row r="100" spans="34:39">
      <c r="AH100" s="1"/>
      <c r="AI100" s="1"/>
      <c r="AJ100" s="8"/>
      <c r="AK100" s="8"/>
      <c r="AL100" s="8"/>
      <c r="AM100" s="8"/>
    </row>
    <row r="101" spans="34:39">
      <c r="AH101" s="1"/>
      <c r="AI101" s="1"/>
      <c r="AJ101" s="8"/>
      <c r="AK101" s="8"/>
      <c r="AL101" s="8"/>
      <c r="AM101" s="8"/>
    </row>
    <row r="102" spans="34:39">
      <c r="AH102" s="1"/>
      <c r="AI102" s="1"/>
      <c r="AJ102" s="8"/>
      <c r="AK102" s="8"/>
      <c r="AL102" s="8"/>
      <c r="AM102" s="8"/>
    </row>
    <row r="103" spans="34:39">
      <c r="AH103" s="1"/>
      <c r="AI103" s="1"/>
      <c r="AJ103" s="8"/>
      <c r="AK103" s="8"/>
      <c r="AL103" s="8"/>
      <c r="AM103" s="8"/>
    </row>
    <row r="104" spans="34:39">
      <c r="AH104" s="1"/>
      <c r="AI104" s="1"/>
      <c r="AJ104" s="8"/>
      <c r="AK104" s="8"/>
      <c r="AL104" s="8"/>
      <c r="AM104" s="8"/>
    </row>
    <row r="105" spans="34:39">
      <c r="AH105" s="1"/>
      <c r="AI105" s="1"/>
      <c r="AJ105" s="8"/>
      <c r="AK105" s="8"/>
      <c r="AL105" s="8"/>
      <c r="AM105" s="8"/>
    </row>
    <row r="106" spans="34:39">
      <c r="AH106" s="1"/>
      <c r="AI106" s="1"/>
      <c r="AJ106" s="8"/>
      <c r="AK106" s="8"/>
      <c r="AL106" s="8"/>
      <c r="AM106" s="8"/>
    </row>
    <row r="107" spans="34:39">
      <c r="AH107" s="10"/>
      <c r="AI107" s="1"/>
      <c r="AJ107" s="11"/>
      <c r="AK107" s="8"/>
      <c r="AL107" s="8"/>
      <c r="AM107" s="8"/>
    </row>
    <row r="108" spans="34:39">
      <c r="AH108" s="1"/>
      <c r="AI108" s="1"/>
      <c r="AJ108" s="8"/>
      <c r="AK108" s="8"/>
      <c r="AL108" s="8"/>
      <c r="AM108" s="8"/>
    </row>
    <row r="109" spans="34:39">
      <c r="AH109" s="1"/>
      <c r="AI109" s="1"/>
      <c r="AJ109" s="8"/>
      <c r="AK109" s="8"/>
      <c r="AL109" s="8"/>
      <c r="AM109" s="8"/>
    </row>
    <row r="110" spans="34:39">
      <c r="AH110" s="1"/>
      <c r="AI110" s="1"/>
      <c r="AJ110" s="8"/>
      <c r="AK110" s="8"/>
      <c r="AL110" s="8"/>
      <c r="AM110" s="8"/>
    </row>
    <row r="111" spans="34:39">
      <c r="AH111" s="1"/>
      <c r="AI111" s="1"/>
      <c r="AJ111" s="8"/>
      <c r="AK111" s="8"/>
      <c r="AL111" s="8"/>
      <c r="AM111" s="8"/>
    </row>
    <row r="112" spans="34:39">
      <c r="AH112" s="1"/>
      <c r="AI112" s="1"/>
      <c r="AJ112" s="8"/>
      <c r="AK112" s="8"/>
      <c r="AL112" s="8"/>
      <c r="AM112" s="8"/>
    </row>
    <row r="113" spans="34:39">
      <c r="AH113" s="1"/>
      <c r="AI113" s="1"/>
      <c r="AJ113" s="8"/>
      <c r="AK113" s="8"/>
      <c r="AL113" s="8"/>
      <c r="AM113" s="8"/>
    </row>
    <row r="114" spans="34:39">
      <c r="AH114" s="1"/>
      <c r="AI114" s="1"/>
      <c r="AJ114" s="8"/>
      <c r="AK114" s="8"/>
      <c r="AL114" s="8"/>
      <c r="AM114" s="8"/>
    </row>
    <row r="115" spans="34:39">
      <c r="AH115" s="1"/>
      <c r="AI115" s="1"/>
      <c r="AJ115" s="8"/>
      <c r="AK115" s="8"/>
      <c r="AL115" s="8"/>
      <c r="AM115" s="8"/>
    </row>
    <row r="116" spans="34:39">
      <c r="AH116" s="1"/>
      <c r="AI116" s="1"/>
      <c r="AJ116" s="8"/>
      <c r="AK116" s="8"/>
      <c r="AL116" s="8"/>
      <c r="AM116" s="8"/>
    </row>
    <row r="117" spans="34:39">
      <c r="AH117" s="1"/>
      <c r="AI117" s="1"/>
      <c r="AJ117" s="8"/>
      <c r="AK117" s="8"/>
      <c r="AL117" s="8"/>
      <c r="AM117" s="8"/>
    </row>
    <row r="118" spans="34:39">
      <c r="AH118" s="1"/>
      <c r="AI118" s="1"/>
      <c r="AJ118" s="8"/>
      <c r="AK118" s="8"/>
      <c r="AL118" s="8"/>
      <c r="AM118" s="8"/>
    </row>
    <row r="119" spans="34:39">
      <c r="AH119" s="1"/>
      <c r="AI119" s="1"/>
      <c r="AJ119" s="8"/>
      <c r="AK119" s="8"/>
      <c r="AL119" s="8"/>
      <c r="AM119" s="8"/>
    </row>
    <row r="120" spans="34:39">
      <c r="AH120" s="1"/>
      <c r="AI120" s="1"/>
      <c r="AJ120" s="8"/>
      <c r="AK120" s="8"/>
      <c r="AL120" s="8"/>
      <c r="AM120" s="8"/>
    </row>
    <row r="121" spans="34:39">
      <c r="AH121" s="1"/>
      <c r="AI121" s="1"/>
      <c r="AJ121" s="8"/>
      <c r="AK121" s="8"/>
      <c r="AL121" s="8"/>
      <c r="AM121" s="8"/>
    </row>
    <row r="122" spans="34:39">
      <c r="AH122" s="1"/>
      <c r="AI122" s="1"/>
      <c r="AJ122" s="8"/>
      <c r="AK122" s="8"/>
      <c r="AL122" s="8"/>
      <c r="AM122" s="8"/>
    </row>
    <row r="123" spans="34:39">
      <c r="AH123" s="1"/>
      <c r="AI123" s="1"/>
      <c r="AJ123" s="8"/>
      <c r="AK123" s="8"/>
      <c r="AL123" s="8"/>
      <c r="AM123" s="8"/>
    </row>
    <row r="124" spans="34:39">
      <c r="AH124" s="1"/>
      <c r="AI124" s="1"/>
      <c r="AJ124" s="8"/>
      <c r="AK124" s="8"/>
      <c r="AL124" s="8"/>
      <c r="AM124" s="8"/>
    </row>
    <row r="125" spans="34:39">
      <c r="AH125" s="1"/>
      <c r="AI125" s="1"/>
      <c r="AJ125" s="8"/>
      <c r="AK125" s="8"/>
      <c r="AL125" s="8"/>
      <c r="AM125" s="8"/>
    </row>
    <row r="126" spans="34:39">
      <c r="AH126" s="1"/>
      <c r="AI126" s="1"/>
      <c r="AJ126" s="8"/>
      <c r="AK126" s="8"/>
      <c r="AL126" s="8"/>
      <c r="AM126" s="8"/>
    </row>
    <row r="127" spans="34:39">
      <c r="AH127" s="1"/>
      <c r="AI127" s="1"/>
      <c r="AJ127" s="8"/>
      <c r="AK127" s="8"/>
      <c r="AL127" s="8"/>
      <c r="AM127" s="8"/>
    </row>
    <row r="128" spans="34:39">
      <c r="AH128" s="1"/>
      <c r="AI128" s="1"/>
      <c r="AJ128" s="8"/>
      <c r="AK128" s="8"/>
      <c r="AL128" s="8"/>
      <c r="AM128" s="8"/>
    </row>
    <row r="129" spans="34:39">
      <c r="AH129" s="1"/>
      <c r="AI129" s="1"/>
      <c r="AJ129" s="8"/>
      <c r="AK129" s="8"/>
      <c r="AL129" s="8"/>
      <c r="AM129" s="8"/>
    </row>
    <row r="130" spans="34:39">
      <c r="AH130" s="1"/>
      <c r="AI130" s="1"/>
      <c r="AJ130" s="8"/>
      <c r="AK130" s="8"/>
      <c r="AL130" s="8"/>
      <c r="AM130" s="8"/>
    </row>
    <row r="131" spans="34:39">
      <c r="AH131" s="1"/>
      <c r="AI131" s="1"/>
      <c r="AJ131" s="8"/>
      <c r="AK131" s="8"/>
      <c r="AL131" s="8"/>
      <c r="AM131" s="8"/>
    </row>
    <row r="132" spans="34:39">
      <c r="AH132" s="1"/>
      <c r="AI132" s="1"/>
      <c r="AJ132" s="8"/>
      <c r="AK132" s="8"/>
      <c r="AL132" s="8"/>
      <c r="AM132" s="8"/>
    </row>
    <row r="133" spans="34:39">
      <c r="AH133" s="1"/>
      <c r="AI133" s="1"/>
      <c r="AJ133" s="8"/>
      <c r="AK133" s="8"/>
      <c r="AL133" s="8"/>
      <c r="AM133" s="8"/>
    </row>
    <row r="134" spans="34:39">
      <c r="AH134" s="1"/>
      <c r="AI134" s="1"/>
      <c r="AJ134" s="8"/>
      <c r="AK134" s="8"/>
      <c r="AL134" s="8"/>
      <c r="AM134" s="8"/>
    </row>
    <row r="135" spans="34:39">
      <c r="AH135" s="1"/>
      <c r="AI135" s="1"/>
      <c r="AJ135" s="8"/>
      <c r="AK135" s="8"/>
      <c r="AL135" s="8"/>
      <c r="AM135" s="8"/>
    </row>
    <row r="136" spans="34:39">
      <c r="AH136" s="1"/>
      <c r="AI136" s="1"/>
      <c r="AJ136" s="8"/>
      <c r="AK136" s="8"/>
      <c r="AL136" s="8"/>
      <c r="AM136" s="8"/>
    </row>
    <row r="137" spans="34:39">
      <c r="AH137" s="1"/>
      <c r="AI137" s="1"/>
      <c r="AJ137" s="8"/>
      <c r="AK137" s="8"/>
      <c r="AL137" s="8"/>
      <c r="AM137" s="8"/>
    </row>
    <row r="138" spans="34:39">
      <c r="AH138" s="1"/>
      <c r="AI138" s="1"/>
      <c r="AJ138" s="8"/>
      <c r="AK138" s="8"/>
      <c r="AL138" s="8"/>
      <c r="AM138" s="8"/>
    </row>
    <row r="139" spans="34:39">
      <c r="AH139" s="1"/>
      <c r="AI139" s="1"/>
      <c r="AJ139" s="8"/>
      <c r="AK139" s="8"/>
      <c r="AL139" s="8"/>
      <c r="AM139" s="8"/>
    </row>
    <row r="140" spans="34:39">
      <c r="AH140" s="1"/>
      <c r="AI140" s="1"/>
      <c r="AJ140" s="8"/>
      <c r="AK140" s="8"/>
      <c r="AL140" s="8"/>
      <c r="AM140" s="8"/>
    </row>
    <row r="141" spans="34:39">
      <c r="AH141" s="1"/>
      <c r="AI141" s="1"/>
      <c r="AJ141" s="8"/>
      <c r="AK141" s="8"/>
      <c r="AL141" s="8"/>
      <c r="AM141" s="8"/>
    </row>
    <row r="142" spans="34:39">
      <c r="AH142" s="1"/>
      <c r="AI142" s="1"/>
      <c r="AJ142" s="8"/>
      <c r="AK142" s="8"/>
      <c r="AL142" s="8"/>
      <c r="AM142" s="8"/>
    </row>
    <row r="143" spans="34:39">
      <c r="AH143" s="1"/>
      <c r="AI143" s="1"/>
      <c r="AJ143" s="8"/>
      <c r="AK143" s="8"/>
      <c r="AL143" s="8"/>
      <c r="AM143" s="8"/>
    </row>
    <row r="144" spans="34:39">
      <c r="AH144" s="1"/>
      <c r="AI144" s="1"/>
      <c r="AJ144" s="8"/>
      <c r="AK144" s="8"/>
      <c r="AL144" s="8"/>
      <c r="AM144" s="8"/>
    </row>
    <row r="145" spans="34:39">
      <c r="AH145" s="1"/>
      <c r="AI145" s="1"/>
      <c r="AJ145" s="8"/>
      <c r="AK145" s="8"/>
      <c r="AL145" s="8"/>
      <c r="AM145" s="8"/>
    </row>
    <row r="146" spans="34:39">
      <c r="AH146" s="1"/>
      <c r="AI146" s="1"/>
      <c r="AJ146" s="8"/>
      <c r="AK146" s="8"/>
      <c r="AL146" s="8"/>
      <c r="AM146" s="8"/>
    </row>
    <row r="147" spans="34:39">
      <c r="AH147" s="1"/>
      <c r="AI147" s="1"/>
      <c r="AJ147" s="8"/>
      <c r="AK147" s="8"/>
      <c r="AL147" s="8"/>
      <c r="AM147" s="8"/>
    </row>
    <row r="148" spans="34:39">
      <c r="AH148" s="1"/>
      <c r="AI148" s="1"/>
      <c r="AJ148" s="8"/>
      <c r="AK148" s="8"/>
      <c r="AL148" s="8"/>
      <c r="AM148" s="8"/>
    </row>
    <row r="149" spans="34:39">
      <c r="AH149" s="1"/>
      <c r="AI149" s="1"/>
      <c r="AJ149" s="8"/>
      <c r="AK149" s="8"/>
      <c r="AL149" s="8"/>
      <c r="AM149" s="8"/>
    </row>
    <row r="150" spans="34:39">
      <c r="AH150" s="1"/>
      <c r="AI150" s="1"/>
      <c r="AJ150" s="8"/>
      <c r="AK150" s="8"/>
      <c r="AL150" s="8"/>
      <c r="AM150" s="8"/>
    </row>
    <row r="151" spans="34:39">
      <c r="AH151" s="1"/>
      <c r="AI151" s="1"/>
      <c r="AJ151" s="8"/>
      <c r="AK151" s="8"/>
      <c r="AL151" s="8"/>
      <c r="AM151" s="8"/>
    </row>
    <row r="152" spans="34:39">
      <c r="AH152" s="1"/>
      <c r="AI152" s="1"/>
      <c r="AJ152" s="8"/>
      <c r="AK152" s="8"/>
      <c r="AL152" s="8"/>
      <c r="AM152" s="8"/>
    </row>
    <row r="153" spans="34:39">
      <c r="AH153" s="1"/>
      <c r="AI153" s="1"/>
      <c r="AJ153" s="8"/>
      <c r="AK153" s="8"/>
      <c r="AL153" s="8"/>
      <c r="AM153" s="8"/>
    </row>
    <row r="154" spans="34:39">
      <c r="AH154" s="1"/>
      <c r="AI154" s="1"/>
      <c r="AJ154" s="8"/>
      <c r="AK154" s="8"/>
      <c r="AL154" s="8"/>
      <c r="AM154" s="8"/>
    </row>
    <row r="155" spans="34:39">
      <c r="AH155" s="1"/>
      <c r="AI155" s="1"/>
      <c r="AJ155" s="8"/>
      <c r="AK155" s="8"/>
      <c r="AL155" s="8"/>
      <c r="AM155" s="8"/>
    </row>
    <row r="156" spans="34:39">
      <c r="AH156" s="1"/>
      <c r="AI156" s="1"/>
      <c r="AJ156" s="8"/>
      <c r="AK156" s="8"/>
      <c r="AL156" s="8"/>
      <c r="AM156" s="8"/>
    </row>
    <row r="157" spans="34:39">
      <c r="AH157" s="1"/>
      <c r="AI157" s="1"/>
      <c r="AJ157" s="8"/>
      <c r="AK157" s="8"/>
      <c r="AL157" s="8"/>
      <c r="AM157" s="8"/>
    </row>
    <row r="158" spans="34:39">
      <c r="AH158" s="1"/>
      <c r="AI158" s="1"/>
      <c r="AJ158" s="8"/>
      <c r="AK158" s="8"/>
      <c r="AL158" s="8"/>
      <c r="AM158" s="8"/>
    </row>
    <row r="159" spans="34:39">
      <c r="AH159" s="1"/>
      <c r="AI159" s="1"/>
      <c r="AJ159" s="8"/>
      <c r="AK159" s="8"/>
      <c r="AL159" s="8"/>
      <c r="AM159" s="8"/>
    </row>
    <row r="160" spans="34:39">
      <c r="AH160" s="1"/>
      <c r="AI160" s="1"/>
      <c r="AJ160" s="8"/>
      <c r="AK160" s="8"/>
      <c r="AL160" s="8"/>
      <c r="AM160" s="8"/>
    </row>
    <row r="161" spans="34:39">
      <c r="AH161" s="1"/>
      <c r="AI161" s="1"/>
      <c r="AJ161" s="8"/>
      <c r="AK161" s="8"/>
      <c r="AL161" s="8"/>
      <c r="AM161" s="8"/>
    </row>
    <row r="162" spans="34:39">
      <c r="AH162" s="1"/>
      <c r="AI162" s="1"/>
      <c r="AJ162" s="8"/>
      <c r="AK162" s="8"/>
      <c r="AL162" s="8"/>
      <c r="AM162" s="8"/>
    </row>
    <row r="163" spans="34:39">
      <c r="AH163" s="1"/>
      <c r="AI163" s="1"/>
      <c r="AJ163" s="8"/>
      <c r="AK163" s="8"/>
      <c r="AL163" s="8"/>
      <c r="AM163" s="8"/>
    </row>
    <row r="164" spans="34:39">
      <c r="AH164" s="1"/>
      <c r="AI164" s="1"/>
      <c r="AJ164" s="8"/>
      <c r="AK164" s="8"/>
      <c r="AL164" s="8"/>
      <c r="AM164" s="8"/>
    </row>
    <row r="165" spans="34:39">
      <c r="AH165" s="1"/>
      <c r="AI165" s="1"/>
      <c r="AJ165" s="13"/>
      <c r="AK165" s="13"/>
      <c r="AL165" s="13"/>
      <c r="AM165" s="13"/>
    </row>
    <row r="166" spans="34:39">
      <c r="AH166" s="1"/>
      <c r="AI166" s="1"/>
      <c r="AJ166" s="13"/>
      <c r="AK166" s="13"/>
      <c r="AL166" s="13"/>
      <c r="AM166" s="13"/>
    </row>
    <row r="167" spans="34:39">
      <c r="AH167" s="1"/>
      <c r="AI167" s="1"/>
      <c r="AJ167" s="13"/>
      <c r="AK167" s="13"/>
      <c r="AL167" s="13"/>
      <c r="AM167" s="13"/>
    </row>
    <row r="168" spans="34:39">
      <c r="AH168" s="1"/>
      <c r="AI168" s="1"/>
      <c r="AJ168" s="13"/>
      <c r="AK168" s="13"/>
      <c r="AL168" s="13"/>
      <c r="AM168" s="13"/>
    </row>
    <row r="169" spans="34:39">
      <c r="AH169" s="1"/>
      <c r="AI169" s="1"/>
      <c r="AJ169" s="13"/>
      <c r="AK169" s="13"/>
      <c r="AL169" s="13"/>
      <c r="AM169" s="13"/>
    </row>
    <row r="170" spans="34:39">
      <c r="AH170" s="1"/>
      <c r="AI170" s="1"/>
      <c r="AJ170" s="13"/>
      <c r="AK170" s="13"/>
      <c r="AL170" s="13"/>
      <c r="AM170" s="13"/>
    </row>
    <row r="171" spans="34:39">
      <c r="AH171" s="1"/>
      <c r="AI171" s="1"/>
      <c r="AJ171" s="13"/>
      <c r="AK171" s="13"/>
      <c r="AL171" s="13"/>
      <c r="AM171" s="13"/>
    </row>
    <row r="172" spans="34:39">
      <c r="AH172" s="1"/>
      <c r="AI172" s="1"/>
      <c r="AJ172" s="13"/>
      <c r="AK172" s="13"/>
      <c r="AL172" s="13"/>
      <c r="AM172" s="13"/>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H2:L126"/>
  <sheetViews>
    <sheetView zoomScale="49" zoomScaleNormal="49" topLeftCell="A78" workbookViewId="0">
      <selection activeCell="K132" sqref="K132"/>
    </sheetView>
  </sheetViews>
  <sheetFormatPr defaultColWidth="8.72727272727273" defaultRowHeight="14.5"/>
  <cols>
    <col min="8" max="8" width="28.5727272727273" style="1" customWidth="1"/>
    <col min="9" max="9" width="8.71818181818182" style="1"/>
    <col min="10" max="12" width="10.5727272727273" style="1"/>
  </cols>
  <sheetData>
    <row r="2" spans="8:12">
      <c r="H2" s="1" t="s">
        <v>52</v>
      </c>
    </row>
    <row r="3" spans="8:12">
      <c r="H3" s="1" t="s">
        <v>66</v>
      </c>
      <c r="I3" s="1" t="s">
        <v>41</v>
      </c>
      <c r="J3" s="1" t="s">
        <v>65</v>
      </c>
      <c r="K3" s="1" t="s">
        <v>11</v>
      </c>
      <c r="L3" s="1" t="s">
        <v>25</v>
      </c>
    </row>
    <row r="4" ht="12.5" spans="8:12">
      <c r="H4" s="2" t="s">
        <v>654</v>
      </c>
      <c r="I4" s="3">
        <v>2023</v>
      </c>
      <c r="J4" s="3">
        <v>175</v>
      </c>
      <c r="K4" s="4">
        <f t="shared" ref="K4:K10" si="0" xml:space="preserve">J4*0.9</f>
        <v>157.5</v>
      </c>
      <c r="L4" s="4">
        <f t="shared" ref="L4:L10" si="1" xml:space="preserve">J4</f>
        <v>175</v>
      </c>
    </row>
    <row r="5" ht="12.5" spans="8:12">
      <c r="H5" s="2" t="s">
        <v>655</v>
      </c>
      <c r="I5" s="5">
        <v>2023</v>
      </c>
      <c r="J5" s="5">
        <f t="shared" ref="J5:J10" si="2" xml:space="preserve">J4</f>
        <v>175</v>
      </c>
      <c r="K5" s="4">
        <f t="shared" si="0"/>
        <v>157.5</v>
      </c>
      <c r="L5" s="4">
        <f t="shared" si="1"/>
        <v>175</v>
      </c>
    </row>
    <row r="6" ht="12.5" spans="8:12">
      <c r="H6" s="2" t="s">
        <v>656</v>
      </c>
      <c r="I6" s="5">
        <v>2023</v>
      </c>
      <c r="J6" s="5">
        <f t="shared" si="2"/>
        <v>175</v>
      </c>
      <c r="K6" s="4">
        <f t="shared" si="0"/>
        <v>157.5</v>
      </c>
      <c r="L6" s="4">
        <f t="shared" si="1"/>
        <v>175</v>
      </c>
    </row>
    <row r="7" ht="12.5" spans="8:12">
      <c r="H7" s="2" t="s">
        <v>657</v>
      </c>
      <c r="I7" s="5">
        <v>2023</v>
      </c>
      <c r="J7" s="5">
        <f t="shared" si="2"/>
        <v>175</v>
      </c>
      <c r="K7" s="4">
        <f t="shared" si="0"/>
        <v>157.5</v>
      </c>
      <c r="L7" s="4">
        <f t="shared" si="1"/>
        <v>175</v>
      </c>
    </row>
    <row r="8" ht="12.5" spans="8:12">
      <c r="H8" s="2" t="s">
        <v>658</v>
      </c>
      <c r="I8" s="5">
        <v>2023</v>
      </c>
      <c r="J8" s="5">
        <f t="shared" si="2"/>
        <v>175</v>
      </c>
      <c r="K8" s="4">
        <f t="shared" si="0"/>
        <v>157.5</v>
      </c>
      <c r="L8" s="4">
        <f t="shared" si="1"/>
        <v>175</v>
      </c>
    </row>
    <row r="9" ht="12.5" spans="8:12">
      <c r="H9" s="2" t="s">
        <v>659</v>
      </c>
      <c r="I9" s="5">
        <v>2023</v>
      </c>
      <c r="J9" s="5">
        <f t="shared" si="2"/>
        <v>175</v>
      </c>
      <c r="K9" s="4">
        <f t="shared" si="0"/>
        <v>157.5</v>
      </c>
      <c r="L9" s="4">
        <f t="shared" si="1"/>
        <v>175</v>
      </c>
    </row>
    <row r="10" ht="12.5" spans="8:12">
      <c r="H10" s="2" t="s">
        <v>660</v>
      </c>
      <c r="I10" s="5">
        <v>2023</v>
      </c>
      <c r="J10" s="5">
        <f t="shared" si="2"/>
        <v>175</v>
      </c>
      <c r="K10" s="4">
        <f t="shared" si="0"/>
        <v>157.5</v>
      </c>
      <c r="L10" s="4">
        <f t="shared" si="1"/>
        <v>175</v>
      </c>
    </row>
    <row r="11" spans="8:12">
      <c r="H11" s="5"/>
      <c r="I11" s="5"/>
      <c r="J11" s="5"/>
      <c r="K11" s="6"/>
      <c r="L11" s="6"/>
    </row>
    <row r="12" spans="8:12">
      <c r="H12" s="7"/>
      <c r="I12" s="7"/>
      <c r="J12" s="7"/>
      <c r="K12" s="6"/>
      <c r="L12" s="6"/>
    </row>
    <row r="16" spans="8:12">
      <c r="H16" s="5"/>
    </row>
    <row r="17" spans="8:12">
      <c r="H17" s="3"/>
      <c r="I17" s="3"/>
      <c r="J17" s="3"/>
    </row>
    <row r="18" spans="8:12">
      <c r="H18" s="5"/>
      <c r="I18" s="5"/>
      <c r="J18" s="5"/>
    </row>
    <row r="19" spans="8:12">
      <c r="H19" s="5"/>
      <c r="I19" s="5"/>
      <c r="J19" s="5"/>
    </row>
    <row r="20" spans="8:12">
      <c r="H20" s="5"/>
      <c r="I20" s="5"/>
      <c r="J20" s="5"/>
    </row>
    <row r="21" spans="8:12">
      <c r="H21" s="5"/>
      <c r="I21" s="5"/>
      <c r="J21" s="5"/>
    </row>
    <row r="22" spans="8:12">
      <c r="H22" s="5"/>
      <c r="I22" s="5"/>
      <c r="J22" s="5"/>
    </row>
    <row r="23" spans="8:12">
      <c r="H23" s="5"/>
      <c r="I23" s="5"/>
      <c r="J23" s="5"/>
    </row>
    <row r="24" spans="8:12">
      <c r="H24" s="5"/>
      <c r="I24" s="5"/>
      <c r="J24" s="5"/>
    </row>
    <row r="25" spans="8:12">
      <c r="H25" s="5"/>
      <c r="I25" s="5"/>
      <c r="J25" s="5"/>
    </row>
    <row r="30" spans="8:12">
      <c r="H30" s="1" t="s">
        <v>52</v>
      </c>
    </row>
    <row r="31" spans="8:12">
      <c r="H31" s="5" t="s">
        <v>66</v>
      </c>
      <c r="I31" s="1" t="s">
        <v>41</v>
      </c>
      <c r="J31" s="1" t="s">
        <v>65</v>
      </c>
      <c r="K31" s="1" t="s">
        <v>11</v>
      </c>
      <c r="L31" s="1" t="s">
        <v>25</v>
      </c>
    </row>
    <row r="32" ht="12.5" spans="8:12">
      <c r="H32" s="2" t="s">
        <v>654</v>
      </c>
      <c r="I32" s="3">
        <v>2030</v>
      </c>
      <c r="J32" s="3">
        <v>154</v>
      </c>
      <c r="K32" s="4">
        <f t="shared" ref="K32:K38" si="3" xml:space="preserve">J32*0.9</f>
        <v>138.6</v>
      </c>
      <c r="L32" s="4">
        <f t="shared" ref="L32:L38" si="4" xml:space="preserve">J32</f>
        <v>154</v>
      </c>
    </row>
    <row r="33" ht="12.5" spans="8:12">
      <c r="H33" s="2" t="s">
        <v>655</v>
      </c>
      <c r="I33" s="5">
        <v>2030</v>
      </c>
      <c r="J33" s="5">
        <f t="shared" ref="J33:J38" si="5" xml:space="preserve">J32</f>
        <v>154</v>
      </c>
      <c r="K33" s="4">
        <f t="shared" si="3"/>
        <v>138.6</v>
      </c>
      <c r="L33" s="4">
        <f t="shared" si="4"/>
        <v>154</v>
      </c>
    </row>
    <row r="34" ht="12.5" spans="8:12">
      <c r="H34" s="2" t="s">
        <v>656</v>
      </c>
      <c r="I34" s="5">
        <v>2030</v>
      </c>
      <c r="J34" s="5">
        <f t="shared" si="5"/>
        <v>154</v>
      </c>
      <c r="K34" s="4">
        <f t="shared" si="3"/>
        <v>138.6</v>
      </c>
      <c r="L34" s="4">
        <f t="shared" si="4"/>
        <v>154</v>
      </c>
    </row>
    <row r="35" ht="12.5" spans="8:12">
      <c r="H35" s="2" t="s">
        <v>657</v>
      </c>
      <c r="I35" s="5">
        <v>2030</v>
      </c>
      <c r="J35" s="5">
        <f t="shared" si="5"/>
        <v>154</v>
      </c>
      <c r="K35" s="4">
        <f t="shared" si="3"/>
        <v>138.6</v>
      </c>
      <c r="L35" s="4">
        <f t="shared" si="4"/>
        <v>154</v>
      </c>
    </row>
    <row r="36" ht="12.5" spans="8:12">
      <c r="H36" s="2" t="s">
        <v>658</v>
      </c>
      <c r="I36" s="5">
        <v>2030</v>
      </c>
      <c r="J36" s="5">
        <f t="shared" si="5"/>
        <v>154</v>
      </c>
      <c r="K36" s="4">
        <f t="shared" si="3"/>
        <v>138.6</v>
      </c>
      <c r="L36" s="4">
        <f t="shared" si="4"/>
        <v>154</v>
      </c>
    </row>
    <row r="37" ht="12.5" spans="8:12">
      <c r="H37" s="2" t="s">
        <v>659</v>
      </c>
      <c r="I37" s="5">
        <v>2030</v>
      </c>
      <c r="J37" s="5">
        <f t="shared" si="5"/>
        <v>154</v>
      </c>
      <c r="K37" s="4">
        <f t="shared" si="3"/>
        <v>138.6</v>
      </c>
      <c r="L37" s="4">
        <f t="shared" si="4"/>
        <v>154</v>
      </c>
    </row>
    <row r="38" ht="12.5" spans="8:12">
      <c r="H38" s="2" t="s">
        <v>660</v>
      </c>
      <c r="I38" s="5">
        <v>2030</v>
      </c>
      <c r="J38" s="5">
        <f t="shared" si="5"/>
        <v>154</v>
      </c>
      <c r="K38" s="4">
        <f t="shared" si="3"/>
        <v>138.6</v>
      </c>
      <c r="L38" s="4">
        <f t="shared" si="4"/>
        <v>154</v>
      </c>
    </row>
    <row r="39" spans="8:12">
      <c r="H39" s="5"/>
      <c r="I39" s="5"/>
      <c r="J39" s="5"/>
    </row>
    <row r="40" spans="8:12">
      <c r="H40" s="5"/>
      <c r="I40" s="5"/>
      <c r="J40" s="5"/>
    </row>
    <row r="45" spans="8:12">
      <c r="H45" s="5"/>
    </row>
    <row r="46" spans="8:12">
      <c r="H46" s="3"/>
      <c r="I46" s="3"/>
      <c r="J46" s="3"/>
    </row>
    <row r="47" spans="8:12">
      <c r="H47" s="5"/>
      <c r="I47" s="5"/>
      <c r="J47" s="5"/>
    </row>
    <row r="48" spans="8:12">
      <c r="H48" s="5"/>
      <c r="I48" s="5"/>
      <c r="J48" s="5"/>
    </row>
    <row r="49" spans="8:12">
      <c r="H49" s="5"/>
      <c r="I49" s="5"/>
      <c r="J49" s="5"/>
    </row>
    <row r="50" spans="8:12">
      <c r="H50" s="5"/>
      <c r="I50" s="5"/>
      <c r="J50" s="5"/>
    </row>
    <row r="51" spans="8:12">
      <c r="H51" s="5"/>
      <c r="I51" s="5"/>
      <c r="J51" s="5"/>
    </row>
    <row r="52" spans="8:12">
      <c r="H52" s="5"/>
      <c r="I52" s="5"/>
      <c r="J52" s="5"/>
    </row>
    <row r="53" spans="8:12">
      <c r="H53" s="5"/>
      <c r="I53" s="5"/>
      <c r="J53" s="5"/>
    </row>
    <row r="54" spans="8:12">
      <c r="H54" s="5"/>
      <c r="I54" s="5"/>
      <c r="J54" s="5"/>
    </row>
    <row r="58" spans="8:12">
      <c r="H58" s="1" t="s">
        <v>52</v>
      </c>
    </row>
    <row r="59" spans="8:12">
      <c r="H59" s="5" t="s">
        <v>66</v>
      </c>
      <c r="I59" s="1" t="s">
        <v>41</v>
      </c>
      <c r="J59" s="1" t="s">
        <v>65</v>
      </c>
      <c r="K59" s="1" t="s">
        <v>11</v>
      </c>
      <c r="L59" s="1" t="s">
        <v>25</v>
      </c>
    </row>
    <row r="60" ht="12.5" spans="8:12">
      <c r="H60" s="2" t="s">
        <v>654</v>
      </c>
      <c r="I60" s="3">
        <v>2040</v>
      </c>
      <c r="J60" s="3">
        <v>144</v>
      </c>
      <c r="K60" s="4">
        <f t="shared" ref="K60:K66" si="6" xml:space="preserve">J60*0.9</f>
        <v>129.6</v>
      </c>
      <c r="L60" s="4">
        <f t="shared" ref="L60:L66" si="7" xml:space="preserve">J60</f>
        <v>144</v>
      </c>
    </row>
    <row r="61" ht="12.5" spans="8:12">
      <c r="H61" s="2" t="s">
        <v>655</v>
      </c>
      <c r="I61" s="5">
        <v>2040</v>
      </c>
      <c r="J61" s="5">
        <f t="shared" ref="J61:J66" si="8" xml:space="preserve">J60</f>
        <v>144</v>
      </c>
      <c r="K61" s="4">
        <f t="shared" si="6"/>
        <v>129.6</v>
      </c>
      <c r="L61" s="4">
        <f t="shared" si="7"/>
        <v>144</v>
      </c>
    </row>
    <row r="62" ht="12.5" spans="8:12">
      <c r="H62" s="2" t="s">
        <v>656</v>
      </c>
      <c r="I62" s="5">
        <v>2040</v>
      </c>
      <c r="J62" s="5">
        <f t="shared" si="8"/>
        <v>144</v>
      </c>
      <c r="K62" s="4">
        <f t="shared" si="6"/>
        <v>129.6</v>
      </c>
      <c r="L62" s="4">
        <f t="shared" si="7"/>
        <v>144</v>
      </c>
    </row>
    <row r="63" ht="12.5" spans="8:12">
      <c r="H63" s="2" t="s">
        <v>657</v>
      </c>
      <c r="I63" s="5">
        <v>2040</v>
      </c>
      <c r="J63" s="5">
        <f t="shared" si="8"/>
        <v>144</v>
      </c>
      <c r="K63" s="4">
        <f t="shared" si="6"/>
        <v>129.6</v>
      </c>
      <c r="L63" s="4">
        <f t="shared" si="7"/>
        <v>144</v>
      </c>
    </row>
    <row r="64" ht="12.5" spans="8:12">
      <c r="H64" s="2" t="s">
        <v>658</v>
      </c>
      <c r="I64" s="5">
        <v>2040</v>
      </c>
      <c r="J64" s="5">
        <f t="shared" si="8"/>
        <v>144</v>
      </c>
      <c r="K64" s="4">
        <f t="shared" si="6"/>
        <v>129.6</v>
      </c>
      <c r="L64" s="4">
        <f t="shared" si="7"/>
        <v>144</v>
      </c>
    </row>
    <row r="65" ht="12.5" spans="8:12">
      <c r="H65" s="2" t="s">
        <v>659</v>
      </c>
      <c r="I65" s="5">
        <v>2040</v>
      </c>
      <c r="J65" s="5">
        <f t="shared" si="8"/>
        <v>144</v>
      </c>
      <c r="K65" s="4">
        <f t="shared" si="6"/>
        <v>129.6</v>
      </c>
      <c r="L65" s="4">
        <f t="shared" si="7"/>
        <v>144</v>
      </c>
    </row>
    <row r="66" ht="12.5" spans="8:12">
      <c r="H66" s="2" t="s">
        <v>660</v>
      </c>
      <c r="I66" s="5">
        <v>2040</v>
      </c>
      <c r="J66" s="5">
        <f t="shared" si="8"/>
        <v>144</v>
      </c>
      <c r="K66" s="4">
        <f t="shared" si="6"/>
        <v>129.6</v>
      </c>
      <c r="L66" s="4">
        <f t="shared" si="7"/>
        <v>144</v>
      </c>
    </row>
    <row r="67" spans="8:12">
      <c r="H67" s="5"/>
      <c r="I67" s="5"/>
      <c r="J67" s="5"/>
    </row>
    <row r="68" spans="8:12">
      <c r="H68" s="5"/>
      <c r="I68" s="5"/>
      <c r="J68" s="5"/>
    </row>
    <row r="75" spans="8:12">
      <c r="H75" s="5"/>
    </row>
    <row r="76" spans="8:12">
      <c r="H76" s="3"/>
      <c r="I76" s="3"/>
      <c r="J76" s="3"/>
    </row>
    <row r="77" spans="8:12">
      <c r="H77" s="5"/>
      <c r="I77" s="5"/>
      <c r="J77" s="5"/>
    </row>
    <row r="78" spans="8:12">
      <c r="H78" s="5"/>
      <c r="I78" s="5"/>
      <c r="J78" s="5"/>
    </row>
    <row r="79" spans="8:12">
      <c r="H79" s="5"/>
      <c r="I79" s="5"/>
      <c r="J79" s="5"/>
    </row>
    <row r="80" spans="8:12">
      <c r="H80" s="5"/>
      <c r="I80" s="5"/>
      <c r="J80" s="5"/>
    </row>
    <row r="81" spans="8:12">
      <c r="H81" s="5"/>
      <c r="I81" s="5"/>
      <c r="J81" s="5"/>
    </row>
    <row r="82" spans="8:12">
      <c r="H82" s="5"/>
      <c r="I82" s="5"/>
      <c r="J82" s="5"/>
    </row>
    <row r="83" spans="8:12">
      <c r="H83" s="5"/>
      <c r="I83" s="5"/>
      <c r="J83" s="5"/>
    </row>
    <row r="84" spans="8:12">
      <c r="H84" s="5"/>
      <c r="I84" s="5"/>
      <c r="J84" s="5"/>
    </row>
    <row r="87" spans="8:12">
      <c r="H87" s="1" t="s">
        <v>52</v>
      </c>
    </row>
    <row r="88" spans="8:12">
      <c r="H88" s="5" t="s">
        <v>66</v>
      </c>
      <c r="I88" s="1" t="s">
        <v>41</v>
      </c>
      <c r="J88" s="1" t="s">
        <v>65</v>
      </c>
      <c r="K88" s="1" t="s">
        <v>11</v>
      </c>
      <c r="L88" s="1" t="s">
        <v>25</v>
      </c>
    </row>
    <row r="89" ht="12.5" spans="8:12">
      <c r="H89" s="2" t="s">
        <v>654</v>
      </c>
      <c r="I89" s="3">
        <v>2050</v>
      </c>
      <c r="J89" s="3">
        <v>132</v>
      </c>
      <c r="K89" s="4">
        <f t="shared" ref="K89:K95" si="9" xml:space="preserve">J89*0.9</f>
        <v>118.8</v>
      </c>
      <c r="L89" s="4">
        <f t="shared" ref="L89:L95" si="10" xml:space="preserve">J89</f>
        <v>132</v>
      </c>
    </row>
    <row r="90" ht="12.5" spans="8:12">
      <c r="H90" s="2" t="s">
        <v>655</v>
      </c>
      <c r="I90" s="5">
        <v>2050</v>
      </c>
      <c r="J90" s="5">
        <f t="shared" ref="J90:J95" si="11" xml:space="preserve">J89</f>
        <v>132</v>
      </c>
      <c r="K90" s="4">
        <f t="shared" si="9"/>
        <v>118.8</v>
      </c>
      <c r="L90" s="4">
        <f t="shared" si="10"/>
        <v>132</v>
      </c>
    </row>
    <row r="91" ht="12.5" spans="8:12">
      <c r="H91" s="2" t="s">
        <v>656</v>
      </c>
      <c r="I91" s="5">
        <v>2050</v>
      </c>
      <c r="J91" s="5">
        <f t="shared" si="11"/>
        <v>132</v>
      </c>
      <c r="K91" s="4">
        <f t="shared" si="9"/>
        <v>118.8</v>
      </c>
      <c r="L91" s="4">
        <f t="shared" si="10"/>
        <v>132</v>
      </c>
    </row>
    <row r="92" ht="12.5" spans="8:12">
      <c r="H92" s="2" t="s">
        <v>657</v>
      </c>
      <c r="I92" s="5">
        <v>2050</v>
      </c>
      <c r="J92" s="5">
        <f t="shared" si="11"/>
        <v>132</v>
      </c>
      <c r="K92" s="4">
        <f t="shared" si="9"/>
        <v>118.8</v>
      </c>
      <c r="L92" s="4">
        <f t="shared" si="10"/>
        <v>132</v>
      </c>
    </row>
    <row r="93" ht="12.5" spans="8:12">
      <c r="H93" s="2" t="s">
        <v>658</v>
      </c>
      <c r="I93" s="5">
        <v>2050</v>
      </c>
      <c r="J93" s="5">
        <f t="shared" si="11"/>
        <v>132</v>
      </c>
      <c r="K93" s="4">
        <f t="shared" si="9"/>
        <v>118.8</v>
      </c>
      <c r="L93" s="4">
        <f t="shared" si="10"/>
        <v>132</v>
      </c>
    </row>
    <row r="94" ht="12.5" spans="8:12">
      <c r="H94" s="2" t="s">
        <v>659</v>
      </c>
      <c r="I94" s="5">
        <v>2050</v>
      </c>
      <c r="J94" s="5">
        <f t="shared" si="11"/>
        <v>132</v>
      </c>
      <c r="K94" s="4">
        <f t="shared" si="9"/>
        <v>118.8</v>
      </c>
      <c r="L94" s="4">
        <f t="shared" si="10"/>
        <v>132</v>
      </c>
    </row>
    <row r="95" ht="12.5" spans="8:12">
      <c r="H95" s="2" t="s">
        <v>660</v>
      </c>
      <c r="I95" s="5">
        <v>2050</v>
      </c>
      <c r="J95" s="5">
        <f t="shared" si="11"/>
        <v>132</v>
      </c>
      <c r="K95" s="4">
        <f t="shared" si="9"/>
        <v>118.8</v>
      </c>
      <c r="L95" s="4">
        <f t="shared" si="10"/>
        <v>132</v>
      </c>
    </row>
    <row r="96" spans="8:12">
      <c r="H96" s="5"/>
      <c r="I96" s="5"/>
      <c r="J96" s="5"/>
    </row>
    <row r="97" spans="8:12">
      <c r="H97" s="5"/>
      <c r="I97" s="5"/>
      <c r="J97" s="5"/>
    </row>
    <row r="101" spans="8:12">
      <c r="H101" s="1" t="s">
        <v>52</v>
      </c>
    </row>
    <row r="102" spans="8:12">
      <c r="H102" s="5" t="s">
        <v>66</v>
      </c>
      <c r="I102" s="1" t="s">
        <v>41</v>
      </c>
      <c r="J102" s="1" t="s">
        <v>65</v>
      </c>
      <c r="K102" s="1" t="s">
        <v>11</v>
      </c>
      <c r="L102" s="1" t="s">
        <v>25</v>
      </c>
    </row>
    <row r="103" ht="12.5" spans="8:12">
      <c r="H103" s="2" t="s">
        <v>654</v>
      </c>
      <c r="I103" s="3">
        <v>2100</v>
      </c>
      <c r="J103" s="3">
        <f xml:space="preserve">J89*0.8</f>
        <v>105.6</v>
      </c>
      <c r="K103" s="4">
        <f t="shared" ref="K103:K109" si="12" xml:space="preserve">J103*0.9</f>
        <v>95.04</v>
      </c>
      <c r="L103" s="4">
        <f t="shared" ref="L103:L109" si="13" xml:space="preserve">J103</f>
        <v>105.6</v>
      </c>
    </row>
    <row r="104" ht="12.5" spans="8:12">
      <c r="H104" s="2" t="s">
        <v>655</v>
      </c>
      <c r="I104" s="5">
        <v>2100</v>
      </c>
      <c r="J104" s="5">
        <f t="shared" ref="J104:J109" si="14" xml:space="preserve">J103</f>
        <v>105.6</v>
      </c>
      <c r="K104" s="4">
        <f t="shared" si="12"/>
        <v>95.04</v>
      </c>
      <c r="L104" s="4">
        <f t="shared" si="13"/>
        <v>105.6</v>
      </c>
    </row>
    <row r="105" ht="12.5" spans="8:12">
      <c r="H105" s="2" t="s">
        <v>656</v>
      </c>
      <c r="I105" s="3">
        <v>2100</v>
      </c>
      <c r="J105" s="5">
        <f t="shared" si="14"/>
        <v>105.6</v>
      </c>
      <c r="K105" s="4">
        <f t="shared" si="12"/>
        <v>95.04</v>
      </c>
      <c r="L105" s="4">
        <f t="shared" si="13"/>
        <v>105.6</v>
      </c>
    </row>
    <row r="106" ht="12.5" spans="8:12">
      <c r="H106" s="2" t="s">
        <v>657</v>
      </c>
      <c r="I106" s="5">
        <v>2100</v>
      </c>
      <c r="J106" s="5">
        <f t="shared" si="14"/>
        <v>105.6</v>
      </c>
      <c r="K106" s="4">
        <f t="shared" si="12"/>
        <v>95.04</v>
      </c>
      <c r="L106" s="4">
        <f t="shared" si="13"/>
        <v>105.6</v>
      </c>
    </row>
    <row r="107" ht="12.5" spans="8:12">
      <c r="H107" s="2" t="s">
        <v>658</v>
      </c>
      <c r="I107" s="3">
        <v>2100</v>
      </c>
      <c r="J107" s="5">
        <f t="shared" si="14"/>
        <v>105.6</v>
      </c>
      <c r="K107" s="4">
        <f t="shared" si="12"/>
        <v>95.04</v>
      </c>
      <c r="L107" s="4">
        <f t="shared" si="13"/>
        <v>105.6</v>
      </c>
    </row>
    <row r="108" ht="12.5" spans="8:12">
      <c r="H108" s="2" t="s">
        <v>659</v>
      </c>
      <c r="I108" s="5">
        <v>2100</v>
      </c>
      <c r="J108" s="5">
        <f t="shared" si="14"/>
        <v>105.6</v>
      </c>
      <c r="K108" s="4">
        <f t="shared" si="12"/>
        <v>95.04</v>
      </c>
      <c r="L108" s="4">
        <f t="shared" si="13"/>
        <v>105.6</v>
      </c>
    </row>
    <row r="109" ht="12.5" spans="8:12">
      <c r="H109" s="2" t="s">
        <v>660</v>
      </c>
      <c r="I109" s="3">
        <v>2100</v>
      </c>
      <c r="J109" s="5">
        <f t="shared" si="14"/>
        <v>105.6</v>
      </c>
      <c r="K109" s="4">
        <f t="shared" si="12"/>
        <v>95.04</v>
      </c>
      <c r="L109" s="4">
        <f t="shared" si="13"/>
        <v>105.6</v>
      </c>
    </row>
    <row r="110" spans="8:12">
      <c r="H110" s="5"/>
      <c r="I110" s="5"/>
      <c r="J110" s="5"/>
    </row>
    <row r="111" spans="8:12">
      <c r="H111" s="5"/>
      <c r="I111" s="5"/>
      <c r="J111" s="5"/>
    </row>
    <row r="112" spans="8:12">
      <c r="H112" s="5"/>
      <c r="I112" s="5"/>
      <c r="J112" s="5"/>
    </row>
    <row r="113" spans="8:12">
      <c r="H113" s="5"/>
      <c r="I113" s="5"/>
      <c r="J113" s="5"/>
    </row>
    <row r="118" spans="8:12">
      <c r="H118" s="1" t="s">
        <v>52</v>
      </c>
    </row>
    <row r="119" spans="8:12">
      <c r="H119" s="1" t="s">
        <v>66</v>
      </c>
      <c r="I119" s="1" t="s">
        <v>41</v>
      </c>
      <c r="J119" s="1" t="s">
        <v>65</v>
      </c>
      <c r="K119" s="1" t="s">
        <v>11</v>
      </c>
      <c r="L119" s="1" t="s">
        <v>25</v>
      </c>
    </row>
    <row r="120" spans="8:12">
      <c r="H120" s="2" t="s">
        <v>654</v>
      </c>
      <c r="I120" s="1">
        <v>0</v>
      </c>
      <c r="J120" s="1">
        <v>3</v>
      </c>
      <c r="K120" s="1">
        <v>3</v>
      </c>
      <c r="L120" s="1">
        <v>3</v>
      </c>
    </row>
    <row r="121" spans="8:12">
      <c r="H121" s="2" t="s">
        <v>655</v>
      </c>
      <c r="I121" s="1">
        <v>0</v>
      </c>
      <c r="J121" s="1">
        <v>3</v>
      </c>
      <c r="K121" s="1">
        <v>3</v>
      </c>
      <c r="L121" s="1">
        <v>3</v>
      </c>
    </row>
    <row r="122" spans="8:12">
      <c r="H122" s="2" t="s">
        <v>656</v>
      </c>
      <c r="I122" s="1">
        <v>0</v>
      </c>
      <c r="J122" s="1">
        <v>3</v>
      </c>
      <c r="K122" s="1">
        <v>3</v>
      </c>
      <c r="L122" s="1">
        <v>3</v>
      </c>
    </row>
    <row r="123" spans="8:12">
      <c r="H123" s="2" t="s">
        <v>657</v>
      </c>
      <c r="I123" s="1">
        <v>0</v>
      </c>
      <c r="J123" s="1">
        <v>3</v>
      </c>
      <c r="K123" s="1">
        <v>3</v>
      </c>
      <c r="L123" s="1">
        <v>3</v>
      </c>
    </row>
    <row r="124" spans="8:12">
      <c r="H124" s="2" t="s">
        <v>658</v>
      </c>
      <c r="I124" s="1">
        <v>0</v>
      </c>
      <c r="J124" s="1">
        <v>3</v>
      </c>
      <c r="K124" s="1">
        <v>3</v>
      </c>
      <c r="L124" s="1">
        <v>3</v>
      </c>
    </row>
    <row r="125" spans="8:12">
      <c r="H125" s="2" t="s">
        <v>659</v>
      </c>
      <c r="I125" s="1">
        <v>0</v>
      </c>
      <c r="J125" s="1">
        <v>3</v>
      </c>
      <c r="K125" s="1">
        <v>3</v>
      </c>
      <c r="L125" s="1">
        <v>3</v>
      </c>
    </row>
    <row r="126" spans="8:12">
      <c r="H126" s="2" t="s">
        <v>660</v>
      </c>
      <c r="I126" s="1">
        <v>0</v>
      </c>
      <c r="J126" s="1">
        <v>3</v>
      </c>
      <c r="K126" s="1">
        <v>3</v>
      </c>
      <c r="L126" s="1">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Dell Computer Corporation</Company>
  <Application>Microsoft Excel</Application>
  <HeadingPairs>
    <vt:vector size="2" baseType="variant">
      <vt:variant>
        <vt:lpstr>工作表</vt:lpstr>
      </vt:variant>
      <vt:variant>
        <vt:i4>14</vt:i4>
      </vt:variant>
    </vt:vector>
  </HeadingPairs>
  <TitlesOfParts>
    <vt:vector size="14" baseType="lpstr">
      <vt:lpstr>TechSelection</vt:lpstr>
      <vt:lpstr>InvCost_for_packManufacturing</vt:lpstr>
      <vt:lpstr>Revised__InvCost</vt:lpstr>
      <vt:lpstr>Road transport</vt:lpstr>
      <vt:lpstr>RoadTra_BY</vt:lpstr>
      <vt:lpstr>added_EnergyUse_for_Manu</vt:lpstr>
      <vt:lpstr>added_energyUse_for_US_1.0</vt:lpstr>
      <vt:lpstr>added_energyUse_for_CN_1.0</vt:lpstr>
      <vt:lpstr>Move_from_SceDemandProj</vt:lpstr>
      <vt:lpstr>Attached_sourcedAlumina_and</vt:lpstr>
      <vt:lpstr>EVehicleCAPEX-CNCheap</vt:lpstr>
      <vt:lpstr>Storage_trans</vt:lpstr>
      <vt:lpstr>Update_EV_COST</vt:lpstr>
      <vt:lpstr>Rep_CAPEX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xli9</cp:lastModifiedBy>
  <dcterms:created xsi:type="dcterms:W3CDTF">2001-09-28T18:48:00Z</dcterms:created>
  <cp:lastPrinted>2001-09-28T20:39:00Z</cp:lastPrinted>
  <dcterms:modified xsi:type="dcterms:W3CDTF">2026-10-17T15:48:54Z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{EB3971F8-0E88-4138-9B5F-5661BAE86EB6}</vt:lpwstr>
  </property>
  <property fmtid="{D5CDD505-2E9C-101B-9397-08002B2CF9AE}" pid="3" name="SaveCode">
    <vt:r8>471264078594048</vt:r8>
  </property>
  <property fmtid="{D5CDD505-2E9C-101B-9397-08002B2CF9AE}" pid="4" name="ICV">
    <vt:lpwstr>45D5F3D94C4940779DA6D9ECCC51C81A_12</vt:lpwstr>
  </property>
  <property fmtid="{D5CDD505-2E9C-101B-9397-08002B2CF9AE}" pid="5" name="KSOProductBuildVer">
    <vt:lpwstr>1033-12.1.0.29162</vt:lpwstr>
  </property>
  <property fmtid="{D5CDD505-2E9C-101B-9397-08002B2CF9AE}" pid="6" name="CalculationRule">
    <vt:i4>0</vt:i4>
  </property>
</Properties>
</file>