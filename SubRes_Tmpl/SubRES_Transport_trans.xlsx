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7" documentId="11_081E73495454265F38DBFCC5BA03730E6417A2E3" xr6:coauthVersionLast="47" xr6:coauthVersionMax="47" xr10:uidLastSave="{053BB098-F77C-4460-9163-B6E4EF3800EA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6" i="25" l="1"/>
  <c r="E137" i="25" s="1"/>
  <c r="E138" i="25" s="1"/>
  <c r="E139" i="25" s="1"/>
  <c r="E140" i="25" s="1"/>
  <c r="E141" i="25" s="1"/>
  <c r="E142" i="25" s="1"/>
  <c r="E143" i="25" s="1"/>
  <c r="E144" i="25" s="1"/>
  <c r="E145" i="25" s="1"/>
  <c r="E146" i="25" s="1"/>
  <c r="E147" i="25" s="1"/>
  <c r="E148" i="25" s="1"/>
  <c r="E149" i="25" s="1"/>
  <c r="E150" i="25" s="1"/>
  <c r="E151" i="25" s="1"/>
  <c r="E152" i="25" s="1"/>
  <c r="E153" i="25" s="1"/>
  <c r="E154" i="25" s="1"/>
  <c r="E135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X69" i="25"/>
  <c r="W69" i="25"/>
  <c r="V69" i="25"/>
  <c r="U69" i="25"/>
  <c r="T69" i="25"/>
  <c r="S69" i="25"/>
  <c r="R69" i="25"/>
  <c r="Q69" i="25"/>
  <c r="P69" i="25"/>
  <c r="O69" i="25"/>
  <c r="N69" i="25"/>
  <c r="L69" i="25"/>
  <c r="K69" i="25"/>
  <c r="J69" i="25"/>
  <c r="I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<sst xmlns="http://schemas.openxmlformats.org/spreadsheetml/2006/main" count="1214" uniqueCount="192">
  <si>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</si>
  <si>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</si>
  <si>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</si>
  <si>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</si>
  <si>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</si>
  <si>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</si>
  <si>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</si>
  <si>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</si>
  <si>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</si>
  <si>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</si>
  <si>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</si>
  <si>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</si>
  <si>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</si>
  <si>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</si>
  <si>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</si>
  <si>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</si>
  <si>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</si>
  <si>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</si>
  <si>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</si>
  <si>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</si>
  <si>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</si>
  <si>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</si>
  <si>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</si>
  <si>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</si>
  <si>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</si>
  <si>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</si>
  <si>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</si>
  <si>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</si>
  <si>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</si>
  <si>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</si>
  <si>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</si>
  <si>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</si>
  <si>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</si>
  <si>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</si>
  <si>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</si>
  <si>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</si>
  <si>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</si>
  <si>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</si>
  <si>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</si>
  <si>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</si>
  <si>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</si>
  <si>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</si>
  <si>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</si>
  <si>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</si>
  <si>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</si>
  <si>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</si>
  <si>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</si>
  <si>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</si>
  <si>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</si>
  <si>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</si>
  <si>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</si>
  <si>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</si>
  <si>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</si>
  <si>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</si>
  <si>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</si>
  <si>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</si>
  <si>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</si>
  <si>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</si>
  <si>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</si>
  <si>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</si>
  <si>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</si>
  <si>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</si>
  <si>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</si>
  <si>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</si>
  <si>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</si>
  <si>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</si>
  <si>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</si>
  <si>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</si>
  <si>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</si>
  <si>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</si>
  <si>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</si>
  <si>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</si>
  <si>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</si>
  <si>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</si>
  <si>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</si>
  <si>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</si>
  <si>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</si>
  <si>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</si>
  <si>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</si>
  <si>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</si>
  <si>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</si>
  <si>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</si>
  <si>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</si>
  <si>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</si>
  <si>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</si>
  <si>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</si>
  <si>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</si>
  <si>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</si>
  <si>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</si>
  <si>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</si>
  <si>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</si>
  <si>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</si>
  <si>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</si>
  <si>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</si>
  <si>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</si>
  <si>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</si>
  <si>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</si>
  <si>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</si>
  <si>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</si>
  <si>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</si>
  <si>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</si>
  <si>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</si>
  <si>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</si>
  <si>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</si>
  <si>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</si>
  <si>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</si>
  <si>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</si>
  <si>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</si>
  <si>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</si>
  <si>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</si>
  <si>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</si>
  <si>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</si>
  <si>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</si>
  <si>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</si>
  <si>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</si>
  <si>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</si>
  <si>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</si>
  <si>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</si>
  <si>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</si>
  <si>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</si>
  <si>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</si>
  <si>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</si>
  <si>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</si>
  <si>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</si>
  <si>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</si>
  <si>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</si>
  <si>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</si>
  <si>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</si>
  <si>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</si>
  <si>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</si>
  <si>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</si>
  <si>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</si>
  <si>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</si>
  <si>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</si>
  <si>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</si>
  <si>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</si>
  <si>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</si>
  <si>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</si>
  <si>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</si>
  <si>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</si>
  <si>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</si>
  <si>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</si>
  <si>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</si>
  <si>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</si>
  <si>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</si>
  <si>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</si>
  <si>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</si>
  <si>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</si>
  <si>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</si>
  <si>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</si>
  <si>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</si>
  <si>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</si>
  <si>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</si>
  <si>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</si>
  <si>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</si>
  <si>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</si>
  <si>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</si>
  <si>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</si>
  <si>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</si>
  <si>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</si>
  <si>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</si>
  <si>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</si>
  <si>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</si>
  <si>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</si>
  <si>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</si>
  <si>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</si>
  <si>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</si>
  <si>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</si>
  <si>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</si>
  <si>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</si>
  <si>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</si>
  <si>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</si>
  <si>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</si>
  <si>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</si>
  <si>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</si>
  <si>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</si>
  <si>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</si>
  <si>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</si>
  <si>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</si>
  <si>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</si>
  <si>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</si>
  <si>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</si>
  <si>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</si>
  <si>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</si>
  <si>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</si>
  <si>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</si>
  <si>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</si>
  <si>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</si>
  <si>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</si>
  <si>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</si>
  <si>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ACT_COST</t>
  </si>
  <si>
    <t>NCAP_COST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</si>
</sst>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10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206518753624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0" fillId="0" borderId="0"/>
    <xf numFmtId="0" fontId="10" fillId="0" borderId="0"/>
    <xf numFmtId="0" fontId="10" fillId="0" borderId="0"/>
  </cellStyleXfs>
  <cellXfs count="34">
    <xf numFmtId="0" fontId="0" fillId="0" borderId="0" xfId="0"/>
    <xf numFmtId="0" fontId="10" fillId="2" borderId="0" xfId="1" applyFill="1"/>
    <xf numFmtId="0" fontId="0" fillId="2" borderId="0" xfId="0" applyFill="1"/>
    <xf numFmtId="0" fontId="0" fillId="3" borderId="0" xfId="0" applyFill="1"/>
    <xf numFmtId="0" fontId="10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4" borderId="0" xfId="0" applyFill="1"/>
    <xf numFmtId="0" fontId="10" fillId="4" borderId="0" xfId="1" applyFill="1"/>
    <xf numFmtId="0" fontId="3" fillId="4" borderId="0" xfId="0" applyFont="1" applyFill="1"/>
    <xf numFmtId="0" fontId="3" fillId="3" borderId="0" xfId="0" applyFont="1" applyFill="1"/>
    <xf numFmtId="0" fontId="10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0" fillId="6" borderId="1" xfId="1" applyFill="1" applyBorder="1"/>
    <xf numFmtId="165" fontId="10" fillId="6" borderId="1" xfId="1" applyNumberFormat="1" applyFill="1" applyBorder="1"/>
    <xf numFmtId="0" fontId="10" fillId="6" borderId="2" xfId="1" applyFill="1" applyBorder="1"/>
    <xf numFmtId="0" fontId="6" fillId="2" borderId="0" xfId="0" applyFont="1" applyFill="1"/>
    <xf numFmtId="0" fontId="7" fillId="2" borderId="0" xfId="0" applyFont="1" applyFill="1"/>
    <xf numFmtId="0" fontId="10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0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0" borderId="0" xfId="0" applyFill="1" applyBorder="1"/>
    <xf numFmtId="0" fontId="10" fillId="0" borderId="0" xfId="1" applyFill="1" applyBorder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30" customWidth="1"/>
    <col min="2" max="2" width="8.81640625" style="30" customWidth="1"/>
    <col min="3" max="3" width="4.7265625" style="30" customWidth="1"/>
    <col min="4" max="4" width="8.81640625" style="30" customWidth="1"/>
    <col min="5" max="5" width="4.36328125" style="30" customWidth="1"/>
    <col min="6" max="6" width="4.26953125" style="30" customWidth="1"/>
    <col min="7" max="7" width="4.36328125" style="30" customWidth="1"/>
    <col min="8" max="8" width="4.6328125" style="30" customWidth="1"/>
    <col min="9" max="9" width="4" style="30" customWidth="1"/>
    <col min="10" max="10" width="4.36328125" style="30" customWidth="1"/>
    <col min="11" max="11" width="4.6328125" style="30" customWidth="1"/>
    <col min="12" max="12" width="4.36328125" style="30" customWidth="1"/>
    <col min="13" max="13" width="4" style="30" customWidth="1"/>
    <col min="14" max="14" width="4.26953125" style="30" customWidth="1"/>
    <col min="15" max="16" width="4.36328125" style="30" customWidth="1"/>
    <col min="17" max="18" width="4.6328125" style="30" customWidth="1"/>
    <col min="19" max="19" width="4.36328125" style="30" customWidth="1"/>
    <col min="20" max="20" width="5" style="30" customWidth="1"/>
    <col min="21" max="21" width="11.7265625" style="30" customWidth="1"/>
    <col min="22" max="22" width="10.7265625" style="30" customWidth="1"/>
    <col min="23" max="23" width="13.08984375" style="30" customWidth="1"/>
    <col min="24" max="259" width="11.36328125" style="30" customWidth="1"/>
    <col min="260" max="16384" width="9.08984375" style="30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60"/>
  <sheetViews>
    <sheetView tabSelected="1" topLeftCell="A102" zoomScale="45" zoomScaleNormal="45" workbookViewId="0">
      <selection activeCell="M146" sqref="M146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5" t="s">
        <v>39</v>
      </c>
      <c r="C2" s="5"/>
      <c r="D2" s="5"/>
      <c r="E2" s="5"/>
      <c r="K2" t="s">
        <v>40</v>
      </c>
    </row>
    <row r="3" spans="2:23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3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31" t="s">
        <v>92</v>
      </c>
      <c r="C18">
        <v>0.2</v>
      </c>
      <c r="D18">
        <v>3</v>
      </c>
      <c r="E18" s="31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8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31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1:106" s="2" customFormat="1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125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1:106" s="2" customFormat="1" ht="14.5">
      <c r="B67" s="11" t="s">
        <v>126</v>
      </c>
      <c r="C67" s="9" t="s">
        <v>68</v>
      </c>
      <c r="D67" s="10" t="s">
        <v>127</v>
      </c>
      <c r="E67" s="10" t="s">
        <v>128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126</v>
      </c>
      <c r="CX67" t="s">
        <v>68</v>
      </c>
      <c r="CY67" s="4" t="s">
        <v>127</v>
      </c>
      <c r="CZ67" s="4" t="s">
        <v>128</v>
      </c>
      <c r="DA67" s="29">
        <v>0</v>
      </c>
      <c r="DB67" s="29">
        <v>5</v>
      </c>
    </row>
    <row r="68" spans="1:106" s="2" customFormat="1" ht="14.5">
      <c r="B68" s="11" t="s">
        <v>126</v>
      </c>
      <c r="C68" s="9" t="s">
        <v>68</v>
      </c>
      <c r="D68" s="10" t="s">
        <v>127</v>
      </c>
      <c r="E68" s="10" t="s">
        <v>129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126</v>
      </c>
      <c r="CX68" t="s">
        <v>68</v>
      </c>
      <c r="CY68" s="4" t="s">
        <v>127</v>
      </c>
      <c r="CZ68" s="4" t="s">
        <v>129</v>
      </c>
      <c r="DA68" s="29">
        <v>0</v>
      </c>
      <c r="DB68" s="29">
        <v>5</v>
      </c>
    </row>
    <row r="69" spans="1:106" s="3" customFormat="1" ht="14.5">
      <c r="B69" s="12" t="s">
        <v>126</v>
      </c>
      <c r="C69" s="3" t="s">
        <v>68</v>
      </c>
      <c r="D69" s="13" t="s">
        <v>127</v>
      </c>
      <c r="E69" s="13" t="s">
        <v>130</v>
      </c>
      <c r="F69" s="14">
        <v>0</v>
      </c>
      <c r="G69" s="14">
        <f>E79/10000</f>
        <v>410</v>
      </c>
      <c r="H69" s="14">
        <v>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>J79/10000</f>
        <v>0</v>
      </c>
      <c r="M69" s="14">
        <v>0</v>
      </c>
      <c r="N69" s="14">
        <f t="shared" ref="N69:X69" si="7">L79/10000</f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126</v>
      </c>
      <c r="CX69" s="3" t="s">
        <v>68</v>
      </c>
      <c r="CY69" s="13" t="s">
        <v>127</v>
      </c>
      <c r="CZ69" s="13" t="s">
        <v>130</v>
      </c>
      <c r="DA69" s="25">
        <v>0</v>
      </c>
      <c r="DB69" s="25">
        <v>5</v>
      </c>
    </row>
    <row r="70" spans="1:106" s="2" customFormat="1" ht="14.5">
      <c r="B70" s="11" t="s">
        <v>126</v>
      </c>
      <c r="C70" s="9" t="s">
        <v>68</v>
      </c>
      <c r="D70" s="10" t="s">
        <v>127</v>
      </c>
      <c r="E70" s="15" t="s">
        <v>131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126</v>
      </c>
      <c r="CX70" t="s">
        <v>68</v>
      </c>
      <c r="CY70" s="4" t="s">
        <v>127</v>
      </c>
      <c r="CZ70" s="28" t="s">
        <v>131</v>
      </c>
      <c r="DA70" s="29">
        <v>0</v>
      </c>
      <c r="DB70" s="29">
        <v>5</v>
      </c>
    </row>
    <row r="71" spans="1:106" s="2" customFormat="1" ht="14.5">
      <c r="B71" s="11" t="s">
        <v>126</v>
      </c>
      <c r="C71" s="9" t="s">
        <v>68</v>
      </c>
      <c r="D71" s="10" t="s">
        <v>127</v>
      </c>
      <c r="E71" s="10" t="s">
        <v>132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126</v>
      </c>
      <c r="CX71" t="s">
        <v>68</v>
      </c>
      <c r="CY71" s="4" t="s">
        <v>127</v>
      </c>
      <c r="CZ71" s="4" t="s">
        <v>132</v>
      </c>
      <c r="DA71" s="29">
        <v>0</v>
      </c>
      <c r="DB71" s="29">
        <v>5</v>
      </c>
    </row>
    <row r="72" spans="1:106" s="2" customFormat="1" ht="14.5">
      <c r="B72" s="11" t="s">
        <v>126</v>
      </c>
      <c r="C72" s="9" t="s">
        <v>68</v>
      </c>
      <c r="D72" s="10" t="s">
        <v>127</v>
      </c>
      <c r="E72" s="10" t="s">
        <v>133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126</v>
      </c>
      <c r="CX72" t="s">
        <v>68</v>
      </c>
      <c r="CY72" s="4" t="s">
        <v>127</v>
      </c>
      <c r="CZ72" s="4" t="s">
        <v>133</v>
      </c>
      <c r="DA72" s="29">
        <v>0</v>
      </c>
      <c r="DB72" s="29">
        <v>5</v>
      </c>
    </row>
    <row r="73" spans="1:106" s="1" customFormat="1" ht="14.5">
      <c r="A73" s="2"/>
      <c r="B73" s="11" t="s">
        <v>126</v>
      </c>
      <c r="C73" s="9" t="s">
        <v>68</v>
      </c>
      <c r="D73" s="10" t="s">
        <v>127</v>
      </c>
      <c r="E73" s="10" t="s">
        <v>134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126</v>
      </c>
      <c r="CX73" t="s">
        <v>68</v>
      </c>
      <c r="CY73" s="4" t="s">
        <v>127</v>
      </c>
      <c r="CZ73" s="4" t="s">
        <v>134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135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136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190</v>
      </c>
      <c r="D104" s="18" t="s">
        <v>137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190</v>
      </c>
      <c r="N104" s="18" t="s">
        <v>137</v>
      </c>
      <c r="O104" s="18">
        <f>E104*0.313</f>
        <v>2.2266331624662201</v>
      </c>
      <c r="P104" s="18">
        <f>F104*0.313</f>
        <v>1.6907629386882801</v>
      </c>
      <c r="Q104" s="18">
        <f>G104*0.313</f>
        <v>2.77174252962417</v>
      </c>
      <c r="X104">
        <v>0</v>
      </c>
      <c r="Y104" s="4" t="s">
        <v>190</v>
      </c>
      <c r="Z104" s="18" t="s">
        <v>137</v>
      </c>
      <c r="AA104" s="18">
        <v>5</v>
      </c>
      <c r="AB104" s="18">
        <v>5</v>
      </c>
      <c r="AC104" s="18">
        <v>5</v>
      </c>
    </row>
    <row r="105" spans="3:29">
      <c r="C105" s="4" t="s">
        <v>190</v>
      </c>
      <c r="D105" s="18" t="s">
        <v>138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190</v>
      </c>
      <c r="N105" s="18" t="s">
        <v>138</v>
      </c>
      <c r="O105" s="18">
        <f t="shared" ref="O105:O124" si="12">E105*0.313</f>
        <v>2.2266331624662201</v>
      </c>
      <c r="P105" s="18">
        <f t="shared" ref="P105:P124" si="13">F105*0.313</f>
        <v>1.6907629386882801</v>
      </c>
      <c r="Q105" s="18">
        <f t="shared" ref="Q105:Q124" si="14">G105*0.313</f>
        <v>2.77174252962417</v>
      </c>
      <c r="X105">
        <v>0</v>
      </c>
      <c r="Y105" s="4" t="s">
        <v>190</v>
      </c>
      <c r="Z105" s="18" t="s">
        <v>138</v>
      </c>
      <c r="AA105" s="18">
        <v>5</v>
      </c>
      <c r="AB105" s="18">
        <v>5</v>
      </c>
      <c r="AC105" s="18">
        <v>5</v>
      </c>
    </row>
    <row r="106" spans="3:29">
      <c r="C106" s="4" t="s">
        <v>190</v>
      </c>
      <c r="D106" s="18" t="s">
        <v>139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190</v>
      </c>
      <c r="N106" s="18" t="s">
        <v>139</v>
      </c>
      <c r="O106" s="18">
        <f t="shared" si="12"/>
        <v>2.3881131454679401</v>
      </c>
      <c r="P106" s="18">
        <f t="shared" si="13"/>
        <v>1.81338051569639</v>
      </c>
      <c r="Q106" s="18">
        <f t="shared" si="14"/>
        <v>2.9727549585114201</v>
      </c>
      <c r="X106">
        <v>0</v>
      </c>
      <c r="Y106" s="4" t="s">
        <v>190</v>
      </c>
      <c r="Z106" s="18" t="s">
        <v>139</v>
      </c>
      <c r="AA106" s="18">
        <v>5</v>
      </c>
      <c r="AB106" s="18">
        <v>5</v>
      </c>
      <c r="AC106" s="18">
        <v>5</v>
      </c>
    </row>
    <row r="107" spans="3:29">
      <c r="C107" s="4" t="s">
        <v>190</v>
      </c>
      <c r="D107" s="18" t="s">
        <v>140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190</v>
      </c>
      <c r="N107" s="18" t="s">
        <v>140</v>
      </c>
      <c r="O107" s="18">
        <f t="shared" si="12"/>
        <v>2.3384138660280001</v>
      </c>
      <c r="P107" s="18">
        <f t="shared" si="13"/>
        <v>1.77564205725866</v>
      </c>
      <c r="Q107" s="18">
        <f t="shared" si="14"/>
        <v>2.9108886286661799</v>
      </c>
      <c r="X107">
        <v>0</v>
      </c>
      <c r="Y107" s="4" t="s">
        <v>190</v>
      </c>
      <c r="Z107" s="18" t="s">
        <v>140</v>
      </c>
      <c r="AA107" s="18">
        <v>5</v>
      </c>
      <c r="AB107" s="18">
        <v>5</v>
      </c>
      <c r="AC107" s="18">
        <v>5</v>
      </c>
    </row>
    <row r="108" spans="3:29">
      <c r="C108" s="4" t="s">
        <v>190</v>
      </c>
      <c r="D108" s="18" t="s">
        <v>141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190</v>
      </c>
      <c r="N108" s="18" t="s">
        <v>141</v>
      </c>
      <c r="O108" s="18">
        <f t="shared" si="12"/>
        <v>2.3526442176615099</v>
      </c>
      <c r="P108" s="18">
        <f t="shared" si="13"/>
        <v>1.7864476845246899</v>
      </c>
      <c r="Q108" s="18">
        <f t="shared" si="14"/>
        <v>2.9286027679439899</v>
      </c>
      <c r="X108">
        <v>0</v>
      </c>
      <c r="Y108" s="4" t="s">
        <v>190</v>
      </c>
      <c r="Z108" s="18" t="s">
        <v>141</v>
      </c>
      <c r="AA108" s="18">
        <v>5</v>
      </c>
      <c r="AB108" s="18">
        <v>5</v>
      </c>
      <c r="AC108" s="18">
        <v>5</v>
      </c>
    </row>
    <row r="109" spans="3:29">
      <c r="C109" s="4" t="s">
        <v>190</v>
      </c>
      <c r="D109" s="18" t="s">
        <v>142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190</v>
      </c>
      <c r="N109" s="18" t="s">
        <v>142</v>
      </c>
      <c r="O109" s="18">
        <f t="shared" si="12"/>
        <v>2.3632635057479701</v>
      </c>
      <c r="P109" s="18">
        <f t="shared" si="13"/>
        <v>1.7945112980103199</v>
      </c>
      <c r="Q109" s="18">
        <f t="shared" si="14"/>
        <v>2.9418217935888</v>
      </c>
      <c r="X109">
        <v>0</v>
      </c>
      <c r="Y109" s="4" t="s">
        <v>190</v>
      </c>
      <c r="Z109" s="18" t="s">
        <v>142</v>
      </c>
      <c r="AA109" s="18">
        <v>5</v>
      </c>
      <c r="AB109" s="18">
        <v>5</v>
      </c>
      <c r="AC109" s="18">
        <v>5</v>
      </c>
    </row>
    <row r="110" spans="3:29">
      <c r="C110" s="4" t="s">
        <v>190</v>
      </c>
      <c r="D110" s="18" t="s">
        <v>143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190</v>
      </c>
      <c r="N110" s="18" t="s">
        <v>143</v>
      </c>
      <c r="O110" s="18">
        <f t="shared" si="12"/>
        <v>2.3881131454679401</v>
      </c>
      <c r="P110" s="18">
        <f t="shared" si="13"/>
        <v>1.81338051569639</v>
      </c>
      <c r="Q110" s="18">
        <f t="shared" si="14"/>
        <v>2.9727549585114201</v>
      </c>
      <c r="X110">
        <v>0</v>
      </c>
      <c r="Y110" s="4" t="s">
        <v>190</v>
      </c>
      <c r="Z110" s="18" t="s">
        <v>143</v>
      </c>
      <c r="AA110" s="18">
        <v>5</v>
      </c>
      <c r="AB110" s="18">
        <v>5</v>
      </c>
      <c r="AC110" s="18">
        <v>5</v>
      </c>
    </row>
    <row r="111" spans="3:29">
      <c r="C111" s="4" t="s">
        <v>190</v>
      </c>
      <c r="D111" s="18" t="s">
        <v>144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190</v>
      </c>
      <c r="N111" s="18" t="s">
        <v>144</v>
      </c>
      <c r="O111" s="18">
        <f t="shared" si="12"/>
        <v>1.3095438006141</v>
      </c>
      <c r="P111" s="18">
        <f t="shared" si="13"/>
        <v>0.99438388533529898</v>
      </c>
      <c r="Q111" s="18">
        <f t="shared" si="14"/>
        <v>1.63013751429624</v>
      </c>
      <c r="X111">
        <v>0</v>
      </c>
      <c r="Y111" s="4" t="s">
        <v>190</v>
      </c>
      <c r="Z111" s="18" t="s">
        <v>144</v>
      </c>
      <c r="AA111" s="18">
        <v>5</v>
      </c>
      <c r="AB111" s="18">
        <v>5</v>
      </c>
      <c r="AC111" s="18">
        <v>5</v>
      </c>
    </row>
    <row r="112" spans="3:29">
      <c r="C112" s="4" t="s">
        <v>190</v>
      </c>
      <c r="D112" s="18" t="s">
        <v>145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190</v>
      </c>
      <c r="N112" s="18" t="s">
        <v>145</v>
      </c>
      <c r="O112" s="18">
        <f t="shared" si="12"/>
        <v>1.3095438006141</v>
      </c>
      <c r="P112" s="18">
        <f t="shared" si="13"/>
        <v>0.99438388533529898</v>
      </c>
      <c r="Q112" s="18">
        <f t="shared" si="14"/>
        <v>1.63013751429624</v>
      </c>
      <c r="X112">
        <v>0</v>
      </c>
      <c r="Y112" s="4" t="s">
        <v>190</v>
      </c>
      <c r="Z112" s="18" t="s">
        <v>145</v>
      </c>
      <c r="AA112" s="18">
        <v>5</v>
      </c>
      <c r="AB112" s="18">
        <v>5</v>
      </c>
      <c r="AC112" s="18">
        <v>5</v>
      </c>
    </row>
    <row r="113" spans="3:29">
      <c r="C113" s="4" t="s">
        <v>190</v>
      </c>
      <c r="D113" s="18" t="s">
        <v>146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190</v>
      </c>
      <c r="N113" s="18" t="s">
        <v>146</v>
      </c>
      <c r="O113" s="18">
        <f t="shared" si="12"/>
        <v>1.3095438006141</v>
      </c>
      <c r="P113" s="18">
        <f t="shared" si="13"/>
        <v>0.99438388533529898</v>
      </c>
      <c r="Q113" s="18">
        <f t="shared" si="14"/>
        <v>1.63013751429624</v>
      </c>
      <c r="X113">
        <v>0</v>
      </c>
      <c r="Y113" s="4" t="s">
        <v>190</v>
      </c>
      <c r="Z113" s="18" t="s">
        <v>146</v>
      </c>
      <c r="AA113" s="18">
        <v>5</v>
      </c>
      <c r="AB113" s="18">
        <v>5</v>
      </c>
      <c r="AC113" s="18">
        <v>5</v>
      </c>
    </row>
    <row r="114" spans="3:29">
      <c r="C114" s="4" t="s">
        <v>190</v>
      </c>
      <c r="D114" s="18" t="s">
        <v>147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190</v>
      </c>
      <c r="N114" s="18" t="s">
        <v>147</v>
      </c>
      <c r="O114" s="18">
        <f t="shared" si="12"/>
        <v>1.3095438006141</v>
      </c>
      <c r="P114" s="18">
        <f t="shared" si="13"/>
        <v>0.99438388533529898</v>
      </c>
      <c r="Q114" s="18">
        <f t="shared" si="14"/>
        <v>1.63013751429624</v>
      </c>
      <c r="X114">
        <v>0</v>
      </c>
      <c r="Y114" s="4" t="s">
        <v>190</v>
      </c>
      <c r="Z114" s="18" t="s">
        <v>147</v>
      </c>
      <c r="AA114" s="18">
        <v>5</v>
      </c>
      <c r="AB114" s="18">
        <v>5</v>
      </c>
      <c r="AC114" s="18">
        <v>5</v>
      </c>
    </row>
    <row r="115" spans="3:29">
      <c r="C115" s="4" t="s">
        <v>190</v>
      </c>
      <c r="D115" s="18" t="s">
        <v>148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190</v>
      </c>
      <c r="N115" s="18" t="s">
        <v>148</v>
      </c>
      <c r="O115" s="18">
        <f t="shared" si="12"/>
        <v>1.3095438006141</v>
      </c>
      <c r="P115" s="18">
        <f t="shared" si="13"/>
        <v>0.99438388533529898</v>
      </c>
      <c r="Q115" s="18">
        <f t="shared" si="14"/>
        <v>1.63013751429624</v>
      </c>
      <c r="X115">
        <v>0</v>
      </c>
      <c r="Y115" s="4" t="s">
        <v>190</v>
      </c>
      <c r="Z115" s="18" t="s">
        <v>148</v>
      </c>
      <c r="AA115" s="18">
        <v>5</v>
      </c>
      <c r="AB115" s="18">
        <v>5</v>
      </c>
      <c r="AC115" s="18">
        <v>5</v>
      </c>
    </row>
    <row r="116" spans="3:29">
      <c r="C116" s="4" t="s">
        <v>190</v>
      </c>
      <c r="D116" s="18" t="s">
        <v>149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190</v>
      </c>
      <c r="N116" s="18" t="s">
        <v>149</v>
      </c>
      <c r="O116" s="18">
        <f t="shared" si="12"/>
        <v>1.3095438006141</v>
      </c>
      <c r="P116" s="18">
        <f t="shared" si="13"/>
        <v>0.99438388533529898</v>
      </c>
      <c r="Q116" s="18">
        <f t="shared" si="14"/>
        <v>1.63013751429624</v>
      </c>
      <c r="X116">
        <v>0</v>
      </c>
      <c r="Y116" s="4" t="s">
        <v>190</v>
      </c>
      <c r="Z116" s="18" t="s">
        <v>149</v>
      </c>
      <c r="AA116" s="18">
        <v>5</v>
      </c>
      <c r="AB116" s="18">
        <v>5</v>
      </c>
      <c r="AC116" s="18">
        <v>5</v>
      </c>
    </row>
    <row r="117" spans="3:29">
      <c r="C117" s="4" t="s">
        <v>190</v>
      </c>
      <c r="D117" s="18" t="s">
        <v>150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190</v>
      </c>
      <c r="N117" s="18" t="s">
        <v>150</v>
      </c>
      <c r="O117" s="18">
        <f t="shared" si="12"/>
        <v>1.3095438006141</v>
      </c>
      <c r="P117" s="18">
        <f t="shared" si="13"/>
        <v>0.99438388533529898</v>
      </c>
      <c r="Q117" s="18">
        <f t="shared" si="14"/>
        <v>1.63013751429624</v>
      </c>
      <c r="X117">
        <v>0</v>
      </c>
      <c r="Y117" s="4" t="s">
        <v>190</v>
      </c>
      <c r="Z117" s="18" t="s">
        <v>150</v>
      </c>
      <c r="AA117" s="18">
        <v>5</v>
      </c>
      <c r="AB117" s="18">
        <v>5</v>
      </c>
      <c r="AC117" s="18">
        <v>5</v>
      </c>
    </row>
    <row r="118" spans="3:29">
      <c r="C118" s="4" t="s">
        <v>190</v>
      </c>
      <c r="D118" s="18" t="s">
        <v>151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190</v>
      </c>
      <c r="N118" s="18" t="s">
        <v>151</v>
      </c>
      <c r="O118" s="18">
        <f t="shared" si="12"/>
        <v>1.1160211134364999</v>
      </c>
      <c r="P118" s="18">
        <f t="shared" si="13"/>
        <v>0.84743511378039704</v>
      </c>
      <c r="Q118" s="18">
        <f t="shared" si="14"/>
        <v>1.3892379061901201</v>
      </c>
      <c r="X118">
        <v>0</v>
      </c>
      <c r="Y118" s="4" t="s">
        <v>190</v>
      </c>
      <c r="Z118" s="18" t="s">
        <v>151</v>
      </c>
      <c r="AA118" s="18">
        <v>5</v>
      </c>
      <c r="AB118" s="18">
        <v>5</v>
      </c>
      <c r="AC118" s="18">
        <v>5</v>
      </c>
    </row>
    <row r="119" spans="3:29">
      <c r="C119" s="4" t="s">
        <v>190</v>
      </c>
      <c r="D119" s="18" t="s">
        <v>152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190</v>
      </c>
      <c r="N119" s="18" t="s">
        <v>152</v>
      </c>
      <c r="O119" s="18">
        <f t="shared" si="12"/>
        <v>1.1270745266027999</v>
      </c>
      <c r="P119" s="18">
        <f t="shared" si="13"/>
        <v>0.85582838061901201</v>
      </c>
      <c r="Q119" s="18">
        <f t="shared" si="14"/>
        <v>1.40299733544584</v>
      </c>
      <c r="X119">
        <v>0</v>
      </c>
      <c r="Y119" s="4" t="s">
        <v>190</v>
      </c>
      <c r="Z119" s="18" t="s">
        <v>152</v>
      </c>
      <c r="AA119" s="18">
        <v>5</v>
      </c>
      <c r="AB119" s="18">
        <v>5</v>
      </c>
      <c r="AC119" s="18">
        <v>5</v>
      </c>
    </row>
    <row r="120" spans="3:29">
      <c r="C120" s="4" t="s">
        <v>190</v>
      </c>
      <c r="D120" s="18" t="s">
        <v>153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190</v>
      </c>
      <c r="N120" s="18" t="s">
        <v>153</v>
      </c>
      <c r="O120" s="18">
        <f t="shared" si="12"/>
        <v>1.1160211134364999</v>
      </c>
      <c r="P120" s="18">
        <f t="shared" si="13"/>
        <v>0.84743511378039704</v>
      </c>
      <c r="Q120" s="18">
        <f t="shared" si="14"/>
        <v>1.3892379061901201</v>
      </c>
      <c r="X120">
        <v>0</v>
      </c>
      <c r="Y120" s="4" t="s">
        <v>190</v>
      </c>
      <c r="Z120" s="18" t="s">
        <v>153</v>
      </c>
      <c r="AA120" s="18">
        <v>5</v>
      </c>
      <c r="AB120" s="18">
        <v>5</v>
      </c>
      <c r="AC120" s="18">
        <v>5</v>
      </c>
    </row>
    <row r="121" spans="3:29">
      <c r="C121" s="4" t="s">
        <v>190</v>
      </c>
      <c r="D121" s="18" t="s">
        <v>154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190</v>
      </c>
      <c r="N121" s="18" t="s">
        <v>154</v>
      </c>
      <c r="O121" s="18">
        <f t="shared" si="12"/>
        <v>1.11630000712356</v>
      </c>
      <c r="P121" s="18">
        <f t="shared" si="13"/>
        <v>0.84764690198968295</v>
      </c>
      <c r="Q121" s="18">
        <f t="shared" si="14"/>
        <v>1.38958506632277</v>
      </c>
      <c r="X121">
        <v>0</v>
      </c>
      <c r="Y121" s="4" t="s">
        <v>190</v>
      </c>
      <c r="Z121" s="18" t="s">
        <v>154</v>
      </c>
      <c r="AA121" s="18">
        <v>5</v>
      </c>
      <c r="AB121" s="18">
        <v>5</v>
      </c>
      <c r="AC121" s="18">
        <v>5</v>
      </c>
    </row>
    <row r="122" spans="3:29">
      <c r="C122" s="4" t="s">
        <v>190</v>
      </c>
      <c r="D122" s="18" t="s">
        <v>155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190</v>
      </c>
      <c r="N122" s="18" t="s">
        <v>155</v>
      </c>
      <c r="O122" s="18">
        <f t="shared" si="12"/>
        <v>1.1161140600589501</v>
      </c>
      <c r="P122" s="18">
        <f t="shared" si="13"/>
        <v>0.84750569447310098</v>
      </c>
      <c r="Q122" s="18">
        <f t="shared" si="14"/>
        <v>1.3893536031687499</v>
      </c>
      <c r="X122">
        <v>0</v>
      </c>
      <c r="Y122" s="4" t="s">
        <v>190</v>
      </c>
      <c r="Z122" s="18" t="s">
        <v>155</v>
      </c>
      <c r="AA122" s="18">
        <v>5</v>
      </c>
      <c r="AB122" s="18">
        <v>5</v>
      </c>
      <c r="AC122" s="18">
        <v>5</v>
      </c>
    </row>
    <row r="123" spans="3:29">
      <c r="C123" s="4" t="s">
        <v>190</v>
      </c>
      <c r="D123" s="18" t="s">
        <v>156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190</v>
      </c>
      <c r="N123" s="18" t="s">
        <v>156</v>
      </c>
      <c r="O123" s="18">
        <f t="shared" si="12"/>
        <v>1.1160211134364999</v>
      </c>
      <c r="P123" s="18">
        <f t="shared" si="13"/>
        <v>0.84743511378039704</v>
      </c>
      <c r="Q123" s="18">
        <f t="shared" si="14"/>
        <v>1.3892379061901201</v>
      </c>
      <c r="X123">
        <v>0</v>
      </c>
      <c r="Y123" s="4" t="s">
        <v>190</v>
      </c>
      <c r="Z123" s="18" t="s">
        <v>156</v>
      </c>
      <c r="AA123" s="18">
        <v>5</v>
      </c>
      <c r="AB123" s="18">
        <v>5</v>
      </c>
      <c r="AC123" s="18">
        <v>5</v>
      </c>
    </row>
    <row r="124" spans="3:29">
      <c r="C124" s="4" t="s">
        <v>190</v>
      </c>
      <c r="D124" s="20" t="s">
        <v>157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190</v>
      </c>
      <c r="N124" s="20" t="s">
        <v>157</v>
      </c>
      <c r="O124" s="18">
        <f t="shared" si="12"/>
        <v>1.11583526632277</v>
      </c>
      <c r="P124" s="18">
        <f t="shared" si="13"/>
        <v>0.84729399852615905</v>
      </c>
      <c r="Q124" s="18">
        <f t="shared" si="14"/>
        <v>1.3890065583640401</v>
      </c>
      <c r="X124">
        <v>0</v>
      </c>
      <c r="Y124" s="4" t="s">
        <v>190</v>
      </c>
      <c r="Z124" s="18" t="s">
        <v>157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3"/>
      <c r="Z132" s="32"/>
      <c r="AA132" s="32"/>
      <c r="AB132" s="32"/>
      <c r="AC132" s="32"/>
      <c r="AD132" s="32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3"/>
      <c r="O133" s="33"/>
      <c r="P133" s="33"/>
      <c r="Q133" s="33"/>
      <c r="R133" s="32"/>
      <c r="S133" s="32"/>
      <c r="T133" s="32"/>
      <c r="U133" s="32"/>
      <c r="V133" s="32"/>
      <c r="W133" s="32"/>
      <c r="X133" s="32"/>
      <c r="Y133" s="33"/>
      <c r="Z133" s="33"/>
      <c r="AA133" s="33"/>
      <c r="AB133" s="33"/>
      <c r="AC133" s="33"/>
      <c r="AD133" s="32"/>
    </row>
    <row r="134" spans="3:30">
      <c r="C134" s="4" t="s">
        <v>191</v>
      </c>
      <c r="D134" s="18" t="s">
        <v>137</v>
      </c>
      <c r="E134" s="18">
        <v>1E-3</v>
      </c>
      <c r="F134" s="19"/>
      <c r="G134" s="19"/>
      <c r="M134" s="4"/>
      <c r="N134" s="33"/>
      <c r="O134" s="33"/>
      <c r="P134" s="33"/>
      <c r="Q134" s="33"/>
      <c r="R134" s="32"/>
      <c r="S134" s="32"/>
      <c r="T134" s="32"/>
      <c r="U134" s="32"/>
      <c r="V134" s="32"/>
      <c r="W134" s="32"/>
      <c r="X134" s="32"/>
      <c r="Y134" s="33"/>
      <c r="Z134" s="33"/>
      <c r="AA134" s="33"/>
      <c r="AB134" s="33"/>
      <c r="AC134" s="33"/>
      <c r="AD134" s="32"/>
    </row>
    <row r="135" spans="3:30">
      <c r="C135" s="4" t="s">
        <v>191</v>
      </c>
      <c r="D135" s="18" t="s">
        <v>138</v>
      </c>
      <c r="E135" s="18">
        <f>E134</f>
        <v>1E-3</v>
      </c>
      <c r="F135" s="19"/>
      <c r="G135" s="19"/>
      <c r="M135" s="4"/>
      <c r="N135" s="33"/>
      <c r="O135" s="33"/>
      <c r="P135" s="33"/>
      <c r="Q135" s="33"/>
      <c r="R135" s="32"/>
      <c r="S135" s="32"/>
      <c r="T135" s="32"/>
      <c r="U135" s="32"/>
      <c r="V135" s="32"/>
      <c r="W135" s="32"/>
      <c r="X135" s="32"/>
      <c r="Y135" s="33"/>
      <c r="Z135" s="33"/>
      <c r="AA135" s="33"/>
      <c r="AB135" s="33"/>
      <c r="AC135" s="33"/>
      <c r="AD135" s="32"/>
    </row>
    <row r="136" spans="3:30">
      <c r="C136" s="4" t="s">
        <v>191</v>
      </c>
      <c r="D136" s="18" t="s">
        <v>139</v>
      </c>
      <c r="E136" s="18">
        <f t="shared" ref="E136:E154" si="15">E135</f>
        <v>1E-3</v>
      </c>
      <c r="F136" s="19"/>
      <c r="G136" s="19"/>
      <c r="M136" s="4"/>
      <c r="N136" s="33"/>
      <c r="O136" s="33"/>
      <c r="P136" s="33"/>
      <c r="Q136" s="33"/>
      <c r="R136" s="32"/>
      <c r="S136" s="32"/>
      <c r="T136" s="32"/>
      <c r="U136" s="32"/>
      <c r="V136" s="32"/>
      <c r="W136" s="32"/>
      <c r="X136" s="32"/>
      <c r="Y136" s="33"/>
      <c r="Z136" s="33"/>
      <c r="AA136" s="33"/>
      <c r="AB136" s="33"/>
      <c r="AC136" s="33"/>
      <c r="AD136" s="32"/>
    </row>
    <row r="137" spans="3:30">
      <c r="C137" s="4" t="s">
        <v>191</v>
      </c>
      <c r="D137" s="18" t="s">
        <v>140</v>
      </c>
      <c r="E137" s="18">
        <f t="shared" si="15"/>
        <v>1E-3</v>
      </c>
      <c r="F137" s="19"/>
      <c r="G137" s="19"/>
      <c r="M137" s="4"/>
      <c r="N137" s="33"/>
      <c r="O137" s="33"/>
      <c r="P137" s="33"/>
      <c r="Q137" s="33"/>
      <c r="R137" s="32"/>
      <c r="S137" s="32"/>
      <c r="T137" s="32"/>
      <c r="U137" s="32"/>
      <c r="V137" s="32"/>
      <c r="W137" s="32"/>
      <c r="X137" s="32"/>
      <c r="Y137" s="33"/>
      <c r="Z137" s="33"/>
      <c r="AA137" s="33"/>
      <c r="AB137" s="33"/>
      <c r="AC137" s="33"/>
      <c r="AD137" s="32"/>
    </row>
    <row r="138" spans="3:30">
      <c r="C138" s="4" t="s">
        <v>191</v>
      </c>
      <c r="D138" s="18" t="s">
        <v>141</v>
      </c>
      <c r="E138" s="18">
        <f t="shared" si="15"/>
        <v>1E-3</v>
      </c>
      <c r="F138" s="19"/>
      <c r="G138" s="19"/>
      <c r="M138" s="4"/>
      <c r="N138" s="33"/>
      <c r="O138" s="33"/>
      <c r="P138" s="33"/>
      <c r="Q138" s="33"/>
      <c r="R138" s="32"/>
      <c r="S138" s="32"/>
      <c r="T138" s="32"/>
      <c r="U138" s="32"/>
      <c r="V138" s="32"/>
      <c r="W138" s="32"/>
      <c r="X138" s="32"/>
      <c r="Y138" s="33"/>
      <c r="Z138" s="33"/>
      <c r="AA138" s="33"/>
      <c r="AB138" s="33"/>
      <c r="AC138" s="33"/>
      <c r="AD138" s="32"/>
    </row>
    <row r="139" spans="3:30">
      <c r="C139" s="4" t="s">
        <v>191</v>
      </c>
      <c r="D139" s="18" t="s">
        <v>142</v>
      </c>
      <c r="E139" s="18">
        <f t="shared" si="15"/>
        <v>1E-3</v>
      </c>
      <c r="F139" s="19"/>
      <c r="G139" s="19"/>
      <c r="M139" s="4"/>
      <c r="N139" s="33"/>
      <c r="O139" s="33"/>
      <c r="P139" s="33"/>
      <c r="Q139" s="33"/>
      <c r="R139" s="32"/>
      <c r="S139" s="32"/>
      <c r="T139" s="32"/>
      <c r="U139" s="32"/>
      <c r="V139" s="32"/>
      <c r="W139" s="32"/>
      <c r="X139" s="32"/>
      <c r="Y139" s="33"/>
      <c r="Z139" s="33"/>
      <c r="AA139" s="33"/>
      <c r="AB139" s="33"/>
      <c r="AC139" s="33"/>
      <c r="AD139" s="32"/>
    </row>
    <row r="140" spans="3:30">
      <c r="C140" s="4" t="s">
        <v>191</v>
      </c>
      <c r="D140" s="18" t="s">
        <v>143</v>
      </c>
      <c r="E140" s="18">
        <f t="shared" si="15"/>
        <v>1E-3</v>
      </c>
      <c r="F140" s="19"/>
      <c r="G140" s="19"/>
      <c r="M140" s="4"/>
      <c r="N140" s="33"/>
      <c r="O140" s="33"/>
      <c r="P140" s="33"/>
      <c r="Q140" s="33"/>
      <c r="R140" s="32"/>
      <c r="S140" s="32"/>
      <c r="T140" s="32"/>
      <c r="U140" s="32"/>
      <c r="V140" s="32"/>
      <c r="W140" s="32"/>
      <c r="X140" s="32"/>
      <c r="Y140" s="33"/>
      <c r="Z140" s="33"/>
      <c r="AA140" s="33"/>
      <c r="AB140" s="33"/>
      <c r="AC140" s="33"/>
      <c r="AD140" s="32"/>
    </row>
    <row r="141" spans="3:30">
      <c r="C141" s="4" t="s">
        <v>191</v>
      </c>
      <c r="D141" s="18" t="s">
        <v>144</v>
      </c>
      <c r="E141" s="18">
        <f t="shared" si="15"/>
        <v>1E-3</v>
      </c>
      <c r="F141" s="19"/>
      <c r="G141" s="19"/>
      <c r="M141" s="4"/>
      <c r="N141" s="33"/>
      <c r="O141" s="33"/>
      <c r="P141" s="33"/>
      <c r="Q141" s="33"/>
      <c r="R141" s="32"/>
      <c r="S141" s="32"/>
      <c r="T141" s="32"/>
      <c r="U141" s="32"/>
      <c r="V141" s="32"/>
      <c r="W141" s="32"/>
      <c r="X141" s="32"/>
      <c r="Y141" s="33"/>
      <c r="Z141" s="33"/>
      <c r="AA141" s="33"/>
      <c r="AB141" s="33"/>
      <c r="AC141" s="33"/>
      <c r="AD141" s="32"/>
    </row>
    <row r="142" spans="3:30">
      <c r="C142" s="4" t="s">
        <v>191</v>
      </c>
      <c r="D142" s="18" t="s">
        <v>145</v>
      </c>
      <c r="E142" s="18">
        <f t="shared" si="15"/>
        <v>1E-3</v>
      </c>
      <c r="F142" s="19"/>
      <c r="G142" s="19"/>
      <c r="M142" s="4"/>
      <c r="N142" s="33"/>
      <c r="O142" s="33"/>
      <c r="P142" s="33"/>
      <c r="Q142" s="33"/>
      <c r="R142" s="32"/>
      <c r="S142" s="32"/>
      <c r="T142" s="32"/>
      <c r="U142" s="32"/>
      <c r="V142" s="32"/>
      <c r="W142" s="32"/>
      <c r="X142" s="32"/>
      <c r="Y142" s="33"/>
      <c r="Z142" s="33"/>
      <c r="AA142" s="33"/>
      <c r="AB142" s="33"/>
      <c r="AC142" s="33"/>
      <c r="AD142" s="32"/>
    </row>
    <row r="143" spans="3:30">
      <c r="C143" s="4" t="s">
        <v>191</v>
      </c>
      <c r="D143" s="18" t="s">
        <v>146</v>
      </c>
      <c r="E143" s="18">
        <f t="shared" si="15"/>
        <v>1E-3</v>
      </c>
      <c r="F143" s="19"/>
      <c r="G143" s="19"/>
      <c r="M143" s="4"/>
      <c r="N143" s="33"/>
      <c r="O143" s="33"/>
      <c r="P143" s="33"/>
      <c r="Q143" s="33"/>
      <c r="R143" s="32"/>
      <c r="S143" s="32"/>
      <c r="T143" s="32"/>
      <c r="U143" s="32"/>
      <c r="V143" s="32"/>
      <c r="W143" s="32"/>
      <c r="X143" s="32"/>
      <c r="Y143" s="33"/>
      <c r="Z143" s="33"/>
      <c r="AA143" s="33"/>
      <c r="AB143" s="33"/>
      <c r="AC143" s="33"/>
      <c r="AD143" s="32"/>
    </row>
    <row r="144" spans="3:30">
      <c r="C144" s="4" t="s">
        <v>191</v>
      </c>
      <c r="D144" s="18" t="s">
        <v>147</v>
      </c>
      <c r="E144" s="18">
        <f t="shared" si="15"/>
        <v>1E-3</v>
      </c>
      <c r="F144" s="19"/>
      <c r="G144" s="19"/>
      <c r="M144" s="4"/>
      <c r="N144" s="33"/>
      <c r="O144" s="33"/>
      <c r="P144" s="33"/>
      <c r="Q144" s="33"/>
      <c r="R144" s="32"/>
      <c r="S144" s="32"/>
      <c r="T144" s="32"/>
      <c r="U144" s="32"/>
      <c r="V144" s="32"/>
      <c r="W144" s="32"/>
      <c r="X144" s="32"/>
      <c r="Y144" s="33"/>
      <c r="Z144" s="33"/>
      <c r="AA144" s="33"/>
      <c r="AB144" s="33"/>
      <c r="AC144" s="33"/>
      <c r="AD144" s="32"/>
    </row>
    <row r="145" spans="3:30">
      <c r="C145" s="4" t="s">
        <v>191</v>
      </c>
      <c r="D145" s="18" t="s">
        <v>148</v>
      </c>
      <c r="E145" s="18">
        <f t="shared" si="15"/>
        <v>1E-3</v>
      </c>
      <c r="F145" s="19"/>
      <c r="G145" s="19"/>
      <c r="M145" s="4"/>
      <c r="N145" s="33"/>
      <c r="O145" s="33"/>
      <c r="P145" s="33"/>
      <c r="Q145" s="33"/>
      <c r="R145" s="32"/>
      <c r="S145" s="32"/>
      <c r="T145" s="32"/>
      <c r="U145" s="32"/>
      <c r="V145" s="32"/>
      <c r="W145" s="32"/>
      <c r="X145" s="32"/>
      <c r="Y145" s="33"/>
      <c r="Z145" s="33"/>
      <c r="AA145" s="33"/>
      <c r="AB145" s="33"/>
      <c r="AC145" s="33"/>
      <c r="AD145" s="32"/>
    </row>
    <row r="146" spans="3:30">
      <c r="C146" s="4" t="s">
        <v>191</v>
      </c>
      <c r="D146" s="18" t="s">
        <v>149</v>
      </c>
      <c r="E146" s="18">
        <f t="shared" si="15"/>
        <v>1E-3</v>
      </c>
      <c r="F146" s="19"/>
      <c r="G146" s="19"/>
      <c r="M146" s="4"/>
      <c r="N146" s="33"/>
      <c r="O146" s="33"/>
      <c r="P146" s="33"/>
      <c r="Q146" s="33"/>
      <c r="R146" s="32"/>
      <c r="S146" s="32"/>
      <c r="T146" s="32"/>
      <c r="U146" s="32"/>
      <c r="V146" s="32"/>
      <c r="W146" s="32"/>
      <c r="X146" s="32"/>
      <c r="Y146" s="33"/>
      <c r="Z146" s="33"/>
      <c r="AA146" s="33"/>
      <c r="AB146" s="33"/>
      <c r="AC146" s="33"/>
      <c r="AD146" s="32"/>
    </row>
    <row r="147" spans="3:30">
      <c r="C147" s="4" t="s">
        <v>191</v>
      </c>
      <c r="D147" s="18" t="s">
        <v>150</v>
      </c>
      <c r="E147" s="18">
        <f t="shared" si="15"/>
        <v>1E-3</v>
      </c>
      <c r="F147" s="19"/>
      <c r="G147" s="19"/>
      <c r="M147" s="4"/>
      <c r="N147" s="33"/>
      <c r="O147" s="33"/>
      <c r="P147" s="33"/>
      <c r="Q147" s="33"/>
      <c r="R147" s="32"/>
      <c r="S147" s="32"/>
      <c r="T147" s="32"/>
      <c r="U147" s="32"/>
      <c r="V147" s="32"/>
      <c r="W147" s="32"/>
      <c r="X147" s="32"/>
      <c r="Y147" s="33"/>
      <c r="Z147" s="33"/>
      <c r="AA147" s="33"/>
      <c r="AB147" s="33"/>
      <c r="AC147" s="33"/>
      <c r="AD147" s="32"/>
    </row>
    <row r="148" spans="3:30">
      <c r="C148" s="4" t="s">
        <v>191</v>
      </c>
      <c r="D148" s="18" t="s">
        <v>151</v>
      </c>
      <c r="E148" s="18">
        <f t="shared" si="15"/>
        <v>1E-3</v>
      </c>
      <c r="F148" s="19"/>
      <c r="G148" s="19"/>
      <c r="M148" s="4"/>
      <c r="N148" s="33"/>
      <c r="O148" s="33"/>
      <c r="P148" s="33"/>
      <c r="Q148" s="33"/>
      <c r="R148" s="32"/>
      <c r="S148" s="32"/>
      <c r="T148" s="32"/>
      <c r="U148" s="32"/>
      <c r="V148" s="32"/>
      <c r="W148" s="32"/>
      <c r="X148" s="32"/>
      <c r="Y148" s="33"/>
      <c r="Z148" s="33"/>
      <c r="AA148" s="33"/>
      <c r="AB148" s="33"/>
      <c r="AC148" s="33"/>
      <c r="AD148" s="32"/>
    </row>
    <row r="149" spans="3:30">
      <c r="C149" s="4" t="s">
        <v>191</v>
      </c>
      <c r="D149" s="18" t="s">
        <v>152</v>
      </c>
      <c r="E149" s="18">
        <f t="shared" si="15"/>
        <v>1E-3</v>
      </c>
      <c r="F149" s="19"/>
      <c r="G149" s="19"/>
      <c r="M149" s="4"/>
      <c r="N149" s="33"/>
      <c r="O149" s="33"/>
      <c r="P149" s="33"/>
      <c r="Q149" s="33"/>
      <c r="R149" s="32"/>
      <c r="S149" s="32"/>
      <c r="T149" s="32"/>
      <c r="U149" s="32"/>
      <c r="V149" s="32"/>
      <c r="W149" s="32"/>
      <c r="X149" s="32"/>
      <c r="Y149" s="33"/>
      <c r="Z149" s="33"/>
      <c r="AA149" s="33"/>
      <c r="AB149" s="33"/>
      <c r="AC149" s="33"/>
      <c r="AD149" s="32"/>
    </row>
    <row r="150" spans="3:30">
      <c r="C150" s="4" t="s">
        <v>191</v>
      </c>
      <c r="D150" s="18" t="s">
        <v>153</v>
      </c>
      <c r="E150" s="18">
        <f t="shared" si="15"/>
        <v>1E-3</v>
      </c>
      <c r="F150" s="19"/>
      <c r="G150" s="19"/>
      <c r="M150" s="4"/>
      <c r="N150" s="33"/>
      <c r="O150" s="33"/>
      <c r="P150" s="33"/>
      <c r="Q150" s="33"/>
      <c r="R150" s="32"/>
      <c r="S150" s="32"/>
      <c r="T150" s="32"/>
      <c r="U150" s="32"/>
      <c r="V150" s="32"/>
      <c r="W150" s="32"/>
      <c r="X150" s="32"/>
      <c r="Y150" s="33"/>
      <c r="Z150" s="33"/>
      <c r="AA150" s="33"/>
      <c r="AB150" s="33"/>
      <c r="AC150" s="33"/>
      <c r="AD150" s="32"/>
    </row>
    <row r="151" spans="3:30">
      <c r="C151" s="4" t="s">
        <v>191</v>
      </c>
      <c r="D151" s="18" t="s">
        <v>154</v>
      </c>
      <c r="E151" s="18">
        <f t="shared" si="15"/>
        <v>1E-3</v>
      </c>
      <c r="F151" s="19"/>
      <c r="G151" s="19"/>
      <c r="M151" s="4"/>
      <c r="N151" s="33"/>
      <c r="O151" s="33"/>
      <c r="P151" s="33"/>
      <c r="Q151" s="33"/>
      <c r="R151" s="32"/>
      <c r="S151" s="32"/>
      <c r="T151" s="32"/>
      <c r="U151" s="32"/>
      <c r="V151" s="32"/>
      <c r="W151" s="32"/>
      <c r="X151" s="32"/>
      <c r="Y151" s="33"/>
      <c r="Z151" s="33"/>
      <c r="AA151" s="33"/>
      <c r="AB151" s="33"/>
      <c r="AC151" s="33"/>
      <c r="AD151" s="32"/>
    </row>
    <row r="152" spans="3:30">
      <c r="C152" s="4" t="s">
        <v>191</v>
      </c>
      <c r="D152" s="18" t="s">
        <v>155</v>
      </c>
      <c r="E152" s="18">
        <f t="shared" si="15"/>
        <v>1E-3</v>
      </c>
      <c r="F152" s="19"/>
      <c r="G152" s="19"/>
      <c r="M152" s="4"/>
      <c r="N152" s="33"/>
      <c r="O152" s="33"/>
      <c r="P152" s="33"/>
      <c r="Q152" s="33"/>
      <c r="R152" s="32"/>
      <c r="S152" s="32"/>
      <c r="T152" s="32"/>
      <c r="U152" s="32"/>
      <c r="V152" s="32"/>
      <c r="W152" s="32"/>
      <c r="X152" s="32"/>
      <c r="Y152" s="33"/>
      <c r="Z152" s="33"/>
      <c r="AA152" s="33"/>
      <c r="AB152" s="33"/>
      <c r="AC152" s="33"/>
      <c r="AD152" s="32"/>
    </row>
    <row r="153" spans="3:30">
      <c r="C153" s="4" t="s">
        <v>191</v>
      </c>
      <c r="D153" s="18" t="s">
        <v>156</v>
      </c>
      <c r="E153" s="18">
        <f t="shared" si="15"/>
        <v>1E-3</v>
      </c>
      <c r="F153" s="19"/>
      <c r="G153" s="19"/>
      <c r="M153" s="4"/>
      <c r="N153" s="33"/>
      <c r="O153" s="33"/>
      <c r="P153" s="33"/>
      <c r="Q153" s="33"/>
      <c r="R153" s="32"/>
      <c r="S153" s="32"/>
      <c r="T153" s="32"/>
      <c r="U153" s="32"/>
      <c r="V153" s="32"/>
      <c r="W153" s="32"/>
      <c r="X153" s="32"/>
      <c r="Y153" s="33"/>
      <c r="Z153" s="33"/>
      <c r="AA153" s="33"/>
      <c r="AB153" s="33"/>
      <c r="AC153" s="33"/>
      <c r="AD153" s="32"/>
    </row>
    <row r="154" spans="3:30">
      <c r="C154" s="4" t="s">
        <v>191</v>
      </c>
      <c r="D154" s="20" t="s">
        <v>157</v>
      </c>
      <c r="E154" s="18">
        <f t="shared" si="15"/>
        <v>1E-3</v>
      </c>
      <c r="F154" s="19"/>
      <c r="G154" s="19"/>
      <c r="M154" s="4"/>
      <c r="N154" s="33"/>
      <c r="O154" s="33"/>
      <c r="P154" s="33"/>
      <c r="Q154" s="33"/>
      <c r="R154" s="32"/>
      <c r="S154" s="32"/>
      <c r="T154" s="32"/>
      <c r="U154" s="32"/>
      <c r="V154" s="32"/>
      <c r="W154" s="32"/>
      <c r="X154" s="32"/>
      <c r="Y154" s="33"/>
      <c r="Z154" s="33"/>
      <c r="AA154" s="33"/>
      <c r="AB154" s="33"/>
      <c r="AC154" s="33"/>
      <c r="AD154" s="32"/>
    </row>
    <row r="155" spans="3:30"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spans="3:30"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spans="3:30"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spans="3:30"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spans="3:30"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spans="3:30"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2025-06-09T00:24:28Z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