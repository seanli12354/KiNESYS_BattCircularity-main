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<sst xmlns="http://schemas.openxmlformats.org/spreadsheetml/2006/main" count="7385" uniqueCount="418">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</sst>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0"/>
    </font>
    <font>
      <b/>
      <sz val="9"/>
      <name val="Times New Roman"/>
      <charset val="134"/>
    </font>
    <font>
      <sz val="9"/>
      <name val="Tahoma"/>
      <charset val="1"/>
    </font>
    <font>
      <sz val="9"/>
      <name val="Times New Roman"/>
      <charset val="134"/>
    </font>
    <font>
      <b/>
      <sz val="9"/>
      <name val="Tahoma"/>
      <charset val="1"/>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2">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1" customWidth="1"/>
    <col min="2" max="2" width="8.85454545454546" style="141" customWidth="1"/>
    <col min="3" max="3" width="4.71818181818182" style="141" customWidth="1"/>
    <col min="4" max="4" width="8.85454545454546" style="141" customWidth="1"/>
    <col min="5" max="5" width="4.42727272727273" style="141" customWidth="1"/>
    <col min="6" max="6" width="4.28181818181818" style="141" customWidth="1"/>
    <col min="7" max="7" width="4.42727272727273" style="141" customWidth="1"/>
    <col min="8" max="8" width="4.57272727272727" style="141" customWidth="1"/>
    <col min="9" max="9" width="4" style="141" customWidth="1"/>
    <col min="10" max="10" width="4.42727272727273" style="141" customWidth="1"/>
    <col min="11" max="11" width="4.57272727272727" style="141" customWidth="1"/>
    <col min="12" max="12" width="4.42727272727273" style="141" customWidth="1"/>
    <col min="13" max="13" width="4" style="141" customWidth="1"/>
    <col min="14" max="14" width="4.28181818181818" style="141" customWidth="1"/>
    <col min="15" max="16" width="4.42727272727273" style="141" customWidth="1"/>
    <col min="17" max="18" width="4.57272727272727" style="141" customWidth="1"/>
    <col min="19" max="19" width="4.42727272727273" style="141" customWidth="1"/>
    <col min="20" max="20" width="5" style="141" customWidth="1"/>
    <col min="21" max="21" width="11.7181818181818" style="141" customWidth="1"/>
    <col min="22" max="22" width="10.7181818181818" style="141" customWidth="1"/>
    <col min="23" max="23" width="13.1454545454545" style="141" customWidth="1"/>
    <col min="24" max="259" width="11.4272727272727" style="141" customWidth="1"/>
    <col min="260" max="16384" width="9.14545454545454" style="141"/>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1"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1"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1"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1"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1"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zoomScale="64" zoomScaleNormal="64" topLeftCell="A17" workbookViewId="0">
      <selection activeCell="BQ108" sqref="BQ108"/>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4"/>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5">
        <v>2023</v>
      </c>
      <c r="AJ1" s="125">
        <v>2025</v>
      </c>
      <c r="AK1" s="125">
        <v>2030</v>
      </c>
      <c r="AL1" s="125">
        <v>2035</v>
      </c>
      <c r="AM1" s="125">
        <v>2040</v>
      </c>
      <c r="AN1" s="125">
        <v>2045</v>
      </c>
      <c r="AO1" s="125">
        <v>2050</v>
      </c>
      <c r="BS1" s="124"/>
      <c r="BT1" s="124"/>
      <c r="BU1" s="124"/>
    </row>
    <row r="2" s="12" customFormat="1" spans="2:73">
      <c r="B2" s="126" t="s">
        <v>52</v>
      </c>
      <c r="S2" s="127">
        <v>2023</v>
      </c>
      <c r="T2" s="127" t="s">
        <v>53</v>
      </c>
      <c r="U2" s="127" t="s">
        <v>54</v>
      </c>
      <c r="V2" s="127" t="s">
        <v>55</v>
      </c>
      <c r="W2" s="127" t="s">
        <v>56</v>
      </c>
      <c r="X2" s="127" t="s">
        <v>57</v>
      </c>
      <c r="Y2" s="127" t="s">
        <v>58</v>
      </c>
      <c r="Z2" s="127"/>
      <c r="AA2" s="127" t="s">
        <v>59</v>
      </c>
      <c r="AB2" s="128">
        <v>132.92732205738</v>
      </c>
      <c r="AC2" s="127" t="s">
        <v>60</v>
      </c>
      <c r="AH2" s="12" t="s">
        <v>61</v>
      </c>
      <c r="AI2" s="129">
        <v>132.92732205738</v>
      </c>
      <c r="AJ2" s="129">
        <v>120.58407072348</v>
      </c>
      <c r="AK2" s="129">
        <v>104.442895902227</v>
      </c>
      <c r="AL2" s="129">
        <v>94.9480871838431</v>
      </c>
      <c r="AM2" s="129">
        <v>92.1084750593323</v>
      </c>
      <c r="AN2" s="129">
        <v>88.9611647549709</v>
      </c>
      <c r="AO2" s="129">
        <v>85.4532784654588</v>
      </c>
      <c r="AX2" t="s">
        <v>62</v>
      </c>
      <c r="AY2"/>
      <c r="AZ2" s="130"/>
      <c r="BE2" s="38" t="s">
        <v>63</v>
      </c>
      <c r="BL2" s="131" t="s">
        <v>62</v>
      </c>
      <c r="BS2" s="124"/>
      <c r="BT2" s="124"/>
      <c r="BU2" s="124"/>
    </row>
    <row r="3" s="12" customFormat="1" spans="2:73">
      <c r="F3" s="132" t="s">
        <v>64</v>
      </c>
      <c r="G3" s="133"/>
      <c r="H3" s="133"/>
      <c r="I3" s="133"/>
      <c r="S3" s="127">
        <v>2025</v>
      </c>
      <c r="T3" s="127" t="s">
        <v>53</v>
      </c>
      <c r="U3" s="127" t="s">
        <v>54</v>
      </c>
      <c r="V3" s="127" t="s">
        <v>55</v>
      </c>
      <c r="W3" s="127" t="s">
        <v>56</v>
      </c>
      <c r="X3" s="127" t="s">
        <v>57</v>
      </c>
      <c r="Y3" s="127" t="s">
        <v>58</v>
      </c>
      <c r="Z3" s="127"/>
      <c r="AA3" s="127" t="s">
        <v>59</v>
      </c>
      <c r="AB3" s="128">
        <v>120.58407072348</v>
      </c>
      <c r="AC3" s="127"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0" t="s">
        <v>65</v>
      </c>
      <c r="AY3" s="130" t="s">
        <v>41</v>
      </c>
      <c r="AZ3" s="134" t="s">
        <v>66</v>
      </c>
      <c r="BA3" s="134" t="s">
        <v>11</v>
      </c>
      <c r="BB3" s="134" t="s">
        <v>25</v>
      </c>
      <c r="BE3" s="12" t="s">
        <v>65</v>
      </c>
      <c r="BF3" s="12" t="s">
        <v>41</v>
      </c>
      <c r="BG3" s="12" t="s">
        <v>66</v>
      </c>
      <c r="BH3" s="12" t="s">
        <v>11</v>
      </c>
      <c r="BI3" s="12" t="s">
        <v>25</v>
      </c>
      <c r="BL3" s="12" t="s">
        <v>65</v>
      </c>
      <c r="BM3" s="12" t="s">
        <v>41</v>
      </c>
      <c r="BN3" s="12" t="s">
        <v>66</v>
      </c>
      <c r="BO3" s="12" t="s">
        <v>11</v>
      </c>
      <c r="BP3" s="12" t="s">
        <v>25</v>
      </c>
      <c r="BS3" s="124" t="s">
        <v>66</v>
      </c>
      <c r="BT3" s="124" t="s">
        <v>11</v>
      </c>
      <c r="BU3" s="124" t="s">
        <v>25</v>
      </c>
    </row>
    <row r="4" s="12" customFormat="1" spans="2:73">
      <c r="F4" s="132" t="s">
        <v>65</v>
      </c>
      <c r="G4" s="132" t="s">
        <v>66</v>
      </c>
      <c r="H4" s="132" t="s">
        <v>11</v>
      </c>
      <c r="I4" s="132" t="s">
        <v>25</v>
      </c>
      <c r="S4" s="127">
        <v>2030</v>
      </c>
      <c r="T4" s="127" t="s">
        <v>53</v>
      </c>
      <c r="U4" s="127" t="s">
        <v>54</v>
      </c>
      <c r="V4" s="127" t="s">
        <v>55</v>
      </c>
      <c r="W4" s="127" t="s">
        <v>56</v>
      </c>
      <c r="X4" s="127" t="s">
        <v>57</v>
      </c>
      <c r="Y4" s="127" t="s">
        <v>58</v>
      </c>
      <c r="Z4" s="127"/>
      <c r="AA4" s="127" t="s">
        <v>59</v>
      </c>
      <c r="AB4" s="128">
        <v>104.442895902227</v>
      </c>
      <c r="AC4" s="127"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0" t="s">
        <v>67</v>
      </c>
      <c r="AY4" s="130">
        <v>2023</v>
      </c>
      <c r="AZ4" s="130">
        <f>G5</f>
        <v>80.3831766666667</v>
      </c>
      <c r="BA4" s="130">
        <f>H5</f>
        <v>55.48673</v>
      </c>
      <c r="BB4" s="130">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4">
        <v>80.3831766666667</v>
      </c>
      <c r="BT4" s="124">
        <v>55.48673</v>
      </c>
      <c r="BU4" s="124">
        <v>106.82505</v>
      </c>
    </row>
    <row r="5" s="12" customFormat="1" ht="28" customHeight="1" spans="2:73">
      <c r="B5" s="135" t="s">
        <v>70</v>
      </c>
      <c r="F5" s="132" t="s">
        <v>71</v>
      </c>
      <c r="G5" s="133">
        <f>[3]R_strategies_n_GridBattery!$D$131</f>
        <v>80.3831766666667</v>
      </c>
      <c r="H5" s="133">
        <f>[3]R_strategies_n_GridBattery!$E$131</f>
        <v>55.48673</v>
      </c>
      <c r="I5" s="133">
        <f>[3]R_strategies_n_GridBattery!$F$131</f>
        <v>106.82505</v>
      </c>
      <c r="S5" s="127">
        <v>2035</v>
      </c>
      <c r="T5" s="127" t="s">
        <v>53</v>
      </c>
      <c r="U5" s="127" t="s">
        <v>54</v>
      </c>
      <c r="V5" s="127" t="s">
        <v>55</v>
      </c>
      <c r="W5" s="127" t="s">
        <v>56</v>
      </c>
      <c r="X5" s="127" t="s">
        <v>57</v>
      </c>
      <c r="Y5" s="127" t="s">
        <v>58</v>
      </c>
      <c r="Z5" s="127"/>
      <c r="AA5" s="127" t="s">
        <v>59</v>
      </c>
      <c r="AB5" s="128">
        <v>94.9480871838431</v>
      </c>
      <c r="AC5" s="127"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0" t="s">
        <v>72</v>
      </c>
      <c r="AY5" s="130">
        <f>AY4</f>
        <v>2023</v>
      </c>
      <c r="AZ5" s="130">
        <f t="shared" ref="AZ5:AZ10" si="8">G6</f>
        <v>95.4086</v>
      </c>
      <c r="BA5" s="130">
        <f t="shared" ref="BA5:BA10" si="9">H6</f>
        <v>66.32565</v>
      </c>
      <c r="BB5" s="130">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4">
        <v>95.4086</v>
      </c>
      <c r="BT5" s="124">
        <v>66.32565</v>
      </c>
      <c r="BU5" s="124">
        <v>126.26355</v>
      </c>
    </row>
    <row r="6" s="12" customFormat="1" spans="2:73">
      <c r="F6" s="132" t="s">
        <v>75</v>
      </c>
      <c r="G6" s="133">
        <f>[3]R_strategies_n_GridBattery!$D$132</f>
        <v>95.4086</v>
      </c>
      <c r="H6" s="133">
        <f>[3]R_strategies_n_GridBattery!$E$132</f>
        <v>66.32565</v>
      </c>
      <c r="I6" s="133">
        <f>[3]R_strategies_n_GridBattery!$F$132</f>
        <v>126.26355</v>
      </c>
      <c r="S6" s="127">
        <v>2040</v>
      </c>
      <c r="T6" s="127" t="s">
        <v>53</v>
      </c>
      <c r="U6" s="127" t="s">
        <v>54</v>
      </c>
      <c r="V6" s="127" t="s">
        <v>55</v>
      </c>
      <c r="W6" s="127" t="s">
        <v>56</v>
      </c>
      <c r="X6" s="127" t="s">
        <v>57</v>
      </c>
      <c r="Y6" s="127" t="s">
        <v>58</v>
      </c>
      <c r="Z6" s="127"/>
      <c r="AA6" s="127" t="s">
        <v>59</v>
      </c>
      <c r="AB6" s="128">
        <v>92.1084750593323</v>
      </c>
      <c r="AC6" s="127"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0" t="s">
        <v>76</v>
      </c>
      <c r="AY6" s="130">
        <f t="shared" ref="AY6:AY11" si="17">AY5</f>
        <v>2023</v>
      </c>
      <c r="AZ6" s="130">
        <f t="shared" si="8"/>
        <v>85.3476966666666</v>
      </c>
      <c r="BA6" s="130">
        <f t="shared" si="9"/>
        <v>56.10147</v>
      </c>
      <c r="BB6" s="130">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4">
        <v>85.3476966666666</v>
      </c>
      <c r="BT6" s="124">
        <v>56.10147</v>
      </c>
      <c r="BU6" s="124">
        <v>116.32796</v>
      </c>
    </row>
    <row r="7" s="12" customFormat="1" spans="2:73">
      <c r="F7" s="132" t="s">
        <v>79</v>
      </c>
      <c r="G7" s="133">
        <f>[3]R_strategies_n_GridBattery!$D$133</f>
        <v>85.3476966666666</v>
      </c>
      <c r="H7" s="133">
        <f>[3]R_strategies_n_GridBattery!$E$133</f>
        <v>56.10147</v>
      </c>
      <c r="I7" s="133">
        <f>[3]R_strategies_n_GridBattery!$F$133</f>
        <v>116.32796</v>
      </c>
      <c r="S7" s="127">
        <v>2045</v>
      </c>
      <c r="T7" s="127" t="s">
        <v>53</v>
      </c>
      <c r="U7" s="127" t="s">
        <v>54</v>
      </c>
      <c r="V7" s="127" t="s">
        <v>55</v>
      </c>
      <c r="W7" s="127" t="s">
        <v>56</v>
      </c>
      <c r="X7" s="127" t="s">
        <v>57</v>
      </c>
      <c r="Y7" s="127" t="s">
        <v>58</v>
      </c>
      <c r="Z7" s="127"/>
      <c r="AA7" s="127" t="s">
        <v>59</v>
      </c>
      <c r="AB7" s="128">
        <v>88.9611647549709</v>
      </c>
      <c r="AC7" s="127"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0" t="s">
        <v>80</v>
      </c>
      <c r="AY7" s="130">
        <f t="shared" si="17"/>
        <v>2023</v>
      </c>
      <c r="AZ7" s="130">
        <f t="shared" si="8"/>
        <v>85.52157</v>
      </c>
      <c r="BA7" s="130">
        <f t="shared" si="9"/>
        <v>55.55951</v>
      </c>
      <c r="BB7" s="130">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4">
        <v>85.52157</v>
      </c>
      <c r="BT7" s="124">
        <v>55.55951</v>
      </c>
      <c r="BU7" s="124">
        <v>117.30431</v>
      </c>
    </row>
    <row r="8" s="12" customFormat="1" ht="29" spans="2:73">
      <c r="B8" s="135" t="s">
        <v>83</v>
      </c>
      <c r="F8" s="132" t="s">
        <v>84</v>
      </c>
      <c r="G8" s="133">
        <f>[3]R_strategies_n_GridBattery!$D$134</f>
        <v>85.52157</v>
      </c>
      <c r="H8" s="133">
        <f>[3]R_strategies_n_GridBattery!$E$134</f>
        <v>55.55951</v>
      </c>
      <c r="I8" s="133">
        <f>[3]R_strategies_n_GridBattery!$F$134</f>
        <v>117.30431</v>
      </c>
      <c r="S8" s="127">
        <v>2050</v>
      </c>
      <c r="T8" s="127" t="s">
        <v>53</v>
      </c>
      <c r="U8" s="127" t="s">
        <v>54</v>
      </c>
      <c r="V8" s="127" t="s">
        <v>55</v>
      </c>
      <c r="W8" s="127" t="s">
        <v>56</v>
      </c>
      <c r="X8" s="127" t="s">
        <v>57</v>
      </c>
      <c r="Y8" s="127" t="s">
        <v>58</v>
      </c>
      <c r="Z8" s="127"/>
      <c r="AA8" s="127" t="s">
        <v>59</v>
      </c>
      <c r="AB8" s="128">
        <v>85.4532784654588</v>
      </c>
      <c r="AC8" s="127"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0" t="s">
        <v>85</v>
      </c>
      <c r="AY8" s="130">
        <f t="shared" si="17"/>
        <v>2023</v>
      </c>
      <c r="AZ8" s="130">
        <f t="shared" si="8"/>
        <v>90.0929166666666</v>
      </c>
      <c r="BA8" s="130">
        <f t="shared" si="9"/>
        <v>59.3677</v>
      </c>
      <c r="BB8" s="130">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4">
        <v>90.0929166666666</v>
      </c>
      <c r="BT8" s="124">
        <v>59.3677</v>
      </c>
      <c r="BU8" s="124">
        <v>122.66905</v>
      </c>
    </row>
    <row r="9" s="12" customFormat="1" spans="2:73">
      <c r="F9" s="132" t="s">
        <v>88</v>
      </c>
      <c r="G9" s="133">
        <f>[3]R_strategies_n_GridBattery!$D$135</f>
        <v>90.0929166666666</v>
      </c>
      <c r="H9" s="133">
        <f>[3]R_strategies_n_GridBattery!$E$135</f>
        <v>59.3677</v>
      </c>
      <c r="I9" s="133">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0" t="s">
        <v>89</v>
      </c>
      <c r="AY9" s="130">
        <f t="shared" si="17"/>
        <v>2023</v>
      </c>
      <c r="AZ9" s="130">
        <f t="shared" si="8"/>
        <v>86.9222166666667</v>
      </c>
      <c r="BA9" s="130">
        <f t="shared" si="9"/>
        <v>57.33755</v>
      </c>
      <c r="BB9" s="130">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4">
        <v>86.9222166666667</v>
      </c>
      <c r="BT9" s="124">
        <v>57.33755</v>
      </c>
      <c r="BU9" s="124">
        <v>118.2723</v>
      </c>
    </row>
    <row r="10" s="12" customFormat="1" spans="2:73">
      <c r="F10" s="132" t="s">
        <v>92</v>
      </c>
      <c r="G10" s="133">
        <f>[3]R_strategies_n_GridBattery!$D$136</f>
        <v>86.9222166666667</v>
      </c>
      <c r="H10" s="133">
        <f>[3]R_strategies_n_GridBattery!$E$136</f>
        <v>57.33755</v>
      </c>
      <c r="I10" s="133">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0" t="s">
        <v>93</v>
      </c>
      <c r="AY10" s="130">
        <f t="shared" si="17"/>
        <v>2023</v>
      </c>
      <c r="AZ10" s="130">
        <f t="shared" si="8"/>
        <v>89.5526666666667</v>
      </c>
      <c r="BA10" s="130">
        <f t="shared" si="9"/>
        <v>59.98948</v>
      </c>
      <c r="BB10" s="130">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4">
        <v>89.5526666666667</v>
      </c>
      <c r="BT10" s="124">
        <v>59.98948</v>
      </c>
      <c r="BU10" s="124">
        <v>120.87452</v>
      </c>
    </row>
    <row r="11" s="12" customFormat="1" spans="2:73">
      <c r="F11" s="132" t="s">
        <v>96</v>
      </c>
      <c r="G11" s="133">
        <f>[3]R_strategies_n_GridBattery!$D$137</f>
        <v>89.5526666666667</v>
      </c>
      <c r="H11" s="133">
        <f>[3]R_strategies_n_GridBattery!$E$137</f>
        <v>59.98948</v>
      </c>
      <c r="I11" s="133">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3"/>
      <c r="AW11" s="123"/>
      <c r="AX11" s="136"/>
      <c r="AY11" s="130"/>
      <c r="AZ11" s="136"/>
      <c r="BA11" s="136"/>
      <c r="BB11" s="136"/>
      <c r="BC11" s="123"/>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4">
        <v>162.093333333333</v>
      </c>
      <c r="BT11" s="124">
        <v>162.093333333333</v>
      </c>
      <c r="BU11" s="124">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4"/>
      <c r="BT12" s="124"/>
      <c r="BU12" s="124"/>
    </row>
    <row r="14" s="12" customFormat="1" spans="2:73">
      <c r="AM14" s="12">
        <f>AM2/AL2</f>
        <v>0.97009300335864</v>
      </c>
      <c r="AN14" s="12">
        <f>AN2/AM2</f>
        <v>0.965830393974778</v>
      </c>
      <c r="AO14" s="12">
        <f>AO2/AN2</f>
        <v>0.96056834126246</v>
      </c>
      <c r="BS14" s="124"/>
      <c r="BT14" s="124"/>
      <c r="BU14" s="124"/>
    </row>
    <row r="15" spans="2:73">
      <c r="AX15" t="s">
        <v>62</v>
      </c>
      <c r="AY15"/>
      <c r="AZ15" s="130"/>
      <c r="BE15" s="12" t="s">
        <v>63</v>
      </c>
      <c r="BL15" s="12" t="s">
        <v>62</v>
      </c>
    </row>
    <row r="16" s="12" customFormat="1" spans="2:73">
      <c r="AX16" s="130" t="s">
        <v>65</v>
      </c>
      <c r="AY16" s="130" t="s">
        <v>41</v>
      </c>
      <c r="AZ16" s="134" t="s">
        <v>66</v>
      </c>
      <c r="BA16" s="134" t="s">
        <v>11</v>
      </c>
      <c r="BB16" s="134" t="s">
        <v>25</v>
      </c>
      <c r="BE16" s="12" t="s">
        <v>65</v>
      </c>
      <c r="BF16" s="12" t="s">
        <v>41</v>
      </c>
      <c r="BG16" s="12" t="s">
        <v>66</v>
      </c>
      <c r="BH16" s="12" t="s">
        <v>11</v>
      </c>
      <c r="BI16" s="12" t="s">
        <v>25</v>
      </c>
      <c r="BL16" s="12" t="s">
        <v>65</v>
      </c>
      <c r="BM16" s="12" t="s">
        <v>41</v>
      </c>
      <c r="BN16" s="12" t="s">
        <v>66</v>
      </c>
      <c r="BO16" s="12" t="s">
        <v>11</v>
      </c>
      <c r="BP16" s="12" t="s">
        <v>25</v>
      </c>
      <c r="BS16" s="124" t="s">
        <v>66</v>
      </c>
      <c r="BT16" s="124" t="s">
        <v>11</v>
      </c>
      <c r="BU16" s="124" t="s">
        <v>25</v>
      </c>
    </row>
    <row r="17" s="12" customFormat="1" spans="2:73">
      <c r="AX17" s="130" t="s">
        <v>67</v>
      </c>
      <c r="AY17" s="130">
        <v>2025</v>
      </c>
      <c r="AZ17" s="130">
        <f t="shared" ref="AZ17:AZ24" si="18">AZ4*AJ2/AI2</f>
        <v>72.9190245476188</v>
      </c>
      <c r="BA17" s="130">
        <f>BA4*AJ2/AI2</f>
        <v>50.3343907857141</v>
      </c>
      <c r="BB17" s="130">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4">
        <v>72.9190245476188</v>
      </c>
      <c r="BT17" s="124">
        <v>50.3343907857141</v>
      </c>
      <c r="BU17" s="124">
        <v>96.9055810714282</v>
      </c>
    </row>
    <row r="18" s="12" customFormat="1" spans="2:73">
      <c r="AX18" s="130" t="s">
        <v>72</v>
      </c>
      <c r="AY18" s="130">
        <f t="shared" ref="AY18:AY24" si="21">AY17</f>
        <v>2025</v>
      </c>
      <c r="AZ18" s="130">
        <f t="shared" si="18"/>
        <v>86.5492299999997</v>
      </c>
      <c r="BA18" s="130">
        <f t="shared" ref="BA18:BA24" si="22">BA5*AJ3/AI3</f>
        <v>60.1668396428569</v>
      </c>
      <c r="BB18" s="130">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4">
        <v>86.5492299999997</v>
      </c>
      <c r="BT18" s="124">
        <v>60.1668396428569</v>
      </c>
      <c r="BU18" s="124">
        <v>114.5390775</v>
      </c>
    </row>
    <row r="19" s="12" customFormat="1" spans="2:73">
      <c r="AX19" s="130" t="s">
        <v>76</v>
      </c>
      <c r="AY19" s="130">
        <f t="shared" si="21"/>
        <v>2025</v>
      </c>
      <c r="AZ19" s="130">
        <f t="shared" si="18"/>
        <v>77.4225534047616</v>
      </c>
      <c r="BA19" s="130">
        <f t="shared" si="22"/>
        <v>50.8920477857141</v>
      </c>
      <c r="BB19" s="130">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4">
        <v>77.4225534047616</v>
      </c>
      <c r="BT19" s="124">
        <v>50.8920477857141</v>
      </c>
      <c r="BU19" s="124">
        <v>105.526078</v>
      </c>
    </row>
    <row r="20" s="12" customFormat="1" spans="2:73">
      <c r="AX20" s="130" t="s">
        <v>80</v>
      </c>
      <c r="AY20" s="130">
        <f t="shared" si="21"/>
        <v>2025</v>
      </c>
      <c r="AZ20" s="130">
        <f t="shared" si="18"/>
        <v>77.5802813571426</v>
      </c>
      <c r="BA20" s="130">
        <f t="shared" si="22"/>
        <v>50.400412642857</v>
      </c>
      <c r="BB20" s="130">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4">
        <v>77.5802813571426</v>
      </c>
      <c r="BT20" s="124">
        <v>50.400412642857</v>
      </c>
      <c r="BU20" s="124">
        <v>106.411766928571</v>
      </c>
    </row>
    <row r="21" s="12" customFormat="1" spans="2:73">
      <c r="AX21" s="130" t="s">
        <v>85</v>
      </c>
      <c r="AY21" s="130">
        <f t="shared" si="21"/>
        <v>2025</v>
      </c>
      <c r="AZ21" s="130">
        <f t="shared" si="18"/>
        <v>81.727145833333</v>
      </c>
      <c r="BA21" s="130">
        <f t="shared" si="22"/>
        <v>53.8549849999998</v>
      </c>
      <c r="BB21" s="130">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4">
        <v>81.727145833333</v>
      </c>
      <c r="BT21" s="124">
        <v>53.8549849999998</v>
      </c>
      <c r="BU21" s="124">
        <v>111.2783525</v>
      </c>
    </row>
    <row r="22" s="12" customFormat="1" spans="2:73">
      <c r="AX22" s="130" t="s">
        <v>89</v>
      </c>
      <c r="AY22" s="130">
        <f t="shared" si="21"/>
        <v>2025</v>
      </c>
      <c r="AZ22" s="130">
        <f t="shared" si="18"/>
        <v>78.8508679761902</v>
      </c>
      <c r="BA22" s="130">
        <f t="shared" si="22"/>
        <v>52.0133489285712</v>
      </c>
      <c r="BB22" s="130">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4">
        <v>78.8508679761902</v>
      </c>
      <c r="BT22" s="124">
        <v>52.0133489285712</v>
      </c>
      <c r="BU22" s="124">
        <v>107.289872142857</v>
      </c>
    </row>
    <row r="23" s="12" customFormat="1" spans="2:73">
      <c r="AX23" s="130" t="s">
        <v>93</v>
      </c>
      <c r="AY23" s="130">
        <f t="shared" si="21"/>
        <v>2025</v>
      </c>
      <c r="AZ23" s="130">
        <f t="shared" si="18"/>
        <v>81.2370619047616</v>
      </c>
      <c r="BA23" s="130">
        <f t="shared" si="22"/>
        <v>54.4190282857141</v>
      </c>
      <c r="BB23" s="130">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4">
        <v>81.2370619047616</v>
      </c>
      <c r="BT23" s="124">
        <v>54.4190282857141</v>
      </c>
      <c r="BU23" s="124">
        <v>109.650457428571</v>
      </c>
    </row>
    <row r="24" s="12" customFormat="1" spans="2:73">
      <c r="AW24" s="123"/>
      <c r="AX24" s="136"/>
      <c r="AY24" s="130"/>
      <c r="AZ24" s="130"/>
      <c r="BA24" s="130"/>
      <c r="BB24" s="130"/>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4">
        <v>147.041809523809</v>
      </c>
      <c r="BT24" s="124">
        <v>147.041809523809</v>
      </c>
      <c r="BU24" s="124">
        <v>147.041809523809</v>
      </c>
    </row>
    <row r="25" s="123" customFormat="1" spans="2:73">
      <c r="AV25" s="12"/>
      <c r="AW25" s="12"/>
      <c r="AX25" s="12"/>
      <c r="AY25" s="12"/>
      <c r="AZ25" s="12"/>
      <c r="BA25" s="12"/>
      <c r="BB25" s="12"/>
      <c r="BC25" s="12"/>
      <c r="BS25" s="137"/>
      <c r="BT25" s="137"/>
      <c r="BU25" s="137"/>
    </row>
    <row r="30" spans="2:73">
      <c r="AX30" t="s">
        <v>62</v>
      </c>
      <c r="AY30"/>
      <c r="AZ30" s="130"/>
      <c r="BE30" s="12" t="s">
        <v>63</v>
      </c>
      <c r="BL30" s="12" t="s">
        <v>62</v>
      </c>
    </row>
    <row r="31" spans="2:73">
      <c r="AW31" s="138"/>
      <c r="AX31" s="130" t="s">
        <v>65</v>
      </c>
      <c r="AY31" s="130" t="s">
        <v>41</v>
      </c>
      <c r="AZ31" s="134" t="s">
        <v>66</v>
      </c>
      <c r="BA31" s="134" t="s">
        <v>11</v>
      </c>
      <c r="BB31" s="134" t="s">
        <v>25</v>
      </c>
      <c r="BE31" s="12" t="s">
        <v>65</v>
      </c>
      <c r="BF31" s="12" t="s">
        <v>41</v>
      </c>
      <c r="BG31" s="12" t="s">
        <v>66</v>
      </c>
      <c r="BH31" s="12" t="s">
        <v>11</v>
      </c>
      <c r="BI31" s="12" t="s">
        <v>25</v>
      </c>
      <c r="BL31" s="12" t="s">
        <v>65</v>
      </c>
      <c r="BM31" s="12" t="s">
        <v>41</v>
      </c>
      <c r="BN31" s="12" t="s">
        <v>66</v>
      </c>
      <c r="BO31" s="12" t="s">
        <v>11</v>
      </c>
      <c r="BP31" s="12" t="s">
        <v>25</v>
      </c>
      <c r="BS31" s="124" t="s">
        <v>66</v>
      </c>
      <c r="BT31" s="124" t="s">
        <v>11</v>
      </c>
      <c r="BU31" s="124" t="s">
        <v>25</v>
      </c>
    </row>
    <row r="32" spans="2:73">
      <c r="B32" s="47" t="s">
        <v>99</v>
      </c>
      <c r="C32" s="47" t="s">
        <v>100</v>
      </c>
      <c r="AW32" s="130"/>
      <c r="AX32" s="130" t="s">
        <v>67</v>
      </c>
      <c r="AY32" s="130">
        <v>2030</v>
      </c>
      <c r="AZ32" s="130">
        <f>AZ17*AK2/AJ2</f>
        <v>63.1582102380952</v>
      </c>
      <c r="BA32" s="130">
        <f>BA17*AK2/AJ2</f>
        <v>43.5967164285714</v>
      </c>
      <c r="BB32" s="130">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4">
        <v>63.1582102380952</v>
      </c>
      <c r="BT32" s="124">
        <v>43.5967164285714</v>
      </c>
      <c r="BU32" s="124">
        <v>83.9339678571427</v>
      </c>
    </row>
    <row r="33" spans="2:73">
      <c r="B33" s="47">
        <v>121.57</v>
      </c>
      <c r="C33" s="47">
        <f>B33/0.75</f>
        <v>162.093333333333</v>
      </c>
      <c r="AW33" s="130"/>
      <c r="AX33" s="130" t="s">
        <v>72</v>
      </c>
      <c r="AY33" s="130">
        <f t="shared" ref="AY33:AY39" si="28">AY32</f>
        <v>2030</v>
      </c>
      <c r="AZ33" s="130">
        <f t="shared" ref="AZ33:AZ39" si="29">AZ18*AK3/AJ3</f>
        <v>74.9638999999999</v>
      </c>
      <c r="BA33" s="130">
        <f t="shared" ref="BA33:BA39" si="30">BA18*AK3/AJ3</f>
        <v>52.1130107142856</v>
      </c>
      <c r="BB33" s="130">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4">
        <v>74.9638999999999</v>
      </c>
      <c r="BT33" s="124">
        <v>52.1130107142856</v>
      </c>
      <c r="BU33" s="124">
        <v>99.2070749999999</v>
      </c>
    </row>
    <row r="34" spans="2:73">
      <c r="AW34" s="130"/>
      <c r="AX34" s="130" t="s">
        <v>76</v>
      </c>
      <c r="AY34" s="130">
        <f t="shared" si="28"/>
        <v>2030</v>
      </c>
      <c r="AZ34" s="130">
        <f t="shared" si="29"/>
        <v>67.0589045238094</v>
      </c>
      <c r="BA34" s="130">
        <f t="shared" si="30"/>
        <v>44.0797264285714</v>
      </c>
      <c r="BB34" s="130">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4">
        <v>67.0589045238094</v>
      </c>
      <c r="BT34" s="124">
        <v>44.0797264285714</v>
      </c>
      <c r="BU34" s="124">
        <v>91.4005399999999</v>
      </c>
    </row>
    <row r="35" spans="2:73">
      <c r="AW35" s="130"/>
      <c r="AX35" s="130" t="s">
        <v>80</v>
      </c>
      <c r="AY35" s="130">
        <f t="shared" si="28"/>
        <v>2030</v>
      </c>
      <c r="AZ35" s="130">
        <f t="shared" si="29"/>
        <v>67.1955192857142</v>
      </c>
      <c r="BA35" s="130">
        <f t="shared" si="30"/>
        <v>43.6539007142857</v>
      </c>
      <c r="BB35" s="130">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4">
        <v>67.1955192857142</v>
      </c>
      <c r="BT35" s="124">
        <v>43.6539007142857</v>
      </c>
      <c r="BU35" s="124">
        <v>92.167672142857</v>
      </c>
    </row>
    <row r="36" spans="2:73">
      <c r="AW36" s="130"/>
      <c r="AX36" s="130" t="s">
        <v>85</v>
      </c>
      <c r="AY36" s="130">
        <f t="shared" si="28"/>
        <v>2030</v>
      </c>
      <c r="AZ36" s="130">
        <f t="shared" si="29"/>
        <v>70.7872916666665</v>
      </c>
      <c r="BA36" s="130">
        <f t="shared" si="30"/>
        <v>46.6460499999999</v>
      </c>
      <c r="BB36" s="130">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4">
        <v>70.7872916666665</v>
      </c>
      <c r="BT36" s="124">
        <v>46.6460499999999</v>
      </c>
      <c r="BU36" s="124">
        <v>96.3828249999999</v>
      </c>
    </row>
    <row r="37" spans="2:73">
      <c r="AW37" s="130"/>
      <c r="AX37" s="130" t="s">
        <v>89</v>
      </c>
      <c r="AY37" s="130">
        <f t="shared" si="28"/>
        <v>2030</v>
      </c>
      <c r="AZ37" s="130">
        <f t="shared" si="29"/>
        <v>68.2960273809523</v>
      </c>
      <c r="BA37" s="130">
        <f t="shared" si="30"/>
        <v>45.0509321428571</v>
      </c>
      <c r="BB37" s="130">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4">
        <v>68.2960273809523</v>
      </c>
      <c r="BT37" s="124">
        <v>45.0509321428571</v>
      </c>
      <c r="BU37" s="124">
        <v>92.9282357142856</v>
      </c>
    </row>
    <row r="38" spans="2:73">
      <c r="AW38" s="130"/>
      <c r="AX38" s="130" t="s">
        <v>93</v>
      </c>
      <c r="AY38" s="130">
        <f t="shared" si="28"/>
        <v>2030</v>
      </c>
      <c r="AZ38" s="130">
        <f t="shared" si="29"/>
        <v>70.3628095238094</v>
      </c>
      <c r="BA38" s="130">
        <f t="shared" si="30"/>
        <v>47.1345914285714</v>
      </c>
      <c r="BB38" s="130">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4">
        <v>70.3628095238094</v>
      </c>
      <c r="BT38" s="124">
        <v>47.1345914285714</v>
      </c>
      <c r="BU38" s="124">
        <v>94.972837142857</v>
      </c>
    </row>
    <row r="39" spans="2:73">
      <c r="AW39" s="136"/>
      <c r="AX39" s="136"/>
      <c r="AY39" s="130"/>
      <c r="AZ39" s="130"/>
      <c r="BA39" s="130"/>
      <c r="BB39" s="130"/>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4">
        <v>127.359047619047</v>
      </c>
      <c r="BT39" s="124">
        <v>127.359047619047</v>
      </c>
      <c r="BU39" s="124">
        <v>127.359047619047</v>
      </c>
    </row>
    <row r="44" spans="2:73">
      <c r="AX44" t="s">
        <v>62</v>
      </c>
      <c r="AY44"/>
      <c r="AZ44" s="130"/>
      <c r="BE44" s="12" t="s">
        <v>63</v>
      </c>
      <c r="BL44" s="12" t="s">
        <v>62</v>
      </c>
    </row>
    <row r="45" spans="2:73">
      <c r="AX45" s="130" t="s">
        <v>65</v>
      </c>
      <c r="AY45" s="130" t="s">
        <v>41</v>
      </c>
      <c r="AZ45" s="134" t="s">
        <v>66</v>
      </c>
      <c r="BA45" s="134" t="s">
        <v>11</v>
      </c>
      <c r="BB45" s="134" t="s">
        <v>25</v>
      </c>
      <c r="BE45" s="12" t="s">
        <v>65</v>
      </c>
      <c r="BF45" s="12" t="s">
        <v>41</v>
      </c>
      <c r="BG45" s="12" t="s">
        <v>66</v>
      </c>
      <c r="BH45" s="12" t="s">
        <v>11</v>
      </c>
      <c r="BI45" s="12" t="s">
        <v>25</v>
      </c>
      <c r="BL45" s="12" t="s">
        <v>65</v>
      </c>
      <c r="BM45" s="12" t="s">
        <v>41</v>
      </c>
      <c r="BN45" s="12" t="s">
        <v>66</v>
      </c>
      <c r="BO45" s="12" t="s">
        <v>11</v>
      </c>
      <c r="BP45" s="12" t="s">
        <v>25</v>
      </c>
      <c r="BS45" s="124" t="s">
        <v>66</v>
      </c>
      <c r="BT45" s="124" t="s">
        <v>11</v>
      </c>
      <c r="BU45" s="124" t="s">
        <v>25</v>
      </c>
    </row>
    <row r="46" spans="2:73">
      <c r="B46"/>
      <c r="C46" s="130"/>
      <c r="AX46" s="130" t="s">
        <v>67</v>
      </c>
      <c r="AY46" s="130">
        <v>2035</v>
      </c>
      <c r="AZ46" s="130">
        <f>AZ32*AL2/AK2</f>
        <v>57.4165547619049</v>
      </c>
      <c r="BA46" s="130">
        <f>BA32*AL2/AK2</f>
        <v>39.6333785714287</v>
      </c>
      <c r="BB46" s="130">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4">
        <v>57.4165547619049</v>
      </c>
      <c r="BT46" s="124">
        <v>39.6333785714287</v>
      </c>
      <c r="BU46" s="124">
        <v>76.3036071428573</v>
      </c>
    </row>
    <row r="47" spans="2:73">
      <c r="B47" s="130"/>
      <c r="C47" s="134"/>
      <c r="D47" s="134"/>
      <c r="E47" s="134"/>
      <c r="AX47" s="130" t="s">
        <v>72</v>
      </c>
      <c r="AY47" s="130">
        <f t="shared" ref="AY47:AY53" si="40">AY46</f>
        <v>2035</v>
      </c>
      <c r="AZ47" s="130">
        <f t="shared" ref="AZ47:AZ53" si="41">AZ33*AL3/AK3</f>
        <v>68.1490000000002</v>
      </c>
      <c r="BA47" s="130">
        <f t="shared" ref="BA47:BA53" si="42">BA33*AL3/AK3</f>
        <v>47.3754642857144</v>
      </c>
      <c r="BB47" s="130">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4">
        <v>68.1490000000002</v>
      </c>
      <c r="BT47" s="124">
        <v>47.3754642857144</v>
      </c>
      <c r="BU47" s="124">
        <v>90.1882500000002</v>
      </c>
    </row>
    <row r="48" spans="2:73">
      <c r="B48" s="130"/>
      <c r="C48" s="130"/>
      <c r="D48" s="130"/>
      <c r="E48" s="130"/>
      <c r="AX48" s="130" t="s">
        <v>76</v>
      </c>
      <c r="AY48" s="130">
        <f t="shared" si="40"/>
        <v>2035</v>
      </c>
      <c r="AZ48" s="130">
        <f t="shared" si="41"/>
        <v>60.9626404761906</v>
      </c>
      <c r="BA48" s="130">
        <f t="shared" si="42"/>
        <v>40.0724785714287</v>
      </c>
      <c r="BB48" s="130">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4">
        <v>60.9626404761906</v>
      </c>
      <c r="BT48" s="124">
        <v>40.0724785714287</v>
      </c>
      <c r="BU48" s="124">
        <v>83.0914000000002</v>
      </c>
    </row>
    <row r="49" spans="2:73">
      <c r="B49" s="130"/>
      <c r="C49" s="130"/>
      <c r="D49" s="130"/>
      <c r="E49" s="130"/>
      <c r="AX49" s="130" t="s">
        <v>80</v>
      </c>
      <c r="AY49" s="130">
        <f t="shared" si="40"/>
        <v>2035</v>
      </c>
      <c r="AZ49" s="130">
        <f t="shared" si="41"/>
        <v>61.0868357142859</v>
      </c>
      <c r="BA49" s="130">
        <f t="shared" si="42"/>
        <v>39.6853642857144</v>
      </c>
      <c r="BB49" s="130">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4">
        <v>61.0868357142859</v>
      </c>
      <c r="BT49" s="124">
        <v>39.6853642857144</v>
      </c>
      <c r="BU49" s="124">
        <v>83.7887928571431</v>
      </c>
    </row>
    <row r="50" spans="2:73">
      <c r="B50" s="130"/>
      <c r="C50" s="130"/>
      <c r="D50" s="130"/>
      <c r="E50" s="130"/>
      <c r="AX50" s="130" t="s">
        <v>85</v>
      </c>
      <c r="AY50" s="130">
        <f t="shared" si="40"/>
        <v>2035</v>
      </c>
      <c r="AZ50" s="130">
        <f t="shared" si="41"/>
        <v>64.3520833333335</v>
      </c>
      <c r="BA50" s="130">
        <f t="shared" si="42"/>
        <v>42.4055000000001</v>
      </c>
      <c r="BB50" s="130">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4">
        <v>64.3520833333335</v>
      </c>
      <c r="BT50" s="124">
        <v>42.4055000000001</v>
      </c>
      <c r="BU50" s="124">
        <v>87.6207500000002</v>
      </c>
    </row>
    <row r="51" spans="2:73">
      <c r="B51" s="130"/>
      <c r="C51" s="130"/>
      <c r="D51" s="130"/>
      <c r="E51" s="130"/>
      <c r="AX51" s="130" t="s">
        <v>89</v>
      </c>
      <c r="AY51" s="130">
        <f t="shared" si="40"/>
        <v>2035</v>
      </c>
      <c r="AZ51" s="130">
        <f t="shared" si="41"/>
        <v>62.0872976190478</v>
      </c>
      <c r="BA51" s="130">
        <f t="shared" si="42"/>
        <v>40.955392857143</v>
      </c>
      <c r="BB51" s="130">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4">
        <v>62.0872976190478</v>
      </c>
      <c r="BT51" s="124">
        <v>40.955392857143</v>
      </c>
      <c r="BU51" s="124">
        <v>84.4802142857145</v>
      </c>
    </row>
    <row r="52" spans="2:73">
      <c r="B52" s="130"/>
      <c r="C52" s="130"/>
      <c r="D52" s="130"/>
      <c r="E52" s="130"/>
      <c r="AX52" s="130" t="s">
        <v>93</v>
      </c>
      <c r="AY52" s="130">
        <f t="shared" si="40"/>
        <v>2035</v>
      </c>
      <c r="AZ52" s="130">
        <f t="shared" si="41"/>
        <v>63.9661904761907</v>
      </c>
      <c r="BA52" s="130">
        <f t="shared" si="42"/>
        <v>42.8496285714287</v>
      </c>
      <c r="BB52" s="130">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4">
        <v>63.9661904761907</v>
      </c>
      <c r="BT52" s="124">
        <v>42.8496285714287</v>
      </c>
      <c r="BU52" s="124">
        <v>86.3389428571431</v>
      </c>
    </row>
    <row r="53" spans="2:73">
      <c r="B53" s="130"/>
      <c r="C53" s="130"/>
      <c r="D53" s="130"/>
      <c r="E53" s="130"/>
      <c r="AW53" s="123"/>
      <c r="AX53" s="136"/>
      <c r="AY53" s="130"/>
      <c r="AZ53" s="130"/>
      <c r="BA53" s="130"/>
      <c r="BB53" s="130"/>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4">
        <v>115.780952380953</v>
      </c>
      <c r="BT53" s="124">
        <v>115.780952380953</v>
      </c>
      <c r="BU53" s="124">
        <v>115.780952380953</v>
      </c>
    </row>
    <row r="54" spans="2:73">
      <c r="B54" s="130"/>
      <c r="C54" s="130"/>
      <c r="D54" s="130"/>
      <c r="E54" s="130"/>
    </row>
    <row r="55" spans="2:73">
      <c r="B55" s="139"/>
      <c r="C55" s="140"/>
      <c r="D55" s="140"/>
      <c r="E55" s="140"/>
    </row>
    <row r="58" spans="2:73">
      <c r="AX58" t="s">
        <v>62</v>
      </c>
      <c r="AY58"/>
      <c r="AZ58" s="130"/>
      <c r="BE58" s="12" t="s">
        <v>63</v>
      </c>
      <c r="BL58" s="12" t="s">
        <v>62</v>
      </c>
    </row>
    <row r="59" spans="2:73">
      <c r="AX59" s="130" t="s">
        <v>65</v>
      </c>
      <c r="AY59" s="130" t="s">
        <v>41</v>
      </c>
      <c r="AZ59" s="134" t="s">
        <v>66</v>
      </c>
      <c r="BA59" s="134" t="s">
        <v>11</v>
      </c>
      <c r="BB59" s="134" t="s">
        <v>25</v>
      </c>
      <c r="BE59" s="12" t="s">
        <v>65</v>
      </c>
      <c r="BF59" s="12" t="s">
        <v>41</v>
      </c>
      <c r="BG59" s="12" t="s">
        <v>66</v>
      </c>
      <c r="BH59" s="12" t="s">
        <v>11</v>
      </c>
      <c r="BI59" s="12" t="s">
        <v>25</v>
      </c>
      <c r="BL59" s="12" t="s">
        <v>65</v>
      </c>
      <c r="BM59" s="12" t="s">
        <v>41</v>
      </c>
      <c r="BN59" s="12" t="s">
        <v>66</v>
      </c>
      <c r="BO59" s="12" t="s">
        <v>11</v>
      </c>
      <c r="BP59" s="12" t="s">
        <v>25</v>
      </c>
      <c r="BS59" s="124" t="s">
        <v>66</v>
      </c>
      <c r="BT59" s="124" t="s">
        <v>11</v>
      </c>
      <c r="BU59" s="124" t="s">
        <v>25</v>
      </c>
    </row>
    <row r="60" spans="2:73">
      <c r="AX60" s="130" t="s">
        <v>67</v>
      </c>
      <c r="AY60" s="130">
        <v>2040</v>
      </c>
      <c r="AZ60" s="130">
        <f>AZ46*0.97</f>
        <v>55.6940581190478</v>
      </c>
      <c r="BA60" s="130">
        <f>BA46*0.97</f>
        <v>38.4443772142858</v>
      </c>
      <c r="BB60" s="130">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4">
        <v>55.6940581190478</v>
      </c>
      <c r="BT60" s="124">
        <v>38.4443772142858</v>
      </c>
      <c r="BU60" s="124">
        <v>74.0144989285716</v>
      </c>
    </row>
    <row r="61" spans="2:73">
      <c r="AX61" s="130" t="s">
        <v>72</v>
      </c>
      <c r="AY61" s="130">
        <f t="shared" ref="AY61:AY67" si="50">AY60</f>
        <v>2040</v>
      </c>
      <c r="AZ61" s="130">
        <f t="shared" ref="AZ61:AZ67" si="51">AZ47*0.97</f>
        <v>66.1045300000002</v>
      </c>
      <c r="BA61" s="130">
        <f t="shared" ref="BA61:BA67" si="52">BA47*0.97</f>
        <v>45.954200357143</v>
      </c>
      <c r="BB61" s="130">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4">
        <v>66.1045300000002</v>
      </c>
      <c r="BT61" s="124">
        <v>45.954200357143</v>
      </c>
      <c r="BU61" s="124">
        <v>87.4826025000002</v>
      </c>
    </row>
    <row r="62" spans="2:73">
      <c r="AX62" s="130" t="s">
        <v>76</v>
      </c>
      <c r="AY62" s="130">
        <f t="shared" si="50"/>
        <v>2040</v>
      </c>
      <c r="AZ62" s="130">
        <f t="shared" si="51"/>
        <v>59.1337612619049</v>
      </c>
      <c r="BA62" s="130">
        <f t="shared" si="52"/>
        <v>38.8703042142858</v>
      </c>
      <c r="BB62" s="130">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4">
        <v>59.1337612619049</v>
      </c>
      <c r="BT62" s="124">
        <v>38.8703042142858</v>
      </c>
      <c r="BU62" s="124">
        <v>80.5986580000002</v>
      </c>
    </row>
    <row r="63" spans="2:73">
      <c r="AX63" s="130" t="s">
        <v>80</v>
      </c>
      <c r="AY63" s="130">
        <f t="shared" si="50"/>
        <v>2040</v>
      </c>
      <c r="AZ63" s="130">
        <f t="shared" si="51"/>
        <v>59.2542306428573</v>
      </c>
      <c r="BA63" s="130">
        <f t="shared" si="52"/>
        <v>38.494803357143</v>
      </c>
      <c r="BB63" s="130">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4">
        <v>59.2542306428573</v>
      </c>
      <c r="BT63" s="124">
        <v>38.494803357143</v>
      </c>
      <c r="BU63" s="124">
        <v>81.2751290714288</v>
      </c>
    </row>
    <row r="64" spans="2:73">
      <c r="AX64" s="130" t="s">
        <v>85</v>
      </c>
      <c r="AY64" s="130">
        <f t="shared" si="50"/>
        <v>2040</v>
      </c>
      <c r="AZ64" s="130">
        <f t="shared" si="51"/>
        <v>62.4215208333334</v>
      </c>
      <c r="BA64" s="130">
        <f t="shared" si="52"/>
        <v>41.1333350000001</v>
      </c>
      <c r="BB64" s="130">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4">
        <v>62.4215208333334</v>
      </c>
      <c r="BT64" s="124">
        <v>41.1333350000001</v>
      </c>
      <c r="BU64" s="124">
        <v>84.9921275000002</v>
      </c>
    </row>
    <row r="65" spans="49:73">
      <c r="AX65" s="130" t="s">
        <v>89</v>
      </c>
      <c r="AY65" s="130">
        <f t="shared" si="50"/>
        <v>2040</v>
      </c>
      <c r="AZ65" s="130">
        <f t="shared" si="51"/>
        <v>60.2246786904764</v>
      </c>
      <c r="BA65" s="130">
        <f t="shared" si="52"/>
        <v>39.7267310714287</v>
      </c>
      <c r="BB65" s="130">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4">
        <v>60.2246786904764</v>
      </c>
      <c r="BT65" s="124">
        <v>39.7267310714287</v>
      </c>
      <c r="BU65" s="124">
        <v>81.9458078571431</v>
      </c>
    </row>
    <row r="66" spans="49:73">
      <c r="AX66" s="130" t="s">
        <v>93</v>
      </c>
      <c r="AY66" s="130">
        <f t="shared" si="50"/>
        <v>2040</v>
      </c>
      <c r="AZ66" s="130">
        <f t="shared" si="51"/>
        <v>62.0472047619049</v>
      </c>
      <c r="BA66" s="130">
        <f t="shared" si="52"/>
        <v>41.5641397142858</v>
      </c>
      <c r="BB66" s="130">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4">
        <v>62.0472047619049</v>
      </c>
      <c r="BT66" s="124">
        <v>41.5641397142858</v>
      </c>
      <c r="BU66" s="124">
        <v>83.7487745714288</v>
      </c>
    </row>
    <row r="67" spans="49:73">
      <c r="AW67" s="123"/>
      <c r="AX67" s="136"/>
      <c r="AY67" s="130"/>
      <c r="AZ67" s="130"/>
      <c r="BA67" s="130"/>
      <c r="BB67" s="130"/>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4">
        <v>112.307523809524</v>
      </c>
      <c r="BT67" s="124">
        <v>112.307523809524</v>
      </c>
      <c r="BU67" s="124">
        <v>112.307523809524</v>
      </c>
    </row>
    <row r="74" spans="49:73">
      <c r="AX74" t="s">
        <v>62</v>
      </c>
      <c r="AY74"/>
      <c r="AZ74" s="130"/>
      <c r="BE74" s="12" t="s">
        <v>63</v>
      </c>
      <c r="BL74" s="12" t="s">
        <v>62</v>
      </c>
    </row>
    <row r="75" spans="49:73">
      <c r="AX75" s="130" t="s">
        <v>65</v>
      </c>
      <c r="AY75" s="130" t="s">
        <v>41</v>
      </c>
      <c r="AZ75" s="134" t="s">
        <v>66</v>
      </c>
      <c r="BA75" s="134" t="s">
        <v>11</v>
      </c>
      <c r="BB75" s="134" t="s">
        <v>25</v>
      </c>
      <c r="BE75" s="12" t="s">
        <v>65</v>
      </c>
      <c r="BF75" s="12" t="s">
        <v>41</v>
      </c>
      <c r="BG75" s="12" t="s">
        <v>66</v>
      </c>
      <c r="BH75" s="12" t="s">
        <v>11</v>
      </c>
      <c r="BI75" s="12" t="s">
        <v>25</v>
      </c>
      <c r="BL75" s="12" t="s">
        <v>65</v>
      </c>
      <c r="BM75" s="12" t="s">
        <v>41</v>
      </c>
      <c r="BN75" s="12" t="s">
        <v>66</v>
      </c>
      <c r="BO75" s="12" t="s">
        <v>11</v>
      </c>
      <c r="BP75" s="12" t="s">
        <v>25</v>
      </c>
      <c r="BS75" s="124" t="s">
        <v>66</v>
      </c>
      <c r="BT75" s="124" t="s">
        <v>11</v>
      </c>
      <c r="BU75" s="124" t="s">
        <v>25</v>
      </c>
    </row>
    <row r="76" spans="49:73">
      <c r="AX76" s="130" t="s">
        <v>67</v>
      </c>
      <c r="AY76" s="130">
        <v>2045</v>
      </c>
      <c r="AZ76" s="130">
        <f>AZ60*0.96</f>
        <v>53.4662957942859</v>
      </c>
      <c r="BA76" s="130">
        <f>BA60*0.96</f>
        <v>36.9066021257144</v>
      </c>
      <c r="BB76" s="130">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4">
        <v>53.4662957942859</v>
      </c>
      <c r="BT76" s="124">
        <v>36.9066021257144</v>
      </c>
      <c r="BU76" s="124">
        <v>71.0539189714287</v>
      </c>
    </row>
    <row r="77" spans="49:73">
      <c r="AX77" s="130" t="s">
        <v>72</v>
      </c>
      <c r="AY77" s="130">
        <f t="shared" ref="AY77:AY83" si="60">AY76</f>
        <v>2045</v>
      </c>
      <c r="AZ77" s="130">
        <f t="shared" ref="AZ77:AZ83" si="61">AZ61*0.96</f>
        <v>63.4603488000002</v>
      </c>
      <c r="BA77" s="130">
        <f t="shared" ref="BA77:BA83" si="62">BA61*0.96</f>
        <v>44.1160323428573</v>
      </c>
      <c r="BB77" s="130">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4">
        <v>63.4603488000002</v>
      </c>
      <c r="BT77" s="124">
        <v>44.1160323428573</v>
      </c>
      <c r="BU77" s="124">
        <v>83.9832984000002</v>
      </c>
    </row>
    <row r="78" spans="49:73">
      <c r="AX78" s="130" t="s">
        <v>76</v>
      </c>
      <c r="AY78" s="130">
        <f t="shared" si="60"/>
        <v>2045</v>
      </c>
      <c r="AZ78" s="130">
        <f t="shared" si="61"/>
        <v>56.7684108114287</v>
      </c>
      <c r="BA78" s="130">
        <f t="shared" si="62"/>
        <v>37.3154920457144</v>
      </c>
      <c r="BB78" s="130">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4">
        <v>56.7684108114287</v>
      </c>
      <c r="BT78" s="124">
        <v>37.3154920457144</v>
      </c>
      <c r="BU78" s="124">
        <v>77.3747116800002</v>
      </c>
    </row>
    <row r="79" spans="49:73">
      <c r="AX79" s="130" t="s">
        <v>80</v>
      </c>
      <c r="AY79" s="130">
        <f t="shared" si="60"/>
        <v>2045</v>
      </c>
      <c r="AZ79" s="130">
        <f t="shared" si="61"/>
        <v>56.884061417143</v>
      </c>
      <c r="BA79" s="130">
        <f t="shared" si="62"/>
        <v>36.9550112228572</v>
      </c>
      <c r="BB79" s="130">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4">
        <v>56.884061417143</v>
      </c>
      <c r="BT79" s="124">
        <v>36.9550112228572</v>
      </c>
      <c r="BU79" s="124">
        <v>78.0241239085716</v>
      </c>
    </row>
    <row r="80" spans="49:73">
      <c r="AX80" s="130" t="s">
        <v>85</v>
      </c>
      <c r="AY80" s="130">
        <f t="shared" si="60"/>
        <v>2045</v>
      </c>
      <c r="AZ80" s="130">
        <f t="shared" si="61"/>
        <v>59.9246600000001</v>
      </c>
      <c r="BA80" s="130">
        <f t="shared" si="62"/>
        <v>39.4880016000001</v>
      </c>
      <c r="BB80" s="130">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4">
        <v>59.9246600000001</v>
      </c>
      <c r="BT80" s="124">
        <v>39.4880016000001</v>
      </c>
      <c r="BU80" s="124">
        <v>81.5924424000002</v>
      </c>
    </row>
    <row r="81" spans="49:73">
      <c r="AX81" s="130" t="s">
        <v>89</v>
      </c>
      <c r="AY81" s="130">
        <f t="shared" si="60"/>
        <v>2045</v>
      </c>
      <c r="AZ81" s="130">
        <f t="shared" si="61"/>
        <v>57.8156915428573</v>
      </c>
      <c r="BA81" s="130">
        <f t="shared" si="62"/>
        <v>38.1376618285715</v>
      </c>
      <c r="BB81" s="130">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4">
        <v>57.8156915428573</v>
      </c>
      <c r="BT81" s="124">
        <v>38.1376618285715</v>
      </c>
      <c r="BU81" s="124">
        <v>78.6679755428573</v>
      </c>
    </row>
    <row r="82" spans="49:73">
      <c r="AX82" s="130" t="s">
        <v>93</v>
      </c>
      <c r="AY82" s="130">
        <f t="shared" si="60"/>
        <v>2045</v>
      </c>
      <c r="AZ82" s="130">
        <f t="shared" si="61"/>
        <v>59.5653165714287</v>
      </c>
      <c r="BA82" s="130">
        <f t="shared" si="62"/>
        <v>39.9015741257144</v>
      </c>
      <c r="BB82" s="130">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4">
        <v>59.5653165714287</v>
      </c>
      <c r="BT82" s="124">
        <v>39.9015741257144</v>
      </c>
      <c r="BU82" s="124">
        <v>80.3988235885716</v>
      </c>
    </row>
    <row r="83" spans="49:73">
      <c r="AW83" s="123"/>
      <c r="AX83" s="136"/>
      <c r="AY83" s="130"/>
      <c r="AZ83" s="130"/>
      <c r="BA83" s="130"/>
      <c r="BB83" s="130"/>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4">
        <v>107.815222857143</v>
      </c>
      <c r="BT83" s="124">
        <v>107.815222857143</v>
      </c>
      <c r="BU83" s="124">
        <v>107.815222857143</v>
      </c>
    </row>
    <row r="87" spans="49:73">
      <c r="AX87" t="s">
        <v>62</v>
      </c>
      <c r="AY87"/>
      <c r="AZ87" s="130"/>
      <c r="BE87" s="12" t="s">
        <v>63</v>
      </c>
      <c r="BL87" s="12" t="s">
        <v>62</v>
      </c>
    </row>
    <row r="88" spans="49:73">
      <c r="AX88" s="130" t="s">
        <v>65</v>
      </c>
      <c r="AY88" s="130" t="s">
        <v>41</v>
      </c>
      <c r="AZ88" s="134" t="s">
        <v>66</v>
      </c>
      <c r="BA88" s="134" t="s">
        <v>11</v>
      </c>
      <c r="BB88" s="134" t="s">
        <v>25</v>
      </c>
      <c r="BE88" s="12" t="s">
        <v>65</v>
      </c>
      <c r="BF88" s="12" t="s">
        <v>41</v>
      </c>
      <c r="BG88" s="12" t="s">
        <v>66</v>
      </c>
      <c r="BH88" s="12" t="s">
        <v>11</v>
      </c>
      <c r="BI88" s="12" t="s">
        <v>25</v>
      </c>
      <c r="BL88" s="12" t="s">
        <v>65</v>
      </c>
      <c r="BM88" s="12" t="s">
        <v>41</v>
      </c>
      <c r="BN88" s="12" t="s">
        <v>66</v>
      </c>
      <c r="BO88" s="12" t="s">
        <v>11</v>
      </c>
      <c r="BP88" s="12" t="s">
        <v>25</v>
      </c>
      <c r="BS88" s="124" t="s">
        <v>66</v>
      </c>
      <c r="BT88" s="124" t="s">
        <v>11</v>
      </c>
      <c r="BU88" s="124" t="s">
        <v>25</v>
      </c>
    </row>
    <row r="89" spans="49:73">
      <c r="AX89" s="130" t="s">
        <v>67</v>
      </c>
      <c r="AY89" s="130">
        <v>2050</v>
      </c>
      <c r="AZ89" s="130">
        <f>AZ76*0.96</f>
        <v>51.3276439625144</v>
      </c>
      <c r="BA89" s="130">
        <f>BA76*0.96</f>
        <v>35.4303380406858</v>
      </c>
      <c r="BB89" s="130">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4">
        <v>51.3276439625144</v>
      </c>
      <c r="BT89" s="124">
        <v>35.4303380406858</v>
      </c>
      <c r="BU89" s="124">
        <v>68.2117622125716</v>
      </c>
    </row>
    <row r="90" spans="49:73">
      <c r="AX90" s="130" t="s">
        <v>72</v>
      </c>
      <c r="AY90" s="130">
        <f t="shared" ref="AY90:AY96" si="70">AY89</f>
        <v>2050</v>
      </c>
      <c r="AZ90" s="130">
        <f t="shared" ref="AZ90:BB90" si="71">AZ77*0.96</f>
        <v>60.9219348480002</v>
      </c>
      <c r="BA90" s="130">
        <f t="shared" si="71"/>
        <v>42.351391049143</v>
      </c>
      <c r="BB90" s="130">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4">
        <v>60.9219348480002</v>
      </c>
      <c r="BT90" s="124">
        <v>42.351391049143</v>
      </c>
      <c r="BU90" s="124">
        <v>80.6239664640002</v>
      </c>
    </row>
    <row r="91" spans="49:73">
      <c r="AX91" s="130" t="s">
        <v>76</v>
      </c>
      <c r="AY91" s="130">
        <f t="shared" si="70"/>
        <v>2050</v>
      </c>
      <c r="AZ91" s="130">
        <f t="shared" ref="AZ91:BB91" si="76">AZ78*0.96</f>
        <v>54.4976743789715</v>
      </c>
      <c r="BA91" s="130">
        <f t="shared" si="76"/>
        <v>35.8228723638858</v>
      </c>
      <c r="BB91" s="130">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4">
        <v>54.4976743789715</v>
      </c>
      <c r="BT91" s="124">
        <v>35.8228723638858</v>
      </c>
      <c r="BU91" s="124">
        <v>74.2797232128002</v>
      </c>
    </row>
    <row r="92" spans="49:73">
      <c r="AX92" s="130" t="s">
        <v>80</v>
      </c>
      <c r="AY92" s="130">
        <f t="shared" si="70"/>
        <v>2050</v>
      </c>
      <c r="AZ92" s="130">
        <f t="shared" ref="AZ92:BB92" si="77">AZ79*0.96</f>
        <v>54.6086989604573</v>
      </c>
      <c r="BA92" s="130">
        <f t="shared" si="77"/>
        <v>35.4768107739429</v>
      </c>
      <c r="BB92" s="130">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4">
        <v>54.6086989604573</v>
      </c>
      <c r="BT92" s="124">
        <v>35.4768107739429</v>
      </c>
      <c r="BU92" s="124">
        <v>74.9031589522287</v>
      </c>
    </row>
    <row r="93" spans="49:73">
      <c r="AX93" s="130" t="s">
        <v>85</v>
      </c>
      <c r="AY93" s="130">
        <f t="shared" si="70"/>
        <v>2050</v>
      </c>
      <c r="AZ93" s="130">
        <f t="shared" ref="AZ93:BB93" si="78">AZ80*0.96</f>
        <v>57.5276736000001</v>
      </c>
      <c r="BA93" s="130">
        <f t="shared" si="78"/>
        <v>37.9084815360001</v>
      </c>
      <c r="BB93" s="130">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4">
        <v>57.5276736000001</v>
      </c>
      <c r="BT93" s="124">
        <v>37.9084815360001</v>
      </c>
      <c r="BU93" s="124">
        <v>78.3287447040002</v>
      </c>
    </row>
    <row r="94" spans="49:73">
      <c r="AX94" s="130" t="s">
        <v>89</v>
      </c>
      <c r="AY94" s="130">
        <f t="shared" si="70"/>
        <v>2050</v>
      </c>
      <c r="AZ94" s="130">
        <f t="shared" ref="AZ94:BB94" si="79">AZ81*0.96</f>
        <v>55.503063881143</v>
      </c>
      <c r="BA94" s="130">
        <f t="shared" si="79"/>
        <v>36.6121553554287</v>
      </c>
      <c r="BB94" s="130">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4">
        <v>55.503063881143</v>
      </c>
      <c r="BT94" s="124">
        <v>36.6121553554287</v>
      </c>
      <c r="BU94" s="124">
        <v>75.521256521143</v>
      </c>
    </row>
    <row r="95" spans="49:73">
      <c r="AX95" s="130" t="s">
        <v>93</v>
      </c>
      <c r="AY95" s="130">
        <f t="shared" si="70"/>
        <v>2050</v>
      </c>
      <c r="AZ95" s="130">
        <f t="shared" ref="AZ95:BB95" si="80">AZ82*0.96</f>
        <v>57.1827039085716</v>
      </c>
      <c r="BA95" s="130">
        <f t="shared" si="80"/>
        <v>38.3055111606858</v>
      </c>
      <c r="BB95" s="130">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4">
        <v>57.1827039085716</v>
      </c>
      <c r="BT95" s="124">
        <v>38.3055111606858</v>
      </c>
      <c r="BU95" s="124">
        <v>77.1828706450288</v>
      </c>
    </row>
    <row r="96" spans="49:73">
      <c r="AW96" s="123"/>
      <c r="AX96" s="136"/>
      <c r="AY96" s="130"/>
      <c r="AZ96" s="130"/>
      <c r="BA96" s="130"/>
      <c r="BB96" s="130"/>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4">
        <v>103.502613942857</v>
      </c>
      <c r="BT96" s="124">
        <v>103.502613942857</v>
      </c>
      <c r="BU96" s="124">
        <v>103.502613942857</v>
      </c>
    </row>
    <row r="104" spans="50:73">
      <c r="AX104" t="s">
        <v>62</v>
      </c>
      <c r="AY104"/>
      <c r="AZ104" s="130"/>
      <c r="BE104" s="12" t="s">
        <v>63</v>
      </c>
      <c r="BL104" s="12" t="s">
        <v>62</v>
      </c>
    </row>
    <row r="105" spans="50:73">
      <c r="AX105" s="130" t="s">
        <v>65</v>
      </c>
      <c r="AY105" s="130" t="s">
        <v>41</v>
      </c>
      <c r="AZ105" s="134" t="s">
        <v>66</v>
      </c>
      <c r="BA105" s="134" t="s">
        <v>11</v>
      </c>
      <c r="BB105" s="134" t="s">
        <v>25</v>
      </c>
      <c r="BE105" s="12" t="s">
        <v>65</v>
      </c>
      <c r="BF105" s="12" t="s">
        <v>41</v>
      </c>
      <c r="BG105" s="12" t="s">
        <v>66</v>
      </c>
      <c r="BH105" s="12" t="s">
        <v>11</v>
      </c>
      <c r="BI105" s="12" t="s">
        <v>25</v>
      </c>
      <c r="BL105" s="12" t="s">
        <v>65</v>
      </c>
      <c r="BM105" s="12" t="s">
        <v>41</v>
      </c>
      <c r="BN105" s="12" t="s">
        <v>66</v>
      </c>
      <c r="BO105" s="12" t="s">
        <v>11</v>
      </c>
      <c r="BP105" s="12" t="s">
        <v>25</v>
      </c>
      <c r="BS105" s="124" t="s">
        <v>66</v>
      </c>
      <c r="BT105" s="124" t="s">
        <v>11</v>
      </c>
      <c r="BU105" s="124" t="s">
        <v>25</v>
      </c>
    </row>
    <row r="106" spans="50:73">
      <c r="AX106" s="130" t="s">
        <v>67</v>
      </c>
      <c r="AY106" s="130">
        <v>2100</v>
      </c>
      <c r="AZ106" s="130">
        <f>AZ89</f>
        <v>51.3276439625144</v>
      </c>
      <c r="BA106" s="130">
        <f t="shared" ref="BA106:BA113" si="81">BA89</f>
        <v>35.4303380406858</v>
      </c>
      <c r="BB106" s="130">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4">
        <v>51.3276439625144</v>
      </c>
      <c r="BT106" s="124">
        <v>35.4303380406858</v>
      </c>
      <c r="BU106" s="124">
        <v>68.2117622125716</v>
      </c>
    </row>
    <row r="107" spans="50:73">
      <c r="AX107" s="130" t="s">
        <v>72</v>
      </c>
      <c r="AY107" s="130">
        <f t="shared" ref="AY107:AY113" si="83">AY106</f>
        <v>2100</v>
      </c>
      <c r="AZ107" s="130">
        <f t="shared" ref="AZ107:AZ113" si="84">AZ90</f>
        <v>60.9219348480002</v>
      </c>
      <c r="BA107" s="130">
        <f t="shared" si="81"/>
        <v>42.351391049143</v>
      </c>
      <c r="BB107" s="130">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4">
        <v>60.9219348480002</v>
      </c>
      <c r="BT107" s="124">
        <v>42.351391049143</v>
      </c>
      <c r="BU107" s="124">
        <v>80.6239664640002</v>
      </c>
    </row>
    <row r="108" spans="50:73">
      <c r="AX108" s="130" t="s">
        <v>76</v>
      </c>
      <c r="AY108" s="130">
        <f t="shared" si="83"/>
        <v>2100</v>
      </c>
      <c r="AZ108" s="130">
        <f t="shared" si="84"/>
        <v>54.4976743789715</v>
      </c>
      <c r="BA108" s="130">
        <f t="shared" si="81"/>
        <v>35.8228723638858</v>
      </c>
      <c r="BB108" s="130">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4">
        <v>54.4976743789715</v>
      </c>
      <c r="BT108" s="124">
        <v>35.8228723638858</v>
      </c>
      <c r="BU108" s="124">
        <v>74.2797232128002</v>
      </c>
    </row>
    <row r="109" spans="50:73">
      <c r="AX109" s="130" t="s">
        <v>80</v>
      </c>
      <c r="AY109" s="130">
        <f t="shared" si="83"/>
        <v>2100</v>
      </c>
      <c r="AZ109" s="130">
        <f t="shared" si="84"/>
        <v>54.6086989604573</v>
      </c>
      <c r="BA109" s="130">
        <f t="shared" si="81"/>
        <v>35.4768107739429</v>
      </c>
      <c r="BB109" s="130">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4">
        <v>54.6086989604573</v>
      </c>
      <c r="BT109" s="124">
        <v>35.4768107739429</v>
      </c>
      <c r="BU109" s="124">
        <v>74.9031589522287</v>
      </c>
    </row>
    <row r="110" spans="50:73">
      <c r="AX110" s="130" t="s">
        <v>85</v>
      </c>
      <c r="AY110" s="130">
        <f t="shared" si="83"/>
        <v>2100</v>
      </c>
      <c r="AZ110" s="130">
        <f t="shared" si="84"/>
        <v>57.5276736000001</v>
      </c>
      <c r="BA110" s="130">
        <f t="shared" si="81"/>
        <v>37.9084815360001</v>
      </c>
      <c r="BB110" s="130">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4">
        <v>57.5276736000001</v>
      </c>
      <c r="BT110" s="124">
        <v>37.9084815360001</v>
      </c>
      <c r="BU110" s="124">
        <v>78.3287447040002</v>
      </c>
    </row>
    <row r="111" spans="50:73">
      <c r="AX111" s="130" t="s">
        <v>89</v>
      </c>
      <c r="AY111" s="130">
        <f t="shared" si="83"/>
        <v>2100</v>
      </c>
      <c r="AZ111" s="130">
        <f t="shared" si="84"/>
        <v>55.503063881143</v>
      </c>
      <c r="BA111" s="130">
        <f t="shared" si="81"/>
        <v>36.6121553554287</v>
      </c>
      <c r="BB111" s="130">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4">
        <v>55.503063881143</v>
      </c>
      <c r="BT111" s="124">
        <v>36.6121553554287</v>
      </c>
      <c r="BU111" s="124">
        <v>75.521256521143</v>
      </c>
    </row>
    <row r="112" spans="50:73">
      <c r="AX112" s="130" t="s">
        <v>93</v>
      </c>
      <c r="AY112" s="130">
        <f t="shared" si="83"/>
        <v>2100</v>
      </c>
      <c r="AZ112" s="130">
        <f t="shared" si="84"/>
        <v>57.1827039085716</v>
      </c>
      <c r="BA112" s="130">
        <f t="shared" si="81"/>
        <v>38.3055111606858</v>
      </c>
      <c r="BB112" s="130">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4">
        <v>57.1827039085716</v>
      </c>
      <c r="BT112" s="124">
        <v>38.3055111606858</v>
      </c>
      <c r="BU112" s="124">
        <v>77.1828706450288</v>
      </c>
    </row>
    <row r="113" spans="49:73">
      <c r="AW113" s="123"/>
      <c r="AX113" s="136"/>
      <c r="AY113" s="130"/>
      <c r="AZ113" s="130"/>
      <c r="BA113" s="130"/>
      <c r="BB113" s="130"/>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4">
        <v>103.502613942857</v>
      </c>
      <c r="BT113" s="124">
        <v>103.502613942857</v>
      </c>
      <c r="BU113" s="124">
        <v>103.502613942857</v>
      </c>
    </row>
    <row r="118" spans="49:73">
      <c r="AX118" t="s">
        <v>62</v>
      </c>
      <c r="AY118"/>
      <c r="AZ118" s="130"/>
      <c r="BE118" s="12" t="s">
        <v>63</v>
      </c>
      <c r="BL118" s="12" t="s">
        <v>62</v>
      </c>
    </row>
    <row r="119" spans="49:73">
      <c r="AX119" s="130" t="s">
        <v>65</v>
      </c>
      <c r="AY119" s="130" t="s">
        <v>41</v>
      </c>
      <c r="AZ119" s="134" t="s">
        <v>66</v>
      </c>
      <c r="BA119" s="134" t="s">
        <v>11</v>
      </c>
      <c r="BB119" s="134" t="s">
        <v>25</v>
      </c>
      <c r="BE119" s="12" t="s">
        <v>65</v>
      </c>
      <c r="BF119" s="12" t="s">
        <v>41</v>
      </c>
      <c r="BG119" s="12" t="s">
        <v>66</v>
      </c>
      <c r="BH119" s="12" t="s">
        <v>11</v>
      </c>
      <c r="BI119" s="12" t="s">
        <v>25</v>
      </c>
      <c r="BL119" s="12" t="s">
        <v>65</v>
      </c>
      <c r="BM119" s="12" t="s">
        <v>41</v>
      </c>
      <c r="BN119" s="12" t="s">
        <v>66</v>
      </c>
      <c r="BO119" s="12" t="s">
        <v>11</v>
      </c>
      <c r="BP119" s="12" t="s">
        <v>25</v>
      </c>
      <c r="BS119" s="124" t="s">
        <v>66</v>
      </c>
      <c r="BT119" s="124" t="s">
        <v>11</v>
      </c>
      <c r="BU119" s="124" t="s">
        <v>25</v>
      </c>
    </row>
    <row r="120" spans="49:73">
      <c r="AX120" s="130" t="s">
        <v>67</v>
      </c>
      <c r="AY120" s="130">
        <v>0</v>
      </c>
      <c r="AZ120" s="130">
        <v>3</v>
      </c>
      <c r="BA120" s="130">
        <v>3</v>
      </c>
      <c r="BB120" s="130">
        <v>3</v>
      </c>
      <c r="BE120" s="12" t="s">
        <v>68</v>
      </c>
      <c r="BF120" s="12">
        <v>0</v>
      </c>
      <c r="BG120" s="12">
        <v>3</v>
      </c>
      <c r="BH120" s="12">
        <v>3</v>
      </c>
      <c r="BI120" s="12">
        <v>3</v>
      </c>
      <c r="BL120" s="12" t="s">
        <v>69</v>
      </c>
      <c r="BM120" s="12">
        <v>0</v>
      </c>
      <c r="BN120" s="12">
        <v>3</v>
      </c>
      <c r="BO120" s="12">
        <v>3</v>
      </c>
      <c r="BP120" s="12">
        <v>3</v>
      </c>
      <c r="BS120" s="124">
        <v>3</v>
      </c>
      <c r="BT120" s="124">
        <v>3</v>
      </c>
      <c r="BU120" s="124">
        <v>3</v>
      </c>
    </row>
    <row r="121" spans="49:73">
      <c r="AX121" s="130" t="s">
        <v>72</v>
      </c>
      <c r="AY121" s="130">
        <f t="shared" ref="AY121:AY127" si="91">AY120</f>
        <v>0</v>
      </c>
      <c r="AZ121" s="130">
        <v>3</v>
      </c>
      <c r="BA121" s="130">
        <v>3</v>
      </c>
      <c r="BB121" s="130">
        <v>3</v>
      </c>
      <c r="BE121" s="12" t="s">
        <v>73</v>
      </c>
      <c r="BF121" s="12">
        <v>0</v>
      </c>
      <c r="BG121" s="12">
        <v>3</v>
      </c>
      <c r="BH121" s="12">
        <v>3</v>
      </c>
      <c r="BI121" s="12">
        <v>3</v>
      </c>
      <c r="BL121" s="12" t="s">
        <v>74</v>
      </c>
      <c r="BM121" s="12">
        <v>0</v>
      </c>
      <c r="BN121" s="12">
        <v>3</v>
      </c>
      <c r="BO121" s="12">
        <v>3</v>
      </c>
      <c r="BP121" s="12">
        <v>3</v>
      </c>
      <c r="BS121" s="124">
        <v>3</v>
      </c>
      <c r="BT121" s="124">
        <v>3</v>
      </c>
      <c r="BU121" s="124">
        <v>3</v>
      </c>
    </row>
    <row r="122" spans="49:73">
      <c r="AX122" s="130" t="s">
        <v>76</v>
      </c>
      <c r="AY122" s="130">
        <f t="shared" si="91"/>
        <v>0</v>
      </c>
      <c r="AZ122" s="130">
        <v>3</v>
      </c>
      <c r="BA122" s="130">
        <v>3</v>
      </c>
      <c r="BB122" s="130">
        <v>3</v>
      </c>
      <c r="BE122" s="12" t="s">
        <v>77</v>
      </c>
      <c r="BF122" s="12">
        <v>0</v>
      </c>
      <c r="BG122" s="12">
        <v>3</v>
      </c>
      <c r="BH122" s="12">
        <v>3</v>
      </c>
      <c r="BI122" s="12">
        <v>3</v>
      </c>
      <c r="BL122" s="12" t="s">
        <v>78</v>
      </c>
      <c r="BM122" s="12">
        <v>0</v>
      </c>
      <c r="BN122" s="12">
        <v>3</v>
      </c>
      <c r="BO122" s="12">
        <v>3</v>
      </c>
      <c r="BP122" s="12">
        <v>3</v>
      </c>
      <c r="BS122" s="124">
        <v>3</v>
      </c>
      <c r="BT122" s="124">
        <v>3</v>
      </c>
      <c r="BU122" s="124">
        <v>3</v>
      </c>
    </row>
    <row r="123" spans="49:73">
      <c r="AX123" s="130" t="s">
        <v>80</v>
      </c>
      <c r="AY123" s="130">
        <f t="shared" si="91"/>
        <v>0</v>
      </c>
      <c r="AZ123" s="130">
        <v>3</v>
      </c>
      <c r="BA123" s="130">
        <v>3</v>
      </c>
      <c r="BB123" s="130">
        <v>3</v>
      </c>
      <c r="BE123" s="12" t="s">
        <v>81</v>
      </c>
      <c r="BF123" s="12">
        <v>0</v>
      </c>
      <c r="BG123" s="12">
        <v>3</v>
      </c>
      <c r="BH123" s="12">
        <v>3</v>
      </c>
      <c r="BI123" s="12">
        <v>3</v>
      </c>
      <c r="BL123" s="12" t="s">
        <v>82</v>
      </c>
      <c r="BM123" s="12">
        <v>0</v>
      </c>
      <c r="BN123" s="12">
        <v>3</v>
      </c>
      <c r="BO123" s="12">
        <v>3</v>
      </c>
      <c r="BP123" s="12">
        <v>3</v>
      </c>
      <c r="BS123" s="124">
        <v>3</v>
      </c>
      <c r="BT123" s="124">
        <v>3</v>
      </c>
      <c r="BU123" s="124">
        <v>3</v>
      </c>
    </row>
    <row r="124" spans="49:73">
      <c r="AX124" s="130" t="s">
        <v>85</v>
      </c>
      <c r="AY124" s="130">
        <f t="shared" si="91"/>
        <v>0</v>
      </c>
      <c r="AZ124" s="130">
        <v>3</v>
      </c>
      <c r="BA124" s="130">
        <v>3</v>
      </c>
      <c r="BB124" s="130">
        <v>3</v>
      </c>
      <c r="BE124" s="12" t="s">
        <v>86</v>
      </c>
      <c r="BF124" s="12">
        <v>0</v>
      </c>
      <c r="BG124" s="12">
        <v>3</v>
      </c>
      <c r="BH124" s="12">
        <v>3</v>
      </c>
      <c r="BI124" s="12">
        <v>3</v>
      </c>
      <c r="BL124" s="12" t="s">
        <v>87</v>
      </c>
      <c r="BM124" s="12">
        <v>0</v>
      </c>
      <c r="BN124" s="12">
        <v>3</v>
      </c>
      <c r="BO124" s="12">
        <v>3</v>
      </c>
      <c r="BP124" s="12">
        <v>3</v>
      </c>
      <c r="BS124" s="124">
        <v>3</v>
      </c>
      <c r="BT124" s="124">
        <v>3</v>
      </c>
      <c r="BU124" s="124">
        <v>3</v>
      </c>
    </row>
    <row r="125" spans="49:73">
      <c r="AX125" s="130" t="s">
        <v>89</v>
      </c>
      <c r="AY125" s="130">
        <f t="shared" si="91"/>
        <v>0</v>
      </c>
      <c r="AZ125" s="130">
        <v>3</v>
      </c>
      <c r="BA125" s="130">
        <v>3</v>
      </c>
      <c r="BB125" s="130">
        <v>3</v>
      </c>
      <c r="BE125" s="12" t="s">
        <v>90</v>
      </c>
      <c r="BF125" s="12">
        <v>0</v>
      </c>
      <c r="BG125" s="12">
        <v>3</v>
      </c>
      <c r="BH125" s="12">
        <v>3</v>
      </c>
      <c r="BI125" s="12">
        <v>3</v>
      </c>
      <c r="BL125" s="12" t="s">
        <v>91</v>
      </c>
      <c r="BM125" s="12">
        <v>0</v>
      </c>
      <c r="BN125" s="12">
        <v>3</v>
      </c>
      <c r="BO125" s="12">
        <v>3</v>
      </c>
      <c r="BP125" s="12">
        <v>3</v>
      </c>
      <c r="BS125" s="124">
        <v>3</v>
      </c>
      <c r="BT125" s="124">
        <v>3</v>
      </c>
      <c r="BU125" s="124">
        <v>3</v>
      </c>
    </row>
    <row r="126" spans="49:73">
      <c r="AX126" s="130" t="s">
        <v>93</v>
      </c>
      <c r="AY126" s="130">
        <f t="shared" si="91"/>
        <v>0</v>
      </c>
      <c r="AZ126" s="130">
        <v>3</v>
      </c>
      <c r="BA126" s="130">
        <v>3</v>
      </c>
      <c r="BB126" s="130">
        <v>3</v>
      </c>
      <c r="BE126" s="12" t="s">
        <v>94</v>
      </c>
      <c r="BF126" s="12">
        <v>0</v>
      </c>
      <c r="BG126" s="12">
        <v>3</v>
      </c>
      <c r="BH126" s="12">
        <v>3</v>
      </c>
      <c r="BI126" s="12">
        <v>3</v>
      </c>
      <c r="BL126" s="12" t="s">
        <v>95</v>
      </c>
      <c r="BM126" s="12">
        <v>0</v>
      </c>
      <c r="BN126" s="12">
        <v>3</v>
      </c>
      <c r="BO126" s="12">
        <v>3</v>
      </c>
      <c r="BP126" s="12">
        <v>3</v>
      </c>
      <c r="BS126" s="124">
        <v>3</v>
      </c>
      <c r="BT126" s="124">
        <v>3</v>
      </c>
      <c r="BU126" s="124">
        <v>3</v>
      </c>
    </row>
    <row r="127" spans="49:73">
      <c r="AW127" s="123"/>
      <c r="AX127" s="136"/>
      <c r="AY127" s="130"/>
      <c r="AZ127" s="130"/>
      <c r="BA127" s="130"/>
      <c r="BB127" s="130"/>
      <c r="BE127" s="12" t="s">
        <v>97</v>
      </c>
      <c r="BF127" s="12">
        <v>0</v>
      </c>
      <c r="BG127" s="12">
        <v>3</v>
      </c>
      <c r="BH127" s="12">
        <v>3</v>
      </c>
      <c r="BI127" s="12">
        <v>3</v>
      </c>
      <c r="BL127" s="12" t="s">
        <v>98</v>
      </c>
      <c r="BM127" s="12">
        <v>0</v>
      </c>
      <c r="BN127" s="12">
        <v>3</v>
      </c>
      <c r="BO127" s="12">
        <v>3</v>
      </c>
      <c r="BP127" s="12">
        <v>3</v>
      </c>
      <c r="BS127" s="124">
        <v>3</v>
      </c>
      <c r="BT127" s="124">
        <v>3</v>
      </c>
      <c r="BU127" s="124">
        <v>3</v>
      </c>
    </row>
    <row r="143" spans="57:61">
      <c r="BE143" s="12" t="s">
        <v>62</v>
      </c>
    </row>
    <row r="144" spans="57:61">
      <c r="BE144" s="12" t="s">
        <v>65</v>
      </c>
      <c r="BF144" s="12" t="s">
        <v>41</v>
      </c>
      <c r="BG144" s="12" t="s">
        <v>66</v>
      </c>
      <c r="BH144" s="12" t="s">
        <v>11</v>
      </c>
      <c r="BI144" s="12" t="s">
        <v>25</v>
      </c>
    </row>
    <row r="145" spans="57:61">
      <c r="BE145" s="12" t="s">
        <v>68</v>
      </c>
      <c r="BF145" s="12">
        <v>2023</v>
      </c>
      <c r="BG145" s="12">
        <v>0.001</v>
      </c>
      <c r="BH145" s="12">
        <f>BG145</f>
        <v>0.001</v>
      </c>
      <c r="BI145" s="12">
        <f>BH145</f>
        <v>0.001</v>
      </c>
    </row>
    <row r="146" spans="57:61">
      <c r="BE146" s="12" t="s">
        <v>73</v>
      </c>
      <c r="BF146" s="12">
        <v>2023</v>
      </c>
      <c r="BG146" s="12">
        <f>BG145</f>
        <v>0.001</v>
      </c>
      <c r="BH146" s="12">
        <f>BH145</f>
        <v>0.001</v>
      </c>
      <c r="BI146" s="12">
        <f>BI145</f>
        <v>0.001</v>
      </c>
    </row>
    <row r="147" spans="57:61">
      <c r="BE147" s="12" t="s">
        <v>77</v>
      </c>
      <c r="BF147" s="12">
        <v>2023</v>
      </c>
      <c r="BG147" s="12">
        <f t="shared" ref="BG147:BG152" si="92">BG146</f>
        <v>0.001</v>
      </c>
      <c r="BH147" s="12">
        <f t="shared" ref="BH147:BH152" si="93">BH146</f>
        <v>0.001</v>
      </c>
      <c r="BI147" s="12">
        <f t="shared" ref="BI147:BI152" si="94">BI146</f>
        <v>0.001</v>
      </c>
    </row>
    <row r="148" spans="57:61">
      <c r="BE148" s="12" t="s">
        <v>81</v>
      </c>
      <c r="BF148" s="12">
        <v>2023</v>
      </c>
      <c r="BG148" s="12">
        <f t="shared" si="92"/>
        <v>0.001</v>
      </c>
      <c r="BH148" s="12">
        <f t="shared" si="93"/>
        <v>0.001</v>
      </c>
      <c r="BI148" s="12">
        <f t="shared" si="94"/>
        <v>0.001</v>
      </c>
    </row>
    <row r="149" spans="57:61">
      <c r="BE149" s="12" t="s">
        <v>86</v>
      </c>
      <c r="BF149" s="12">
        <v>2023</v>
      </c>
      <c r="BG149" s="12">
        <f t="shared" si="92"/>
        <v>0.001</v>
      </c>
      <c r="BH149" s="12">
        <f t="shared" si="93"/>
        <v>0.001</v>
      </c>
      <c r="BI149" s="12">
        <f t="shared" si="94"/>
        <v>0.001</v>
      </c>
    </row>
    <row r="150" spans="57:61">
      <c r="BE150" s="12" t="s">
        <v>90</v>
      </c>
      <c r="BF150" s="12">
        <v>2023</v>
      </c>
      <c r="BG150" s="12">
        <f t="shared" si="92"/>
        <v>0.001</v>
      </c>
      <c r="BH150" s="12">
        <f t="shared" si="93"/>
        <v>0.001</v>
      </c>
      <c r="BI150" s="12">
        <f t="shared" si="94"/>
        <v>0.001</v>
      </c>
    </row>
    <row r="151" spans="57:61">
      <c r="BE151" s="12" t="s">
        <v>94</v>
      </c>
      <c r="BF151" s="12">
        <v>2023</v>
      </c>
      <c r="BG151" s="12">
        <f t="shared" si="92"/>
        <v>0.001</v>
      </c>
      <c r="BH151" s="12">
        <f t="shared" si="93"/>
        <v>0.001</v>
      </c>
      <c r="BI151" s="12">
        <f t="shared" si="94"/>
        <v>0.001</v>
      </c>
    </row>
    <row r="152" spans="57:61">
      <c r="BE152" s="12" t="s">
        <v>97</v>
      </c>
      <c r="BF152" s="12">
        <v>2023</v>
      </c>
      <c r="BG152" s="12">
        <f t="shared" si="92"/>
        <v>0.001</v>
      </c>
      <c r="BH152" s="12">
        <f t="shared" si="93"/>
        <v>0.001</v>
      </c>
      <c r="BI152" s="12">
        <f t="shared" si="94"/>
        <v>0.001</v>
      </c>
    </row>
    <row r="156" spans="57:61">
      <c r="BE156" s="12" t="s">
        <v>62</v>
      </c>
    </row>
    <row r="157" spans="57:61">
      <c r="BE157" s="12" t="s">
        <v>65</v>
      </c>
      <c r="BF157" s="12" t="s">
        <v>41</v>
      </c>
      <c r="BG157" s="12" t="s">
        <v>66</v>
      </c>
      <c r="BH157" s="12" t="s">
        <v>11</v>
      </c>
      <c r="BI157" s="12" t="s">
        <v>25</v>
      </c>
    </row>
    <row r="158" spans="57:61">
      <c r="BE158" s="12" t="s">
        <v>68</v>
      </c>
      <c r="BF158" s="12">
        <v>2025</v>
      </c>
      <c r="BG158" s="12">
        <v>0.001</v>
      </c>
      <c r="BH158" s="12">
        <f>BG158</f>
        <v>0.001</v>
      </c>
      <c r="BI158" s="12">
        <f>BH158</f>
        <v>0.001</v>
      </c>
    </row>
    <row r="159" spans="57:61">
      <c r="BE159" s="12" t="s">
        <v>73</v>
      </c>
      <c r="BF159" s="12">
        <v>2025</v>
      </c>
      <c r="BG159" s="12">
        <f t="shared" ref="BG159:BI159" si="95">BG158</f>
        <v>0.001</v>
      </c>
      <c r="BH159" s="12">
        <f t="shared" si="95"/>
        <v>0.001</v>
      </c>
      <c r="BI159" s="12">
        <f t="shared" si="95"/>
        <v>0.001</v>
      </c>
    </row>
    <row r="160" spans="57:61">
      <c r="BE160" s="12" t="s">
        <v>77</v>
      </c>
      <c r="BF160" s="12">
        <v>2025</v>
      </c>
      <c r="BG160" s="12">
        <f t="shared" ref="BG160:BI160" si="96">BG159</f>
        <v>0.001</v>
      </c>
      <c r="BH160" s="12">
        <f t="shared" si="96"/>
        <v>0.001</v>
      </c>
      <c r="BI160" s="12">
        <f t="shared" si="96"/>
        <v>0.001</v>
      </c>
    </row>
    <row r="161" spans="57:61">
      <c r="BE161" s="12" t="s">
        <v>81</v>
      </c>
      <c r="BF161" s="12">
        <v>2025</v>
      </c>
      <c r="BG161" s="12">
        <f t="shared" ref="BG161:BI161" si="97">BG160</f>
        <v>0.001</v>
      </c>
      <c r="BH161" s="12">
        <f t="shared" si="97"/>
        <v>0.001</v>
      </c>
      <c r="BI161" s="12">
        <f t="shared" si="97"/>
        <v>0.001</v>
      </c>
    </row>
    <row r="162" spans="57:61">
      <c r="BE162" s="12" t="s">
        <v>86</v>
      </c>
      <c r="BF162" s="12">
        <v>2025</v>
      </c>
      <c r="BG162" s="12">
        <f t="shared" ref="BG162:BI162" si="98">BG161</f>
        <v>0.001</v>
      </c>
      <c r="BH162" s="12">
        <f t="shared" si="98"/>
        <v>0.001</v>
      </c>
      <c r="BI162" s="12">
        <f t="shared" si="98"/>
        <v>0.001</v>
      </c>
    </row>
    <row r="163" spans="57:61">
      <c r="BE163" s="12" t="s">
        <v>90</v>
      </c>
      <c r="BF163" s="12">
        <v>2025</v>
      </c>
      <c r="BG163" s="12">
        <f t="shared" ref="BG163:BI163" si="99">BG162</f>
        <v>0.001</v>
      </c>
      <c r="BH163" s="12">
        <f t="shared" si="99"/>
        <v>0.001</v>
      </c>
      <c r="BI163" s="12">
        <f t="shared" si="99"/>
        <v>0.001</v>
      </c>
    </row>
    <row r="164" spans="57:61">
      <c r="BE164" s="12" t="s">
        <v>94</v>
      </c>
      <c r="BF164" s="12">
        <v>2025</v>
      </c>
      <c r="BG164" s="12">
        <f t="shared" ref="BG164:BI164" si="100">BG163</f>
        <v>0.001</v>
      </c>
      <c r="BH164" s="12">
        <f t="shared" si="100"/>
        <v>0.001</v>
      </c>
      <c r="BI164" s="12">
        <f t="shared" si="100"/>
        <v>0.001</v>
      </c>
    </row>
    <row r="165" spans="57:61">
      <c r="BE165" s="12" t="s">
        <v>97</v>
      </c>
      <c r="BF165" s="12">
        <v>2025</v>
      </c>
      <c r="BG165" s="12">
        <f t="shared" ref="BG165:BI165" si="101">BG164</f>
        <v>0.001</v>
      </c>
      <c r="BH165" s="12">
        <f t="shared" si="101"/>
        <v>0.001</v>
      </c>
      <c r="BI165" s="12">
        <f t="shared" si="101"/>
        <v>0.001</v>
      </c>
    </row>
    <row r="171" spans="57:61">
      <c r="BE171" s="12" t="s">
        <v>62</v>
      </c>
    </row>
    <row r="172" spans="57:61">
      <c r="BE172" s="12" t="s">
        <v>65</v>
      </c>
      <c r="BF172" s="12" t="s">
        <v>41</v>
      </c>
      <c r="BG172" s="12" t="s">
        <v>66</v>
      </c>
      <c r="BH172" s="12" t="s">
        <v>11</v>
      </c>
      <c r="BI172" s="12" t="s">
        <v>25</v>
      </c>
    </row>
    <row r="173" spans="57:61">
      <c r="BE173" s="12" t="s">
        <v>68</v>
      </c>
      <c r="BF173" s="12">
        <v>2030</v>
      </c>
      <c r="BG173" s="12">
        <v>0.001</v>
      </c>
      <c r="BH173" s="12">
        <f>BG173</f>
        <v>0.001</v>
      </c>
      <c r="BI173" s="12">
        <f>BH173</f>
        <v>0.001</v>
      </c>
    </row>
    <row r="174" spans="57:61">
      <c r="BE174" s="12" t="s">
        <v>73</v>
      </c>
      <c r="BF174" s="12">
        <v>2030</v>
      </c>
      <c r="BG174" s="12">
        <f t="shared" ref="BG174:BI174" si="102">BG173</f>
        <v>0.001</v>
      </c>
      <c r="BH174" s="12">
        <f t="shared" si="102"/>
        <v>0.001</v>
      </c>
      <c r="BI174" s="12">
        <f t="shared" si="102"/>
        <v>0.001</v>
      </c>
    </row>
    <row r="175" spans="57:61">
      <c r="BE175" s="12" t="s">
        <v>77</v>
      </c>
      <c r="BF175" s="12">
        <v>2030</v>
      </c>
      <c r="BG175" s="12">
        <f t="shared" ref="BG175:BI175" si="103">BG174</f>
        <v>0.001</v>
      </c>
      <c r="BH175" s="12">
        <f t="shared" si="103"/>
        <v>0.001</v>
      </c>
      <c r="BI175" s="12">
        <f t="shared" si="103"/>
        <v>0.001</v>
      </c>
    </row>
    <row r="176" spans="57:61">
      <c r="BE176" s="12" t="s">
        <v>81</v>
      </c>
      <c r="BF176" s="12">
        <v>2030</v>
      </c>
      <c r="BG176" s="12">
        <f t="shared" ref="BG176:BI176" si="104">BG175</f>
        <v>0.001</v>
      </c>
      <c r="BH176" s="12">
        <f t="shared" si="104"/>
        <v>0.001</v>
      </c>
      <c r="BI176" s="12">
        <f t="shared" si="104"/>
        <v>0.001</v>
      </c>
    </row>
    <row r="177" spans="57:61">
      <c r="BE177" s="12" t="s">
        <v>86</v>
      </c>
      <c r="BF177" s="12">
        <v>2030</v>
      </c>
      <c r="BG177" s="12">
        <f t="shared" ref="BG177:BI177" si="105">BG176</f>
        <v>0.001</v>
      </c>
      <c r="BH177" s="12">
        <f t="shared" si="105"/>
        <v>0.001</v>
      </c>
      <c r="BI177" s="12">
        <f t="shared" si="105"/>
        <v>0.001</v>
      </c>
    </row>
    <row r="178" spans="57:61">
      <c r="BE178" s="12" t="s">
        <v>90</v>
      </c>
      <c r="BF178" s="12">
        <v>2030</v>
      </c>
      <c r="BG178" s="12">
        <f t="shared" ref="BG178:BI178" si="106">BG177</f>
        <v>0.001</v>
      </c>
      <c r="BH178" s="12">
        <f t="shared" si="106"/>
        <v>0.001</v>
      </c>
      <c r="BI178" s="12">
        <f t="shared" si="106"/>
        <v>0.001</v>
      </c>
    </row>
    <row r="179" spans="57:61">
      <c r="BE179" s="12" t="s">
        <v>94</v>
      </c>
      <c r="BF179" s="12">
        <v>2030</v>
      </c>
      <c r="BG179" s="12">
        <f t="shared" ref="BG179:BI179" si="107">BG178</f>
        <v>0.001</v>
      </c>
      <c r="BH179" s="12">
        <f t="shared" si="107"/>
        <v>0.001</v>
      </c>
      <c r="BI179" s="12">
        <f t="shared" si="107"/>
        <v>0.001</v>
      </c>
    </row>
    <row r="180" spans="57:61">
      <c r="BE180" s="12" t="s">
        <v>97</v>
      </c>
      <c r="BF180" s="12">
        <v>2030</v>
      </c>
      <c r="BG180" s="12">
        <f t="shared" ref="BG180:BI180" si="108">BG179</f>
        <v>0.001</v>
      </c>
      <c r="BH180" s="12">
        <f t="shared" si="108"/>
        <v>0.001</v>
      </c>
      <c r="BI180" s="12">
        <f t="shared" si="108"/>
        <v>0.001</v>
      </c>
    </row>
    <row r="185" spans="57:61">
      <c r="BE185" s="12" t="s">
        <v>62</v>
      </c>
    </row>
    <row r="186" spans="57:61">
      <c r="BE186" s="12" t="s">
        <v>65</v>
      </c>
      <c r="BF186" s="12" t="s">
        <v>41</v>
      </c>
      <c r="BG186" s="12" t="s">
        <v>66</v>
      </c>
      <c r="BH186" s="12" t="s">
        <v>11</v>
      </c>
      <c r="BI186" s="12" t="s">
        <v>25</v>
      </c>
    </row>
    <row r="187" spans="57:61">
      <c r="BE187" s="12" t="s">
        <v>68</v>
      </c>
      <c r="BF187" s="12">
        <v>2035</v>
      </c>
      <c r="BG187" s="12">
        <v>0.001</v>
      </c>
      <c r="BH187" s="12">
        <f>BG187</f>
        <v>0.001</v>
      </c>
      <c r="BI187" s="12">
        <f>BH187</f>
        <v>0.001</v>
      </c>
    </row>
    <row r="188" spans="57:61">
      <c r="BE188" s="12" t="s">
        <v>73</v>
      </c>
      <c r="BF188" s="12">
        <v>2035</v>
      </c>
      <c r="BG188" s="12">
        <f t="shared" ref="BG188:BI188" si="109">BG187</f>
        <v>0.001</v>
      </c>
      <c r="BH188" s="12">
        <f t="shared" si="109"/>
        <v>0.001</v>
      </c>
      <c r="BI188" s="12">
        <f t="shared" si="109"/>
        <v>0.001</v>
      </c>
    </row>
    <row r="189" spans="57:61">
      <c r="BE189" s="12" t="s">
        <v>77</v>
      </c>
      <c r="BF189" s="12">
        <v>2035</v>
      </c>
      <c r="BG189" s="12">
        <f t="shared" ref="BG189:BI189" si="110">BG188</f>
        <v>0.001</v>
      </c>
      <c r="BH189" s="12">
        <f t="shared" si="110"/>
        <v>0.001</v>
      </c>
      <c r="BI189" s="12">
        <f t="shared" si="110"/>
        <v>0.001</v>
      </c>
    </row>
    <row r="190" spans="57:61">
      <c r="BE190" s="12" t="s">
        <v>81</v>
      </c>
      <c r="BF190" s="12">
        <v>2035</v>
      </c>
      <c r="BG190" s="12">
        <f t="shared" ref="BG190:BI190" si="111">BG189</f>
        <v>0.001</v>
      </c>
      <c r="BH190" s="12">
        <f t="shared" si="111"/>
        <v>0.001</v>
      </c>
      <c r="BI190" s="12">
        <f t="shared" si="111"/>
        <v>0.001</v>
      </c>
    </row>
    <row r="191" spans="57:61">
      <c r="BE191" s="12" t="s">
        <v>86</v>
      </c>
      <c r="BF191" s="12">
        <v>2035</v>
      </c>
      <c r="BG191" s="12">
        <f t="shared" ref="BG191:BI191" si="112">BG190</f>
        <v>0.001</v>
      </c>
      <c r="BH191" s="12">
        <f t="shared" si="112"/>
        <v>0.001</v>
      </c>
      <c r="BI191" s="12">
        <f t="shared" si="112"/>
        <v>0.001</v>
      </c>
    </row>
    <row r="192" spans="57:61">
      <c r="BE192" s="12" t="s">
        <v>90</v>
      </c>
      <c r="BF192" s="12">
        <v>2035</v>
      </c>
      <c r="BG192" s="12">
        <f t="shared" ref="BG192:BI192" si="113">BG191</f>
        <v>0.001</v>
      </c>
      <c r="BH192" s="12">
        <f t="shared" si="113"/>
        <v>0.001</v>
      </c>
      <c r="BI192" s="12">
        <f t="shared" si="113"/>
        <v>0.001</v>
      </c>
    </row>
    <row r="193" spans="57:61">
      <c r="BE193" s="12" t="s">
        <v>94</v>
      </c>
      <c r="BF193" s="12">
        <v>2035</v>
      </c>
      <c r="BG193" s="12">
        <f t="shared" ref="BG193:BI193" si="114">BG192</f>
        <v>0.001</v>
      </c>
      <c r="BH193" s="12">
        <f t="shared" si="114"/>
        <v>0.001</v>
      </c>
      <c r="BI193" s="12">
        <f t="shared" si="114"/>
        <v>0.001</v>
      </c>
    </row>
    <row r="194" spans="57:61">
      <c r="BE194" s="12" t="s">
        <v>97</v>
      </c>
      <c r="BF194" s="12">
        <v>2035</v>
      </c>
      <c r="BG194" s="12">
        <f t="shared" ref="BG194:BI194" si="115">BG193</f>
        <v>0.001</v>
      </c>
      <c r="BH194" s="12">
        <f t="shared" si="115"/>
        <v>0.001</v>
      </c>
      <c r="BI194" s="12">
        <f t="shared" si="115"/>
        <v>0.001</v>
      </c>
    </row>
    <row r="199" spans="57:61">
      <c r="BE199" s="12" t="s">
        <v>62</v>
      </c>
    </row>
    <row r="200" spans="57:61">
      <c r="BE200" s="12" t="s">
        <v>65</v>
      </c>
      <c r="BF200" s="12" t="s">
        <v>41</v>
      </c>
      <c r="BG200" s="12" t="s">
        <v>66</v>
      </c>
      <c r="BH200" s="12" t="s">
        <v>11</v>
      </c>
      <c r="BI200" s="12" t="s">
        <v>25</v>
      </c>
    </row>
    <row r="201" spans="57:61">
      <c r="BE201" s="12" t="s">
        <v>68</v>
      </c>
      <c r="BF201" s="12">
        <v>2040</v>
      </c>
      <c r="BG201" s="12">
        <v>0.001</v>
      </c>
      <c r="BH201" s="12">
        <f>BG201</f>
        <v>0.001</v>
      </c>
      <c r="BI201" s="12">
        <f>BH201</f>
        <v>0.001</v>
      </c>
    </row>
    <row r="202" spans="57:61">
      <c r="BE202" s="12" t="s">
        <v>73</v>
      </c>
      <c r="BF202" s="12">
        <v>2040</v>
      </c>
      <c r="BG202" s="12">
        <f t="shared" ref="BG202:BI202" si="116">BG201</f>
        <v>0.001</v>
      </c>
      <c r="BH202" s="12">
        <f t="shared" si="116"/>
        <v>0.001</v>
      </c>
      <c r="BI202" s="12">
        <f t="shared" si="116"/>
        <v>0.001</v>
      </c>
    </row>
    <row r="203" spans="57:61">
      <c r="BE203" s="12" t="s">
        <v>77</v>
      </c>
      <c r="BF203" s="12">
        <v>2040</v>
      </c>
      <c r="BG203" s="12">
        <f t="shared" ref="BG203:BI203" si="117">BG202</f>
        <v>0.001</v>
      </c>
      <c r="BH203" s="12">
        <f t="shared" si="117"/>
        <v>0.001</v>
      </c>
      <c r="BI203" s="12">
        <f t="shared" si="117"/>
        <v>0.001</v>
      </c>
    </row>
    <row r="204" spans="57:61">
      <c r="BE204" s="12" t="s">
        <v>81</v>
      </c>
      <c r="BF204" s="12">
        <v>2040</v>
      </c>
      <c r="BG204" s="12">
        <f t="shared" ref="BG204:BI204" si="118">BG203</f>
        <v>0.001</v>
      </c>
      <c r="BH204" s="12">
        <f t="shared" si="118"/>
        <v>0.001</v>
      </c>
      <c r="BI204" s="12">
        <f t="shared" si="118"/>
        <v>0.001</v>
      </c>
    </row>
    <row r="205" spans="57:61">
      <c r="BE205" s="12" t="s">
        <v>86</v>
      </c>
      <c r="BF205" s="12">
        <v>2040</v>
      </c>
      <c r="BG205" s="12">
        <f t="shared" ref="BG205:BI205" si="119">BG204</f>
        <v>0.001</v>
      </c>
      <c r="BH205" s="12">
        <f t="shared" si="119"/>
        <v>0.001</v>
      </c>
      <c r="BI205" s="12">
        <f t="shared" si="119"/>
        <v>0.001</v>
      </c>
    </row>
    <row r="206" spans="57:61">
      <c r="BE206" s="12" t="s">
        <v>90</v>
      </c>
      <c r="BF206" s="12">
        <v>2040</v>
      </c>
      <c r="BG206" s="12">
        <f t="shared" ref="BG206:BI206" si="120">BG205</f>
        <v>0.001</v>
      </c>
      <c r="BH206" s="12">
        <f t="shared" si="120"/>
        <v>0.001</v>
      </c>
      <c r="BI206" s="12">
        <f t="shared" si="120"/>
        <v>0.001</v>
      </c>
    </row>
    <row r="207" spans="57:61">
      <c r="BE207" s="12" t="s">
        <v>94</v>
      </c>
      <c r="BF207" s="12">
        <v>2040</v>
      </c>
      <c r="BG207" s="12">
        <f t="shared" ref="BG207:BI207" si="121">BG206</f>
        <v>0.001</v>
      </c>
      <c r="BH207" s="12">
        <f t="shared" si="121"/>
        <v>0.001</v>
      </c>
      <c r="BI207" s="12">
        <f t="shared" si="121"/>
        <v>0.001</v>
      </c>
    </row>
    <row r="208" spans="57:61">
      <c r="BE208" s="12" t="s">
        <v>97</v>
      </c>
      <c r="BF208" s="12">
        <v>2040</v>
      </c>
      <c r="BG208" s="12">
        <f t="shared" ref="BG208:BI208" si="122">BG207</f>
        <v>0.001</v>
      </c>
      <c r="BH208" s="12">
        <f t="shared" si="122"/>
        <v>0.001</v>
      </c>
      <c r="BI208" s="12">
        <f t="shared" si="122"/>
        <v>0.001</v>
      </c>
    </row>
    <row r="215" spans="57:61">
      <c r="BE215" s="12" t="s">
        <v>62</v>
      </c>
    </row>
    <row r="216" spans="57:61">
      <c r="BE216" s="12" t="s">
        <v>65</v>
      </c>
      <c r="BF216" s="12" t="s">
        <v>41</v>
      </c>
      <c r="BG216" s="12" t="s">
        <v>66</v>
      </c>
      <c r="BH216" s="12" t="s">
        <v>11</v>
      </c>
      <c r="BI216" s="12" t="s">
        <v>25</v>
      </c>
    </row>
    <row r="217" spans="57:61">
      <c r="BE217" s="12" t="s">
        <v>68</v>
      </c>
      <c r="BF217" s="12">
        <v>2045</v>
      </c>
      <c r="BG217" s="12">
        <v>0.001</v>
      </c>
      <c r="BH217" s="12">
        <f>BG217</f>
        <v>0.001</v>
      </c>
      <c r="BI217" s="12">
        <f>BH217</f>
        <v>0.001</v>
      </c>
    </row>
    <row r="218" spans="57:61">
      <c r="BE218" s="12" t="s">
        <v>73</v>
      </c>
      <c r="BF218" s="12">
        <v>2045</v>
      </c>
      <c r="BG218" s="12">
        <f t="shared" ref="BG218:BI218" si="123">BG217</f>
        <v>0.001</v>
      </c>
      <c r="BH218" s="12">
        <f t="shared" si="123"/>
        <v>0.001</v>
      </c>
      <c r="BI218" s="12">
        <f t="shared" si="123"/>
        <v>0.001</v>
      </c>
    </row>
    <row r="219" spans="57:61">
      <c r="BE219" s="12" t="s">
        <v>77</v>
      </c>
      <c r="BF219" s="12">
        <v>2045</v>
      </c>
      <c r="BG219" s="12">
        <f t="shared" ref="BG219:BI219" si="124">BG218</f>
        <v>0.001</v>
      </c>
      <c r="BH219" s="12">
        <f t="shared" si="124"/>
        <v>0.001</v>
      </c>
      <c r="BI219" s="12">
        <f t="shared" si="124"/>
        <v>0.001</v>
      </c>
    </row>
    <row r="220" spans="57:61">
      <c r="BE220" s="12" t="s">
        <v>81</v>
      </c>
      <c r="BF220" s="12">
        <v>2045</v>
      </c>
      <c r="BG220" s="12">
        <f t="shared" ref="BG220:BI220" si="125">BG219</f>
        <v>0.001</v>
      </c>
      <c r="BH220" s="12">
        <f t="shared" si="125"/>
        <v>0.001</v>
      </c>
      <c r="BI220" s="12">
        <f t="shared" si="125"/>
        <v>0.001</v>
      </c>
    </row>
    <row r="221" spans="57:61">
      <c r="BE221" s="12" t="s">
        <v>86</v>
      </c>
      <c r="BF221" s="12">
        <v>2045</v>
      </c>
      <c r="BG221" s="12">
        <f t="shared" ref="BG221:BI221" si="126">BG220</f>
        <v>0.001</v>
      </c>
      <c r="BH221" s="12">
        <f t="shared" si="126"/>
        <v>0.001</v>
      </c>
      <c r="BI221" s="12">
        <f t="shared" si="126"/>
        <v>0.001</v>
      </c>
    </row>
    <row r="222" spans="57:61">
      <c r="BE222" s="12" t="s">
        <v>90</v>
      </c>
      <c r="BF222" s="12">
        <v>2045</v>
      </c>
      <c r="BG222" s="12">
        <f t="shared" ref="BG222:BI222" si="127">BG221</f>
        <v>0.001</v>
      </c>
      <c r="BH222" s="12">
        <f t="shared" si="127"/>
        <v>0.001</v>
      </c>
      <c r="BI222" s="12">
        <f t="shared" si="127"/>
        <v>0.001</v>
      </c>
    </row>
    <row r="223" spans="57:61">
      <c r="BE223" s="12" t="s">
        <v>94</v>
      </c>
      <c r="BF223" s="12">
        <v>2045</v>
      </c>
      <c r="BG223" s="12">
        <f t="shared" ref="BG223:BI223" si="128">BG222</f>
        <v>0.001</v>
      </c>
      <c r="BH223" s="12">
        <f t="shared" si="128"/>
        <v>0.001</v>
      </c>
      <c r="BI223" s="12">
        <f t="shared" si="128"/>
        <v>0.001</v>
      </c>
    </row>
    <row r="224" spans="57:61">
      <c r="BE224" s="12" t="s">
        <v>97</v>
      </c>
      <c r="BF224" s="12">
        <v>2045</v>
      </c>
      <c r="BG224" s="12">
        <f t="shared" ref="BG224:BI224" si="129">BG223</f>
        <v>0.001</v>
      </c>
      <c r="BH224" s="12">
        <f t="shared" si="129"/>
        <v>0.001</v>
      </c>
      <c r="BI224" s="12">
        <f t="shared" si="129"/>
        <v>0.001</v>
      </c>
    </row>
    <row r="228" spans="57:61">
      <c r="BE228" s="12" t="s">
        <v>62</v>
      </c>
    </row>
    <row r="229" spans="57:61">
      <c r="BE229" s="12" t="s">
        <v>65</v>
      </c>
      <c r="BF229" s="12" t="s">
        <v>41</v>
      </c>
      <c r="BG229" s="12" t="s">
        <v>66</v>
      </c>
      <c r="BH229" s="12" t="s">
        <v>11</v>
      </c>
      <c r="BI229" s="12" t="s">
        <v>25</v>
      </c>
    </row>
    <row r="230" spans="57:61">
      <c r="BE230" s="12" t="s">
        <v>68</v>
      </c>
      <c r="BF230" s="12">
        <v>2050</v>
      </c>
      <c r="BG230" s="12">
        <v>0.001</v>
      </c>
      <c r="BH230" s="12">
        <f>BG230</f>
        <v>0.001</v>
      </c>
      <c r="BI230" s="12">
        <f>BH230</f>
        <v>0.001</v>
      </c>
    </row>
    <row r="231" spans="57:61">
      <c r="BE231" s="12" t="s">
        <v>73</v>
      </c>
      <c r="BF231" s="12">
        <v>2050</v>
      </c>
      <c r="BG231" s="12">
        <f t="shared" ref="BG231:BI231" si="130">BG230</f>
        <v>0.001</v>
      </c>
      <c r="BH231" s="12">
        <f t="shared" si="130"/>
        <v>0.001</v>
      </c>
      <c r="BI231" s="12">
        <f t="shared" si="130"/>
        <v>0.001</v>
      </c>
    </row>
    <row r="232" spans="57:61">
      <c r="BE232" s="12" t="s">
        <v>77</v>
      </c>
      <c r="BF232" s="12">
        <v>2050</v>
      </c>
      <c r="BG232" s="12">
        <f t="shared" ref="BG232:BI232" si="131">BG231</f>
        <v>0.001</v>
      </c>
      <c r="BH232" s="12">
        <f t="shared" si="131"/>
        <v>0.001</v>
      </c>
      <c r="BI232" s="12">
        <f t="shared" si="131"/>
        <v>0.001</v>
      </c>
    </row>
    <row r="233" spans="57:61">
      <c r="BE233" s="12" t="s">
        <v>81</v>
      </c>
      <c r="BF233" s="12">
        <v>2050</v>
      </c>
      <c r="BG233" s="12">
        <f t="shared" ref="BG233:BI233" si="132">BG232</f>
        <v>0.001</v>
      </c>
      <c r="BH233" s="12">
        <f t="shared" si="132"/>
        <v>0.001</v>
      </c>
      <c r="BI233" s="12">
        <f t="shared" si="132"/>
        <v>0.001</v>
      </c>
    </row>
    <row r="234" spans="57:61">
      <c r="BE234" s="12" t="s">
        <v>86</v>
      </c>
      <c r="BF234" s="12">
        <v>2050</v>
      </c>
      <c r="BG234" s="12">
        <f t="shared" ref="BG234:BI234" si="133">BG233</f>
        <v>0.001</v>
      </c>
      <c r="BH234" s="12">
        <f t="shared" si="133"/>
        <v>0.001</v>
      </c>
      <c r="BI234" s="12">
        <f t="shared" si="133"/>
        <v>0.001</v>
      </c>
    </row>
    <row r="235" spans="57:61">
      <c r="BE235" s="12" t="s">
        <v>90</v>
      </c>
      <c r="BF235" s="12">
        <v>2050</v>
      </c>
      <c r="BG235" s="12">
        <f t="shared" ref="BG235:BI235" si="134">BG234</f>
        <v>0.001</v>
      </c>
      <c r="BH235" s="12">
        <f t="shared" si="134"/>
        <v>0.001</v>
      </c>
      <c r="BI235" s="12">
        <f t="shared" si="134"/>
        <v>0.001</v>
      </c>
    </row>
    <row r="236" spans="57:61">
      <c r="BE236" s="12" t="s">
        <v>94</v>
      </c>
      <c r="BF236" s="12">
        <v>2050</v>
      </c>
      <c r="BG236" s="12">
        <f t="shared" ref="BG236:BI236" si="135">BG235</f>
        <v>0.001</v>
      </c>
      <c r="BH236" s="12">
        <f t="shared" si="135"/>
        <v>0.001</v>
      </c>
      <c r="BI236" s="12">
        <f t="shared" si="135"/>
        <v>0.001</v>
      </c>
    </row>
    <row r="237" spans="57:61">
      <c r="BE237" s="12" t="s">
        <v>97</v>
      </c>
      <c r="BF237" s="12">
        <v>2050</v>
      </c>
      <c r="BG237" s="12">
        <f t="shared" ref="BG237:BI237" si="136">BG236</f>
        <v>0.001</v>
      </c>
      <c r="BH237" s="12">
        <f t="shared" si="136"/>
        <v>0.001</v>
      </c>
      <c r="BI237" s="12">
        <f t="shared" si="136"/>
        <v>0.001</v>
      </c>
    </row>
    <row r="245" spans="57:61">
      <c r="BE245" s="12" t="s">
        <v>62</v>
      </c>
    </row>
    <row r="246" spans="57:61">
      <c r="BE246" s="12" t="s">
        <v>65</v>
      </c>
      <c r="BF246" s="12" t="s">
        <v>41</v>
      </c>
      <c r="BG246" s="12" t="s">
        <v>66</v>
      </c>
      <c r="BH246" s="12" t="s">
        <v>11</v>
      </c>
      <c r="BI246" s="12" t="s">
        <v>25</v>
      </c>
    </row>
    <row r="247" spans="57:61">
      <c r="BE247" s="12" t="s">
        <v>68</v>
      </c>
      <c r="BF247" s="12">
        <v>2100</v>
      </c>
      <c r="BG247" s="12">
        <v>0.001</v>
      </c>
      <c r="BH247" s="12">
        <f>BG247</f>
        <v>0.001</v>
      </c>
      <c r="BI247" s="12">
        <f>BH247</f>
        <v>0.001</v>
      </c>
    </row>
    <row r="248" spans="57:61">
      <c r="BE248" s="12" t="s">
        <v>73</v>
      </c>
      <c r="BF248" s="12">
        <v>2100</v>
      </c>
      <c r="BG248" s="12">
        <f t="shared" ref="BG248:BI248" si="137">BG247</f>
        <v>0.001</v>
      </c>
      <c r="BH248" s="12">
        <f t="shared" si="137"/>
        <v>0.001</v>
      </c>
      <c r="BI248" s="12">
        <f t="shared" si="137"/>
        <v>0.001</v>
      </c>
    </row>
    <row r="249" spans="57:61">
      <c r="BE249" s="12" t="s">
        <v>77</v>
      </c>
      <c r="BF249" s="12">
        <v>2100</v>
      </c>
      <c r="BG249" s="12">
        <f t="shared" ref="BG249:BI249" si="138">BG248</f>
        <v>0.001</v>
      </c>
      <c r="BH249" s="12">
        <f t="shared" si="138"/>
        <v>0.001</v>
      </c>
      <c r="BI249" s="12">
        <f t="shared" si="138"/>
        <v>0.001</v>
      </c>
    </row>
    <row r="250" spans="57:61">
      <c r="BE250" s="12" t="s">
        <v>81</v>
      </c>
      <c r="BF250" s="12">
        <v>2100</v>
      </c>
      <c r="BG250" s="12">
        <f t="shared" ref="BG250:BI250" si="139">BG249</f>
        <v>0.001</v>
      </c>
      <c r="BH250" s="12">
        <f t="shared" si="139"/>
        <v>0.001</v>
      </c>
      <c r="BI250" s="12">
        <f t="shared" si="139"/>
        <v>0.001</v>
      </c>
    </row>
    <row r="251" spans="57:61">
      <c r="BE251" s="12" t="s">
        <v>86</v>
      </c>
      <c r="BF251" s="12">
        <v>2100</v>
      </c>
      <c r="BG251" s="12">
        <f t="shared" ref="BG251:BI251" si="140">BG250</f>
        <v>0.001</v>
      </c>
      <c r="BH251" s="12">
        <f t="shared" si="140"/>
        <v>0.001</v>
      </c>
      <c r="BI251" s="12">
        <f t="shared" si="140"/>
        <v>0.001</v>
      </c>
    </row>
    <row r="252" spans="57:61">
      <c r="BE252" s="12" t="s">
        <v>90</v>
      </c>
      <c r="BF252" s="12">
        <v>2100</v>
      </c>
      <c r="BG252" s="12">
        <f t="shared" ref="BG252:BI252" si="141">BG251</f>
        <v>0.001</v>
      </c>
      <c r="BH252" s="12">
        <f t="shared" si="141"/>
        <v>0.001</v>
      </c>
      <c r="BI252" s="12">
        <f t="shared" si="141"/>
        <v>0.001</v>
      </c>
    </row>
    <row r="253" spans="57:61">
      <c r="BE253" s="12" t="s">
        <v>94</v>
      </c>
      <c r="BF253" s="12">
        <v>2100</v>
      </c>
      <c r="BG253" s="12">
        <f t="shared" ref="BG253:BI253" si="142">BG252</f>
        <v>0.001</v>
      </c>
      <c r="BH253" s="12">
        <f t="shared" si="142"/>
        <v>0.001</v>
      </c>
      <c r="BI253" s="12">
        <f t="shared" si="142"/>
        <v>0.001</v>
      </c>
    </row>
    <row r="254" spans="57:61">
      <c r="BE254" s="12" t="s">
        <v>97</v>
      </c>
      <c r="BF254" s="12">
        <v>2100</v>
      </c>
      <c r="BG254" s="12">
        <f t="shared" ref="BG254:BI254" si="143">BG253</f>
        <v>0.001</v>
      </c>
      <c r="BH254" s="12">
        <f t="shared" si="143"/>
        <v>0.001</v>
      </c>
      <c r="BI254" s="12">
        <f t="shared" si="143"/>
        <v>0.001</v>
      </c>
    </row>
    <row r="259" spans="57:61">
      <c r="BE259" s="12" t="s">
        <v>62</v>
      </c>
    </row>
    <row r="260" spans="57:61">
      <c r="BE260" s="12" t="s">
        <v>65</v>
      </c>
      <c r="BF260" s="12" t="s">
        <v>41</v>
      </c>
      <c r="BG260" s="12" t="s">
        <v>66</v>
      </c>
      <c r="BH260" s="12" t="s">
        <v>11</v>
      </c>
      <c r="BI260" s="12" t="s">
        <v>25</v>
      </c>
    </row>
    <row r="261" spans="57:61">
      <c r="BE261" s="12" t="s">
        <v>68</v>
      </c>
      <c r="BF261" s="12">
        <v>0</v>
      </c>
      <c r="BG261" s="12">
        <v>3</v>
      </c>
      <c r="BH261" s="12">
        <v>3</v>
      </c>
      <c r="BI261" s="12">
        <v>3</v>
      </c>
    </row>
    <row r="262" spans="57:61">
      <c r="BE262" s="12" t="s">
        <v>73</v>
      </c>
      <c r="BF262" s="12">
        <v>0</v>
      </c>
      <c r="BG262" s="12">
        <v>3</v>
      </c>
      <c r="BH262" s="12">
        <v>3</v>
      </c>
      <c r="BI262" s="12">
        <v>3</v>
      </c>
    </row>
    <row r="263" spans="57:61">
      <c r="BE263" s="12" t="s">
        <v>77</v>
      </c>
      <c r="BF263" s="12">
        <v>0</v>
      </c>
      <c r="BG263" s="12">
        <v>3</v>
      </c>
      <c r="BH263" s="12">
        <v>3</v>
      </c>
      <c r="BI263" s="12">
        <v>3</v>
      </c>
    </row>
    <row r="264" spans="57:61">
      <c r="BE264" s="12" t="s">
        <v>81</v>
      </c>
      <c r="BF264" s="12">
        <v>0</v>
      </c>
      <c r="BG264" s="12">
        <v>3</v>
      </c>
      <c r="BH264" s="12">
        <v>3</v>
      </c>
      <c r="BI264" s="12">
        <v>3</v>
      </c>
    </row>
    <row r="265" spans="57:61">
      <c r="BE265" s="12" t="s">
        <v>86</v>
      </c>
      <c r="BF265" s="12">
        <v>0</v>
      </c>
      <c r="BG265" s="12">
        <v>3</v>
      </c>
      <c r="BH265" s="12">
        <v>3</v>
      </c>
      <c r="BI265" s="12">
        <v>3</v>
      </c>
    </row>
    <row r="266" spans="57:61">
      <c r="BE266" s="12" t="s">
        <v>90</v>
      </c>
      <c r="BF266" s="12">
        <v>0</v>
      </c>
      <c r="BG266" s="12">
        <v>3</v>
      </c>
      <c r="BH266" s="12">
        <v>3</v>
      </c>
      <c r="BI266" s="12">
        <v>3</v>
      </c>
    </row>
    <row r="267" spans="57:61">
      <c r="BE267" s="12" t="s">
        <v>94</v>
      </c>
      <c r="BF267" s="12">
        <v>0</v>
      </c>
      <c r="BG267" s="12">
        <v>3</v>
      </c>
      <c r="BH267" s="12">
        <v>3</v>
      </c>
      <c r="BI267" s="12">
        <v>3</v>
      </c>
    </row>
    <row r="268" spans="57:61">
      <c r="BE268" s="12" t="s">
        <v>97</v>
      </c>
      <c r="BF268" s="12">
        <v>0</v>
      </c>
      <c r="BG268" s="12">
        <v>3</v>
      </c>
      <c r="BH268" s="12">
        <v>3</v>
      </c>
      <c r="BI268"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63" zoomScaleNormal="63" topLeftCell="A114" workbookViewId="0">
      <selection activeCell="M145" sqref="M145"/>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2"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2" t="s">
        <v>144</v>
      </c>
      <c r="C19">
        <v>0.2</v>
      </c>
      <c r="D19">
        <v>3</v>
      </c>
      <c r="E19" s="142"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2"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0.01</v>
      </c>
      <c r="F134" s="113"/>
      <c r="G134" s="113"/>
      <c r="M134" s="66"/>
      <c r="N134" s="66"/>
      <c r="O134" s="66"/>
      <c r="P134" s="66"/>
      <c r="Q134" s="66"/>
      <c r="Y134" s="66"/>
      <c r="Z134" s="66"/>
      <c r="AA134" s="66"/>
      <c r="AB134" s="66"/>
      <c r="AC134" s="66"/>
    </row>
    <row r="135" spans="3:29">
      <c r="C135" s="75" t="s">
        <v>274</v>
      </c>
      <c r="D135" s="119" t="s">
        <v>238</v>
      </c>
      <c r="E135" s="119">
        <f>E134</f>
        <v>0.01</v>
      </c>
      <c r="F135" s="113"/>
      <c r="G135" s="113"/>
      <c r="M135" s="66"/>
      <c r="N135" s="66"/>
      <c r="O135" s="66"/>
      <c r="P135" s="66"/>
      <c r="Q135" s="66"/>
      <c r="Y135" s="66"/>
      <c r="Z135" s="66"/>
      <c r="AA135" s="66"/>
      <c r="AB135" s="66"/>
      <c r="AC135" s="66"/>
    </row>
    <row r="136" spans="3:29">
      <c r="C136" s="75" t="s">
        <v>274</v>
      </c>
      <c r="D136" s="119" t="s">
        <v>240</v>
      </c>
      <c r="E136" s="119">
        <f t="shared" ref="E136:E154" si="23">E135</f>
        <v>0.01</v>
      </c>
      <c r="F136" s="113"/>
      <c r="G136" s="113"/>
      <c r="M136" s="66"/>
      <c r="N136" s="66"/>
      <c r="O136" s="66"/>
      <c r="P136" s="66"/>
      <c r="Q136" s="66"/>
      <c r="Y136" s="66"/>
      <c r="Z136" s="66"/>
      <c r="AA136" s="66"/>
      <c r="AB136" s="66"/>
      <c r="AC136" s="66"/>
    </row>
    <row r="137" spans="3:29">
      <c r="C137" s="75" t="s">
        <v>274</v>
      </c>
      <c r="D137" s="119" t="s">
        <v>242</v>
      </c>
      <c r="E137" s="119">
        <f t="shared" si="23"/>
        <v>0.01</v>
      </c>
      <c r="F137" s="113"/>
      <c r="G137" s="113"/>
      <c r="M137" s="66"/>
      <c r="N137" s="66"/>
      <c r="O137" s="66"/>
      <c r="P137" s="66"/>
      <c r="Q137" s="66"/>
      <c r="Y137" s="66"/>
      <c r="Z137" s="66"/>
      <c r="AA137" s="66"/>
      <c r="AB137" s="66"/>
      <c r="AC137" s="66"/>
    </row>
    <row r="138" spans="3:29">
      <c r="C138" s="75" t="s">
        <v>274</v>
      </c>
      <c r="D138" s="119" t="s">
        <v>244</v>
      </c>
      <c r="E138" s="119">
        <f t="shared" si="23"/>
        <v>0.01</v>
      </c>
      <c r="F138" s="113"/>
      <c r="G138" s="113"/>
      <c r="M138" s="66"/>
      <c r="N138" s="66"/>
      <c r="O138" s="66"/>
      <c r="P138" s="66"/>
      <c r="Q138" s="66"/>
      <c r="Y138" s="66"/>
      <c r="Z138" s="66"/>
      <c r="AA138" s="66"/>
      <c r="AB138" s="66"/>
      <c r="AC138" s="66"/>
    </row>
    <row r="139" spans="3:29">
      <c r="C139" s="75" t="s">
        <v>274</v>
      </c>
      <c r="D139" s="119" t="s">
        <v>246</v>
      </c>
      <c r="E139" s="119">
        <f t="shared" si="23"/>
        <v>0.01</v>
      </c>
      <c r="F139" s="113"/>
      <c r="G139" s="113"/>
      <c r="M139" s="66"/>
      <c r="N139" s="66"/>
      <c r="O139" s="66"/>
      <c r="P139" s="66"/>
      <c r="Q139" s="66"/>
      <c r="Y139" s="66"/>
      <c r="Z139" s="66"/>
      <c r="AA139" s="66"/>
      <c r="AB139" s="66"/>
      <c r="AC139" s="66"/>
    </row>
    <row r="140" spans="3:29">
      <c r="C140" s="75" t="s">
        <v>274</v>
      </c>
      <c r="D140" s="119" t="s">
        <v>248</v>
      </c>
      <c r="E140" s="119">
        <f t="shared" si="23"/>
        <v>0.01</v>
      </c>
      <c r="F140" s="113"/>
      <c r="G140" s="113"/>
      <c r="M140" s="66"/>
      <c r="N140" s="66"/>
      <c r="O140" s="66"/>
      <c r="P140" s="66"/>
      <c r="Q140" s="66"/>
      <c r="Y140" s="66"/>
      <c r="Z140" s="66"/>
      <c r="AA140" s="66"/>
      <c r="AB140" s="66"/>
      <c r="AC140" s="66"/>
    </row>
    <row r="141" spans="3:29">
      <c r="C141" s="75" t="s">
        <v>274</v>
      </c>
      <c r="D141" s="119" t="s">
        <v>250</v>
      </c>
      <c r="E141" s="119">
        <f t="shared" si="23"/>
        <v>0.01</v>
      </c>
      <c r="F141" s="113"/>
      <c r="G141" s="113"/>
      <c r="M141" s="66"/>
      <c r="N141" s="66"/>
      <c r="O141" s="66"/>
      <c r="P141" s="66"/>
      <c r="Q141" s="66"/>
      <c r="Y141" s="66"/>
      <c r="Z141" s="66"/>
      <c r="AA141" s="66"/>
      <c r="AB141" s="66"/>
      <c r="AC141" s="66"/>
    </row>
    <row r="142" spans="3:29">
      <c r="C142" s="75" t="s">
        <v>274</v>
      </c>
      <c r="D142" s="119" t="s">
        <v>252</v>
      </c>
      <c r="E142" s="119">
        <f t="shared" si="23"/>
        <v>0.01</v>
      </c>
      <c r="F142" s="113"/>
      <c r="G142" s="113"/>
      <c r="M142" s="66"/>
      <c r="N142" s="66"/>
      <c r="O142" s="66"/>
      <c r="P142" s="66"/>
      <c r="Q142" s="66"/>
      <c r="Y142" s="66"/>
      <c r="Z142" s="66"/>
      <c r="AA142" s="66"/>
      <c r="AB142" s="66"/>
      <c r="AC142" s="66"/>
    </row>
    <row r="143" spans="3:29">
      <c r="C143" s="75" t="s">
        <v>274</v>
      </c>
      <c r="D143" s="119" t="s">
        <v>253</v>
      </c>
      <c r="E143" s="119">
        <f t="shared" si="23"/>
        <v>0.01</v>
      </c>
      <c r="F143" s="113"/>
      <c r="G143" s="113"/>
      <c r="M143" s="66"/>
      <c r="N143" s="66"/>
      <c r="O143" s="66"/>
      <c r="P143" s="66"/>
      <c r="Q143" s="66"/>
      <c r="Y143" s="66"/>
      <c r="Z143" s="66"/>
      <c r="AA143" s="66"/>
      <c r="AB143" s="66"/>
      <c r="AC143" s="66"/>
    </row>
    <row r="144" spans="3:29">
      <c r="C144" s="75" t="s">
        <v>274</v>
      </c>
      <c r="D144" s="119" t="s">
        <v>255</v>
      </c>
      <c r="E144" s="119">
        <f t="shared" si="23"/>
        <v>0.01</v>
      </c>
      <c r="F144" s="113"/>
      <c r="G144" s="113"/>
      <c r="M144" s="66"/>
      <c r="N144" s="66"/>
      <c r="O144" s="66"/>
      <c r="P144" s="66"/>
      <c r="Q144" s="66"/>
      <c r="Y144" s="66"/>
      <c r="Z144" s="66"/>
      <c r="AA144" s="66"/>
      <c r="AB144" s="66"/>
      <c r="AC144" s="66"/>
    </row>
    <row r="145" spans="3:29">
      <c r="C145" s="75" t="s">
        <v>274</v>
      </c>
      <c r="D145" s="119" t="s">
        <v>257</v>
      </c>
      <c r="E145" s="119">
        <f t="shared" si="23"/>
        <v>0.01</v>
      </c>
      <c r="F145" s="113"/>
      <c r="G145" s="113"/>
      <c r="M145" s="66"/>
      <c r="N145" s="66"/>
      <c r="O145" s="66"/>
      <c r="P145" s="66"/>
      <c r="Q145" s="66"/>
      <c r="Y145" s="66"/>
      <c r="Z145" s="66"/>
      <c r="AA145" s="66"/>
      <c r="AB145" s="66"/>
      <c r="AC145" s="66"/>
    </row>
    <row r="146" spans="3:29">
      <c r="C146" s="75" t="s">
        <v>274</v>
      </c>
      <c r="D146" s="119" t="s">
        <v>259</v>
      </c>
      <c r="E146" s="119">
        <f t="shared" si="23"/>
        <v>0.01</v>
      </c>
      <c r="F146" s="113"/>
      <c r="G146" s="113"/>
      <c r="M146" s="66"/>
      <c r="N146" s="66"/>
      <c r="O146" s="66"/>
      <c r="P146" s="66"/>
      <c r="Q146" s="66"/>
      <c r="Y146" s="66"/>
      <c r="Z146" s="66"/>
      <c r="AA146" s="66"/>
      <c r="AB146" s="66"/>
      <c r="AC146" s="66"/>
    </row>
    <row r="147" spans="3:29">
      <c r="C147" s="75" t="s">
        <v>274</v>
      </c>
      <c r="D147" s="119" t="s">
        <v>261</v>
      </c>
      <c r="E147" s="119">
        <f t="shared" si="23"/>
        <v>0.01</v>
      </c>
      <c r="F147" s="113"/>
      <c r="G147" s="113"/>
      <c r="M147" s="66"/>
      <c r="N147" s="66"/>
      <c r="O147" s="66"/>
      <c r="P147" s="66"/>
      <c r="Q147" s="66"/>
      <c r="Y147" s="66"/>
      <c r="Z147" s="66"/>
      <c r="AA147" s="66"/>
      <c r="AB147" s="66"/>
      <c r="AC147" s="66"/>
    </row>
    <row r="148" spans="3:29">
      <c r="C148" s="75" t="s">
        <v>274</v>
      </c>
      <c r="D148" s="119" t="s">
        <v>263</v>
      </c>
      <c r="E148" s="119">
        <f t="shared" si="23"/>
        <v>0.01</v>
      </c>
      <c r="F148" s="113"/>
      <c r="G148" s="113"/>
      <c r="M148" s="66"/>
      <c r="N148" s="66"/>
      <c r="O148" s="66"/>
      <c r="P148" s="66"/>
      <c r="Q148" s="66"/>
      <c r="Y148" s="66"/>
      <c r="Z148" s="66"/>
      <c r="AA148" s="66"/>
      <c r="AB148" s="66"/>
      <c r="AC148" s="66"/>
    </row>
    <row r="149" spans="3:29">
      <c r="C149" s="75" t="s">
        <v>274</v>
      </c>
      <c r="D149" s="119" t="s">
        <v>265</v>
      </c>
      <c r="E149" s="119">
        <f t="shared" si="23"/>
        <v>0.01</v>
      </c>
      <c r="F149" s="113"/>
      <c r="G149" s="113"/>
      <c r="M149" s="66"/>
      <c r="N149" s="66"/>
      <c r="O149" s="66"/>
      <c r="P149" s="66"/>
      <c r="Q149" s="66"/>
      <c r="Y149" s="66"/>
      <c r="Z149" s="66"/>
      <c r="AA149" s="66"/>
      <c r="AB149" s="66"/>
      <c r="AC149" s="66"/>
    </row>
    <row r="150" spans="3:29">
      <c r="C150" s="75" t="s">
        <v>274</v>
      </c>
      <c r="D150" s="119" t="s">
        <v>267</v>
      </c>
      <c r="E150" s="119">
        <f t="shared" si="23"/>
        <v>0.01</v>
      </c>
      <c r="F150" s="113"/>
      <c r="G150" s="113"/>
      <c r="M150" s="66"/>
      <c r="N150" s="66"/>
      <c r="O150" s="66"/>
      <c r="P150" s="66"/>
      <c r="Q150" s="66"/>
      <c r="Y150" s="66"/>
      <c r="Z150" s="66"/>
      <c r="AA150" s="66"/>
      <c r="AB150" s="66"/>
      <c r="AC150" s="66"/>
    </row>
    <row r="151" spans="3:29">
      <c r="C151" s="75" t="s">
        <v>274</v>
      </c>
      <c r="D151" s="119" t="s">
        <v>268</v>
      </c>
      <c r="E151" s="119">
        <f t="shared" si="23"/>
        <v>0.01</v>
      </c>
      <c r="F151" s="113"/>
      <c r="G151" s="113"/>
      <c r="M151" s="66"/>
      <c r="N151" s="66"/>
      <c r="O151" s="66"/>
      <c r="P151" s="66"/>
      <c r="Q151" s="66"/>
      <c r="Y151" s="66"/>
      <c r="Z151" s="66"/>
      <c r="AA151" s="66"/>
      <c r="AB151" s="66"/>
      <c r="AC151" s="66"/>
    </row>
    <row r="152" spans="3:29">
      <c r="C152" s="75" t="s">
        <v>274</v>
      </c>
      <c r="D152" s="119" t="s">
        <v>270</v>
      </c>
      <c r="E152" s="119">
        <f t="shared" si="23"/>
        <v>0.01</v>
      </c>
      <c r="F152" s="113"/>
      <c r="G152" s="113"/>
      <c r="M152" s="66"/>
      <c r="N152" s="66"/>
      <c r="O152" s="66"/>
      <c r="P152" s="66"/>
      <c r="Q152" s="66"/>
      <c r="Y152" s="66"/>
      <c r="Z152" s="66"/>
      <c r="AA152" s="66"/>
      <c r="AB152" s="66"/>
      <c r="AC152" s="66"/>
    </row>
    <row r="153" spans="3:29">
      <c r="C153" s="75" t="s">
        <v>274</v>
      </c>
      <c r="D153" s="119" t="s">
        <v>272</v>
      </c>
      <c r="E153" s="119">
        <f t="shared" si="23"/>
        <v>0.01</v>
      </c>
      <c r="F153" s="113"/>
      <c r="G153" s="113"/>
      <c r="M153" s="66"/>
      <c r="N153" s="66"/>
      <c r="O153" s="66"/>
      <c r="P153" s="66"/>
      <c r="Q153" s="66"/>
      <c r="Y153" s="66"/>
      <c r="Z153" s="66"/>
      <c r="AA153" s="66"/>
      <c r="AB153" s="66"/>
      <c r="AC153" s="66"/>
    </row>
    <row r="154" spans="3:29">
      <c r="C154" s="75" t="s">
        <v>274</v>
      </c>
      <c r="D154" s="120" t="s">
        <v>273</v>
      </c>
      <c r="E154" s="119">
        <f t="shared" si="23"/>
        <v>0.01</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4" spans="1:38">
      <c r="A284" s="67"/>
      <c r="B284" s="67" t="s">
        <v>130</v>
      </c>
      <c r="C284" s="67"/>
    </row>
    <row r="285" ht="14.5" spans="1:38">
      <c r="A285" s="67" t="s">
        <v>41</v>
      </c>
      <c r="B285" s="67" t="s">
        <v>132</v>
      </c>
      <c r="C285" s="67" t="s">
        <v>136</v>
      </c>
      <c r="D285" s="122" t="s">
        <v>65</v>
      </c>
      <c r="E285" s="122" t="s">
        <v>3</v>
      </c>
      <c r="F285" s="122" t="s">
        <v>5</v>
      </c>
      <c r="G285" s="122" t="s">
        <v>6</v>
      </c>
      <c r="H285" s="122" t="s">
        <v>7</v>
      </c>
      <c r="I285" s="122" t="s">
        <v>8</v>
      </c>
      <c r="J285" s="122" t="s">
        <v>9</v>
      </c>
      <c r="K285" s="122" t="s">
        <v>10</v>
      </c>
      <c r="L285" s="122" t="s">
        <v>11</v>
      </c>
      <c r="M285" s="122" t="s">
        <v>12</v>
      </c>
      <c r="N285" s="122" t="s">
        <v>13</v>
      </c>
      <c r="O285" s="122" t="s">
        <v>14</v>
      </c>
      <c r="P285" s="122" t="s">
        <v>15</v>
      </c>
      <c r="Q285" s="122" t="s">
        <v>16</v>
      </c>
      <c r="R285" s="122" t="s">
        <v>17</v>
      </c>
      <c r="S285" s="122" t="s">
        <v>18</v>
      </c>
      <c r="T285" s="122" t="s">
        <v>19</v>
      </c>
      <c r="U285" s="122" t="s">
        <v>20</v>
      </c>
      <c r="V285" s="122" t="s">
        <v>21</v>
      </c>
      <c r="W285" s="122" t="s">
        <v>22</v>
      </c>
      <c r="X285" s="122" t="s">
        <v>23</v>
      </c>
      <c r="Y285" s="122" t="s">
        <v>24</v>
      </c>
      <c r="Z285" s="122" t="s">
        <v>25</v>
      </c>
      <c r="AA285" s="122" t="s">
        <v>26</v>
      </c>
      <c r="AB285" s="122" t="s">
        <v>27</v>
      </c>
      <c r="AC285" s="122" t="s">
        <v>28</v>
      </c>
      <c r="AD285" s="122" t="s">
        <v>29</v>
      </c>
      <c r="AE285" s="122" t="s">
        <v>30</v>
      </c>
      <c r="AF285" s="122" t="s">
        <v>31</v>
      </c>
      <c r="AG285" s="122" t="s">
        <v>32</v>
      </c>
      <c r="AH285" s="122" t="s">
        <v>33</v>
      </c>
      <c r="AI285" s="122" t="s">
        <v>34</v>
      </c>
      <c r="AJ285" s="122" t="s">
        <v>35</v>
      </c>
      <c r="AK285" s="122" t="s">
        <v>36</v>
      </c>
      <c r="AL285" s="122" t="s">
        <v>37</v>
      </c>
    </row>
    <row r="286" ht="14.5" spans="1:38">
      <c r="A286" s="67">
        <v>2020</v>
      </c>
      <c r="B286" s="67" t="s">
        <v>275</v>
      </c>
      <c r="C286" s="67" t="s">
        <v>140</v>
      </c>
      <c r="D286" s="122"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2"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2"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2"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2"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2"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2"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2"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2"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2"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2"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2"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2"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2"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2"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2"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2"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2"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2"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2"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2"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2"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2"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2"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2"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2"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2"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2"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2"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2"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2"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2"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2"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2"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2"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2"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2"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2"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2"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2"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2"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2"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2"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2"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2"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2"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2"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2"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2"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2"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2"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2"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2"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2"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2"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2"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2"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2"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2"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2"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2"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2"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2"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2"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2"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2"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2"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2"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2"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2"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2"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2"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2"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2"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2"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2"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2"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2"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2"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2"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2"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2"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2"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2"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2"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2"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2"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2"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2"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2"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2"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3"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2"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2"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2"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2"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2"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2"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2"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2"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2"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2"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2"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2"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2"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2"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2"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2"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2"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2"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2"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2"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2"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2"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2"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2"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2"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2"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2"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2"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2"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2"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2"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2"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2"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2"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2"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2"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2"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2"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2"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2"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2"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2"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2"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2"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2"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2"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2"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2"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2"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2"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2"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2"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2"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2"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2"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2"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2"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2"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2"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2"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2"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2"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2"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2"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2"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2"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2"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2"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2"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2"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2"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2"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2"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2"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2"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2"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2"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2"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2"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2"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2"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2"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2"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2"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2"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2"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2"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2"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2"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2"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2"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2"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2"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2"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2"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2"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2"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2"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2"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2"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2"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2"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2"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2"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2"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2"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2"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2"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2"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2"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2"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2"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2"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2"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2"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2"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2"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2"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2"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2"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2"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2"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2"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2"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2"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2"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2"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2"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2"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2"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2"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2"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2"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2"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2"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2"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2"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2"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2"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2"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2"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2"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2"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2"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2"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2"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2"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2"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2"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2"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2"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2"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2"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2"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2"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2"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2"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2"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2"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2"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2"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2"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2"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2"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2"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2"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2"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2"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2"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2"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2"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2"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2"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2"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2"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2"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2"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2"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2"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2"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2"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2"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2"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2"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2"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2"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2"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2"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2"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2"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2"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2"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2"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2"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2"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2"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2"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2"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2"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2"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2"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2"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2"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2"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2"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2"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2"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2"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2"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2"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2"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2"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2"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2"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2"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2"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2"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2"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2"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2"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2"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2"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2"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2"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2"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2"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2"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2"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2"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2"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2"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2"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2"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2"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2"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2"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2"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2"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2"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2"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2"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2"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2"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2"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2"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2"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2"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2"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2"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2"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2"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2"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2"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2"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2"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2"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2"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2"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2"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2"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2"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2"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2"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2"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2"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2"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2"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2"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2"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2"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2"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2"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2"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2"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2"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2"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2"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2"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2"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2"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2"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2"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2"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2"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2"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2"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2"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2"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2"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2"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2"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2"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2"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2"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2"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2"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2"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2"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2"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2"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2"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2"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2"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2"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2"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2"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2"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2"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2"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2"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2"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2"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2"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2"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2"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2"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2"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2"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2"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2"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2"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2"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2"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2"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2"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2"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2"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2"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2"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2"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2"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2"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2"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2"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2"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2026-07-18T21:49:31Z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