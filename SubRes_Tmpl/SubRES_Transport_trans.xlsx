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Height="7510" firstSheet="4" activeTab="7"/>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<sst xmlns="http://schemas.openxmlformats.org/spreadsheetml/2006/main" count="5465" uniqueCount="289">
  <si>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</si>
  <si>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</si>
  <si>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</si>
  <si>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</si>
  <si>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</si>
  <si>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</si>
  <si>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</si>
  <si>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</si>
  <si>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</si>
  <si>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</si>
  <si>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</si>
  <si>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</si>
  <si>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</si>
  <si>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</si>
  <si>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</si>
  <si>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</si>
  <si>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</si>
  <si>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</si>
  <si>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</si>
  <si>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</si>
  <si>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</si>
  <si>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</si>
  <si>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</si>
  <si>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</si>
  <si>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</si>
  <si>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</si>
  <si>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</si>
  <si>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</si>
  <si>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</si>
  <si>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</si>
  <si>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</si>
  <si>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</si>
  <si>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</si>
  <si>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</si>
  <si>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</si>
  <si>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</si>
  <si>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</si>
  <si>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</si>
  <si>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</si>
  <si>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</si>
  <si>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</si>
  <si>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</si>
  <si>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</si>
  <si>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</si>
  <si>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</si>
  <si>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</si>
  <si>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</si>
  <si>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</si>
  <si>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</si>
  <si>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</si>
  <si>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</si>
  <si>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</si>
  <si>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</si>
  <si>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</si>
  <si>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</si>
  <si>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</si>
  <si>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</si>
  <si>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</si>
  <si>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</si>
  <si>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</si>
  <si>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</si>
  <si>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</si>
  <si>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</si>
  <si>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</si>
  <si>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</si>
  <si>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</si>
  <si>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</si>
  <si>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</si>
  <si>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</si>
  <si>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</si>
  <si>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</si>
  <si>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</si>
  <si>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</si>
  <si>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Tra_EV_Batt-NMC111_virgin_pack, Tra_EV_Batt-NMC111_fromrecy</t>
  </si>
  <si>
    <t>So we use Argonne baseline cost → deduct material cost → get conversion CAPEX →
apply NREL learning rate to conversion component.</t>
  </si>
  <si>
    <t>Tra_EV_Batt-NMC111</t>
  </si>
  <si>
    <t>Tra_EV_Batt-NMC532_virgin_pack, Tra_EV_Batt-NMC532_fromrecy</t>
  </si>
  <si>
    <t>Tra_EV_Batt-NMC532</t>
  </si>
  <si>
    <t>Tra_EV_Batt-NMC622_virgin_pack, Tra_EV_Batt-NMC622_fromrecy</t>
  </si>
  <si>
    <t>Tra_EV_Batt-NMC622</t>
  </si>
  <si>
    <t>Tra_EV_Batt-NMC811_virgin_pack, Tra_EV_Batt-NMC811_fromrecy</t>
  </si>
  <si>
    <t>Tra_EV_Batt-NMC811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</si>
  <si>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</si>
  <si>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</si>
  <si>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</si>
  <si>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</si>
  <si>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</si>
  <si>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</si>
  <si>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</si>
  <si>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</si>
  <si>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</si>
  <si>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</si>
  <si>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</si>
  <si>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</si>
  <si>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</si>
  <si>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</si>
  <si>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</si>
  <si>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</si>
  <si>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</si>
  <si>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</si>
  <si>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</si>
  <si>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</si>
  <si>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</si>
  <si>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</si>
  <si>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</si>
  <si>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</si>
  <si>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</si>
  <si>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</si>
  <si>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</si>
  <si>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</si>
  <si>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</si>
  <si>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</si>
  <si>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</si>
  <si>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</si>
  <si>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</si>
  <si>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</si>
  <si>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</si>
  <si>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</si>
  <si>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</si>
  <si>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</si>
  <si>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</si>
  <si>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</si>
  <si>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</si>
  <si>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</si>
  <si>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</si>
  <si>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</si>
  <si>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</si>
  <si>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</si>
  <si>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</si>
  <si>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</si>
  <si>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</si>
  <si>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</si>
  <si>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</si>
  <si>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</si>
  <si>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</si>
  <si>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</si>
  <si>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</si>
  <si>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</si>
  <si>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</si>
  <si>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</si>
  <si>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</si>
  <si>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</si>
  <si>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</si>
  <si>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</si>
  <si>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</si>
  <si>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</si>
  <si>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</si>
  <si>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</si>
  <si>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</si>
  <si>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</si>
  <si>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</si>
  <si>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</si>
  <si>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</si>
  <si>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</si>
  <si>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</si>
  <si>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</si>
  <si>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</si>
  <si>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</si>
  <si>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</si>
  <si>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</si>
  <si>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</si>
  <si>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</si>
  <si>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</si>
  <si>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</si>
  <si>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</si>
  <si>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</si>
  <si>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</si>
  <si>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</si>
  <si>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</si>
  <si>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</si>
  <si>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</si>
  <si>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</si>
  <si>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</si>
  <si>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</si>
  <si>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</si>
  <si>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</si>
  <si>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</si>
  <si>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</si>
  <si>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</si>
  <si>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</si>
  <si>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</si>
  <si>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</si>
  <si>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</si>
  <si>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</si>
  <si>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</si>
  <si>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</si>
  <si>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</si>
  <si>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</si>
  <si>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</si>
  <si>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</si>
  <si>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</si>
  <si>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</si>
  <si>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</si>
  <si>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</si>
  <si>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</si>
  <si>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</si>
  <si>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</si>
  <si>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</si>
  <si>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</si>
  <si>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</si>
  <si>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</si>
  <si>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</si>
  <si>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</si>
  <si>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</si>
  <si>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</si>
  <si>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</si>
  <si>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</si>
  <si>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</si>
  <si>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</si>
  <si>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</si>
  <si>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</si>
  <si>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</si>
  <si>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</si>
  <si>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</si>
  <si>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</si>
  <si>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</si>
  <si>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Tra_EV_Batt-NMC111_virgin</t>
  </si>
  <si>
    <t>INDELC</t>
  </si>
  <si>
    <t>Tra_EV_Batt-NMC532_virgin</t>
  </si>
  <si>
    <t>Tra_EV_Batt-NMC622_virgin</t>
  </si>
  <si>
    <t>Tra_EV_Batt-NMC811_virgin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</si>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</sst>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6">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i/>
      <u/>
      <sz val="11"/>
      <color theme="1"/>
      <name val="Calibri"/>
      <charset val="134"/>
      <scheme val="minor"/>
    </font>
    <font>
      <sz val="11"/>
      <color theme="5"/>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ahoma"/>
      <charset val="1"/>
    </font>
    <font>
      <b/>
      <sz val="9"/>
      <name val="Times New Roman"/>
      <charset val="134"/>
    </font>
    <font>
      <sz val="9"/>
      <name val="Tahoma"/>
      <charset val="1"/>
    </font>
    <font>
      <sz val="9"/>
      <name val="Times New Roman"/>
      <charset val="134"/>
    </font>
    <font>
      <b/>
      <sz val="9"/>
      <name val="Times New Roman"/>
      <charset val="0"/>
    </font>
    <font>
      <sz val="9"/>
      <name val="Times New Roman"/>
      <charset val="0"/>
    </font>
  </fonts>
  <fills count="51">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theme="0" tint="-0.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1" fillId="25" borderId="3"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4" applyNumberFormat="0" applyFill="0" applyAlignment="0" applyProtection="0">
      <alignment vertical="center"/>
    </xf>
    <xf numFmtId="0" fontId="27" fillId="0" borderId="4" applyNumberFormat="0" applyFill="0" applyAlignment="0" applyProtection="0">
      <alignment vertical="center"/>
    </xf>
    <xf numFmtId="0" fontId="28" fillId="0" borderId="5" applyNumberFormat="0" applyFill="0" applyAlignment="0" applyProtection="0">
      <alignment vertical="center"/>
    </xf>
    <xf numFmtId="0" fontId="28" fillId="0" borderId="0" applyNumberFormat="0" applyFill="0" applyBorder="0" applyAlignment="0" applyProtection="0">
      <alignment vertical="center"/>
    </xf>
    <xf numFmtId="0" fontId="29" fillId="26" borderId="6" applyNumberFormat="0" applyAlignment="0" applyProtection="0">
      <alignment vertical="center"/>
    </xf>
    <xf numFmtId="0" fontId="30" fillId="27" borderId="7" applyNumberFormat="0" applyAlignment="0" applyProtection="0">
      <alignment vertical="center"/>
    </xf>
    <xf numFmtId="0" fontId="31" fillId="27" borderId="6" applyNumberFormat="0" applyAlignment="0" applyProtection="0">
      <alignment vertical="center"/>
    </xf>
    <xf numFmtId="0" fontId="32" fillId="28" borderId="8" applyNumberFormat="0" applyAlignment="0" applyProtection="0">
      <alignment vertical="center"/>
    </xf>
    <xf numFmtId="0" fontId="33" fillId="0" borderId="9" applyNumberFormat="0" applyFill="0" applyAlignment="0" applyProtection="0">
      <alignment vertical="center"/>
    </xf>
    <xf numFmtId="0" fontId="34" fillId="0" borderId="10" applyNumberFormat="0" applyFill="0" applyAlignment="0" applyProtection="0">
      <alignment vertical="center"/>
    </xf>
    <xf numFmtId="0" fontId="35" fillId="29" borderId="0" applyNumberFormat="0" applyBorder="0" applyAlignment="0" applyProtection="0">
      <alignment vertical="center"/>
    </xf>
    <xf numFmtId="0" fontId="36" fillId="30" borderId="0" applyNumberFormat="0" applyBorder="0" applyAlignment="0" applyProtection="0">
      <alignment vertical="center"/>
    </xf>
    <xf numFmtId="0" fontId="37" fillId="31" borderId="0" applyNumberFormat="0" applyBorder="0" applyAlignment="0" applyProtection="0">
      <alignment vertical="center"/>
    </xf>
    <xf numFmtId="0" fontId="38" fillId="10" borderId="0" applyNumberFormat="0" applyBorder="0" applyAlignment="0" applyProtection="0">
      <alignment vertical="center"/>
    </xf>
    <xf numFmtId="0" fontId="39" fillId="12" borderId="0" applyNumberFormat="0" applyBorder="0" applyAlignment="0" applyProtection="0">
      <alignment vertical="center"/>
    </xf>
    <xf numFmtId="0" fontId="39" fillId="32"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9" fillId="35" borderId="0" applyNumberFormat="0" applyBorder="0" applyAlignment="0" applyProtection="0">
      <alignment vertical="center"/>
    </xf>
    <xf numFmtId="0" fontId="39"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9" fillId="39" borderId="0" applyNumberFormat="0" applyBorder="0" applyAlignment="0" applyProtection="0">
      <alignment vertical="center"/>
    </xf>
    <xf numFmtId="0" fontId="39" fillId="40" borderId="0" applyNumberFormat="0" applyBorder="0" applyAlignment="0" applyProtection="0">
      <alignment vertical="center"/>
    </xf>
    <xf numFmtId="0" fontId="38" fillId="41" borderId="0" applyNumberFormat="0" applyBorder="0" applyAlignment="0" applyProtection="0">
      <alignment vertical="center"/>
    </xf>
    <xf numFmtId="0" fontId="38" fillId="42" borderId="0" applyNumberFormat="0" applyBorder="0" applyAlignment="0" applyProtection="0">
      <alignment vertical="center"/>
    </xf>
    <xf numFmtId="0" fontId="39" fillId="43" borderId="0" applyNumberFormat="0" applyBorder="0" applyAlignment="0" applyProtection="0">
      <alignment vertical="center"/>
    </xf>
    <xf numFmtId="0" fontId="39" fillId="44" borderId="0" applyNumberFormat="0" applyBorder="0" applyAlignment="0" applyProtection="0">
      <alignment vertical="center"/>
    </xf>
    <xf numFmtId="0" fontId="38" fillId="45" borderId="0" applyNumberFormat="0" applyBorder="0" applyAlignment="0" applyProtection="0">
      <alignment vertical="center"/>
    </xf>
    <xf numFmtId="0" fontId="38" fillId="46" borderId="0" applyNumberFormat="0" applyBorder="0" applyAlignment="0" applyProtection="0">
      <alignment vertical="center"/>
    </xf>
    <xf numFmtId="0" fontId="39" fillId="11" borderId="0" applyNumberFormat="0" applyBorder="0" applyAlignment="0" applyProtection="0">
      <alignment vertical="center"/>
    </xf>
    <xf numFmtId="0" fontId="39" fillId="47" borderId="0" applyNumberFormat="0" applyBorder="0" applyAlignment="0" applyProtection="0">
      <alignment vertical="center"/>
    </xf>
    <xf numFmtId="0" fontId="38" fillId="48" borderId="0" applyNumberFormat="0" applyBorder="0" applyAlignment="0" applyProtection="0">
      <alignment vertical="center"/>
    </xf>
    <xf numFmtId="0" fontId="38" fillId="21" borderId="0" applyNumberFormat="0" applyBorder="0" applyAlignment="0" applyProtection="0">
      <alignment vertical="center"/>
    </xf>
    <xf numFmtId="0" fontId="39" fillId="9" borderId="0" applyNumberFormat="0" applyBorder="0" applyAlignment="0" applyProtection="0">
      <alignment vertical="center"/>
    </xf>
    <xf numFmtId="0" fontId="39" fillId="49" borderId="0" applyNumberFormat="0" applyBorder="0" applyAlignment="0" applyProtection="0">
      <alignment vertical="center"/>
    </xf>
    <xf numFmtId="0" fontId="38" fillId="50" borderId="0" applyNumberFormat="0" applyBorder="0" applyAlignment="0" applyProtection="0">
      <alignment vertical="center"/>
    </xf>
    <xf numFmtId="0" fontId="0" fillId="0" borderId="0"/>
    <xf numFmtId="0" fontId="0" fillId="0" borderId="0"/>
    <xf numFmtId="0" fontId="0" fillId="0" borderId="0"/>
  </cellStyleXfs>
  <cellXfs count="104">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0" borderId="0" xfId="49"/>
    <xf numFmtId="0" fontId="10" fillId="0" borderId="0" xfId="0" applyFont="1"/>
    <xf numFmtId="0" fontId="0" fillId="16" borderId="0" xfId="0" applyFill="1"/>
    <xf numFmtId="0" fontId="11" fillId="0" borderId="0" xfId="0" applyFont="1"/>
    <xf numFmtId="0" fontId="0" fillId="17" borderId="0" xfId="0" applyFill="1"/>
    <xf numFmtId="178" fontId="0" fillId="0" borderId="0" xfId="0" applyNumberFormat="1"/>
    <xf numFmtId="3" fontId="0" fillId="0" borderId="0" xfId="0" applyNumberFormat="1"/>
    <xf numFmtId="0" fontId="0" fillId="18" borderId="0" xfId="0" applyFill="1"/>
    <xf numFmtId="0" fontId="0" fillId="18"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8"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8" borderId="0" xfId="49" applyFont="1" applyFill="1"/>
    <xf numFmtId="0" fontId="15" fillId="14" borderId="0" xfId="0" applyFont="1" applyFill="1"/>
    <xf numFmtId="0" fontId="14" fillId="14" borderId="0" xfId="0" applyFont="1" applyFill="1"/>
    <xf numFmtId="0" fontId="15" fillId="0" borderId="0" xfId="49" applyFont="1"/>
    <xf numFmtId="0" fontId="16" fillId="14" borderId="0" xfId="0" applyFont="1" applyFill="1"/>
    <xf numFmtId="0" fontId="0" fillId="19" borderId="0" xfId="0" applyFill="1"/>
    <xf numFmtId="0" fontId="0" fillId="20" borderId="1" xfId="49" applyFill="1" applyBorder="1"/>
    <xf numFmtId="181" fontId="0" fillId="20" borderId="1" xfId="49" applyNumberFormat="1" applyFill="1" applyBorder="1"/>
    <xf numFmtId="0" fontId="0" fillId="20" borderId="2" xfId="49" applyFill="1" applyBorder="1"/>
    <xf numFmtId="0" fontId="17" fillId="21" borderId="0" xfId="0" applyFont="1" applyFill="1" applyAlignment="1"/>
    <xf numFmtId="0" fontId="1" fillId="0" borderId="0" xfId="0" applyFont="1" applyFill="1" applyAlignment="1">
      <alignment vertical="center"/>
    </xf>
    <xf numFmtId="0" fontId="18" fillId="0" borderId="0" xfId="0" applyFont="1" applyFill="1" applyAlignment="1">
      <alignment vertical="center"/>
    </xf>
    <xf numFmtId="0" fontId="19" fillId="0" borderId="0" xfId="0" applyFont="1" applyFill="1" applyAlignment="1"/>
    <xf numFmtId="0" fontId="1" fillId="22" borderId="0" xfId="0" applyFont="1" applyFill="1" applyAlignment="1">
      <alignment vertical="center"/>
    </xf>
    <xf numFmtId="0" fontId="1" fillId="22" borderId="0" xfId="0" applyNumberFormat="1" applyFont="1" applyFill="1" applyAlignment="1">
      <alignment vertical="center"/>
    </xf>
    <xf numFmtId="0" fontId="18" fillId="0" borderId="0" xfId="0" applyNumberFormat="1" applyFont="1" applyFill="1" applyAlignment="1">
      <alignment vertical="center"/>
    </xf>
    <xf numFmtId="0" fontId="0" fillId="0" borderId="0" xfId="49" applyAlignment="1">
      <alignment horizontal="center"/>
    </xf>
    <xf numFmtId="0" fontId="0" fillId="23" borderId="1" xfId="49" applyFill="1" applyBorder="1"/>
    <xf numFmtId="0" fontId="0" fillId="23" borderId="0" xfId="49" applyFill="1"/>
    <xf numFmtId="0" fontId="0" fillId="0" borderId="1" xfId="49" applyFill="1" applyBorder="1"/>
    <xf numFmtId="0" fontId="1" fillId="0" borderId="0" xfId="0" applyFont="1" applyFill="1" applyAlignment="1">
      <alignment wrapText="1"/>
    </xf>
    <xf numFmtId="0" fontId="16" fillId="21" borderId="0" xfId="49" applyFont="1" applyFill="1" applyAlignment="1">
      <alignment horizontal="center"/>
    </xf>
    <xf numFmtId="0" fontId="1" fillId="0" borderId="0" xfId="49" applyFont="1" applyAlignment="1">
      <alignment horizontal="center" vertical="center"/>
    </xf>
    <xf numFmtId="0" fontId="0" fillId="24" borderId="0" xfId="49" applyFill="1" applyAlignment="1">
      <alignment horizontal="center"/>
    </xf>
    <xf numFmtId="0" fontId="20"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03" customWidth="1"/>
    <col min="2" max="2" width="8.81818181818182" style="103" customWidth="1"/>
    <col min="3" max="3" width="4.72727272727273" style="103" customWidth="1"/>
    <col min="4" max="4" width="8.81818181818182" style="103" customWidth="1"/>
    <col min="5" max="5" width="4.36363636363636" style="103" customWidth="1"/>
    <col min="6" max="6" width="4.27272727272727" style="103" customWidth="1"/>
    <col min="7" max="7" width="4.36363636363636" style="103" customWidth="1"/>
    <col min="8" max="8" width="4.63636363636364" style="103" customWidth="1"/>
    <col min="9" max="9" width="4" style="103" customWidth="1"/>
    <col min="10" max="10" width="4.36363636363636" style="103" customWidth="1"/>
    <col min="11" max="11" width="4.63636363636364" style="103" customWidth="1"/>
    <col min="12" max="12" width="4.36363636363636" style="103" customWidth="1"/>
    <col min="13" max="13" width="4" style="103" customWidth="1"/>
    <col min="14" max="14" width="4.27272727272727" style="103" customWidth="1"/>
    <col min="15" max="16" width="4.36363636363636" style="103" customWidth="1"/>
    <col min="17" max="18" width="4.63636363636364" style="103" customWidth="1"/>
    <col min="19" max="19" width="4.36363636363636" style="103" customWidth="1"/>
    <col min="20" max="20" width="5" style="103" customWidth="1"/>
    <col min="21" max="21" width="11.7272727272727" style="103" customWidth="1"/>
    <col min="22" max="22" width="10.7272727272727" style="103" customWidth="1"/>
    <col min="23" max="23" width="13.0909090909091" style="103" customWidth="1"/>
    <col min="24" max="259" width="11.3636363636364" style="103" customWidth="1"/>
    <col min="260" max="16384" width="9.09090909090909" style="103"/>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8"/>
      <c r="W3" s="58"/>
      <c r="X3" s="58"/>
      <c r="Y3" s="58"/>
      <c r="Z3" s="58"/>
      <c r="AA3" s="58"/>
    </row>
    <row r="4" ht="12.5" spans="1:27">
      <c r="A4" t="s">
        <v>1</v>
      </c>
      <c r="B4" t="s">
        <v>2</v>
      </c>
      <c r="C4"/>
      <c r="D4"/>
      <c r="E4"/>
      <c r="F4"/>
      <c r="G4"/>
      <c r="H4"/>
      <c r="I4"/>
      <c r="J4"/>
      <c r="K4"/>
      <c r="L4"/>
      <c r="M4"/>
      <c r="N4"/>
      <c r="O4"/>
      <c r="P4"/>
      <c r="Q4"/>
      <c r="R4"/>
      <c r="S4"/>
      <c r="T4"/>
      <c r="U4"/>
      <c r="V4" s="58"/>
      <c r="W4" s="58"/>
      <c r="X4" s="58"/>
      <c r="Y4" s="58"/>
      <c r="Z4" s="58"/>
      <c r="AA4" s="58"/>
    </row>
    <row r="5" ht="12.5" spans="1:27">
      <c r="A5" t="s">
        <v>3</v>
      </c>
      <c r="B5" t="s">
        <v>4</v>
      </c>
      <c r="C5"/>
      <c r="D5"/>
      <c r="E5"/>
      <c r="F5"/>
      <c r="G5"/>
      <c r="H5"/>
      <c r="I5"/>
      <c r="J5"/>
      <c r="K5"/>
      <c r="L5"/>
      <c r="M5"/>
      <c r="N5"/>
      <c r="O5"/>
      <c r="P5"/>
      <c r="Q5"/>
      <c r="R5"/>
      <c r="S5"/>
      <c r="T5"/>
      <c r="U5"/>
      <c r="V5" s="58"/>
      <c r="W5" s="58"/>
      <c r="X5" s="58"/>
      <c r="Y5" s="58"/>
      <c r="Z5" s="58"/>
      <c r="AA5" s="58"/>
    </row>
    <row r="6" ht="12.5" spans="1:27">
      <c r="A6" t="s">
        <v>5</v>
      </c>
      <c r="B6" t="s">
        <v>4</v>
      </c>
      <c r="C6"/>
      <c r="D6"/>
      <c r="E6"/>
      <c r="F6"/>
      <c r="G6"/>
      <c r="H6"/>
      <c r="I6"/>
      <c r="J6"/>
      <c r="K6"/>
      <c r="L6"/>
      <c r="M6"/>
      <c r="N6"/>
      <c r="O6"/>
      <c r="P6"/>
      <c r="Q6"/>
      <c r="R6"/>
      <c r="S6"/>
      <c r="T6"/>
      <c r="U6"/>
      <c r="V6" s="58"/>
      <c r="W6" s="58"/>
      <c r="X6" s="58"/>
      <c r="Y6" s="58"/>
      <c r="Z6" s="58"/>
      <c r="AA6" s="58"/>
    </row>
    <row r="7" ht="12.5" spans="1:27">
      <c r="A7" t="s">
        <v>6</v>
      </c>
      <c r="B7" t="s">
        <v>4</v>
      </c>
      <c r="C7"/>
      <c r="D7"/>
      <c r="E7"/>
      <c r="F7"/>
      <c r="G7"/>
      <c r="H7"/>
      <c r="I7"/>
      <c r="J7"/>
      <c r="K7"/>
      <c r="L7"/>
      <c r="M7"/>
      <c r="N7"/>
      <c r="O7"/>
      <c r="P7"/>
      <c r="Q7"/>
      <c r="R7"/>
      <c r="S7"/>
      <c r="T7"/>
      <c r="U7"/>
      <c r="V7" s="58"/>
      <c r="W7" s="58"/>
      <c r="X7" s="58"/>
      <c r="Y7" s="58"/>
      <c r="Z7" s="58"/>
      <c r="AA7" s="58"/>
    </row>
    <row r="8" ht="12.5" spans="1:27">
      <c r="A8" t="s">
        <v>7</v>
      </c>
      <c r="B8" t="s">
        <v>4</v>
      </c>
      <c r="C8"/>
      <c r="D8"/>
      <c r="E8"/>
      <c r="F8"/>
      <c r="G8"/>
      <c r="H8"/>
      <c r="I8"/>
      <c r="J8"/>
      <c r="K8"/>
      <c r="L8"/>
      <c r="M8"/>
      <c r="N8"/>
      <c r="O8"/>
      <c r="P8"/>
      <c r="Q8"/>
      <c r="R8"/>
      <c r="S8"/>
      <c r="T8"/>
      <c r="U8"/>
      <c r="V8" s="58"/>
      <c r="W8" s="58"/>
      <c r="X8" s="58"/>
      <c r="Y8" s="58"/>
      <c r="Z8" s="58"/>
      <c r="AA8" s="58"/>
    </row>
    <row r="9" ht="12.5" spans="1:27">
      <c r="A9" t="s">
        <v>8</v>
      </c>
      <c r="B9" t="s">
        <v>4</v>
      </c>
      <c r="C9"/>
      <c r="D9"/>
      <c r="E9"/>
      <c r="F9"/>
      <c r="G9"/>
      <c r="H9"/>
      <c r="I9"/>
      <c r="J9"/>
      <c r="K9"/>
      <c r="L9"/>
      <c r="M9"/>
      <c r="N9"/>
      <c r="O9"/>
      <c r="P9"/>
      <c r="Q9"/>
      <c r="R9"/>
      <c r="S9"/>
      <c r="T9"/>
      <c r="U9"/>
      <c r="V9" s="58"/>
      <c r="W9" s="58"/>
      <c r="X9" s="58"/>
      <c r="Y9" s="58"/>
      <c r="Z9" s="58"/>
      <c r="AA9" s="58"/>
    </row>
    <row r="10" ht="12.5" spans="1:27">
      <c r="A10" t="s">
        <v>9</v>
      </c>
      <c r="B10" t="s">
        <v>4</v>
      </c>
      <c r="C10"/>
      <c r="D10"/>
      <c r="E10"/>
      <c r="F10"/>
      <c r="G10"/>
      <c r="H10"/>
      <c r="I10"/>
      <c r="J10"/>
      <c r="K10"/>
      <c r="L10"/>
      <c r="M10"/>
      <c r="N10"/>
      <c r="O10"/>
      <c r="P10"/>
      <c r="Q10"/>
      <c r="R10"/>
      <c r="S10"/>
      <c r="T10"/>
      <c r="U10"/>
      <c r="V10" s="58"/>
      <c r="W10" s="58"/>
      <c r="X10" s="58"/>
      <c r="Y10" s="58"/>
      <c r="Z10" s="58"/>
      <c r="AA10" s="58"/>
    </row>
    <row r="11" ht="12.5" spans="1:27">
      <c r="A11" t="s">
        <v>10</v>
      </c>
      <c r="B11" t="s">
        <v>4</v>
      </c>
      <c r="C11"/>
      <c r="D11"/>
      <c r="E11"/>
      <c r="F11"/>
      <c r="G11"/>
      <c r="H11"/>
      <c r="I11"/>
      <c r="J11"/>
      <c r="K11"/>
      <c r="L11"/>
      <c r="M11"/>
      <c r="N11"/>
      <c r="O11"/>
      <c r="P11"/>
      <c r="Q11"/>
      <c r="R11"/>
      <c r="S11"/>
      <c r="T11"/>
      <c r="U11"/>
      <c r="V11" s="58"/>
      <c r="W11" s="58"/>
      <c r="X11" s="58"/>
      <c r="Y11" s="58"/>
      <c r="Z11" s="58"/>
      <c r="AA11" s="58"/>
    </row>
    <row r="12" ht="12.5" spans="1:27">
      <c r="A12" t="s">
        <v>11</v>
      </c>
      <c r="B12" t="s">
        <v>4</v>
      </c>
      <c r="C12"/>
      <c r="D12"/>
      <c r="E12"/>
      <c r="F12"/>
      <c r="G12"/>
      <c r="H12"/>
      <c r="I12"/>
      <c r="J12"/>
      <c r="K12"/>
      <c r="L12"/>
      <c r="M12"/>
      <c r="N12"/>
      <c r="O12"/>
      <c r="P12"/>
      <c r="Q12"/>
      <c r="R12"/>
      <c r="S12"/>
      <c r="T12"/>
      <c r="U12"/>
      <c r="V12" s="58"/>
      <c r="W12" s="58"/>
      <c r="X12" s="58"/>
      <c r="Y12" s="58"/>
      <c r="Z12" s="58"/>
      <c r="AA12" s="58"/>
    </row>
    <row r="13" ht="12.5" spans="1:27">
      <c r="A13" t="s">
        <v>12</v>
      </c>
      <c r="B13" t="s">
        <v>4</v>
      </c>
      <c r="C13"/>
      <c r="D13"/>
      <c r="E13"/>
      <c r="F13"/>
      <c r="G13"/>
      <c r="H13"/>
      <c r="I13"/>
      <c r="J13"/>
      <c r="K13"/>
      <c r="L13"/>
      <c r="M13"/>
      <c r="N13"/>
      <c r="O13"/>
      <c r="P13"/>
      <c r="Q13"/>
      <c r="R13"/>
      <c r="S13"/>
      <c r="T13"/>
      <c r="U13"/>
      <c r="V13" s="58"/>
      <c r="W13" s="58"/>
      <c r="X13" s="58"/>
      <c r="Y13" s="58"/>
      <c r="Z13" s="58"/>
      <c r="AA13" s="58"/>
    </row>
    <row r="14" ht="12.5" spans="1:27">
      <c r="A14" t="s">
        <v>13</v>
      </c>
      <c r="B14" t="s">
        <v>4</v>
      </c>
      <c r="C14"/>
      <c r="D14"/>
      <c r="E14"/>
      <c r="F14"/>
      <c r="G14"/>
      <c r="H14"/>
      <c r="I14"/>
      <c r="J14"/>
      <c r="K14"/>
      <c r="L14"/>
      <c r="M14"/>
      <c r="N14"/>
      <c r="O14"/>
      <c r="P14"/>
      <c r="Q14"/>
      <c r="R14"/>
      <c r="S14"/>
      <c r="T14"/>
      <c r="U14"/>
      <c r="V14" s="58"/>
      <c r="W14" s="58"/>
      <c r="X14" s="58"/>
      <c r="Y14" s="58"/>
      <c r="Z14" s="58"/>
      <c r="AA14" s="58"/>
    </row>
    <row r="15" ht="12.5" spans="1:27">
      <c r="A15" t="s">
        <v>14</v>
      </c>
      <c r="B15" t="s">
        <v>4</v>
      </c>
      <c r="C15"/>
      <c r="D15"/>
      <c r="E15"/>
      <c r="F15"/>
      <c r="G15"/>
      <c r="H15"/>
      <c r="I15"/>
      <c r="J15"/>
      <c r="K15"/>
      <c r="L15"/>
      <c r="M15"/>
      <c r="N15"/>
      <c r="O15"/>
      <c r="P15"/>
      <c r="Q15"/>
      <c r="R15"/>
      <c r="S15"/>
      <c r="T15"/>
      <c r="U15"/>
      <c r="V15" s="58"/>
      <c r="W15" s="58"/>
      <c r="X15" s="58"/>
      <c r="Y15" s="58"/>
      <c r="Z15" s="58"/>
      <c r="AA15" s="58"/>
    </row>
    <row r="16" ht="12.5" spans="1:27">
      <c r="A16" t="s">
        <v>15</v>
      </c>
      <c r="B16" t="s">
        <v>4</v>
      </c>
      <c r="C16"/>
      <c r="D16"/>
      <c r="E16"/>
      <c r="F16"/>
      <c r="G16"/>
      <c r="H16"/>
      <c r="I16"/>
      <c r="J16"/>
      <c r="K16"/>
      <c r="L16"/>
      <c r="M16"/>
      <c r="N16"/>
      <c r="O16"/>
      <c r="P16"/>
      <c r="Q16"/>
      <c r="R16"/>
      <c r="S16"/>
      <c r="T16"/>
      <c r="U16"/>
      <c r="V16" s="58"/>
      <c r="W16" s="58"/>
      <c r="X16" s="58"/>
      <c r="Y16" s="58"/>
      <c r="Z16" s="58"/>
      <c r="AA16" s="58"/>
    </row>
    <row r="17" ht="12.5" spans="1:27">
      <c r="A17" t="s">
        <v>16</v>
      </c>
      <c r="B17" t="s">
        <v>4</v>
      </c>
      <c r="C17"/>
      <c r="D17"/>
      <c r="E17"/>
      <c r="F17"/>
      <c r="G17"/>
      <c r="H17"/>
      <c r="I17"/>
      <c r="J17"/>
      <c r="K17"/>
      <c r="L17"/>
      <c r="M17"/>
      <c r="N17"/>
      <c r="O17"/>
      <c r="P17"/>
      <c r="Q17"/>
      <c r="R17"/>
      <c r="S17"/>
      <c r="T17"/>
      <c r="U17"/>
      <c r="V17" s="58"/>
      <c r="W17" s="58"/>
      <c r="X17" s="58"/>
      <c r="Y17" s="58"/>
      <c r="Z17" s="58"/>
      <c r="AA17" s="58"/>
    </row>
    <row r="18" ht="12.5" spans="1:27">
      <c r="A18" t="s">
        <v>17</v>
      </c>
      <c r="B18" t="s">
        <v>4</v>
      </c>
      <c r="C18"/>
      <c r="D18"/>
      <c r="E18"/>
      <c r="F18"/>
      <c r="G18"/>
      <c r="H18"/>
      <c r="I18"/>
      <c r="J18"/>
      <c r="K18"/>
      <c r="L18"/>
      <c r="M18"/>
      <c r="N18"/>
      <c r="O18"/>
      <c r="P18"/>
      <c r="Q18"/>
      <c r="R18"/>
      <c r="S18"/>
      <c r="T18"/>
      <c r="U18"/>
      <c r="V18" s="58"/>
      <c r="W18" s="58"/>
      <c r="X18" s="58"/>
      <c r="Y18" s="58"/>
      <c r="Z18" s="58"/>
      <c r="AA18" s="58"/>
    </row>
    <row r="19" ht="12.5" spans="1:27">
      <c r="A19" t="s">
        <v>18</v>
      </c>
      <c r="B19" t="s">
        <v>4</v>
      </c>
      <c r="C19"/>
      <c r="D19"/>
      <c r="E19"/>
      <c r="F19"/>
      <c r="G19"/>
      <c r="H19"/>
      <c r="I19"/>
      <c r="J19"/>
      <c r="K19"/>
      <c r="L19"/>
      <c r="M19"/>
      <c r="N19"/>
      <c r="O19"/>
      <c r="P19"/>
      <c r="Q19"/>
      <c r="R19"/>
      <c r="S19"/>
      <c r="T19"/>
      <c r="U19"/>
      <c r="V19" s="58"/>
      <c r="W19" s="58"/>
      <c r="X19" s="58"/>
      <c r="Y19" s="58"/>
      <c r="Z19" s="58"/>
      <c r="AA19" s="58"/>
    </row>
    <row r="20" ht="12.5" spans="1:27">
      <c r="A20" t="s">
        <v>19</v>
      </c>
      <c r="B20" t="s">
        <v>4</v>
      </c>
      <c r="C20"/>
      <c r="D20"/>
      <c r="E20"/>
      <c r="F20"/>
      <c r="G20"/>
      <c r="H20"/>
      <c r="I20"/>
      <c r="J20"/>
      <c r="K20"/>
      <c r="L20"/>
      <c r="M20"/>
      <c r="N20"/>
      <c r="O20"/>
      <c r="P20"/>
      <c r="Q20"/>
      <c r="R20"/>
      <c r="S20"/>
      <c r="T20"/>
      <c r="U20"/>
      <c r="V20" s="58"/>
      <c r="W20" s="58"/>
      <c r="X20" s="58"/>
      <c r="Y20" s="58"/>
      <c r="Z20" s="58"/>
      <c r="AA20" s="58"/>
    </row>
    <row r="21" ht="12.5" spans="1:27">
      <c r="A21" t="s">
        <v>20</v>
      </c>
      <c r="B21" t="s">
        <v>4</v>
      </c>
      <c r="C21"/>
      <c r="D21"/>
      <c r="E21"/>
      <c r="F21"/>
      <c r="G21"/>
      <c r="H21"/>
      <c r="I21"/>
      <c r="J21"/>
      <c r="K21"/>
      <c r="L21"/>
      <c r="M21"/>
      <c r="N21"/>
      <c r="O21"/>
      <c r="P21"/>
      <c r="Q21"/>
      <c r="R21"/>
      <c r="S21"/>
      <c r="T21"/>
      <c r="U21"/>
      <c r="V21" s="58"/>
      <c r="W21" s="58"/>
      <c r="X21" s="58"/>
      <c r="Y21" s="58"/>
      <c r="Z21" s="58"/>
      <c r="AA21" s="58"/>
    </row>
    <row r="22" ht="12.5" spans="1:27">
      <c r="A22" t="s">
        <v>21</v>
      </c>
      <c r="B22" t="s">
        <v>4</v>
      </c>
      <c r="C22"/>
      <c r="D22"/>
      <c r="E22"/>
      <c r="F22"/>
      <c r="G22"/>
      <c r="H22"/>
      <c r="I22"/>
      <c r="J22"/>
      <c r="K22"/>
      <c r="L22"/>
      <c r="M22"/>
      <c r="N22"/>
      <c r="O22"/>
      <c r="P22"/>
      <c r="Q22"/>
      <c r="R22"/>
      <c r="S22"/>
      <c r="T22"/>
      <c r="U22"/>
      <c r="V22" s="58"/>
      <c r="W22" s="58"/>
      <c r="X22" s="58"/>
      <c r="Y22" s="58"/>
      <c r="Z22" s="58"/>
      <c r="AA22" s="58"/>
    </row>
    <row r="23" ht="12.5" spans="1:27">
      <c r="A23" t="s">
        <v>22</v>
      </c>
      <c r="B23" t="s">
        <v>4</v>
      </c>
      <c r="C23"/>
      <c r="D23"/>
      <c r="E23"/>
      <c r="F23"/>
      <c r="G23"/>
      <c r="H23"/>
      <c r="I23"/>
      <c r="J23"/>
      <c r="K23"/>
      <c r="L23"/>
      <c r="M23"/>
      <c r="N23"/>
      <c r="O23"/>
      <c r="P23"/>
      <c r="Q23"/>
      <c r="R23"/>
      <c r="S23"/>
      <c r="T23"/>
      <c r="U23"/>
      <c r="V23" s="58"/>
      <c r="W23" s="58"/>
      <c r="X23" s="58"/>
      <c r="Y23" s="58"/>
      <c r="Z23" s="58"/>
      <c r="AA23" s="58"/>
    </row>
    <row r="24" ht="12.5" spans="1:27">
      <c r="A24" t="s">
        <v>23</v>
      </c>
      <c r="B24" t="s">
        <v>4</v>
      </c>
      <c r="C24"/>
      <c r="D24"/>
      <c r="E24"/>
      <c r="F24"/>
      <c r="G24"/>
      <c r="H24"/>
      <c r="I24"/>
      <c r="J24"/>
      <c r="K24"/>
      <c r="L24"/>
      <c r="M24"/>
      <c r="N24"/>
      <c r="O24"/>
      <c r="P24"/>
      <c r="Q24"/>
      <c r="R24"/>
      <c r="S24"/>
      <c r="T24"/>
      <c r="U24"/>
      <c r="V24" s="58"/>
      <c r="W24" s="58"/>
      <c r="X24" s="58"/>
      <c r="Y24" s="58"/>
      <c r="Z24" s="58"/>
      <c r="AA24" s="58"/>
    </row>
    <row r="25" ht="12.5" spans="1:27">
      <c r="A25" t="s">
        <v>24</v>
      </c>
      <c r="B25" t="s">
        <v>4</v>
      </c>
      <c r="C25"/>
      <c r="D25"/>
      <c r="E25"/>
      <c r="F25"/>
      <c r="G25"/>
      <c r="H25"/>
      <c r="I25"/>
      <c r="J25"/>
      <c r="K25"/>
      <c r="L25"/>
      <c r="M25"/>
      <c r="N25"/>
      <c r="O25"/>
      <c r="P25"/>
      <c r="Q25"/>
      <c r="R25"/>
      <c r="S25"/>
      <c r="T25"/>
      <c r="U25"/>
      <c r="V25" s="58"/>
      <c r="W25" s="58"/>
      <c r="X25" s="58"/>
      <c r="Y25" s="58"/>
      <c r="Z25" s="58"/>
      <c r="AA25" s="58"/>
    </row>
    <row r="26" ht="12.5" spans="1:27">
      <c r="A26" t="s">
        <v>25</v>
      </c>
      <c r="B26" t="s">
        <v>4</v>
      </c>
      <c r="C26"/>
      <c r="D26"/>
      <c r="E26"/>
      <c r="F26"/>
      <c r="G26"/>
      <c r="H26"/>
      <c r="I26"/>
      <c r="J26"/>
      <c r="K26"/>
      <c r="L26"/>
      <c r="M26"/>
      <c r="N26"/>
      <c r="O26"/>
      <c r="P26"/>
      <c r="Q26"/>
      <c r="R26"/>
      <c r="S26"/>
      <c r="T26"/>
      <c r="U26"/>
      <c r="V26" s="58"/>
      <c r="W26" s="58"/>
      <c r="X26" s="58"/>
      <c r="Y26" s="58"/>
      <c r="Z26" s="58"/>
      <c r="AA26" s="58"/>
    </row>
    <row r="27" ht="12.5" spans="1:27">
      <c r="A27" t="s">
        <v>26</v>
      </c>
      <c r="B27" t="s">
        <v>4</v>
      </c>
      <c r="C27"/>
      <c r="D27"/>
      <c r="E27"/>
      <c r="F27"/>
      <c r="G27"/>
      <c r="H27"/>
      <c r="I27"/>
      <c r="J27"/>
      <c r="K27"/>
      <c r="L27"/>
      <c r="M27"/>
      <c r="N27"/>
      <c r="O27"/>
      <c r="P27"/>
      <c r="Q27"/>
      <c r="R27"/>
      <c r="S27"/>
      <c r="T27"/>
      <c r="U27"/>
      <c r="V27" s="58"/>
      <c r="W27" s="58"/>
      <c r="X27" s="58"/>
      <c r="Y27" s="58"/>
      <c r="Z27" s="58"/>
      <c r="AA27" s="58"/>
    </row>
    <row r="28" ht="12.5" spans="1:27">
      <c r="A28" t="s">
        <v>27</v>
      </c>
      <c r="B28" t="s">
        <v>4</v>
      </c>
      <c r="C28"/>
      <c r="D28"/>
      <c r="E28"/>
      <c r="F28"/>
      <c r="G28"/>
      <c r="H28"/>
      <c r="I28"/>
      <c r="J28"/>
      <c r="K28"/>
      <c r="L28"/>
      <c r="M28"/>
      <c r="N28"/>
      <c r="O28"/>
      <c r="P28"/>
      <c r="Q28"/>
      <c r="R28"/>
      <c r="S28"/>
      <c r="T28"/>
      <c r="U28"/>
      <c r="V28" s="58"/>
      <c r="W28" s="58"/>
      <c r="X28" s="58"/>
      <c r="Y28" s="58"/>
      <c r="Z28" s="58"/>
      <c r="AA28" s="58"/>
    </row>
    <row r="29" ht="12.5" spans="1:27">
      <c r="A29" t="s">
        <v>28</v>
      </c>
      <c r="B29" t="s">
        <v>4</v>
      </c>
      <c r="C29"/>
      <c r="D29"/>
      <c r="E29"/>
      <c r="F29"/>
      <c r="G29"/>
      <c r="H29"/>
      <c r="I29"/>
      <c r="J29"/>
      <c r="K29"/>
      <c r="L29"/>
      <c r="M29"/>
      <c r="N29"/>
      <c r="O29"/>
      <c r="P29"/>
      <c r="Q29"/>
      <c r="R29"/>
      <c r="S29"/>
      <c r="T29"/>
      <c r="U29"/>
      <c r="V29" s="58"/>
      <c r="W29" s="58"/>
      <c r="X29" s="58"/>
      <c r="Y29" s="58"/>
      <c r="Z29" s="58"/>
      <c r="AA29" s="58"/>
    </row>
    <row r="30" ht="12.5" spans="1:27">
      <c r="A30" t="s">
        <v>29</v>
      </c>
      <c r="B30" t="s">
        <v>4</v>
      </c>
      <c r="H30" s="58"/>
      <c r="I30" s="58"/>
      <c r="J30" s="58"/>
      <c r="K30" s="58"/>
      <c r="L30" s="58"/>
      <c r="M30" s="58"/>
      <c r="N30" s="58"/>
      <c r="O30" s="58"/>
      <c r="P30" s="58"/>
      <c r="Q30" s="58"/>
      <c r="R30" s="58"/>
      <c r="S30" s="58"/>
      <c r="T30" s="58"/>
      <c r="U30" s="58"/>
      <c r="V30" s="58"/>
      <c r="W30" s="58"/>
      <c r="X30" s="58"/>
      <c r="Y30" s="58"/>
      <c r="Z30" s="58"/>
      <c r="AA30" s="58"/>
    </row>
    <row r="31" ht="12.5" spans="1:27">
      <c r="A31" t="s">
        <v>30</v>
      </c>
      <c r="B31" t="s">
        <v>4</v>
      </c>
      <c r="H31" s="58"/>
      <c r="I31" s="58"/>
      <c r="J31" s="58"/>
      <c r="K31" s="58"/>
      <c r="L31" s="58"/>
      <c r="M31" s="58"/>
      <c r="N31" s="58"/>
      <c r="O31" s="58"/>
      <c r="P31" s="58"/>
      <c r="Q31" s="58"/>
      <c r="R31" s="58"/>
      <c r="S31" s="58"/>
      <c r="T31" s="58"/>
      <c r="U31" s="58"/>
      <c r="V31" s="58"/>
      <c r="W31" s="58"/>
      <c r="X31" s="58"/>
      <c r="Y31" s="58"/>
      <c r="Z31" s="58"/>
      <c r="AA31" s="58"/>
    </row>
    <row r="32" ht="12.5" spans="1:27">
      <c r="A32" t="s">
        <v>31</v>
      </c>
      <c r="B32" t="s">
        <v>4</v>
      </c>
      <c r="H32" s="58"/>
      <c r="I32" s="58"/>
      <c r="J32" s="58"/>
      <c r="K32" s="58"/>
      <c r="L32" s="58"/>
      <c r="M32" s="58"/>
      <c r="N32" s="58"/>
      <c r="O32" s="58"/>
      <c r="P32" s="58"/>
      <c r="Q32" s="58"/>
      <c r="R32" s="58"/>
      <c r="S32" s="58"/>
      <c r="T32" s="58"/>
      <c r="U32" s="58"/>
      <c r="V32" s="58"/>
      <c r="W32" s="58"/>
      <c r="X32" s="58"/>
      <c r="Y32" s="58"/>
      <c r="Z32" s="58"/>
      <c r="AA32" s="58"/>
    </row>
    <row r="33" ht="12.5" spans="1:27">
      <c r="A33" t="s">
        <v>32</v>
      </c>
      <c r="B33" t="s">
        <v>4</v>
      </c>
      <c r="H33" s="58"/>
      <c r="I33" s="58"/>
      <c r="J33" s="58"/>
      <c r="K33" s="58"/>
      <c r="L33" s="58"/>
      <c r="M33" s="58"/>
      <c r="N33" s="58"/>
      <c r="O33" s="58"/>
      <c r="P33" s="58"/>
      <c r="Q33" s="58"/>
      <c r="R33" s="58"/>
      <c r="S33" s="58"/>
      <c r="T33" s="58"/>
      <c r="U33" s="58"/>
      <c r="V33" s="58"/>
      <c r="W33" s="58"/>
      <c r="X33" s="58"/>
      <c r="Y33" s="58"/>
      <c r="Z33" s="58"/>
      <c r="AA33" s="58"/>
    </row>
    <row r="34" ht="12.5" spans="1:27">
      <c r="A34" t="s">
        <v>33</v>
      </c>
      <c r="B34" t="s">
        <v>4</v>
      </c>
      <c r="H34" s="58"/>
      <c r="I34" s="58"/>
      <c r="J34" s="58"/>
      <c r="K34" s="58"/>
      <c r="L34" s="58"/>
      <c r="M34" s="58"/>
      <c r="N34" s="58"/>
      <c r="O34" s="58"/>
      <c r="P34" s="58"/>
      <c r="Q34" s="58"/>
      <c r="R34" s="58"/>
      <c r="S34" s="58"/>
      <c r="T34" s="58"/>
      <c r="U34" s="58"/>
      <c r="V34" s="58"/>
      <c r="W34" s="58"/>
      <c r="X34" s="58"/>
      <c r="Y34" s="58"/>
      <c r="Z34" s="58"/>
      <c r="AA34" s="58"/>
    </row>
    <row r="35" ht="12.5" spans="1:27">
      <c r="A35" s="103" t="s">
        <v>34</v>
      </c>
      <c r="B35" t="s">
        <v>4</v>
      </c>
      <c r="H35" s="58"/>
      <c r="I35" s="58"/>
      <c r="J35" s="58"/>
      <c r="K35" s="58"/>
      <c r="L35" s="58"/>
      <c r="M35" s="58"/>
      <c r="N35" s="58"/>
      <c r="O35" s="58"/>
      <c r="P35" s="58"/>
      <c r="Q35" s="58"/>
      <c r="R35" s="58"/>
      <c r="S35" s="58"/>
      <c r="T35" s="58"/>
      <c r="U35" s="58"/>
      <c r="V35" s="58"/>
      <c r="W35" s="58"/>
      <c r="X35" s="58"/>
      <c r="Y35" s="58"/>
      <c r="Z35" s="58"/>
      <c r="AA35" s="58"/>
    </row>
    <row r="36" ht="12.5" spans="1:27">
      <c r="A36" s="103" t="s">
        <v>35</v>
      </c>
      <c r="B36" t="s">
        <v>4</v>
      </c>
      <c r="H36" s="58"/>
      <c r="I36" s="58"/>
      <c r="J36" s="58"/>
      <c r="K36" s="58"/>
      <c r="L36" s="58"/>
      <c r="M36" s="58"/>
      <c r="N36" s="58"/>
      <c r="O36" s="58"/>
      <c r="P36" s="58"/>
      <c r="Q36" s="58"/>
      <c r="R36" s="58"/>
      <c r="S36" s="58"/>
      <c r="T36" s="58"/>
      <c r="U36" s="58"/>
      <c r="V36" s="58"/>
      <c r="W36" s="58"/>
      <c r="X36" s="58"/>
      <c r="Y36" s="58"/>
      <c r="Z36" s="58"/>
      <c r="AA36" s="58"/>
    </row>
    <row r="37" ht="12.5" spans="1:27">
      <c r="A37" s="103" t="s">
        <v>36</v>
      </c>
      <c r="B37" t="s">
        <v>4</v>
      </c>
      <c r="H37" s="58"/>
      <c r="I37" s="58"/>
      <c r="J37" s="58"/>
      <c r="K37" s="58"/>
      <c r="L37" s="58"/>
      <c r="M37" s="58"/>
      <c r="N37" s="58"/>
      <c r="O37" s="58"/>
      <c r="P37" s="58"/>
      <c r="Q37" s="58"/>
      <c r="R37" s="58"/>
      <c r="S37" s="58"/>
      <c r="T37" s="58"/>
      <c r="U37" s="58"/>
      <c r="V37" s="58"/>
      <c r="W37" s="58"/>
      <c r="X37" s="58"/>
      <c r="Y37" s="58"/>
      <c r="Z37" s="58"/>
      <c r="AA37" s="58"/>
    </row>
    <row r="38" ht="12.5" spans="1:27">
      <c r="A38" s="103" t="s">
        <v>37</v>
      </c>
      <c r="B38" t="s">
        <v>4</v>
      </c>
      <c r="H38" s="58"/>
      <c r="I38" s="58"/>
      <c r="J38" s="58"/>
      <c r="K38" s="58"/>
      <c r="L38" s="58"/>
      <c r="M38" s="58"/>
      <c r="N38" s="58"/>
      <c r="O38" s="58"/>
      <c r="P38" s="58"/>
      <c r="Q38" s="58"/>
      <c r="R38" s="58"/>
      <c r="S38" s="58"/>
      <c r="T38" s="58"/>
      <c r="U38" s="58"/>
      <c r="V38" s="58"/>
      <c r="W38" s="58"/>
      <c r="X38" s="58"/>
      <c r="Y38" s="58"/>
      <c r="Z38" s="58"/>
      <c r="AA38" s="58"/>
    </row>
    <row r="39" ht="12.5" spans="1:27">
      <c r="A39" s="103" t="s">
        <v>38</v>
      </c>
      <c r="B39" t="s">
        <v>4</v>
      </c>
      <c r="H39" s="58"/>
      <c r="I39" s="58"/>
      <c r="J39" s="58"/>
      <c r="K39" s="58"/>
      <c r="L39" s="58"/>
      <c r="M39" s="58"/>
      <c r="N39" s="58"/>
      <c r="O39" s="58"/>
      <c r="P39" s="58"/>
      <c r="Q39" s="58"/>
      <c r="R39" s="58"/>
      <c r="S39" s="58"/>
      <c r="T39" s="58"/>
      <c r="U39" s="58"/>
      <c r="V39" s="58"/>
      <c r="W39" s="58"/>
      <c r="X39" s="58"/>
      <c r="Y39" s="58"/>
      <c r="Z39" s="58"/>
      <c r="AA39" s="58"/>
    </row>
    <row r="40" spans="1:27">
      <c r="H40" s="58"/>
      <c r="I40" s="58"/>
      <c r="J40" s="58"/>
      <c r="K40" s="58"/>
      <c r="L40" s="58"/>
      <c r="M40" s="58"/>
      <c r="N40" s="58"/>
      <c r="O40" s="58"/>
      <c r="P40" s="58"/>
      <c r="Q40" s="58"/>
      <c r="R40" s="58"/>
      <c r="S40" s="58"/>
      <c r="T40" s="58"/>
      <c r="U40" s="58"/>
      <c r="V40" s="58"/>
      <c r="W40" s="58"/>
      <c r="X40" s="58"/>
      <c r="Y40" s="58"/>
      <c r="Z40" s="58"/>
      <c r="AA40" s="58"/>
    </row>
    <row r="41" spans="1:27">
      <c r="H41" s="58"/>
      <c r="I41" s="58"/>
      <c r="J41" s="58"/>
      <c r="K41" s="58"/>
      <c r="L41" s="58"/>
      <c r="M41" s="58"/>
      <c r="N41" s="58"/>
      <c r="O41" s="58"/>
      <c r="P41" s="58"/>
      <c r="Q41" s="58"/>
      <c r="R41" s="58"/>
      <c r="S41" s="58"/>
      <c r="T41" s="58"/>
      <c r="U41" s="58"/>
      <c r="V41" s="58"/>
      <c r="W41" s="58"/>
      <c r="X41" s="58"/>
      <c r="Y41" s="58"/>
      <c r="Z41" s="58"/>
      <c r="AA41" s="58"/>
    </row>
    <row r="42" spans="1:27">
      <c r="H42" s="58"/>
      <c r="I42" s="58"/>
      <c r="J42" s="58"/>
      <c r="K42" s="58"/>
      <c r="L42" s="58"/>
      <c r="M42" s="58"/>
      <c r="N42" s="58"/>
      <c r="O42" s="58"/>
      <c r="P42" s="58"/>
      <c r="Q42" s="58"/>
      <c r="R42" s="58"/>
      <c r="S42" s="58"/>
      <c r="T42" s="58"/>
      <c r="U42" s="58"/>
      <c r="V42" s="58"/>
      <c r="W42" s="58"/>
      <c r="X42" s="58"/>
      <c r="Y42" s="58"/>
      <c r="Z42" s="58"/>
      <c r="AA42" s="58"/>
    </row>
    <row r="43" spans="1:27">
      <c r="H43" s="58"/>
      <c r="I43" s="58"/>
      <c r="J43" s="58"/>
      <c r="K43" s="58"/>
      <c r="L43" s="58"/>
      <c r="M43" s="58"/>
      <c r="N43" s="58"/>
      <c r="O43" s="58"/>
      <c r="P43" s="58"/>
      <c r="Q43" s="58"/>
      <c r="R43" s="58"/>
      <c r="S43" s="58"/>
      <c r="T43" s="58"/>
      <c r="U43" s="58"/>
      <c r="V43" s="58"/>
      <c r="W43" s="58"/>
      <c r="X43" s="58"/>
      <c r="Y43" s="58"/>
      <c r="Z43" s="58"/>
      <c r="AA43" s="58"/>
    </row>
    <row r="44" spans="1:27">
      <c r="H44" s="58"/>
      <c r="I44" s="58"/>
      <c r="J44" s="58"/>
      <c r="K44" s="58"/>
      <c r="L44" s="58"/>
      <c r="M44" s="58"/>
      <c r="N44" s="58"/>
      <c r="O44" s="58"/>
      <c r="P44" s="58"/>
      <c r="Q44" s="58"/>
      <c r="R44" s="58"/>
      <c r="S44" s="58"/>
      <c r="T44" s="58"/>
      <c r="U44" s="58"/>
      <c r="V44" s="58"/>
      <c r="W44" s="58"/>
      <c r="X44" s="58"/>
      <c r="Y44" s="58"/>
      <c r="Z44" s="58"/>
      <c r="AA44" s="58"/>
    </row>
    <row r="45" spans="1:27">
      <c r="H45" s="58"/>
      <c r="I45" s="58"/>
      <c r="J45" s="58"/>
      <c r="K45" s="58"/>
      <c r="L45" s="58"/>
      <c r="M45" s="58"/>
      <c r="N45" s="58"/>
      <c r="O45" s="58"/>
      <c r="P45" s="58"/>
      <c r="Q45" s="58"/>
      <c r="R45" s="58"/>
      <c r="S45" s="58"/>
      <c r="T45" s="58"/>
      <c r="U45" s="58"/>
      <c r="V45" s="58"/>
      <c r="W45" s="58"/>
      <c r="X45" s="58"/>
      <c r="Y45" s="58"/>
      <c r="Z45" s="58"/>
      <c r="AA45" s="58"/>
    </row>
    <row r="46" spans="1:27">
      <c r="H46" s="58"/>
      <c r="I46" s="58"/>
      <c r="J46" s="58"/>
      <c r="K46" s="58"/>
      <c r="L46" s="58"/>
      <c r="M46" s="58"/>
      <c r="N46" s="58"/>
      <c r="O46" s="58"/>
      <c r="P46" s="58"/>
      <c r="Q46" s="58"/>
      <c r="R46" s="58"/>
      <c r="S46" s="58"/>
      <c r="T46" s="58"/>
      <c r="U46" s="58"/>
      <c r="V46" s="58"/>
      <c r="W46" s="58"/>
      <c r="X46" s="58"/>
      <c r="Y46" s="58"/>
      <c r="Z46" s="58"/>
      <c r="AA46" s="58"/>
    </row>
    <row r="47" spans="1:27">
      <c r="H47" s="58"/>
      <c r="I47" s="58"/>
      <c r="J47" s="58"/>
      <c r="K47" s="58"/>
      <c r="L47" s="58"/>
      <c r="M47" s="58"/>
      <c r="N47" s="58"/>
      <c r="O47" s="58"/>
      <c r="P47" s="58"/>
      <c r="Q47" s="58"/>
      <c r="R47" s="58"/>
      <c r="S47" s="58"/>
      <c r="T47" s="58"/>
      <c r="U47" s="58"/>
      <c r="V47" s="58"/>
      <c r="W47" s="58"/>
      <c r="X47" s="58"/>
      <c r="Y47" s="58"/>
      <c r="Z47" s="58"/>
      <c r="AA47" s="58"/>
    </row>
    <row r="48" spans="1:27">
      <c r="H48" s="58"/>
      <c r="I48" s="58"/>
      <c r="J48" s="58"/>
      <c r="K48" s="58"/>
      <c r="L48" s="58"/>
      <c r="M48" s="58"/>
      <c r="N48" s="58"/>
      <c r="O48" s="58"/>
      <c r="P48" s="58"/>
      <c r="Q48" s="58"/>
      <c r="R48" s="58"/>
      <c r="S48" s="58"/>
      <c r="T48" s="58"/>
      <c r="U48" s="58"/>
      <c r="V48" s="58"/>
      <c r="W48" s="58"/>
      <c r="X48" s="58"/>
      <c r="Y48" s="58"/>
      <c r="Z48" s="58"/>
      <c r="AA48" s="58"/>
    </row>
    <row r="49" spans="8:27">
      <c r="H49" s="58"/>
      <c r="I49" s="58"/>
      <c r="J49" s="58"/>
      <c r="K49" s="58"/>
      <c r="L49" s="58"/>
      <c r="M49" s="58"/>
      <c r="N49" s="58"/>
      <c r="O49" s="58"/>
      <c r="P49" s="58"/>
      <c r="Q49" s="58"/>
      <c r="R49" s="58"/>
      <c r="S49" s="58"/>
      <c r="T49" s="58"/>
      <c r="U49" s="58"/>
      <c r="V49" s="58"/>
      <c r="W49" s="58"/>
      <c r="X49" s="58"/>
      <c r="Y49" s="58"/>
      <c r="Z49" s="58"/>
      <c r="AA49" s="58"/>
    </row>
    <row r="50" spans="8:27">
      <c r="H50" s="58"/>
      <c r="I50" s="58"/>
      <c r="J50" s="58"/>
      <c r="K50" s="58"/>
      <c r="L50" s="58"/>
      <c r="M50" s="58"/>
      <c r="N50" s="58"/>
      <c r="O50" s="58"/>
      <c r="P50" s="58"/>
      <c r="Q50" s="58"/>
      <c r="R50" s="58"/>
      <c r="S50" s="58"/>
      <c r="T50" s="58"/>
      <c r="U50" s="58"/>
      <c r="V50" s="58"/>
      <c r="W50" s="58"/>
      <c r="X50" s="58"/>
      <c r="Y50" s="58"/>
      <c r="Z50" s="58"/>
      <c r="AA50" s="58"/>
    </row>
    <row r="51" spans="8:27">
      <c r="H51" s="58"/>
      <c r="I51" s="58"/>
      <c r="J51" s="58"/>
      <c r="K51" s="58"/>
      <c r="L51" s="58"/>
      <c r="M51" s="58"/>
      <c r="N51" s="58"/>
      <c r="O51" s="58"/>
      <c r="P51" s="58"/>
      <c r="Q51" s="58"/>
      <c r="R51" s="58"/>
      <c r="S51" s="58"/>
      <c r="T51" s="58"/>
      <c r="U51" s="58"/>
      <c r="V51" s="58"/>
      <c r="W51" s="58"/>
      <c r="X51" s="58"/>
      <c r="Y51" s="58"/>
      <c r="Z51" s="58"/>
      <c r="AA51" s="58"/>
    </row>
    <row r="52" spans="8:27">
      <c r="H52" s="58"/>
      <c r="I52" s="58"/>
      <c r="J52" s="58"/>
      <c r="K52" s="58"/>
      <c r="L52" s="58"/>
      <c r="M52" s="58"/>
      <c r="N52" s="58"/>
      <c r="O52" s="58"/>
      <c r="P52" s="58"/>
      <c r="Q52" s="58"/>
      <c r="R52" s="58"/>
      <c r="S52" s="58"/>
      <c r="T52" s="58"/>
      <c r="U52" s="58"/>
      <c r="V52" s="58"/>
      <c r="W52" s="58"/>
      <c r="X52" s="58"/>
      <c r="Y52" s="58"/>
      <c r="Z52" s="58"/>
      <c r="AA52" s="58"/>
    </row>
    <row r="53" spans="8:27">
      <c r="H53" s="58"/>
      <c r="I53" s="58"/>
      <c r="J53" s="58"/>
      <c r="K53" s="58"/>
      <c r="L53" s="58"/>
      <c r="M53" s="58"/>
      <c r="N53" s="58"/>
      <c r="O53" s="58"/>
      <c r="P53" s="58"/>
      <c r="Q53" s="58"/>
      <c r="R53" s="58"/>
      <c r="S53" s="58"/>
      <c r="T53" s="58"/>
      <c r="U53" s="58"/>
      <c r="V53" s="58"/>
      <c r="W53" s="58"/>
      <c r="X53" s="58"/>
      <c r="Y53" s="58"/>
      <c r="Z53" s="58"/>
      <c r="AA53" s="58"/>
    </row>
    <row r="54" spans="8:27">
      <c r="H54" s="58"/>
      <c r="I54" s="58"/>
      <c r="J54" s="58"/>
      <c r="K54" s="58"/>
      <c r="L54" s="58"/>
      <c r="M54" s="58"/>
      <c r="N54" s="58"/>
      <c r="O54" s="58"/>
      <c r="P54" s="58"/>
      <c r="Q54" s="58"/>
      <c r="R54" s="58"/>
      <c r="S54" s="58"/>
      <c r="T54" s="58"/>
      <c r="U54" s="58"/>
      <c r="V54" s="58"/>
      <c r="W54" s="58"/>
      <c r="X54" s="58"/>
      <c r="Y54" s="58"/>
      <c r="Z54" s="58"/>
      <c r="AA54" s="58"/>
    </row>
    <row r="55" spans="8:27">
      <c r="H55" s="58"/>
      <c r="I55" s="58"/>
      <c r="J55" s="58"/>
      <c r="K55" s="58"/>
      <c r="L55" s="58"/>
      <c r="M55" s="58"/>
      <c r="N55" s="58"/>
      <c r="O55" s="58"/>
      <c r="P55" s="58"/>
      <c r="Q55" s="58"/>
      <c r="R55" s="58"/>
      <c r="S55" s="58"/>
      <c r="T55" s="58"/>
      <c r="U55" s="58"/>
      <c r="V55" s="58"/>
      <c r="W55" s="58"/>
      <c r="X55" s="58"/>
      <c r="Y55" s="58"/>
      <c r="Z55" s="58"/>
      <c r="AA55" s="58"/>
    </row>
    <row r="56" spans="8:27">
      <c r="H56" s="58"/>
      <c r="I56" s="58"/>
      <c r="J56" s="58"/>
      <c r="K56" s="58"/>
      <c r="L56" s="58"/>
      <c r="M56" s="58"/>
      <c r="N56" s="58"/>
      <c r="O56" s="58"/>
      <c r="P56" s="58"/>
      <c r="Q56" s="58"/>
      <c r="R56" s="58"/>
      <c r="S56" s="58"/>
      <c r="T56" s="58"/>
      <c r="U56" s="58"/>
      <c r="V56" s="58"/>
      <c r="W56" s="58"/>
      <c r="X56" s="58"/>
      <c r="Y56" s="58"/>
      <c r="Z56" s="58"/>
      <c r="AA56" s="58"/>
    </row>
    <row r="57" spans="8:27">
      <c r="H57" s="58"/>
      <c r="I57" s="58"/>
      <c r="J57" s="58"/>
      <c r="K57" s="58"/>
      <c r="L57" s="58"/>
      <c r="M57" s="58"/>
      <c r="N57" s="58"/>
      <c r="O57" s="58"/>
      <c r="P57" s="58"/>
      <c r="Q57" s="58"/>
      <c r="R57" s="58"/>
      <c r="S57" s="58"/>
      <c r="T57" s="58"/>
      <c r="U57" s="58"/>
      <c r="V57" s="58"/>
      <c r="W57" s="58"/>
      <c r="X57" s="58"/>
      <c r="Y57" s="58"/>
      <c r="Z57" s="58"/>
      <c r="AA57" s="58"/>
    </row>
    <row r="58" spans="8:27">
      <c r="H58" s="58"/>
      <c r="I58" s="58"/>
      <c r="J58" s="58"/>
      <c r="K58" s="58"/>
      <c r="L58" s="58"/>
      <c r="M58" s="58"/>
      <c r="N58" s="58"/>
      <c r="O58" s="58"/>
      <c r="P58" s="58"/>
      <c r="Q58" s="58"/>
      <c r="R58" s="58"/>
      <c r="S58" s="58"/>
      <c r="T58" s="58"/>
      <c r="U58" s="58"/>
      <c r="V58" s="58"/>
      <c r="W58" s="58"/>
      <c r="X58" s="58"/>
      <c r="Y58" s="58"/>
      <c r="Z58" s="58"/>
      <c r="AA58" s="58"/>
    </row>
    <row r="59" spans="8:27">
      <c r="H59" s="58"/>
      <c r="I59" s="58"/>
      <c r="J59" s="58"/>
      <c r="K59" s="58"/>
      <c r="L59" s="58"/>
      <c r="M59" s="58"/>
      <c r="N59" s="58"/>
      <c r="O59" s="58"/>
      <c r="P59" s="58"/>
      <c r="Q59" s="58"/>
      <c r="R59" s="58"/>
      <c r="S59" s="58"/>
      <c r="T59" s="58"/>
      <c r="U59" s="58"/>
      <c r="V59" s="58"/>
      <c r="W59" s="58"/>
      <c r="X59" s="58"/>
      <c r="Y59" s="58"/>
      <c r="Z59" s="58"/>
      <c r="AA59" s="58"/>
    </row>
    <row r="60" spans="8:27">
      <c r="H60" s="58"/>
      <c r="I60" s="58"/>
      <c r="J60" s="58"/>
      <c r="K60" s="58"/>
      <c r="L60" s="58"/>
      <c r="M60" s="58"/>
      <c r="N60" s="58"/>
      <c r="O60" s="58"/>
      <c r="P60" s="58"/>
      <c r="Q60" s="58"/>
      <c r="R60" s="58"/>
      <c r="S60" s="58"/>
      <c r="T60" s="58"/>
      <c r="U60" s="58"/>
      <c r="V60" s="58"/>
      <c r="W60" s="58"/>
      <c r="X60" s="58"/>
      <c r="Y60" s="58"/>
      <c r="Z60" s="58"/>
      <c r="AA60" s="58"/>
    </row>
    <row r="61" spans="8:27">
      <c r="H61" s="58"/>
      <c r="I61" s="58"/>
      <c r="J61" s="58"/>
      <c r="K61" s="58"/>
      <c r="L61" s="58"/>
      <c r="M61" s="58"/>
      <c r="N61" s="58"/>
      <c r="O61" s="58"/>
      <c r="P61" s="58"/>
      <c r="Q61" s="58"/>
      <c r="R61" s="58"/>
      <c r="S61" s="58"/>
      <c r="T61" s="58"/>
      <c r="U61" s="58"/>
      <c r="V61" s="58"/>
      <c r="W61" s="58"/>
      <c r="X61" s="58"/>
      <c r="Y61" s="58"/>
      <c r="Z61" s="58"/>
      <c r="AA61" s="58"/>
    </row>
    <row r="62" spans="8:27">
      <c r="H62" s="58"/>
      <c r="I62" s="58"/>
      <c r="J62" s="58"/>
      <c r="K62" s="58"/>
      <c r="L62" s="58"/>
      <c r="M62" s="58"/>
      <c r="N62" s="58"/>
      <c r="O62" s="58"/>
      <c r="P62" s="58"/>
      <c r="Q62" s="58"/>
      <c r="R62" s="58"/>
      <c r="S62" s="58"/>
      <c r="T62" s="58"/>
      <c r="U62" s="58"/>
      <c r="V62" s="58"/>
      <c r="W62" s="58"/>
      <c r="X62" s="58"/>
      <c r="Y62" s="58"/>
      <c r="Z62" s="58"/>
      <c r="AA62" s="58"/>
    </row>
    <row r="63" spans="8:27">
      <c r="H63" s="58"/>
      <c r="I63" s="58"/>
      <c r="J63" s="58"/>
      <c r="K63" s="58"/>
      <c r="L63" s="58"/>
      <c r="M63" s="58"/>
      <c r="N63" s="58"/>
      <c r="O63" s="58"/>
      <c r="P63" s="58"/>
      <c r="Q63" s="58"/>
      <c r="R63" s="58"/>
      <c r="S63" s="58"/>
      <c r="T63" s="58"/>
      <c r="U63" s="58"/>
      <c r="V63" s="58"/>
      <c r="W63" s="58"/>
      <c r="X63" s="58"/>
      <c r="Y63" s="58"/>
      <c r="Z63" s="58"/>
      <c r="AA63" s="58"/>
    </row>
    <row r="64" spans="8:27">
      <c r="H64" s="58"/>
      <c r="I64" s="58"/>
      <c r="J64" s="58"/>
      <c r="K64" s="58"/>
      <c r="L64" s="58"/>
      <c r="M64" s="58"/>
      <c r="N64" s="58"/>
      <c r="O64" s="58"/>
      <c r="P64" s="58"/>
      <c r="Q64" s="58"/>
      <c r="R64" s="58"/>
      <c r="S64" s="58"/>
      <c r="T64" s="58"/>
      <c r="U64" s="58"/>
      <c r="V64" s="58"/>
      <c r="W64" s="58"/>
      <c r="X64" s="58"/>
      <c r="Y64" s="58"/>
      <c r="Z64" s="58"/>
      <c r="AA64" s="58"/>
    </row>
    <row r="65" spans="8:27">
      <c r="H65" s="58"/>
      <c r="I65" s="58"/>
      <c r="J65" s="58"/>
      <c r="K65" s="58"/>
      <c r="L65" s="58"/>
      <c r="M65" s="58"/>
      <c r="N65" s="58"/>
      <c r="O65" s="58"/>
      <c r="P65" s="58"/>
      <c r="Q65" s="58"/>
      <c r="R65" s="58"/>
      <c r="S65" s="58"/>
      <c r="T65" s="58"/>
      <c r="U65" s="58"/>
      <c r="V65" s="58"/>
      <c r="W65" s="58"/>
      <c r="X65" s="58"/>
      <c r="Y65" s="58"/>
      <c r="Z65" s="58"/>
      <c r="AA65" s="58"/>
    </row>
    <row r="66" spans="8:27">
      <c r="H66" s="58"/>
      <c r="I66" s="58"/>
      <c r="J66" s="58"/>
      <c r="K66" s="58"/>
      <c r="L66" s="58"/>
      <c r="M66" s="58"/>
      <c r="N66" s="58"/>
      <c r="O66" s="58"/>
      <c r="P66" s="58"/>
      <c r="Q66" s="58"/>
      <c r="R66" s="58"/>
      <c r="S66" s="58"/>
      <c r="T66" s="58"/>
      <c r="U66" s="58"/>
      <c r="V66" s="58"/>
      <c r="W66" s="58"/>
      <c r="X66" s="58"/>
      <c r="Y66" s="58"/>
      <c r="Z66" s="58"/>
      <c r="AA66" s="58"/>
    </row>
    <row r="67" spans="8:27">
      <c r="H67" s="58"/>
      <c r="I67" s="58"/>
      <c r="J67" s="58"/>
      <c r="K67" s="58"/>
      <c r="L67" s="58"/>
      <c r="M67" s="58"/>
      <c r="N67" s="58"/>
      <c r="O67" s="58"/>
      <c r="P67" s="58"/>
      <c r="Q67" s="58"/>
      <c r="R67" s="58"/>
      <c r="S67" s="58"/>
      <c r="T67" s="58"/>
      <c r="U67" s="58"/>
      <c r="V67" s="58"/>
      <c r="W67" s="58"/>
      <c r="X67" s="58"/>
      <c r="Y67" s="58"/>
      <c r="Z67" s="58"/>
      <c r="AA67" s="58"/>
    </row>
    <row r="68" spans="8:27">
      <c r="H68" s="58"/>
      <c r="I68" s="58"/>
      <c r="J68" s="58"/>
      <c r="K68" s="58"/>
      <c r="L68" s="58"/>
      <c r="M68" s="58"/>
      <c r="N68" s="58"/>
      <c r="O68" s="58"/>
      <c r="P68" s="58"/>
      <c r="Q68" s="58"/>
      <c r="R68" s="58"/>
      <c r="S68" s="58"/>
      <c r="T68" s="58"/>
      <c r="U68" s="58"/>
      <c r="V68" s="58"/>
      <c r="W68" s="58"/>
      <c r="X68" s="58"/>
      <c r="Y68" s="58"/>
      <c r="Z68" s="58"/>
      <c r="AA68" s="58"/>
    </row>
    <row r="69" spans="8:27">
      <c r="H69" s="58"/>
      <c r="I69" s="58"/>
      <c r="J69" s="58"/>
      <c r="K69" s="58"/>
      <c r="L69" s="58"/>
      <c r="M69" s="58"/>
      <c r="N69" s="58"/>
      <c r="O69" s="58"/>
      <c r="P69" s="58"/>
      <c r="Q69" s="58"/>
      <c r="R69" s="58"/>
      <c r="S69" s="58"/>
      <c r="T69" s="58"/>
      <c r="U69" s="58"/>
      <c r="V69" s="58"/>
      <c r="W69" s="58"/>
      <c r="X69" s="58"/>
      <c r="Y69" s="58"/>
      <c r="Z69" s="58"/>
      <c r="AA69" s="58"/>
    </row>
    <row r="70" spans="8:27">
      <c r="H70" s="58"/>
      <c r="I70" s="58"/>
      <c r="J70" s="58"/>
      <c r="K70" s="58"/>
      <c r="L70" s="58"/>
      <c r="M70" s="58"/>
      <c r="N70" s="58"/>
      <c r="O70" s="58"/>
      <c r="P70" s="58"/>
      <c r="Q70" s="58"/>
      <c r="R70" s="58"/>
      <c r="S70" s="58"/>
      <c r="T70" s="58"/>
      <c r="U70" s="58"/>
      <c r="V70" s="58"/>
      <c r="W70" s="58"/>
      <c r="X70" s="58"/>
      <c r="Y70" s="58"/>
      <c r="Z70" s="58"/>
      <c r="AA70" s="58"/>
    </row>
    <row r="71" spans="8:27">
      <c r="H71" s="58"/>
      <c r="I71" s="58"/>
      <c r="J71" s="58"/>
      <c r="K71" s="58"/>
      <c r="L71" s="58"/>
      <c r="M71" s="58"/>
      <c r="N71" s="58"/>
      <c r="O71" s="58"/>
      <c r="P71" s="58"/>
      <c r="Q71" s="58"/>
      <c r="R71" s="58"/>
      <c r="S71" s="58"/>
      <c r="T71" s="58"/>
      <c r="U71" s="58"/>
      <c r="V71" s="58"/>
      <c r="W71" s="58"/>
      <c r="X71" s="58"/>
      <c r="Y71" s="58"/>
      <c r="Z71" s="58"/>
      <c r="AA71" s="58"/>
    </row>
    <row r="72" spans="8:27">
      <c r="H72" s="58"/>
      <c r="I72" s="58"/>
      <c r="J72" s="58"/>
      <c r="K72" s="58"/>
      <c r="L72" s="58"/>
      <c r="M72" s="58"/>
      <c r="N72" s="58"/>
      <c r="O72" s="58"/>
      <c r="P72" s="58"/>
      <c r="Q72" s="58"/>
      <c r="R72" s="58"/>
      <c r="S72" s="58"/>
      <c r="T72" s="58"/>
      <c r="U72" s="58"/>
      <c r="V72" s="58"/>
      <c r="W72" s="58"/>
      <c r="X72" s="58"/>
      <c r="Y72" s="58"/>
      <c r="Z72" s="58"/>
      <c r="AA72" s="58"/>
    </row>
    <row r="73" spans="8:27">
      <c r="H73" s="58"/>
      <c r="I73" s="58"/>
      <c r="J73" s="58"/>
      <c r="K73" s="58"/>
      <c r="L73" s="58"/>
      <c r="M73" s="58"/>
      <c r="N73" s="58"/>
      <c r="O73" s="58"/>
      <c r="P73" s="58"/>
      <c r="Q73" s="58"/>
      <c r="R73" s="58"/>
      <c r="S73" s="58"/>
      <c r="T73" s="58"/>
      <c r="U73" s="58"/>
      <c r="V73" s="58"/>
      <c r="W73" s="58"/>
      <c r="X73" s="58"/>
      <c r="Y73" s="58"/>
      <c r="Z73" s="58"/>
      <c r="AA73" s="58"/>
    </row>
    <row r="74" spans="8:27">
      <c r="H74" s="58"/>
      <c r="I74" s="58"/>
      <c r="J74" s="58"/>
      <c r="K74" s="58"/>
      <c r="L74" s="58"/>
      <c r="M74" s="58"/>
      <c r="N74" s="58"/>
      <c r="O74" s="58"/>
      <c r="P74" s="58"/>
      <c r="Q74" s="58"/>
      <c r="R74" s="58"/>
      <c r="S74" s="58"/>
      <c r="T74" s="58"/>
      <c r="U74" s="58"/>
      <c r="V74" s="58"/>
      <c r="W74" s="58"/>
      <c r="X74" s="58"/>
      <c r="Y74" s="58"/>
      <c r="Z74" s="58"/>
      <c r="AA74" s="58"/>
    </row>
    <row r="75" spans="8:27">
      <c r="H75" s="58"/>
      <c r="I75" s="58"/>
      <c r="J75" s="58"/>
      <c r="K75" s="58"/>
      <c r="L75" s="58"/>
      <c r="M75" s="58"/>
      <c r="N75" s="58"/>
      <c r="O75" s="58"/>
      <c r="P75" s="58"/>
      <c r="Q75" s="58"/>
      <c r="R75" s="58"/>
      <c r="S75" s="58"/>
      <c r="T75" s="58"/>
      <c r="U75" s="58"/>
      <c r="V75" s="58"/>
      <c r="W75" s="58"/>
      <c r="X75" s="58"/>
      <c r="Y75" s="58"/>
      <c r="Z75" s="58"/>
      <c r="AA75" s="58"/>
    </row>
    <row r="76" spans="8:27">
      <c r="H76" s="58"/>
      <c r="I76" s="58"/>
      <c r="J76" s="58"/>
      <c r="K76" s="58"/>
      <c r="L76" s="58"/>
      <c r="M76" s="58"/>
      <c r="N76" s="58"/>
      <c r="O76" s="58"/>
      <c r="P76" s="58"/>
      <c r="Q76" s="58"/>
      <c r="R76" s="58"/>
      <c r="S76" s="58"/>
      <c r="T76" s="58"/>
      <c r="U76" s="58"/>
      <c r="V76" s="58"/>
      <c r="W76" s="58"/>
      <c r="X76" s="58"/>
      <c r="Y76" s="58"/>
      <c r="Z76" s="58"/>
      <c r="AA76" s="58"/>
    </row>
    <row r="77" spans="8:27">
      <c r="H77" s="58"/>
      <c r="I77" s="58"/>
      <c r="J77" s="58"/>
      <c r="K77" s="58"/>
      <c r="L77" s="58"/>
      <c r="M77" s="58"/>
      <c r="N77" s="58"/>
      <c r="O77" s="58"/>
      <c r="P77" s="58"/>
      <c r="Q77" s="58"/>
      <c r="R77" s="58"/>
      <c r="S77" s="58"/>
      <c r="T77" s="58"/>
      <c r="U77" s="58"/>
      <c r="V77" s="58"/>
      <c r="W77" s="58"/>
      <c r="X77" s="58"/>
      <c r="Y77" s="58"/>
      <c r="Z77" s="58"/>
      <c r="AA77" s="58"/>
    </row>
    <row r="78" spans="8:27">
      <c r="H78" s="58"/>
      <c r="I78" s="58"/>
      <c r="J78" s="58"/>
      <c r="K78" s="58"/>
      <c r="L78" s="58"/>
      <c r="M78" s="58"/>
      <c r="N78" s="58"/>
      <c r="O78" s="58"/>
      <c r="P78" s="58"/>
      <c r="Q78" s="58"/>
      <c r="R78" s="58"/>
      <c r="S78" s="58"/>
      <c r="T78" s="58"/>
      <c r="U78" s="58"/>
      <c r="V78" s="58"/>
      <c r="W78" s="58"/>
      <c r="X78" s="58"/>
      <c r="Y78" s="58"/>
      <c r="Z78" s="58"/>
      <c r="AA78" s="58"/>
    </row>
    <row r="79" spans="8:27">
      <c r="H79" s="58"/>
      <c r="I79" s="58"/>
      <c r="J79" s="58"/>
      <c r="K79" s="58"/>
      <c r="L79" s="58"/>
      <c r="M79" s="58"/>
      <c r="N79" s="58"/>
      <c r="O79" s="58"/>
      <c r="P79" s="58"/>
      <c r="Q79" s="58"/>
      <c r="R79" s="58"/>
      <c r="S79" s="58"/>
      <c r="T79" s="58"/>
      <c r="U79" s="58"/>
      <c r="V79" s="58"/>
      <c r="W79" s="58"/>
      <c r="X79" s="58"/>
      <c r="Y79" s="58"/>
      <c r="Z79" s="58"/>
      <c r="AA79" s="58"/>
    </row>
    <row r="80" spans="8:27">
      <c r="H80" s="58"/>
      <c r="I80" s="58"/>
      <c r="J80" s="58"/>
      <c r="K80" s="58"/>
      <c r="L80" s="58"/>
      <c r="M80" s="58"/>
      <c r="N80" s="58"/>
      <c r="O80" s="58"/>
      <c r="P80" s="58"/>
      <c r="Q80" s="58"/>
      <c r="R80" s="58"/>
      <c r="S80" s="58"/>
      <c r="T80" s="58"/>
      <c r="U80" s="58"/>
      <c r="V80" s="58"/>
      <c r="W80" s="58"/>
      <c r="X80" s="58"/>
      <c r="Y80" s="58"/>
      <c r="Z80" s="58"/>
      <c r="AA80" s="58"/>
    </row>
    <row r="81" spans="8:27">
      <c r="H81" s="58"/>
      <c r="I81" s="58"/>
      <c r="J81" s="58"/>
      <c r="K81" s="58"/>
      <c r="L81" s="58"/>
      <c r="M81" s="58"/>
      <c r="N81" s="58"/>
      <c r="O81" s="58"/>
      <c r="P81" s="58"/>
      <c r="Q81" s="58"/>
      <c r="R81" s="58"/>
      <c r="S81" s="58"/>
      <c r="T81" s="58"/>
      <c r="U81" s="58"/>
      <c r="V81" s="58"/>
      <c r="W81" s="58"/>
      <c r="X81" s="58"/>
      <c r="Y81" s="58"/>
      <c r="Z81" s="58"/>
      <c r="AA81" s="58"/>
    </row>
    <row r="82" spans="8:27">
      <c r="H82" s="58"/>
      <c r="I82" s="58"/>
      <c r="J82" s="58"/>
      <c r="K82" s="58"/>
      <c r="L82" s="58"/>
      <c r="M82" s="58"/>
      <c r="N82" s="58"/>
      <c r="O82" s="58"/>
      <c r="P82" s="58"/>
      <c r="Q82" s="58"/>
      <c r="R82" s="58"/>
      <c r="S82" s="58"/>
      <c r="T82" s="58"/>
      <c r="U82" s="58"/>
      <c r="V82" s="58"/>
      <c r="W82" s="58"/>
      <c r="X82" s="58"/>
      <c r="Y82" s="58"/>
      <c r="Z82" s="58"/>
      <c r="AA82" s="58"/>
    </row>
    <row r="83" spans="8:27">
      <c r="H83" s="58"/>
      <c r="I83" s="58"/>
      <c r="J83" s="58"/>
      <c r="K83" s="58"/>
      <c r="L83" s="58"/>
      <c r="M83" s="58"/>
      <c r="N83" s="58"/>
      <c r="O83" s="58"/>
      <c r="P83" s="58"/>
      <c r="Q83" s="58"/>
      <c r="R83" s="58"/>
      <c r="S83" s="58"/>
      <c r="T83" s="58"/>
      <c r="U83" s="58"/>
      <c r="V83" s="58"/>
      <c r="W83" s="58"/>
      <c r="X83" s="58"/>
      <c r="Y83" s="58"/>
      <c r="Z83" s="58"/>
      <c r="AA83" s="58"/>
    </row>
    <row r="84" spans="8:27">
      <c r="H84" s="58"/>
      <c r="I84" s="58"/>
      <c r="J84" s="58"/>
      <c r="K84" s="58"/>
      <c r="L84" s="58"/>
      <c r="M84" s="58"/>
      <c r="N84" s="58"/>
      <c r="O84" s="58"/>
      <c r="P84" s="58"/>
      <c r="Q84" s="58"/>
      <c r="R84" s="58"/>
      <c r="S84" s="58"/>
      <c r="T84" s="58"/>
      <c r="U84" s="58"/>
      <c r="V84" s="58"/>
      <c r="W84" s="58"/>
      <c r="X84" s="58"/>
      <c r="Y84" s="58"/>
      <c r="Z84" s="58"/>
      <c r="AA84" s="58"/>
    </row>
    <row r="85" spans="8:27">
      <c r="H85" s="58"/>
      <c r="I85" s="58"/>
      <c r="J85" s="58"/>
      <c r="K85" s="58"/>
      <c r="L85" s="58"/>
      <c r="M85" s="58"/>
      <c r="N85" s="58"/>
      <c r="O85" s="58"/>
      <c r="P85" s="58"/>
      <c r="Q85" s="58"/>
      <c r="R85" s="58"/>
      <c r="S85" s="58"/>
      <c r="T85" s="58"/>
      <c r="U85" s="58"/>
      <c r="V85" s="58"/>
      <c r="W85" s="58"/>
      <c r="X85" s="58"/>
      <c r="Y85" s="58"/>
      <c r="Z85" s="58"/>
      <c r="AA85" s="58"/>
    </row>
    <row r="86" spans="8:27">
      <c r="H86" s="58"/>
      <c r="I86" s="58"/>
      <c r="J86" s="58"/>
      <c r="K86" s="58"/>
      <c r="L86" s="58"/>
      <c r="M86" s="58"/>
      <c r="N86" s="58"/>
      <c r="O86" s="58"/>
      <c r="P86" s="58"/>
      <c r="Q86" s="58"/>
      <c r="R86" s="58"/>
      <c r="S86" s="58"/>
      <c r="T86" s="58"/>
      <c r="U86" s="58"/>
      <c r="V86" s="58"/>
      <c r="W86" s="58"/>
      <c r="X86" s="58"/>
      <c r="Y86" s="58"/>
      <c r="Z86" s="58"/>
      <c r="AA86" s="58"/>
    </row>
    <row r="87" spans="8:27">
      <c r="H87" s="58"/>
      <c r="I87" s="58"/>
      <c r="J87" s="58"/>
      <c r="K87" s="58"/>
      <c r="L87" s="58"/>
      <c r="M87" s="58"/>
      <c r="N87" s="58"/>
      <c r="O87" s="58"/>
      <c r="P87" s="58"/>
      <c r="Q87" s="58"/>
      <c r="R87" s="58"/>
      <c r="S87" s="58"/>
      <c r="T87" s="58"/>
      <c r="U87" s="58"/>
      <c r="V87" s="58"/>
      <c r="W87" s="58"/>
      <c r="X87" s="58"/>
      <c r="Y87" s="58"/>
      <c r="Z87" s="58"/>
      <c r="AA87" s="58"/>
    </row>
    <row r="88" spans="8:27">
      <c r="H88" s="58"/>
      <c r="I88" s="58"/>
      <c r="J88" s="58"/>
      <c r="K88" s="58"/>
      <c r="L88" s="58"/>
      <c r="M88" s="58"/>
      <c r="N88" s="58"/>
      <c r="O88" s="58"/>
      <c r="P88" s="58"/>
      <c r="Q88" s="58"/>
      <c r="R88" s="58"/>
      <c r="S88" s="58"/>
      <c r="T88" s="58"/>
      <c r="U88" s="58"/>
      <c r="V88" s="58"/>
      <c r="W88" s="58"/>
      <c r="X88" s="58"/>
      <c r="Y88" s="58"/>
      <c r="Z88" s="58"/>
      <c r="AA88" s="58"/>
    </row>
    <row r="89" spans="8:27">
      <c r="H89" s="58"/>
      <c r="I89" s="58"/>
      <c r="J89" s="58"/>
      <c r="K89" s="58"/>
      <c r="L89" s="58"/>
      <c r="M89" s="58"/>
      <c r="N89" s="58"/>
      <c r="O89" s="58"/>
      <c r="P89" s="58"/>
      <c r="Q89" s="58"/>
      <c r="R89" s="58"/>
      <c r="S89" s="58"/>
      <c r="T89" s="58"/>
      <c r="U89" s="58"/>
      <c r="V89" s="58"/>
      <c r="W89" s="58"/>
      <c r="X89" s="58"/>
      <c r="Y89" s="58"/>
      <c r="Z89" s="58"/>
      <c r="AA89" s="58"/>
    </row>
    <row r="90" spans="8:27">
      <c r="H90" s="58"/>
      <c r="I90" s="58"/>
      <c r="J90" s="58"/>
      <c r="K90" s="58"/>
      <c r="L90" s="58"/>
      <c r="M90" s="58"/>
      <c r="N90" s="58"/>
      <c r="O90" s="58"/>
      <c r="P90" s="58"/>
      <c r="Q90" s="58"/>
      <c r="R90" s="58"/>
      <c r="S90" s="58"/>
      <c r="T90" s="58"/>
      <c r="U90" s="58"/>
      <c r="V90" s="58"/>
      <c r="W90" s="58"/>
      <c r="X90" s="58"/>
      <c r="Y90" s="58"/>
      <c r="Z90" s="58"/>
      <c r="AA90" s="58"/>
    </row>
    <row r="91" spans="8:27">
      <c r="H91" s="58"/>
      <c r="I91" s="58"/>
      <c r="J91" s="58"/>
      <c r="K91" s="58"/>
      <c r="L91" s="58"/>
      <c r="M91" s="58"/>
      <c r="N91" s="58"/>
      <c r="O91" s="58"/>
      <c r="P91" s="58"/>
      <c r="Q91" s="58"/>
      <c r="R91" s="58"/>
      <c r="S91" s="58"/>
      <c r="T91" s="58"/>
      <c r="U91" s="58"/>
      <c r="V91" s="58"/>
      <c r="W91" s="58"/>
      <c r="X91" s="58"/>
      <c r="Y91" s="58"/>
      <c r="Z91" s="58"/>
      <c r="AA91" s="58"/>
    </row>
    <row r="92" spans="8:27">
      <c r="H92" s="58"/>
      <c r="I92" s="58"/>
      <c r="J92" s="58"/>
      <c r="K92" s="58"/>
      <c r="L92" s="58"/>
      <c r="M92" s="58"/>
      <c r="N92" s="58"/>
      <c r="O92" s="58"/>
      <c r="P92" s="58"/>
      <c r="Q92" s="58"/>
      <c r="R92" s="58"/>
      <c r="S92" s="58"/>
      <c r="T92" s="58"/>
      <c r="U92" s="58"/>
      <c r="V92" s="58"/>
      <c r="W92" s="58"/>
      <c r="X92" s="58"/>
      <c r="Y92" s="58"/>
      <c r="Z92" s="58"/>
      <c r="AA92" s="58"/>
    </row>
    <row r="93" spans="8:27">
      <c r="H93" s="58"/>
      <c r="I93" s="58"/>
      <c r="J93" s="58"/>
      <c r="K93" s="58"/>
      <c r="L93" s="58"/>
      <c r="M93" s="58"/>
      <c r="N93" s="58"/>
      <c r="O93" s="58"/>
      <c r="P93" s="58"/>
      <c r="Q93" s="58"/>
      <c r="R93" s="58"/>
      <c r="S93" s="58"/>
      <c r="T93" s="58"/>
      <c r="U93" s="58"/>
      <c r="V93" s="58"/>
      <c r="W93" s="58"/>
      <c r="X93" s="58"/>
      <c r="Y93" s="58"/>
      <c r="Z93" s="58"/>
      <c r="AA93" s="58"/>
    </row>
    <row r="94" spans="8:27">
      <c r="H94" s="58"/>
      <c r="I94" s="58"/>
      <c r="J94" s="58"/>
      <c r="K94" s="58"/>
      <c r="L94" s="58"/>
      <c r="M94" s="58"/>
      <c r="N94" s="58"/>
      <c r="O94" s="58"/>
      <c r="P94" s="58"/>
      <c r="Q94" s="58"/>
      <c r="R94" s="58"/>
      <c r="S94" s="58"/>
      <c r="T94" s="58"/>
      <c r="U94" s="58"/>
      <c r="V94" s="58"/>
      <c r="W94" s="58"/>
      <c r="X94" s="58"/>
      <c r="Y94" s="58"/>
      <c r="Z94" s="58"/>
      <c r="AA94" s="58"/>
    </row>
    <row r="95" spans="8:27">
      <c r="H95" s="58"/>
      <c r="I95" s="58"/>
      <c r="J95" s="58"/>
      <c r="K95" s="58"/>
      <c r="L95" s="58"/>
      <c r="M95" s="58"/>
      <c r="N95" s="58"/>
      <c r="O95" s="58"/>
      <c r="P95" s="58"/>
      <c r="Q95" s="58"/>
      <c r="R95" s="58"/>
      <c r="S95" s="58"/>
      <c r="T95" s="58"/>
      <c r="U95" s="58"/>
      <c r="V95" s="58"/>
      <c r="W95" s="58"/>
      <c r="X95" s="58"/>
      <c r="Y95" s="58"/>
      <c r="Z95" s="58"/>
      <c r="AA95" s="58"/>
    </row>
    <row r="96" spans="8:27">
      <c r="H96" s="58"/>
      <c r="I96" s="58"/>
      <c r="J96" s="58"/>
      <c r="K96" s="58"/>
      <c r="L96" s="58"/>
      <c r="M96" s="58"/>
      <c r="N96" s="58"/>
      <c r="O96" s="58"/>
      <c r="P96" s="58"/>
      <c r="Q96" s="58"/>
      <c r="R96" s="58"/>
      <c r="S96" s="58"/>
      <c r="T96" s="58"/>
      <c r="U96" s="58"/>
      <c r="V96" s="58"/>
      <c r="W96" s="58"/>
      <c r="X96" s="58"/>
      <c r="Y96" s="58"/>
      <c r="Z96" s="58"/>
      <c r="AA96" s="58"/>
    </row>
    <row r="97" spans="8:27">
      <c r="H97" s="58"/>
      <c r="I97" s="58"/>
      <c r="J97" s="58"/>
      <c r="K97" s="58"/>
      <c r="L97" s="58"/>
      <c r="M97" s="58"/>
      <c r="N97" s="58"/>
      <c r="O97" s="58"/>
      <c r="P97" s="58"/>
      <c r="Q97" s="58"/>
      <c r="R97" s="58"/>
      <c r="S97" s="58"/>
      <c r="T97" s="58"/>
      <c r="U97" s="58"/>
      <c r="V97" s="58"/>
      <c r="W97" s="58"/>
      <c r="X97" s="58"/>
      <c r="Y97" s="58"/>
      <c r="Z97" s="58"/>
      <c r="AA97" s="58"/>
    </row>
    <row r="98" spans="8:27">
      <c r="H98" s="58"/>
      <c r="I98" s="58"/>
      <c r="J98" s="58"/>
      <c r="K98" s="58"/>
      <c r="L98" s="58"/>
      <c r="M98" s="58"/>
      <c r="N98" s="58"/>
      <c r="O98" s="58"/>
      <c r="P98" s="58"/>
      <c r="Q98" s="58"/>
      <c r="R98" s="58"/>
      <c r="S98" s="58"/>
      <c r="T98" s="58"/>
      <c r="U98" s="58"/>
      <c r="V98" s="58"/>
      <c r="W98" s="58"/>
      <c r="X98" s="58"/>
      <c r="Y98" s="58"/>
      <c r="Z98" s="58"/>
      <c r="AA98" s="58"/>
    </row>
    <row r="99" spans="8:27">
      <c r="H99" s="58"/>
      <c r="I99" s="58"/>
      <c r="J99" s="58"/>
      <c r="K99" s="58"/>
      <c r="L99" s="58"/>
      <c r="M99" s="58"/>
      <c r="N99" s="58"/>
      <c r="O99" s="58"/>
      <c r="P99" s="58"/>
      <c r="Q99" s="58"/>
      <c r="R99" s="58"/>
      <c r="S99" s="58"/>
      <c r="T99" s="58"/>
      <c r="U99" s="58"/>
      <c r="V99" s="58"/>
      <c r="W99" s="58"/>
      <c r="X99" s="58"/>
      <c r="Y99" s="58"/>
      <c r="Z99" s="58"/>
      <c r="AA99" s="58"/>
    </row>
    <row r="100" spans="8:27">
      <c r="H100" s="58"/>
      <c r="I100" s="58"/>
      <c r="J100" s="58"/>
      <c r="K100" s="58"/>
      <c r="L100" s="58"/>
      <c r="M100" s="58"/>
      <c r="N100" s="58"/>
      <c r="O100" s="58"/>
      <c r="P100" s="58"/>
      <c r="Q100" s="58"/>
      <c r="R100" s="58"/>
      <c r="S100" s="58"/>
      <c r="T100" s="58"/>
      <c r="U100" s="58"/>
      <c r="V100" s="58"/>
      <c r="W100" s="58"/>
      <c r="X100" s="58"/>
      <c r="Y100" s="58"/>
      <c r="Z100" s="58"/>
      <c r="AA100" s="58"/>
    </row>
    <row r="101" spans="8:27">
      <c r="H101" s="58"/>
      <c r="I101" s="58"/>
      <c r="J101" s="58"/>
      <c r="K101" s="58"/>
      <c r="L101" s="58"/>
      <c r="M101" s="58"/>
      <c r="N101" s="58"/>
      <c r="O101" s="58"/>
      <c r="P101" s="58"/>
      <c r="Q101" s="58"/>
      <c r="R101" s="58"/>
      <c r="S101" s="58"/>
      <c r="T101" s="58"/>
      <c r="U101" s="58"/>
      <c r="V101" s="58"/>
      <c r="W101" s="58"/>
      <c r="X101" s="58"/>
      <c r="Y101" s="58"/>
      <c r="Z101" s="58"/>
      <c r="AA101" s="58"/>
    </row>
    <row r="102" spans="8:27">
      <c r="H102" s="58"/>
      <c r="I102" s="58"/>
      <c r="J102" s="58"/>
      <c r="K102" s="58"/>
      <c r="L102" s="58"/>
      <c r="M102" s="58"/>
      <c r="N102" s="58"/>
      <c r="O102" s="58"/>
      <c r="P102" s="58"/>
      <c r="Q102" s="58"/>
      <c r="R102" s="58"/>
      <c r="S102" s="58"/>
      <c r="T102" s="58"/>
      <c r="U102" s="58"/>
      <c r="V102" s="58"/>
      <c r="W102" s="58"/>
      <c r="X102" s="58"/>
      <c r="Y102" s="58"/>
      <c r="Z102" s="58"/>
      <c r="AA102" s="58"/>
    </row>
    <row r="103" spans="8:27">
      <c r="H103" s="58"/>
      <c r="I103" s="58"/>
      <c r="J103" s="58"/>
      <c r="K103" s="58"/>
      <c r="L103" s="58"/>
      <c r="M103" s="58"/>
      <c r="N103" s="58"/>
      <c r="O103" s="58"/>
      <c r="P103" s="58"/>
      <c r="Q103" s="58"/>
      <c r="R103" s="58"/>
      <c r="S103" s="58"/>
      <c r="T103" s="58"/>
      <c r="U103" s="58"/>
      <c r="V103" s="58"/>
      <c r="W103" s="58"/>
      <c r="X103" s="58"/>
      <c r="Y103" s="58"/>
      <c r="Z103" s="58"/>
      <c r="AA103" s="58"/>
    </row>
    <row r="104" spans="8:27">
      <c r="H104" s="58"/>
      <c r="I104" s="58"/>
      <c r="J104" s="58"/>
      <c r="K104" s="58"/>
      <c r="L104" s="58"/>
      <c r="M104" s="58"/>
      <c r="N104" s="58"/>
      <c r="O104" s="58"/>
      <c r="P104" s="58"/>
      <c r="Q104" s="58"/>
      <c r="R104" s="58"/>
      <c r="S104" s="58"/>
      <c r="T104" s="58"/>
      <c r="U104" s="58"/>
      <c r="V104" s="58"/>
      <c r="W104" s="58"/>
      <c r="X104" s="58"/>
      <c r="Y104" s="58"/>
      <c r="Z104" s="58"/>
      <c r="AA104" s="58"/>
    </row>
    <row r="105" spans="8:27">
      <c r="H105" s="58"/>
      <c r="I105" s="58"/>
      <c r="J105" s="58"/>
      <c r="K105" s="58"/>
      <c r="L105" s="58"/>
      <c r="M105" s="58"/>
      <c r="N105" s="58"/>
      <c r="O105" s="58"/>
      <c r="P105" s="58"/>
      <c r="Q105" s="58"/>
      <c r="R105" s="58"/>
      <c r="S105" s="58"/>
      <c r="T105" s="58"/>
      <c r="U105" s="58"/>
      <c r="V105" s="58"/>
      <c r="W105" s="58"/>
      <c r="X105" s="58"/>
      <c r="Y105" s="58"/>
      <c r="Z105" s="58"/>
      <c r="AA105" s="58"/>
    </row>
    <row r="106" spans="8:27">
      <c r="H106" s="58"/>
      <c r="I106" s="58"/>
      <c r="J106" s="58"/>
      <c r="K106" s="58"/>
      <c r="L106" s="58"/>
      <c r="M106" s="58"/>
      <c r="N106" s="58"/>
      <c r="O106" s="58"/>
      <c r="P106" s="58"/>
      <c r="Q106" s="58"/>
      <c r="R106" s="58"/>
      <c r="S106" s="58"/>
      <c r="T106" s="58"/>
      <c r="U106" s="58"/>
      <c r="V106" s="58"/>
      <c r="W106" s="58"/>
      <c r="X106" s="58"/>
      <c r="Y106" s="58"/>
      <c r="Z106" s="58"/>
      <c r="AA106" s="58"/>
    </row>
    <row r="107" spans="8:27">
      <c r="H107" s="58"/>
      <c r="I107" s="58"/>
      <c r="J107" s="58"/>
      <c r="K107" s="58"/>
      <c r="L107" s="58"/>
      <c r="M107" s="58"/>
      <c r="N107" s="58"/>
      <c r="O107" s="58"/>
      <c r="P107" s="58"/>
      <c r="Q107" s="58"/>
      <c r="R107" s="58"/>
      <c r="S107" s="58"/>
      <c r="T107" s="58"/>
      <c r="U107" s="58"/>
      <c r="V107" s="58"/>
      <c r="W107" s="58"/>
      <c r="X107" s="58"/>
      <c r="Y107" s="58"/>
      <c r="Z107" s="58"/>
      <c r="AA107" s="58"/>
    </row>
    <row r="108" spans="8:27">
      <c r="H108" s="58"/>
      <c r="I108" s="58"/>
      <c r="J108" s="58"/>
      <c r="K108" s="58"/>
      <c r="L108" s="58"/>
      <c r="M108" s="58"/>
      <c r="N108" s="58"/>
      <c r="O108" s="58"/>
      <c r="P108" s="58"/>
      <c r="Q108" s="58"/>
      <c r="R108" s="58"/>
      <c r="S108" s="58"/>
      <c r="T108" s="58"/>
      <c r="U108" s="58"/>
      <c r="V108" s="58"/>
      <c r="W108" s="58"/>
      <c r="X108" s="58"/>
      <c r="Y108" s="58"/>
      <c r="Z108" s="58"/>
      <c r="AA108" s="58"/>
    </row>
    <row r="109" spans="8:27">
      <c r="H109" s="58"/>
      <c r="I109" s="58"/>
      <c r="J109" s="58"/>
      <c r="K109" s="58"/>
      <c r="L109" s="58"/>
      <c r="M109" s="58"/>
      <c r="N109" s="58"/>
      <c r="O109" s="58"/>
      <c r="P109" s="58"/>
      <c r="Q109" s="58"/>
      <c r="R109" s="58"/>
      <c r="S109" s="58"/>
      <c r="T109" s="58"/>
      <c r="U109" s="58"/>
      <c r="V109" s="58"/>
      <c r="W109" s="58"/>
      <c r="X109" s="58"/>
      <c r="Y109" s="58"/>
      <c r="Z109" s="58"/>
      <c r="AA109" s="58"/>
    </row>
    <row r="110" spans="8:27">
      <c r="H110" s="58"/>
      <c r="I110" s="58"/>
      <c r="J110" s="58"/>
      <c r="K110" s="58"/>
      <c r="L110" s="58"/>
      <c r="M110" s="58"/>
      <c r="N110" s="58"/>
      <c r="O110" s="58"/>
      <c r="P110" s="58"/>
      <c r="Q110" s="58"/>
      <c r="R110" s="58"/>
      <c r="S110" s="58"/>
      <c r="T110" s="58"/>
      <c r="U110" s="58"/>
      <c r="V110" s="58"/>
      <c r="W110" s="58"/>
      <c r="X110" s="58"/>
      <c r="Y110" s="58"/>
      <c r="Z110" s="58"/>
      <c r="AA110" s="58"/>
    </row>
    <row r="111" spans="8:27">
      <c r="H111" s="58"/>
      <c r="I111" s="58"/>
      <c r="J111" s="58"/>
      <c r="K111" s="58"/>
      <c r="L111" s="58"/>
      <c r="M111" s="58"/>
      <c r="N111" s="58"/>
      <c r="O111" s="58"/>
      <c r="P111" s="58"/>
      <c r="Q111" s="58"/>
      <c r="R111" s="58"/>
      <c r="S111" s="58"/>
      <c r="T111" s="58"/>
      <c r="U111" s="58"/>
      <c r="V111" s="58"/>
      <c r="W111" s="58"/>
      <c r="X111" s="58"/>
      <c r="Y111" s="58"/>
      <c r="Z111" s="58"/>
      <c r="AA111" s="58"/>
    </row>
    <row r="112" spans="8:27">
      <c r="H112" s="58"/>
      <c r="I112" s="58"/>
      <c r="J112" s="58"/>
      <c r="K112" s="58"/>
      <c r="L112" s="58"/>
      <c r="M112" s="58"/>
      <c r="N112" s="58"/>
      <c r="O112" s="58"/>
      <c r="P112" s="58"/>
      <c r="Q112" s="58"/>
      <c r="R112" s="58"/>
      <c r="S112" s="58"/>
      <c r="T112" s="58"/>
      <c r="U112" s="58"/>
      <c r="V112" s="58"/>
      <c r="W112" s="58"/>
      <c r="X112" s="58"/>
      <c r="Y112" s="58"/>
      <c r="Z112" s="58"/>
      <c r="AA112" s="58"/>
    </row>
    <row r="113" spans="8:27">
      <c r="H113" s="58"/>
      <c r="I113" s="58"/>
      <c r="J113" s="58"/>
      <c r="K113" s="58"/>
      <c r="L113" s="58"/>
      <c r="M113" s="58"/>
      <c r="N113" s="58"/>
      <c r="O113" s="58"/>
      <c r="P113" s="58"/>
      <c r="Q113" s="58"/>
      <c r="R113" s="58"/>
      <c r="S113" s="58"/>
      <c r="T113" s="58"/>
      <c r="U113" s="58"/>
      <c r="V113" s="58"/>
      <c r="W113" s="58"/>
      <c r="X113" s="58"/>
      <c r="Y113" s="58"/>
      <c r="Z113" s="58"/>
      <c r="AA113" s="58"/>
    </row>
    <row r="114" spans="8:27">
      <c r="H114" s="58"/>
      <c r="I114" s="58"/>
      <c r="J114" s="58"/>
      <c r="K114" s="58"/>
      <c r="L114" s="58"/>
      <c r="M114" s="58"/>
      <c r="N114" s="58"/>
      <c r="O114" s="58"/>
      <c r="P114" s="58"/>
      <c r="Q114" s="58"/>
      <c r="R114" s="58"/>
      <c r="S114" s="58"/>
      <c r="T114" s="58"/>
      <c r="U114" s="58"/>
      <c r="V114" s="58"/>
      <c r="W114" s="58"/>
      <c r="X114" s="58"/>
      <c r="Y114" s="58"/>
      <c r="Z114" s="58"/>
      <c r="AA114" s="58"/>
    </row>
    <row r="115" spans="8:27">
      <c r="H115" s="58"/>
      <c r="I115" s="58"/>
      <c r="J115" s="58"/>
      <c r="K115" s="58"/>
      <c r="L115" s="58"/>
      <c r="M115" s="58"/>
      <c r="N115" s="58"/>
      <c r="O115" s="58"/>
      <c r="P115" s="58"/>
      <c r="Q115" s="58"/>
      <c r="R115" s="58"/>
      <c r="S115" s="58"/>
      <c r="T115" s="58"/>
      <c r="U115" s="58"/>
      <c r="V115" s="58"/>
      <c r="W115" s="58"/>
      <c r="X115" s="58"/>
      <c r="Y115" s="58"/>
      <c r="Z115" s="58"/>
      <c r="AA115" s="58"/>
    </row>
    <row r="116" spans="8:27">
      <c r="H116" s="58"/>
      <c r="I116" s="58"/>
      <c r="J116" s="58"/>
      <c r="K116" s="58"/>
      <c r="L116" s="58"/>
      <c r="M116" s="58"/>
      <c r="N116" s="58"/>
      <c r="O116" s="58"/>
      <c r="P116" s="58"/>
      <c r="Q116" s="58"/>
      <c r="R116" s="58"/>
      <c r="S116" s="58"/>
      <c r="T116" s="58"/>
      <c r="U116" s="58"/>
      <c r="V116" s="58"/>
      <c r="W116" s="58"/>
      <c r="X116" s="58"/>
      <c r="Y116" s="58"/>
      <c r="Z116" s="58"/>
      <c r="AA116" s="58"/>
    </row>
    <row r="117" spans="8:27">
      <c r="H117" s="58"/>
      <c r="I117" s="58"/>
      <c r="J117" s="58"/>
      <c r="K117" s="58"/>
      <c r="L117" s="58"/>
      <c r="M117" s="58"/>
      <c r="N117" s="58"/>
      <c r="O117" s="58"/>
      <c r="P117" s="58"/>
      <c r="Q117" s="58"/>
      <c r="R117" s="58"/>
      <c r="S117" s="58"/>
      <c r="T117" s="58"/>
      <c r="U117" s="58"/>
      <c r="V117" s="58"/>
      <c r="W117" s="58"/>
      <c r="X117" s="58"/>
      <c r="Y117" s="58"/>
      <c r="Z117" s="58"/>
      <c r="AA117" s="58"/>
    </row>
    <row r="118" spans="8:27">
      <c r="H118" s="58"/>
      <c r="I118" s="58"/>
      <c r="J118" s="58"/>
      <c r="K118" s="58"/>
      <c r="L118" s="58"/>
      <c r="M118" s="58"/>
      <c r="N118" s="58"/>
      <c r="O118" s="58"/>
      <c r="P118" s="58"/>
      <c r="Q118" s="58"/>
      <c r="R118" s="58"/>
      <c r="S118" s="58"/>
      <c r="T118" s="58"/>
      <c r="U118" s="58"/>
      <c r="V118" s="58"/>
      <c r="W118" s="58"/>
      <c r="X118" s="58"/>
      <c r="Y118" s="58"/>
      <c r="Z118" s="58"/>
      <c r="AA118" s="58"/>
    </row>
    <row r="119" spans="8:27">
      <c r="H119" s="58"/>
      <c r="I119" s="58"/>
      <c r="J119" s="58"/>
      <c r="K119" s="58"/>
      <c r="L119" s="58"/>
      <c r="M119" s="58"/>
      <c r="N119" s="58"/>
      <c r="O119" s="58"/>
      <c r="P119" s="58"/>
      <c r="Q119" s="58"/>
      <c r="R119" s="58"/>
      <c r="S119" s="58"/>
      <c r="T119" s="58"/>
      <c r="U119" s="58"/>
      <c r="V119" s="58"/>
      <c r="W119" s="58"/>
      <c r="X119" s="58"/>
      <c r="Y119" s="58"/>
      <c r="Z119" s="58"/>
      <c r="AA119" s="58"/>
    </row>
    <row r="120" spans="8:27">
      <c r="H120" s="58"/>
      <c r="I120" s="58"/>
      <c r="J120" s="58"/>
      <c r="K120" s="58"/>
      <c r="L120" s="58"/>
      <c r="M120" s="58"/>
      <c r="N120" s="58"/>
      <c r="O120" s="58"/>
      <c r="P120" s="58"/>
      <c r="Q120" s="58"/>
      <c r="R120" s="58"/>
      <c r="S120" s="58"/>
      <c r="T120" s="58"/>
      <c r="U120" s="58"/>
      <c r="V120" s="58"/>
      <c r="W120" s="58"/>
      <c r="X120" s="58"/>
      <c r="Y120" s="58"/>
      <c r="Z120" s="58"/>
      <c r="AA120" s="58"/>
    </row>
    <row r="121" spans="8:27">
      <c r="H121" s="58"/>
      <c r="I121" s="58"/>
      <c r="J121" s="58"/>
      <c r="K121" s="58"/>
      <c r="L121" s="58"/>
      <c r="M121" s="58"/>
      <c r="N121" s="58"/>
      <c r="O121" s="58"/>
      <c r="P121" s="58"/>
      <c r="Q121" s="58"/>
      <c r="R121" s="58"/>
      <c r="S121" s="58"/>
      <c r="T121" s="58"/>
      <c r="U121" s="58"/>
      <c r="V121" s="58"/>
      <c r="W121" s="58"/>
      <c r="X121" s="58"/>
      <c r="Y121" s="58"/>
      <c r="Z121" s="58"/>
      <c r="AA121" s="58"/>
    </row>
    <row r="122" spans="8:27">
      <c r="H122" s="58"/>
      <c r="I122" s="58"/>
      <c r="J122" s="58"/>
      <c r="K122" s="58"/>
      <c r="L122" s="58"/>
      <c r="M122" s="58"/>
      <c r="N122" s="58"/>
      <c r="O122" s="58"/>
      <c r="P122" s="58"/>
      <c r="Q122" s="58"/>
      <c r="R122" s="58"/>
      <c r="S122" s="58"/>
      <c r="T122" s="58"/>
      <c r="U122" s="58"/>
      <c r="V122" s="58"/>
      <c r="W122" s="58"/>
      <c r="X122" s="58"/>
      <c r="Y122" s="58"/>
      <c r="Z122" s="58"/>
      <c r="AA122" s="58"/>
    </row>
    <row r="123" spans="8:27">
      <c r="H123" s="58"/>
      <c r="I123" s="58"/>
      <c r="J123" s="58"/>
      <c r="K123" s="58"/>
      <c r="L123" s="58"/>
      <c r="M123" s="58"/>
      <c r="N123" s="58"/>
      <c r="O123" s="58"/>
      <c r="P123" s="58"/>
      <c r="Q123" s="58"/>
      <c r="R123" s="58"/>
      <c r="S123" s="58"/>
      <c r="T123" s="58"/>
      <c r="U123" s="58"/>
      <c r="V123" s="58"/>
      <c r="W123" s="58"/>
      <c r="X123" s="58"/>
      <c r="Y123" s="58"/>
      <c r="Z123" s="58"/>
      <c r="AA123" s="58"/>
    </row>
    <row r="124" spans="8:27">
      <c r="H124" s="58"/>
      <c r="I124" s="58"/>
      <c r="J124" s="58"/>
      <c r="K124" s="58"/>
      <c r="L124" s="58"/>
      <c r="M124" s="58"/>
      <c r="N124" s="58"/>
      <c r="O124" s="58"/>
      <c r="P124" s="58"/>
      <c r="Q124" s="58"/>
      <c r="R124" s="58"/>
      <c r="S124" s="58"/>
      <c r="T124" s="58"/>
      <c r="U124" s="58"/>
      <c r="V124" s="58"/>
      <c r="W124" s="58"/>
      <c r="X124" s="58"/>
      <c r="Y124" s="58"/>
      <c r="Z124" s="58"/>
      <c r="AA124" s="58"/>
    </row>
    <row r="125" spans="8:27">
      <c r="H125" s="58"/>
      <c r="I125" s="58"/>
      <c r="J125" s="58"/>
      <c r="K125" s="58"/>
      <c r="L125" s="58"/>
      <c r="M125" s="58"/>
      <c r="N125" s="58"/>
      <c r="O125" s="58"/>
      <c r="P125" s="58"/>
      <c r="Q125" s="58"/>
      <c r="R125" s="58"/>
      <c r="S125" s="58"/>
      <c r="T125" s="58"/>
      <c r="U125" s="58"/>
      <c r="V125" s="58"/>
      <c r="W125" s="58"/>
      <c r="X125" s="58"/>
      <c r="Y125" s="58"/>
      <c r="Z125" s="58"/>
      <c r="AA125" s="58"/>
    </row>
    <row r="126" spans="8:27">
      <c r="H126" s="58"/>
      <c r="I126" s="58"/>
      <c r="J126" s="58"/>
      <c r="K126" s="58"/>
      <c r="L126" s="58"/>
      <c r="M126" s="58"/>
      <c r="N126" s="58"/>
      <c r="O126" s="58"/>
      <c r="P126" s="58"/>
      <c r="Q126" s="58"/>
      <c r="R126" s="58"/>
      <c r="S126" s="58"/>
      <c r="T126" s="58"/>
      <c r="U126" s="58"/>
      <c r="V126" s="58"/>
      <c r="W126" s="58"/>
      <c r="X126" s="58"/>
      <c r="Y126" s="58"/>
      <c r="Z126" s="58"/>
      <c r="AA126" s="58"/>
    </row>
    <row r="127" spans="8:27">
      <c r="H127" s="58"/>
      <c r="I127" s="58"/>
      <c r="J127" s="58"/>
      <c r="K127" s="58"/>
      <c r="L127" s="58"/>
      <c r="M127" s="58"/>
      <c r="N127" s="58"/>
      <c r="O127" s="58"/>
      <c r="P127" s="58"/>
      <c r="Q127" s="58"/>
      <c r="R127" s="58"/>
      <c r="S127" s="58"/>
      <c r="T127" s="58"/>
      <c r="U127" s="58"/>
      <c r="V127" s="58"/>
      <c r="W127" s="58"/>
      <c r="X127" s="58"/>
      <c r="Y127" s="58"/>
      <c r="Z127" s="58"/>
      <c r="AA127" s="58"/>
    </row>
    <row r="128" spans="8:27">
      <c r="H128" s="58"/>
      <c r="I128" s="58"/>
      <c r="J128" s="58"/>
      <c r="K128" s="58"/>
      <c r="L128" s="58"/>
      <c r="M128" s="58"/>
      <c r="N128" s="58"/>
      <c r="O128" s="58"/>
      <c r="P128" s="58"/>
      <c r="Q128" s="58"/>
      <c r="R128" s="58"/>
      <c r="S128" s="58"/>
      <c r="T128" s="58"/>
      <c r="U128" s="58"/>
      <c r="V128" s="58"/>
      <c r="W128" s="58"/>
      <c r="X128" s="58"/>
      <c r="Y128" s="58"/>
      <c r="Z128" s="58"/>
      <c r="AA128" s="58"/>
    </row>
    <row r="129" spans="8:27">
      <c r="H129" s="58"/>
      <c r="I129" s="58"/>
      <c r="J129" s="58"/>
      <c r="K129" s="58"/>
      <c r="L129" s="58"/>
      <c r="M129" s="58"/>
      <c r="N129" s="58"/>
      <c r="O129" s="58"/>
      <c r="P129" s="58"/>
      <c r="Q129" s="58"/>
      <c r="R129" s="58"/>
      <c r="S129" s="58"/>
      <c r="T129" s="58"/>
      <c r="U129" s="58"/>
      <c r="V129" s="58"/>
      <c r="W129" s="58"/>
      <c r="X129" s="58"/>
      <c r="Y129" s="58"/>
      <c r="Z129" s="58"/>
      <c r="AA129" s="58"/>
    </row>
    <row r="130" spans="8:27">
      <c r="H130" s="58"/>
      <c r="I130" s="58"/>
      <c r="J130" s="58"/>
      <c r="K130" s="58"/>
      <c r="L130" s="58"/>
      <c r="M130" s="58"/>
      <c r="N130" s="58"/>
      <c r="O130" s="58"/>
      <c r="P130" s="58"/>
      <c r="Q130" s="58"/>
      <c r="R130" s="58"/>
      <c r="S130" s="58"/>
      <c r="T130" s="58"/>
      <c r="U130" s="58"/>
      <c r="V130" s="58"/>
      <c r="W130" s="58"/>
      <c r="X130" s="58"/>
      <c r="Y130" s="58"/>
      <c r="Z130" s="58"/>
      <c r="AA130" s="58"/>
    </row>
    <row r="131" spans="8:27">
      <c r="H131" s="58"/>
      <c r="I131" s="58"/>
      <c r="J131" s="58"/>
      <c r="K131" s="58"/>
      <c r="L131" s="58"/>
      <c r="M131" s="58"/>
      <c r="N131" s="58"/>
      <c r="O131" s="58"/>
      <c r="P131" s="58"/>
      <c r="Q131" s="58"/>
      <c r="R131" s="58"/>
      <c r="S131" s="58"/>
      <c r="T131" s="58"/>
      <c r="U131" s="58"/>
      <c r="V131" s="58"/>
      <c r="W131" s="58"/>
      <c r="X131" s="58"/>
      <c r="Y131" s="58"/>
      <c r="Z131" s="58"/>
      <c r="AA131" s="58"/>
    </row>
    <row r="132" spans="8:27">
      <c r="H132" s="58"/>
      <c r="I132" s="58"/>
      <c r="J132" s="58"/>
      <c r="K132" s="58"/>
      <c r="L132" s="58"/>
      <c r="M132" s="58"/>
      <c r="N132" s="58"/>
      <c r="O132" s="58"/>
      <c r="P132" s="58"/>
      <c r="Q132" s="58"/>
      <c r="R132" s="58"/>
      <c r="S132" s="58"/>
      <c r="T132" s="58"/>
      <c r="U132" s="58"/>
      <c r="V132" s="58"/>
      <c r="W132" s="58"/>
      <c r="X132" s="58"/>
      <c r="Y132" s="58"/>
      <c r="Z132" s="58"/>
      <c r="AA132" s="58"/>
    </row>
    <row r="133" spans="8:27">
      <c r="H133" s="58"/>
      <c r="I133" s="58"/>
      <c r="J133" s="58"/>
      <c r="K133" s="58"/>
      <c r="L133" s="58"/>
      <c r="M133" s="58"/>
      <c r="N133" s="58"/>
      <c r="O133" s="58"/>
      <c r="P133" s="58"/>
      <c r="Q133" s="58"/>
      <c r="R133" s="58"/>
      <c r="S133" s="58"/>
      <c r="T133" s="58"/>
      <c r="U133" s="58"/>
      <c r="V133" s="58"/>
      <c r="W133" s="58"/>
      <c r="X133" s="58"/>
      <c r="Y133" s="58"/>
      <c r="Z133" s="58"/>
      <c r="AA133" s="58"/>
    </row>
    <row r="134" spans="8:27">
      <c r="H134" s="58"/>
      <c r="I134" s="58"/>
      <c r="J134" s="58"/>
      <c r="K134" s="58"/>
      <c r="L134" s="58"/>
      <c r="M134" s="58"/>
      <c r="N134" s="58"/>
      <c r="O134" s="58"/>
      <c r="P134" s="58"/>
      <c r="Q134" s="58"/>
      <c r="R134" s="58"/>
      <c r="S134" s="58"/>
      <c r="T134" s="58"/>
      <c r="U134" s="58"/>
      <c r="V134" s="58"/>
      <c r="W134" s="58"/>
      <c r="X134" s="58"/>
      <c r="Y134" s="58"/>
      <c r="Z134" s="58"/>
      <c r="AA134" s="58"/>
    </row>
    <row r="135" spans="8:27">
      <c r="H135" s="58"/>
      <c r="I135" s="58"/>
      <c r="J135" s="58"/>
      <c r="K135" s="58"/>
      <c r="L135" s="58"/>
      <c r="M135" s="58"/>
      <c r="N135" s="58"/>
      <c r="O135" s="58"/>
      <c r="P135" s="58"/>
      <c r="Q135" s="58"/>
      <c r="R135" s="58"/>
      <c r="S135" s="58"/>
      <c r="T135" s="58"/>
      <c r="U135" s="58"/>
      <c r="V135" s="58"/>
      <c r="W135" s="58"/>
      <c r="X135" s="58"/>
      <c r="Y135" s="58"/>
      <c r="Z135" s="58"/>
      <c r="AA135" s="58"/>
    </row>
    <row r="136" spans="8:27">
      <c r="H136" s="58"/>
      <c r="I136" s="58"/>
      <c r="J136" s="58"/>
      <c r="K136" s="58"/>
      <c r="L136" s="58"/>
      <c r="M136" s="58"/>
      <c r="N136" s="58"/>
      <c r="O136" s="58"/>
      <c r="P136" s="58"/>
      <c r="Q136" s="58"/>
      <c r="R136" s="58"/>
      <c r="S136" s="58"/>
      <c r="T136" s="58"/>
      <c r="U136" s="58"/>
      <c r="V136" s="58"/>
      <c r="W136" s="58"/>
      <c r="X136" s="58"/>
      <c r="Y136" s="58"/>
      <c r="Z136" s="58"/>
      <c r="AA136" s="58"/>
    </row>
    <row r="137" spans="8:27">
      <c r="H137" s="58"/>
      <c r="I137" s="58"/>
      <c r="J137" s="58"/>
      <c r="K137" s="58"/>
      <c r="L137" s="58"/>
      <c r="M137" s="58"/>
      <c r="N137" s="58"/>
      <c r="O137" s="58"/>
      <c r="P137" s="58"/>
      <c r="Q137" s="58"/>
      <c r="R137" s="58"/>
      <c r="S137" s="58"/>
      <c r="T137" s="58"/>
      <c r="U137" s="58"/>
      <c r="V137" s="58"/>
      <c r="W137" s="58"/>
      <c r="X137" s="58"/>
      <c r="Y137" s="58"/>
      <c r="Z137" s="58"/>
      <c r="AA137" s="58"/>
    </row>
    <row r="138" spans="8:27">
      <c r="H138" s="58"/>
      <c r="I138" s="58"/>
      <c r="J138" s="58"/>
      <c r="K138" s="58"/>
      <c r="L138" s="58"/>
      <c r="M138" s="58"/>
      <c r="N138" s="58"/>
      <c r="O138" s="58"/>
      <c r="P138" s="58"/>
      <c r="Q138" s="58"/>
      <c r="R138" s="58"/>
      <c r="S138" s="58"/>
      <c r="T138" s="58"/>
      <c r="U138" s="58"/>
      <c r="V138" s="58"/>
      <c r="W138" s="58"/>
      <c r="X138" s="58"/>
      <c r="Y138" s="58"/>
      <c r="Z138" s="58"/>
      <c r="AA138" s="58"/>
    </row>
    <row r="139" spans="8:27">
      <c r="H139" s="58"/>
      <c r="I139" s="58"/>
      <c r="J139" s="58"/>
      <c r="K139" s="58"/>
      <c r="L139" s="58"/>
      <c r="M139" s="58"/>
      <c r="N139" s="58"/>
      <c r="O139" s="58"/>
      <c r="P139" s="58"/>
      <c r="Q139" s="58"/>
      <c r="R139" s="58"/>
      <c r="S139" s="58"/>
      <c r="T139" s="58"/>
      <c r="U139" s="58"/>
      <c r="V139" s="58"/>
      <c r="W139" s="58"/>
      <c r="X139" s="58"/>
      <c r="Y139" s="58"/>
      <c r="Z139" s="58"/>
      <c r="AA139" s="58"/>
    </row>
    <row r="140" spans="8:27">
      <c r="H140" s="58"/>
      <c r="I140" s="58"/>
      <c r="J140" s="58"/>
      <c r="K140" s="58"/>
      <c r="L140" s="58"/>
      <c r="M140" s="58"/>
      <c r="N140" s="58"/>
      <c r="O140" s="58"/>
      <c r="P140" s="58"/>
      <c r="Q140" s="58"/>
      <c r="R140" s="58"/>
      <c r="S140" s="58"/>
      <c r="T140" s="58"/>
      <c r="U140" s="58"/>
      <c r="V140" s="58"/>
      <c r="W140" s="58"/>
      <c r="X140" s="58"/>
      <c r="Y140" s="58"/>
      <c r="Z140" s="58"/>
      <c r="AA140" s="58"/>
    </row>
    <row r="141" spans="8:27">
      <c r="H141" s="58"/>
      <c r="I141" s="58"/>
      <c r="J141" s="58"/>
      <c r="K141" s="58"/>
      <c r="L141" s="58"/>
      <c r="M141" s="58"/>
      <c r="N141" s="58"/>
      <c r="O141" s="58"/>
      <c r="P141" s="58"/>
      <c r="Q141" s="58"/>
      <c r="R141" s="58"/>
      <c r="S141" s="58"/>
      <c r="T141" s="58"/>
      <c r="U141" s="58"/>
      <c r="V141" s="58"/>
      <c r="W141" s="58"/>
      <c r="X141" s="58"/>
      <c r="Y141" s="58"/>
      <c r="Z141" s="58"/>
      <c r="AA141" s="58"/>
    </row>
    <row r="142" spans="8:27">
      <c r="H142" s="58"/>
      <c r="I142" s="58"/>
      <c r="J142" s="58"/>
      <c r="K142" s="58"/>
      <c r="L142" s="58"/>
      <c r="M142" s="58"/>
      <c r="N142" s="58"/>
      <c r="O142" s="58"/>
      <c r="P142" s="58"/>
      <c r="Q142" s="58"/>
      <c r="R142" s="58"/>
      <c r="S142" s="58"/>
      <c r="T142" s="58"/>
      <c r="U142" s="58"/>
      <c r="V142" s="58"/>
      <c r="W142" s="58"/>
      <c r="X142" s="58"/>
      <c r="Y142" s="58"/>
      <c r="Z142" s="58"/>
      <c r="AA142" s="58"/>
    </row>
    <row r="143" spans="8:27">
      <c r="H143" s="58"/>
      <c r="I143" s="58"/>
      <c r="J143" s="58"/>
      <c r="K143" s="58"/>
      <c r="L143" s="58"/>
      <c r="M143" s="58"/>
      <c r="N143" s="58"/>
      <c r="O143" s="58"/>
      <c r="P143" s="58"/>
      <c r="Q143" s="58"/>
      <c r="R143" s="58"/>
      <c r="S143" s="58"/>
      <c r="T143" s="58"/>
      <c r="U143" s="58"/>
      <c r="V143" s="58"/>
      <c r="W143" s="58"/>
      <c r="X143" s="58"/>
      <c r="Y143" s="58"/>
      <c r="Z143" s="58"/>
      <c r="AA143" s="58"/>
    </row>
    <row r="144" spans="8:27">
      <c r="H144" s="58"/>
      <c r="I144" s="58"/>
      <c r="J144" s="58"/>
      <c r="K144" s="58"/>
      <c r="L144" s="58"/>
      <c r="M144" s="58"/>
      <c r="N144" s="58"/>
      <c r="O144" s="58"/>
      <c r="P144" s="58"/>
      <c r="Q144" s="58"/>
      <c r="R144" s="58"/>
      <c r="S144" s="58"/>
      <c r="T144" s="58"/>
      <c r="U144" s="58"/>
      <c r="V144" s="58"/>
      <c r="W144" s="58"/>
      <c r="X144" s="58"/>
      <c r="Y144" s="58"/>
      <c r="Z144" s="58"/>
      <c r="AA144" s="58"/>
    </row>
    <row r="145" spans="8:27">
      <c r="H145" s="58"/>
      <c r="I145" s="58"/>
      <c r="J145" s="58"/>
      <c r="K145" s="58"/>
      <c r="L145" s="58"/>
      <c r="M145" s="58"/>
      <c r="N145" s="58"/>
      <c r="O145" s="58"/>
      <c r="P145" s="58"/>
      <c r="Q145" s="58"/>
      <c r="R145" s="58"/>
      <c r="S145" s="58"/>
      <c r="T145" s="58"/>
      <c r="U145" s="58"/>
      <c r="V145" s="58"/>
      <c r="W145" s="58"/>
      <c r="X145" s="58"/>
      <c r="Y145" s="58"/>
      <c r="Z145" s="58"/>
      <c r="AA145" s="58"/>
    </row>
    <row r="146" spans="8:27">
      <c r="H146" s="58"/>
      <c r="I146" s="58"/>
      <c r="J146" s="58"/>
      <c r="K146" s="58"/>
      <c r="L146" s="58"/>
      <c r="M146" s="58"/>
      <c r="N146" s="58"/>
      <c r="O146" s="58"/>
      <c r="P146" s="58"/>
      <c r="Q146" s="58"/>
      <c r="R146" s="58"/>
      <c r="S146" s="58"/>
      <c r="T146" s="58"/>
      <c r="U146" s="58"/>
      <c r="V146" s="58"/>
      <c r="W146" s="58"/>
      <c r="X146" s="58"/>
      <c r="Y146" s="58"/>
      <c r="Z146" s="58"/>
      <c r="AA146" s="58"/>
    </row>
    <row r="147" spans="8:27">
      <c r="H147" s="58"/>
      <c r="I147" s="58"/>
      <c r="J147" s="58"/>
      <c r="K147" s="58"/>
      <c r="L147" s="58"/>
      <c r="M147" s="58"/>
      <c r="N147" s="58"/>
      <c r="O147" s="58"/>
      <c r="P147" s="58"/>
      <c r="Q147" s="58"/>
      <c r="R147" s="58"/>
      <c r="S147" s="58"/>
      <c r="T147" s="58"/>
      <c r="U147" s="58"/>
      <c r="V147" s="58"/>
      <c r="W147" s="58"/>
      <c r="X147" s="58"/>
      <c r="Y147" s="58"/>
      <c r="Z147" s="58"/>
      <c r="AA147" s="58"/>
    </row>
    <row r="148" spans="8:27">
      <c r="H148" s="58"/>
      <c r="I148" s="58"/>
      <c r="J148" s="58"/>
      <c r="K148" s="58"/>
      <c r="L148" s="58"/>
      <c r="M148" s="58"/>
      <c r="N148" s="58"/>
      <c r="O148" s="58"/>
      <c r="P148" s="58"/>
      <c r="Q148" s="58"/>
      <c r="R148" s="58"/>
      <c r="S148" s="58"/>
      <c r="T148" s="58"/>
      <c r="U148" s="58"/>
      <c r="V148" s="58"/>
      <c r="W148" s="58"/>
      <c r="X148" s="58"/>
      <c r="Y148" s="58"/>
      <c r="Z148" s="58"/>
      <c r="AA148" s="58"/>
    </row>
    <row r="149" spans="8:27">
      <c r="H149" s="58"/>
      <c r="I149" s="58"/>
      <c r="J149" s="58"/>
      <c r="K149" s="58"/>
      <c r="L149" s="58"/>
      <c r="M149" s="58"/>
      <c r="N149" s="58"/>
      <c r="O149" s="58"/>
      <c r="P149" s="58"/>
      <c r="Q149" s="58"/>
      <c r="R149" s="58"/>
      <c r="S149" s="58"/>
      <c r="T149" s="58"/>
      <c r="U149" s="58"/>
      <c r="V149" s="58"/>
      <c r="W149" s="58"/>
      <c r="X149" s="58"/>
      <c r="Y149" s="58"/>
      <c r="Z149" s="58"/>
      <c r="AA149" s="58"/>
    </row>
    <row r="150" spans="8:27">
      <c r="H150" s="58"/>
      <c r="I150" s="58"/>
      <c r="J150" s="58"/>
      <c r="K150" s="58"/>
      <c r="L150" s="58"/>
      <c r="M150" s="58"/>
      <c r="N150" s="58"/>
      <c r="O150" s="58"/>
      <c r="P150" s="58"/>
      <c r="Q150" s="58"/>
      <c r="R150" s="58"/>
      <c r="S150" s="58"/>
      <c r="T150" s="58"/>
      <c r="U150" s="58"/>
      <c r="V150" s="58"/>
      <c r="W150" s="58"/>
      <c r="X150" s="58"/>
      <c r="Y150" s="58"/>
      <c r="Z150" s="58"/>
      <c r="AA150" s="58"/>
    </row>
    <row r="151" spans="8:27">
      <c r="H151" s="58"/>
      <c r="I151" s="58"/>
      <c r="J151" s="58"/>
      <c r="K151" s="58"/>
      <c r="L151" s="58"/>
      <c r="M151" s="58"/>
      <c r="N151" s="58"/>
      <c r="O151" s="58"/>
      <c r="P151" s="58"/>
      <c r="Q151" s="58"/>
      <c r="R151" s="58"/>
      <c r="S151" s="58"/>
      <c r="T151" s="58"/>
      <c r="U151" s="58"/>
      <c r="V151" s="58"/>
      <c r="W151" s="58"/>
      <c r="X151" s="58"/>
      <c r="Y151" s="58"/>
      <c r="Z151" s="58"/>
      <c r="AA151" s="58"/>
    </row>
    <row r="152" spans="8:27">
      <c r="H152" s="58"/>
      <c r="I152" s="58"/>
      <c r="J152" s="58"/>
      <c r="K152" s="58"/>
      <c r="L152" s="58"/>
      <c r="M152" s="58"/>
      <c r="N152" s="58"/>
      <c r="O152" s="58"/>
      <c r="P152" s="58"/>
      <c r="Q152" s="58"/>
      <c r="R152" s="58"/>
      <c r="S152" s="58"/>
      <c r="T152" s="58"/>
      <c r="U152" s="58"/>
      <c r="V152" s="58"/>
      <c r="W152" s="58"/>
      <c r="X152" s="58"/>
      <c r="Y152" s="58"/>
      <c r="Z152" s="58"/>
      <c r="AA152" s="58"/>
    </row>
    <row r="153" spans="8:27">
      <c r="H153" s="58"/>
      <c r="I153" s="58"/>
      <c r="J153" s="58"/>
      <c r="K153" s="58"/>
      <c r="L153" s="58"/>
      <c r="M153" s="58"/>
      <c r="N153" s="58"/>
      <c r="O153" s="58"/>
      <c r="P153" s="58"/>
      <c r="Q153" s="58"/>
      <c r="R153" s="58"/>
      <c r="S153" s="58"/>
      <c r="T153" s="58"/>
      <c r="U153" s="58"/>
      <c r="V153" s="58"/>
      <c r="W153" s="58"/>
      <c r="X153" s="58"/>
      <c r="Y153" s="58"/>
      <c r="Z153" s="58"/>
      <c r="AA153" s="58"/>
    </row>
    <row r="154" spans="8:27">
      <c r="H154" s="58"/>
      <c r="I154" s="58"/>
      <c r="J154" s="58"/>
      <c r="K154" s="58"/>
      <c r="L154" s="58"/>
      <c r="M154" s="58"/>
      <c r="N154" s="58"/>
      <c r="O154" s="58"/>
      <c r="P154" s="58"/>
      <c r="Q154" s="58"/>
      <c r="R154" s="58"/>
      <c r="S154" s="58"/>
      <c r="T154" s="58"/>
      <c r="U154" s="58"/>
      <c r="V154" s="58"/>
      <c r="W154" s="58"/>
      <c r="X154" s="58"/>
      <c r="Y154" s="58"/>
      <c r="Z154" s="58"/>
      <c r="AA154" s="58"/>
    </row>
    <row r="155" spans="8:27">
      <c r="H155" s="58"/>
      <c r="I155" s="58"/>
      <c r="J155" s="58"/>
      <c r="K155" s="58"/>
      <c r="L155" s="58"/>
      <c r="M155" s="58"/>
      <c r="N155" s="58"/>
      <c r="O155" s="58"/>
      <c r="P155" s="58"/>
      <c r="Q155" s="58"/>
      <c r="R155" s="58"/>
      <c r="S155" s="58"/>
      <c r="T155" s="58"/>
      <c r="U155" s="58"/>
      <c r="V155" s="58"/>
      <c r="W155" s="58"/>
      <c r="X155" s="58"/>
      <c r="Y155" s="58"/>
      <c r="Z155" s="58"/>
      <c r="AA155" s="58"/>
    </row>
    <row r="156" spans="8:27">
      <c r="H156" s="58"/>
      <c r="I156" s="58"/>
      <c r="J156" s="58"/>
      <c r="K156" s="58"/>
      <c r="L156" s="58"/>
      <c r="M156" s="58"/>
      <c r="N156" s="58"/>
      <c r="O156" s="58"/>
      <c r="P156" s="58"/>
      <c r="Q156" s="58"/>
      <c r="R156" s="58"/>
      <c r="S156" s="58"/>
      <c r="T156" s="58"/>
      <c r="U156" s="58"/>
      <c r="V156" s="58"/>
      <c r="W156" s="58"/>
      <c r="X156" s="58"/>
      <c r="Y156" s="58"/>
      <c r="Z156" s="58"/>
      <c r="AA156" s="58"/>
    </row>
    <row r="157" spans="8:27">
      <c r="H157" s="58"/>
      <c r="I157" s="58"/>
      <c r="J157" s="58"/>
      <c r="K157" s="58"/>
      <c r="L157" s="58"/>
      <c r="M157" s="58"/>
      <c r="N157" s="58"/>
      <c r="O157" s="58"/>
      <c r="P157" s="58"/>
      <c r="Q157" s="58"/>
      <c r="R157" s="58"/>
      <c r="S157" s="58"/>
      <c r="T157" s="58"/>
      <c r="U157" s="58"/>
      <c r="V157" s="58"/>
      <c r="W157" s="58"/>
      <c r="X157" s="58"/>
      <c r="Y157" s="58"/>
      <c r="Z157" s="58"/>
      <c r="AA157" s="58"/>
    </row>
    <row r="158" spans="8:27">
      <c r="H158" s="58"/>
      <c r="I158" s="58"/>
      <c r="J158" s="58"/>
      <c r="K158" s="58"/>
      <c r="L158" s="58"/>
      <c r="M158" s="58"/>
      <c r="N158" s="58"/>
      <c r="O158" s="58"/>
      <c r="P158" s="58"/>
      <c r="Q158" s="58"/>
      <c r="R158" s="58"/>
      <c r="S158" s="58"/>
      <c r="T158" s="58"/>
      <c r="U158" s="58"/>
      <c r="V158" s="58"/>
      <c r="W158" s="58"/>
      <c r="X158" s="58"/>
      <c r="Y158" s="58"/>
      <c r="Z158" s="58"/>
      <c r="AA158" s="58"/>
    </row>
    <row r="159" spans="8:27">
      <c r="H159" s="58"/>
      <c r="I159" s="58"/>
      <c r="J159" s="58"/>
      <c r="K159" s="58"/>
      <c r="L159" s="58"/>
      <c r="M159" s="58"/>
      <c r="N159" s="58"/>
      <c r="O159" s="58"/>
      <c r="P159" s="58"/>
      <c r="Q159" s="58"/>
      <c r="R159" s="58"/>
      <c r="S159" s="58"/>
      <c r="T159" s="58"/>
      <c r="U159" s="58"/>
      <c r="V159" s="58"/>
      <c r="W159" s="58"/>
      <c r="X159" s="58"/>
      <c r="Y159" s="58"/>
      <c r="Z159" s="58"/>
      <c r="AA159" s="58"/>
    </row>
    <row r="160" spans="8:27">
      <c r="H160" s="58"/>
      <c r="I160" s="58"/>
      <c r="J160" s="58"/>
      <c r="K160" s="58"/>
      <c r="L160" s="58"/>
      <c r="M160" s="58"/>
      <c r="N160" s="58"/>
      <c r="O160" s="58"/>
      <c r="P160" s="58"/>
      <c r="Q160" s="58"/>
      <c r="R160" s="58"/>
      <c r="S160" s="58"/>
      <c r="T160" s="58"/>
      <c r="U160" s="58"/>
      <c r="V160" s="58"/>
      <c r="W160" s="58"/>
      <c r="X160" s="58"/>
      <c r="Y160" s="58"/>
      <c r="Z160" s="58"/>
      <c r="AA160" s="58"/>
    </row>
    <row r="161" spans="8:27">
      <c r="H161" s="58"/>
      <c r="I161" s="58"/>
      <c r="J161" s="58"/>
      <c r="K161" s="58"/>
      <c r="L161" s="58"/>
      <c r="M161" s="58"/>
      <c r="N161" s="58"/>
      <c r="O161" s="58"/>
      <c r="P161" s="58"/>
      <c r="Q161" s="58"/>
      <c r="R161" s="58"/>
      <c r="S161" s="58"/>
      <c r="T161" s="58"/>
      <c r="U161" s="58"/>
      <c r="V161" s="58"/>
      <c r="W161" s="58"/>
      <c r="X161" s="58"/>
      <c r="Y161" s="58"/>
      <c r="Z161" s="58"/>
      <c r="AA161" s="58"/>
    </row>
    <row r="162" spans="8:27">
      <c r="H162" s="58"/>
      <c r="I162" s="58"/>
      <c r="J162" s="58"/>
      <c r="K162" s="58"/>
      <c r="L162" s="58"/>
      <c r="M162" s="58"/>
      <c r="N162" s="58"/>
      <c r="O162" s="58"/>
      <c r="P162" s="58"/>
      <c r="Q162" s="58"/>
      <c r="R162" s="58"/>
      <c r="S162" s="58"/>
      <c r="T162" s="58"/>
      <c r="U162" s="58"/>
      <c r="V162" s="58"/>
      <c r="W162" s="58"/>
      <c r="X162" s="58"/>
      <c r="Y162" s="58"/>
      <c r="Z162" s="58"/>
      <c r="AA162" s="58"/>
    </row>
    <row r="163" spans="8:27">
      <c r="H163" s="58"/>
      <c r="I163" s="58"/>
      <c r="J163" s="58"/>
      <c r="K163" s="58"/>
      <c r="L163" s="58"/>
      <c r="M163" s="58"/>
      <c r="N163" s="58"/>
      <c r="O163" s="58"/>
      <c r="P163" s="58"/>
      <c r="Q163" s="58"/>
      <c r="R163" s="58"/>
      <c r="S163" s="58"/>
      <c r="T163" s="58"/>
      <c r="U163" s="58"/>
      <c r="V163" s="58"/>
      <c r="W163" s="58"/>
      <c r="X163" s="58"/>
      <c r="Y163" s="58"/>
      <c r="Z163" s="58"/>
      <c r="AA163" s="58"/>
    </row>
    <row r="164" spans="8:27">
      <c r="H164" s="58"/>
      <c r="I164" s="58"/>
      <c r="J164" s="58"/>
      <c r="K164" s="58"/>
      <c r="L164" s="58"/>
      <c r="M164" s="58"/>
      <c r="N164" s="58"/>
      <c r="O164" s="58"/>
      <c r="P164" s="58"/>
      <c r="Q164" s="58"/>
      <c r="R164" s="58"/>
      <c r="S164" s="58"/>
      <c r="T164" s="58"/>
      <c r="U164" s="58"/>
      <c r="V164" s="58"/>
      <c r="W164" s="58"/>
      <c r="X164" s="58"/>
      <c r="Y164" s="58"/>
      <c r="Z164" s="58"/>
      <c r="AA164" s="58"/>
    </row>
    <row r="165" spans="8:27">
      <c r="H165" s="58"/>
      <c r="I165" s="58"/>
      <c r="J165" s="58"/>
      <c r="K165" s="58"/>
      <c r="L165" s="58"/>
      <c r="M165" s="58"/>
      <c r="N165" s="58"/>
      <c r="O165" s="58"/>
      <c r="P165" s="58"/>
      <c r="Q165" s="58"/>
      <c r="R165" s="58"/>
      <c r="S165" s="58"/>
      <c r="T165" s="58"/>
      <c r="U165" s="58"/>
      <c r="V165" s="58"/>
      <c r="W165" s="58"/>
      <c r="X165" s="58"/>
      <c r="Y165" s="58"/>
      <c r="Z165" s="58"/>
      <c r="AA165" s="58"/>
    </row>
    <row r="166" spans="8:27">
      <c r="H166" s="58"/>
      <c r="I166" s="58"/>
      <c r="J166" s="58"/>
      <c r="K166" s="58"/>
      <c r="L166" s="58"/>
      <c r="M166" s="58"/>
      <c r="N166" s="58"/>
      <c r="O166" s="58"/>
      <c r="P166" s="58"/>
      <c r="Q166" s="58"/>
      <c r="R166" s="58"/>
      <c r="S166" s="58"/>
      <c r="T166" s="58"/>
      <c r="U166" s="58"/>
      <c r="V166" s="58"/>
      <c r="W166" s="58"/>
      <c r="X166" s="58"/>
      <c r="Y166" s="58"/>
      <c r="Z166" s="58"/>
      <c r="AA166" s="58"/>
    </row>
    <row r="167" spans="8:27">
      <c r="H167" s="58"/>
      <c r="I167" s="58"/>
      <c r="J167" s="58"/>
      <c r="K167" s="58"/>
      <c r="L167" s="58"/>
      <c r="M167" s="58"/>
      <c r="N167" s="58"/>
      <c r="O167" s="58"/>
      <c r="P167" s="58"/>
      <c r="Q167" s="58"/>
      <c r="R167" s="58"/>
      <c r="S167" s="58"/>
      <c r="T167" s="58"/>
      <c r="U167" s="58"/>
      <c r="V167" s="58"/>
      <c r="W167" s="58"/>
      <c r="X167" s="58"/>
      <c r="Y167" s="58"/>
      <c r="Z167" s="58"/>
      <c r="AA167" s="58"/>
    </row>
    <row r="168" spans="8:27">
      <c r="H168" s="58"/>
      <c r="I168" s="58"/>
      <c r="J168" s="58"/>
      <c r="K168" s="58"/>
      <c r="L168" s="58"/>
      <c r="M168" s="58"/>
      <c r="N168" s="58"/>
      <c r="O168" s="58"/>
      <c r="P168" s="58"/>
      <c r="Q168" s="58"/>
      <c r="R168" s="58"/>
      <c r="S168" s="58"/>
      <c r="T168" s="58"/>
      <c r="U168" s="58"/>
      <c r="V168" s="58"/>
      <c r="W168" s="58"/>
      <c r="X168" s="58"/>
      <c r="Y168" s="58"/>
      <c r="Z168" s="58"/>
      <c r="AA168" s="58"/>
    </row>
    <row r="169" spans="8:27">
      <c r="H169" s="58"/>
      <c r="I169" s="58"/>
      <c r="J169" s="58"/>
      <c r="K169" s="58"/>
      <c r="L169" s="58"/>
      <c r="M169" s="58"/>
      <c r="N169" s="58"/>
      <c r="O169" s="58"/>
      <c r="P169" s="58"/>
      <c r="Q169" s="58"/>
      <c r="R169" s="58"/>
      <c r="S169" s="58"/>
      <c r="T169" s="58"/>
      <c r="U169" s="58"/>
      <c r="V169" s="58"/>
      <c r="W169" s="58"/>
      <c r="X169" s="58"/>
      <c r="Y169" s="58"/>
      <c r="Z169" s="58"/>
      <c r="AA169" s="58"/>
    </row>
    <row r="170" spans="8:27">
      <c r="H170" s="58"/>
      <c r="I170" s="58"/>
      <c r="J170" s="58"/>
      <c r="K170" s="58"/>
      <c r="L170" s="58"/>
      <c r="M170" s="58"/>
      <c r="N170" s="58"/>
      <c r="O170" s="58"/>
      <c r="P170" s="58"/>
      <c r="Q170" s="58"/>
      <c r="R170" s="58"/>
      <c r="S170" s="58"/>
      <c r="T170" s="58"/>
      <c r="U170" s="58"/>
      <c r="V170" s="58"/>
      <c r="W170" s="58"/>
      <c r="X170" s="58"/>
      <c r="Y170" s="58"/>
      <c r="Z170" s="58"/>
      <c r="AA170" s="58"/>
    </row>
    <row r="171" spans="8:27">
      <c r="H171" s="58"/>
      <c r="I171" s="58"/>
      <c r="J171" s="58"/>
      <c r="K171" s="58"/>
      <c r="L171" s="58"/>
      <c r="M171" s="58"/>
      <c r="N171" s="58"/>
      <c r="O171" s="58"/>
      <c r="P171" s="58"/>
      <c r="Q171" s="58"/>
      <c r="R171" s="58"/>
      <c r="S171" s="58"/>
      <c r="T171" s="58"/>
      <c r="U171" s="58"/>
      <c r="V171" s="58"/>
      <c r="W171" s="58"/>
      <c r="X171" s="58"/>
      <c r="Y171" s="58"/>
      <c r="Z171" s="58"/>
      <c r="AA171" s="58"/>
    </row>
    <row r="172" spans="8:27">
      <c r="H172" s="58"/>
      <c r="I172" s="58"/>
      <c r="J172" s="58"/>
      <c r="K172" s="58"/>
      <c r="L172" s="58"/>
      <c r="M172" s="58"/>
      <c r="N172" s="58"/>
      <c r="O172" s="58"/>
      <c r="P172" s="58"/>
      <c r="Q172" s="58"/>
      <c r="R172" s="58"/>
      <c r="S172" s="58"/>
      <c r="T172" s="58"/>
      <c r="U172" s="58"/>
      <c r="V172" s="58"/>
      <c r="W172" s="58"/>
      <c r="X172" s="58"/>
      <c r="Y172" s="58"/>
      <c r="Z172" s="58"/>
      <c r="AA172" s="58"/>
    </row>
    <row r="173" spans="8:27">
      <c r="H173" s="58"/>
      <c r="I173" s="58"/>
      <c r="J173" s="58"/>
      <c r="K173" s="58"/>
      <c r="L173" s="58"/>
      <c r="M173" s="58"/>
      <c r="N173" s="58"/>
      <c r="O173" s="58"/>
      <c r="P173" s="58"/>
      <c r="Q173" s="58"/>
      <c r="R173" s="58"/>
      <c r="S173" s="58"/>
      <c r="T173" s="58"/>
      <c r="U173" s="58"/>
      <c r="V173" s="58"/>
      <c r="W173" s="58"/>
      <c r="X173" s="58"/>
      <c r="Y173" s="58"/>
      <c r="Z173" s="58"/>
      <c r="AA173" s="58"/>
    </row>
    <row r="174" spans="8:27">
      <c r="H174" s="58"/>
      <c r="I174" s="58"/>
      <c r="J174" s="58"/>
      <c r="K174" s="58"/>
      <c r="L174" s="58"/>
      <c r="M174" s="58"/>
      <c r="N174" s="58"/>
      <c r="O174" s="58"/>
      <c r="P174" s="58"/>
      <c r="Q174" s="58"/>
      <c r="R174" s="58"/>
      <c r="S174" s="58"/>
      <c r="T174" s="58"/>
      <c r="U174" s="58"/>
      <c r="V174" s="58"/>
      <c r="W174" s="58"/>
      <c r="X174" s="58"/>
      <c r="Y174" s="58"/>
      <c r="Z174" s="58"/>
      <c r="AA174" s="58"/>
    </row>
    <row r="175" spans="8:27">
      <c r="H175" s="58"/>
      <c r="I175" s="58"/>
      <c r="J175" s="58"/>
      <c r="K175" s="58"/>
      <c r="L175" s="58"/>
      <c r="M175" s="58"/>
      <c r="N175" s="58"/>
      <c r="O175" s="58"/>
      <c r="P175" s="58"/>
      <c r="Q175" s="58"/>
      <c r="R175" s="58"/>
      <c r="S175" s="58"/>
      <c r="T175" s="58"/>
      <c r="U175" s="58"/>
      <c r="V175" s="58"/>
      <c r="W175" s="58"/>
      <c r="X175" s="58"/>
      <c r="Y175" s="58"/>
      <c r="Z175" s="58"/>
      <c r="AA175" s="58"/>
    </row>
    <row r="176" spans="8:27">
      <c r="H176" s="58"/>
      <c r="I176" s="58"/>
      <c r="J176" s="58"/>
      <c r="K176" s="58"/>
      <c r="L176" s="58"/>
      <c r="M176" s="58"/>
      <c r="N176" s="58"/>
      <c r="O176" s="58"/>
      <c r="P176" s="58"/>
      <c r="Q176" s="58"/>
      <c r="R176" s="58"/>
      <c r="S176" s="58"/>
      <c r="T176" s="58"/>
      <c r="U176" s="58"/>
      <c r="V176" s="58"/>
      <c r="W176" s="58"/>
      <c r="X176" s="58"/>
      <c r="Y176" s="58"/>
      <c r="Z176" s="58"/>
      <c r="AA176" s="58"/>
    </row>
    <row r="177" spans="8:27">
      <c r="H177" s="58"/>
      <c r="I177" s="58"/>
      <c r="J177" s="58"/>
      <c r="K177" s="58"/>
      <c r="L177" s="58"/>
      <c r="M177" s="58"/>
      <c r="N177" s="58"/>
      <c r="O177" s="58"/>
      <c r="P177" s="58"/>
      <c r="Q177" s="58"/>
      <c r="R177" s="58"/>
      <c r="S177" s="58"/>
      <c r="T177" s="58"/>
      <c r="U177" s="58"/>
      <c r="V177" s="58"/>
      <c r="W177" s="58"/>
      <c r="X177" s="58"/>
      <c r="Y177" s="58"/>
      <c r="Z177" s="58"/>
      <c r="AA177" s="58"/>
    </row>
    <row r="178" spans="8:27">
      <c r="H178" s="58"/>
      <c r="I178" s="58"/>
      <c r="J178" s="58"/>
      <c r="K178" s="58"/>
      <c r="L178" s="58"/>
      <c r="M178" s="58"/>
      <c r="N178" s="58"/>
      <c r="O178" s="58"/>
      <c r="P178" s="58"/>
      <c r="Q178" s="58"/>
      <c r="R178" s="58"/>
      <c r="S178" s="58"/>
      <c r="T178" s="58"/>
      <c r="U178" s="58"/>
      <c r="V178" s="58"/>
      <c r="W178" s="58"/>
      <c r="X178" s="58"/>
      <c r="Y178" s="58"/>
      <c r="Z178" s="58"/>
      <c r="AA178" s="58"/>
    </row>
    <row r="179" spans="8:27">
      <c r="H179" s="58"/>
      <c r="I179" s="58"/>
      <c r="J179" s="58"/>
      <c r="K179" s="58"/>
      <c r="L179" s="58"/>
      <c r="M179" s="58"/>
      <c r="N179" s="58"/>
      <c r="O179" s="58"/>
      <c r="P179" s="58"/>
      <c r="Q179" s="58"/>
      <c r="R179" s="58"/>
      <c r="S179" s="58"/>
      <c r="T179" s="58"/>
      <c r="U179" s="58"/>
      <c r="V179" s="58"/>
      <c r="W179" s="58"/>
      <c r="X179" s="58"/>
      <c r="Y179" s="58"/>
      <c r="Z179" s="58"/>
      <c r="AA179" s="58"/>
    </row>
    <row r="180" spans="8:27">
      <c r="H180" s="58"/>
      <c r="I180" s="58"/>
      <c r="J180" s="58"/>
      <c r="K180" s="58"/>
      <c r="L180" s="58"/>
      <c r="M180" s="58"/>
      <c r="N180" s="58"/>
      <c r="O180" s="58"/>
      <c r="P180" s="58"/>
      <c r="Q180" s="58"/>
      <c r="R180" s="58"/>
      <c r="S180" s="58"/>
      <c r="T180" s="58"/>
      <c r="U180" s="58"/>
      <c r="V180" s="58"/>
      <c r="W180" s="58"/>
      <c r="X180" s="58"/>
      <c r="Y180" s="58"/>
      <c r="Z180" s="58"/>
      <c r="AA180" s="58"/>
    </row>
    <row r="181" spans="8:27">
      <c r="H181" s="58"/>
      <c r="I181" s="58"/>
      <c r="J181" s="58"/>
      <c r="K181" s="58"/>
      <c r="L181" s="58"/>
      <c r="M181" s="58"/>
      <c r="N181" s="58"/>
      <c r="O181" s="58"/>
      <c r="P181" s="58"/>
      <c r="Q181" s="58"/>
      <c r="R181" s="58"/>
      <c r="S181" s="58"/>
      <c r="T181" s="58"/>
      <c r="U181" s="58"/>
      <c r="V181" s="58"/>
      <c r="W181" s="58"/>
      <c r="X181" s="58"/>
      <c r="Y181" s="58"/>
      <c r="Z181" s="58"/>
      <c r="AA181" s="58"/>
    </row>
    <row r="182" spans="8:27">
      <c r="H182" s="58"/>
      <c r="I182" s="58"/>
      <c r="J182" s="58"/>
      <c r="K182" s="58"/>
      <c r="L182" s="58"/>
      <c r="M182" s="58"/>
      <c r="N182" s="58"/>
      <c r="O182" s="58"/>
      <c r="P182" s="58"/>
      <c r="Q182" s="58"/>
      <c r="R182" s="58"/>
      <c r="S182" s="58"/>
      <c r="T182" s="58"/>
      <c r="U182" s="58"/>
      <c r="V182" s="58"/>
      <c r="W182" s="58"/>
      <c r="X182" s="58"/>
      <c r="Y182" s="58"/>
      <c r="Z182" s="58"/>
      <c r="AA182" s="58"/>
    </row>
    <row r="183" spans="8:27">
      <c r="H183" s="58"/>
      <c r="I183" s="58"/>
      <c r="J183" s="58"/>
      <c r="K183" s="58"/>
      <c r="L183" s="58"/>
      <c r="M183" s="58"/>
      <c r="N183" s="58"/>
      <c r="O183" s="58"/>
      <c r="P183" s="58"/>
      <c r="Q183" s="58"/>
      <c r="R183" s="58"/>
      <c r="S183" s="58"/>
      <c r="T183" s="58"/>
      <c r="U183" s="58"/>
      <c r="V183" s="58"/>
      <c r="W183" s="58"/>
      <c r="X183" s="58"/>
      <c r="Y183" s="58"/>
      <c r="Z183" s="58"/>
      <c r="AA183" s="58"/>
    </row>
    <row r="184" spans="8:27">
      <c r="H184" s="58"/>
      <c r="I184" s="58"/>
      <c r="J184" s="58"/>
      <c r="K184" s="58"/>
      <c r="L184" s="58"/>
      <c r="M184" s="58"/>
      <c r="N184" s="58"/>
      <c r="O184" s="58"/>
      <c r="P184" s="58"/>
      <c r="Q184" s="58"/>
      <c r="R184" s="58"/>
      <c r="S184" s="58"/>
      <c r="T184" s="58"/>
      <c r="U184" s="58"/>
      <c r="V184" s="58"/>
      <c r="W184" s="58"/>
      <c r="X184" s="58"/>
      <c r="Y184" s="58"/>
      <c r="Z184" s="58"/>
      <c r="AA184" s="58"/>
    </row>
    <row r="185" spans="8:27">
      <c r="H185" s="58"/>
      <c r="I185" s="58"/>
      <c r="J185" s="58"/>
      <c r="K185" s="58"/>
      <c r="L185" s="58"/>
      <c r="M185" s="58"/>
      <c r="N185" s="58"/>
      <c r="O185" s="58"/>
      <c r="P185" s="58"/>
      <c r="Q185" s="58"/>
      <c r="R185" s="58"/>
      <c r="S185" s="58"/>
      <c r="T185" s="58"/>
      <c r="U185" s="58"/>
      <c r="V185" s="58"/>
      <c r="W185" s="58"/>
      <c r="X185" s="58"/>
      <c r="Y185" s="58"/>
      <c r="Z185" s="58"/>
      <c r="AA185" s="58"/>
    </row>
    <row r="186" spans="8:27">
      <c r="H186" s="58"/>
      <c r="I186" s="58"/>
      <c r="J186" s="58"/>
      <c r="K186" s="58"/>
      <c r="L186" s="58"/>
      <c r="M186" s="58"/>
      <c r="N186" s="58"/>
      <c r="O186" s="58"/>
      <c r="P186" s="58"/>
      <c r="Q186" s="58"/>
      <c r="R186" s="58"/>
      <c r="S186" s="58"/>
      <c r="T186" s="58"/>
      <c r="U186" s="58"/>
      <c r="V186" s="58"/>
      <c r="W186" s="58"/>
      <c r="X186" s="58"/>
      <c r="Y186" s="58"/>
      <c r="Z186" s="58"/>
      <c r="AA186" s="58"/>
    </row>
    <row r="187" spans="8:27">
      <c r="H187" s="58"/>
      <c r="I187" s="58"/>
      <c r="J187" s="58"/>
      <c r="K187" s="58"/>
      <c r="L187" s="58"/>
      <c r="M187" s="58"/>
      <c r="N187" s="58"/>
      <c r="O187" s="58"/>
      <c r="P187" s="58"/>
      <c r="Q187" s="58"/>
      <c r="R187" s="58"/>
      <c r="S187" s="58"/>
      <c r="T187" s="58"/>
      <c r="U187" s="58"/>
      <c r="V187" s="58"/>
      <c r="W187" s="58"/>
      <c r="X187" s="58"/>
      <c r="Y187" s="58"/>
      <c r="Z187" s="58"/>
      <c r="AA187" s="58"/>
    </row>
    <row r="188" spans="8:27">
      <c r="H188" s="58"/>
      <c r="I188" s="58"/>
      <c r="J188" s="58"/>
      <c r="K188" s="58"/>
      <c r="L188" s="58"/>
      <c r="M188" s="58"/>
      <c r="N188" s="58"/>
      <c r="O188" s="58"/>
      <c r="P188" s="58"/>
      <c r="Q188" s="58"/>
      <c r="R188" s="58"/>
      <c r="S188" s="58"/>
      <c r="T188" s="58"/>
      <c r="U188" s="58"/>
      <c r="V188" s="58"/>
      <c r="W188" s="58"/>
      <c r="X188" s="58"/>
      <c r="Y188" s="58"/>
      <c r="Z188" s="58"/>
      <c r="AA188" s="58"/>
    </row>
    <row r="189" spans="8:27">
      <c r="H189" s="58"/>
      <c r="I189" s="58"/>
      <c r="J189" s="58"/>
      <c r="K189" s="58"/>
      <c r="L189" s="58"/>
      <c r="M189" s="58"/>
      <c r="N189" s="58"/>
      <c r="O189" s="58"/>
      <c r="P189" s="58"/>
      <c r="Q189" s="58"/>
      <c r="R189" s="58"/>
      <c r="S189" s="58"/>
      <c r="T189" s="58"/>
      <c r="U189" s="58"/>
      <c r="V189" s="58"/>
      <c r="W189" s="58"/>
      <c r="X189" s="58"/>
      <c r="Y189" s="58"/>
      <c r="Z189" s="58"/>
      <c r="AA189" s="58"/>
    </row>
    <row r="190" spans="8:27">
      <c r="H190" s="58"/>
      <c r="I190" s="58"/>
      <c r="J190" s="58"/>
      <c r="K190" s="58"/>
      <c r="L190" s="58"/>
      <c r="M190" s="58"/>
      <c r="N190" s="58"/>
      <c r="O190" s="58"/>
      <c r="P190" s="58"/>
      <c r="Q190" s="58"/>
      <c r="R190" s="58"/>
      <c r="S190" s="58"/>
      <c r="T190" s="58"/>
      <c r="U190" s="58"/>
      <c r="V190" s="58"/>
      <c r="W190" s="58"/>
      <c r="X190" s="58"/>
      <c r="Y190" s="58"/>
      <c r="Z190" s="58"/>
      <c r="AA190" s="58"/>
    </row>
    <row r="191" spans="8:27">
      <c r="H191" s="58"/>
      <c r="I191" s="58"/>
      <c r="J191" s="58"/>
      <c r="K191" s="58"/>
      <c r="L191" s="58"/>
      <c r="M191" s="58"/>
      <c r="N191" s="58"/>
      <c r="O191" s="58"/>
      <c r="P191" s="58"/>
      <c r="Q191" s="58"/>
      <c r="R191" s="58"/>
      <c r="S191" s="58"/>
      <c r="T191" s="58"/>
      <c r="U191" s="58"/>
      <c r="V191" s="58"/>
      <c r="W191" s="58"/>
      <c r="X191" s="58"/>
      <c r="Y191" s="58"/>
      <c r="Z191" s="58"/>
      <c r="AA191" s="58"/>
    </row>
    <row r="192" spans="8:27">
      <c r="H192" s="58"/>
      <c r="I192" s="58"/>
      <c r="J192" s="58"/>
      <c r="K192" s="58"/>
      <c r="L192" s="58"/>
      <c r="M192" s="58"/>
      <c r="N192" s="58"/>
      <c r="O192" s="58"/>
      <c r="P192" s="58"/>
      <c r="Q192" s="58"/>
      <c r="R192" s="58"/>
      <c r="S192" s="58"/>
      <c r="T192" s="58"/>
      <c r="U192" s="58"/>
      <c r="V192" s="58"/>
      <c r="W192" s="58"/>
      <c r="X192" s="58"/>
      <c r="Y192" s="58"/>
      <c r="Z192" s="58"/>
      <c r="AA192" s="58"/>
    </row>
    <row r="193" spans="8:27">
      <c r="H193" s="58"/>
      <c r="I193" s="58"/>
      <c r="J193" s="58"/>
      <c r="K193" s="58"/>
      <c r="L193" s="58"/>
      <c r="M193" s="58"/>
      <c r="N193" s="58"/>
      <c r="O193" s="58"/>
      <c r="P193" s="58"/>
      <c r="Q193" s="58"/>
      <c r="R193" s="58"/>
      <c r="S193" s="58"/>
      <c r="T193" s="58"/>
      <c r="U193" s="58"/>
      <c r="V193" s="58"/>
      <c r="W193" s="58"/>
      <c r="X193" s="58"/>
      <c r="Y193" s="58"/>
      <c r="Z193" s="58"/>
      <c r="AA193" s="58"/>
    </row>
    <row r="194" spans="8:27">
      <c r="H194" s="58"/>
      <c r="I194" s="58"/>
      <c r="J194" s="58"/>
      <c r="K194" s="58"/>
      <c r="L194" s="58"/>
      <c r="M194" s="58"/>
      <c r="N194" s="58"/>
      <c r="O194" s="58"/>
      <c r="P194" s="58"/>
      <c r="Q194" s="58"/>
      <c r="R194" s="58"/>
      <c r="S194" s="58"/>
      <c r="T194" s="58"/>
      <c r="U194" s="58"/>
      <c r="V194" s="58"/>
      <c r="W194" s="58"/>
      <c r="X194" s="58"/>
      <c r="Y194" s="58"/>
      <c r="Z194" s="58"/>
      <c r="AA194" s="58"/>
    </row>
    <row r="195" spans="8:27">
      <c r="H195" s="58"/>
      <c r="I195" s="58"/>
      <c r="J195" s="58"/>
      <c r="K195" s="58"/>
      <c r="L195" s="58"/>
      <c r="M195" s="58"/>
      <c r="N195" s="58"/>
      <c r="O195" s="58"/>
      <c r="P195" s="58"/>
      <c r="Q195" s="58"/>
      <c r="R195" s="58"/>
      <c r="S195" s="58"/>
      <c r="T195" s="58"/>
      <c r="U195" s="58"/>
      <c r="V195" s="58"/>
      <c r="W195" s="58"/>
      <c r="X195" s="58"/>
      <c r="Y195" s="58"/>
      <c r="Z195" s="58"/>
      <c r="AA195" s="58"/>
    </row>
    <row r="196" spans="8:27">
      <c r="H196" s="58"/>
      <c r="I196" s="58"/>
      <c r="J196" s="58"/>
      <c r="K196" s="58"/>
      <c r="L196" s="58"/>
      <c r="M196" s="58"/>
      <c r="N196" s="58"/>
      <c r="O196" s="58"/>
      <c r="P196" s="58"/>
      <c r="Q196" s="58"/>
      <c r="R196" s="58"/>
      <c r="S196" s="58"/>
      <c r="T196" s="58"/>
      <c r="U196" s="58"/>
      <c r="V196" s="58"/>
      <c r="W196" s="58"/>
      <c r="X196" s="58"/>
      <c r="Y196" s="58"/>
      <c r="Z196" s="58"/>
      <c r="AA196" s="58"/>
    </row>
    <row r="197" spans="8:27">
      <c r="H197" s="58"/>
      <c r="I197" s="58"/>
      <c r="J197" s="58"/>
      <c r="K197" s="58"/>
      <c r="L197" s="58"/>
      <c r="M197" s="58"/>
      <c r="N197" s="58"/>
      <c r="O197" s="58"/>
      <c r="P197" s="58"/>
      <c r="Q197" s="58"/>
      <c r="R197" s="58"/>
      <c r="S197" s="58"/>
      <c r="T197" s="58"/>
      <c r="U197" s="58"/>
      <c r="V197" s="58"/>
      <c r="W197" s="58"/>
      <c r="X197" s="58"/>
      <c r="Y197" s="58"/>
      <c r="Z197" s="58"/>
      <c r="AA197" s="58"/>
    </row>
    <row r="198" spans="8:27">
      <c r="H198" s="58"/>
      <c r="I198" s="58"/>
      <c r="J198" s="58"/>
      <c r="K198" s="58"/>
      <c r="L198" s="58"/>
      <c r="M198" s="58"/>
      <c r="N198" s="58"/>
      <c r="O198" s="58"/>
      <c r="P198" s="58"/>
      <c r="Q198" s="58"/>
      <c r="R198" s="58"/>
      <c r="S198" s="58"/>
      <c r="T198" s="58"/>
      <c r="U198" s="58"/>
      <c r="V198" s="58"/>
      <c r="W198" s="58"/>
      <c r="X198" s="58"/>
      <c r="Y198" s="58"/>
      <c r="Z198" s="58"/>
      <c r="AA198" s="58"/>
    </row>
    <row r="199" spans="8:27">
      <c r="H199" s="58"/>
      <c r="I199" s="58"/>
      <c r="J199" s="58"/>
      <c r="K199" s="58"/>
      <c r="L199" s="58"/>
      <c r="M199" s="58"/>
      <c r="N199" s="58"/>
      <c r="O199" s="58"/>
      <c r="P199" s="58"/>
      <c r="Q199" s="58"/>
      <c r="R199" s="58"/>
      <c r="S199" s="58"/>
      <c r="T199" s="58"/>
      <c r="U199" s="58"/>
      <c r="V199" s="58"/>
      <c r="W199" s="58"/>
      <c r="X199" s="58"/>
      <c r="Y199" s="58"/>
      <c r="Z199" s="58"/>
      <c r="AA199" s="58"/>
    </row>
    <row r="200" spans="8:27">
      <c r="H200" s="58"/>
      <c r="I200" s="58"/>
      <c r="J200" s="58"/>
      <c r="K200" s="58"/>
      <c r="L200" s="58"/>
      <c r="M200" s="58"/>
      <c r="N200" s="58"/>
      <c r="O200" s="58"/>
      <c r="P200" s="58"/>
      <c r="Q200" s="58"/>
      <c r="R200" s="58"/>
      <c r="S200" s="58"/>
      <c r="T200" s="58"/>
      <c r="U200" s="58"/>
      <c r="V200" s="58"/>
      <c r="W200" s="58"/>
      <c r="X200" s="58"/>
      <c r="Y200" s="58"/>
      <c r="Z200" s="58"/>
      <c r="AA200" s="58"/>
    </row>
    <row r="201" spans="8:27">
      <c r="H201" s="58"/>
      <c r="I201" s="58"/>
      <c r="J201" s="58"/>
      <c r="K201" s="58"/>
      <c r="L201" s="58"/>
      <c r="M201" s="58"/>
      <c r="N201" s="58"/>
      <c r="O201" s="58"/>
      <c r="P201" s="58"/>
      <c r="Q201" s="58"/>
      <c r="R201" s="58"/>
      <c r="S201" s="58"/>
      <c r="T201" s="58"/>
      <c r="U201" s="58"/>
      <c r="V201" s="58"/>
      <c r="W201" s="58"/>
      <c r="X201" s="58"/>
      <c r="Y201" s="58"/>
      <c r="Z201" s="58"/>
      <c r="AA201" s="58"/>
    </row>
    <row r="202" spans="8:27">
      <c r="H202" s="58"/>
      <c r="I202" s="58"/>
      <c r="J202" s="58"/>
      <c r="K202" s="58"/>
      <c r="L202" s="58"/>
      <c r="M202" s="58"/>
      <c r="N202" s="58"/>
      <c r="O202" s="58"/>
      <c r="P202" s="58"/>
      <c r="Q202" s="58"/>
      <c r="R202" s="58"/>
      <c r="S202" s="58"/>
      <c r="T202" s="58"/>
      <c r="U202" s="58"/>
      <c r="V202" s="58"/>
      <c r="W202" s="58"/>
      <c r="X202" s="58"/>
      <c r="Y202" s="58"/>
      <c r="Z202" s="58"/>
      <c r="AA202" s="58"/>
    </row>
    <row r="203" spans="8:27">
      <c r="H203" s="58"/>
      <c r="I203" s="58"/>
      <c r="J203" s="58"/>
      <c r="K203" s="58"/>
      <c r="L203" s="58"/>
      <c r="M203" s="58"/>
      <c r="N203" s="58"/>
      <c r="O203" s="58"/>
      <c r="P203" s="58"/>
      <c r="Q203" s="58"/>
      <c r="R203" s="58"/>
      <c r="S203" s="58"/>
      <c r="T203" s="58"/>
      <c r="U203" s="58"/>
      <c r="V203" s="58"/>
      <c r="W203" s="58"/>
      <c r="X203" s="58"/>
      <c r="Y203" s="58"/>
      <c r="Z203" s="58"/>
      <c r="AA203" s="58"/>
    </row>
    <row r="204" spans="8:27">
      <c r="H204" s="58"/>
      <c r="I204" s="58"/>
      <c r="J204" s="58"/>
      <c r="K204" s="58"/>
      <c r="L204" s="58"/>
      <c r="M204" s="58"/>
      <c r="N204" s="58"/>
      <c r="O204" s="58"/>
      <c r="P204" s="58"/>
      <c r="Q204" s="58"/>
      <c r="R204" s="58"/>
      <c r="S204" s="58"/>
      <c r="T204" s="58"/>
      <c r="U204" s="58"/>
      <c r="V204" s="58"/>
      <c r="W204" s="58"/>
      <c r="X204" s="58"/>
      <c r="Y204" s="58"/>
      <c r="Z204" s="58"/>
      <c r="AA204" s="58"/>
    </row>
    <row r="205" spans="8:27">
      <c r="H205" s="58"/>
      <c r="I205" s="58"/>
      <c r="J205" s="58"/>
      <c r="K205" s="58"/>
      <c r="L205" s="58"/>
      <c r="M205" s="58"/>
      <c r="N205" s="58"/>
      <c r="O205" s="58"/>
      <c r="P205" s="58"/>
      <c r="Q205" s="58"/>
      <c r="R205" s="58"/>
      <c r="S205" s="58"/>
      <c r="T205" s="58"/>
      <c r="U205" s="58"/>
      <c r="V205" s="58"/>
      <c r="W205" s="58"/>
      <c r="X205" s="58"/>
      <c r="Y205" s="58"/>
      <c r="Z205" s="58"/>
      <c r="AA205" s="58"/>
    </row>
    <row r="206" spans="8:27">
      <c r="H206" s="58"/>
      <c r="I206" s="58"/>
      <c r="J206" s="58"/>
      <c r="K206" s="58"/>
      <c r="L206" s="58"/>
      <c r="M206" s="58"/>
      <c r="N206" s="58"/>
      <c r="O206" s="58"/>
      <c r="P206" s="58"/>
      <c r="Q206" s="58"/>
      <c r="R206" s="58"/>
      <c r="S206" s="58"/>
      <c r="T206" s="58"/>
      <c r="U206" s="58"/>
      <c r="V206" s="58"/>
      <c r="W206" s="58"/>
      <c r="X206" s="58"/>
      <c r="Y206" s="58"/>
      <c r="Z206" s="58"/>
      <c r="AA206" s="58"/>
    </row>
    <row r="207" spans="8:27">
      <c r="H207" s="58"/>
      <c r="I207" s="58"/>
      <c r="J207" s="58"/>
      <c r="K207" s="58"/>
      <c r="L207" s="58"/>
      <c r="M207" s="58"/>
      <c r="N207" s="58"/>
      <c r="O207" s="58"/>
      <c r="P207" s="58"/>
      <c r="Q207" s="58"/>
      <c r="R207" s="58"/>
      <c r="S207" s="58"/>
      <c r="T207" s="58"/>
      <c r="U207" s="58"/>
      <c r="V207" s="58"/>
      <c r="W207" s="58"/>
      <c r="X207" s="58"/>
      <c r="Y207" s="58"/>
      <c r="Z207" s="58"/>
      <c r="AA207" s="58"/>
    </row>
    <row r="208" spans="8:27">
      <c r="H208" s="58"/>
      <c r="I208" s="58"/>
      <c r="J208" s="58"/>
      <c r="K208" s="58"/>
      <c r="L208" s="58"/>
      <c r="M208" s="58"/>
      <c r="N208" s="58"/>
      <c r="O208" s="58"/>
      <c r="P208" s="58"/>
      <c r="Q208" s="58"/>
      <c r="R208" s="58"/>
      <c r="S208" s="58"/>
      <c r="T208" s="58"/>
      <c r="U208" s="58"/>
      <c r="V208" s="58"/>
      <c r="W208" s="58"/>
      <c r="X208" s="58"/>
      <c r="Y208" s="58"/>
      <c r="Z208" s="58"/>
      <c r="AA208" s="58"/>
    </row>
    <row r="209" spans="8:27">
      <c r="H209" s="58"/>
      <c r="I209" s="58"/>
      <c r="J209" s="58"/>
      <c r="K209" s="58"/>
      <c r="L209" s="58"/>
      <c r="M209" s="58"/>
      <c r="N209" s="58"/>
      <c r="O209" s="58"/>
      <c r="P209" s="58"/>
      <c r="Q209" s="58"/>
      <c r="R209" s="58"/>
      <c r="S209" s="58"/>
      <c r="T209" s="58"/>
      <c r="U209" s="58"/>
      <c r="V209" s="58"/>
      <c r="W209" s="58"/>
      <c r="X209" s="58"/>
      <c r="Y209" s="58"/>
      <c r="Z209" s="58"/>
      <c r="AA209" s="58"/>
    </row>
    <row r="210" spans="8:27">
      <c r="H210" s="58"/>
      <c r="I210" s="58"/>
      <c r="J210" s="58"/>
      <c r="K210" s="58"/>
      <c r="L210" s="58"/>
      <c r="M210" s="58"/>
      <c r="N210" s="58"/>
      <c r="O210" s="58"/>
      <c r="P210" s="58"/>
      <c r="Q210" s="58"/>
      <c r="R210" s="58"/>
      <c r="S210" s="58"/>
      <c r="T210" s="58"/>
      <c r="U210" s="58"/>
      <c r="V210" s="58"/>
      <c r="W210" s="58"/>
      <c r="X210" s="58"/>
      <c r="Y210" s="58"/>
      <c r="Z210" s="58"/>
      <c r="AA210" s="58"/>
    </row>
    <row r="211" spans="8:27">
      <c r="H211" s="58"/>
      <c r="I211" s="58"/>
      <c r="J211" s="58"/>
      <c r="K211" s="58"/>
      <c r="L211" s="58"/>
      <c r="M211" s="58"/>
      <c r="N211" s="58"/>
      <c r="O211" s="58"/>
      <c r="P211" s="58"/>
      <c r="Q211" s="58"/>
      <c r="R211" s="58"/>
      <c r="S211" s="58"/>
      <c r="T211" s="58"/>
      <c r="U211" s="58"/>
      <c r="V211" s="58"/>
      <c r="W211" s="58"/>
      <c r="X211" s="58"/>
      <c r="Y211" s="58"/>
      <c r="Z211" s="58"/>
      <c r="AA211" s="58"/>
    </row>
    <row r="212" spans="8:27">
      <c r="H212" s="58"/>
      <c r="I212" s="58"/>
      <c r="J212" s="58"/>
      <c r="K212" s="58"/>
      <c r="L212" s="58"/>
      <c r="M212" s="58"/>
      <c r="N212" s="58"/>
      <c r="O212" s="58"/>
      <c r="P212" s="58"/>
      <c r="Q212" s="58"/>
      <c r="R212" s="58"/>
      <c r="S212" s="58"/>
      <c r="T212" s="58"/>
      <c r="U212" s="58"/>
      <c r="V212" s="58"/>
      <c r="W212" s="58"/>
      <c r="X212" s="58"/>
      <c r="Y212" s="58"/>
      <c r="Z212" s="58"/>
      <c r="AA212" s="58"/>
    </row>
    <row r="213" spans="8:27">
      <c r="H213" s="58"/>
      <c r="I213" s="58"/>
      <c r="J213" s="58"/>
      <c r="K213" s="58"/>
      <c r="L213" s="58"/>
      <c r="M213" s="58"/>
      <c r="N213" s="58"/>
      <c r="O213" s="58"/>
      <c r="P213" s="58"/>
      <c r="Q213" s="58"/>
      <c r="R213" s="58"/>
      <c r="S213" s="58"/>
      <c r="T213" s="58"/>
      <c r="U213" s="58"/>
      <c r="V213" s="58"/>
      <c r="W213" s="58"/>
      <c r="X213" s="58"/>
      <c r="Y213" s="58"/>
      <c r="Z213" s="58"/>
      <c r="AA213" s="58"/>
    </row>
    <row r="214" spans="8:27">
      <c r="H214" s="58"/>
      <c r="I214" s="58"/>
      <c r="J214" s="58"/>
      <c r="K214" s="58"/>
      <c r="L214" s="58"/>
      <c r="M214" s="58"/>
      <c r="N214" s="58"/>
      <c r="O214" s="58"/>
      <c r="P214" s="58"/>
      <c r="Q214" s="58"/>
      <c r="R214" s="58"/>
      <c r="S214" s="58"/>
      <c r="T214" s="58"/>
      <c r="U214" s="58"/>
      <c r="V214" s="58"/>
      <c r="W214" s="58"/>
      <c r="X214" s="58"/>
      <c r="Y214" s="58"/>
      <c r="Z214" s="58"/>
      <c r="AA214" s="58"/>
    </row>
    <row r="215" spans="8:27">
      <c r="H215" s="58"/>
      <c r="I215" s="58"/>
      <c r="J215" s="58"/>
      <c r="K215" s="58"/>
      <c r="L215" s="58"/>
      <c r="M215" s="58"/>
      <c r="N215" s="58"/>
      <c r="O215" s="58"/>
      <c r="P215" s="58"/>
      <c r="Q215" s="58"/>
      <c r="R215" s="58"/>
      <c r="S215" s="58"/>
      <c r="T215" s="58"/>
      <c r="U215" s="58"/>
      <c r="V215" s="58"/>
      <c r="W215" s="58"/>
      <c r="X215" s="58"/>
      <c r="Y215" s="58"/>
      <c r="Z215" s="58"/>
      <c r="AA215" s="58"/>
    </row>
    <row r="216" spans="8:27">
      <c r="H216" s="58"/>
      <c r="I216" s="58"/>
      <c r="J216" s="58"/>
      <c r="K216" s="58"/>
      <c r="L216" s="58"/>
      <c r="M216" s="58"/>
      <c r="N216" s="58"/>
      <c r="O216" s="58"/>
      <c r="P216" s="58"/>
      <c r="Q216" s="58"/>
      <c r="R216" s="58"/>
      <c r="S216" s="58"/>
      <c r="T216" s="58"/>
      <c r="U216" s="58"/>
      <c r="V216" s="58"/>
      <c r="W216" s="58"/>
      <c r="X216" s="58"/>
      <c r="Y216" s="58"/>
      <c r="Z216" s="58"/>
      <c r="AA216" s="58"/>
    </row>
    <row r="217" spans="8:27">
      <c r="H217" s="58"/>
      <c r="I217" s="58"/>
      <c r="J217" s="58"/>
      <c r="K217" s="58"/>
      <c r="L217" s="58"/>
      <c r="M217" s="58"/>
      <c r="N217" s="58"/>
      <c r="O217" s="58"/>
      <c r="P217" s="58"/>
      <c r="Q217" s="58"/>
      <c r="R217" s="58"/>
      <c r="S217" s="58"/>
      <c r="T217" s="58"/>
      <c r="U217" s="58"/>
      <c r="V217" s="58"/>
      <c r="W217" s="58"/>
      <c r="X217" s="58"/>
      <c r="Y217" s="58"/>
      <c r="Z217" s="58"/>
      <c r="AA217" s="58"/>
    </row>
    <row r="218" spans="8:27">
      <c r="H218" s="58"/>
      <c r="I218" s="58"/>
      <c r="J218" s="58"/>
      <c r="K218" s="58"/>
      <c r="L218" s="58"/>
      <c r="M218" s="58"/>
      <c r="N218" s="58"/>
      <c r="O218" s="58"/>
      <c r="P218" s="58"/>
      <c r="Q218" s="58"/>
      <c r="R218" s="58"/>
      <c r="S218" s="58"/>
      <c r="T218" s="58"/>
      <c r="U218" s="58"/>
      <c r="V218" s="58"/>
      <c r="W218" s="58"/>
      <c r="X218" s="58"/>
      <c r="Y218" s="58"/>
      <c r="Z218" s="58"/>
      <c r="AA218" s="58"/>
    </row>
    <row r="219" spans="8:27">
      <c r="H219" s="58"/>
      <c r="I219" s="58"/>
      <c r="J219" s="58"/>
      <c r="K219" s="58"/>
      <c r="L219" s="58"/>
      <c r="M219" s="58"/>
      <c r="N219" s="58"/>
      <c r="O219" s="58"/>
      <c r="P219" s="58"/>
      <c r="Q219" s="58"/>
      <c r="R219" s="58"/>
      <c r="S219" s="58"/>
      <c r="T219" s="58"/>
      <c r="U219" s="58"/>
      <c r="V219" s="58"/>
      <c r="W219" s="58"/>
      <c r="X219" s="58"/>
      <c r="Y219" s="58"/>
      <c r="Z219" s="58"/>
      <c r="AA219" s="58"/>
    </row>
    <row r="220" spans="8:27">
      <c r="H220" s="58"/>
      <c r="I220" s="58"/>
      <c r="J220" s="58"/>
      <c r="K220" s="58"/>
      <c r="L220" s="58"/>
      <c r="M220" s="58"/>
      <c r="N220" s="58"/>
      <c r="O220" s="58"/>
      <c r="P220" s="58"/>
      <c r="Q220" s="58"/>
      <c r="R220" s="58"/>
      <c r="S220" s="58"/>
      <c r="T220" s="58"/>
      <c r="U220" s="58"/>
      <c r="V220" s="58"/>
      <c r="W220" s="58"/>
      <c r="X220" s="58"/>
      <c r="Y220" s="58"/>
      <c r="Z220" s="58"/>
      <c r="AA220" s="58"/>
    </row>
    <row r="221" spans="8:27">
      <c r="H221" s="58"/>
      <c r="I221" s="58"/>
      <c r="J221" s="58"/>
      <c r="K221" s="58"/>
      <c r="L221" s="58"/>
      <c r="M221" s="58"/>
      <c r="N221" s="58"/>
      <c r="O221" s="58"/>
      <c r="P221" s="58"/>
      <c r="Q221" s="58"/>
      <c r="R221" s="58"/>
      <c r="S221" s="58"/>
      <c r="T221" s="58"/>
      <c r="U221" s="58"/>
      <c r="V221" s="58"/>
      <c r="W221" s="58"/>
      <c r="X221" s="58"/>
      <c r="Y221" s="58"/>
      <c r="Z221" s="58"/>
      <c r="AA221" s="58"/>
    </row>
    <row r="222" spans="8:27">
      <c r="H222" s="58"/>
      <c r="I222" s="58"/>
      <c r="J222" s="58"/>
      <c r="K222" s="58"/>
      <c r="L222" s="58"/>
      <c r="M222" s="58"/>
      <c r="N222" s="58"/>
      <c r="O222" s="58"/>
      <c r="P222" s="58"/>
      <c r="Q222" s="58"/>
      <c r="R222" s="58"/>
      <c r="S222" s="58"/>
      <c r="T222" s="58"/>
      <c r="U222" s="58"/>
      <c r="V222" s="58"/>
      <c r="W222" s="58"/>
      <c r="X222" s="58"/>
      <c r="Y222" s="58"/>
      <c r="Z222" s="58"/>
      <c r="AA222" s="58"/>
    </row>
    <row r="223" spans="8:27">
      <c r="H223" s="58"/>
      <c r="I223" s="58"/>
      <c r="J223" s="58"/>
      <c r="K223" s="58"/>
      <c r="L223" s="58"/>
      <c r="M223" s="58"/>
      <c r="N223" s="58"/>
      <c r="O223" s="58"/>
      <c r="P223" s="58"/>
      <c r="Q223" s="58"/>
      <c r="R223" s="58"/>
      <c r="S223" s="58"/>
      <c r="T223" s="58"/>
      <c r="U223" s="58"/>
      <c r="V223" s="58"/>
      <c r="W223" s="58"/>
      <c r="X223" s="58"/>
      <c r="Y223" s="58"/>
      <c r="Z223" s="58"/>
      <c r="AA223" s="58"/>
    </row>
    <row r="224" spans="8:27">
      <c r="H224" s="58"/>
      <c r="I224" s="58"/>
      <c r="J224" s="58"/>
      <c r="K224" s="58"/>
      <c r="L224" s="58"/>
      <c r="M224" s="58"/>
      <c r="N224" s="58"/>
      <c r="O224" s="58"/>
      <c r="P224" s="58"/>
      <c r="Q224" s="58"/>
      <c r="R224" s="58"/>
      <c r="S224" s="58"/>
      <c r="T224" s="58"/>
      <c r="U224" s="58"/>
      <c r="V224" s="58"/>
      <c r="W224" s="58"/>
      <c r="X224" s="58"/>
      <c r="Y224" s="58"/>
      <c r="Z224" s="58"/>
      <c r="AA224" s="58"/>
    </row>
    <row r="225" spans="8:27">
      <c r="H225" s="58"/>
      <c r="I225" s="58"/>
      <c r="J225" s="58"/>
      <c r="K225" s="58"/>
      <c r="L225" s="58"/>
      <c r="M225" s="58"/>
      <c r="N225" s="58"/>
      <c r="O225" s="58"/>
      <c r="P225" s="58"/>
      <c r="Q225" s="58"/>
      <c r="R225" s="58"/>
      <c r="S225" s="58"/>
      <c r="T225" s="58"/>
      <c r="U225" s="58"/>
      <c r="V225" s="58"/>
      <c r="W225" s="58"/>
      <c r="X225" s="58"/>
      <c r="Y225" s="58"/>
      <c r="Z225" s="58"/>
      <c r="AA225" s="58"/>
    </row>
    <row r="226" spans="8:27">
      <c r="H226" s="58"/>
      <c r="I226" s="58"/>
      <c r="J226" s="58"/>
      <c r="K226" s="58"/>
      <c r="L226" s="58"/>
      <c r="M226" s="58"/>
      <c r="N226" s="58"/>
      <c r="O226" s="58"/>
      <c r="P226" s="58"/>
      <c r="Q226" s="58"/>
      <c r="R226" s="58"/>
      <c r="S226" s="58"/>
      <c r="T226" s="58"/>
      <c r="U226" s="58"/>
      <c r="V226" s="58"/>
      <c r="W226" s="58"/>
      <c r="X226" s="58"/>
      <c r="Y226" s="58"/>
      <c r="Z226" s="58"/>
      <c r="AA226" s="58"/>
    </row>
    <row r="227" spans="8:27">
      <c r="H227" s="58"/>
      <c r="I227" s="58"/>
      <c r="J227" s="58"/>
      <c r="K227" s="58"/>
      <c r="L227" s="58"/>
      <c r="M227" s="58"/>
      <c r="N227" s="58"/>
      <c r="O227" s="58"/>
      <c r="P227" s="58"/>
      <c r="Q227" s="58"/>
      <c r="R227" s="58"/>
      <c r="S227" s="58"/>
      <c r="T227" s="58"/>
      <c r="U227" s="58"/>
      <c r="V227" s="58"/>
      <c r="W227" s="58"/>
      <c r="X227" s="58"/>
      <c r="Y227" s="58"/>
      <c r="Z227" s="58"/>
      <c r="AA227" s="58"/>
    </row>
    <row r="228" spans="8:27">
      <c r="H228" s="58"/>
      <c r="I228" s="58"/>
      <c r="J228" s="58"/>
      <c r="K228" s="58"/>
      <c r="L228" s="58"/>
      <c r="M228" s="58"/>
      <c r="N228" s="58"/>
      <c r="O228" s="58"/>
      <c r="P228" s="58"/>
      <c r="Q228" s="58"/>
      <c r="R228" s="58"/>
      <c r="S228" s="58"/>
      <c r="T228" s="58"/>
      <c r="U228" s="58"/>
      <c r="V228" s="58"/>
      <c r="W228" s="58"/>
      <c r="X228" s="58"/>
      <c r="Y228" s="58"/>
      <c r="Z228" s="58"/>
      <c r="AA228" s="58"/>
    </row>
    <row r="229" spans="8:27">
      <c r="H229" s="58"/>
      <c r="I229" s="58"/>
      <c r="J229" s="58"/>
      <c r="K229" s="58"/>
      <c r="L229" s="58"/>
      <c r="M229" s="58"/>
      <c r="N229" s="58"/>
      <c r="O229" s="58"/>
      <c r="P229" s="58"/>
      <c r="Q229" s="58"/>
      <c r="R229" s="58"/>
      <c r="S229" s="58"/>
      <c r="T229" s="58"/>
      <c r="U229" s="58"/>
      <c r="V229" s="58"/>
      <c r="W229" s="58"/>
      <c r="X229" s="58"/>
      <c r="Y229" s="58"/>
      <c r="Z229" s="58"/>
      <c r="AA229" s="58"/>
    </row>
    <row r="230" spans="8:27">
      <c r="H230" s="58"/>
      <c r="I230" s="58"/>
      <c r="J230" s="58"/>
      <c r="K230" s="58"/>
      <c r="L230" s="58"/>
      <c r="M230" s="58"/>
      <c r="N230" s="58"/>
      <c r="O230" s="58"/>
      <c r="P230" s="58"/>
      <c r="Q230" s="58"/>
      <c r="R230" s="58"/>
      <c r="S230" s="58"/>
      <c r="T230" s="58"/>
      <c r="U230" s="58"/>
      <c r="V230" s="58"/>
      <c r="W230" s="58"/>
      <c r="X230" s="58"/>
      <c r="Y230" s="58"/>
      <c r="Z230" s="58"/>
      <c r="AA230" s="58"/>
    </row>
    <row r="231" spans="8:27">
      <c r="H231" s="58"/>
      <c r="I231" s="58"/>
      <c r="J231" s="58"/>
      <c r="K231" s="58"/>
      <c r="L231" s="58"/>
      <c r="M231" s="58"/>
      <c r="N231" s="58"/>
      <c r="O231" s="58"/>
      <c r="P231" s="58"/>
      <c r="Q231" s="58"/>
      <c r="R231" s="58"/>
      <c r="S231" s="58"/>
      <c r="T231" s="58"/>
      <c r="U231" s="58"/>
      <c r="V231" s="58"/>
      <c r="W231" s="58"/>
      <c r="X231" s="58"/>
      <c r="Y231" s="58"/>
      <c r="Z231" s="58"/>
      <c r="AA231" s="58"/>
    </row>
    <row r="232" spans="8:27">
      <c r="H232" s="58"/>
      <c r="I232" s="58"/>
      <c r="J232" s="58"/>
      <c r="K232" s="58"/>
      <c r="L232" s="58"/>
      <c r="M232" s="58"/>
      <c r="N232" s="58"/>
      <c r="O232" s="58"/>
      <c r="P232" s="58"/>
      <c r="Q232" s="58"/>
      <c r="R232" s="58"/>
      <c r="S232" s="58"/>
      <c r="T232" s="58"/>
      <c r="U232" s="58"/>
      <c r="V232" s="58"/>
      <c r="W232" s="58"/>
      <c r="X232" s="58"/>
      <c r="Y232" s="58"/>
      <c r="Z232" s="58"/>
      <c r="AA232" s="58"/>
    </row>
    <row r="233" spans="8:27">
      <c r="H233" s="58"/>
      <c r="I233" s="58"/>
      <c r="J233" s="58"/>
      <c r="K233" s="58"/>
      <c r="L233" s="58"/>
      <c r="M233" s="58"/>
      <c r="N233" s="58"/>
      <c r="O233" s="58"/>
      <c r="P233" s="58"/>
      <c r="Q233" s="58"/>
      <c r="R233" s="58"/>
      <c r="S233" s="58"/>
      <c r="T233" s="58"/>
      <c r="U233" s="58"/>
      <c r="V233" s="58"/>
      <c r="W233" s="58"/>
      <c r="X233" s="58"/>
      <c r="Y233" s="58"/>
      <c r="Z233" s="58"/>
      <c r="AA233" s="58"/>
    </row>
    <row r="234" spans="8:27">
      <c r="H234" s="58"/>
      <c r="I234" s="58"/>
      <c r="J234" s="58"/>
      <c r="K234" s="58"/>
      <c r="L234" s="58"/>
      <c r="M234" s="58"/>
      <c r="N234" s="58"/>
      <c r="O234" s="58"/>
      <c r="P234" s="58"/>
      <c r="Q234" s="58"/>
      <c r="R234" s="58"/>
      <c r="S234" s="58"/>
      <c r="T234" s="58"/>
      <c r="U234" s="58"/>
      <c r="V234" s="58"/>
      <c r="W234" s="58"/>
      <c r="X234" s="58"/>
      <c r="Y234" s="58"/>
      <c r="Z234" s="58"/>
      <c r="AA234" s="58"/>
    </row>
    <row r="235" spans="8:27">
      <c r="H235" s="58"/>
      <c r="I235" s="58"/>
      <c r="J235" s="58"/>
      <c r="K235" s="58"/>
      <c r="L235" s="58"/>
      <c r="M235" s="58"/>
      <c r="N235" s="58"/>
      <c r="O235" s="58"/>
      <c r="P235" s="58"/>
      <c r="Q235" s="58"/>
      <c r="R235" s="58"/>
      <c r="S235" s="58"/>
      <c r="T235" s="58"/>
      <c r="U235" s="58"/>
      <c r="V235" s="58"/>
      <c r="W235" s="58"/>
      <c r="X235" s="58"/>
      <c r="Y235" s="58"/>
      <c r="Z235" s="58"/>
      <c r="AA235" s="58"/>
    </row>
    <row r="236" spans="8:27">
      <c r="H236" s="58"/>
      <c r="I236" s="58"/>
      <c r="J236" s="58"/>
      <c r="K236" s="58"/>
      <c r="L236" s="58"/>
      <c r="M236" s="58"/>
      <c r="N236" s="58"/>
      <c r="O236" s="58"/>
      <c r="P236" s="58"/>
      <c r="Q236" s="58"/>
      <c r="R236" s="58"/>
      <c r="S236" s="58"/>
      <c r="T236" s="58"/>
      <c r="U236" s="58"/>
      <c r="V236" s="58"/>
      <c r="W236" s="58"/>
      <c r="X236" s="58"/>
      <c r="Y236" s="58"/>
      <c r="Z236" s="58"/>
      <c r="AA236" s="58"/>
    </row>
    <row r="237" spans="8:27">
      <c r="H237" s="58"/>
      <c r="I237" s="58"/>
      <c r="J237" s="58"/>
      <c r="K237" s="58"/>
      <c r="L237" s="58"/>
      <c r="M237" s="58"/>
      <c r="N237" s="58"/>
      <c r="O237" s="58"/>
      <c r="P237" s="58"/>
      <c r="Q237" s="58"/>
      <c r="R237" s="58"/>
      <c r="S237" s="58"/>
      <c r="T237" s="58"/>
      <c r="U237" s="58"/>
      <c r="V237" s="58"/>
      <c r="W237" s="58"/>
      <c r="X237" s="58"/>
      <c r="Y237" s="58"/>
      <c r="Z237" s="58"/>
      <c r="AA237" s="58"/>
    </row>
    <row r="238" spans="8:27">
      <c r="H238" s="58"/>
      <c r="I238" s="58"/>
      <c r="J238" s="58"/>
      <c r="K238" s="58"/>
      <c r="L238" s="58"/>
      <c r="M238" s="58"/>
      <c r="N238" s="58"/>
      <c r="O238" s="58"/>
      <c r="P238" s="58"/>
      <c r="Q238" s="58"/>
      <c r="R238" s="58"/>
      <c r="S238" s="58"/>
      <c r="T238" s="58"/>
      <c r="U238" s="58"/>
      <c r="V238" s="58"/>
      <c r="W238" s="58"/>
      <c r="X238" s="58"/>
      <c r="Y238" s="58"/>
      <c r="Z238" s="58"/>
      <c r="AA238" s="58"/>
    </row>
    <row r="239" spans="8:27">
      <c r="H239" s="58"/>
      <c r="I239" s="58"/>
      <c r="J239" s="58"/>
      <c r="K239" s="58"/>
      <c r="L239" s="58"/>
      <c r="M239" s="58"/>
      <c r="N239" s="58"/>
      <c r="O239" s="58"/>
      <c r="P239" s="58"/>
      <c r="Q239" s="58"/>
      <c r="R239" s="58"/>
      <c r="S239" s="58"/>
      <c r="T239" s="58"/>
      <c r="U239" s="58"/>
      <c r="V239" s="58"/>
      <c r="W239" s="58"/>
      <c r="X239" s="58"/>
      <c r="Y239" s="58"/>
      <c r="Z239" s="58"/>
      <c r="AA239" s="58"/>
    </row>
    <row r="240" spans="8:27">
      <c r="H240" s="58"/>
      <c r="I240" s="58"/>
      <c r="J240" s="58"/>
      <c r="K240" s="58"/>
      <c r="L240" s="58"/>
      <c r="M240" s="58"/>
      <c r="N240" s="58"/>
      <c r="O240" s="58"/>
      <c r="P240" s="58"/>
      <c r="Q240" s="58"/>
      <c r="R240" s="58"/>
      <c r="S240" s="58"/>
      <c r="T240" s="58"/>
      <c r="U240" s="58"/>
      <c r="V240" s="58"/>
      <c r="W240" s="58"/>
      <c r="X240" s="58"/>
      <c r="Y240" s="58"/>
      <c r="Z240" s="58"/>
      <c r="AA240" s="58"/>
    </row>
    <row r="241" spans="8:27">
      <c r="H241" s="58"/>
      <c r="I241" s="58"/>
      <c r="J241" s="58"/>
      <c r="K241" s="58"/>
      <c r="L241" s="58"/>
      <c r="M241" s="58"/>
      <c r="N241" s="58"/>
      <c r="O241" s="58"/>
      <c r="P241" s="58"/>
      <c r="Q241" s="58"/>
      <c r="R241" s="58"/>
      <c r="S241" s="58"/>
      <c r="T241" s="58"/>
      <c r="U241" s="58"/>
      <c r="V241" s="58"/>
      <c r="W241" s="58"/>
      <c r="X241" s="58"/>
      <c r="Y241" s="58"/>
      <c r="Z241" s="58"/>
      <c r="AA241" s="58"/>
    </row>
    <row r="242" spans="8:27">
      <c r="H242" s="58"/>
      <c r="I242" s="58"/>
      <c r="J242" s="58"/>
      <c r="K242" s="58"/>
      <c r="L242" s="58"/>
      <c r="M242" s="58"/>
      <c r="N242" s="58"/>
      <c r="O242" s="58"/>
      <c r="P242" s="58"/>
      <c r="Q242" s="58"/>
      <c r="R242" s="58"/>
      <c r="S242" s="58"/>
      <c r="T242" s="58"/>
      <c r="U242" s="58"/>
      <c r="V242" s="58"/>
      <c r="W242" s="58"/>
      <c r="X242" s="58"/>
      <c r="Y242" s="58"/>
      <c r="Z242" s="58"/>
      <c r="AA242" s="58"/>
    </row>
    <row r="243" spans="8:27">
      <c r="H243" s="58"/>
      <c r="I243" s="58"/>
      <c r="J243" s="58"/>
      <c r="K243" s="58"/>
      <c r="L243" s="58"/>
      <c r="M243" s="58"/>
      <c r="N243" s="58"/>
      <c r="O243" s="58"/>
      <c r="P243" s="58"/>
      <c r="Q243" s="58"/>
      <c r="R243" s="58"/>
      <c r="S243" s="58"/>
      <c r="T243" s="58"/>
      <c r="U243" s="58"/>
      <c r="V243" s="58"/>
      <c r="W243" s="58"/>
      <c r="X243" s="58"/>
      <c r="Y243" s="58"/>
      <c r="Z243" s="58"/>
      <c r="AA243" s="58"/>
    </row>
    <row r="244" spans="8:27">
      <c r="H244" s="58"/>
      <c r="I244" s="58"/>
      <c r="J244" s="58"/>
      <c r="K244" s="58"/>
      <c r="L244" s="58"/>
      <c r="M244" s="58"/>
      <c r="N244" s="58"/>
      <c r="O244" s="58"/>
      <c r="P244" s="58"/>
      <c r="Q244" s="58"/>
      <c r="R244" s="58"/>
      <c r="S244" s="58"/>
      <c r="T244" s="58"/>
      <c r="U244" s="58"/>
      <c r="V244" s="58"/>
      <c r="W244" s="58"/>
      <c r="X244" s="58"/>
      <c r="Y244" s="58"/>
      <c r="Z244" s="58"/>
      <c r="AA244" s="58"/>
    </row>
    <row r="245" spans="8:27">
      <c r="H245" s="58"/>
      <c r="I245" s="58"/>
      <c r="J245" s="58"/>
      <c r="K245" s="58"/>
      <c r="L245" s="58"/>
      <c r="M245" s="58"/>
      <c r="N245" s="58"/>
      <c r="O245" s="58"/>
      <c r="P245" s="58"/>
      <c r="Q245" s="58"/>
      <c r="R245" s="58"/>
      <c r="S245" s="58"/>
      <c r="T245" s="58"/>
      <c r="U245" s="58"/>
      <c r="V245" s="58"/>
      <c r="W245" s="58"/>
      <c r="X245" s="58"/>
      <c r="Y245" s="58"/>
      <c r="Z245" s="58"/>
      <c r="AA245" s="58"/>
    </row>
    <row r="246" spans="8:27">
      <c r="H246" s="58"/>
      <c r="I246" s="58"/>
      <c r="J246" s="58"/>
      <c r="K246" s="58"/>
      <c r="L246" s="58"/>
      <c r="M246" s="58"/>
      <c r="N246" s="58"/>
      <c r="O246" s="58"/>
      <c r="P246" s="58"/>
      <c r="Q246" s="58"/>
      <c r="R246" s="58"/>
      <c r="S246" s="58"/>
      <c r="T246" s="58"/>
      <c r="U246" s="58"/>
      <c r="V246" s="58"/>
      <c r="W246" s="58"/>
      <c r="X246" s="58"/>
      <c r="Y246" s="58"/>
      <c r="Z246" s="58"/>
      <c r="AA246" s="58"/>
    </row>
    <row r="247" spans="8:27">
      <c r="H247" s="58"/>
      <c r="I247" s="58"/>
      <c r="J247" s="58"/>
      <c r="K247" s="58"/>
      <c r="L247" s="58"/>
      <c r="M247" s="58"/>
      <c r="N247" s="58"/>
      <c r="O247" s="58"/>
      <c r="P247" s="58"/>
      <c r="Q247" s="58"/>
      <c r="R247" s="58"/>
      <c r="S247" s="58"/>
      <c r="T247" s="58"/>
      <c r="U247" s="58"/>
      <c r="V247" s="58"/>
      <c r="W247" s="58"/>
      <c r="X247" s="58"/>
      <c r="Y247" s="58"/>
      <c r="Z247" s="58"/>
      <c r="AA247" s="58"/>
    </row>
    <row r="248" spans="8:27">
      <c r="H248" s="58"/>
      <c r="I248" s="58"/>
      <c r="J248" s="58"/>
      <c r="K248" s="58"/>
      <c r="L248" s="58"/>
      <c r="M248" s="58"/>
      <c r="N248" s="58"/>
      <c r="O248" s="58"/>
      <c r="P248" s="58"/>
      <c r="Q248" s="58"/>
      <c r="R248" s="58"/>
      <c r="S248" s="58"/>
      <c r="T248" s="58"/>
      <c r="U248" s="58"/>
      <c r="V248" s="58"/>
      <c r="W248" s="58"/>
      <c r="X248" s="58"/>
      <c r="Y248" s="58"/>
      <c r="Z248" s="58"/>
      <c r="AA248" s="58"/>
    </row>
    <row r="249" spans="8:27">
      <c r="H249" s="58"/>
      <c r="I249" s="58"/>
      <c r="J249" s="58"/>
      <c r="K249" s="58"/>
      <c r="L249" s="58"/>
      <c r="M249" s="58"/>
      <c r="N249" s="58"/>
      <c r="O249" s="58"/>
      <c r="P249" s="58"/>
      <c r="Q249" s="58"/>
      <c r="R249" s="58"/>
      <c r="S249" s="58"/>
      <c r="T249" s="58"/>
      <c r="U249" s="58"/>
      <c r="V249" s="58"/>
      <c r="W249" s="58"/>
      <c r="X249" s="58"/>
      <c r="Y249" s="58"/>
      <c r="Z249" s="58"/>
      <c r="AA249" s="58"/>
    </row>
    <row r="250" spans="8:27">
      <c r="H250" s="58"/>
      <c r="I250" s="58"/>
      <c r="J250" s="58"/>
      <c r="K250" s="58"/>
      <c r="L250" s="58"/>
      <c r="M250" s="58"/>
      <c r="N250" s="58"/>
      <c r="O250" s="58"/>
      <c r="P250" s="58"/>
      <c r="Q250" s="58"/>
      <c r="R250" s="58"/>
      <c r="S250" s="58"/>
      <c r="T250" s="58"/>
      <c r="U250" s="58"/>
      <c r="V250" s="58"/>
      <c r="W250" s="58"/>
      <c r="X250" s="58"/>
      <c r="Y250" s="58"/>
      <c r="Z250" s="58"/>
      <c r="AA250" s="58"/>
    </row>
    <row r="251" spans="8:27">
      <c r="H251" s="58"/>
      <c r="I251" s="58"/>
      <c r="J251" s="58"/>
      <c r="K251" s="58"/>
      <c r="L251" s="58"/>
      <c r="M251" s="58"/>
      <c r="N251" s="58"/>
      <c r="O251" s="58"/>
      <c r="P251" s="58"/>
      <c r="Q251" s="58"/>
      <c r="R251" s="58"/>
      <c r="S251" s="58"/>
      <c r="T251" s="58"/>
      <c r="U251" s="58"/>
      <c r="V251" s="58"/>
      <c r="W251" s="58"/>
      <c r="X251" s="58"/>
      <c r="Y251" s="58"/>
      <c r="Z251" s="58"/>
      <c r="AA251" s="58"/>
    </row>
    <row r="252" spans="8:27">
      <c r="H252" s="58"/>
      <c r="I252" s="58"/>
      <c r="J252" s="58"/>
      <c r="K252" s="58"/>
      <c r="L252" s="58"/>
      <c r="M252" s="58"/>
      <c r="N252" s="58"/>
      <c r="O252" s="58"/>
      <c r="P252" s="58"/>
      <c r="Q252" s="58"/>
      <c r="R252" s="58"/>
      <c r="S252" s="58"/>
      <c r="T252" s="58"/>
      <c r="U252" s="58"/>
      <c r="V252" s="58"/>
      <c r="W252" s="58"/>
      <c r="X252" s="58"/>
      <c r="Y252" s="58"/>
      <c r="Z252" s="58"/>
      <c r="AA252" s="58"/>
    </row>
    <row r="253" spans="8:27">
      <c r="H253" s="58"/>
      <c r="I253" s="58"/>
      <c r="J253" s="58"/>
      <c r="K253" s="58"/>
      <c r="L253" s="58"/>
      <c r="M253" s="58"/>
      <c r="N253" s="58"/>
      <c r="O253" s="58"/>
      <c r="P253" s="58"/>
      <c r="Q253" s="58"/>
      <c r="R253" s="58"/>
      <c r="S253" s="58"/>
      <c r="T253" s="58"/>
      <c r="U253" s="58"/>
      <c r="V253" s="58"/>
      <c r="W253" s="58"/>
      <c r="X253" s="58"/>
      <c r="Y253" s="58"/>
      <c r="Z253" s="58"/>
      <c r="AA253" s="58"/>
    </row>
    <row r="254" spans="8:27">
      <c r="H254" s="58"/>
      <c r="I254" s="58"/>
      <c r="J254" s="58"/>
      <c r="K254" s="58"/>
      <c r="L254" s="58"/>
      <c r="M254" s="58"/>
      <c r="N254" s="58"/>
      <c r="O254" s="58"/>
      <c r="P254" s="58"/>
      <c r="Q254" s="58"/>
      <c r="R254" s="58"/>
      <c r="S254" s="58"/>
      <c r="T254" s="58"/>
      <c r="U254" s="58"/>
      <c r="V254" s="58"/>
      <c r="W254" s="58"/>
      <c r="X254" s="58"/>
      <c r="Y254" s="58"/>
      <c r="Z254" s="58"/>
      <c r="AA254" s="58"/>
    </row>
    <row r="255" spans="8:27">
      <c r="H255" s="58"/>
      <c r="I255" s="58"/>
      <c r="J255" s="58"/>
      <c r="K255" s="58"/>
      <c r="L255" s="58"/>
      <c r="M255" s="58"/>
      <c r="N255" s="58"/>
      <c r="O255" s="58"/>
      <c r="P255" s="58"/>
      <c r="Q255" s="58"/>
      <c r="R255" s="58"/>
      <c r="S255" s="58"/>
      <c r="T255" s="58"/>
      <c r="U255" s="58"/>
      <c r="V255" s="58"/>
      <c r="W255" s="58"/>
      <c r="X255" s="58"/>
      <c r="Y255" s="58"/>
      <c r="Z255" s="58"/>
      <c r="AA255" s="58"/>
    </row>
    <row r="256" spans="8:27">
      <c r="H256" s="58"/>
      <c r="I256" s="58"/>
      <c r="J256" s="58"/>
      <c r="K256" s="58"/>
      <c r="L256" s="58"/>
      <c r="M256" s="58"/>
      <c r="N256" s="58"/>
      <c r="O256" s="58"/>
      <c r="P256" s="58"/>
      <c r="Q256" s="58"/>
      <c r="R256" s="58"/>
      <c r="S256" s="58"/>
      <c r="T256" s="58"/>
      <c r="U256" s="58"/>
      <c r="V256" s="58"/>
      <c r="W256" s="58"/>
      <c r="X256" s="58"/>
      <c r="Y256" s="58"/>
      <c r="Z256" s="58"/>
      <c r="AA256" s="58"/>
    </row>
    <row r="257" spans="8:27">
      <c r="H257" s="58"/>
      <c r="I257" s="58"/>
      <c r="J257" s="58"/>
      <c r="K257" s="58"/>
      <c r="L257" s="58"/>
      <c r="M257" s="58"/>
      <c r="N257" s="58"/>
      <c r="O257" s="58"/>
      <c r="P257" s="58"/>
      <c r="Q257" s="58"/>
      <c r="R257" s="58"/>
      <c r="S257" s="58"/>
      <c r="T257" s="58"/>
      <c r="U257" s="58"/>
      <c r="V257" s="58"/>
      <c r="W257" s="58"/>
      <c r="X257" s="58"/>
      <c r="Y257" s="58"/>
      <c r="Z257" s="58"/>
      <c r="AA257" s="58"/>
    </row>
    <row r="258" spans="8:27">
      <c r="H258" s="58"/>
      <c r="I258" s="58"/>
      <c r="J258" s="58"/>
      <c r="K258" s="58"/>
      <c r="L258" s="58"/>
      <c r="M258" s="58"/>
      <c r="N258" s="58"/>
      <c r="O258" s="58"/>
      <c r="P258" s="58"/>
      <c r="Q258" s="58"/>
      <c r="R258" s="58"/>
      <c r="S258" s="58"/>
      <c r="T258" s="58"/>
      <c r="U258" s="58"/>
      <c r="V258" s="58"/>
      <c r="W258" s="58"/>
      <c r="X258" s="58"/>
      <c r="Y258" s="58"/>
      <c r="Z258" s="58"/>
      <c r="AA258" s="58"/>
    </row>
    <row r="259" spans="8:27">
      <c r="H259" s="58"/>
      <c r="I259" s="58"/>
      <c r="J259" s="58"/>
      <c r="K259" s="58"/>
      <c r="L259" s="58"/>
      <c r="M259" s="58"/>
      <c r="N259" s="58"/>
      <c r="O259" s="58"/>
      <c r="P259" s="58"/>
      <c r="Q259" s="58"/>
      <c r="R259" s="58"/>
      <c r="S259" s="58"/>
      <c r="T259" s="58"/>
      <c r="U259" s="58"/>
      <c r="V259" s="58"/>
      <c r="W259" s="58"/>
      <c r="X259" s="58"/>
      <c r="Y259" s="58"/>
      <c r="Z259" s="58"/>
      <c r="AA259" s="58"/>
    </row>
    <row r="260" spans="8:27">
      <c r="H260" s="58"/>
      <c r="I260" s="58"/>
      <c r="J260" s="58"/>
      <c r="K260" s="58"/>
      <c r="L260" s="58"/>
      <c r="M260" s="58"/>
      <c r="N260" s="58"/>
      <c r="O260" s="58"/>
      <c r="P260" s="58"/>
      <c r="Q260" s="58"/>
      <c r="R260" s="58"/>
      <c r="S260" s="58"/>
      <c r="T260" s="58"/>
      <c r="U260" s="58"/>
      <c r="V260" s="58"/>
      <c r="W260" s="58"/>
      <c r="X260" s="58"/>
      <c r="Y260" s="58"/>
      <c r="Z260" s="58"/>
      <c r="AA260" s="58"/>
    </row>
    <row r="261" spans="8:27">
      <c r="H261" s="58"/>
      <c r="I261" s="58"/>
      <c r="J261" s="58"/>
      <c r="K261" s="58"/>
      <c r="L261" s="58"/>
      <c r="M261" s="58"/>
      <c r="N261" s="58"/>
      <c r="O261" s="58"/>
      <c r="P261" s="58"/>
      <c r="Q261" s="58"/>
      <c r="R261" s="58"/>
      <c r="S261" s="58"/>
      <c r="T261" s="58"/>
      <c r="U261" s="58"/>
      <c r="V261" s="58"/>
      <c r="W261" s="58"/>
      <c r="X261" s="58"/>
      <c r="Y261" s="58"/>
      <c r="Z261" s="58"/>
      <c r="AA261" s="58"/>
    </row>
    <row r="262" spans="8:27">
      <c r="H262" s="58"/>
      <c r="I262" s="58"/>
      <c r="J262" s="58"/>
      <c r="K262" s="58"/>
      <c r="L262" s="58"/>
      <c r="M262" s="58"/>
      <c r="N262" s="58"/>
      <c r="O262" s="58"/>
      <c r="P262" s="58"/>
      <c r="Q262" s="58"/>
      <c r="R262" s="58"/>
      <c r="S262" s="58"/>
      <c r="T262" s="58"/>
      <c r="U262" s="58"/>
      <c r="V262" s="58"/>
      <c r="W262" s="58"/>
      <c r="X262" s="58"/>
      <c r="Y262" s="58"/>
      <c r="Z262" s="58"/>
      <c r="AA262" s="58"/>
    </row>
    <row r="263" spans="8:27">
      <c r="H263" s="58"/>
      <c r="I263" s="58"/>
      <c r="J263" s="58"/>
      <c r="K263" s="58"/>
      <c r="L263" s="58"/>
      <c r="M263" s="58"/>
      <c r="N263" s="58"/>
      <c r="O263" s="58"/>
      <c r="P263" s="58"/>
      <c r="Q263" s="58"/>
      <c r="R263" s="58"/>
      <c r="S263" s="58"/>
      <c r="T263" s="58"/>
      <c r="U263" s="58"/>
      <c r="V263" s="58"/>
      <c r="W263" s="58"/>
      <c r="X263" s="58"/>
      <c r="Y263" s="58"/>
      <c r="Z263" s="58"/>
      <c r="AA263" s="58"/>
    </row>
    <row r="264" spans="8:27">
      <c r="H264" s="58"/>
      <c r="I264" s="58"/>
      <c r="J264" s="58"/>
      <c r="K264" s="58"/>
      <c r="L264" s="58"/>
      <c r="M264" s="58"/>
      <c r="N264" s="58"/>
      <c r="O264" s="58"/>
      <c r="P264" s="58"/>
      <c r="Q264" s="58"/>
      <c r="R264" s="58"/>
      <c r="S264" s="58"/>
      <c r="T264" s="58"/>
      <c r="U264" s="58"/>
      <c r="V264" s="58"/>
      <c r="W264" s="58"/>
      <c r="X264" s="58"/>
      <c r="Y264" s="58"/>
      <c r="Z264" s="58"/>
      <c r="AA264" s="58"/>
    </row>
    <row r="265" spans="8:27">
      <c r="H265" s="58"/>
      <c r="I265" s="58"/>
      <c r="J265" s="58"/>
      <c r="K265" s="58"/>
      <c r="L265" s="58"/>
      <c r="M265" s="58"/>
      <c r="N265" s="58"/>
      <c r="O265" s="58"/>
      <c r="P265" s="58"/>
      <c r="Q265" s="58"/>
      <c r="R265" s="58"/>
      <c r="S265" s="58"/>
      <c r="T265" s="58"/>
      <c r="U265" s="58"/>
      <c r="V265" s="58"/>
      <c r="W265" s="58"/>
      <c r="X265" s="58"/>
      <c r="Y265" s="58"/>
      <c r="Z265" s="58"/>
      <c r="AA265" s="58"/>
    </row>
    <row r="266" spans="8:27">
      <c r="H266" s="58"/>
      <c r="I266" s="58"/>
      <c r="J266" s="58"/>
      <c r="K266" s="58"/>
      <c r="L266" s="58"/>
      <c r="M266" s="58"/>
      <c r="N266" s="58"/>
      <c r="O266" s="58"/>
      <c r="P266" s="58"/>
      <c r="Q266" s="58"/>
      <c r="R266" s="58"/>
      <c r="S266" s="58"/>
      <c r="T266" s="58"/>
      <c r="U266" s="58"/>
      <c r="V266" s="58"/>
      <c r="W266" s="58"/>
      <c r="X266" s="58"/>
      <c r="Y266" s="58"/>
      <c r="Z266" s="58"/>
      <c r="AA266" s="58"/>
    </row>
    <row r="267" spans="8:27">
      <c r="H267" s="58"/>
      <c r="I267" s="58"/>
      <c r="J267" s="58"/>
      <c r="K267" s="58"/>
      <c r="L267" s="58"/>
      <c r="M267" s="58"/>
      <c r="N267" s="58"/>
      <c r="O267" s="58"/>
      <c r="P267" s="58"/>
      <c r="Q267" s="58"/>
      <c r="R267" s="58"/>
      <c r="S267" s="58"/>
      <c r="T267" s="58"/>
      <c r="U267" s="58"/>
      <c r="V267" s="58"/>
      <c r="W267" s="58"/>
      <c r="X267" s="58"/>
      <c r="Y267" s="58"/>
      <c r="Z267" s="58"/>
      <c r="AA267" s="58"/>
    </row>
    <row r="268" spans="8:27">
      <c r="H268" s="58"/>
      <c r="I268" s="58"/>
      <c r="J268" s="58"/>
      <c r="K268" s="58"/>
      <c r="L268" s="58"/>
      <c r="M268" s="58"/>
      <c r="N268" s="58"/>
      <c r="O268" s="58"/>
      <c r="P268" s="58"/>
      <c r="Q268" s="58"/>
      <c r="R268" s="58"/>
      <c r="S268" s="58"/>
      <c r="T268" s="58"/>
      <c r="U268" s="58"/>
      <c r="V268" s="58"/>
      <c r="W268" s="58"/>
      <c r="X268" s="58"/>
      <c r="Y268" s="58"/>
      <c r="Z268" s="58"/>
      <c r="AA268" s="58"/>
    </row>
    <row r="269" spans="8:27">
      <c r="H269" s="58"/>
      <c r="I269" s="58"/>
      <c r="J269" s="58"/>
      <c r="K269" s="58"/>
      <c r="L269" s="58"/>
      <c r="M269" s="58"/>
      <c r="N269" s="58"/>
      <c r="O269" s="58"/>
      <c r="P269" s="58"/>
      <c r="Q269" s="58"/>
      <c r="R269" s="58"/>
      <c r="S269" s="58"/>
      <c r="T269" s="58"/>
      <c r="U269" s="58"/>
      <c r="V269" s="58"/>
      <c r="W269" s="58"/>
      <c r="X269" s="58"/>
      <c r="Y269" s="58"/>
      <c r="Z269" s="58"/>
      <c r="AA269" s="58"/>
    </row>
    <row r="270" spans="8:27">
      <c r="H270" s="58"/>
      <c r="I270" s="58"/>
      <c r="J270" s="58"/>
      <c r="K270" s="58"/>
      <c r="L270" s="58"/>
      <c r="M270" s="58"/>
      <c r="N270" s="58"/>
      <c r="O270" s="58"/>
      <c r="P270" s="58"/>
      <c r="Q270" s="58"/>
      <c r="R270" s="58"/>
      <c r="S270" s="58"/>
      <c r="T270" s="58"/>
      <c r="U270" s="58"/>
      <c r="V270" s="58"/>
      <c r="W270" s="58"/>
      <c r="X270" s="58"/>
      <c r="Y270" s="58"/>
      <c r="Z270" s="58"/>
      <c r="AA270" s="58"/>
    </row>
    <row r="271" spans="8:27">
      <c r="H271" s="58"/>
      <c r="I271" s="58"/>
      <c r="J271" s="58"/>
      <c r="K271" s="58"/>
      <c r="L271" s="58"/>
      <c r="M271" s="58"/>
      <c r="N271" s="58"/>
      <c r="O271" s="58"/>
      <c r="P271" s="58"/>
      <c r="Q271" s="58"/>
      <c r="R271" s="58"/>
      <c r="S271" s="58"/>
      <c r="T271" s="58"/>
      <c r="U271" s="58"/>
      <c r="V271" s="58"/>
      <c r="W271" s="58"/>
      <c r="X271" s="58"/>
      <c r="Y271" s="58"/>
      <c r="Z271" s="58"/>
      <c r="AA271" s="58"/>
    </row>
    <row r="272" spans="8:27">
      <c r="H272" s="58"/>
      <c r="I272" s="58"/>
      <c r="J272" s="58"/>
      <c r="K272" s="58"/>
      <c r="L272" s="58"/>
      <c r="M272" s="58"/>
      <c r="N272" s="58"/>
      <c r="O272" s="58"/>
      <c r="P272" s="58"/>
      <c r="Q272" s="58"/>
      <c r="R272" s="58"/>
      <c r="S272" s="58"/>
      <c r="T272" s="58"/>
      <c r="U272" s="58"/>
      <c r="V272" s="58"/>
      <c r="W272" s="58"/>
      <c r="X272" s="58"/>
      <c r="Y272" s="58"/>
      <c r="Z272" s="58"/>
      <c r="AA272" s="58"/>
    </row>
    <row r="273" spans="8:27">
      <c r="H273" s="58"/>
      <c r="I273" s="58"/>
      <c r="J273" s="58"/>
      <c r="K273" s="58"/>
      <c r="L273" s="58"/>
      <c r="M273" s="58"/>
      <c r="N273" s="58"/>
      <c r="O273" s="58"/>
      <c r="P273" s="58"/>
      <c r="Q273" s="58"/>
      <c r="R273" s="58"/>
      <c r="S273" s="58"/>
      <c r="T273" s="58"/>
      <c r="U273" s="58"/>
      <c r="V273" s="58"/>
      <c r="W273" s="58"/>
      <c r="X273" s="58"/>
      <c r="Y273" s="58"/>
      <c r="Z273" s="58"/>
      <c r="AA273" s="58"/>
    </row>
    <row r="274" spans="8:27">
      <c r="H274" s="58"/>
      <c r="I274" s="58"/>
      <c r="J274" s="58"/>
      <c r="K274" s="58"/>
      <c r="L274" s="58"/>
      <c r="M274" s="58"/>
      <c r="N274" s="58"/>
      <c r="O274" s="58"/>
      <c r="P274" s="58"/>
      <c r="Q274" s="58"/>
      <c r="R274" s="58"/>
      <c r="S274" s="58"/>
      <c r="T274" s="58"/>
      <c r="U274" s="58"/>
      <c r="V274" s="58"/>
      <c r="W274" s="58"/>
      <c r="X274" s="58"/>
      <c r="Y274" s="58"/>
      <c r="Z274" s="58"/>
      <c r="AA274" s="58"/>
    </row>
    <row r="275" spans="8:27">
      <c r="H275" s="58"/>
      <c r="I275" s="58"/>
      <c r="J275" s="58"/>
      <c r="K275" s="58"/>
      <c r="L275" s="58"/>
      <c r="M275" s="58"/>
      <c r="N275" s="58"/>
      <c r="O275" s="58"/>
      <c r="P275" s="58"/>
      <c r="Q275" s="58"/>
      <c r="R275" s="58"/>
      <c r="S275" s="58"/>
      <c r="T275" s="58"/>
      <c r="U275" s="58"/>
      <c r="V275" s="58"/>
      <c r="W275" s="58"/>
      <c r="X275" s="58"/>
      <c r="Y275" s="58"/>
      <c r="Z275" s="58"/>
      <c r="AA275" s="58"/>
    </row>
    <row r="276" spans="8:27">
      <c r="H276" s="58"/>
      <c r="I276" s="58"/>
      <c r="J276" s="58"/>
      <c r="K276" s="58"/>
      <c r="L276" s="58"/>
      <c r="M276" s="58"/>
      <c r="N276" s="58"/>
      <c r="O276" s="58"/>
      <c r="P276" s="58"/>
      <c r="Q276" s="58"/>
      <c r="R276" s="58"/>
      <c r="S276" s="58"/>
      <c r="T276" s="58"/>
      <c r="U276" s="58"/>
      <c r="V276" s="58"/>
      <c r="W276" s="58"/>
      <c r="X276" s="58"/>
      <c r="Y276" s="58"/>
      <c r="Z276" s="58"/>
      <c r="AA276" s="58"/>
    </row>
    <row r="277" spans="8:27">
      <c r="H277" s="58"/>
      <c r="I277" s="58"/>
      <c r="J277" s="58"/>
      <c r="K277" s="58"/>
      <c r="L277" s="58"/>
      <c r="M277" s="58"/>
      <c r="N277" s="58"/>
      <c r="O277" s="58"/>
      <c r="P277" s="58"/>
      <c r="Q277" s="58"/>
      <c r="R277" s="58"/>
      <c r="S277" s="58"/>
      <c r="T277" s="58"/>
      <c r="U277" s="58"/>
      <c r="V277" s="58"/>
      <c r="W277" s="58"/>
      <c r="X277" s="58"/>
      <c r="Y277" s="58"/>
      <c r="Z277" s="58"/>
      <c r="AA277" s="58"/>
    </row>
    <row r="278" spans="8:27">
      <c r="H278" s="58"/>
      <c r="I278" s="58"/>
      <c r="J278" s="58"/>
      <c r="K278" s="58"/>
      <c r="L278" s="58"/>
      <c r="M278" s="58"/>
      <c r="N278" s="58"/>
      <c r="O278" s="58"/>
      <c r="P278" s="58"/>
      <c r="Q278" s="58"/>
      <c r="R278" s="58"/>
      <c r="S278" s="58"/>
      <c r="T278" s="58"/>
      <c r="U278" s="58"/>
      <c r="V278" s="58"/>
      <c r="W278" s="58"/>
      <c r="X278" s="58"/>
      <c r="Y278" s="58"/>
      <c r="Z278" s="58"/>
      <c r="AA278" s="58"/>
    </row>
    <row r="279" spans="8:27">
      <c r="H279" s="58"/>
      <c r="I279" s="58"/>
      <c r="J279" s="58"/>
      <c r="K279" s="58"/>
      <c r="L279" s="58"/>
      <c r="M279" s="58"/>
      <c r="N279" s="58"/>
      <c r="O279" s="58"/>
      <c r="P279" s="58"/>
      <c r="Q279" s="58"/>
      <c r="R279" s="58"/>
      <c r="S279" s="58"/>
      <c r="T279" s="58"/>
      <c r="U279" s="58"/>
      <c r="V279" s="58"/>
      <c r="W279" s="58"/>
      <c r="X279" s="58"/>
      <c r="Y279" s="58"/>
      <c r="Z279" s="58"/>
      <c r="AA279" s="58"/>
    </row>
    <row r="280" spans="8:27">
      <c r="H280" s="58"/>
      <c r="I280" s="58"/>
      <c r="J280" s="58"/>
      <c r="K280" s="58"/>
      <c r="L280" s="58"/>
      <c r="M280" s="58"/>
      <c r="N280" s="58"/>
      <c r="O280" s="58"/>
      <c r="P280" s="58"/>
      <c r="Q280" s="58"/>
      <c r="R280" s="58"/>
      <c r="S280" s="58"/>
      <c r="T280" s="58"/>
      <c r="U280" s="58"/>
      <c r="V280" s="58"/>
      <c r="W280" s="58"/>
      <c r="X280" s="58"/>
      <c r="Y280" s="58"/>
      <c r="Z280" s="58"/>
      <c r="AA280" s="58"/>
    </row>
    <row r="281" spans="8:27">
      <c r="H281" s="58"/>
      <c r="I281" s="58"/>
      <c r="J281" s="58"/>
      <c r="K281" s="58"/>
      <c r="L281" s="58"/>
      <c r="M281" s="58"/>
      <c r="N281" s="58"/>
      <c r="O281" s="58"/>
      <c r="P281" s="58"/>
      <c r="Q281" s="58"/>
      <c r="R281" s="58"/>
      <c r="S281" s="58"/>
      <c r="T281" s="58"/>
      <c r="U281" s="58"/>
      <c r="V281" s="58"/>
      <c r="W281" s="58"/>
      <c r="X281" s="58"/>
      <c r="Y281" s="58"/>
      <c r="Z281" s="58"/>
      <c r="AA281" s="58"/>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F7" workbookViewId="0">
      <selection activeCell="K32" sqref="K32"/>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8.72727272727273" style="3"/>
    <col min="58" max="62" width="12.8181818181818" style="3"/>
    <col min="63" max="63" width="8.72727272727273" style="3"/>
    <col min="64" max="66" width="12.8181818181818" style="3"/>
    <col min="67" max="68" width="8.72727272727273" style="3"/>
    <col min="69" max="71" width="12.8181818181818" style="3"/>
    <col min="72" max="73" width="8.72727272727273" style="3"/>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55">
      <c r="B1" s="3" t="s">
        <v>39</v>
      </c>
      <c r="R1" s="3" t="s">
        <v>40</v>
      </c>
      <c r="S1" s="88" t="s">
        <v>41</v>
      </c>
      <c r="T1" s="88" t="s">
        <v>42</v>
      </c>
      <c r="U1" s="88" t="s">
        <v>43</v>
      </c>
      <c r="V1" s="88" t="s">
        <v>44</v>
      </c>
      <c r="W1" s="88" t="s">
        <v>45</v>
      </c>
      <c r="X1" s="88" t="s">
        <v>46</v>
      </c>
      <c r="Y1" s="88" t="s">
        <v>47</v>
      </c>
      <c r="Z1" s="88" t="s">
        <v>48</v>
      </c>
      <c r="AA1" s="88" t="s">
        <v>49</v>
      </c>
      <c r="AB1" s="88" t="s">
        <v>50</v>
      </c>
      <c r="AC1" s="88" t="s">
        <v>51</v>
      </c>
      <c r="AI1" s="89">
        <v>2023</v>
      </c>
      <c r="AJ1" s="89">
        <v>2025</v>
      </c>
      <c r="AK1" s="89">
        <v>2030</v>
      </c>
      <c r="AL1" s="89">
        <v>2035</v>
      </c>
      <c r="AM1" s="89">
        <v>2040</v>
      </c>
      <c r="AN1" s="89">
        <v>2045</v>
      </c>
      <c r="AO1" s="89">
        <v>2050</v>
      </c>
    </row>
    <row r="2" s="3" customFormat="1" spans="2:55">
      <c r="B2" s="90" t="s">
        <v>52</v>
      </c>
      <c r="S2" s="91">
        <v>2023</v>
      </c>
      <c r="T2" s="91" t="s">
        <v>53</v>
      </c>
      <c r="U2" s="91" t="s">
        <v>54</v>
      </c>
      <c r="V2" s="91" t="s">
        <v>55</v>
      </c>
      <c r="W2" s="91" t="s">
        <v>56</v>
      </c>
      <c r="X2" s="91" t="s">
        <v>57</v>
      </c>
      <c r="Y2" s="91" t="s">
        <v>58</v>
      </c>
      <c r="Z2" s="91"/>
      <c r="AA2" s="91" t="s">
        <v>59</v>
      </c>
      <c r="AB2" s="92">
        <v>132.92732205738</v>
      </c>
      <c r="AC2" s="91" t="s">
        <v>60</v>
      </c>
      <c r="AH2" s="3" t="s">
        <v>61</v>
      </c>
      <c r="AI2" s="93">
        <v>132.92732205738</v>
      </c>
      <c r="AJ2" s="93">
        <v>120.58407072348</v>
      </c>
      <c r="AK2" s="93">
        <v>104.442895902227</v>
      </c>
      <c r="AL2" s="93">
        <v>94.9480871838431</v>
      </c>
      <c r="AM2" s="93">
        <v>92.1084750593323</v>
      </c>
      <c r="AN2" s="93">
        <v>88.9611647549709</v>
      </c>
      <c r="AO2" s="93">
        <v>85.4532784654588</v>
      </c>
      <c r="AX2" t="s">
        <v>62</v>
      </c>
      <c r="AY2"/>
      <c r="AZ2" s="94"/>
    </row>
    <row r="3" s="3" customFormat="1" spans="2:55">
      <c r="F3" s="95" t="s">
        <v>63</v>
      </c>
      <c r="G3" s="96"/>
      <c r="H3" s="96"/>
      <c r="I3" s="96"/>
      <c r="S3" s="91">
        <v>2025</v>
      </c>
      <c r="T3" s="91" t="s">
        <v>53</v>
      </c>
      <c r="U3" s="91" t="s">
        <v>54</v>
      </c>
      <c r="V3" s="91" t="s">
        <v>55</v>
      </c>
      <c r="W3" s="91" t="s">
        <v>56</v>
      </c>
      <c r="X3" s="91" t="s">
        <v>57</v>
      </c>
      <c r="Y3" s="91" t="s">
        <v>58</v>
      </c>
      <c r="Z3" s="91"/>
      <c r="AA3" s="91" t="s">
        <v>59</v>
      </c>
      <c r="AB3" s="92">
        <v>120.58407072348</v>
      </c>
      <c r="AC3" s="91"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94" t="s">
        <v>64</v>
      </c>
      <c r="AY3" s="94" t="s">
        <v>41</v>
      </c>
      <c r="AZ3" s="97" t="s">
        <v>65</v>
      </c>
      <c r="BA3" s="97" t="s">
        <v>11</v>
      </c>
      <c r="BB3" s="97" t="s">
        <v>25</v>
      </c>
    </row>
    <row r="4" s="3" customFormat="1" spans="2:55">
      <c r="F4" s="95" t="s">
        <v>64</v>
      </c>
      <c r="G4" s="95" t="s">
        <v>65</v>
      </c>
      <c r="H4" s="95" t="s">
        <v>11</v>
      </c>
      <c r="I4" s="95" t="s">
        <v>25</v>
      </c>
      <c r="S4" s="91">
        <v>2030</v>
      </c>
      <c r="T4" s="91" t="s">
        <v>53</v>
      </c>
      <c r="U4" s="91" t="s">
        <v>54</v>
      </c>
      <c r="V4" s="91" t="s">
        <v>55</v>
      </c>
      <c r="W4" s="91" t="s">
        <v>56</v>
      </c>
      <c r="X4" s="91" t="s">
        <v>57</v>
      </c>
      <c r="Y4" s="91" t="s">
        <v>58</v>
      </c>
      <c r="Z4" s="91"/>
      <c r="AA4" s="91" t="s">
        <v>59</v>
      </c>
      <c r="AB4" s="92">
        <v>104.442895902227</v>
      </c>
      <c r="AC4" s="91"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94" t="s">
        <v>66</v>
      </c>
      <c r="AY4" s="94">
        <v>2023</v>
      </c>
      <c r="AZ4" s="94">
        <f>G5</f>
        <v>80.3831766666667</v>
      </c>
      <c r="BA4" s="94">
        <f>H5</f>
        <v>55.48673</v>
      </c>
      <c r="BB4" s="94">
        <f>I5</f>
        <v>106.82505</v>
      </c>
    </row>
    <row r="5" s="3" customFormat="1" ht="28" customHeight="1" spans="2:55">
      <c r="B5" s="98" t="s">
        <v>67</v>
      </c>
      <c r="F5" s="95" t="s">
        <v>68</v>
      </c>
      <c r="G5" s="96">
        <f>[3]R_strategies_n_GridBattery!$D$131</f>
        <v>80.3831766666667</v>
      </c>
      <c r="H5" s="96">
        <f>[3]R_strategies_n_GridBattery!$E$131</f>
        <v>55.48673</v>
      </c>
      <c r="I5" s="96">
        <f>[3]R_strategies_n_GridBattery!$F$131</f>
        <v>106.82505</v>
      </c>
      <c r="S5" s="91">
        <v>2035</v>
      </c>
      <c r="T5" s="91" t="s">
        <v>53</v>
      </c>
      <c r="U5" s="91" t="s">
        <v>54</v>
      </c>
      <c r="V5" s="91" t="s">
        <v>55</v>
      </c>
      <c r="W5" s="91" t="s">
        <v>56</v>
      </c>
      <c r="X5" s="91" t="s">
        <v>57</v>
      </c>
      <c r="Y5" s="91" t="s">
        <v>58</v>
      </c>
      <c r="Z5" s="91"/>
      <c r="AA5" s="91" t="s">
        <v>59</v>
      </c>
      <c r="AB5" s="92">
        <v>94.9480871838431</v>
      </c>
      <c r="AC5" s="91"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94" t="s">
        <v>69</v>
      </c>
      <c r="AY5" s="94">
        <f>AY4</f>
        <v>2023</v>
      </c>
      <c r="AZ5" s="94">
        <f t="shared" ref="AZ5:AZ10" si="8">G6</f>
        <v>95.4086</v>
      </c>
      <c r="BA5" s="94">
        <f t="shared" ref="BA5:BA10" si="9">H6</f>
        <v>66.32565</v>
      </c>
      <c r="BB5" s="94">
        <f t="shared" ref="BB5:BB10" si="10">I6</f>
        <v>126.26355</v>
      </c>
    </row>
    <row r="6" s="3" customFormat="1" spans="2:55">
      <c r="F6" s="95" t="s">
        <v>70</v>
      </c>
      <c r="G6" s="96">
        <f>[3]R_strategies_n_GridBattery!$D$132</f>
        <v>95.4086</v>
      </c>
      <c r="H6" s="96">
        <f>[3]R_strategies_n_GridBattery!$E$132</f>
        <v>66.32565</v>
      </c>
      <c r="I6" s="96">
        <f>[3]R_strategies_n_GridBattery!$F$132</f>
        <v>126.26355</v>
      </c>
      <c r="S6" s="91">
        <v>2040</v>
      </c>
      <c r="T6" s="91" t="s">
        <v>53</v>
      </c>
      <c r="U6" s="91" t="s">
        <v>54</v>
      </c>
      <c r="V6" s="91" t="s">
        <v>55</v>
      </c>
      <c r="W6" s="91" t="s">
        <v>56</v>
      </c>
      <c r="X6" s="91" t="s">
        <v>57</v>
      </c>
      <c r="Y6" s="91" t="s">
        <v>58</v>
      </c>
      <c r="Z6" s="91"/>
      <c r="AA6" s="91" t="s">
        <v>59</v>
      </c>
      <c r="AB6" s="92">
        <v>92.1084750593323</v>
      </c>
      <c r="AC6" s="91"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94" t="s">
        <v>71</v>
      </c>
      <c r="AY6" s="94">
        <f t="shared" ref="AY6:AY11" si="11">AY5</f>
        <v>2023</v>
      </c>
      <c r="AZ6" s="94">
        <f t="shared" si="8"/>
        <v>85.3476966666666</v>
      </c>
      <c r="BA6" s="94">
        <f t="shared" si="9"/>
        <v>56.10147</v>
      </c>
      <c r="BB6" s="94">
        <f t="shared" si="10"/>
        <v>116.32796</v>
      </c>
    </row>
    <row r="7" s="3" customFormat="1" spans="2:55">
      <c r="F7" s="95" t="s">
        <v>72</v>
      </c>
      <c r="G7" s="96">
        <f>[3]R_strategies_n_GridBattery!$D$133</f>
        <v>85.3476966666666</v>
      </c>
      <c r="H7" s="96">
        <f>[3]R_strategies_n_GridBattery!$E$133</f>
        <v>56.10147</v>
      </c>
      <c r="I7" s="96">
        <f>[3]R_strategies_n_GridBattery!$F$133</f>
        <v>116.32796</v>
      </c>
      <c r="S7" s="91">
        <v>2045</v>
      </c>
      <c r="T7" s="91" t="s">
        <v>53</v>
      </c>
      <c r="U7" s="91" t="s">
        <v>54</v>
      </c>
      <c r="V7" s="91" t="s">
        <v>55</v>
      </c>
      <c r="W7" s="91" t="s">
        <v>56</v>
      </c>
      <c r="X7" s="91" t="s">
        <v>57</v>
      </c>
      <c r="Y7" s="91" t="s">
        <v>58</v>
      </c>
      <c r="Z7" s="91"/>
      <c r="AA7" s="91" t="s">
        <v>59</v>
      </c>
      <c r="AB7" s="92">
        <v>88.9611647549709</v>
      </c>
      <c r="AC7" s="91"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94" t="s">
        <v>73</v>
      </c>
      <c r="AY7" s="94">
        <f t="shared" si="11"/>
        <v>2023</v>
      </c>
      <c r="AZ7" s="94">
        <f t="shared" si="8"/>
        <v>85.52157</v>
      </c>
      <c r="BA7" s="94">
        <f t="shared" si="9"/>
        <v>55.55951</v>
      </c>
      <c r="BB7" s="94">
        <f t="shared" si="10"/>
        <v>117.30431</v>
      </c>
    </row>
    <row r="8" s="3" customFormat="1" ht="29" spans="2:55">
      <c r="B8" s="98" t="s">
        <v>74</v>
      </c>
      <c r="F8" s="95" t="s">
        <v>75</v>
      </c>
      <c r="G8" s="96">
        <f>[3]R_strategies_n_GridBattery!$D$134</f>
        <v>85.52157</v>
      </c>
      <c r="H8" s="96">
        <f>[3]R_strategies_n_GridBattery!$E$134</f>
        <v>55.55951</v>
      </c>
      <c r="I8" s="96">
        <f>[3]R_strategies_n_GridBattery!$F$134</f>
        <v>117.30431</v>
      </c>
      <c r="S8" s="91">
        <v>2050</v>
      </c>
      <c r="T8" s="91" t="s">
        <v>53</v>
      </c>
      <c r="U8" s="91" t="s">
        <v>54</v>
      </c>
      <c r="V8" s="91" t="s">
        <v>55</v>
      </c>
      <c r="W8" s="91" t="s">
        <v>56</v>
      </c>
      <c r="X8" s="91" t="s">
        <v>57</v>
      </c>
      <c r="Y8" s="91" t="s">
        <v>58</v>
      </c>
      <c r="Z8" s="91"/>
      <c r="AA8" s="91" t="s">
        <v>59</v>
      </c>
      <c r="AB8" s="92">
        <v>85.4532784654588</v>
      </c>
      <c r="AC8" s="91"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94" t="s">
        <v>76</v>
      </c>
      <c r="AY8" s="94">
        <f t="shared" si="11"/>
        <v>2023</v>
      </c>
      <c r="AZ8" s="94">
        <f t="shared" si="8"/>
        <v>90.0929166666666</v>
      </c>
      <c r="BA8" s="94">
        <f t="shared" si="9"/>
        <v>59.3677</v>
      </c>
      <c r="BB8" s="94">
        <f t="shared" si="10"/>
        <v>122.66905</v>
      </c>
    </row>
    <row r="9" s="3" customFormat="1" spans="2:55">
      <c r="F9" s="95" t="s">
        <v>77</v>
      </c>
      <c r="G9" s="96">
        <f>[3]R_strategies_n_GridBattery!$D$135</f>
        <v>90.0929166666666</v>
      </c>
      <c r="H9" s="96">
        <f>[3]R_strategies_n_GridBattery!$E$135</f>
        <v>59.3677</v>
      </c>
      <c r="I9" s="96">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94" t="s">
        <v>78</v>
      </c>
      <c r="AY9" s="94">
        <f t="shared" si="11"/>
        <v>2023</v>
      </c>
      <c r="AZ9" s="94">
        <f t="shared" si="8"/>
        <v>86.9222166666667</v>
      </c>
      <c r="BA9" s="94">
        <f t="shared" si="9"/>
        <v>57.33755</v>
      </c>
      <c r="BB9" s="94">
        <f t="shared" si="10"/>
        <v>118.2723</v>
      </c>
    </row>
    <row r="10" s="3" customFormat="1" spans="2:55">
      <c r="F10" s="95" t="s">
        <v>79</v>
      </c>
      <c r="G10" s="96">
        <f>[3]R_strategies_n_GridBattery!$D$136</f>
        <v>86.9222166666667</v>
      </c>
      <c r="H10" s="96">
        <f>[3]R_strategies_n_GridBattery!$E$136</f>
        <v>57.33755</v>
      </c>
      <c r="I10" s="96">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94" t="s">
        <v>80</v>
      </c>
      <c r="AY10" s="94">
        <f t="shared" si="11"/>
        <v>2023</v>
      </c>
      <c r="AZ10" s="94">
        <f t="shared" si="8"/>
        <v>89.5526666666667</v>
      </c>
      <c r="BA10" s="94">
        <f t="shared" si="9"/>
        <v>59.98948</v>
      </c>
      <c r="BB10" s="94">
        <f t="shared" si="10"/>
        <v>120.87452</v>
      </c>
    </row>
    <row r="11" s="3" customFormat="1" spans="2:55">
      <c r="F11" s="95" t="s">
        <v>81</v>
      </c>
      <c r="G11" s="96">
        <f>[3]R_strategies_n_GridBattery!$D$137</f>
        <v>89.5526666666667</v>
      </c>
      <c r="H11" s="96">
        <f>[3]R_strategies_n_GridBattery!$E$137</f>
        <v>59.98948</v>
      </c>
      <c r="I11" s="96">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87"/>
      <c r="AW11" s="87"/>
      <c r="AX11" s="99" t="s">
        <v>82</v>
      </c>
      <c r="AY11" s="94">
        <f t="shared" si="11"/>
        <v>2023</v>
      </c>
      <c r="AZ11" s="99">
        <f>C33</f>
        <v>162.093333333333</v>
      </c>
      <c r="BA11" s="99">
        <f>AZ11</f>
        <v>162.093333333333</v>
      </c>
      <c r="BB11" s="99">
        <f>BA11</f>
        <v>162.093333333333</v>
      </c>
      <c r="BC11" s="87"/>
    </row>
    <row r="12" s="3" customFormat="1" spans="2:55">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row>
    <row r="14" s="3" customFormat="1" spans="2:55">
      <c r="AM14" s="3">
        <f>AM2/AL2</f>
        <v>0.97009300335864</v>
      </c>
      <c r="AN14" s="3">
        <f>AN2/AM2</f>
        <v>0.965830393974778</v>
      </c>
      <c r="AO14" s="3">
        <f>AO2/AN2</f>
        <v>0.96056834126246</v>
      </c>
    </row>
    <row r="15" spans="2:55">
      <c r="AX15" t="s">
        <v>62</v>
      </c>
      <c r="AY15"/>
      <c r="AZ15" s="94"/>
    </row>
    <row r="16" s="3" customFormat="1" spans="2:55">
      <c r="AX16" s="94" t="s">
        <v>64</v>
      </c>
      <c r="AY16" s="94" t="s">
        <v>41</v>
      </c>
      <c r="AZ16" s="97" t="s">
        <v>65</v>
      </c>
      <c r="BA16" s="97" t="s">
        <v>11</v>
      </c>
      <c r="BB16" s="97" t="s">
        <v>25</v>
      </c>
    </row>
    <row r="17" s="3" customFormat="1" spans="2:55">
      <c r="AX17" s="94" t="s">
        <v>66</v>
      </c>
      <c r="AY17" s="94">
        <v>2025</v>
      </c>
      <c r="AZ17" s="94">
        <f t="shared" ref="AZ17:AZ24" si="12">AZ4*AJ2/AI2</f>
        <v>72.9190245476188</v>
      </c>
      <c r="BA17" s="94">
        <f>BA4*AJ2/AI2</f>
        <v>50.3343907857141</v>
      </c>
      <c r="BB17" s="94">
        <f>BB4*AJ2/AI2</f>
        <v>96.9055810714282</v>
      </c>
    </row>
    <row r="18" s="3" customFormat="1" spans="2:55">
      <c r="AX18" s="94" t="s">
        <v>69</v>
      </c>
      <c r="AY18" s="94">
        <f t="shared" ref="AY18:AY24" si="13">AY17</f>
        <v>2025</v>
      </c>
      <c r="AZ18" s="94">
        <f t="shared" si="12"/>
        <v>86.5492299999997</v>
      </c>
      <c r="BA18" s="94">
        <f t="shared" ref="BA18:BA24" si="14">BA5*AJ3/AI3</f>
        <v>60.1668396428569</v>
      </c>
      <c r="BB18" s="94">
        <f t="shared" ref="BB18:BB24" si="15">BB5*AJ3/AI3</f>
        <v>114.5390775</v>
      </c>
    </row>
    <row r="19" s="3" customFormat="1" spans="2:55">
      <c r="AX19" s="94" t="s">
        <v>71</v>
      </c>
      <c r="AY19" s="94">
        <f t="shared" si="13"/>
        <v>2025</v>
      </c>
      <c r="AZ19" s="94">
        <f t="shared" si="12"/>
        <v>77.4225534047616</v>
      </c>
      <c r="BA19" s="94">
        <f t="shared" si="14"/>
        <v>50.8920477857141</v>
      </c>
      <c r="BB19" s="94">
        <f t="shared" si="15"/>
        <v>105.526078</v>
      </c>
    </row>
    <row r="20" s="3" customFormat="1" spans="2:55">
      <c r="AX20" s="94" t="s">
        <v>73</v>
      </c>
      <c r="AY20" s="94">
        <f t="shared" si="13"/>
        <v>2025</v>
      </c>
      <c r="AZ20" s="94">
        <f t="shared" si="12"/>
        <v>77.5802813571426</v>
      </c>
      <c r="BA20" s="94">
        <f t="shared" si="14"/>
        <v>50.400412642857</v>
      </c>
      <c r="BB20" s="94">
        <f t="shared" si="15"/>
        <v>106.411766928571</v>
      </c>
    </row>
    <row r="21" s="3" customFormat="1" spans="2:55">
      <c r="AX21" s="94" t="s">
        <v>76</v>
      </c>
      <c r="AY21" s="94">
        <f t="shared" si="13"/>
        <v>2025</v>
      </c>
      <c r="AZ21" s="94">
        <f t="shared" si="12"/>
        <v>81.727145833333</v>
      </c>
      <c r="BA21" s="94">
        <f t="shared" si="14"/>
        <v>53.8549849999998</v>
      </c>
      <c r="BB21" s="94">
        <f t="shared" si="15"/>
        <v>111.2783525</v>
      </c>
    </row>
    <row r="22" s="3" customFormat="1" spans="2:55">
      <c r="AX22" s="94" t="s">
        <v>78</v>
      </c>
      <c r="AY22" s="94">
        <f t="shared" si="13"/>
        <v>2025</v>
      </c>
      <c r="AZ22" s="94">
        <f t="shared" si="12"/>
        <v>78.8508679761902</v>
      </c>
      <c r="BA22" s="94">
        <f t="shared" si="14"/>
        <v>52.0133489285712</v>
      </c>
      <c r="BB22" s="94">
        <f t="shared" si="15"/>
        <v>107.289872142857</v>
      </c>
    </row>
    <row r="23" s="3" customFormat="1" spans="2:55">
      <c r="AX23" s="94" t="s">
        <v>80</v>
      </c>
      <c r="AY23" s="94">
        <f t="shared" si="13"/>
        <v>2025</v>
      </c>
      <c r="AZ23" s="94">
        <f t="shared" si="12"/>
        <v>81.2370619047616</v>
      </c>
      <c r="BA23" s="94">
        <f t="shared" si="14"/>
        <v>54.4190282857141</v>
      </c>
      <c r="BB23" s="94">
        <f t="shared" si="15"/>
        <v>109.650457428571</v>
      </c>
    </row>
    <row r="24" s="3" customFormat="1" spans="2:55">
      <c r="AW24" s="87"/>
      <c r="AX24" s="99" t="s">
        <v>82</v>
      </c>
      <c r="AY24" s="94">
        <f t="shared" si="13"/>
        <v>2025</v>
      </c>
      <c r="AZ24" s="94">
        <f t="shared" si="12"/>
        <v>147.041809523809</v>
      </c>
      <c r="BA24" s="94">
        <f t="shared" si="14"/>
        <v>147.041809523809</v>
      </c>
      <c r="BB24" s="94">
        <f t="shared" si="15"/>
        <v>147.041809523809</v>
      </c>
    </row>
    <row r="25" s="87" customFormat="1" spans="2:55">
      <c r="AV25" s="3"/>
      <c r="AW25" s="3"/>
      <c r="AX25" s="3"/>
      <c r="AY25" s="3"/>
      <c r="AZ25" s="3"/>
      <c r="BA25" s="3"/>
      <c r="BB25" s="3"/>
      <c r="BC25" s="3"/>
    </row>
    <row r="30" spans="2:55">
      <c r="AX30" t="s">
        <v>62</v>
      </c>
      <c r="AY30"/>
      <c r="AZ30" s="94"/>
    </row>
    <row r="31" spans="2:55">
      <c r="AW31" s="100"/>
      <c r="AX31" s="94" t="s">
        <v>64</v>
      </c>
      <c r="AY31" s="94" t="s">
        <v>41</v>
      </c>
      <c r="AZ31" s="97" t="s">
        <v>65</v>
      </c>
      <c r="BA31" s="97" t="s">
        <v>11</v>
      </c>
      <c r="BB31" s="97" t="s">
        <v>25</v>
      </c>
    </row>
    <row r="32" spans="2:55">
      <c r="B32" s="38" t="s">
        <v>83</v>
      </c>
      <c r="C32" s="38" t="s">
        <v>84</v>
      </c>
      <c r="AW32" s="94"/>
      <c r="AX32" s="94" t="s">
        <v>66</v>
      </c>
      <c r="AY32" s="94">
        <v>2030</v>
      </c>
      <c r="AZ32" s="94">
        <f>AZ17*AK2/AJ2</f>
        <v>63.1582102380952</v>
      </c>
      <c r="BA32" s="94">
        <f>BA17*AK2/AJ2</f>
        <v>43.5967164285714</v>
      </c>
      <c r="BB32" s="94">
        <f>BB17*AK2/AJ2</f>
        <v>83.9339678571427</v>
      </c>
    </row>
    <row r="33" spans="2:54">
      <c r="B33" s="38">
        <v>121.57</v>
      </c>
      <c r="C33" s="38">
        <f>B33/0.75</f>
        <v>162.093333333333</v>
      </c>
      <c r="AW33" s="94"/>
      <c r="AX33" s="94" t="s">
        <v>69</v>
      </c>
      <c r="AY33" s="94">
        <f t="shared" ref="AY33:AY39" si="16">AY32</f>
        <v>2030</v>
      </c>
      <c r="AZ33" s="94">
        <f t="shared" ref="AZ33:AZ39" si="17">AZ18*AK3/AJ3</f>
        <v>74.9638999999999</v>
      </c>
      <c r="BA33" s="94">
        <f t="shared" ref="BA33:BA39" si="18">BA18*AK3/AJ3</f>
        <v>52.1130107142856</v>
      </c>
      <c r="BB33" s="94">
        <f t="shared" ref="BB33:BB39" si="19">BB18*AK3/AJ3</f>
        <v>99.2070749999999</v>
      </c>
    </row>
    <row r="34" spans="2:54">
      <c r="AW34" s="94"/>
      <c r="AX34" s="94" t="s">
        <v>71</v>
      </c>
      <c r="AY34" s="94">
        <f t="shared" si="16"/>
        <v>2030</v>
      </c>
      <c r="AZ34" s="94">
        <f t="shared" si="17"/>
        <v>67.0589045238094</v>
      </c>
      <c r="BA34" s="94">
        <f t="shared" si="18"/>
        <v>44.0797264285714</v>
      </c>
      <c r="BB34" s="94">
        <f t="shared" si="19"/>
        <v>91.4005399999999</v>
      </c>
    </row>
    <row r="35" spans="2:54">
      <c r="AW35" s="94"/>
      <c r="AX35" s="94" t="s">
        <v>73</v>
      </c>
      <c r="AY35" s="94">
        <f t="shared" si="16"/>
        <v>2030</v>
      </c>
      <c r="AZ35" s="94">
        <f t="shared" si="17"/>
        <v>67.1955192857142</v>
      </c>
      <c r="BA35" s="94">
        <f t="shared" si="18"/>
        <v>43.6539007142857</v>
      </c>
      <c r="BB35" s="94">
        <f t="shared" si="19"/>
        <v>92.167672142857</v>
      </c>
    </row>
    <row r="36" spans="2:54">
      <c r="AW36" s="94"/>
      <c r="AX36" s="94" t="s">
        <v>76</v>
      </c>
      <c r="AY36" s="94">
        <f t="shared" si="16"/>
        <v>2030</v>
      </c>
      <c r="AZ36" s="94">
        <f t="shared" si="17"/>
        <v>70.7872916666665</v>
      </c>
      <c r="BA36" s="94">
        <f t="shared" si="18"/>
        <v>46.6460499999999</v>
      </c>
      <c r="BB36" s="94">
        <f t="shared" si="19"/>
        <v>96.3828249999999</v>
      </c>
    </row>
    <row r="37" spans="2:54">
      <c r="AW37" s="94"/>
      <c r="AX37" s="94" t="s">
        <v>78</v>
      </c>
      <c r="AY37" s="94">
        <f t="shared" si="16"/>
        <v>2030</v>
      </c>
      <c r="AZ37" s="94">
        <f t="shared" si="17"/>
        <v>68.2960273809523</v>
      </c>
      <c r="BA37" s="94">
        <f t="shared" si="18"/>
        <v>45.0509321428571</v>
      </c>
      <c r="BB37" s="94">
        <f t="shared" si="19"/>
        <v>92.9282357142856</v>
      </c>
    </row>
    <row r="38" spans="2:54">
      <c r="AW38" s="94"/>
      <c r="AX38" s="94" t="s">
        <v>80</v>
      </c>
      <c r="AY38" s="94">
        <f t="shared" si="16"/>
        <v>2030</v>
      </c>
      <c r="AZ38" s="94">
        <f t="shared" si="17"/>
        <v>70.3628095238094</v>
      </c>
      <c r="BA38" s="94">
        <f t="shared" si="18"/>
        <v>47.1345914285714</v>
      </c>
      <c r="BB38" s="94">
        <f t="shared" si="19"/>
        <v>94.972837142857</v>
      </c>
    </row>
    <row r="39" spans="2:54">
      <c r="AW39" s="99"/>
      <c r="AX39" s="99" t="s">
        <v>82</v>
      </c>
      <c r="AY39" s="94">
        <f t="shared" si="16"/>
        <v>2030</v>
      </c>
      <c r="AZ39" s="94">
        <f t="shared" si="17"/>
        <v>127.359047619047</v>
      </c>
      <c r="BA39" s="94">
        <f t="shared" si="18"/>
        <v>127.359047619047</v>
      </c>
      <c r="BB39" s="94">
        <f t="shared" si="19"/>
        <v>127.359047619047</v>
      </c>
    </row>
    <row r="44" spans="2:54">
      <c r="AX44" t="s">
        <v>62</v>
      </c>
      <c r="AY44"/>
      <c r="AZ44" s="94"/>
    </row>
    <row r="45" spans="2:54">
      <c r="AX45" s="94" t="s">
        <v>64</v>
      </c>
      <c r="AY45" s="94" t="s">
        <v>41</v>
      </c>
      <c r="AZ45" s="97" t="s">
        <v>65</v>
      </c>
      <c r="BA45" s="97" t="s">
        <v>11</v>
      </c>
      <c r="BB45" s="97" t="s">
        <v>25</v>
      </c>
    </row>
    <row r="46" spans="2:54">
      <c r="B46"/>
      <c r="C46" s="94"/>
      <c r="AX46" s="94" t="s">
        <v>66</v>
      </c>
      <c r="AY46" s="94">
        <v>2035</v>
      </c>
      <c r="AZ46" s="94">
        <f>AZ32*AL2/AK2</f>
        <v>57.4165547619049</v>
      </c>
      <c r="BA46" s="94">
        <f>BA32*AL2/AK2</f>
        <v>39.6333785714287</v>
      </c>
      <c r="BB46" s="94">
        <f>BB32*AL2/AK2</f>
        <v>76.3036071428573</v>
      </c>
    </row>
    <row r="47" spans="2:54">
      <c r="B47" s="94"/>
      <c r="C47" s="97"/>
      <c r="D47" s="97"/>
      <c r="E47" s="97"/>
      <c r="AX47" s="94" t="s">
        <v>69</v>
      </c>
      <c r="AY47" s="94">
        <f t="shared" ref="AY47:AY53" si="20">AY46</f>
        <v>2035</v>
      </c>
      <c r="AZ47" s="94">
        <f t="shared" ref="AZ47:AZ53" si="21">AZ33*AL3/AK3</f>
        <v>68.1490000000002</v>
      </c>
      <c r="BA47" s="94">
        <f t="shared" ref="BA47:BA53" si="22">BA33*AL3/AK3</f>
        <v>47.3754642857144</v>
      </c>
      <c r="BB47" s="94">
        <f t="shared" ref="BB47:BB53" si="23">BB33*AL3/AK3</f>
        <v>90.1882500000002</v>
      </c>
    </row>
    <row r="48" spans="2:54">
      <c r="B48" s="94"/>
      <c r="C48" s="94"/>
      <c r="D48" s="94"/>
      <c r="E48" s="94"/>
      <c r="AX48" s="94" t="s">
        <v>71</v>
      </c>
      <c r="AY48" s="94">
        <f t="shared" si="20"/>
        <v>2035</v>
      </c>
      <c r="AZ48" s="94">
        <f t="shared" si="21"/>
        <v>60.9626404761906</v>
      </c>
      <c r="BA48" s="94">
        <f t="shared" si="22"/>
        <v>40.0724785714287</v>
      </c>
      <c r="BB48" s="94">
        <f t="shared" si="23"/>
        <v>83.0914000000002</v>
      </c>
    </row>
    <row r="49" spans="2:54">
      <c r="B49" s="94"/>
      <c r="C49" s="94"/>
      <c r="D49" s="94"/>
      <c r="E49" s="94"/>
      <c r="AX49" s="94" t="s">
        <v>73</v>
      </c>
      <c r="AY49" s="94">
        <f t="shared" si="20"/>
        <v>2035</v>
      </c>
      <c r="AZ49" s="94">
        <f t="shared" si="21"/>
        <v>61.0868357142859</v>
      </c>
      <c r="BA49" s="94">
        <f t="shared" si="22"/>
        <v>39.6853642857144</v>
      </c>
      <c r="BB49" s="94">
        <f t="shared" si="23"/>
        <v>83.7887928571431</v>
      </c>
    </row>
    <row r="50" spans="2:54">
      <c r="B50" s="94"/>
      <c r="C50" s="94"/>
      <c r="D50" s="94"/>
      <c r="E50" s="94"/>
      <c r="AX50" s="94" t="s">
        <v>76</v>
      </c>
      <c r="AY50" s="94">
        <f t="shared" si="20"/>
        <v>2035</v>
      </c>
      <c r="AZ50" s="94">
        <f t="shared" si="21"/>
        <v>64.3520833333335</v>
      </c>
      <c r="BA50" s="94">
        <f t="shared" si="22"/>
        <v>42.4055000000001</v>
      </c>
      <c r="BB50" s="94">
        <f t="shared" si="23"/>
        <v>87.6207500000002</v>
      </c>
    </row>
    <row r="51" spans="2:54">
      <c r="B51" s="94"/>
      <c r="C51" s="94"/>
      <c r="D51" s="94"/>
      <c r="E51" s="94"/>
      <c r="AX51" s="94" t="s">
        <v>78</v>
      </c>
      <c r="AY51" s="94">
        <f t="shared" si="20"/>
        <v>2035</v>
      </c>
      <c r="AZ51" s="94">
        <f t="shared" si="21"/>
        <v>62.0872976190478</v>
      </c>
      <c r="BA51" s="94">
        <f t="shared" si="22"/>
        <v>40.955392857143</v>
      </c>
      <c r="BB51" s="94">
        <f t="shared" si="23"/>
        <v>84.4802142857145</v>
      </c>
    </row>
    <row r="52" spans="2:54">
      <c r="B52" s="94"/>
      <c r="C52" s="94"/>
      <c r="D52" s="94"/>
      <c r="E52" s="94"/>
      <c r="AX52" s="94" t="s">
        <v>80</v>
      </c>
      <c r="AY52" s="94">
        <f t="shared" si="20"/>
        <v>2035</v>
      </c>
      <c r="AZ52" s="94">
        <f t="shared" si="21"/>
        <v>63.9661904761907</v>
      </c>
      <c r="BA52" s="94">
        <f t="shared" si="22"/>
        <v>42.8496285714287</v>
      </c>
      <c r="BB52" s="94">
        <f t="shared" si="23"/>
        <v>86.3389428571431</v>
      </c>
    </row>
    <row r="53" spans="2:54">
      <c r="B53" s="94"/>
      <c r="C53" s="94"/>
      <c r="D53" s="94"/>
      <c r="E53" s="94"/>
      <c r="AW53" s="87"/>
      <c r="AX53" s="99" t="s">
        <v>82</v>
      </c>
      <c r="AY53" s="94">
        <f t="shared" si="20"/>
        <v>2035</v>
      </c>
      <c r="AZ53" s="94">
        <f t="shared" si="21"/>
        <v>115.780952380953</v>
      </c>
      <c r="BA53" s="94">
        <f t="shared" si="22"/>
        <v>115.780952380953</v>
      </c>
      <c r="BB53" s="94">
        <f t="shared" si="23"/>
        <v>115.780952380953</v>
      </c>
    </row>
    <row r="54" spans="2:54">
      <c r="B54" s="94"/>
      <c r="C54" s="94"/>
      <c r="D54" s="94"/>
      <c r="E54" s="94"/>
    </row>
    <row r="55" spans="2:54">
      <c r="B55" s="101"/>
      <c r="C55" s="102"/>
      <c r="D55" s="102"/>
      <c r="E55" s="102"/>
    </row>
    <row r="58" spans="2:54">
      <c r="AX58" t="s">
        <v>62</v>
      </c>
      <c r="AY58"/>
      <c r="AZ58" s="94"/>
    </row>
    <row r="59" spans="2:54">
      <c r="AX59" s="94" t="s">
        <v>64</v>
      </c>
      <c r="AY59" s="94" t="s">
        <v>41</v>
      </c>
      <c r="AZ59" s="97" t="s">
        <v>65</v>
      </c>
      <c r="BA59" s="97" t="s">
        <v>11</v>
      </c>
      <c r="BB59" s="97" t="s">
        <v>25</v>
      </c>
    </row>
    <row r="60" spans="2:54">
      <c r="AX60" s="94" t="s">
        <v>66</v>
      </c>
      <c r="AY60" s="94">
        <v>2040</v>
      </c>
      <c r="AZ60" s="94">
        <f>AZ46*0.97</f>
        <v>55.6940581190478</v>
      </c>
      <c r="BA60" s="94">
        <f>BA46*0.97</f>
        <v>38.4443772142858</v>
      </c>
      <c r="BB60" s="94">
        <f>BB46*0.97</f>
        <v>74.0144989285716</v>
      </c>
    </row>
    <row r="61" spans="2:54">
      <c r="AX61" s="94" t="s">
        <v>69</v>
      </c>
      <c r="AY61" s="94">
        <f t="shared" ref="AY61:AY67" si="24">AY60</f>
        <v>2040</v>
      </c>
      <c r="AZ61" s="94">
        <f t="shared" ref="AZ61:AZ67" si="25">AZ47*0.97</f>
        <v>66.1045300000002</v>
      </c>
      <c r="BA61" s="94">
        <f t="shared" ref="BA61:BA67" si="26">BA47*0.97</f>
        <v>45.954200357143</v>
      </c>
      <c r="BB61" s="94">
        <f t="shared" ref="BB61:BB67" si="27">BB47*0.97</f>
        <v>87.4826025000002</v>
      </c>
    </row>
    <row r="62" spans="2:54">
      <c r="AX62" s="94" t="s">
        <v>71</v>
      </c>
      <c r="AY62" s="94">
        <f t="shared" si="24"/>
        <v>2040</v>
      </c>
      <c r="AZ62" s="94">
        <f t="shared" si="25"/>
        <v>59.1337612619049</v>
      </c>
      <c r="BA62" s="94">
        <f t="shared" si="26"/>
        <v>38.8703042142858</v>
      </c>
      <c r="BB62" s="94">
        <f t="shared" si="27"/>
        <v>80.5986580000002</v>
      </c>
    </row>
    <row r="63" spans="2:54">
      <c r="AX63" s="94" t="s">
        <v>73</v>
      </c>
      <c r="AY63" s="94">
        <f t="shared" si="24"/>
        <v>2040</v>
      </c>
      <c r="AZ63" s="94">
        <f t="shared" si="25"/>
        <v>59.2542306428573</v>
      </c>
      <c r="BA63" s="94">
        <f t="shared" si="26"/>
        <v>38.494803357143</v>
      </c>
      <c r="BB63" s="94">
        <f t="shared" si="27"/>
        <v>81.2751290714288</v>
      </c>
    </row>
    <row r="64" spans="2:54">
      <c r="AX64" s="94" t="s">
        <v>76</v>
      </c>
      <c r="AY64" s="94">
        <f t="shared" si="24"/>
        <v>2040</v>
      </c>
      <c r="AZ64" s="94">
        <f t="shared" si="25"/>
        <v>62.4215208333334</v>
      </c>
      <c r="BA64" s="94">
        <f t="shared" si="26"/>
        <v>41.1333350000001</v>
      </c>
      <c r="BB64" s="94">
        <f t="shared" si="27"/>
        <v>84.9921275000002</v>
      </c>
    </row>
    <row r="65" spans="49:54">
      <c r="AX65" s="94" t="s">
        <v>78</v>
      </c>
      <c r="AY65" s="94">
        <f t="shared" si="24"/>
        <v>2040</v>
      </c>
      <c r="AZ65" s="94">
        <f t="shared" si="25"/>
        <v>60.2246786904764</v>
      </c>
      <c r="BA65" s="94">
        <f t="shared" si="26"/>
        <v>39.7267310714287</v>
      </c>
      <c r="BB65" s="94">
        <f t="shared" si="27"/>
        <v>81.9458078571431</v>
      </c>
    </row>
    <row r="66" spans="49:54">
      <c r="AX66" s="94" t="s">
        <v>80</v>
      </c>
      <c r="AY66" s="94">
        <f t="shared" si="24"/>
        <v>2040</v>
      </c>
      <c r="AZ66" s="94">
        <f t="shared" si="25"/>
        <v>62.0472047619049</v>
      </c>
      <c r="BA66" s="94">
        <f t="shared" si="26"/>
        <v>41.5641397142858</v>
      </c>
      <c r="BB66" s="94">
        <f t="shared" si="27"/>
        <v>83.7487745714288</v>
      </c>
    </row>
    <row r="67" spans="49:54">
      <c r="AW67" s="87"/>
      <c r="AX67" s="99" t="s">
        <v>82</v>
      </c>
      <c r="AY67" s="94">
        <f t="shared" si="24"/>
        <v>2040</v>
      </c>
      <c r="AZ67" s="94">
        <f t="shared" si="25"/>
        <v>112.307523809524</v>
      </c>
      <c r="BA67" s="94">
        <f t="shared" si="26"/>
        <v>112.307523809524</v>
      </c>
      <c r="BB67" s="94">
        <f t="shared" si="27"/>
        <v>112.307523809524</v>
      </c>
    </row>
    <row r="74" spans="49:54">
      <c r="AX74" t="s">
        <v>62</v>
      </c>
      <c r="AY74"/>
      <c r="AZ74" s="94"/>
    </row>
    <row r="75" spans="49:54">
      <c r="AX75" s="94" t="s">
        <v>64</v>
      </c>
      <c r="AY75" s="94" t="s">
        <v>41</v>
      </c>
      <c r="AZ75" s="97" t="s">
        <v>65</v>
      </c>
      <c r="BA75" s="97" t="s">
        <v>11</v>
      </c>
      <c r="BB75" s="97" t="s">
        <v>25</v>
      </c>
    </row>
    <row r="76" spans="49:54">
      <c r="AX76" s="94" t="s">
        <v>66</v>
      </c>
      <c r="AY76" s="94">
        <v>2045</v>
      </c>
      <c r="AZ76" s="94">
        <f>AZ60*0.96</f>
        <v>53.4662957942859</v>
      </c>
      <c r="BA76" s="94">
        <f>BA60*0.96</f>
        <v>36.9066021257144</v>
      </c>
      <c r="BB76" s="94">
        <f>BB60*0.96</f>
        <v>71.0539189714287</v>
      </c>
    </row>
    <row r="77" spans="49:54">
      <c r="AX77" s="94" t="s">
        <v>69</v>
      </c>
      <c r="AY77" s="94">
        <f t="shared" ref="AY77:AY83" si="28">AY76</f>
        <v>2045</v>
      </c>
      <c r="AZ77" s="94">
        <f t="shared" ref="AZ77:AZ83" si="29">AZ61*0.96</f>
        <v>63.4603488000002</v>
      </c>
      <c r="BA77" s="94">
        <f t="shared" ref="BA77:BA83" si="30">BA61*0.96</f>
        <v>44.1160323428573</v>
      </c>
      <c r="BB77" s="94">
        <f t="shared" ref="BB77:BB83" si="31">BB61*0.96</f>
        <v>83.9832984000002</v>
      </c>
    </row>
    <row r="78" spans="49:54">
      <c r="AX78" s="94" t="s">
        <v>71</v>
      </c>
      <c r="AY78" s="94">
        <f t="shared" si="28"/>
        <v>2045</v>
      </c>
      <c r="AZ78" s="94">
        <f t="shared" si="29"/>
        <v>56.7684108114287</v>
      </c>
      <c r="BA78" s="94">
        <f t="shared" si="30"/>
        <v>37.3154920457144</v>
      </c>
      <c r="BB78" s="94">
        <f t="shared" si="31"/>
        <v>77.3747116800002</v>
      </c>
    </row>
    <row r="79" spans="49:54">
      <c r="AX79" s="94" t="s">
        <v>73</v>
      </c>
      <c r="AY79" s="94">
        <f t="shared" si="28"/>
        <v>2045</v>
      </c>
      <c r="AZ79" s="94">
        <f t="shared" si="29"/>
        <v>56.884061417143</v>
      </c>
      <c r="BA79" s="94">
        <f t="shared" si="30"/>
        <v>36.9550112228572</v>
      </c>
      <c r="BB79" s="94">
        <f t="shared" si="31"/>
        <v>78.0241239085716</v>
      </c>
    </row>
    <row r="80" spans="49:54">
      <c r="AX80" s="94" t="s">
        <v>76</v>
      </c>
      <c r="AY80" s="94">
        <f t="shared" si="28"/>
        <v>2045</v>
      </c>
      <c r="AZ80" s="94">
        <f t="shared" si="29"/>
        <v>59.9246600000001</v>
      </c>
      <c r="BA80" s="94">
        <f t="shared" si="30"/>
        <v>39.4880016000001</v>
      </c>
      <c r="BB80" s="94">
        <f t="shared" si="31"/>
        <v>81.5924424000002</v>
      </c>
    </row>
    <row r="81" spans="49:54">
      <c r="AX81" s="94" t="s">
        <v>78</v>
      </c>
      <c r="AY81" s="94">
        <f t="shared" si="28"/>
        <v>2045</v>
      </c>
      <c r="AZ81" s="94">
        <f t="shared" si="29"/>
        <v>57.8156915428573</v>
      </c>
      <c r="BA81" s="94">
        <f t="shared" si="30"/>
        <v>38.1376618285715</v>
      </c>
      <c r="BB81" s="94">
        <f t="shared" si="31"/>
        <v>78.6679755428573</v>
      </c>
    </row>
    <row r="82" spans="49:54">
      <c r="AX82" s="94" t="s">
        <v>80</v>
      </c>
      <c r="AY82" s="94">
        <f t="shared" si="28"/>
        <v>2045</v>
      </c>
      <c r="AZ82" s="94">
        <f t="shared" si="29"/>
        <v>59.5653165714287</v>
      </c>
      <c r="BA82" s="94">
        <f t="shared" si="30"/>
        <v>39.9015741257144</v>
      </c>
      <c r="BB82" s="94">
        <f t="shared" si="31"/>
        <v>80.3988235885716</v>
      </c>
    </row>
    <row r="83" spans="49:54">
      <c r="AW83" s="87"/>
      <c r="AX83" s="99" t="s">
        <v>82</v>
      </c>
      <c r="AY83" s="94">
        <f t="shared" si="28"/>
        <v>2045</v>
      </c>
      <c r="AZ83" s="94">
        <f t="shared" si="29"/>
        <v>107.815222857143</v>
      </c>
      <c r="BA83" s="94">
        <f t="shared" si="30"/>
        <v>107.815222857143</v>
      </c>
      <c r="BB83" s="94">
        <f t="shared" si="31"/>
        <v>107.815222857143</v>
      </c>
    </row>
    <row r="87" spans="49:54">
      <c r="AX87" t="s">
        <v>62</v>
      </c>
      <c r="AY87"/>
      <c r="AZ87" s="94"/>
    </row>
    <row r="88" spans="49:54">
      <c r="AX88" s="94" t="s">
        <v>64</v>
      </c>
      <c r="AY88" s="94" t="s">
        <v>41</v>
      </c>
      <c r="AZ88" s="97" t="s">
        <v>65</v>
      </c>
      <c r="BA88" s="97" t="s">
        <v>11</v>
      </c>
      <c r="BB88" s="97" t="s">
        <v>25</v>
      </c>
    </row>
    <row r="89" spans="49:54">
      <c r="AX89" s="94" t="s">
        <v>66</v>
      </c>
      <c r="AY89" s="94">
        <v>2050</v>
      </c>
      <c r="AZ89" s="94">
        <f>AZ76*0.96</f>
        <v>51.3276439625144</v>
      </c>
      <c r="BA89" s="94">
        <f>BA76*0.96</f>
        <v>35.4303380406858</v>
      </c>
      <c r="BB89" s="94">
        <f>BB76*0.96</f>
        <v>68.2117622125716</v>
      </c>
    </row>
    <row r="90" spans="49:54">
      <c r="AX90" s="94" t="s">
        <v>69</v>
      </c>
      <c r="AY90" s="94">
        <f t="shared" ref="AY90:AY96" si="32">AY89</f>
        <v>2050</v>
      </c>
      <c r="AZ90" s="94">
        <f t="shared" ref="AZ90:BB90" si="33">AZ77*0.96</f>
        <v>60.9219348480002</v>
      </c>
      <c r="BA90" s="94">
        <f t="shared" si="33"/>
        <v>42.351391049143</v>
      </c>
      <c r="BB90" s="94">
        <f t="shared" si="33"/>
        <v>80.6239664640002</v>
      </c>
    </row>
    <row r="91" spans="49:54">
      <c r="AX91" s="94" t="s">
        <v>71</v>
      </c>
      <c r="AY91" s="94">
        <f t="shared" si="32"/>
        <v>2050</v>
      </c>
      <c r="AZ91" s="94">
        <f t="shared" ref="AZ91:BB91" si="34">AZ78*0.96</f>
        <v>54.4976743789715</v>
      </c>
      <c r="BA91" s="94">
        <f t="shared" si="34"/>
        <v>35.8228723638858</v>
      </c>
      <c r="BB91" s="94">
        <f t="shared" si="34"/>
        <v>74.2797232128002</v>
      </c>
    </row>
    <row r="92" spans="49:54">
      <c r="AX92" s="94" t="s">
        <v>73</v>
      </c>
      <c r="AY92" s="94">
        <f t="shared" si="32"/>
        <v>2050</v>
      </c>
      <c r="AZ92" s="94">
        <f t="shared" ref="AZ92:BB92" si="35">AZ79*0.96</f>
        <v>54.6086989604573</v>
      </c>
      <c r="BA92" s="94">
        <f t="shared" si="35"/>
        <v>35.4768107739429</v>
      </c>
      <c r="BB92" s="94">
        <f t="shared" si="35"/>
        <v>74.9031589522287</v>
      </c>
    </row>
    <row r="93" spans="49:54">
      <c r="AX93" s="94" t="s">
        <v>76</v>
      </c>
      <c r="AY93" s="94">
        <f t="shared" si="32"/>
        <v>2050</v>
      </c>
      <c r="AZ93" s="94">
        <f t="shared" ref="AZ93:BB93" si="36">AZ80*0.96</f>
        <v>57.5276736000001</v>
      </c>
      <c r="BA93" s="94">
        <f t="shared" si="36"/>
        <v>37.9084815360001</v>
      </c>
      <c r="BB93" s="94">
        <f t="shared" si="36"/>
        <v>78.3287447040002</v>
      </c>
    </row>
    <row r="94" spans="49:54">
      <c r="AX94" s="94" t="s">
        <v>78</v>
      </c>
      <c r="AY94" s="94">
        <f t="shared" si="32"/>
        <v>2050</v>
      </c>
      <c r="AZ94" s="94">
        <f t="shared" ref="AZ94:BB94" si="37">AZ81*0.96</f>
        <v>55.503063881143</v>
      </c>
      <c r="BA94" s="94">
        <f t="shared" si="37"/>
        <v>36.6121553554287</v>
      </c>
      <c r="BB94" s="94">
        <f t="shared" si="37"/>
        <v>75.521256521143</v>
      </c>
    </row>
    <row r="95" spans="49:54">
      <c r="AX95" s="94" t="s">
        <v>80</v>
      </c>
      <c r="AY95" s="94">
        <f t="shared" si="32"/>
        <v>2050</v>
      </c>
      <c r="AZ95" s="94">
        <f t="shared" ref="AZ95:BB95" si="38">AZ82*0.96</f>
        <v>57.1827039085716</v>
      </c>
      <c r="BA95" s="94">
        <f t="shared" si="38"/>
        <v>38.3055111606858</v>
      </c>
      <c r="BB95" s="94">
        <f t="shared" si="38"/>
        <v>77.1828706450288</v>
      </c>
    </row>
    <row r="96" spans="49:54">
      <c r="AW96" s="87"/>
      <c r="AX96" s="99" t="s">
        <v>82</v>
      </c>
      <c r="AY96" s="94">
        <f t="shared" si="32"/>
        <v>2050</v>
      </c>
      <c r="AZ96" s="94">
        <f>AZ83*0.96</f>
        <v>103.502613942857</v>
      </c>
      <c r="BA96" s="94">
        <f>BA83*0.96</f>
        <v>103.502613942857</v>
      </c>
      <c r="BB96" s="94">
        <f>BB83*0.96</f>
        <v>103.502613942857</v>
      </c>
    </row>
    <row r="104" spans="50:54">
      <c r="AX104" t="s">
        <v>62</v>
      </c>
      <c r="AY104"/>
      <c r="AZ104" s="94"/>
    </row>
    <row r="105" spans="50:54">
      <c r="AX105" s="94" t="s">
        <v>64</v>
      </c>
      <c r="AY105" s="94" t="s">
        <v>41</v>
      </c>
      <c r="AZ105" s="97" t="s">
        <v>65</v>
      </c>
      <c r="BA105" s="97" t="s">
        <v>11</v>
      </c>
      <c r="BB105" s="97" t="s">
        <v>25</v>
      </c>
    </row>
    <row r="106" spans="50:54">
      <c r="AX106" s="94" t="s">
        <v>66</v>
      </c>
      <c r="AY106" s="94">
        <v>2100</v>
      </c>
      <c r="AZ106" s="94">
        <f>AZ89</f>
        <v>51.3276439625144</v>
      </c>
      <c r="BA106" s="94">
        <f t="shared" ref="BA106:BA113" si="39">BA89</f>
        <v>35.4303380406858</v>
      </c>
      <c r="BB106" s="94">
        <f t="shared" ref="BB106:BB113" si="40">BB89</f>
        <v>68.2117622125716</v>
      </c>
    </row>
    <row r="107" spans="50:54">
      <c r="AX107" s="94" t="s">
        <v>69</v>
      </c>
      <c r="AY107" s="94">
        <f t="shared" ref="AY107:AY113" si="41">AY106</f>
        <v>2100</v>
      </c>
      <c r="AZ107" s="94">
        <f t="shared" ref="AZ107:AZ113" si="42">AZ90</f>
        <v>60.9219348480002</v>
      </c>
      <c r="BA107" s="94">
        <f t="shared" si="39"/>
        <v>42.351391049143</v>
      </c>
      <c r="BB107" s="94">
        <f t="shared" si="40"/>
        <v>80.6239664640002</v>
      </c>
    </row>
    <row r="108" spans="50:54">
      <c r="AX108" s="94" t="s">
        <v>71</v>
      </c>
      <c r="AY108" s="94">
        <f t="shared" si="41"/>
        <v>2100</v>
      </c>
      <c r="AZ108" s="94">
        <f t="shared" si="42"/>
        <v>54.4976743789715</v>
      </c>
      <c r="BA108" s="94">
        <f t="shared" si="39"/>
        <v>35.8228723638858</v>
      </c>
      <c r="BB108" s="94">
        <f t="shared" si="40"/>
        <v>74.2797232128002</v>
      </c>
    </row>
    <row r="109" spans="50:54">
      <c r="AX109" s="94" t="s">
        <v>73</v>
      </c>
      <c r="AY109" s="94">
        <f t="shared" si="41"/>
        <v>2100</v>
      </c>
      <c r="AZ109" s="94">
        <f t="shared" si="42"/>
        <v>54.6086989604573</v>
      </c>
      <c r="BA109" s="94">
        <f t="shared" si="39"/>
        <v>35.4768107739429</v>
      </c>
      <c r="BB109" s="94">
        <f t="shared" si="40"/>
        <v>74.9031589522287</v>
      </c>
    </row>
    <row r="110" spans="50:54">
      <c r="AX110" s="94" t="s">
        <v>76</v>
      </c>
      <c r="AY110" s="94">
        <f t="shared" si="41"/>
        <v>2100</v>
      </c>
      <c r="AZ110" s="94">
        <f t="shared" si="42"/>
        <v>57.5276736000001</v>
      </c>
      <c r="BA110" s="94">
        <f t="shared" si="39"/>
        <v>37.9084815360001</v>
      </c>
      <c r="BB110" s="94">
        <f t="shared" si="40"/>
        <v>78.3287447040002</v>
      </c>
    </row>
    <row r="111" spans="50:54">
      <c r="AX111" s="94" t="s">
        <v>78</v>
      </c>
      <c r="AY111" s="94">
        <f t="shared" si="41"/>
        <v>2100</v>
      </c>
      <c r="AZ111" s="94">
        <f t="shared" si="42"/>
        <v>55.503063881143</v>
      </c>
      <c r="BA111" s="94">
        <f t="shared" si="39"/>
        <v>36.6121553554287</v>
      </c>
      <c r="BB111" s="94">
        <f t="shared" si="40"/>
        <v>75.521256521143</v>
      </c>
    </row>
    <row r="112" spans="50:54">
      <c r="AX112" s="94" t="s">
        <v>80</v>
      </c>
      <c r="AY112" s="94">
        <f t="shared" si="41"/>
        <v>2100</v>
      </c>
      <c r="AZ112" s="94">
        <f t="shared" si="42"/>
        <v>57.1827039085716</v>
      </c>
      <c r="BA112" s="94">
        <f t="shared" si="39"/>
        <v>38.3055111606858</v>
      </c>
      <c r="BB112" s="94">
        <f t="shared" si="40"/>
        <v>77.1828706450288</v>
      </c>
    </row>
    <row r="113" spans="49:54">
      <c r="AW113" s="87"/>
      <c r="AX113" s="99" t="s">
        <v>82</v>
      </c>
      <c r="AY113" s="94">
        <f t="shared" si="41"/>
        <v>2100</v>
      </c>
      <c r="AZ113" s="94">
        <f t="shared" si="42"/>
        <v>103.502613942857</v>
      </c>
      <c r="BA113" s="94">
        <f t="shared" si="39"/>
        <v>103.502613942857</v>
      </c>
      <c r="BB113" s="94">
        <f t="shared" si="40"/>
        <v>103.502613942857</v>
      </c>
    </row>
    <row r="118" spans="49:54">
      <c r="AX118" t="s">
        <v>62</v>
      </c>
      <c r="AY118"/>
      <c r="AZ118" s="94"/>
    </row>
    <row r="119" spans="49:54">
      <c r="AX119" s="94" t="s">
        <v>64</v>
      </c>
      <c r="AY119" s="94" t="s">
        <v>41</v>
      </c>
      <c r="AZ119" s="97" t="s">
        <v>65</v>
      </c>
      <c r="BA119" s="97" t="s">
        <v>11</v>
      </c>
      <c r="BB119" s="97" t="s">
        <v>25</v>
      </c>
    </row>
    <row r="120" spans="49:54">
      <c r="AX120" s="94" t="s">
        <v>66</v>
      </c>
      <c r="AY120" s="94">
        <v>0</v>
      </c>
      <c r="AZ120" s="94">
        <v>3</v>
      </c>
      <c r="BA120" s="94">
        <v>3</v>
      </c>
      <c r="BB120" s="94">
        <v>3</v>
      </c>
    </row>
    <row r="121" spans="49:54">
      <c r="AX121" s="94" t="s">
        <v>69</v>
      </c>
      <c r="AY121" s="94">
        <f t="shared" ref="AY121:AY127" si="43">AY120</f>
        <v>0</v>
      </c>
      <c r="AZ121" s="94">
        <v>3</v>
      </c>
      <c r="BA121" s="94">
        <v>3</v>
      </c>
      <c r="BB121" s="94">
        <v>3</v>
      </c>
    </row>
    <row r="122" spans="49:54">
      <c r="AX122" s="94" t="s">
        <v>71</v>
      </c>
      <c r="AY122" s="94">
        <f t="shared" si="43"/>
        <v>0</v>
      </c>
      <c r="AZ122" s="94">
        <v>3</v>
      </c>
      <c r="BA122" s="94">
        <v>3</v>
      </c>
      <c r="BB122" s="94">
        <v>3</v>
      </c>
    </row>
    <row r="123" spans="49:54">
      <c r="AX123" s="94" t="s">
        <v>73</v>
      </c>
      <c r="AY123" s="94">
        <f t="shared" si="43"/>
        <v>0</v>
      </c>
      <c r="AZ123" s="94">
        <v>3</v>
      </c>
      <c r="BA123" s="94">
        <v>3</v>
      </c>
      <c r="BB123" s="94">
        <v>3</v>
      </c>
    </row>
    <row r="124" spans="49:54">
      <c r="AX124" s="94" t="s">
        <v>76</v>
      </c>
      <c r="AY124" s="94">
        <f t="shared" si="43"/>
        <v>0</v>
      </c>
      <c r="AZ124" s="94">
        <v>3</v>
      </c>
      <c r="BA124" s="94">
        <v>3</v>
      </c>
      <c r="BB124" s="94">
        <v>3</v>
      </c>
    </row>
    <row r="125" spans="49:54">
      <c r="AX125" s="94" t="s">
        <v>78</v>
      </c>
      <c r="AY125" s="94">
        <f t="shared" si="43"/>
        <v>0</v>
      </c>
      <c r="AZ125" s="94">
        <v>3</v>
      </c>
      <c r="BA125" s="94">
        <v>3</v>
      </c>
      <c r="BB125" s="94">
        <v>3</v>
      </c>
    </row>
    <row r="126" spans="49:54">
      <c r="AX126" s="94" t="s">
        <v>80</v>
      </c>
      <c r="AY126" s="94">
        <f t="shared" si="43"/>
        <v>0</v>
      </c>
      <c r="AZ126" s="94">
        <v>3</v>
      </c>
      <c r="BA126" s="94">
        <v>3</v>
      </c>
      <c r="BB126" s="94">
        <v>3</v>
      </c>
    </row>
    <row r="127" spans="49:54">
      <c r="AW127" s="87"/>
      <c r="AX127" s="99" t="s">
        <v>82</v>
      </c>
      <c r="AY127" s="94">
        <f t="shared" si="43"/>
        <v>0</v>
      </c>
      <c r="AZ127" s="94">
        <v>3</v>
      </c>
      <c r="BA127" s="94">
        <v>3</v>
      </c>
      <c r="BB127" s="9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zoomScale="62" zoomScaleNormal="62" topLeftCell="A66" workbookViewId="0">
      <selection activeCell="A87" sqref="$A87:$XFD87"/>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58" t="s">
        <v>85</v>
      </c>
      <c r="C2" s="58"/>
      <c r="D2" s="58"/>
      <c r="E2" s="58"/>
      <c r="K2" t="s">
        <v>86</v>
      </c>
      <c r="P2" s="59" t="s">
        <v>87</v>
      </c>
      <c r="Q2" s="59"/>
      <c r="R2" s="59"/>
      <c r="S2" s="59"/>
    </row>
    <row r="3" spans="2:19">
      <c r="B3" s="60" t="s">
        <v>88</v>
      </c>
      <c r="C3" s="60" t="s">
        <v>89</v>
      </c>
      <c r="D3" s="60" t="s">
        <v>90</v>
      </c>
      <c r="E3" s="60" t="s">
        <v>65</v>
      </c>
      <c r="K3" t="s">
        <v>64</v>
      </c>
      <c r="L3" t="s">
        <v>91</v>
      </c>
      <c r="M3" t="s">
        <v>92</v>
      </c>
      <c r="P3" s="59" t="s">
        <v>93</v>
      </c>
      <c r="Q3" s="59" t="s">
        <v>94</v>
      </c>
      <c r="R3" s="59" t="s">
        <v>95</v>
      </c>
      <c r="S3" s="59" t="s">
        <v>91</v>
      </c>
    </row>
    <row r="4" spans="2:19">
      <c r="B4" s="58" t="s">
        <v>96</v>
      </c>
      <c r="C4" s="58" t="s">
        <v>97</v>
      </c>
      <c r="D4" s="58" t="s">
        <v>98</v>
      </c>
      <c r="E4" s="58" t="s">
        <v>99</v>
      </c>
      <c r="K4" t="s">
        <v>100</v>
      </c>
      <c r="L4" t="s">
        <v>101</v>
      </c>
      <c r="M4" t="s">
        <v>102</v>
      </c>
      <c r="P4" s="59" t="s">
        <v>103</v>
      </c>
      <c r="Q4" s="59" t="s">
        <v>104</v>
      </c>
      <c r="R4" s="59" t="s">
        <v>105</v>
      </c>
      <c r="S4" s="59" t="s">
        <v>106</v>
      </c>
    </row>
    <row r="5" spans="2:19">
      <c r="B5" s="58" t="s">
        <v>96</v>
      </c>
      <c r="C5" s="58" t="s">
        <v>107</v>
      </c>
      <c r="D5" s="58" t="s">
        <v>98</v>
      </c>
      <c r="E5" s="58" t="s">
        <v>99</v>
      </c>
      <c r="K5" t="s">
        <v>108</v>
      </c>
      <c r="L5" t="s">
        <v>101</v>
      </c>
      <c r="M5" t="s">
        <v>109</v>
      </c>
    </row>
    <row r="6" spans="2:19">
      <c r="K6" t="s">
        <v>110</v>
      </c>
      <c r="L6" t="s">
        <v>101</v>
      </c>
      <c r="M6" t="s">
        <v>111</v>
      </c>
    </row>
    <row r="7" spans="2:19">
      <c r="K7" t="s">
        <v>112</v>
      </c>
      <c r="L7" t="s">
        <v>101</v>
      </c>
      <c r="M7" t="s">
        <v>113</v>
      </c>
    </row>
    <row r="8" spans="2:19">
      <c r="B8" t="s">
        <v>114</v>
      </c>
      <c r="K8" t="s">
        <v>115</v>
      </c>
      <c r="L8" t="s">
        <v>101</v>
      </c>
      <c r="M8" t="s">
        <v>104</v>
      </c>
    </row>
    <row r="9" spans="2:19">
      <c r="B9" t="s">
        <v>116</v>
      </c>
      <c r="C9" t="s">
        <v>117</v>
      </c>
      <c r="D9" t="s">
        <v>118</v>
      </c>
      <c r="E9" t="s">
        <v>119</v>
      </c>
      <c r="F9" t="s">
        <v>50</v>
      </c>
      <c r="G9" t="s">
        <v>120</v>
      </c>
      <c r="H9" t="s">
        <v>41</v>
      </c>
      <c r="K9" t="s">
        <v>121</v>
      </c>
      <c r="L9" t="s">
        <v>101</v>
      </c>
      <c r="M9" t="s">
        <v>113</v>
      </c>
    </row>
    <row r="10" spans="2:19">
      <c r="B10" t="s">
        <v>122</v>
      </c>
      <c r="C10" t="s">
        <v>123</v>
      </c>
      <c r="E10" t="s">
        <v>104</v>
      </c>
      <c r="F10">
        <v>0.25</v>
      </c>
      <c r="G10" t="s">
        <v>124</v>
      </c>
      <c r="K10" t="s">
        <v>123</v>
      </c>
      <c r="L10" t="s">
        <v>101</v>
      </c>
      <c r="M10" t="s">
        <v>104</v>
      </c>
    </row>
    <row r="11" spans="2:19">
      <c r="B11" t="s">
        <v>122</v>
      </c>
      <c r="C11" t="s">
        <v>123</v>
      </c>
      <c r="E11" t="s">
        <v>104</v>
      </c>
      <c r="F11">
        <v>3</v>
      </c>
      <c r="G11" t="s">
        <v>124</v>
      </c>
      <c r="H11">
        <v>0</v>
      </c>
    </row>
    <row r="12" spans="2:19">
      <c r="B12" t="s">
        <v>125</v>
      </c>
      <c r="C12" t="s">
        <v>98</v>
      </c>
      <c r="F12">
        <v>25</v>
      </c>
      <c r="K12" t="s">
        <v>126</v>
      </c>
    </row>
    <row r="13" spans="2:19">
      <c r="B13" t="s">
        <v>127</v>
      </c>
      <c r="C13" t="s">
        <v>98</v>
      </c>
      <c r="E13" s="104" t="s">
        <v>128</v>
      </c>
      <c r="F13">
        <v>2020</v>
      </c>
      <c r="K13" t="s">
        <v>116</v>
      </c>
      <c r="L13" t="s">
        <v>50</v>
      </c>
      <c r="M13" t="s">
        <v>129</v>
      </c>
      <c r="N13" t="s">
        <v>130</v>
      </c>
    </row>
    <row r="14" spans="2:19">
      <c r="K14" t="s">
        <v>131</v>
      </c>
      <c r="L14" t="s">
        <v>132</v>
      </c>
      <c r="M14" t="s">
        <v>133</v>
      </c>
      <c r="N14" t="s">
        <v>98</v>
      </c>
    </row>
    <row r="15" spans="2:19">
      <c r="B15" s="1" t="s">
        <v>134</v>
      </c>
      <c r="C15" s="1"/>
      <c r="D15" s="1" t="s">
        <v>135</v>
      </c>
      <c r="E15" s="1" t="s">
        <v>136</v>
      </c>
      <c r="F15" s="1">
        <v>0.93</v>
      </c>
      <c r="G15" s="1"/>
      <c r="H15" s="1"/>
      <c r="K15" t="s">
        <v>131</v>
      </c>
      <c r="L15" t="s">
        <v>137</v>
      </c>
      <c r="M15" t="s">
        <v>133</v>
      </c>
      <c r="N15" t="s">
        <v>115</v>
      </c>
    </row>
    <row r="16" spans="2:19">
      <c r="B16" s="61" t="s">
        <v>138</v>
      </c>
    </row>
    <row r="18" spans="2:50">
      <c r="B18" t="s">
        <v>93</v>
      </c>
      <c r="C18">
        <v>2020</v>
      </c>
      <c r="D18">
        <v>0</v>
      </c>
      <c r="E18" t="s">
        <v>139</v>
      </c>
      <c r="F18" t="s">
        <v>92</v>
      </c>
      <c r="G18" t="s">
        <v>140</v>
      </c>
    </row>
    <row r="19" spans="2:50">
      <c r="B19" s="104" t="s">
        <v>128</v>
      </c>
      <c r="C19">
        <v>0.2</v>
      </c>
      <c r="D19">
        <v>3</v>
      </c>
      <c r="E19" s="104" t="s">
        <v>141</v>
      </c>
      <c r="F19" t="s">
        <v>98</v>
      </c>
      <c r="G19" t="s">
        <v>142</v>
      </c>
    </row>
    <row r="21" spans="2:50">
      <c r="C21" t="s">
        <v>114</v>
      </c>
    </row>
    <row r="22" spans="2: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2:50">
      <c r="C23" t="s">
        <v>97</v>
      </c>
      <c r="D23" s="62">
        <f>AVERAGEIFS(RoadTra_BY!L$2:L$999,RoadTra_BY!$B$2:$B$999,'Road transport'!$C23,RoadTra_BY!$C$2:$C$999,'Road transport'!$AX23)</f>
        <v>7</v>
      </c>
      <c r="E23" s="62">
        <f>AVERAGEIFS(RoadTra_BY!M$2:M$999,RoadTra_BY!$B$2:$B$999,'Road transport'!$C23,RoadTra_BY!$C$2:$C$999,'Road transport'!$AX23)</f>
        <v>7</v>
      </c>
      <c r="F23" s="62">
        <f>AVERAGEIFS(RoadTra_BY!N$2:N$999,RoadTra_BY!$B$2:$B$999,'Road transport'!$C23,RoadTra_BY!$C$2:$C$999,'Road transport'!$AX23)</f>
        <v>7</v>
      </c>
      <c r="G23" s="62">
        <f>AVERAGEIFS(RoadTra_BY!O$2:O$999,RoadTra_BY!$B$2:$B$999,'Road transport'!$C23,RoadTra_BY!$C$2:$C$999,'Road transport'!$AX23)</f>
        <v>7</v>
      </c>
      <c r="H23" s="62">
        <f>AVERAGEIFS(RoadTra_BY!P$2:P$999,RoadTra_BY!$B$2:$B$999,'Road transport'!$C23,RoadTra_BY!$C$2:$C$999,'Road transport'!$AX23)</f>
        <v>7</v>
      </c>
      <c r="I23" s="62">
        <f>AVERAGEIFS(RoadTra_BY!Q$2:Q$999,RoadTra_BY!$B$2:$B$999,'Road transport'!$C23,RoadTra_BY!$C$2:$C$999,'Road transport'!$AX23)</f>
        <v>7</v>
      </c>
      <c r="J23" s="62">
        <f>AVERAGEIFS(RoadTra_BY!R$2:R$999,RoadTra_BY!$B$2:$B$999,'Road transport'!$C23,RoadTra_BY!$C$2:$C$999,'Road transport'!$AX23)</f>
        <v>7</v>
      </c>
      <c r="K23" s="62">
        <f>AVERAGEIFS(RoadTra_BY!S$2:S$999,RoadTra_BY!$B$2:$B$999,'Road transport'!$C23,RoadTra_BY!$C$2:$C$999,'Road transport'!$AX23)</f>
        <v>7</v>
      </c>
      <c r="L23" s="62">
        <f>AVERAGEIFS(RoadTra_BY!T$2:T$999,RoadTra_BY!$B$2:$B$999,'Road transport'!$C23,RoadTra_BY!$C$2:$C$999,'Road transport'!$AX23)</f>
        <v>7</v>
      </c>
      <c r="M23" s="62">
        <f>AVERAGEIFS(RoadTra_BY!U$2:U$999,RoadTra_BY!$B$2:$B$999,'Road transport'!$C23,RoadTra_BY!$C$2:$C$999,'Road transport'!$AX23)</f>
        <v>7</v>
      </c>
      <c r="N23" s="62">
        <f>AVERAGEIFS(RoadTra_BY!V$2:V$999,RoadTra_BY!$B$2:$B$999,'Road transport'!$C23,RoadTra_BY!$C$2:$C$999,'Road transport'!$AX23)</f>
        <v>7</v>
      </c>
      <c r="O23" s="62">
        <f>AVERAGEIFS(RoadTra_BY!W$2:W$999,RoadTra_BY!$B$2:$B$999,'Road transport'!$C23,RoadTra_BY!$C$2:$C$999,'Road transport'!$AX23)</f>
        <v>7</v>
      </c>
      <c r="P23" s="62">
        <f>AVERAGEIFS(RoadTra_BY!X$2:X$999,RoadTra_BY!$B$2:$B$999,'Road transport'!$C23,RoadTra_BY!$C$2:$C$999,'Road transport'!$AX23)</f>
        <v>7</v>
      </c>
      <c r="Q23" s="62">
        <f>AVERAGEIFS(RoadTra_BY!Y$2:Y$999,RoadTra_BY!$B$2:$B$999,'Road transport'!$C23,RoadTra_BY!$C$2:$C$999,'Road transport'!$AX23)</f>
        <v>7</v>
      </c>
      <c r="R23" s="62">
        <f>AVERAGEIFS(RoadTra_BY!Z$2:Z$999,RoadTra_BY!$B$2:$B$999,'Road transport'!$C23,RoadTra_BY!$C$2:$C$999,'Road transport'!$AX23)</f>
        <v>7</v>
      </c>
      <c r="S23" s="62">
        <f>AVERAGEIFS(RoadTra_BY!AA$2:AA$999,RoadTra_BY!$B$2:$B$999,'Road transport'!$C23,RoadTra_BY!$C$2:$C$999,'Road transport'!$AX23)</f>
        <v>7</v>
      </c>
      <c r="T23" s="62">
        <f>AVERAGEIFS(RoadTra_BY!AB$2:AB$999,RoadTra_BY!$B$2:$B$999,'Road transport'!$C23,RoadTra_BY!$C$2:$C$999,'Road transport'!$AX23)</f>
        <v>7</v>
      </c>
      <c r="U23" s="62">
        <f>AVERAGEIFS(RoadTra_BY!AC$2:AC$999,RoadTra_BY!$B$2:$B$999,'Road transport'!$C23,RoadTra_BY!$C$2:$C$999,'Road transport'!$AX23)</f>
        <v>7</v>
      </c>
      <c r="V23" s="62">
        <f>AVERAGEIFS(RoadTra_BY!AD$2:AD$999,RoadTra_BY!$B$2:$B$999,'Road transport'!$C23,RoadTra_BY!$C$2:$C$999,'Road transport'!$AX23)</f>
        <v>4</v>
      </c>
      <c r="W23" s="62">
        <f>AVERAGEIFS(RoadTra_BY!AE$2:AE$999,RoadTra_BY!$B$2:$B$999,'Road transport'!$C23,RoadTra_BY!$C$2:$C$999,'Road transport'!$AX23)</f>
        <v>7</v>
      </c>
      <c r="X23" s="62">
        <f>AVERAGEIFS(RoadTra_BY!AF$2:AF$999,RoadTra_BY!$B$2:$B$999,'Road transport'!$C23,RoadTra_BY!$C$2:$C$999,'Road transport'!$AX23)</f>
        <v>5</v>
      </c>
      <c r="Y23" s="62">
        <f>AVERAGEIFS(RoadTra_BY!AG$2:AG$999,RoadTra_BY!$B$2:$B$999,'Road transport'!$C23,RoadTra_BY!$C$2:$C$999,'Road transport'!$AX23)</f>
        <v>7</v>
      </c>
      <c r="Z23" s="62">
        <f>AVERAGEIFS(RoadTra_BY!AH$2:AH$999,RoadTra_BY!$B$2:$B$999,'Road transport'!$C23,RoadTra_BY!$C$2:$C$999,'Road transport'!$AX23)</f>
        <v>4</v>
      </c>
      <c r="AA23" s="62">
        <f>AVERAGEIFS(RoadTra_BY!AI$2:AI$999,RoadTra_BY!$B$2:$B$999,'Road transport'!$C23,RoadTra_BY!$C$2:$C$999,'Road transport'!$AX23)</f>
        <v>7</v>
      </c>
      <c r="AB23" s="62">
        <f>AVERAGEIFS(RoadTra_BY!AJ$2:AJ$999,RoadTra_BY!$B$2:$B$999,'Road transport'!$C23,RoadTra_BY!$C$2:$C$999,'Road transport'!$AX23)</f>
        <v>7</v>
      </c>
      <c r="AC23" s="62">
        <f>AVERAGEIFS(RoadTra_BY!AK$2:AK$999,RoadTra_BY!$B$2:$B$999,'Road transport'!$C23,RoadTra_BY!$C$2:$C$999,'Road transport'!$AX23)</f>
        <v>3</v>
      </c>
      <c r="AD23" s="62">
        <f>AVERAGEIFS(RoadTra_BY!AL$2:AL$999,RoadTra_BY!$B$2:$B$999,'Road transport'!$C23,RoadTra_BY!$C$2:$C$999,'Road transport'!$AX23)</f>
        <v>7</v>
      </c>
      <c r="AE23" s="62">
        <f>AVERAGEIFS(RoadTra_BY!AM$2:AM$999,RoadTra_BY!$B$2:$B$999,'Road transport'!$C23,RoadTra_BY!$C$2:$C$999,'Road transport'!$AX23)</f>
        <v>7</v>
      </c>
      <c r="AF23" s="62">
        <f>AVERAGEIFS(RoadTra_BY!AN$2:AN$999,RoadTra_BY!$B$2:$B$999,'Road transport'!$C23,RoadTra_BY!$C$2:$C$999,'Road transport'!$AX23)</f>
        <v>6.5</v>
      </c>
      <c r="AG23" s="62">
        <f>AVERAGEIFS(RoadTra_BY!AO$2:AO$999,RoadTra_BY!$B$2:$B$999,'Road transport'!$C23,RoadTra_BY!$C$2:$C$999,'Road transport'!$AX23)</f>
        <v>7</v>
      </c>
      <c r="AH23" s="62">
        <f>AVERAGEIFS(RoadTra_BY!AP$2:AP$999,RoadTra_BY!$B$2:$B$999,'Road transport'!$C23,RoadTra_BY!$C$2:$C$999,'Road transport'!$AX23)</f>
        <v>7</v>
      </c>
      <c r="AI23" s="62">
        <f>AVERAGEIFS(RoadTra_BY!AQ$2:AQ$999,RoadTra_BY!$B$2:$B$999,'Road transport'!$C23,RoadTra_BY!$C$2:$C$999,'Road transport'!$AX23)</f>
        <v>7</v>
      </c>
      <c r="AJ23" s="62">
        <f>AVERAGEIFS(RoadTra_BY!AR$2:AR$999,RoadTra_BY!$B$2:$B$999,'Road transport'!$C23,RoadTra_BY!$C$2:$C$999,'Road transport'!$AX23)</f>
        <v>4</v>
      </c>
      <c r="AK23" s="62">
        <f>AVERAGEIFS(RoadTra_BY!AS$2:AS$999,RoadTra_BY!$B$2:$B$999,'Road transport'!$C23,RoadTra_BY!$C$2:$C$999,'Road transport'!$AX23)</f>
        <v>4</v>
      </c>
      <c r="AL23" s="62">
        <f>AVERAGEIFS(RoadTra_BY!AT$2:AT$999,RoadTra_BY!$B$2:$B$999,'Road transport'!$C23,RoadTra_BY!$C$2:$C$999,'Road transport'!$AX23)</f>
        <v>4</v>
      </c>
      <c r="AM23" s="62" t="e">
        <f>AVERAGEIFS(RoadTra_BY!AU$2:AU$999,RoadTra_BY!$B$2:$B$999,'Road transport'!$C23,RoadTra_BY!$C$2:$C$999,'Road transport'!$AX23)</f>
        <v>#DIV/0!</v>
      </c>
      <c r="AN23" s="62" t="e">
        <f>AVERAGEIFS(RoadTra_BY!AV$2:AV$999,RoadTra_BY!$B$2:$B$999,'Road transport'!$C23,RoadTra_BY!$C$2:$C$999,'Road transport'!$AX23)</f>
        <v>#DIV/0!</v>
      </c>
      <c r="AO23" s="62" t="e">
        <f>AVERAGEIFS(RoadTra_BY!AW$2:AW$999,RoadTra_BY!$B$2:$B$999,'Road transport'!$C23,RoadTra_BY!$C$2:$C$999,'Road transport'!$AX23)</f>
        <v>#DIV/0!</v>
      </c>
      <c r="AP23" s="62" t="e">
        <f>AVERAGEIFS(RoadTra_BY!AX$2:AX$999,RoadTra_BY!$B$2:$B$999,'Road transport'!$C23,RoadTra_BY!$C$2:$C$999,'Road transport'!$AX23)</f>
        <v>#DIV/0!</v>
      </c>
      <c r="AQ23" s="62" t="e">
        <f>AVERAGEIFS(RoadTra_BY!AY$2:AY$999,RoadTra_BY!$B$2:$B$999,'Road transport'!$C23,RoadTra_BY!$C$2:$C$999,'Road transport'!$AX23)</f>
        <v>#DIV/0!</v>
      </c>
      <c r="AR23" s="62" t="e">
        <f>AVERAGEIFS(RoadTra_BY!AZ$2:AZ$999,RoadTra_BY!$B$2:$B$999,'Road transport'!$C23,RoadTra_BY!$C$2:$C$999,'Road transport'!$AX23)</f>
        <v>#DIV/0!</v>
      </c>
      <c r="AS23" s="62" t="e">
        <f>AVERAGEIFS(RoadTra_BY!BA$2:BA$999,RoadTra_BY!$B$2:$B$999,'Road transport'!$C23,RoadTra_BY!$C$2:$C$999,'Road transport'!$AX23)</f>
        <v>#DIV/0!</v>
      </c>
      <c r="AT23" s="62" t="e">
        <f>AVERAGEIFS(RoadTra_BY!BB$2:BB$999,RoadTra_BY!$B$2:$B$999,'Road transport'!$C23,RoadTra_BY!$C$2:$C$999,'Road transport'!$AX23)</f>
        <v>#DIV/0!</v>
      </c>
      <c r="AU23" s="62" t="e">
        <f>AVERAGEIFS(RoadTra_BY!BC$2:BC$999,RoadTra_BY!$B$2:$B$999,'Road transport'!$C23,RoadTra_BY!$C$2:$C$999,'Road transport'!$AX23)</f>
        <v>#DIV/0!</v>
      </c>
      <c r="AV23" s="62" t="e">
        <f>AVERAGEIFS(RoadTra_BY!BD$2:BD$999,RoadTra_BY!$B$2:$B$999,'Road transport'!$C23,RoadTra_BY!$C$2:$C$999,'Road transport'!$AX23)</f>
        <v>#DIV/0!</v>
      </c>
      <c r="AW23" s="62" t="e">
        <f>AVERAGEIFS(RoadTra_BY!BE$2:BE$999,RoadTra_BY!$B$2:$B$999,'Road transport'!$C23,RoadTra_BY!$C$2:$C$999,'Road transport'!$AX23)</f>
        <v>#DIV/0!</v>
      </c>
      <c r="AX23" t="s">
        <v>143</v>
      </c>
    </row>
    <row r="24" spans="2:50">
      <c r="C24" t="s">
        <v>97</v>
      </c>
      <c r="D24" s="62">
        <f>AVERAGEIFS(RoadTra_BY!L$2:L$999,RoadTra_BY!$B$2:$B$999,'Road transport'!$C24,RoadTra_BY!$C$2:$C$999,'Road transport'!$AX24)</f>
        <v>15</v>
      </c>
      <c r="E24" s="62">
        <f>AVERAGEIFS(RoadTra_BY!M$2:M$999,RoadTra_BY!$B$2:$B$999,'Road transport'!$C24,RoadTra_BY!$C$2:$C$999,'Road transport'!$AX24)</f>
        <v>15</v>
      </c>
      <c r="F24" s="62">
        <f>AVERAGEIFS(RoadTra_BY!N$2:N$999,RoadTra_BY!$B$2:$B$999,'Road transport'!$C24,RoadTra_BY!$C$2:$C$999,'Road transport'!$AX24)</f>
        <v>15</v>
      </c>
      <c r="G24" s="62">
        <f>AVERAGEIFS(RoadTra_BY!O$2:O$999,RoadTra_BY!$B$2:$B$999,'Road transport'!$C24,RoadTra_BY!$C$2:$C$999,'Road transport'!$AX24)</f>
        <v>15</v>
      </c>
      <c r="H24" s="62">
        <f>AVERAGEIFS(RoadTra_BY!P$2:P$999,RoadTra_BY!$B$2:$B$999,'Road transport'!$C24,RoadTra_BY!$C$2:$C$999,'Road transport'!$AX24)</f>
        <v>15</v>
      </c>
      <c r="I24" s="62">
        <f>AVERAGEIFS(RoadTra_BY!Q$2:Q$999,RoadTra_BY!$B$2:$B$999,'Road transport'!$C24,RoadTra_BY!$C$2:$C$999,'Road transport'!$AX24)</f>
        <v>15</v>
      </c>
      <c r="J24" s="62">
        <f>AVERAGEIFS(RoadTra_BY!R$2:R$999,RoadTra_BY!$B$2:$B$999,'Road transport'!$C24,RoadTra_BY!$C$2:$C$999,'Road transport'!$AX24)</f>
        <v>15</v>
      </c>
      <c r="K24" s="62">
        <f>AVERAGEIFS(RoadTra_BY!S$2:S$999,RoadTra_BY!$B$2:$B$999,'Road transport'!$C24,RoadTra_BY!$C$2:$C$999,'Road transport'!$AX24)</f>
        <v>15</v>
      </c>
      <c r="L24" s="62">
        <f>AVERAGEIFS(RoadTra_BY!T$2:T$999,RoadTra_BY!$B$2:$B$999,'Road transport'!$C24,RoadTra_BY!$C$2:$C$999,'Road transport'!$AX24)</f>
        <v>15</v>
      </c>
      <c r="M24" s="62">
        <f>AVERAGEIFS(RoadTra_BY!U$2:U$999,RoadTra_BY!$B$2:$B$999,'Road transport'!$C24,RoadTra_BY!$C$2:$C$999,'Road transport'!$AX24)</f>
        <v>15</v>
      </c>
      <c r="N24" s="62">
        <f>AVERAGEIFS(RoadTra_BY!V$2:V$999,RoadTra_BY!$B$2:$B$999,'Road transport'!$C24,RoadTra_BY!$C$2:$C$999,'Road transport'!$AX24)</f>
        <v>15</v>
      </c>
      <c r="O24" s="62">
        <f>AVERAGEIFS(RoadTra_BY!W$2:W$999,RoadTra_BY!$B$2:$B$999,'Road transport'!$C24,RoadTra_BY!$C$2:$C$999,'Road transport'!$AX24)</f>
        <v>15</v>
      </c>
      <c r="P24" s="62">
        <f>AVERAGEIFS(RoadTra_BY!X$2:X$999,RoadTra_BY!$B$2:$B$999,'Road transport'!$C24,RoadTra_BY!$C$2:$C$999,'Road transport'!$AX24)</f>
        <v>15</v>
      </c>
      <c r="Q24" s="62">
        <f>AVERAGEIFS(RoadTra_BY!Y$2:Y$999,RoadTra_BY!$B$2:$B$999,'Road transport'!$C24,RoadTra_BY!$C$2:$C$999,'Road transport'!$AX24)</f>
        <v>15</v>
      </c>
      <c r="R24" s="62">
        <f>AVERAGEIFS(RoadTra_BY!Z$2:Z$999,RoadTra_BY!$B$2:$B$999,'Road transport'!$C24,RoadTra_BY!$C$2:$C$999,'Road transport'!$AX24)</f>
        <v>15</v>
      </c>
      <c r="S24" s="62">
        <f>AVERAGEIFS(RoadTra_BY!AA$2:AA$999,RoadTra_BY!$B$2:$B$999,'Road transport'!$C24,RoadTra_BY!$C$2:$C$999,'Road transport'!$AX24)</f>
        <v>15</v>
      </c>
      <c r="T24" s="62">
        <f>AVERAGEIFS(RoadTra_BY!AB$2:AB$999,RoadTra_BY!$B$2:$B$999,'Road transport'!$C24,RoadTra_BY!$C$2:$C$999,'Road transport'!$AX24)</f>
        <v>15</v>
      </c>
      <c r="U24" s="62">
        <f>AVERAGEIFS(RoadTra_BY!AC$2:AC$999,RoadTra_BY!$B$2:$B$999,'Road transport'!$C24,RoadTra_BY!$C$2:$C$999,'Road transport'!$AX24)</f>
        <v>15</v>
      </c>
      <c r="V24" s="62">
        <f>AVERAGEIFS(RoadTra_BY!AD$2:AD$999,RoadTra_BY!$B$2:$B$999,'Road transport'!$C24,RoadTra_BY!$C$2:$C$999,'Road transport'!$AX24)</f>
        <v>15</v>
      </c>
      <c r="W24" s="62">
        <f>AVERAGEIFS(RoadTra_BY!AE$2:AE$999,RoadTra_BY!$B$2:$B$999,'Road transport'!$C24,RoadTra_BY!$C$2:$C$999,'Road transport'!$AX24)</f>
        <v>15</v>
      </c>
      <c r="X24" s="62">
        <f>AVERAGEIFS(RoadTra_BY!AF$2:AF$999,RoadTra_BY!$B$2:$B$999,'Road transport'!$C24,RoadTra_BY!$C$2:$C$999,'Road transport'!$AX24)</f>
        <v>15</v>
      </c>
      <c r="Y24" s="62">
        <f>AVERAGEIFS(RoadTra_BY!AG$2:AG$999,RoadTra_BY!$B$2:$B$999,'Road transport'!$C24,RoadTra_BY!$C$2:$C$999,'Road transport'!$AX24)</f>
        <v>15</v>
      </c>
      <c r="Z24" s="62">
        <f>AVERAGEIFS(RoadTra_BY!AH$2:AH$999,RoadTra_BY!$B$2:$B$999,'Road transport'!$C24,RoadTra_BY!$C$2:$C$999,'Road transport'!$AX24)</f>
        <v>15</v>
      </c>
      <c r="AA24" s="62">
        <f>AVERAGEIFS(RoadTra_BY!AI$2:AI$999,RoadTra_BY!$B$2:$B$999,'Road transport'!$C24,RoadTra_BY!$C$2:$C$999,'Road transport'!$AX24)</f>
        <v>15</v>
      </c>
      <c r="AB24" s="62">
        <f>AVERAGEIFS(RoadTra_BY!AJ$2:AJ$999,RoadTra_BY!$B$2:$B$999,'Road transport'!$C24,RoadTra_BY!$C$2:$C$999,'Road transport'!$AX24)</f>
        <v>15</v>
      </c>
      <c r="AC24" s="62">
        <f>AVERAGEIFS(RoadTra_BY!AK$2:AK$999,RoadTra_BY!$B$2:$B$999,'Road transport'!$C24,RoadTra_BY!$C$2:$C$999,'Road transport'!$AX24)</f>
        <v>15</v>
      </c>
      <c r="AD24" s="62">
        <f>AVERAGEIFS(RoadTra_BY!AL$2:AL$999,RoadTra_BY!$B$2:$B$999,'Road transport'!$C24,RoadTra_BY!$C$2:$C$999,'Road transport'!$AX24)</f>
        <v>15</v>
      </c>
      <c r="AE24" s="62">
        <f>AVERAGEIFS(RoadTra_BY!AM$2:AM$999,RoadTra_BY!$B$2:$B$999,'Road transport'!$C24,RoadTra_BY!$C$2:$C$999,'Road transport'!$AX24)</f>
        <v>15</v>
      </c>
      <c r="AF24" s="62">
        <f>AVERAGEIFS(RoadTra_BY!AN$2:AN$999,RoadTra_BY!$B$2:$B$999,'Road transport'!$C24,RoadTra_BY!$C$2:$C$999,'Road transport'!$AX24)</f>
        <v>20</v>
      </c>
      <c r="AG24" s="62">
        <f>AVERAGEIFS(RoadTra_BY!AO$2:AO$999,RoadTra_BY!$B$2:$B$999,'Road transport'!$C24,RoadTra_BY!$C$2:$C$999,'Road transport'!$AX24)</f>
        <v>15</v>
      </c>
      <c r="AH24" s="62">
        <f>AVERAGEIFS(RoadTra_BY!AP$2:AP$999,RoadTra_BY!$B$2:$B$999,'Road transport'!$C24,RoadTra_BY!$C$2:$C$999,'Road transport'!$AX24)</f>
        <v>15</v>
      </c>
      <c r="AI24" s="62">
        <f>AVERAGEIFS(RoadTra_BY!AQ$2:AQ$999,RoadTra_BY!$B$2:$B$999,'Road transport'!$C24,RoadTra_BY!$C$2:$C$999,'Road transport'!$AX24)</f>
        <v>15</v>
      </c>
      <c r="AJ24" s="62">
        <f>AVERAGEIFS(RoadTra_BY!AR$2:AR$999,RoadTra_BY!$B$2:$B$999,'Road transport'!$C24,RoadTra_BY!$C$2:$C$999,'Road transport'!$AX24)</f>
        <v>15</v>
      </c>
      <c r="AK24" s="62">
        <f>AVERAGEIFS(RoadTra_BY!AS$2:AS$999,RoadTra_BY!$B$2:$B$999,'Road transport'!$C24,RoadTra_BY!$C$2:$C$999,'Road transport'!$AX24)</f>
        <v>15</v>
      </c>
      <c r="AL24" s="62">
        <f>AVERAGEIFS(RoadTra_BY!AT$2:AT$999,RoadTra_BY!$B$2:$B$999,'Road transport'!$C24,RoadTra_BY!$C$2:$C$999,'Road transport'!$AX24)</f>
        <v>15</v>
      </c>
      <c r="AM24" s="62" t="e">
        <f>AVERAGEIFS(RoadTra_BY!AU$2:AU$999,RoadTra_BY!$B$2:$B$999,'Road transport'!$C24,RoadTra_BY!$C$2:$C$999,'Road transport'!$AX24)</f>
        <v>#DIV/0!</v>
      </c>
      <c r="AN24" s="62" t="e">
        <f>AVERAGEIFS(RoadTra_BY!AV$2:AV$999,RoadTra_BY!$B$2:$B$999,'Road transport'!$C24,RoadTra_BY!$C$2:$C$999,'Road transport'!$AX24)</f>
        <v>#DIV/0!</v>
      </c>
      <c r="AO24" s="62" t="e">
        <f>AVERAGEIFS(RoadTra_BY!AW$2:AW$999,RoadTra_BY!$B$2:$B$999,'Road transport'!$C24,RoadTra_BY!$C$2:$C$999,'Road transport'!$AX24)</f>
        <v>#DIV/0!</v>
      </c>
      <c r="AP24" s="62" t="e">
        <f>AVERAGEIFS(RoadTra_BY!AX$2:AX$999,RoadTra_BY!$B$2:$B$999,'Road transport'!$C24,RoadTra_BY!$C$2:$C$999,'Road transport'!$AX24)</f>
        <v>#DIV/0!</v>
      </c>
      <c r="AQ24" s="62" t="e">
        <f>AVERAGEIFS(RoadTra_BY!AY$2:AY$999,RoadTra_BY!$B$2:$B$999,'Road transport'!$C24,RoadTra_BY!$C$2:$C$999,'Road transport'!$AX24)</f>
        <v>#DIV/0!</v>
      </c>
      <c r="AR24" s="62" t="e">
        <f>AVERAGEIFS(RoadTra_BY!AZ$2:AZ$999,RoadTra_BY!$B$2:$B$999,'Road transport'!$C24,RoadTra_BY!$C$2:$C$999,'Road transport'!$AX24)</f>
        <v>#DIV/0!</v>
      </c>
      <c r="AS24" s="62" t="e">
        <f>AVERAGEIFS(RoadTra_BY!BA$2:BA$999,RoadTra_BY!$B$2:$B$999,'Road transport'!$C24,RoadTra_BY!$C$2:$C$999,'Road transport'!$AX24)</f>
        <v>#DIV/0!</v>
      </c>
      <c r="AT24" s="62" t="e">
        <f>AVERAGEIFS(RoadTra_BY!BB$2:BB$999,RoadTra_BY!$B$2:$B$999,'Road transport'!$C24,RoadTra_BY!$C$2:$C$999,'Road transport'!$AX24)</f>
        <v>#DIV/0!</v>
      </c>
      <c r="AU24" s="62" t="e">
        <f>AVERAGEIFS(RoadTra_BY!BC$2:BC$999,RoadTra_BY!$B$2:$B$999,'Road transport'!$C24,RoadTra_BY!$C$2:$C$999,'Road transport'!$AX24)</f>
        <v>#DIV/0!</v>
      </c>
      <c r="AV24" s="62" t="e">
        <f>AVERAGEIFS(RoadTra_BY!BD$2:BD$999,RoadTra_BY!$B$2:$B$999,'Road transport'!$C24,RoadTra_BY!$C$2:$C$999,'Road transport'!$AX24)</f>
        <v>#DIV/0!</v>
      </c>
      <c r="AW24" s="62" t="e">
        <f>AVERAGEIFS(RoadTra_BY!BE$2:BE$999,RoadTra_BY!$B$2:$B$999,'Road transport'!$C24,RoadTra_BY!$C$2:$C$999,'Road transport'!$AX24)</f>
        <v>#DIV/0!</v>
      </c>
      <c r="AX24" t="s">
        <v>144</v>
      </c>
    </row>
    <row r="25" spans="2:50">
      <c r="C25" t="s">
        <v>97</v>
      </c>
      <c r="D25" s="62">
        <f>AVERAGEIFS(RoadTra_BY!L$2:L$999,RoadTra_BY!$B$2:$B$999,'Road transport'!$C25,RoadTra_BY!$C$2:$C$999,'Road transport'!$AX25)</f>
        <v>35</v>
      </c>
      <c r="E25" s="62">
        <f>AVERAGEIFS(RoadTra_BY!M$2:M$999,RoadTra_BY!$B$2:$B$999,'Road transport'!$C25,RoadTra_BY!$C$2:$C$999,'Road transport'!$AX25)</f>
        <v>35</v>
      </c>
      <c r="F25" s="62">
        <f>AVERAGEIFS(RoadTra_BY!N$2:N$999,RoadTra_BY!$B$2:$B$999,'Road transport'!$C25,RoadTra_BY!$C$2:$C$999,'Road transport'!$AX25)</f>
        <v>35</v>
      </c>
      <c r="G25" s="62">
        <f>AVERAGEIFS(RoadTra_BY!O$2:O$999,RoadTra_BY!$B$2:$B$999,'Road transport'!$C25,RoadTra_BY!$C$2:$C$999,'Road transport'!$AX25)</f>
        <v>35</v>
      </c>
      <c r="H25" s="62">
        <f>AVERAGEIFS(RoadTra_BY!P$2:P$999,RoadTra_BY!$B$2:$B$999,'Road transport'!$C25,RoadTra_BY!$C$2:$C$999,'Road transport'!$AX25)</f>
        <v>35</v>
      </c>
      <c r="I25" s="62">
        <f>AVERAGEIFS(RoadTra_BY!Q$2:Q$999,RoadTra_BY!$B$2:$B$999,'Road transport'!$C25,RoadTra_BY!$C$2:$C$999,'Road transport'!$AX25)</f>
        <v>35</v>
      </c>
      <c r="J25" s="62">
        <f>AVERAGEIFS(RoadTra_BY!R$2:R$999,RoadTra_BY!$B$2:$B$999,'Road transport'!$C25,RoadTra_BY!$C$2:$C$999,'Road transport'!$AX25)</f>
        <v>35</v>
      </c>
      <c r="K25" s="62">
        <f>AVERAGEIFS(RoadTra_BY!S$2:S$999,RoadTra_BY!$B$2:$B$999,'Road transport'!$C25,RoadTra_BY!$C$2:$C$999,'Road transport'!$AX25)</f>
        <v>35</v>
      </c>
      <c r="L25" s="62">
        <f>AVERAGEIFS(RoadTra_BY!T$2:T$999,RoadTra_BY!$B$2:$B$999,'Road transport'!$C25,RoadTra_BY!$C$2:$C$999,'Road transport'!$AX25)</f>
        <v>35</v>
      </c>
      <c r="M25" s="62">
        <f>AVERAGEIFS(RoadTra_BY!U$2:U$999,RoadTra_BY!$B$2:$B$999,'Road transport'!$C25,RoadTra_BY!$C$2:$C$999,'Road transport'!$AX25)</f>
        <v>35</v>
      </c>
      <c r="N25" s="62">
        <f>AVERAGEIFS(RoadTra_BY!V$2:V$999,RoadTra_BY!$B$2:$B$999,'Road transport'!$C25,RoadTra_BY!$C$2:$C$999,'Road transport'!$AX25)</f>
        <v>35</v>
      </c>
      <c r="O25" s="62">
        <f>AVERAGEIFS(RoadTra_BY!W$2:W$999,RoadTra_BY!$B$2:$B$999,'Road transport'!$C25,RoadTra_BY!$C$2:$C$999,'Road transport'!$AX25)</f>
        <v>35</v>
      </c>
      <c r="P25" s="62">
        <f>AVERAGEIFS(RoadTra_BY!X$2:X$999,RoadTra_BY!$B$2:$B$999,'Road transport'!$C25,RoadTra_BY!$C$2:$C$999,'Road transport'!$AX25)</f>
        <v>35</v>
      </c>
      <c r="Q25" s="62">
        <f>AVERAGEIFS(RoadTra_BY!Y$2:Y$999,RoadTra_BY!$B$2:$B$999,'Road transport'!$C25,RoadTra_BY!$C$2:$C$999,'Road transport'!$AX25)</f>
        <v>35</v>
      </c>
      <c r="R25" s="62">
        <f>AVERAGEIFS(RoadTra_BY!Z$2:Z$999,RoadTra_BY!$B$2:$B$999,'Road transport'!$C25,RoadTra_BY!$C$2:$C$999,'Road transport'!$AX25)</f>
        <v>35</v>
      </c>
      <c r="S25" s="62">
        <f>AVERAGEIFS(RoadTra_BY!AA$2:AA$999,RoadTra_BY!$B$2:$B$999,'Road transport'!$C25,RoadTra_BY!$C$2:$C$999,'Road transport'!$AX25)</f>
        <v>35</v>
      </c>
      <c r="T25" s="62">
        <f>AVERAGEIFS(RoadTra_BY!AB$2:AB$999,RoadTra_BY!$B$2:$B$999,'Road transport'!$C25,RoadTra_BY!$C$2:$C$999,'Road transport'!$AX25)</f>
        <v>35</v>
      </c>
      <c r="U25" s="62">
        <f>AVERAGEIFS(RoadTra_BY!AC$2:AC$999,RoadTra_BY!$B$2:$B$999,'Road transport'!$C25,RoadTra_BY!$C$2:$C$999,'Road transport'!$AX25)</f>
        <v>35</v>
      </c>
      <c r="V25" s="62">
        <f>AVERAGEIFS(RoadTra_BY!AD$2:AD$999,RoadTra_BY!$B$2:$B$999,'Road transport'!$C25,RoadTra_BY!$C$2:$C$999,'Road transport'!$AX25)</f>
        <v>35</v>
      </c>
      <c r="W25" s="62">
        <f>AVERAGEIFS(RoadTra_BY!AE$2:AE$999,RoadTra_BY!$B$2:$B$999,'Road transport'!$C25,RoadTra_BY!$C$2:$C$999,'Road transport'!$AX25)</f>
        <v>35</v>
      </c>
      <c r="X25" s="62">
        <f>AVERAGEIFS(RoadTra_BY!AF$2:AF$999,RoadTra_BY!$B$2:$B$999,'Road transport'!$C25,RoadTra_BY!$C$2:$C$999,'Road transport'!$AX25)</f>
        <v>35</v>
      </c>
      <c r="Y25" s="62">
        <f>AVERAGEIFS(RoadTra_BY!AG$2:AG$999,RoadTra_BY!$B$2:$B$999,'Road transport'!$C25,RoadTra_BY!$C$2:$C$999,'Road transport'!$AX25)</f>
        <v>35</v>
      </c>
      <c r="Z25" s="62">
        <f>AVERAGEIFS(RoadTra_BY!AH$2:AH$999,RoadTra_BY!$B$2:$B$999,'Road transport'!$C25,RoadTra_BY!$C$2:$C$999,'Road transport'!$AX25)</f>
        <v>35</v>
      </c>
      <c r="AA25" s="62">
        <f>AVERAGEIFS(RoadTra_BY!AI$2:AI$999,RoadTra_BY!$B$2:$B$999,'Road transport'!$C25,RoadTra_BY!$C$2:$C$999,'Road transport'!$AX25)</f>
        <v>35</v>
      </c>
      <c r="AB25" s="62">
        <f>AVERAGEIFS(RoadTra_BY!AJ$2:AJ$999,RoadTra_BY!$B$2:$B$999,'Road transport'!$C25,RoadTra_BY!$C$2:$C$999,'Road transport'!$AX25)</f>
        <v>35</v>
      </c>
      <c r="AC25" s="62">
        <f>AVERAGEIFS(RoadTra_BY!AK$2:AK$999,RoadTra_BY!$B$2:$B$999,'Road transport'!$C25,RoadTra_BY!$C$2:$C$999,'Road transport'!$AX25)</f>
        <v>35</v>
      </c>
      <c r="AD25" s="62">
        <f>AVERAGEIFS(RoadTra_BY!AL$2:AL$999,RoadTra_BY!$B$2:$B$999,'Road transport'!$C25,RoadTra_BY!$C$2:$C$999,'Road transport'!$AX25)</f>
        <v>35</v>
      </c>
      <c r="AE25" s="62">
        <f>AVERAGEIFS(RoadTra_BY!AM$2:AM$999,RoadTra_BY!$B$2:$B$999,'Road transport'!$C25,RoadTra_BY!$C$2:$C$999,'Road transport'!$AX25)</f>
        <v>35</v>
      </c>
      <c r="AF25" s="62">
        <f>AVERAGEIFS(RoadTra_BY!AN$2:AN$999,RoadTra_BY!$B$2:$B$999,'Road transport'!$C25,RoadTra_BY!$C$2:$C$999,'Road transport'!$AX25)</f>
        <v>35</v>
      </c>
      <c r="AG25" s="62">
        <f>AVERAGEIFS(RoadTra_BY!AO$2:AO$999,RoadTra_BY!$B$2:$B$999,'Road transport'!$C25,RoadTra_BY!$C$2:$C$999,'Road transport'!$AX25)</f>
        <v>35</v>
      </c>
      <c r="AH25" s="62">
        <f>AVERAGEIFS(RoadTra_BY!AP$2:AP$999,RoadTra_BY!$B$2:$B$999,'Road transport'!$C25,RoadTra_BY!$C$2:$C$999,'Road transport'!$AX25)</f>
        <v>35</v>
      </c>
      <c r="AI25" s="62">
        <f>AVERAGEIFS(RoadTra_BY!AQ$2:AQ$999,RoadTra_BY!$B$2:$B$999,'Road transport'!$C25,RoadTra_BY!$C$2:$C$999,'Road transport'!$AX25)</f>
        <v>35</v>
      </c>
      <c r="AJ25" s="62">
        <f>AVERAGEIFS(RoadTra_BY!AR$2:AR$999,RoadTra_BY!$B$2:$B$999,'Road transport'!$C25,RoadTra_BY!$C$2:$C$999,'Road transport'!$AX25)</f>
        <v>35</v>
      </c>
      <c r="AK25" s="62">
        <f>AVERAGEIFS(RoadTra_BY!AS$2:AS$999,RoadTra_BY!$B$2:$B$999,'Road transport'!$C25,RoadTra_BY!$C$2:$C$999,'Road transport'!$AX25)</f>
        <v>35</v>
      </c>
      <c r="AL25" s="62">
        <f>AVERAGEIFS(RoadTra_BY!AT$2:AT$999,RoadTra_BY!$B$2:$B$999,'Road transport'!$C25,RoadTra_BY!$C$2:$C$999,'Road transport'!$AX25)</f>
        <v>20</v>
      </c>
      <c r="AM25" s="62" t="e">
        <f>AVERAGEIFS(RoadTra_BY!AU$2:AU$999,RoadTra_BY!$B$2:$B$999,'Road transport'!$C25,RoadTra_BY!$C$2:$C$999,'Road transport'!$AX25)</f>
        <v>#DIV/0!</v>
      </c>
      <c r="AN25" s="62" t="e">
        <f>AVERAGEIFS(RoadTra_BY!AV$2:AV$999,RoadTra_BY!$B$2:$B$999,'Road transport'!$C25,RoadTra_BY!$C$2:$C$999,'Road transport'!$AX25)</f>
        <v>#DIV/0!</v>
      </c>
      <c r="AO25" s="62" t="e">
        <f>AVERAGEIFS(RoadTra_BY!AW$2:AW$999,RoadTra_BY!$B$2:$B$999,'Road transport'!$C25,RoadTra_BY!$C$2:$C$999,'Road transport'!$AX25)</f>
        <v>#DIV/0!</v>
      </c>
      <c r="AP25" s="62" t="e">
        <f>AVERAGEIFS(RoadTra_BY!AX$2:AX$999,RoadTra_BY!$B$2:$B$999,'Road transport'!$C25,RoadTra_BY!$C$2:$C$999,'Road transport'!$AX25)</f>
        <v>#DIV/0!</v>
      </c>
      <c r="AQ25" s="62" t="e">
        <f>AVERAGEIFS(RoadTra_BY!AY$2:AY$999,RoadTra_BY!$B$2:$B$999,'Road transport'!$C25,RoadTra_BY!$C$2:$C$999,'Road transport'!$AX25)</f>
        <v>#DIV/0!</v>
      </c>
      <c r="AR25" s="62" t="e">
        <f>AVERAGEIFS(RoadTra_BY!AZ$2:AZ$999,RoadTra_BY!$B$2:$B$999,'Road transport'!$C25,RoadTra_BY!$C$2:$C$999,'Road transport'!$AX25)</f>
        <v>#DIV/0!</v>
      </c>
      <c r="AS25" s="62" t="e">
        <f>AVERAGEIFS(RoadTra_BY!BA$2:BA$999,RoadTra_BY!$B$2:$B$999,'Road transport'!$C25,RoadTra_BY!$C$2:$C$999,'Road transport'!$AX25)</f>
        <v>#DIV/0!</v>
      </c>
      <c r="AT25" s="62" t="e">
        <f>AVERAGEIFS(RoadTra_BY!BB$2:BB$999,RoadTra_BY!$B$2:$B$999,'Road transport'!$C25,RoadTra_BY!$C$2:$C$999,'Road transport'!$AX25)</f>
        <v>#DIV/0!</v>
      </c>
      <c r="AU25" s="62" t="e">
        <f>AVERAGEIFS(RoadTra_BY!BC$2:BC$999,RoadTra_BY!$B$2:$B$999,'Road transport'!$C25,RoadTra_BY!$C$2:$C$999,'Road transport'!$AX25)</f>
        <v>#DIV/0!</v>
      </c>
      <c r="AV25" s="62" t="e">
        <f>AVERAGEIFS(RoadTra_BY!BD$2:BD$999,RoadTra_BY!$B$2:$B$999,'Road transport'!$C25,RoadTra_BY!$C$2:$C$999,'Road transport'!$AX25)</f>
        <v>#DIV/0!</v>
      </c>
      <c r="AW25" s="62" t="e">
        <f>AVERAGEIFS(RoadTra_BY!BE$2:BE$999,RoadTra_BY!$B$2:$B$999,'Road transport'!$C25,RoadTra_BY!$C$2:$C$999,'Road transport'!$AX25)</f>
        <v>#DIV/0!</v>
      </c>
      <c r="AX25" t="s">
        <v>145</v>
      </c>
    </row>
    <row r="26" spans="2:50">
      <c r="C26" t="s">
        <v>97</v>
      </c>
      <c r="D26" s="62">
        <f>AVERAGEIFS(RoadTra_BY!L$2:L$999,RoadTra_BY!$B$2:$B$999,'Road transport'!$C26,RoadTra_BY!$C$2:$C$999,'Road transport'!$AX26)</f>
        <v>12</v>
      </c>
      <c r="E26" s="62">
        <f>AVERAGEIFS(RoadTra_BY!M$2:M$999,RoadTra_BY!$B$2:$B$999,'Road transport'!$C26,RoadTra_BY!$C$2:$C$999,'Road transport'!$AX26)</f>
        <v>12</v>
      </c>
      <c r="F26" s="62">
        <f>AVERAGEIFS(RoadTra_BY!N$2:N$999,RoadTra_BY!$B$2:$B$999,'Road transport'!$C26,RoadTra_BY!$C$2:$C$999,'Road transport'!$AX26)</f>
        <v>12</v>
      </c>
      <c r="G26" s="62">
        <f>AVERAGEIFS(RoadTra_BY!O$2:O$999,RoadTra_BY!$B$2:$B$999,'Road transport'!$C26,RoadTra_BY!$C$2:$C$999,'Road transport'!$AX26)</f>
        <v>12</v>
      </c>
      <c r="H26" s="62">
        <f>AVERAGEIFS(RoadTra_BY!P$2:P$999,RoadTra_BY!$B$2:$B$999,'Road transport'!$C26,RoadTra_BY!$C$2:$C$999,'Road transport'!$AX26)</f>
        <v>12</v>
      </c>
      <c r="I26" s="62">
        <f>AVERAGEIFS(RoadTra_BY!Q$2:Q$999,RoadTra_BY!$B$2:$B$999,'Road transport'!$C26,RoadTra_BY!$C$2:$C$999,'Road transport'!$AX26)</f>
        <v>12</v>
      </c>
      <c r="J26" s="62">
        <f>AVERAGEIFS(RoadTra_BY!R$2:R$999,RoadTra_BY!$B$2:$B$999,'Road transport'!$C26,RoadTra_BY!$C$2:$C$999,'Road transport'!$AX26)</f>
        <v>12</v>
      </c>
      <c r="K26" s="62">
        <f>AVERAGEIFS(RoadTra_BY!S$2:S$999,RoadTra_BY!$B$2:$B$999,'Road transport'!$C26,RoadTra_BY!$C$2:$C$999,'Road transport'!$AX26)</f>
        <v>8</v>
      </c>
      <c r="L26" s="62">
        <f>AVERAGEIFS(RoadTra_BY!T$2:T$999,RoadTra_BY!$B$2:$B$999,'Road transport'!$C26,RoadTra_BY!$C$2:$C$999,'Road transport'!$AX26)</f>
        <v>12</v>
      </c>
      <c r="M26" s="62">
        <f>AVERAGEIFS(RoadTra_BY!U$2:U$999,RoadTra_BY!$B$2:$B$999,'Road transport'!$C26,RoadTra_BY!$C$2:$C$999,'Road transport'!$AX26)</f>
        <v>12</v>
      </c>
      <c r="N26" s="62">
        <f>AVERAGEIFS(RoadTra_BY!V$2:V$999,RoadTra_BY!$B$2:$B$999,'Road transport'!$C26,RoadTra_BY!$C$2:$C$999,'Road transport'!$AX26)</f>
        <v>12</v>
      </c>
      <c r="O26" s="62">
        <f>AVERAGEIFS(RoadTra_BY!W$2:W$999,RoadTra_BY!$B$2:$B$999,'Road transport'!$C26,RoadTra_BY!$C$2:$C$999,'Road transport'!$AX26)</f>
        <v>12</v>
      </c>
      <c r="P26" s="62">
        <f>AVERAGEIFS(RoadTra_BY!X$2:X$999,RoadTra_BY!$B$2:$B$999,'Road transport'!$C26,RoadTra_BY!$C$2:$C$999,'Road transport'!$AX26)</f>
        <v>12</v>
      </c>
      <c r="Q26" s="62">
        <f>AVERAGEIFS(RoadTra_BY!Y$2:Y$999,RoadTra_BY!$B$2:$B$999,'Road transport'!$C26,RoadTra_BY!$C$2:$C$999,'Road transport'!$AX26)</f>
        <v>12</v>
      </c>
      <c r="R26" s="62">
        <f>AVERAGEIFS(RoadTra_BY!Z$2:Z$999,RoadTra_BY!$B$2:$B$999,'Road transport'!$C26,RoadTra_BY!$C$2:$C$999,'Road transport'!$AX26)</f>
        <v>12</v>
      </c>
      <c r="S26" s="62">
        <f>AVERAGEIFS(RoadTra_BY!AA$2:AA$999,RoadTra_BY!$B$2:$B$999,'Road transport'!$C26,RoadTra_BY!$C$2:$C$999,'Road transport'!$AX26)</f>
        <v>12</v>
      </c>
      <c r="T26" s="62">
        <f>AVERAGEIFS(RoadTra_BY!AB$2:AB$999,RoadTra_BY!$B$2:$B$999,'Road transport'!$C26,RoadTra_BY!$C$2:$C$999,'Road transport'!$AX26)</f>
        <v>12</v>
      </c>
      <c r="U26" s="62">
        <f>AVERAGEIFS(RoadTra_BY!AC$2:AC$999,RoadTra_BY!$B$2:$B$999,'Road transport'!$C26,RoadTra_BY!$C$2:$C$999,'Road transport'!$AX26)</f>
        <v>12</v>
      </c>
      <c r="V26" s="62">
        <f>AVERAGEIFS(RoadTra_BY!AD$2:AD$999,RoadTra_BY!$B$2:$B$999,'Road transport'!$C26,RoadTra_BY!$C$2:$C$999,'Road transport'!$AX26)</f>
        <v>12</v>
      </c>
      <c r="W26" s="62">
        <f>AVERAGEIFS(RoadTra_BY!AE$2:AE$999,RoadTra_BY!$B$2:$B$999,'Road transport'!$C26,RoadTra_BY!$C$2:$C$999,'Road transport'!$AX26)</f>
        <v>12</v>
      </c>
      <c r="X26" s="62">
        <f>AVERAGEIFS(RoadTra_BY!AF$2:AF$999,RoadTra_BY!$B$2:$B$999,'Road transport'!$C26,RoadTra_BY!$C$2:$C$999,'Road transport'!$AX26)</f>
        <v>12</v>
      </c>
      <c r="Y26" s="62">
        <f>AVERAGEIFS(RoadTra_BY!AG$2:AG$999,RoadTra_BY!$B$2:$B$999,'Road transport'!$C26,RoadTra_BY!$C$2:$C$999,'Road transport'!$AX26)</f>
        <v>18</v>
      </c>
      <c r="Z26" s="62">
        <f>AVERAGEIFS(RoadTra_BY!AH$2:AH$999,RoadTra_BY!$B$2:$B$999,'Road transport'!$C26,RoadTra_BY!$C$2:$C$999,'Road transport'!$AX26)</f>
        <v>12</v>
      </c>
      <c r="AA26" s="62">
        <f>AVERAGEIFS(RoadTra_BY!AI$2:AI$999,RoadTra_BY!$B$2:$B$999,'Road transport'!$C26,RoadTra_BY!$C$2:$C$999,'Road transport'!$AX26)</f>
        <v>12</v>
      </c>
      <c r="AB26" s="62">
        <f>AVERAGEIFS(RoadTra_BY!AJ$2:AJ$999,RoadTra_BY!$B$2:$B$999,'Road transport'!$C26,RoadTra_BY!$C$2:$C$999,'Road transport'!$AX26)</f>
        <v>12</v>
      </c>
      <c r="AC26" s="62">
        <f>AVERAGEIFS(RoadTra_BY!AK$2:AK$999,RoadTra_BY!$B$2:$B$999,'Road transport'!$C26,RoadTra_BY!$C$2:$C$999,'Road transport'!$AX26)</f>
        <v>12</v>
      </c>
      <c r="AD26" s="62">
        <f>AVERAGEIFS(RoadTra_BY!AL$2:AL$999,RoadTra_BY!$B$2:$B$999,'Road transport'!$C26,RoadTra_BY!$C$2:$C$999,'Road transport'!$AX26)</f>
        <v>12</v>
      </c>
      <c r="AE26" s="62">
        <f>AVERAGEIFS(RoadTra_BY!AM$2:AM$999,RoadTra_BY!$B$2:$B$999,'Road transport'!$C26,RoadTra_BY!$C$2:$C$999,'Road transport'!$AX26)</f>
        <v>12</v>
      </c>
      <c r="AF26" s="62">
        <f>AVERAGEIFS(RoadTra_BY!AN$2:AN$999,RoadTra_BY!$B$2:$B$999,'Road transport'!$C26,RoadTra_BY!$C$2:$C$999,'Road transport'!$AX26)</f>
        <v>12</v>
      </c>
      <c r="AG26" s="62">
        <f>AVERAGEIFS(RoadTra_BY!AO$2:AO$999,RoadTra_BY!$B$2:$B$999,'Road transport'!$C26,RoadTra_BY!$C$2:$C$999,'Road transport'!$AX26)</f>
        <v>12</v>
      </c>
      <c r="AH26" s="62">
        <f>AVERAGEIFS(RoadTra_BY!AP$2:AP$999,RoadTra_BY!$B$2:$B$999,'Road transport'!$C26,RoadTra_BY!$C$2:$C$999,'Road transport'!$AX26)</f>
        <v>12</v>
      </c>
      <c r="AI26" s="62">
        <f>AVERAGEIFS(RoadTra_BY!AQ$2:AQ$999,RoadTra_BY!$B$2:$B$999,'Road transport'!$C26,RoadTra_BY!$C$2:$C$999,'Road transport'!$AX26)</f>
        <v>12</v>
      </c>
      <c r="AJ26" s="62">
        <f>AVERAGEIFS(RoadTra_BY!AR$2:AR$999,RoadTra_BY!$B$2:$B$999,'Road transport'!$C26,RoadTra_BY!$C$2:$C$999,'Road transport'!$AX26)</f>
        <v>12</v>
      </c>
      <c r="AK26" s="62">
        <f>AVERAGEIFS(RoadTra_BY!AS$2:AS$999,RoadTra_BY!$B$2:$B$999,'Road transport'!$C26,RoadTra_BY!$C$2:$C$999,'Road transport'!$AX26)</f>
        <v>12</v>
      </c>
      <c r="AL26" s="62">
        <f>AVERAGEIFS(RoadTra_BY!AT$2:AT$999,RoadTra_BY!$B$2:$B$999,'Road transport'!$C26,RoadTra_BY!$C$2:$C$999,'Road transport'!$AX26)</f>
        <v>12</v>
      </c>
      <c r="AM26" s="62" t="e">
        <f>AVERAGEIFS(RoadTra_BY!AU$2:AU$999,RoadTra_BY!$B$2:$B$999,'Road transport'!$C26,RoadTra_BY!$C$2:$C$999,'Road transport'!$AX26)</f>
        <v>#DIV/0!</v>
      </c>
      <c r="AN26" s="62" t="e">
        <f>AVERAGEIFS(RoadTra_BY!AV$2:AV$999,RoadTra_BY!$B$2:$B$999,'Road transport'!$C26,RoadTra_BY!$C$2:$C$999,'Road transport'!$AX26)</f>
        <v>#DIV/0!</v>
      </c>
      <c r="AO26" s="62" t="e">
        <f>AVERAGEIFS(RoadTra_BY!AW$2:AW$999,RoadTra_BY!$B$2:$B$999,'Road transport'!$C26,RoadTra_BY!$C$2:$C$999,'Road transport'!$AX26)</f>
        <v>#DIV/0!</v>
      </c>
      <c r="AP26" s="62" t="e">
        <f>AVERAGEIFS(RoadTra_BY!AX$2:AX$999,RoadTra_BY!$B$2:$B$999,'Road transport'!$C26,RoadTra_BY!$C$2:$C$999,'Road transport'!$AX26)</f>
        <v>#DIV/0!</v>
      </c>
      <c r="AQ26" s="62" t="e">
        <f>AVERAGEIFS(RoadTra_BY!AY$2:AY$999,RoadTra_BY!$B$2:$B$999,'Road transport'!$C26,RoadTra_BY!$C$2:$C$999,'Road transport'!$AX26)</f>
        <v>#DIV/0!</v>
      </c>
      <c r="AR26" s="62" t="e">
        <f>AVERAGEIFS(RoadTra_BY!AZ$2:AZ$999,RoadTra_BY!$B$2:$B$999,'Road transport'!$C26,RoadTra_BY!$C$2:$C$999,'Road transport'!$AX26)</f>
        <v>#DIV/0!</v>
      </c>
      <c r="AS26" s="62" t="e">
        <f>AVERAGEIFS(RoadTra_BY!BA$2:BA$999,RoadTra_BY!$B$2:$B$999,'Road transport'!$C26,RoadTra_BY!$C$2:$C$999,'Road transport'!$AX26)</f>
        <v>#DIV/0!</v>
      </c>
      <c r="AT26" s="62" t="e">
        <f>AVERAGEIFS(RoadTra_BY!BB$2:BB$999,RoadTra_BY!$B$2:$B$999,'Road transport'!$C26,RoadTra_BY!$C$2:$C$999,'Road transport'!$AX26)</f>
        <v>#DIV/0!</v>
      </c>
      <c r="AU26" s="62" t="e">
        <f>AVERAGEIFS(RoadTra_BY!BC$2:BC$999,RoadTra_BY!$B$2:$B$999,'Road transport'!$C26,RoadTra_BY!$C$2:$C$999,'Road transport'!$AX26)</f>
        <v>#DIV/0!</v>
      </c>
      <c r="AV26" s="62" t="e">
        <f>AVERAGEIFS(RoadTra_BY!BD$2:BD$999,RoadTra_BY!$B$2:$B$999,'Road transport'!$C26,RoadTra_BY!$C$2:$C$999,'Road transport'!$AX26)</f>
        <v>#DIV/0!</v>
      </c>
      <c r="AW26" s="62" t="e">
        <f>AVERAGEIFS(RoadTra_BY!BE$2:BE$999,RoadTra_BY!$B$2:$B$999,'Road transport'!$C26,RoadTra_BY!$C$2:$C$999,'Road transport'!$AX26)</f>
        <v>#DIV/0!</v>
      </c>
      <c r="AX26" t="s">
        <v>146</v>
      </c>
    </row>
    <row r="27" spans="2:50">
      <c r="C27" t="s">
        <v>97</v>
      </c>
      <c r="D27" s="62">
        <f>AVERAGEIFS(RoadTra_BY!L$2:L$999,RoadTra_BY!$B$2:$B$999,'Road transport'!$C27,RoadTra_BY!$C$2:$C$999,'Road transport'!$AX27)</f>
        <v>100</v>
      </c>
      <c r="E27" s="62">
        <f>AVERAGEIFS(RoadTra_BY!M$2:M$999,RoadTra_BY!$B$2:$B$999,'Road transport'!$C27,RoadTra_BY!$C$2:$C$999,'Road transport'!$AX27)</f>
        <v>100</v>
      </c>
      <c r="F27" s="62">
        <f>AVERAGEIFS(RoadTra_BY!N$2:N$999,RoadTra_BY!$B$2:$B$999,'Road transport'!$C27,RoadTra_BY!$C$2:$C$999,'Road transport'!$AX27)</f>
        <v>100</v>
      </c>
      <c r="G27" s="62">
        <f>AVERAGEIFS(RoadTra_BY!O$2:O$999,RoadTra_BY!$B$2:$B$999,'Road transport'!$C27,RoadTra_BY!$C$2:$C$999,'Road transport'!$AX27)</f>
        <v>100</v>
      </c>
      <c r="H27" s="62">
        <f>AVERAGEIFS(RoadTra_BY!P$2:P$999,RoadTra_BY!$B$2:$B$999,'Road transport'!$C27,RoadTra_BY!$C$2:$C$999,'Road transport'!$AX27)</f>
        <v>100</v>
      </c>
      <c r="I27" s="62">
        <f>AVERAGEIFS(RoadTra_BY!Q$2:Q$999,RoadTra_BY!$B$2:$B$999,'Road transport'!$C27,RoadTra_BY!$C$2:$C$999,'Road transport'!$AX27)</f>
        <v>100</v>
      </c>
      <c r="J27" s="62">
        <f>AVERAGEIFS(RoadTra_BY!R$2:R$999,RoadTra_BY!$B$2:$B$999,'Road transport'!$C27,RoadTra_BY!$C$2:$C$999,'Road transport'!$AX27)</f>
        <v>100</v>
      </c>
      <c r="K27" s="62">
        <f>AVERAGEIFS(RoadTra_BY!S$2:S$999,RoadTra_BY!$B$2:$B$999,'Road transport'!$C27,RoadTra_BY!$C$2:$C$999,'Road transport'!$AX27)</f>
        <v>100</v>
      </c>
      <c r="L27" s="62">
        <f>AVERAGEIFS(RoadTra_BY!T$2:T$999,RoadTra_BY!$B$2:$B$999,'Road transport'!$C27,RoadTra_BY!$C$2:$C$999,'Road transport'!$AX27)</f>
        <v>100</v>
      </c>
      <c r="M27" s="62">
        <f>AVERAGEIFS(RoadTra_BY!U$2:U$999,RoadTra_BY!$B$2:$B$999,'Road transport'!$C27,RoadTra_BY!$C$2:$C$999,'Road transport'!$AX27)</f>
        <v>100</v>
      </c>
      <c r="N27" s="62">
        <f>AVERAGEIFS(RoadTra_BY!V$2:V$999,RoadTra_BY!$B$2:$B$999,'Road transport'!$C27,RoadTra_BY!$C$2:$C$999,'Road transport'!$AX27)</f>
        <v>100</v>
      </c>
      <c r="O27" s="62">
        <f>AVERAGEIFS(RoadTra_BY!W$2:W$999,RoadTra_BY!$B$2:$B$999,'Road transport'!$C27,RoadTra_BY!$C$2:$C$999,'Road transport'!$AX27)</f>
        <v>100</v>
      </c>
      <c r="P27" s="62">
        <f>AVERAGEIFS(RoadTra_BY!X$2:X$999,RoadTra_BY!$B$2:$B$999,'Road transport'!$C27,RoadTra_BY!$C$2:$C$999,'Road transport'!$AX27)</f>
        <v>100</v>
      </c>
      <c r="Q27" s="62">
        <f>AVERAGEIFS(RoadTra_BY!Y$2:Y$999,RoadTra_BY!$B$2:$B$999,'Road transport'!$C27,RoadTra_BY!$C$2:$C$999,'Road transport'!$AX27)</f>
        <v>100</v>
      </c>
      <c r="R27" s="62">
        <f>AVERAGEIFS(RoadTra_BY!Z$2:Z$999,RoadTra_BY!$B$2:$B$999,'Road transport'!$C27,RoadTra_BY!$C$2:$C$999,'Road transport'!$AX27)</f>
        <v>100</v>
      </c>
      <c r="S27" s="62">
        <f>AVERAGEIFS(RoadTra_BY!AA$2:AA$999,RoadTra_BY!$B$2:$B$999,'Road transport'!$C27,RoadTra_BY!$C$2:$C$999,'Road transport'!$AX27)</f>
        <v>100</v>
      </c>
      <c r="T27" s="62">
        <f>AVERAGEIFS(RoadTra_BY!AB$2:AB$999,RoadTra_BY!$B$2:$B$999,'Road transport'!$C27,RoadTra_BY!$C$2:$C$999,'Road transport'!$AX27)</f>
        <v>100</v>
      </c>
      <c r="U27" s="62">
        <f>AVERAGEIFS(RoadTra_BY!AC$2:AC$999,RoadTra_BY!$B$2:$B$999,'Road transport'!$C27,RoadTra_BY!$C$2:$C$999,'Road transport'!$AX27)</f>
        <v>100</v>
      </c>
      <c r="V27" s="62">
        <f>AVERAGEIFS(RoadTra_BY!AD$2:AD$999,RoadTra_BY!$B$2:$B$999,'Road transport'!$C27,RoadTra_BY!$C$2:$C$999,'Road transport'!$AX27)</f>
        <v>100</v>
      </c>
      <c r="W27" s="62">
        <f>AVERAGEIFS(RoadTra_BY!AE$2:AE$999,RoadTra_BY!$B$2:$B$999,'Road transport'!$C27,RoadTra_BY!$C$2:$C$999,'Road transport'!$AX27)</f>
        <v>100</v>
      </c>
      <c r="X27" s="62">
        <f>AVERAGEIFS(RoadTra_BY!AF$2:AF$999,RoadTra_BY!$B$2:$B$999,'Road transport'!$C27,RoadTra_BY!$C$2:$C$999,'Road transport'!$AX27)</f>
        <v>100</v>
      </c>
      <c r="Y27" s="62">
        <f>AVERAGEIFS(RoadTra_BY!AG$2:AG$999,RoadTra_BY!$B$2:$B$999,'Road transport'!$C27,RoadTra_BY!$C$2:$C$999,'Road transport'!$AX27)</f>
        <v>100</v>
      </c>
      <c r="Z27" s="62">
        <f>AVERAGEIFS(RoadTra_BY!AH$2:AH$999,RoadTra_BY!$B$2:$B$999,'Road transport'!$C27,RoadTra_BY!$C$2:$C$999,'Road transport'!$AX27)</f>
        <v>100</v>
      </c>
      <c r="AA27" s="62">
        <f>AVERAGEIFS(RoadTra_BY!AI$2:AI$999,RoadTra_BY!$B$2:$B$999,'Road transport'!$C27,RoadTra_BY!$C$2:$C$999,'Road transport'!$AX27)</f>
        <v>100</v>
      </c>
      <c r="AB27" s="62">
        <f>AVERAGEIFS(RoadTra_BY!AJ$2:AJ$999,RoadTra_BY!$B$2:$B$999,'Road transport'!$C27,RoadTra_BY!$C$2:$C$999,'Road transport'!$AX27)</f>
        <v>100</v>
      </c>
      <c r="AC27" s="62">
        <f>AVERAGEIFS(RoadTra_BY!AK$2:AK$999,RoadTra_BY!$B$2:$B$999,'Road transport'!$C27,RoadTra_BY!$C$2:$C$999,'Road transport'!$AX27)</f>
        <v>100</v>
      </c>
      <c r="AD27" s="62">
        <f>AVERAGEIFS(RoadTra_BY!AL$2:AL$999,RoadTra_BY!$B$2:$B$999,'Road transport'!$C27,RoadTra_BY!$C$2:$C$999,'Road transport'!$AX27)</f>
        <v>100</v>
      </c>
      <c r="AE27" s="62">
        <f>AVERAGEIFS(RoadTra_BY!AM$2:AM$999,RoadTra_BY!$B$2:$B$999,'Road transport'!$C27,RoadTra_BY!$C$2:$C$999,'Road transport'!$AX27)</f>
        <v>100</v>
      </c>
      <c r="AF27" s="62">
        <f>AVERAGEIFS(RoadTra_BY!AN$2:AN$999,RoadTra_BY!$B$2:$B$999,'Road transport'!$C27,RoadTra_BY!$C$2:$C$999,'Road transport'!$AX27)</f>
        <v>35</v>
      </c>
      <c r="AG27" s="62">
        <f>AVERAGEIFS(RoadTra_BY!AO$2:AO$999,RoadTra_BY!$B$2:$B$999,'Road transport'!$C27,RoadTra_BY!$C$2:$C$999,'Road transport'!$AX27)</f>
        <v>100</v>
      </c>
      <c r="AH27" s="62">
        <f>AVERAGEIFS(RoadTra_BY!AP$2:AP$999,RoadTra_BY!$B$2:$B$999,'Road transport'!$C27,RoadTra_BY!$C$2:$C$999,'Road transport'!$AX27)</f>
        <v>100</v>
      </c>
      <c r="AI27" s="62">
        <f>AVERAGEIFS(RoadTra_BY!AQ$2:AQ$999,RoadTra_BY!$B$2:$B$999,'Road transport'!$C27,RoadTra_BY!$C$2:$C$999,'Road transport'!$AX27)</f>
        <v>100</v>
      </c>
      <c r="AJ27" s="62">
        <f>AVERAGEIFS(RoadTra_BY!AR$2:AR$999,RoadTra_BY!$B$2:$B$999,'Road transport'!$C27,RoadTra_BY!$C$2:$C$999,'Road transport'!$AX27)</f>
        <v>100</v>
      </c>
      <c r="AK27" s="62">
        <f>AVERAGEIFS(RoadTra_BY!AS$2:AS$999,RoadTra_BY!$B$2:$B$999,'Road transport'!$C27,RoadTra_BY!$C$2:$C$999,'Road transport'!$AX27)</f>
        <v>100</v>
      </c>
      <c r="AL27" s="62">
        <f>AVERAGEIFS(RoadTra_BY!AT$2:AT$999,RoadTra_BY!$B$2:$B$999,'Road transport'!$C27,RoadTra_BY!$C$2:$C$999,'Road transport'!$AX27)</f>
        <v>35</v>
      </c>
      <c r="AM27" s="62" t="e">
        <f>AVERAGEIFS(RoadTra_BY!AU$2:AU$999,RoadTra_BY!$B$2:$B$999,'Road transport'!$C27,RoadTra_BY!$C$2:$C$999,'Road transport'!$AX27)</f>
        <v>#DIV/0!</v>
      </c>
      <c r="AN27" s="62" t="e">
        <f>AVERAGEIFS(RoadTra_BY!AV$2:AV$999,RoadTra_BY!$B$2:$B$999,'Road transport'!$C27,RoadTra_BY!$C$2:$C$999,'Road transport'!$AX27)</f>
        <v>#DIV/0!</v>
      </c>
      <c r="AO27" s="62" t="e">
        <f>AVERAGEIFS(RoadTra_BY!AW$2:AW$999,RoadTra_BY!$B$2:$B$999,'Road transport'!$C27,RoadTra_BY!$C$2:$C$999,'Road transport'!$AX27)</f>
        <v>#DIV/0!</v>
      </c>
      <c r="AP27" s="62" t="e">
        <f>AVERAGEIFS(RoadTra_BY!AX$2:AX$999,RoadTra_BY!$B$2:$B$999,'Road transport'!$C27,RoadTra_BY!$C$2:$C$999,'Road transport'!$AX27)</f>
        <v>#DIV/0!</v>
      </c>
      <c r="AQ27" s="62" t="e">
        <f>AVERAGEIFS(RoadTra_BY!AY$2:AY$999,RoadTra_BY!$B$2:$B$999,'Road transport'!$C27,RoadTra_BY!$C$2:$C$999,'Road transport'!$AX27)</f>
        <v>#DIV/0!</v>
      </c>
      <c r="AR27" s="62" t="e">
        <f>AVERAGEIFS(RoadTra_BY!AZ$2:AZ$999,RoadTra_BY!$B$2:$B$999,'Road transport'!$C27,RoadTra_BY!$C$2:$C$999,'Road transport'!$AX27)</f>
        <v>#DIV/0!</v>
      </c>
      <c r="AS27" s="62" t="e">
        <f>AVERAGEIFS(RoadTra_BY!BA$2:BA$999,RoadTra_BY!$B$2:$B$999,'Road transport'!$C27,RoadTra_BY!$C$2:$C$999,'Road transport'!$AX27)</f>
        <v>#DIV/0!</v>
      </c>
      <c r="AT27" s="62" t="e">
        <f>AVERAGEIFS(RoadTra_BY!BB$2:BB$999,RoadTra_BY!$B$2:$B$999,'Road transport'!$C27,RoadTra_BY!$C$2:$C$999,'Road transport'!$AX27)</f>
        <v>#DIV/0!</v>
      </c>
      <c r="AU27" s="62" t="e">
        <f>AVERAGEIFS(RoadTra_BY!BC$2:BC$999,RoadTra_BY!$B$2:$B$999,'Road transport'!$C27,RoadTra_BY!$C$2:$C$999,'Road transport'!$AX27)</f>
        <v>#DIV/0!</v>
      </c>
      <c r="AV27" s="62" t="e">
        <f>AVERAGEIFS(RoadTra_BY!BD$2:BD$999,RoadTra_BY!$B$2:$B$999,'Road transport'!$C27,RoadTra_BY!$C$2:$C$999,'Road transport'!$AX27)</f>
        <v>#DIV/0!</v>
      </c>
      <c r="AW27" s="62" t="e">
        <f>AVERAGEIFS(RoadTra_BY!BE$2:BE$999,RoadTra_BY!$B$2:$B$999,'Road transport'!$C27,RoadTra_BY!$C$2:$C$999,'Road transport'!$AX27)</f>
        <v>#DIV/0!</v>
      </c>
      <c r="AX27" t="s">
        <v>147</v>
      </c>
    </row>
    <row r="28" spans="2:50">
      <c r="C28" t="s">
        <v>97</v>
      </c>
      <c r="D28" s="62">
        <f>AVERAGEIFS(RoadTra_BY!L$2:L$999,RoadTra_BY!$B$2:$B$999,'Road transport'!$C28,RoadTra_BY!$C$2:$C$999,'Road transport'!$AX28)</f>
        <v>40</v>
      </c>
      <c r="E28" s="62">
        <f>AVERAGEIFS(RoadTra_BY!M$2:M$999,RoadTra_BY!$B$2:$B$999,'Road transport'!$C28,RoadTra_BY!$C$2:$C$999,'Road transport'!$AX28)</f>
        <v>40</v>
      </c>
      <c r="F28" s="62">
        <f>AVERAGEIFS(RoadTra_BY!N$2:N$999,RoadTra_BY!$B$2:$B$999,'Road transport'!$C28,RoadTra_BY!$C$2:$C$999,'Road transport'!$AX28)</f>
        <v>40</v>
      </c>
      <c r="G28" s="62">
        <f>AVERAGEIFS(RoadTra_BY!O$2:O$999,RoadTra_BY!$B$2:$B$999,'Road transport'!$C28,RoadTra_BY!$C$2:$C$999,'Road transport'!$AX28)</f>
        <v>40</v>
      </c>
      <c r="H28" s="62">
        <f>AVERAGEIFS(RoadTra_BY!P$2:P$999,RoadTra_BY!$B$2:$B$999,'Road transport'!$C28,RoadTra_BY!$C$2:$C$999,'Road transport'!$AX28)</f>
        <v>40</v>
      </c>
      <c r="I28" s="62">
        <f>AVERAGEIFS(RoadTra_BY!Q$2:Q$999,RoadTra_BY!$B$2:$B$999,'Road transport'!$C28,RoadTra_BY!$C$2:$C$999,'Road transport'!$AX28)</f>
        <v>40</v>
      </c>
      <c r="J28" s="62">
        <f>AVERAGEIFS(RoadTra_BY!R$2:R$999,RoadTra_BY!$B$2:$B$999,'Road transport'!$C28,RoadTra_BY!$C$2:$C$999,'Road transport'!$AX28)</f>
        <v>40</v>
      </c>
      <c r="K28" s="62">
        <f>AVERAGEIFS(RoadTra_BY!S$2:S$999,RoadTra_BY!$B$2:$B$999,'Road transport'!$C28,RoadTra_BY!$C$2:$C$999,'Road transport'!$AX28)</f>
        <v>40</v>
      </c>
      <c r="L28" s="62">
        <f>AVERAGEIFS(RoadTra_BY!T$2:T$999,RoadTra_BY!$B$2:$B$999,'Road transport'!$C28,RoadTra_BY!$C$2:$C$999,'Road transport'!$AX28)</f>
        <v>40</v>
      </c>
      <c r="M28" s="62">
        <f>AVERAGEIFS(RoadTra_BY!U$2:U$999,RoadTra_BY!$B$2:$B$999,'Road transport'!$C28,RoadTra_BY!$C$2:$C$999,'Road transport'!$AX28)</f>
        <v>40</v>
      </c>
      <c r="N28" s="62">
        <f>AVERAGEIFS(RoadTra_BY!V$2:V$999,RoadTra_BY!$B$2:$B$999,'Road transport'!$C28,RoadTra_BY!$C$2:$C$999,'Road transport'!$AX28)</f>
        <v>40</v>
      </c>
      <c r="O28" s="62">
        <f>AVERAGEIFS(RoadTra_BY!W$2:W$999,RoadTra_BY!$B$2:$B$999,'Road transport'!$C28,RoadTra_BY!$C$2:$C$999,'Road transport'!$AX28)</f>
        <v>40</v>
      </c>
      <c r="P28" s="62">
        <f>AVERAGEIFS(RoadTra_BY!X$2:X$999,RoadTra_BY!$B$2:$B$999,'Road transport'!$C28,RoadTra_BY!$C$2:$C$999,'Road transport'!$AX28)</f>
        <v>40</v>
      </c>
      <c r="Q28" s="62">
        <f>AVERAGEIFS(RoadTra_BY!Y$2:Y$999,RoadTra_BY!$B$2:$B$999,'Road transport'!$C28,RoadTra_BY!$C$2:$C$999,'Road transport'!$AX28)</f>
        <v>40</v>
      </c>
      <c r="R28" s="62">
        <f>AVERAGEIFS(RoadTra_BY!Z$2:Z$999,RoadTra_BY!$B$2:$B$999,'Road transport'!$C28,RoadTra_BY!$C$2:$C$999,'Road transport'!$AX28)</f>
        <v>40</v>
      </c>
      <c r="S28" s="62">
        <f>AVERAGEIFS(RoadTra_BY!AA$2:AA$999,RoadTra_BY!$B$2:$B$999,'Road transport'!$C28,RoadTra_BY!$C$2:$C$999,'Road transport'!$AX28)</f>
        <v>40</v>
      </c>
      <c r="T28" s="62">
        <f>AVERAGEIFS(RoadTra_BY!AB$2:AB$999,RoadTra_BY!$B$2:$B$999,'Road transport'!$C28,RoadTra_BY!$C$2:$C$999,'Road transport'!$AX28)</f>
        <v>40</v>
      </c>
      <c r="U28" s="62">
        <f>AVERAGEIFS(RoadTra_BY!AC$2:AC$999,RoadTra_BY!$B$2:$B$999,'Road transport'!$C28,RoadTra_BY!$C$2:$C$999,'Road transport'!$AX28)</f>
        <v>40</v>
      </c>
      <c r="V28" s="62">
        <f>AVERAGEIFS(RoadTra_BY!AD$2:AD$999,RoadTra_BY!$B$2:$B$999,'Road transport'!$C28,RoadTra_BY!$C$2:$C$999,'Road transport'!$AX28)</f>
        <v>40</v>
      </c>
      <c r="W28" s="62">
        <f>AVERAGEIFS(RoadTra_BY!AE$2:AE$999,RoadTra_BY!$B$2:$B$999,'Road transport'!$C28,RoadTra_BY!$C$2:$C$999,'Road transport'!$AX28)</f>
        <v>40</v>
      </c>
      <c r="X28" s="62">
        <f>AVERAGEIFS(RoadTra_BY!AF$2:AF$999,RoadTra_BY!$B$2:$B$999,'Road transport'!$C28,RoadTra_BY!$C$2:$C$999,'Road transport'!$AX28)</f>
        <v>40</v>
      </c>
      <c r="Y28" s="62">
        <f>AVERAGEIFS(RoadTra_BY!AG$2:AG$999,RoadTra_BY!$B$2:$B$999,'Road transport'!$C28,RoadTra_BY!$C$2:$C$999,'Road transport'!$AX28)</f>
        <v>40</v>
      </c>
      <c r="Z28" s="62">
        <f>AVERAGEIFS(RoadTra_BY!AH$2:AH$999,RoadTra_BY!$B$2:$B$999,'Road transport'!$C28,RoadTra_BY!$C$2:$C$999,'Road transport'!$AX28)</f>
        <v>40</v>
      </c>
      <c r="AA28" s="62">
        <f>AVERAGEIFS(RoadTra_BY!AI$2:AI$999,RoadTra_BY!$B$2:$B$999,'Road transport'!$C28,RoadTra_BY!$C$2:$C$999,'Road transport'!$AX28)</f>
        <v>40</v>
      </c>
      <c r="AB28" s="62">
        <f>AVERAGEIFS(RoadTra_BY!AJ$2:AJ$999,RoadTra_BY!$B$2:$B$999,'Road transport'!$C28,RoadTra_BY!$C$2:$C$999,'Road transport'!$AX28)</f>
        <v>40</v>
      </c>
      <c r="AC28" s="62">
        <f>AVERAGEIFS(RoadTra_BY!AK$2:AK$999,RoadTra_BY!$B$2:$B$999,'Road transport'!$C28,RoadTra_BY!$C$2:$C$999,'Road transport'!$AX28)</f>
        <v>40</v>
      </c>
      <c r="AD28" s="62">
        <f>AVERAGEIFS(RoadTra_BY!AL$2:AL$999,RoadTra_BY!$B$2:$B$999,'Road transport'!$C28,RoadTra_BY!$C$2:$C$999,'Road transport'!$AX28)</f>
        <v>40</v>
      </c>
      <c r="AE28" s="62">
        <f>AVERAGEIFS(RoadTra_BY!AM$2:AM$999,RoadTra_BY!$B$2:$B$999,'Road transport'!$C28,RoadTra_BY!$C$2:$C$999,'Road transport'!$AX28)</f>
        <v>40</v>
      </c>
      <c r="AF28" s="62">
        <f>AVERAGEIFS(RoadTra_BY!AN$2:AN$999,RoadTra_BY!$B$2:$B$999,'Road transport'!$C28,RoadTra_BY!$C$2:$C$999,'Road transport'!$AX28)</f>
        <v>25</v>
      </c>
      <c r="AG28" s="62">
        <f>AVERAGEIFS(RoadTra_BY!AO$2:AO$999,RoadTra_BY!$B$2:$B$999,'Road transport'!$C28,RoadTra_BY!$C$2:$C$999,'Road transport'!$AX28)</f>
        <v>40</v>
      </c>
      <c r="AH28" s="62">
        <f>AVERAGEIFS(RoadTra_BY!AP$2:AP$999,RoadTra_BY!$B$2:$B$999,'Road transport'!$C28,RoadTra_BY!$C$2:$C$999,'Road transport'!$AX28)</f>
        <v>40</v>
      </c>
      <c r="AI28" s="62">
        <f>AVERAGEIFS(RoadTra_BY!AQ$2:AQ$999,RoadTra_BY!$B$2:$B$999,'Road transport'!$C28,RoadTra_BY!$C$2:$C$999,'Road transport'!$AX28)</f>
        <v>40</v>
      </c>
      <c r="AJ28" s="62">
        <f>AVERAGEIFS(RoadTra_BY!AR$2:AR$999,RoadTra_BY!$B$2:$B$999,'Road transport'!$C28,RoadTra_BY!$C$2:$C$999,'Road transport'!$AX28)</f>
        <v>40</v>
      </c>
      <c r="AK28" s="62">
        <f>AVERAGEIFS(RoadTra_BY!AS$2:AS$999,RoadTra_BY!$B$2:$B$999,'Road transport'!$C28,RoadTra_BY!$C$2:$C$999,'Road transport'!$AX28)</f>
        <v>40</v>
      </c>
      <c r="AL28" s="62">
        <f>AVERAGEIFS(RoadTra_BY!AT$2:AT$999,RoadTra_BY!$B$2:$B$999,'Road transport'!$C28,RoadTra_BY!$C$2:$C$999,'Road transport'!$AX28)</f>
        <v>15</v>
      </c>
      <c r="AM28" s="62" t="e">
        <f>AVERAGEIFS(RoadTra_BY!AU$2:AU$999,RoadTra_BY!$B$2:$B$999,'Road transport'!$C28,RoadTra_BY!$C$2:$C$999,'Road transport'!$AX28)</f>
        <v>#DIV/0!</v>
      </c>
      <c r="AN28" s="62" t="e">
        <f>AVERAGEIFS(RoadTra_BY!AV$2:AV$999,RoadTra_BY!$B$2:$B$999,'Road transport'!$C28,RoadTra_BY!$C$2:$C$999,'Road transport'!$AX28)</f>
        <v>#DIV/0!</v>
      </c>
      <c r="AO28" s="62" t="e">
        <f>AVERAGEIFS(RoadTra_BY!AW$2:AW$999,RoadTra_BY!$B$2:$B$999,'Road transport'!$C28,RoadTra_BY!$C$2:$C$999,'Road transport'!$AX28)</f>
        <v>#DIV/0!</v>
      </c>
      <c r="AP28" s="62" t="e">
        <f>AVERAGEIFS(RoadTra_BY!AX$2:AX$999,RoadTra_BY!$B$2:$B$999,'Road transport'!$C28,RoadTra_BY!$C$2:$C$999,'Road transport'!$AX28)</f>
        <v>#DIV/0!</v>
      </c>
      <c r="AQ28" s="62" t="e">
        <f>AVERAGEIFS(RoadTra_BY!AY$2:AY$999,RoadTra_BY!$B$2:$B$999,'Road transport'!$C28,RoadTra_BY!$C$2:$C$999,'Road transport'!$AX28)</f>
        <v>#DIV/0!</v>
      </c>
      <c r="AR28" s="62" t="e">
        <f>AVERAGEIFS(RoadTra_BY!AZ$2:AZ$999,RoadTra_BY!$B$2:$B$999,'Road transport'!$C28,RoadTra_BY!$C$2:$C$999,'Road transport'!$AX28)</f>
        <v>#DIV/0!</v>
      </c>
      <c r="AS28" s="62" t="e">
        <f>AVERAGEIFS(RoadTra_BY!BA$2:BA$999,RoadTra_BY!$B$2:$B$999,'Road transport'!$C28,RoadTra_BY!$C$2:$C$999,'Road transport'!$AX28)</f>
        <v>#DIV/0!</v>
      </c>
      <c r="AT28" s="62" t="e">
        <f>AVERAGEIFS(RoadTra_BY!BB$2:BB$999,RoadTra_BY!$B$2:$B$999,'Road transport'!$C28,RoadTra_BY!$C$2:$C$999,'Road transport'!$AX28)</f>
        <v>#DIV/0!</v>
      </c>
      <c r="AU28" s="62" t="e">
        <f>AVERAGEIFS(RoadTra_BY!BC$2:BC$999,RoadTra_BY!$B$2:$B$999,'Road transport'!$C28,RoadTra_BY!$C$2:$C$999,'Road transport'!$AX28)</f>
        <v>#DIV/0!</v>
      </c>
      <c r="AV28" s="62" t="e">
        <f>AVERAGEIFS(RoadTra_BY!BD$2:BD$999,RoadTra_BY!$B$2:$B$999,'Road transport'!$C28,RoadTra_BY!$C$2:$C$999,'Road transport'!$AX28)</f>
        <v>#DIV/0!</v>
      </c>
      <c r="AW28" s="62" t="e">
        <f>AVERAGEIFS(RoadTra_BY!BE$2:BE$999,RoadTra_BY!$B$2:$B$999,'Road transport'!$C28,RoadTra_BY!$C$2:$C$999,'Road transport'!$AX28)</f>
        <v>#DIV/0!</v>
      </c>
      <c r="AX28" t="s">
        <v>148</v>
      </c>
    </row>
    <row r="31" spans="2:50">
      <c r="C31" t="s">
        <v>149</v>
      </c>
    </row>
    <row r="32" spans="2: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2: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2: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2: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53" customFormat="1" spans="2:53">
      <c r="C36" s="53" t="s">
        <v>107</v>
      </c>
      <c r="D36" s="53" t="str">
        <f>"*"&amp;ROUND(SUMIFS(RoadTra_BY!L$2:L$79,RoadTra_BY!$B$2:$B$79,'Road transport'!$C36,RoadTra_BY!$C$2:$C$79,'Road transport'!$BA36),3)</f>
        <v>*0.466</v>
      </c>
      <c r="E36" s="53" t="str">
        <f>"*"&amp;ROUND(SUMIFS(RoadTra_BY!M$2:M$79,RoadTra_BY!$B$2:$B$79,'Road transport'!$C36,RoadTra_BY!$C$2:$C$79,'Road transport'!$BA36),3)</f>
        <v>*0.466</v>
      </c>
      <c r="F36" s="53" t="str">
        <f>"*"&amp;ROUND(SUMIFS(RoadTra_BY!N$2:N$79,RoadTra_BY!$B$2:$B$79,'Road transport'!$C36,RoadTra_BY!$C$2:$C$79,'Road transport'!$BA36),3)</f>
        <v>*0.466</v>
      </c>
      <c r="G36" s="53" t="str">
        <f>"*"&amp;ROUND(SUMIFS(RoadTra_BY!O$2:O$79,RoadTra_BY!$B$2:$B$79,'Road transport'!$C36,RoadTra_BY!$C$2:$C$79,'Road transport'!$BA36),3)</f>
        <v>*0.466</v>
      </c>
      <c r="H36" s="53" t="str">
        <f>"*"&amp;ROUND(SUMIFS(RoadTra_BY!P$2:P$79,RoadTra_BY!$B$2:$B$79,'Road transport'!$C36,RoadTra_BY!$C$2:$C$79,'Road transport'!$BA36),3)</f>
        <v>*0.466</v>
      </c>
      <c r="I36" s="53" t="str">
        <f>"*"&amp;ROUND(SUMIFS(RoadTra_BY!Q$2:Q$79,RoadTra_BY!$B$2:$B$79,'Road transport'!$C36,RoadTra_BY!$C$2:$C$79,'Road transport'!$BA36),3)</f>
        <v>*0.466</v>
      </c>
      <c r="J36" s="53" t="str">
        <f>"*"&amp;ROUND(SUMIFS(RoadTra_BY!R$2:R$79,RoadTra_BY!$B$2:$B$79,'Road transport'!$C36,RoadTra_BY!$C$2:$C$79,'Road transport'!$BA36),3)</f>
        <v>*0.466</v>
      </c>
      <c r="K36" s="53" t="str">
        <f>"*"&amp;ROUND(SUMIFS(RoadTra_BY!S$2:S$79,RoadTra_BY!$B$2:$B$79,'Road transport'!$C36,RoadTra_BY!$C$2:$C$79,'Road transport'!$BA36),3)</f>
        <v>*0.466</v>
      </c>
      <c r="L36" s="53" t="str">
        <f>"*"&amp;ROUND(SUMIFS(RoadTra_BY!T$2:T$79,RoadTra_BY!$B$2:$B$79,'Road transport'!$C36,RoadTra_BY!$C$2:$C$79,'Road transport'!$BA36),3)</f>
        <v>*0.466</v>
      </c>
      <c r="M36" s="53" t="str">
        <f>"*"&amp;ROUND(SUMIFS(RoadTra_BY!U$2:U$79,RoadTra_BY!$B$2:$B$79,'Road transport'!$C36,RoadTra_BY!$C$2:$C$79,'Road transport'!$BA36),3)</f>
        <v>*0.466</v>
      </c>
      <c r="N36" s="53" t="str">
        <f>"*"&amp;ROUND(SUMIFS(RoadTra_BY!V$2:V$79,RoadTra_BY!$B$2:$B$79,'Road transport'!$C36,RoadTra_BY!$C$2:$C$79,'Road transport'!$BA36),3)</f>
        <v>*0.466</v>
      </c>
      <c r="O36" s="53" t="str">
        <f>"*"&amp;ROUND(SUMIFS(RoadTra_BY!W$2:W$79,RoadTra_BY!$B$2:$B$79,'Road transport'!$C36,RoadTra_BY!$C$2:$C$79,'Road transport'!$BA36),3)</f>
        <v>*0.466</v>
      </c>
      <c r="P36" s="53" t="str">
        <f>"*"&amp;ROUND(SUMIFS(RoadTra_BY!X$2:X$79,RoadTra_BY!$B$2:$B$79,'Road transport'!$C36,RoadTra_BY!$C$2:$C$79,'Road transport'!$BA36),3)</f>
        <v>*0.466</v>
      </c>
      <c r="Q36" s="53" t="str">
        <f>"*"&amp;ROUND(SUMIFS(RoadTra_BY!Y$2:Y$79,RoadTra_BY!$B$2:$B$79,'Road transport'!$C36,RoadTra_BY!$C$2:$C$79,'Road transport'!$BA36),3)</f>
        <v>*0.466</v>
      </c>
      <c r="R36" s="53" t="str">
        <f>"*"&amp;ROUND(SUMIFS(RoadTra_BY!Z$2:Z$79,RoadTra_BY!$B$2:$B$79,'Road transport'!$C36,RoadTra_BY!$C$2:$C$79,'Road transport'!$BA36),3)</f>
        <v>*0.466</v>
      </c>
      <c r="S36" s="53" t="str">
        <f>"*"&amp;ROUND(SUMIFS(RoadTra_BY!AA$2:AA$79,RoadTra_BY!$B$2:$B$79,'Road transport'!$C36,RoadTra_BY!$C$2:$C$79,'Road transport'!$BA36),3)</f>
        <v>*0.466</v>
      </c>
      <c r="T36" s="53" t="str">
        <f>"*"&amp;ROUND(SUMIFS(RoadTra_BY!AB$2:AB$79,RoadTra_BY!$B$2:$B$79,'Road transport'!$C36,RoadTra_BY!$C$2:$C$79,'Road transport'!$BA36),3)</f>
        <v>*0.466</v>
      </c>
      <c r="U36" s="53" t="str">
        <f>"*"&amp;ROUND(SUMIFS(RoadTra_BY!AC$2:AC$79,RoadTra_BY!$B$2:$B$79,'Road transport'!$C36,RoadTra_BY!$C$2:$C$79,'Road transport'!$BA36),3)</f>
        <v>*0.466</v>
      </c>
      <c r="V36" s="53" t="str">
        <f>"*"&amp;ROUND(SUMIFS(RoadTra_BY!AD$2:AD$79,RoadTra_BY!$B$2:$B$79,'Road transport'!$C36,RoadTra_BY!$C$2:$C$79,'Road transport'!$BA36),3)</f>
        <v>*0.466</v>
      </c>
      <c r="W36" s="53" t="str">
        <f>"*"&amp;ROUND(SUMIFS(RoadTra_BY!AE$2:AE$79,RoadTra_BY!$B$2:$B$79,'Road transport'!$C36,RoadTra_BY!$C$2:$C$79,'Road transport'!$BA36),3)</f>
        <v>*0.466</v>
      </c>
      <c r="X36" s="53" t="str">
        <f>"*"&amp;ROUND(SUMIFS(RoadTra_BY!AF$2:AF$79,RoadTra_BY!$B$2:$B$79,'Road transport'!$C36,RoadTra_BY!$C$2:$C$79,'Road transport'!$BA36),3)</f>
        <v>*0.466</v>
      </c>
      <c r="Y36" s="53" t="str">
        <f>"*"&amp;ROUND(SUMIFS(RoadTra_BY!AG$2:AG$79,RoadTra_BY!$B$2:$B$79,'Road transport'!$C36,RoadTra_BY!$C$2:$C$79,'Road transport'!$BA36),3)</f>
        <v>*0.28</v>
      </c>
      <c r="Z36" s="53" t="str">
        <f>"*"&amp;ROUND(SUMIFS(RoadTra_BY!AH$2:AH$79,RoadTra_BY!$B$2:$B$79,'Road transport'!$C36,RoadTra_BY!$C$2:$C$79,'Road transport'!$BA36),3)</f>
        <v>*0.466</v>
      </c>
      <c r="AA36" s="53" t="str">
        <f>"*"&amp;ROUND(SUMIFS(RoadTra_BY!AI$2:AI$79,RoadTra_BY!$B$2:$B$79,'Road transport'!$C36,RoadTra_BY!$C$2:$C$79,'Road transport'!$BA36),3)</f>
        <v>*0.466</v>
      </c>
      <c r="AB36" s="53" t="str">
        <f>"*"&amp;ROUND(SUMIFS(RoadTra_BY!AJ$2:AJ$79,RoadTra_BY!$B$2:$B$79,'Road transport'!$C36,RoadTra_BY!$C$2:$C$79,'Road transport'!$BA36),3)</f>
        <v>*0.466</v>
      </c>
      <c r="AC36" s="53" t="str">
        <f>"*"&amp;ROUND(SUMIFS(RoadTra_BY!AK$2:AK$79,RoadTra_BY!$B$2:$B$79,'Road transport'!$C36,RoadTra_BY!$C$2:$C$79,'Road transport'!$BA36),3)</f>
        <v>*0.466</v>
      </c>
      <c r="AD36" s="53" t="str">
        <f>"*"&amp;ROUND(SUMIFS(RoadTra_BY!AL$2:AL$79,RoadTra_BY!$B$2:$B$79,'Road transport'!$C36,RoadTra_BY!$C$2:$C$79,'Road transport'!$BA36),3)</f>
        <v>*0.466</v>
      </c>
      <c r="AE36" s="53" t="str">
        <f>"*"&amp;ROUND(SUMIFS(RoadTra_BY!AM$2:AM$79,RoadTra_BY!$B$2:$B$79,'Road transport'!$C36,RoadTra_BY!$C$2:$C$79,'Road transport'!$BA36),3)</f>
        <v>*0.466</v>
      </c>
      <c r="AF36" s="53" t="str">
        <f>"*"&amp;ROUND(SUMIFS(RoadTra_BY!AN$2:AN$79,RoadTra_BY!$B$2:$B$79,'Road transport'!$C36,RoadTra_BY!$C$2:$C$79,'Road transport'!$BA36),3)</f>
        <v>*0.466</v>
      </c>
      <c r="AG36" s="53" t="str">
        <f>"*"&amp;ROUND(SUMIFS(RoadTra_BY!AO$2:AO$79,RoadTra_BY!$B$2:$B$79,'Road transport'!$C36,RoadTra_BY!$C$2:$C$79,'Road transport'!$BA36),3)</f>
        <v>*0.466</v>
      </c>
      <c r="AH36" s="53" t="str">
        <f>"*"&amp;ROUND(SUMIFS(RoadTra_BY!AP$2:AP$79,RoadTra_BY!$B$2:$B$79,'Road transport'!$C36,RoadTra_BY!$C$2:$C$79,'Road transport'!$BA36),3)</f>
        <v>*0.466</v>
      </c>
      <c r="AI36" s="53" t="str">
        <f>"*"&amp;ROUND(SUMIFS(RoadTra_BY!AQ$2:AQ$79,RoadTra_BY!$B$2:$B$79,'Road transport'!$C36,RoadTra_BY!$C$2:$C$79,'Road transport'!$BA36),3)</f>
        <v>*0.466</v>
      </c>
      <c r="AJ36" s="53" t="str">
        <f>"*"&amp;ROUND(SUMIFS(RoadTra_BY!AR$2:AR$79,RoadTra_BY!$B$2:$B$79,'Road transport'!$C36,RoadTra_BY!$C$2:$C$79,'Road transport'!$BA36),3)</f>
        <v>*0.466</v>
      </c>
      <c r="AK36" s="53" t="str">
        <f>"*"&amp;ROUND(SUMIFS(RoadTra_BY!AS$2:AS$79,RoadTra_BY!$B$2:$B$79,'Road transport'!$C36,RoadTra_BY!$C$2:$C$79,'Road transport'!$BA36),3)</f>
        <v>*0.466</v>
      </c>
      <c r="AL36" s="53" t="str">
        <f>"*"&amp;ROUND(SUMIFS(RoadTra_BY!AT$2:AT$79,RoadTra_BY!$B$2:$B$79,'Road transport'!$C36,RoadTra_BY!$C$2:$C$79,'Road transport'!$BA36),3)</f>
        <v>*0.466</v>
      </c>
      <c r="AM36" s="53" t="str">
        <f>"*"&amp;ROUND(SUMIFS(RoadTra_BY!AU$2:AU$79,RoadTra_BY!$B$2:$B$79,'Road transport'!$C36,RoadTra_BY!$C$2:$C$79,'Road transport'!$BA36),3)</f>
        <v>*0</v>
      </c>
      <c r="AN36" s="53" t="str">
        <f>"*"&amp;ROUND(SUMIFS(RoadTra_BY!AV$2:AV$79,RoadTra_BY!$B$2:$B$79,'Road transport'!$C36,RoadTra_BY!$C$2:$C$79,'Road transport'!$BA36),3)</f>
        <v>*0</v>
      </c>
      <c r="AO36" s="53" t="str">
        <f>"*"&amp;ROUND(SUMIFS(RoadTra_BY!AW$2:AW$79,RoadTra_BY!$B$2:$B$79,'Road transport'!$C36,RoadTra_BY!$C$2:$C$79,'Road transport'!$BA36),3)</f>
        <v>*0</v>
      </c>
      <c r="AP36" s="53" t="str">
        <f>"*"&amp;ROUND(SUMIFS(RoadTra_BY!AX$2:AX$79,RoadTra_BY!$B$2:$B$79,'Road transport'!$C36,RoadTra_BY!$C$2:$C$79,'Road transport'!$BA36),3)</f>
        <v>*0</v>
      </c>
      <c r="AQ36" s="53" t="str">
        <f>"*"&amp;ROUND(SUMIFS(RoadTra_BY!AY$2:AY$79,RoadTra_BY!$B$2:$B$79,'Road transport'!$C36,RoadTra_BY!$C$2:$C$79,'Road transport'!$BA36),3)</f>
        <v>*0</v>
      </c>
      <c r="AR36" s="53" t="str">
        <f>"*"&amp;ROUND(SUMIFS(RoadTra_BY!AZ$2:AZ$79,RoadTra_BY!$B$2:$B$79,'Road transport'!$C36,RoadTra_BY!$C$2:$C$79,'Road transport'!$BA36),3)</f>
        <v>*0</v>
      </c>
      <c r="AS36" s="53" t="str">
        <f>"*"&amp;ROUND(SUMIFS(RoadTra_BY!BA$2:BA$79,RoadTra_BY!$B$2:$B$79,'Road transport'!$C36,RoadTra_BY!$C$2:$C$79,'Road transport'!$BA36),3)</f>
        <v>*0</v>
      </c>
      <c r="AT36" s="53" t="str">
        <f>"*"&amp;ROUND(SUMIFS(RoadTra_BY!BB$2:BB$79,RoadTra_BY!$B$2:$B$79,'Road transport'!$C36,RoadTra_BY!$C$2:$C$79,'Road transport'!$BA36),3)</f>
        <v>*0</v>
      </c>
      <c r="AU36" s="53" t="str">
        <f>"*"&amp;ROUND(SUMIFS(RoadTra_BY!BC$2:BC$79,RoadTra_BY!$B$2:$B$79,'Road transport'!$C36,RoadTra_BY!$C$2:$C$79,'Road transport'!$BA36),3)</f>
        <v>*0</v>
      </c>
      <c r="AV36" s="53" t="str">
        <f>"*"&amp;ROUND(SUMIFS(RoadTra_BY!BD$2:BD$79,RoadTra_BY!$B$2:$B$79,'Road transport'!$C36,RoadTra_BY!$C$2:$C$79,'Road transport'!$BA36),3)</f>
        <v>*0</v>
      </c>
      <c r="AW36" s="53" t="str">
        <f>"*"&amp;ROUND(SUMIFS(RoadTra_BY!BE$2:BE$79,RoadTra_BY!$B$2:$B$79,'Road transport'!$C36,RoadTra_BY!$C$2:$C$79,'Road transport'!$BA36),3)</f>
        <v>*0</v>
      </c>
      <c r="AX36" s="53" t="str">
        <f t="shared" si="1"/>
        <v>Trd_car_*</v>
      </c>
      <c r="AZ36" s="53">
        <f t="shared" si="0"/>
        <v>1</v>
      </c>
      <c r="BA36" s="53" t="s">
        <v>153</v>
      </c>
    </row>
    <row r="37" spans="2: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2: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2:53">
      <c r="E45" s="63"/>
    </row>
    <row r="48" spans="2:53">
      <c r="B48" t="s">
        <v>149</v>
      </c>
    </row>
    <row r="49" spans="2:53">
      <c r="B49" t="s">
        <v>116</v>
      </c>
      <c r="C49" t="s">
        <v>50</v>
      </c>
      <c r="D49" t="s">
        <v>93</v>
      </c>
      <c r="E49" t="s">
        <v>94</v>
      </c>
      <c r="I49" t="s">
        <v>156</v>
      </c>
    </row>
    <row r="50" spans="2:53">
      <c r="B50" t="s">
        <v>107</v>
      </c>
      <c r="C50" t="s">
        <v>157</v>
      </c>
      <c r="D50" t="s">
        <v>104</v>
      </c>
      <c r="E50" t="s">
        <v>158</v>
      </c>
    </row>
    <row r="53" spans="2:53">
      <c r="B53" t="s">
        <v>114</v>
      </c>
    </row>
    <row r="54" spans="2:53">
      <c r="B54" t="s">
        <v>116</v>
      </c>
      <c r="C54" t="s">
        <v>50</v>
      </c>
      <c r="D54" t="s">
        <v>159</v>
      </c>
      <c r="E54" t="s">
        <v>139</v>
      </c>
      <c r="F54" t="s">
        <v>95</v>
      </c>
      <c r="G54" t="s">
        <v>160</v>
      </c>
      <c r="H54" t="s">
        <v>94</v>
      </c>
      <c r="I54" t="s">
        <v>130</v>
      </c>
    </row>
    <row r="55" spans="2:53">
      <c r="B55" t="s">
        <v>131</v>
      </c>
      <c r="C55">
        <v>10</v>
      </c>
      <c r="D55" t="s">
        <v>161</v>
      </c>
      <c r="E55" s="104" t="s">
        <v>162</v>
      </c>
    </row>
    <row r="56" spans="2:53">
      <c r="B56" t="s">
        <v>163</v>
      </c>
      <c r="C56">
        <v>1</v>
      </c>
      <c r="F56" t="s">
        <v>164</v>
      </c>
      <c r="G56" t="s">
        <v>103</v>
      </c>
      <c r="H56" t="str">
        <f>F56</f>
        <v>AuxStoIN</v>
      </c>
      <c r="I56" t="s">
        <v>165</v>
      </c>
    </row>
    <row r="62" spans="2:53">
      <c r="H62" s="57"/>
    </row>
    <row r="63" spans="2:53">
      <c r="H63" s="57"/>
      <c r="BA63" s="55"/>
    </row>
    <row r="65" s="54" customFormat="1" spans="1:106">
      <c r="A65" s="55"/>
      <c r="B65" s="64" t="s">
        <v>114</v>
      </c>
      <c r="C65" s="65"/>
      <c r="D65" s="64"/>
      <c r="E65" s="64"/>
      <c r="F65" s="55"/>
      <c r="G65" s="55"/>
      <c r="H65" s="55"/>
      <c r="I65" s="55"/>
      <c r="J65" s="55"/>
      <c r="K65" s="55"/>
      <c r="L65" s="55"/>
      <c r="M65" s="55"/>
      <c r="N65" s="55"/>
      <c r="O65" s="55"/>
      <c r="P65" s="55"/>
      <c r="Q65" s="55"/>
      <c r="R65" s="55"/>
      <c r="S65" s="55"/>
      <c r="T65" s="55"/>
      <c r="U65" s="55"/>
      <c r="V65" s="55"/>
      <c r="W65" s="55"/>
      <c r="X65" s="55"/>
      <c r="Y65" s="55"/>
      <c r="Z65" s="55"/>
      <c r="AA65" s="55"/>
      <c r="AB65" s="55"/>
      <c r="AC65" s="55"/>
      <c r="AD65" s="55"/>
      <c r="AE65" s="55"/>
      <c r="AF65" s="55"/>
      <c r="AG65" s="55"/>
      <c r="AH65" s="55"/>
      <c r="AI65" s="55"/>
      <c r="AJ65" s="55"/>
      <c r="AK65" s="55"/>
      <c r="AL65" s="55"/>
      <c r="AM65" s="55"/>
      <c r="AN65" s="55"/>
      <c r="AO65" s="55"/>
      <c r="AP65" s="55"/>
      <c r="AY65" s="55"/>
      <c r="AZ65" s="55"/>
      <c r="BB65" s="55"/>
      <c r="BC65" s="55"/>
      <c r="BD65" s="55"/>
      <c r="BE65" s="55"/>
      <c r="BF65" s="55"/>
      <c r="BG65" s="55"/>
      <c r="BH65" s="55"/>
      <c r="BI65" s="55"/>
      <c r="CO65" s="66"/>
      <c r="CP65" s="66"/>
      <c r="CR65" s="66"/>
      <c r="CS65" s="66"/>
      <c r="CT65" s="66"/>
      <c r="CU65" s="66"/>
      <c r="CW65" s="57"/>
      <c r="CX65" s="67" t="s">
        <v>114</v>
      </c>
      <c r="CY65" s="57"/>
      <c r="CZ65" s="57"/>
      <c r="DA65" s="57"/>
      <c r="DB65" s="57"/>
    </row>
    <row r="66" s="55" customFormat="1" spans="1:106">
      <c r="A66" s="55" t="s">
        <v>41</v>
      </c>
      <c r="B66" s="64" t="s">
        <v>116</v>
      </c>
      <c r="C66" s="64" t="s">
        <v>120</v>
      </c>
      <c r="D66" s="64" t="s">
        <v>64</v>
      </c>
      <c r="E66" s="64" t="s">
        <v>95</v>
      </c>
      <c r="F66" s="55" t="s">
        <v>3</v>
      </c>
      <c r="G66" s="55" t="s">
        <v>5</v>
      </c>
      <c r="H66" s="55" t="s">
        <v>6</v>
      </c>
      <c r="I66" s="55" t="s">
        <v>7</v>
      </c>
      <c r="J66" s="55" t="s">
        <v>8</v>
      </c>
      <c r="K66" s="55" t="s">
        <v>9</v>
      </c>
      <c r="L66" s="55" t="s">
        <v>10</v>
      </c>
      <c r="M66" s="55" t="s">
        <v>11</v>
      </c>
      <c r="N66" s="55" t="s">
        <v>12</v>
      </c>
      <c r="O66" s="55" t="s">
        <v>13</v>
      </c>
      <c r="P66" s="55" t="s">
        <v>14</v>
      </c>
      <c r="Q66" s="55" t="s">
        <v>15</v>
      </c>
      <c r="R66" s="55" t="s">
        <v>16</v>
      </c>
      <c r="S66" s="55" t="s">
        <v>17</v>
      </c>
      <c r="T66" s="55" t="s">
        <v>18</v>
      </c>
      <c r="U66" s="55" t="s">
        <v>19</v>
      </c>
      <c r="V66" s="55" t="s">
        <v>20</v>
      </c>
      <c r="W66" s="55" t="s">
        <v>21</v>
      </c>
      <c r="X66" s="55" t="s">
        <v>22</v>
      </c>
      <c r="Y66" s="55" t="s">
        <v>23</v>
      </c>
      <c r="Z66" s="55" t="s">
        <v>24</v>
      </c>
      <c r="AA66" s="55" t="s">
        <v>25</v>
      </c>
      <c r="AB66" s="55" t="s">
        <v>26</v>
      </c>
      <c r="AC66" s="55" t="s">
        <v>27</v>
      </c>
      <c r="AD66" s="55" t="s">
        <v>28</v>
      </c>
      <c r="AE66" s="55" t="s">
        <v>29</v>
      </c>
      <c r="AF66" s="55" t="s">
        <v>30</v>
      </c>
      <c r="AG66" s="55" t="s">
        <v>31</v>
      </c>
      <c r="AH66" s="55" t="s">
        <v>32</v>
      </c>
      <c r="AI66" s="55" t="s">
        <v>33</v>
      </c>
      <c r="AJ66" s="55" t="s">
        <v>34</v>
      </c>
      <c r="AK66" s="55" t="s">
        <v>35</v>
      </c>
      <c r="AL66" s="55" t="s">
        <v>36</v>
      </c>
      <c r="AM66" s="55" t="s">
        <v>37</v>
      </c>
      <c r="AN66" s="55" t="s">
        <v>166</v>
      </c>
      <c r="CQ66" s="68"/>
      <c r="CR66" s="68"/>
      <c r="CT66" s="68"/>
      <c r="CU66" s="68"/>
      <c r="CW66" t="s">
        <v>116</v>
      </c>
      <c r="CX66" t="s">
        <v>120</v>
      </c>
      <c r="CY66" t="s">
        <v>64</v>
      </c>
      <c r="CZ66" t="s">
        <v>95</v>
      </c>
      <c r="DA66" s="69" t="s">
        <v>41</v>
      </c>
      <c r="DB66" s="69" t="s">
        <v>65</v>
      </c>
    </row>
    <row r="67" s="55" customFormat="1" ht="14.5" spans="1:106">
      <c r="A67" s="55">
        <v>2020</v>
      </c>
      <c r="B67" s="70" t="s">
        <v>167</v>
      </c>
      <c r="C67" s="64" t="s">
        <v>168</v>
      </c>
      <c r="D67" s="71" t="s">
        <v>169</v>
      </c>
      <c r="E67" s="65" t="s">
        <v>170</v>
      </c>
      <c r="F67" s="55">
        <f t="shared" ref="F67:L68" si="2">D77/1000</f>
        <v>0</v>
      </c>
      <c r="G67" s="55">
        <f t="shared" si="2"/>
        <v>310</v>
      </c>
      <c r="H67" s="55">
        <f t="shared" si="2"/>
        <v>6200</v>
      </c>
      <c r="I67" s="55">
        <f t="shared" si="2"/>
        <v>0</v>
      </c>
      <c r="J67" s="55">
        <f t="shared" si="2"/>
        <v>0</v>
      </c>
      <c r="K67" s="55">
        <f t="shared" si="2"/>
        <v>0</v>
      </c>
      <c r="L67" s="55">
        <f t="shared" si="2"/>
        <v>250</v>
      </c>
      <c r="M67" s="55">
        <v>2000</v>
      </c>
      <c r="N67" s="55">
        <f t="shared" ref="N67:W68" si="3">L77/1000</f>
        <v>0</v>
      </c>
      <c r="O67" s="55">
        <f t="shared" si="3"/>
        <v>0</v>
      </c>
      <c r="P67" s="55">
        <f t="shared" si="3"/>
        <v>0</v>
      </c>
      <c r="Q67" s="55">
        <f t="shared" si="3"/>
        <v>0</v>
      </c>
      <c r="R67" s="55">
        <f t="shared" si="3"/>
        <v>0</v>
      </c>
      <c r="S67" s="55">
        <f t="shared" si="3"/>
        <v>0</v>
      </c>
      <c r="T67" s="55">
        <f t="shared" si="3"/>
        <v>0</v>
      </c>
      <c r="U67" s="55">
        <f t="shared" si="3"/>
        <v>0</v>
      </c>
      <c r="V67" s="55">
        <f t="shared" si="3"/>
        <v>0</v>
      </c>
      <c r="W67" s="55">
        <f t="shared" si="3"/>
        <v>0</v>
      </c>
      <c r="X67" s="55">
        <f t="shared" ref="X67:AG68" si="4">V77/1000</f>
        <v>0</v>
      </c>
      <c r="Y67" s="55">
        <f t="shared" si="4"/>
        <v>12250</v>
      </c>
      <c r="Z67" s="55">
        <f t="shared" si="4"/>
        <v>0</v>
      </c>
      <c r="AA67" s="55">
        <f t="shared" si="4"/>
        <v>1930</v>
      </c>
      <c r="AB67" s="55">
        <f t="shared" si="4"/>
        <v>0</v>
      </c>
      <c r="AC67" s="55">
        <f t="shared" si="4"/>
        <v>0</v>
      </c>
      <c r="AD67" s="55">
        <f t="shared" si="4"/>
        <v>3300</v>
      </c>
      <c r="AE67" s="55">
        <f t="shared" si="4"/>
        <v>0</v>
      </c>
      <c r="AF67" s="55">
        <f t="shared" si="4"/>
        <v>0</v>
      </c>
      <c r="AG67" s="55">
        <f t="shared" si="4"/>
        <v>0</v>
      </c>
      <c r="AH67" s="55">
        <f t="shared" ref="AH67:AM68" si="5">AF77/1000</f>
        <v>60</v>
      </c>
      <c r="AI67" s="55">
        <f t="shared" si="5"/>
        <v>0</v>
      </c>
      <c r="AJ67" s="55">
        <f t="shared" si="5"/>
        <v>0</v>
      </c>
      <c r="AK67" s="55">
        <f t="shared" si="5"/>
        <v>0</v>
      </c>
      <c r="AL67" s="55">
        <f t="shared" si="5"/>
        <v>0</v>
      </c>
      <c r="AM67" s="55">
        <f t="shared" si="5"/>
        <v>0</v>
      </c>
      <c r="AN67" s="55" t="str">
        <f>E67</f>
        <v>m_lithium</v>
      </c>
      <c r="CQ67" s="68"/>
      <c r="CR67" s="68"/>
      <c r="CT67" s="68"/>
      <c r="CU67" s="68"/>
      <c r="CW67" s="72" t="s">
        <v>167</v>
      </c>
      <c r="CX67" t="s">
        <v>168</v>
      </c>
      <c r="CY67" s="57" t="str">
        <f>D67</f>
        <v>MINBatMaterials_LI</v>
      </c>
      <c r="CZ67" s="57" t="s">
        <v>170</v>
      </c>
      <c r="DA67" s="69">
        <v>0</v>
      </c>
      <c r="DB67" s="69">
        <v>5</v>
      </c>
    </row>
    <row r="68" s="55" customFormat="1" ht="16" spans="1:106">
      <c r="A68" s="55">
        <v>2020</v>
      </c>
      <c r="B68" s="70" t="s">
        <v>167</v>
      </c>
      <c r="C68" s="64" t="s">
        <v>168</v>
      </c>
      <c r="D68" s="73" t="s">
        <v>171</v>
      </c>
      <c r="E68" s="65" t="s">
        <v>172</v>
      </c>
      <c r="F68" s="55">
        <f t="shared" si="2"/>
        <v>0</v>
      </c>
      <c r="G68" s="55">
        <f t="shared" si="2"/>
        <v>0</v>
      </c>
      <c r="H68" s="55">
        <f t="shared" si="2"/>
        <v>21000</v>
      </c>
      <c r="I68" s="55">
        <f t="shared" si="2"/>
        <v>0</v>
      </c>
      <c r="J68" s="55">
        <f t="shared" si="2"/>
        <v>0</v>
      </c>
      <c r="K68" s="55">
        <f t="shared" si="2"/>
        <v>0</v>
      </c>
      <c r="L68" s="55">
        <f t="shared" si="2"/>
        <v>16000</v>
      </c>
      <c r="M68" s="55">
        <f>K78/1000</f>
        <v>2100</v>
      </c>
      <c r="N68" s="55">
        <f t="shared" si="3"/>
        <v>0</v>
      </c>
      <c r="O68" s="55">
        <f t="shared" si="3"/>
        <v>0</v>
      </c>
      <c r="P68" s="55">
        <f t="shared" si="3"/>
        <v>0</v>
      </c>
      <c r="Q68" s="55">
        <f t="shared" si="3"/>
        <v>0</v>
      </c>
      <c r="R68" s="55">
        <f t="shared" si="3"/>
        <v>0</v>
      </c>
      <c r="S68" s="55">
        <f t="shared" si="3"/>
        <v>0</v>
      </c>
      <c r="T68" s="55">
        <f t="shared" si="3"/>
        <v>0</v>
      </c>
      <c r="U68" s="55">
        <f t="shared" si="3"/>
        <v>0</v>
      </c>
      <c r="V68" s="55">
        <f t="shared" si="3"/>
        <v>0</v>
      </c>
      <c r="W68" s="55">
        <f t="shared" si="3"/>
        <v>0</v>
      </c>
      <c r="X68" s="55">
        <f t="shared" si="4"/>
        <v>0</v>
      </c>
      <c r="Y68" s="55">
        <f t="shared" si="4"/>
        <v>16000</v>
      </c>
      <c r="Z68" s="55">
        <f t="shared" si="4"/>
        <v>0</v>
      </c>
      <c r="AA68" s="55">
        <f t="shared" si="4"/>
        <v>2570</v>
      </c>
      <c r="AB68" s="55">
        <f t="shared" si="4"/>
        <v>0</v>
      </c>
      <c r="AC68" s="55">
        <f t="shared" si="4"/>
        <v>0</v>
      </c>
      <c r="AD68" s="55">
        <f t="shared" si="4"/>
        <v>52900</v>
      </c>
      <c r="AE68" s="55">
        <f t="shared" si="4"/>
        <v>7500</v>
      </c>
      <c r="AF68" s="55">
        <f t="shared" si="4"/>
        <v>0</v>
      </c>
      <c r="AG68" s="55">
        <f t="shared" si="4"/>
        <v>0</v>
      </c>
      <c r="AH68" s="55">
        <f t="shared" si="5"/>
        <v>0</v>
      </c>
      <c r="AI68" s="55">
        <f t="shared" si="5"/>
        <v>0</v>
      </c>
      <c r="AJ68" s="55">
        <f t="shared" si="5"/>
        <v>0</v>
      </c>
      <c r="AK68" s="55">
        <f t="shared" si="5"/>
        <v>0</v>
      </c>
      <c r="AL68" s="55">
        <f t="shared" si="5"/>
        <v>0</v>
      </c>
      <c r="AM68" s="55">
        <f t="shared" si="5"/>
        <v>0</v>
      </c>
      <c r="AN68" s="55" t="str">
        <f t="shared" ref="AN68:AN73" si="6">E68</f>
        <v>m_nickel</v>
      </c>
      <c r="CQ68" s="68"/>
      <c r="CR68" s="68"/>
      <c r="CT68" s="68"/>
      <c r="CU68" s="68"/>
      <c r="CW68" s="72" t="s">
        <v>167</v>
      </c>
      <c r="CX68" t="s">
        <v>168</v>
      </c>
      <c r="CY68" s="57" t="str">
        <f t="shared" ref="CY68:CY73" si="7">D68</f>
        <v>MINBatMaterials_NI</v>
      </c>
      <c r="CZ68" s="57" t="s">
        <v>172</v>
      </c>
      <c r="DA68" s="69">
        <v>0</v>
      </c>
      <c r="DB68" s="69">
        <v>5</v>
      </c>
    </row>
    <row r="69" s="56" customFormat="1" ht="16" spans="1:106">
      <c r="A69" s="55">
        <v>2020</v>
      </c>
      <c r="B69" s="74" t="s">
        <v>167</v>
      </c>
      <c r="C69" s="56" t="s">
        <v>168</v>
      </c>
      <c r="D69" s="73" t="s">
        <v>173</v>
      </c>
      <c r="E69" s="75" t="s">
        <v>174</v>
      </c>
      <c r="F69" s="76">
        <v>0</v>
      </c>
      <c r="G69" s="76">
        <f>E79/10000</f>
        <v>410</v>
      </c>
      <c r="H69" s="76">
        <f>F79/10000</f>
        <v>150</v>
      </c>
      <c r="I69" s="76">
        <f>G79/10000</f>
        <v>0</v>
      </c>
      <c r="J69" s="76">
        <f>H79/10000</f>
        <v>0</v>
      </c>
      <c r="K69" s="76">
        <f>I79/10000</f>
        <v>0</v>
      </c>
      <c r="L69" s="76">
        <f t="shared" ref="L69:AM69" si="8">J79/10000</f>
        <v>0</v>
      </c>
      <c r="M69" s="76">
        <f t="shared" si="8"/>
        <v>14</v>
      </c>
      <c r="N69" s="76">
        <f t="shared" si="8"/>
        <v>0</v>
      </c>
      <c r="O69" s="76">
        <f t="shared" si="8"/>
        <v>0</v>
      </c>
      <c r="P69" s="76">
        <f t="shared" si="8"/>
        <v>0</v>
      </c>
      <c r="Q69" s="76">
        <f t="shared" si="8"/>
        <v>0</v>
      </c>
      <c r="R69" s="76">
        <f t="shared" si="8"/>
        <v>0</v>
      </c>
      <c r="S69" s="76">
        <f t="shared" si="8"/>
        <v>0</v>
      </c>
      <c r="T69" s="76">
        <f t="shared" si="8"/>
        <v>0</v>
      </c>
      <c r="U69" s="76">
        <f t="shared" si="8"/>
        <v>0</v>
      </c>
      <c r="V69" s="76">
        <f t="shared" si="8"/>
        <v>0</v>
      </c>
      <c r="W69" s="76">
        <f t="shared" si="8"/>
        <v>0</v>
      </c>
      <c r="X69" s="76">
        <f t="shared" si="8"/>
        <v>0</v>
      </c>
      <c r="Y69" s="76">
        <f t="shared" si="8"/>
        <v>50</v>
      </c>
      <c r="Z69" s="76">
        <f t="shared" si="8"/>
        <v>3.6</v>
      </c>
      <c r="AA69" s="76">
        <f t="shared" si="8"/>
        <v>28.9</v>
      </c>
      <c r="AB69" s="76">
        <f t="shared" si="8"/>
        <v>0</v>
      </c>
      <c r="AC69" s="76">
        <f t="shared" si="8"/>
        <v>0</v>
      </c>
      <c r="AD69" s="76">
        <f t="shared" si="8"/>
        <v>151.7</v>
      </c>
      <c r="AE69" s="76">
        <f t="shared" si="8"/>
        <v>25</v>
      </c>
      <c r="AF69" s="76">
        <f t="shared" si="8"/>
        <v>0</v>
      </c>
      <c r="AG69" s="76">
        <f t="shared" si="8"/>
        <v>0</v>
      </c>
      <c r="AH69" s="76">
        <f t="shared" si="8"/>
        <v>0</v>
      </c>
      <c r="AI69" s="76">
        <f t="shared" si="8"/>
        <v>0</v>
      </c>
      <c r="AJ69" s="76">
        <f t="shared" si="8"/>
        <v>0</v>
      </c>
      <c r="AK69" s="76">
        <f t="shared" si="8"/>
        <v>3.6</v>
      </c>
      <c r="AL69" s="76">
        <f t="shared" si="8"/>
        <v>0</v>
      </c>
      <c r="AM69" s="76">
        <f t="shared" si="8"/>
        <v>0</v>
      </c>
      <c r="AN69" s="55" t="str">
        <f t="shared" si="6"/>
        <v>m_cobalt</v>
      </c>
      <c r="CQ69" s="77"/>
      <c r="CR69" s="77"/>
      <c r="CT69" s="77"/>
      <c r="CU69" s="77"/>
      <c r="CW69" s="74" t="s">
        <v>167</v>
      </c>
      <c r="CX69" s="56" t="s">
        <v>168</v>
      </c>
      <c r="CY69" s="57" t="str">
        <f t="shared" si="7"/>
        <v>MINBatMaterials_COB</v>
      </c>
      <c r="CZ69" s="75" t="s">
        <v>174</v>
      </c>
      <c r="DA69" s="77">
        <v>0</v>
      </c>
      <c r="DB69" s="77">
        <v>5</v>
      </c>
    </row>
    <row r="70" s="55" customFormat="1" ht="16" spans="1:106">
      <c r="A70" s="55">
        <v>2020</v>
      </c>
      <c r="B70" s="70" t="s">
        <v>167</v>
      </c>
      <c r="C70" s="64" t="s">
        <v>168</v>
      </c>
      <c r="D70" s="73" t="s">
        <v>175</v>
      </c>
      <c r="E70" s="78" t="s">
        <v>176</v>
      </c>
      <c r="F70" s="79">
        <f t="shared" ref="F70:Z70" si="9">D80/1000</f>
        <v>0</v>
      </c>
      <c r="G70" s="79">
        <f t="shared" si="9"/>
        <v>74000</v>
      </c>
      <c r="H70" s="79">
        <f t="shared" si="9"/>
        <v>270000</v>
      </c>
      <c r="I70" s="79">
        <f t="shared" si="9"/>
        <v>0</v>
      </c>
      <c r="J70" s="79">
        <f t="shared" si="9"/>
        <v>0</v>
      </c>
      <c r="K70" s="79">
        <f t="shared" si="9"/>
        <v>0</v>
      </c>
      <c r="L70" s="79">
        <f t="shared" si="9"/>
        <v>270000</v>
      </c>
      <c r="M70" s="79">
        <f t="shared" si="9"/>
        <v>280000</v>
      </c>
      <c r="N70" s="79">
        <f t="shared" si="9"/>
        <v>0</v>
      </c>
      <c r="O70" s="79">
        <f t="shared" si="9"/>
        <v>0</v>
      </c>
      <c r="P70" s="79">
        <f t="shared" si="9"/>
        <v>0</v>
      </c>
      <c r="Q70" s="79">
        <f t="shared" si="9"/>
        <v>0</v>
      </c>
      <c r="R70" s="79">
        <f t="shared" si="9"/>
        <v>0</v>
      </c>
      <c r="S70" s="79">
        <f t="shared" si="9"/>
        <v>0</v>
      </c>
      <c r="T70" s="79">
        <f t="shared" si="9"/>
        <v>0</v>
      </c>
      <c r="U70" s="79">
        <f t="shared" si="9"/>
        <v>34000</v>
      </c>
      <c r="V70" s="79">
        <f t="shared" si="9"/>
        <v>0</v>
      </c>
      <c r="W70" s="79">
        <f t="shared" si="9"/>
        <v>0</v>
      </c>
      <c r="X70" s="79">
        <f t="shared" si="9"/>
        <v>0</v>
      </c>
      <c r="Y70" s="79">
        <f t="shared" si="9"/>
        <v>275000</v>
      </c>
      <c r="Z70" s="79">
        <f t="shared" si="9"/>
        <v>0</v>
      </c>
      <c r="AA70" s="80">
        <v>100</v>
      </c>
      <c r="AB70" s="55">
        <f t="shared" ref="AB70:AM73" si="10">Z80/1000</f>
        <v>0</v>
      </c>
      <c r="AC70" s="55">
        <f t="shared" si="10"/>
        <v>0</v>
      </c>
      <c r="AD70" s="55">
        <f t="shared" si="10"/>
        <v>5000</v>
      </c>
      <c r="AE70" s="55">
        <f t="shared" si="10"/>
        <v>0</v>
      </c>
      <c r="AF70" s="55">
        <f t="shared" si="10"/>
        <v>0</v>
      </c>
      <c r="AG70" s="64">
        <f t="shared" si="10"/>
        <v>640000</v>
      </c>
      <c r="AH70" s="55">
        <f t="shared" si="10"/>
        <v>0</v>
      </c>
      <c r="AI70" s="55">
        <f t="shared" si="10"/>
        <v>0</v>
      </c>
      <c r="AJ70" s="55">
        <f t="shared" si="10"/>
        <v>0</v>
      </c>
      <c r="AK70" s="55">
        <f t="shared" si="10"/>
        <v>0</v>
      </c>
      <c r="AL70" s="55">
        <f t="shared" si="10"/>
        <v>0</v>
      </c>
      <c r="AM70" s="55">
        <f t="shared" si="10"/>
        <v>140000</v>
      </c>
      <c r="AN70" s="55" t="str">
        <f t="shared" si="6"/>
        <v>m_manganese</v>
      </c>
      <c r="CQ70" s="68"/>
      <c r="CR70" s="68"/>
      <c r="CT70" s="68"/>
      <c r="CU70" s="68"/>
      <c r="CW70" s="72" t="s">
        <v>167</v>
      </c>
      <c r="CX70" t="s">
        <v>168</v>
      </c>
      <c r="CY70" s="57" t="str">
        <f t="shared" si="7"/>
        <v>MINBatMaterials_MN</v>
      </c>
      <c r="CZ70" s="81" t="s">
        <v>176</v>
      </c>
      <c r="DA70" s="69">
        <v>0</v>
      </c>
      <c r="DB70" s="69">
        <v>5</v>
      </c>
    </row>
    <row r="71" s="55" customFormat="1" ht="16" spans="1:106">
      <c r="A71" s="55">
        <v>2020</v>
      </c>
      <c r="B71" s="70" t="s">
        <v>167</v>
      </c>
      <c r="C71" s="64" t="s">
        <v>168</v>
      </c>
      <c r="D71" s="73" t="s">
        <v>177</v>
      </c>
      <c r="E71" s="65" t="s">
        <v>178</v>
      </c>
      <c r="F71" s="55">
        <f t="shared" ref="F71:L73" si="11">D81/1000</f>
        <v>0</v>
      </c>
      <c r="G71" s="55">
        <f t="shared" si="11"/>
        <v>0</v>
      </c>
      <c r="H71" s="55">
        <f t="shared" si="11"/>
        <v>0</v>
      </c>
      <c r="I71" s="55">
        <f t="shared" si="11"/>
        <v>0</v>
      </c>
      <c r="J71" s="55">
        <f t="shared" si="11"/>
        <v>0</v>
      </c>
      <c r="K71" s="55">
        <f t="shared" si="11"/>
        <v>0</v>
      </c>
      <c r="L71" s="55">
        <f t="shared" si="11"/>
        <v>0</v>
      </c>
      <c r="M71" s="82">
        <v>41500</v>
      </c>
      <c r="N71" s="55">
        <f t="shared" ref="N71:Z73" si="12">L81/1000</f>
        <v>0</v>
      </c>
      <c r="O71" s="55">
        <f t="shared" si="12"/>
        <v>0</v>
      </c>
      <c r="P71" s="55">
        <f t="shared" si="12"/>
        <v>0</v>
      </c>
      <c r="Q71" s="55">
        <f t="shared" si="12"/>
        <v>0</v>
      </c>
      <c r="R71" s="55">
        <f t="shared" si="12"/>
        <v>0</v>
      </c>
      <c r="S71" s="55">
        <f t="shared" si="12"/>
        <v>0</v>
      </c>
      <c r="T71" s="55">
        <f t="shared" si="12"/>
        <v>0</v>
      </c>
      <c r="U71" s="55">
        <f t="shared" si="12"/>
        <v>0</v>
      </c>
      <c r="V71" s="55">
        <f t="shared" si="12"/>
        <v>0</v>
      </c>
      <c r="W71" s="55">
        <f t="shared" si="12"/>
        <v>0</v>
      </c>
      <c r="X71" s="55">
        <f t="shared" si="12"/>
        <v>0</v>
      </c>
      <c r="Y71" s="55">
        <f t="shared" si="12"/>
        <v>0</v>
      </c>
      <c r="Z71" s="55">
        <f t="shared" si="12"/>
        <v>0</v>
      </c>
      <c r="AA71" s="82">
        <v>3650</v>
      </c>
      <c r="AB71" s="55">
        <f t="shared" si="10"/>
        <v>0</v>
      </c>
      <c r="AC71" s="55">
        <f t="shared" si="10"/>
        <v>0</v>
      </c>
      <c r="AD71" s="55">
        <f t="shared" si="10"/>
        <v>0</v>
      </c>
      <c r="AE71" s="55">
        <f t="shared" si="10"/>
        <v>0</v>
      </c>
      <c r="AF71" s="55">
        <f t="shared" si="10"/>
        <v>0</v>
      </c>
      <c r="AG71" s="55">
        <f t="shared" si="10"/>
        <v>0</v>
      </c>
      <c r="AH71" s="55">
        <f t="shared" si="10"/>
        <v>0</v>
      </c>
      <c r="AI71" s="55">
        <f t="shared" si="10"/>
        <v>0</v>
      </c>
      <c r="AJ71" s="55">
        <f t="shared" si="10"/>
        <v>0</v>
      </c>
      <c r="AK71" s="55">
        <f t="shared" si="10"/>
        <v>0</v>
      </c>
      <c r="AL71" s="55">
        <f t="shared" si="10"/>
        <v>0</v>
      </c>
      <c r="AM71" s="55">
        <f t="shared" si="10"/>
        <v>0</v>
      </c>
      <c r="AN71" s="55" t="str">
        <f t="shared" si="6"/>
        <v>m_aluminum</v>
      </c>
      <c r="CQ71" s="68"/>
      <c r="CR71" s="68"/>
      <c r="CT71" s="68"/>
      <c r="CU71" s="68"/>
      <c r="CW71" s="72" t="s">
        <v>167</v>
      </c>
      <c r="CX71" t="s">
        <v>168</v>
      </c>
      <c r="CY71" s="57" t="str">
        <f t="shared" si="7"/>
        <v>MINBatMaterials_AL</v>
      </c>
      <c r="CZ71" s="57" t="s">
        <v>178</v>
      </c>
      <c r="DA71" s="69">
        <v>0</v>
      </c>
      <c r="DB71" s="69">
        <v>5</v>
      </c>
    </row>
    <row r="72" s="55" customFormat="1" ht="16" spans="1:106">
      <c r="A72" s="55">
        <v>2020</v>
      </c>
      <c r="B72" s="70" t="s">
        <v>167</v>
      </c>
      <c r="C72" s="64" t="s">
        <v>168</v>
      </c>
      <c r="D72" s="73" t="s">
        <v>179</v>
      </c>
      <c r="E72" s="65" t="s">
        <v>180</v>
      </c>
      <c r="F72" s="55">
        <f t="shared" si="11"/>
        <v>0</v>
      </c>
      <c r="G72" s="55">
        <f t="shared" si="11"/>
        <v>50000</v>
      </c>
      <c r="H72" s="55">
        <f t="shared" si="11"/>
        <v>97000</v>
      </c>
      <c r="I72" s="55">
        <f t="shared" si="11"/>
        <v>0</v>
      </c>
      <c r="J72" s="55">
        <f t="shared" si="11"/>
        <v>0</v>
      </c>
      <c r="K72" s="55">
        <f t="shared" si="11"/>
        <v>0</v>
      </c>
      <c r="L72" s="55">
        <f t="shared" si="11"/>
        <v>0</v>
      </c>
      <c r="M72" s="55">
        <f>K82/1000</f>
        <v>27000</v>
      </c>
      <c r="N72" s="55">
        <f t="shared" si="12"/>
        <v>0</v>
      </c>
      <c r="O72" s="55">
        <f t="shared" si="12"/>
        <v>0</v>
      </c>
      <c r="P72" s="55">
        <f t="shared" si="12"/>
        <v>0</v>
      </c>
      <c r="Q72" s="55">
        <f t="shared" si="12"/>
        <v>0</v>
      </c>
      <c r="R72" s="55">
        <f t="shared" si="12"/>
        <v>0</v>
      </c>
      <c r="S72" s="55">
        <f t="shared" si="12"/>
        <v>0</v>
      </c>
      <c r="T72" s="55">
        <f t="shared" si="12"/>
        <v>0</v>
      </c>
      <c r="U72" s="55">
        <f t="shared" si="12"/>
        <v>0</v>
      </c>
      <c r="V72" s="55">
        <f t="shared" si="12"/>
        <v>0</v>
      </c>
      <c r="W72" s="55">
        <f t="shared" si="12"/>
        <v>0</v>
      </c>
      <c r="X72" s="55">
        <f t="shared" si="12"/>
        <v>0</v>
      </c>
      <c r="Y72" s="55">
        <f t="shared" si="12"/>
        <v>324000</v>
      </c>
      <c r="Z72" s="55">
        <f t="shared" si="12"/>
        <v>0</v>
      </c>
      <c r="AA72" s="55">
        <f>Y82/1000</f>
        <v>51600</v>
      </c>
      <c r="AB72" s="55">
        <f t="shared" si="10"/>
        <v>0</v>
      </c>
      <c r="AC72" s="55">
        <f t="shared" si="10"/>
        <v>30000</v>
      </c>
      <c r="AD72" s="55">
        <f t="shared" si="10"/>
        <v>244000</v>
      </c>
      <c r="AE72" s="55">
        <f t="shared" si="10"/>
        <v>62000</v>
      </c>
      <c r="AF72" s="55">
        <f t="shared" si="10"/>
        <v>0</v>
      </c>
      <c r="AG72" s="55">
        <f t="shared" si="10"/>
        <v>0</v>
      </c>
      <c r="AH72" s="55">
        <f t="shared" si="10"/>
        <v>0</v>
      </c>
      <c r="AI72" s="55">
        <f t="shared" si="10"/>
        <v>0</v>
      </c>
      <c r="AJ72" s="55">
        <f t="shared" si="10"/>
        <v>0</v>
      </c>
      <c r="AK72" s="55">
        <f t="shared" si="10"/>
        <v>0</v>
      </c>
      <c r="AL72" s="55">
        <f t="shared" si="10"/>
        <v>0</v>
      </c>
      <c r="AM72" s="55">
        <f t="shared" si="10"/>
        <v>0</v>
      </c>
      <c r="AN72" s="55" t="str">
        <f t="shared" si="6"/>
        <v>m_copper</v>
      </c>
      <c r="CQ72" s="68"/>
      <c r="CR72" s="68"/>
      <c r="CT72" s="68"/>
      <c r="CU72" s="68"/>
      <c r="CW72" s="72" t="s">
        <v>167</v>
      </c>
      <c r="CX72" t="s">
        <v>168</v>
      </c>
      <c r="CY72" s="57" t="str">
        <f t="shared" si="7"/>
        <v>MINBatMaterials_COP</v>
      </c>
      <c r="CZ72" s="57" t="s">
        <v>180</v>
      </c>
      <c r="DA72" s="69">
        <v>0</v>
      </c>
      <c r="DB72" s="69">
        <v>5</v>
      </c>
    </row>
    <row r="73" s="54" customFormat="1" ht="16" spans="1:106">
      <c r="A73" s="55">
        <v>2020</v>
      </c>
      <c r="B73" s="70" t="s">
        <v>167</v>
      </c>
      <c r="C73" s="64" t="s">
        <v>168</v>
      </c>
      <c r="D73" s="73" t="s">
        <v>181</v>
      </c>
      <c r="E73" s="65" t="s">
        <v>182</v>
      </c>
      <c r="F73" s="55">
        <f t="shared" si="11"/>
        <v>0</v>
      </c>
      <c r="G73" s="55">
        <f t="shared" si="11"/>
        <v>69000</v>
      </c>
      <c r="H73" s="55">
        <f t="shared" si="11"/>
        <v>0</v>
      </c>
      <c r="I73" s="55">
        <f t="shared" si="11"/>
        <v>0</v>
      </c>
      <c r="J73" s="55">
        <f t="shared" si="11"/>
        <v>0</v>
      </c>
      <c r="K73" s="55">
        <f t="shared" si="11"/>
        <v>0</v>
      </c>
      <c r="L73" s="55">
        <f t="shared" si="11"/>
        <v>74000</v>
      </c>
      <c r="M73" s="55">
        <f>K83/1000</f>
        <v>52000</v>
      </c>
      <c r="N73" s="55">
        <f t="shared" si="12"/>
        <v>0</v>
      </c>
      <c r="O73" s="55">
        <f t="shared" si="12"/>
        <v>0</v>
      </c>
      <c r="P73" s="55">
        <f t="shared" si="12"/>
        <v>0</v>
      </c>
      <c r="Q73" s="55">
        <f t="shared" si="12"/>
        <v>0</v>
      </c>
      <c r="R73" s="55">
        <f t="shared" si="12"/>
        <v>0</v>
      </c>
      <c r="S73" s="55">
        <f t="shared" si="12"/>
        <v>0</v>
      </c>
      <c r="T73" s="55">
        <f t="shared" si="12"/>
        <v>0</v>
      </c>
      <c r="U73" s="55">
        <f t="shared" si="12"/>
        <v>8000</v>
      </c>
      <c r="V73" s="55">
        <f t="shared" si="12"/>
        <v>0</v>
      </c>
      <c r="W73" s="55">
        <f t="shared" si="12"/>
        <v>0</v>
      </c>
      <c r="X73" s="55">
        <f t="shared" si="12"/>
        <v>0</v>
      </c>
      <c r="Y73" s="55">
        <f t="shared" si="12"/>
        <v>77100</v>
      </c>
      <c r="Z73" s="55">
        <f t="shared" si="12"/>
        <v>90000</v>
      </c>
      <c r="AA73" s="55">
        <f>Y83/1000</f>
        <v>5700</v>
      </c>
      <c r="AB73" s="55">
        <f t="shared" si="10"/>
        <v>600</v>
      </c>
      <c r="AC73" s="55">
        <f t="shared" si="10"/>
        <v>0</v>
      </c>
      <c r="AD73" s="55">
        <f t="shared" si="10"/>
        <v>12900</v>
      </c>
      <c r="AE73" s="55">
        <f t="shared" si="10"/>
        <v>14000</v>
      </c>
      <c r="AF73" s="55">
        <f t="shared" si="10"/>
        <v>0</v>
      </c>
      <c r="AG73" s="55">
        <f t="shared" si="10"/>
        <v>0</v>
      </c>
      <c r="AH73" s="55">
        <f t="shared" si="10"/>
        <v>0</v>
      </c>
      <c r="AI73" s="55">
        <f t="shared" si="10"/>
        <v>0</v>
      </c>
      <c r="AJ73" s="55">
        <f t="shared" si="10"/>
        <v>0</v>
      </c>
      <c r="AK73" s="55">
        <f t="shared" si="10"/>
        <v>90000</v>
      </c>
      <c r="AL73" s="55">
        <f t="shared" si="10"/>
        <v>0</v>
      </c>
      <c r="AM73" s="55">
        <f t="shared" si="10"/>
        <v>0</v>
      </c>
      <c r="AN73" s="55" t="str">
        <f t="shared" si="6"/>
        <v>m_graphite</v>
      </c>
      <c r="AY73" s="55"/>
      <c r="BB73" s="55"/>
      <c r="CQ73" s="66"/>
      <c r="CR73" s="68"/>
      <c r="CT73" s="66"/>
      <c r="CU73" s="66"/>
      <c r="CW73" s="72" t="s">
        <v>167</v>
      </c>
      <c r="CX73" t="s">
        <v>168</v>
      </c>
      <c r="CY73" s="57" t="str">
        <f t="shared" si="7"/>
        <v>MINBatMaterials_GR</v>
      </c>
      <c r="CZ73" s="57" t="s">
        <v>182</v>
      </c>
      <c r="DA73" s="69">
        <v>0</v>
      </c>
      <c r="DB73" s="69">
        <v>5</v>
      </c>
    </row>
    <row r="74" s="57" customFormat="1"/>
    <row r="75" s="57" customFormat="1" spans="1:106">
      <c r="E75" s="57" t="s">
        <v>183</v>
      </c>
    </row>
    <row r="76" s="57" customFormat="1"/>
    <row r="77" s="57" customFormat="1" spans="1:106">
      <c r="B77" t="s">
        <v>184</v>
      </c>
      <c r="D77" s="83">
        <v>0</v>
      </c>
      <c r="E77" s="83">
        <v>310000</v>
      </c>
      <c r="F77" s="83">
        <v>6200000</v>
      </c>
      <c r="G77" s="83">
        <v>0</v>
      </c>
      <c r="H77" s="83"/>
      <c r="I77" s="83"/>
      <c r="J77" s="83">
        <v>250000</v>
      </c>
      <c r="K77" s="83">
        <v>2000000</v>
      </c>
      <c r="L77" s="83"/>
      <c r="M77" s="83">
        <v>0</v>
      </c>
      <c r="N77" s="83">
        <v>0</v>
      </c>
      <c r="O77" s="83">
        <v>0</v>
      </c>
      <c r="P77" s="83">
        <v>0</v>
      </c>
      <c r="Q77" s="83"/>
      <c r="R77" s="83"/>
      <c r="S77" s="83">
        <v>0</v>
      </c>
      <c r="T77" s="83"/>
      <c r="U77" s="83"/>
      <c r="V77" s="83">
        <v>0</v>
      </c>
      <c r="W77" s="83">
        <v>12250000</v>
      </c>
      <c r="X77" s="83">
        <v>0</v>
      </c>
      <c r="Y77" s="83">
        <v>1930000</v>
      </c>
      <c r="Z77" s="83">
        <v>0</v>
      </c>
      <c r="AA77" s="83">
        <v>0</v>
      </c>
      <c r="AB77" s="83">
        <v>3300000</v>
      </c>
      <c r="AC77" s="83">
        <v>0</v>
      </c>
      <c r="AD77" s="83">
        <v>0</v>
      </c>
      <c r="AE77" s="83">
        <v>0</v>
      </c>
      <c r="AF77" s="83">
        <v>60000</v>
      </c>
      <c r="AG77" s="83">
        <v>0</v>
      </c>
      <c r="AH77" s="83"/>
      <c r="AI77" s="83">
        <v>0</v>
      </c>
      <c r="AJ77" s="83">
        <v>0</v>
      </c>
      <c r="AK77" s="83">
        <v>0</v>
      </c>
    </row>
    <row r="78" s="57" customFormat="1" spans="1:106">
      <c r="D78" s="83">
        <v>0</v>
      </c>
      <c r="E78" s="83">
        <v>0</v>
      </c>
      <c r="F78" s="83">
        <v>21000000</v>
      </c>
      <c r="G78" s="83">
        <v>0</v>
      </c>
      <c r="H78" s="83"/>
      <c r="I78" s="83"/>
      <c r="J78" s="83">
        <v>16000000</v>
      </c>
      <c r="K78" s="83">
        <v>2100000</v>
      </c>
      <c r="L78" s="83"/>
      <c r="M78" s="83">
        <v>0</v>
      </c>
      <c r="N78" s="83">
        <v>0</v>
      </c>
      <c r="O78" s="83">
        <v>0</v>
      </c>
      <c r="P78" s="83">
        <v>0</v>
      </c>
      <c r="Q78" s="83"/>
      <c r="R78" s="83"/>
      <c r="S78" s="83">
        <v>0</v>
      </c>
      <c r="T78" s="83"/>
      <c r="U78" s="83"/>
      <c r="V78" s="83">
        <v>0</v>
      </c>
      <c r="W78" s="83">
        <v>16000000</v>
      </c>
      <c r="X78" s="83">
        <v>0</v>
      </c>
      <c r="Y78" s="83">
        <v>2570000</v>
      </c>
      <c r="Z78" s="83">
        <v>0</v>
      </c>
      <c r="AA78" s="83">
        <v>0</v>
      </c>
      <c r="AB78" s="83">
        <v>52900000</v>
      </c>
      <c r="AC78" s="83">
        <v>7500000</v>
      </c>
      <c r="AD78" s="83">
        <v>0</v>
      </c>
      <c r="AE78" s="83">
        <v>0</v>
      </c>
      <c r="AF78" s="83">
        <v>0</v>
      </c>
      <c r="AG78" s="83">
        <v>0</v>
      </c>
      <c r="AH78" s="83"/>
      <c r="AI78" s="83">
        <v>0</v>
      </c>
      <c r="AJ78" s="83">
        <v>0</v>
      </c>
      <c r="AK78" s="83">
        <v>0</v>
      </c>
    </row>
    <row r="79" s="57" customFormat="1" spans="1:106">
      <c r="D79" s="83">
        <v>13000</v>
      </c>
      <c r="E79" s="83">
        <v>4100000</v>
      </c>
      <c r="F79" s="83">
        <v>1500000</v>
      </c>
      <c r="G79" s="83">
        <v>0</v>
      </c>
      <c r="H79" s="83"/>
      <c r="I79" s="83"/>
      <c r="J79" s="83">
        <v>0</v>
      </c>
      <c r="K79" s="83">
        <v>140000</v>
      </c>
      <c r="L79" s="83"/>
      <c r="M79" s="83">
        <v>0</v>
      </c>
      <c r="N79" s="83">
        <v>0</v>
      </c>
      <c r="O79" s="83">
        <v>0</v>
      </c>
      <c r="P79" s="83">
        <v>0</v>
      </c>
      <c r="Q79" s="83"/>
      <c r="R79" s="83"/>
      <c r="S79" s="83">
        <v>0</v>
      </c>
      <c r="T79" s="83"/>
      <c r="U79" s="83"/>
      <c r="V79" s="83">
        <v>0</v>
      </c>
      <c r="W79" s="83">
        <v>500000</v>
      </c>
      <c r="X79" s="83">
        <v>36000</v>
      </c>
      <c r="Y79" s="83">
        <v>289000</v>
      </c>
      <c r="Z79" s="83">
        <v>0</v>
      </c>
      <c r="AA79" s="83">
        <v>0</v>
      </c>
      <c r="AB79" s="83">
        <v>1517000</v>
      </c>
      <c r="AC79" s="83">
        <v>250000</v>
      </c>
      <c r="AD79" s="83">
        <v>0</v>
      </c>
      <c r="AE79" s="83">
        <v>0</v>
      </c>
      <c r="AF79" s="83">
        <v>0</v>
      </c>
      <c r="AG79" s="83">
        <v>0</v>
      </c>
      <c r="AH79" s="83"/>
      <c r="AI79" s="83">
        <v>36000</v>
      </c>
      <c r="AJ79" s="83">
        <v>0</v>
      </c>
      <c r="AK79" s="83">
        <v>0</v>
      </c>
    </row>
    <row r="80" s="57" customFormat="1" spans="1:106">
      <c r="D80" s="83">
        <v>0</v>
      </c>
      <c r="E80" s="83">
        <v>74000000</v>
      </c>
      <c r="F80" s="83">
        <v>270000000</v>
      </c>
      <c r="G80" s="83">
        <v>0</v>
      </c>
      <c r="H80" s="83"/>
      <c r="I80" s="83"/>
      <c r="J80" s="83">
        <v>270000000</v>
      </c>
      <c r="K80" s="83">
        <v>280000000</v>
      </c>
      <c r="L80" s="83"/>
      <c r="M80" s="83">
        <v>0</v>
      </c>
      <c r="N80" s="83">
        <v>0</v>
      </c>
      <c r="O80" s="83">
        <v>0</v>
      </c>
      <c r="P80" s="83">
        <v>0</v>
      </c>
      <c r="Q80" s="83"/>
      <c r="R80" s="83"/>
      <c r="S80" s="83">
        <v>34000000</v>
      </c>
      <c r="T80" s="83"/>
      <c r="U80" s="83"/>
      <c r="V80" s="83">
        <v>0</v>
      </c>
      <c r="W80" s="83">
        <v>275000000</v>
      </c>
      <c r="X80" s="83">
        <v>0</v>
      </c>
      <c r="Y80" s="83">
        <v>0</v>
      </c>
      <c r="Z80" s="83">
        <v>0</v>
      </c>
      <c r="AA80" s="83">
        <v>0</v>
      </c>
      <c r="AB80" s="83">
        <v>5000000</v>
      </c>
      <c r="AC80" s="83">
        <v>0</v>
      </c>
      <c r="AD80" s="83">
        <v>0</v>
      </c>
      <c r="AE80" s="83">
        <v>640000000</v>
      </c>
      <c r="AF80" s="83">
        <v>0</v>
      </c>
      <c r="AG80" s="83">
        <v>0</v>
      </c>
      <c r="AH80" s="83"/>
      <c r="AI80" s="83">
        <v>0</v>
      </c>
      <c r="AJ80" s="83">
        <v>0</v>
      </c>
      <c r="AK80" s="83">
        <v>140000000</v>
      </c>
    </row>
    <row r="81" s="57" customFormat="1" spans="3:37">
      <c r="D81" s="83"/>
      <c r="E81" s="83"/>
      <c r="F81" s="83"/>
      <c r="G81" s="83"/>
      <c r="H81" s="83"/>
      <c r="I81" s="83"/>
      <c r="J81" s="83"/>
      <c r="K81" s="83"/>
      <c r="L81" s="83"/>
      <c r="M81" s="83"/>
      <c r="N81" s="83"/>
      <c r="O81" s="83"/>
      <c r="P81" s="83"/>
      <c r="Q81" s="83"/>
      <c r="R81" s="83"/>
      <c r="S81" s="83"/>
      <c r="T81" s="83"/>
      <c r="U81" s="83"/>
      <c r="V81" s="83"/>
      <c r="W81" s="83"/>
      <c r="X81" s="83"/>
      <c r="Y81" s="83">
        <v>0</v>
      </c>
      <c r="Z81" s="83"/>
      <c r="AA81" s="83"/>
      <c r="AB81" s="83"/>
      <c r="AC81" s="83"/>
      <c r="AD81" s="83"/>
      <c r="AE81" s="83"/>
      <c r="AF81" s="83"/>
      <c r="AG81" s="83"/>
      <c r="AH81" s="83"/>
      <c r="AI81" s="83"/>
      <c r="AJ81" s="83"/>
      <c r="AK81" s="83"/>
    </row>
    <row r="82" s="57" customFormat="1" spans="3:37">
      <c r="D82" s="83">
        <v>0</v>
      </c>
      <c r="E82" s="83">
        <v>50000000</v>
      </c>
      <c r="F82" s="83">
        <v>97000000</v>
      </c>
      <c r="G82" s="83">
        <v>0</v>
      </c>
      <c r="H82" s="83"/>
      <c r="I82" s="83"/>
      <c r="J82" s="83">
        <v>0</v>
      </c>
      <c r="K82" s="83">
        <v>27000000</v>
      </c>
      <c r="L82" s="83"/>
      <c r="M82" s="83">
        <v>0</v>
      </c>
      <c r="N82" s="83">
        <v>0</v>
      </c>
      <c r="O82" s="83">
        <v>0</v>
      </c>
      <c r="P82" s="83">
        <v>0</v>
      </c>
      <c r="Q82" s="83"/>
      <c r="R82" s="83"/>
      <c r="S82" s="83">
        <v>0</v>
      </c>
      <c r="T82" s="83"/>
      <c r="U82" s="83"/>
      <c r="V82" s="83">
        <v>0</v>
      </c>
      <c r="W82" s="83">
        <v>324000000</v>
      </c>
      <c r="X82" s="83">
        <v>0</v>
      </c>
      <c r="Y82" s="83">
        <v>51600000</v>
      </c>
      <c r="Z82" s="83">
        <v>0</v>
      </c>
      <c r="AA82" s="83">
        <v>30000000</v>
      </c>
      <c r="AB82" s="83">
        <v>244000000</v>
      </c>
      <c r="AC82" s="83">
        <v>62000000</v>
      </c>
      <c r="AD82" s="83">
        <v>0</v>
      </c>
      <c r="AE82" s="83">
        <v>0</v>
      </c>
      <c r="AF82" s="83">
        <v>0</v>
      </c>
      <c r="AG82" s="83">
        <v>0</v>
      </c>
      <c r="AH82" s="83"/>
      <c r="AI82" s="83">
        <v>0</v>
      </c>
      <c r="AJ82" s="83">
        <v>0</v>
      </c>
      <c r="AK82" s="83">
        <v>0</v>
      </c>
    </row>
    <row r="83" s="57" customFormat="1" spans="3:37">
      <c r="D83" s="83">
        <v>0</v>
      </c>
      <c r="E83" s="83">
        <v>69000000</v>
      </c>
      <c r="F83" s="83">
        <v>0</v>
      </c>
      <c r="G83" s="83">
        <v>0</v>
      </c>
      <c r="H83" s="83"/>
      <c r="I83" s="83"/>
      <c r="J83" s="83">
        <v>74000000</v>
      </c>
      <c r="K83" s="83">
        <v>52000000</v>
      </c>
      <c r="L83" s="83"/>
      <c r="M83" s="83">
        <v>0</v>
      </c>
      <c r="N83" s="83">
        <v>0</v>
      </c>
      <c r="O83" s="83">
        <v>0</v>
      </c>
      <c r="P83" s="83">
        <v>0</v>
      </c>
      <c r="Q83" s="83"/>
      <c r="R83" s="83"/>
      <c r="S83" s="83">
        <v>8000000</v>
      </c>
      <c r="T83" s="83"/>
      <c r="U83" s="83"/>
      <c r="V83" s="83">
        <v>0</v>
      </c>
      <c r="W83" s="83">
        <v>77100000</v>
      </c>
      <c r="X83" s="83">
        <v>90000000</v>
      </c>
      <c r="Y83" s="83">
        <v>5700000</v>
      </c>
      <c r="Z83" s="83">
        <v>600000</v>
      </c>
      <c r="AA83" s="83">
        <v>0</v>
      </c>
      <c r="AB83" s="83">
        <v>12900000</v>
      </c>
      <c r="AC83" s="83">
        <v>14000000</v>
      </c>
      <c r="AD83" s="83">
        <v>0</v>
      </c>
      <c r="AE83" s="83">
        <v>0</v>
      </c>
      <c r="AF83" s="83">
        <v>0</v>
      </c>
      <c r="AG83" s="83">
        <v>0</v>
      </c>
      <c r="AH83" s="83"/>
      <c r="AI83" s="83">
        <v>90000000</v>
      </c>
      <c r="AJ83" s="83">
        <v>0</v>
      </c>
      <c r="AK83" s="83">
        <v>0</v>
      </c>
    </row>
    <row r="84" s="57" customFormat="1"/>
    <row r="91" spans="3:37">
      <c r="H91" s="57"/>
      <c r="I91" s="57"/>
      <c r="J91" s="57"/>
      <c r="K91" s="57"/>
      <c r="L91" s="57"/>
    </row>
    <row r="92" spans="3:37">
      <c r="D92" s="57"/>
      <c r="H92" s="57"/>
      <c r="I92" s="57"/>
      <c r="J92" s="57"/>
      <c r="K92" s="57"/>
      <c r="L92" s="57"/>
    </row>
    <row r="93" spans="3:37">
      <c r="C93" s="57"/>
      <c r="D93" s="57"/>
      <c r="F93" s="57"/>
      <c r="H93" s="57"/>
      <c r="I93" s="57"/>
      <c r="J93" s="57"/>
      <c r="K93" s="57"/>
      <c r="L93" s="57"/>
    </row>
    <row r="94" spans="3:37">
      <c r="C94" s="57"/>
      <c r="D94" s="57"/>
      <c r="H94" s="57"/>
      <c r="I94" s="57"/>
      <c r="J94" s="57"/>
      <c r="K94" s="57"/>
      <c r="L94" s="57"/>
    </row>
    <row r="95" spans="3:37">
      <c r="C95" s="57"/>
      <c r="D95" s="57"/>
      <c r="F95" s="57"/>
      <c r="H95" s="57"/>
      <c r="I95" s="57"/>
      <c r="J95" s="57"/>
      <c r="K95" s="57"/>
      <c r="L95" s="57"/>
    </row>
    <row r="96" spans="3:37">
      <c r="C96" s="57"/>
      <c r="D96" s="57"/>
      <c r="H96" s="57"/>
      <c r="I96" s="57"/>
      <c r="J96" s="57"/>
      <c r="K96" s="57"/>
      <c r="L96" s="57"/>
    </row>
    <row r="97" spans="3:29">
      <c r="C97" s="57"/>
      <c r="D97" s="57"/>
      <c r="F97" s="57"/>
      <c r="H97" s="57"/>
      <c r="I97" s="57"/>
      <c r="J97" s="57"/>
      <c r="K97" s="57"/>
      <c r="L97" s="57"/>
    </row>
    <row r="98" spans="3:29">
      <c r="C98" s="57"/>
      <c r="D98" s="57"/>
      <c r="H98" s="57"/>
      <c r="I98" s="57"/>
      <c r="J98" s="57"/>
      <c r="K98" s="57"/>
      <c r="L98" s="57"/>
    </row>
    <row r="99" spans="3:29">
      <c r="C99" s="57"/>
      <c r="F99" s="57"/>
    </row>
    <row r="100" spans="3:29">
      <c r="C100" s="57"/>
      <c r="D100" s="57"/>
    </row>
    <row r="101" spans="3:29">
      <c r="C101" s="57"/>
      <c r="D101" s="84"/>
      <c r="E101" s="84"/>
      <c r="F101" s="84"/>
      <c r="G101" s="84"/>
    </row>
    <row r="102" spans="3:29">
      <c r="C102" s="57"/>
      <c r="D102" t="s">
        <v>114</v>
      </c>
      <c r="M102" s="57"/>
      <c r="N102" t="s">
        <v>114</v>
      </c>
      <c r="Y102" s="57"/>
      <c r="Z102" t="s">
        <v>114</v>
      </c>
    </row>
    <row r="103" spans="3:29">
      <c r="C103" s="57" t="s">
        <v>116</v>
      </c>
      <c r="D103" s="84" t="s">
        <v>64</v>
      </c>
      <c r="E103" s="84" t="s">
        <v>65</v>
      </c>
      <c r="F103" s="84" t="s">
        <v>11</v>
      </c>
      <c r="G103" s="84" t="s">
        <v>25</v>
      </c>
      <c r="L103" t="s">
        <v>41</v>
      </c>
      <c r="M103" s="57" t="s">
        <v>116</v>
      </c>
      <c r="N103" s="84" t="s">
        <v>64</v>
      </c>
      <c r="O103" s="84" t="s">
        <v>65</v>
      </c>
      <c r="P103" s="84" t="s">
        <v>11</v>
      </c>
      <c r="Q103" s="84" t="s">
        <v>25</v>
      </c>
      <c r="X103" t="s">
        <v>41</v>
      </c>
      <c r="Y103" s="57" t="s">
        <v>116</v>
      </c>
      <c r="Z103" s="84" t="s">
        <v>64</v>
      </c>
      <c r="AA103" s="84" t="s">
        <v>65</v>
      </c>
      <c r="AB103" s="84" t="s">
        <v>11</v>
      </c>
      <c r="AC103" s="84" t="s">
        <v>25</v>
      </c>
    </row>
    <row r="104" spans="3:29">
      <c r="C104" s="57" t="s">
        <v>185</v>
      </c>
      <c r="D104" s="84" t="s">
        <v>186</v>
      </c>
      <c r="E104" s="84">
        <v>7.11384396954065</v>
      </c>
      <c r="F104" s="85">
        <v>5.40179852616065</v>
      </c>
      <c r="G104" s="85">
        <v>8.85540744288872</v>
      </c>
      <c r="L104">
        <v>2050</v>
      </c>
      <c r="M104" s="57" t="s">
        <v>185</v>
      </c>
      <c r="N104" s="84" t="s">
        <v>186</v>
      </c>
      <c r="O104" s="84">
        <f>E104*0.313</f>
        <v>2.22663316246622</v>
      </c>
      <c r="P104" s="84">
        <f>F104*0.313</f>
        <v>1.69076293868828</v>
      </c>
      <c r="Q104" s="84">
        <f>G104*0.313</f>
        <v>2.77174252962417</v>
      </c>
      <c r="X104">
        <v>0</v>
      </c>
      <c r="Y104" s="57" t="s">
        <v>185</v>
      </c>
      <c r="Z104" s="84" t="s">
        <v>186</v>
      </c>
      <c r="AA104" s="84">
        <v>5</v>
      </c>
      <c r="AB104" s="84">
        <v>5</v>
      </c>
      <c r="AC104" s="84">
        <v>5</v>
      </c>
    </row>
    <row r="105" spans="3:29">
      <c r="C105" s="57" t="s">
        <v>185</v>
      </c>
      <c r="D105" s="84" t="s">
        <v>187</v>
      </c>
      <c r="E105" s="84">
        <v>7.11384396954065</v>
      </c>
      <c r="F105" s="85">
        <v>5.40179852616065</v>
      </c>
      <c r="G105" s="85">
        <v>8.85540744288872</v>
      </c>
      <c r="L105">
        <v>2050</v>
      </c>
      <c r="M105" s="57" t="s">
        <v>185</v>
      </c>
      <c r="N105" s="84" t="s">
        <v>187</v>
      </c>
      <c r="O105" s="84">
        <f t="shared" ref="O105:O124" si="13">E105*0.313</f>
        <v>2.22663316246622</v>
      </c>
      <c r="P105" s="84">
        <f t="shared" ref="P105:P124" si="14">F105*0.313</f>
        <v>1.69076293868828</v>
      </c>
      <c r="Q105" s="84">
        <f t="shared" ref="Q105:Q124" si="15">G105*0.313</f>
        <v>2.77174252962417</v>
      </c>
      <c r="X105">
        <v>0</v>
      </c>
      <c r="Y105" s="57" t="s">
        <v>185</v>
      </c>
      <c r="Z105" s="84" t="s">
        <v>187</v>
      </c>
      <c r="AA105" s="84">
        <v>5</v>
      </c>
      <c r="AB105" s="84">
        <v>5</v>
      </c>
      <c r="AC105" s="84">
        <v>5</v>
      </c>
    </row>
    <row r="106" spans="3:29">
      <c r="C106" s="57" t="s">
        <v>185</v>
      </c>
      <c r="D106" s="84" t="s">
        <v>188</v>
      </c>
      <c r="E106" s="84">
        <v>7.62975445836404</v>
      </c>
      <c r="F106" s="85">
        <v>5.79354797347089</v>
      </c>
      <c r="G106" s="85">
        <v>9.49761967575534</v>
      </c>
      <c r="L106">
        <v>2050</v>
      </c>
      <c r="M106" s="57" t="s">
        <v>185</v>
      </c>
      <c r="N106" s="84" t="s">
        <v>188</v>
      </c>
      <c r="O106" s="84">
        <f t="shared" si="13"/>
        <v>2.38811314546794</v>
      </c>
      <c r="P106" s="84">
        <f t="shared" si="14"/>
        <v>1.81338051569639</v>
      </c>
      <c r="Q106" s="84">
        <f t="shared" si="15"/>
        <v>2.97275495851142</v>
      </c>
      <c r="X106">
        <v>0</v>
      </c>
      <c r="Y106" s="57" t="s">
        <v>185</v>
      </c>
      <c r="Z106" s="84" t="s">
        <v>188</v>
      </c>
      <c r="AA106" s="84">
        <v>5</v>
      </c>
      <c r="AB106" s="84">
        <v>5</v>
      </c>
      <c r="AC106" s="84">
        <v>5</v>
      </c>
    </row>
    <row r="107" spans="3:29">
      <c r="C107" s="57" t="s">
        <v>185</v>
      </c>
      <c r="D107" s="84" t="s">
        <v>189</v>
      </c>
      <c r="E107" s="84">
        <v>7.47097081798084</v>
      </c>
      <c r="F107" s="85">
        <v>5.67297781871776</v>
      </c>
      <c r="G107" s="85">
        <v>9.29996366985999</v>
      </c>
      <c r="L107">
        <v>2050</v>
      </c>
      <c r="M107" s="57" t="s">
        <v>185</v>
      </c>
      <c r="N107" s="84" t="s">
        <v>189</v>
      </c>
      <c r="O107" s="84">
        <f t="shared" si="13"/>
        <v>2.338413866028</v>
      </c>
      <c r="P107" s="84">
        <f t="shared" si="14"/>
        <v>1.77564205725866</v>
      </c>
      <c r="Q107" s="84">
        <f t="shared" si="15"/>
        <v>2.91088862866618</v>
      </c>
      <c r="X107">
        <v>0</v>
      </c>
      <c r="Y107" s="57" t="s">
        <v>185</v>
      </c>
      <c r="Z107" s="84" t="s">
        <v>189</v>
      </c>
      <c r="AA107" s="84">
        <v>5</v>
      </c>
      <c r="AB107" s="84">
        <v>5</v>
      </c>
      <c r="AC107" s="84">
        <v>5</v>
      </c>
    </row>
    <row r="108" spans="3:29">
      <c r="C108" s="57" t="s">
        <v>185</v>
      </c>
      <c r="D108" s="84" t="s">
        <v>190</v>
      </c>
      <c r="E108" s="84">
        <v>7.51643520019651</v>
      </c>
      <c r="F108" s="85">
        <v>5.70750058953574</v>
      </c>
      <c r="G108" s="85">
        <v>9.35655836403832</v>
      </c>
      <c r="L108">
        <v>2050</v>
      </c>
      <c r="M108" s="57" t="s">
        <v>185</v>
      </c>
      <c r="N108" s="84" t="s">
        <v>190</v>
      </c>
      <c r="O108" s="84">
        <f t="shared" si="13"/>
        <v>2.35264421766151</v>
      </c>
      <c r="P108" s="84">
        <f t="shared" si="14"/>
        <v>1.78644768452469</v>
      </c>
      <c r="Q108" s="84">
        <f t="shared" si="15"/>
        <v>2.92860276794399</v>
      </c>
      <c r="X108">
        <v>0</v>
      </c>
      <c r="Y108" s="57" t="s">
        <v>185</v>
      </c>
      <c r="Z108" s="84" t="s">
        <v>190</v>
      </c>
      <c r="AA108" s="84">
        <v>5</v>
      </c>
      <c r="AB108" s="84">
        <v>5</v>
      </c>
      <c r="AC108" s="84">
        <v>5</v>
      </c>
    </row>
    <row r="109" spans="3:29">
      <c r="C109" s="57" t="s">
        <v>185</v>
      </c>
      <c r="D109" s="84" t="s">
        <v>191</v>
      </c>
      <c r="E109" s="84">
        <v>7.55036263817244</v>
      </c>
      <c r="F109" s="85">
        <v>5.73326293294031</v>
      </c>
      <c r="G109" s="85">
        <v>9.39879167280766</v>
      </c>
      <c r="L109">
        <v>2050</v>
      </c>
      <c r="M109" s="57" t="s">
        <v>185</v>
      </c>
      <c r="N109" s="84" t="s">
        <v>191</v>
      </c>
      <c r="O109" s="84">
        <f t="shared" si="13"/>
        <v>2.36326350574797</v>
      </c>
      <c r="P109" s="84">
        <f t="shared" si="14"/>
        <v>1.79451129801032</v>
      </c>
      <c r="Q109" s="84">
        <f t="shared" si="15"/>
        <v>2.9418217935888</v>
      </c>
      <c r="X109">
        <v>0</v>
      </c>
      <c r="Y109" s="57" t="s">
        <v>185</v>
      </c>
      <c r="Z109" s="84" t="s">
        <v>191</v>
      </c>
      <c r="AA109" s="84">
        <v>5</v>
      </c>
      <c r="AB109" s="84">
        <v>5</v>
      </c>
      <c r="AC109" s="84">
        <v>5</v>
      </c>
    </row>
    <row r="110" spans="3:29">
      <c r="C110" s="57" t="s">
        <v>185</v>
      </c>
      <c r="D110" s="84" t="s">
        <v>192</v>
      </c>
      <c r="E110" s="84">
        <v>7.62975445836404</v>
      </c>
      <c r="F110" s="85">
        <v>5.79354797347089</v>
      </c>
      <c r="G110" s="85">
        <v>9.49761967575534</v>
      </c>
      <c r="L110">
        <v>2050</v>
      </c>
      <c r="M110" s="57" t="s">
        <v>185</v>
      </c>
      <c r="N110" s="84" t="s">
        <v>192</v>
      </c>
      <c r="O110" s="84">
        <f t="shared" si="13"/>
        <v>2.38811314546794</v>
      </c>
      <c r="P110" s="84">
        <f t="shared" si="14"/>
        <v>1.81338051569639</v>
      </c>
      <c r="Q110" s="84">
        <f t="shared" si="15"/>
        <v>2.97275495851142</v>
      </c>
      <c r="X110">
        <v>0</v>
      </c>
      <c r="Y110" s="57" t="s">
        <v>185</v>
      </c>
      <c r="Z110" s="84" t="s">
        <v>192</v>
      </c>
      <c r="AA110" s="84">
        <v>5</v>
      </c>
      <c r="AB110" s="84">
        <v>5</v>
      </c>
      <c r="AC110" s="84">
        <v>5</v>
      </c>
    </row>
    <row r="111" spans="3:29">
      <c r="C111" s="57" t="s">
        <v>185</v>
      </c>
      <c r="D111" s="84" t="s">
        <v>193</v>
      </c>
      <c r="E111" s="84">
        <v>4.18384600835176</v>
      </c>
      <c r="F111" s="85">
        <v>3.17694532056006</v>
      </c>
      <c r="G111" s="85">
        <v>5.20810707442889</v>
      </c>
      <c r="L111">
        <v>2050</v>
      </c>
      <c r="M111" s="57" t="s">
        <v>185</v>
      </c>
      <c r="N111" s="84" t="s">
        <v>193</v>
      </c>
      <c r="O111" s="84">
        <f t="shared" si="13"/>
        <v>1.3095438006141</v>
      </c>
      <c r="P111" s="84">
        <f t="shared" si="14"/>
        <v>0.994383885335299</v>
      </c>
      <c r="Q111" s="84">
        <f t="shared" si="15"/>
        <v>1.63013751429624</v>
      </c>
      <c r="X111">
        <v>0</v>
      </c>
      <c r="Y111" s="57" t="s">
        <v>185</v>
      </c>
      <c r="Z111" s="84" t="s">
        <v>193</v>
      </c>
      <c r="AA111" s="84">
        <v>5</v>
      </c>
      <c r="AB111" s="84">
        <v>5</v>
      </c>
      <c r="AC111" s="84">
        <v>5</v>
      </c>
    </row>
    <row r="112" spans="3:29">
      <c r="C112" s="57" t="s">
        <v>185</v>
      </c>
      <c r="D112" s="84" t="s">
        <v>194</v>
      </c>
      <c r="E112" s="84">
        <v>4.18384600835176</v>
      </c>
      <c r="F112" s="85">
        <v>3.17694532056006</v>
      </c>
      <c r="G112" s="85">
        <v>5.20810707442889</v>
      </c>
      <c r="L112">
        <v>2050</v>
      </c>
      <c r="M112" s="57" t="s">
        <v>185</v>
      </c>
      <c r="N112" s="84" t="s">
        <v>194</v>
      </c>
      <c r="O112" s="84">
        <f t="shared" si="13"/>
        <v>1.3095438006141</v>
      </c>
      <c r="P112" s="84">
        <f t="shared" si="14"/>
        <v>0.994383885335299</v>
      </c>
      <c r="Q112" s="84">
        <f t="shared" si="15"/>
        <v>1.63013751429624</v>
      </c>
      <c r="X112">
        <v>0</v>
      </c>
      <c r="Y112" s="57" t="s">
        <v>185</v>
      </c>
      <c r="Z112" s="84" t="s">
        <v>194</v>
      </c>
      <c r="AA112" s="84">
        <v>5</v>
      </c>
      <c r="AB112" s="84">
        <v>5</v>
      </c>
      <c r="AC112" s="84">
        <v>5</v>
      </c>
    </row>
    <row r="113" spans="3:29">
      <c r="C113" s="57" t="s">
        <v>185</v>
      </c>
      <c r="D113" s="84" t="s">
        <v>195</v>
      </c>
      <c r="E113" s="84">
        <v>4.18384600835176</v>
      </c>
      <c r="F113" s="85">
        <v>3.17694532056006</v>
      </c>
      <c r="G113" s="85">
        <v>5.20810707442889</v>
      </c>
      <c r="L113">
        <v>2050</v>
      </c>
      <c r="M113" s="57" t="s">
        <v>185</v>
      </c>
      <c r="N113" s="84" t="s">
        <v>195</v>
      </c>
      <c r="O113" s="84">
        <f t="shared" si="13"/>
        <v>1.3095438006141</v>
      </c>
      <c r="P113" s="84">
        <f t="shared" si="14"/>
        <v>0.994383885335299</v>
      </c>
      <c r="Q113" s="84">
        <f t="shared" si="15"/>
        <v>1.63013751429624</v>
      </c>
      <c r="X113">
        <v>0</v>
      </c>
      <c r="Y113" s="57" t="s">
        <v>185</v>
      </c>
      <c r="Z113" s="84" t="s">
        <v>195</v>
      </c>
      <c r="AA113" s="84">
        <v>5</v>
      </c>
      <c r="AB113" s="84">
        <v>5</v>
      </c>
      <c r="AC113" s="84">
        <v>5</v>
      </c>
    </row>
    <row r="114" spans="3:29">
      <c r="C114" s="57" t="s">
        <v>185</v>
      </c>
      <c r="D114" s="84" t="s">
        <v>196</v>
      </c>
      <c r="E114" s="84">
        <v>4.18384600835176</v>
      </c>
      <c r="F114" s="85">
        <v>3.17694532056006</v>
      </c>
      <c r="G114" s="85">
        <v>5.20810707442889</v>
      </c>
      <c r="L114">
        <v>2050</v>
      </c>
      <c r="M114" s="57" t="s">
        <v>185</v>
      </c>
      <c r="N114" s="84" t="s">
        <v>196</v>
      </c>
      <c r="O114" s="84">
        <f t="shared" si="13"/>
        <v>1.3095438006141</v>
      </c>
      <c r="P114" s="84">
        <f t="shared" si="14"/>
        <v>0.994383885335299</v>
      </c>
      <c r="Q114" s="84">
        <f t="shared" si="15"/>
        <v>1.63013751429624</v>
      </c>
      <c r="X114">
        <v>0</v>
      </c>
      <c r="Y114" s="57" t="s">
        <v>185</v>
      </c>
      <c r="Z114" s="84" t="s">
        <v>196</v>
      </c>
      <c r="AA114" s="84">
        <v>5</v>
      </c>
      <c r="AB114" s="84">
        <v>5</v>
      </c>
      <c r="AC114" s="84">
        <v>5</v>
      </c>
    </row>
    <row r="115" spans="3:29">
      <c r="C115" s="57" t="s">
        <v>185</v>
      </c>
      <c r="D115" s="84" t="s">
        <v>197</v>
      </c>
      <c r="E115" s="84">
        <v>4.18384600835176</v>
      </c>
      <c r="F115" s="85">
        <v>3.17694532056006</v>
      </c>
      <c r="G115" s="85">
        <v>5.20810707442889</v>
      </c>
      <c r="L115">
        <v>2050</v>
      </c>
      <c r="M115" s="57" t="s">
        <v>185</v>
      </c>
      <c r="N115" s="84" t="s">
        <v>197</v>
      </c>
      <c r="O115" s="84">
        <f t="shared" si="13"/>
        <v>1.3095438006141</v>
      </c>
      <c r="P115" s="84">
        <f t="shared" si="14"/>
        <v>0.994383885335299</v>
      </c>
      <c r="Q115" s="84">
        <f t="shared" si="15"/>
        <v>1.63013751429624</v>
      </c>
      <c r="X115">
        <v>0</v>
      </c>
      <c r="Y115" s="57" t="s">
        <v>185</v>
      </c>
      <c r="Z115" s="84" t="s">
        <v>197</v>
      </c>
      <c r="AA115" s="84">
        <v>5</v>
      </c>
      <c r="AB115" s="84">
        <v>5</v>
      </c>
      <c r="AC115" s="84">
        <v>5</v>
      </c>
    </row>
    <row r="116" spans="3:29">
      <c r="C116" s="57" t="s">
        <v>185</v>
      </c>
      <c r="D116" s="84" t="s">
        <v>198</v>
      </c>
      <c r="E116" s="84">
        <v>4.18384600835176</v>
      </c>
      <c r="F116" s="85">
        <v>3.17694532056006</v>
      </c>
      <c r="G116" s="85">
        <v>5.20810707442889</v>
      </c>
      <c r="L116">
        <v>2050</v>
      </c>
      <c r="M116" s="57" t="s">
        <v>185</v>
      </c>
      <c r="N116" s="84" t="s">
        <v>198</v>
      </c>
      <c r="O116" s="84">
        <f t="shared" si="13"/>
        <v>1.3095438006141</v>
      </c>
      <c r="P116" s="84">
        <f t="shared" si="14"/>
        <v>0.994383885335299</v>
      </c>
      <c r="Q116" s="84">
        <f t="shared" si="15"/>
        <v>1.63013751429624</v>
      </c>
      <c r="X116">
        <v>0</v>
      </c>
      <c r="Y116" s="57" t="s">
        <v>185</v>
      </c>
      <c r="Z116" s="84" t="s">
        <v>198</v>
      </c>
      <c r="AA116" s="84">
        <v>5</v>
      </c>
      <c r="AB116" s="84">
        <v>5</v>
      </c>
      <c r="AC116" s="84">
        <v>5</v>
      </c>
    </row>
    <row r="117" spans="3:29">
      <c r="C117" s="57" t="s">
        <v>185</v>
      </c>
      <c r="D117" s="84" t="s">
        <v>199</v>
      </c>
      <c r="E117" s="84">
        <v>4.18384600835176</v>
      </c>
      <c r="F117" s="85">
        <v>3.17694532056006</v>
      </c>
      <c r="G117" s="85">
        <v>5.20810707442889</v>
      </c>
      <c r="L117">
        <v>2050</v>
      </c>
      <c r="M117" s="57" t="s">
        <v>185</v>
      </c>
      <c r="N117" s="84" t="s">
        <v>199</v>
      </c>
      <c r="O117" s="84">
        <f t="shared" si="13"/>
        <v>1.3095438006141</v>
      </c>
      <c r="P117" s="84">
        <f t="shared" si="14"/>
        <v>0.994383885335299</v>
      </c>
      <c r="Q117" s="84">
        <f t="shared" si="15"/>
        <v>1.63013751429624</v>
      </c>
      <c r="X117">
        <v>0</v>
      </c>
      <c r="Y117" s="57" t="s">
        <v>185</v>
      </c>
      <c r="Z117" s="84" t="s">
        <v>199</v>
      </c>
      <c r="AA117" s="84">
        <v>5</v>
      </c>
      <c r="AB117" s="84">
        <v>5</v>
      </c>
      <c r="AC117" s="84">
        <v>5</v>
      </c>
    </row>
    <row r="118" spans="3:29">
      <c r="C118" s="57" t="s">
        <v>185</v>
      </c>
      <c r="D118" s="84" t="s">
        <v>200</v>
      </c>
      <c r="E118" s="84">
        <v>3.56556266273643</v>
      </c>
      <c r="F118" s="85">
        <v>2.70746042741341</v>
      </c>
      <c r="G118" s="85">
        <v>4.4384597641857</v>
      </c>
      <c r="L118">
        <v>2050</v>
      </c>
      <c r="M118" s="57" t="s">
        <v>185</v>
      </c>
      <c r="N118" s="84" t="s">
        <v>200</v>
      </c>
      <c r="O118" s="84">
        <f t="shared" si="13"/>
        <v>1.1160211134365</v>
      </c>
      <c r="P118" s="84">
        <f t="shared" si="14"/>
        <v>0.847435113780397</v>
      </c>
      <c r="Q118" s="84">
        <f t="shared" si="15"/>
        <v>1.38923790619012</v>
      </c>
      <c r="X118">
        <v>0</v>
      </c>
      <c r="Y118" s="57" t="s">
        <v>185</v>
      </c>
      <c r="Z118" s="84" t="s">
        <v>200</v>
      </c>
      <c r="AA118" s="84">
        <v>5</v>
      </c>
      <c r="AB118" s="84">
        <v>5</v>
      </c>
      <c r="AC118" s="84">
        <v>5</v>
      </c>
    </row>
    <row r="119" spans="3:29">
      <c r="C119" s="57" t="s">
        <v>185</v>
      </c>
      <c r="D119" s="84" t="s">
        <v>201</v>
      </c>
      <c r="E119" s="84">
        <v>3.60087708179809</v>
      </c>
      <c r="F119" s="85">
        <v>2.73427597641857</v>
      </c>
      <c r="G119" s="85">
        <v>4.48241960206338</v>
      </c>
      <c r="L119">
        <v>2050</v>
      </c>
      <c r="M119" s="57" t="s">
        <v>185</v>
      </c>
      <c r="N119" s="84" t="s">
        <v>201</v>
      </c>
      <c r="O119" s="84">
        <f t="shared" si="13"/>
        <v>1.1270745266028</v>
      </c>
      <c r="P119" s="84">
        <f t="shared" si="14"/>
        <v>0.855828380619012</v>
      </c>
      <c r="Q119" s="84">
        <f t="shared" si="15"/>
        <v>1.40299733544584</v>
      </c>
      <c r="X119">
        <v>0</v>
      </c>
      <c r="Y119" s="57" t="s">
        <v>185</v>
      </c>
      <c r="Z119" s="84" t="s">
        <v>201</v>
      </c>
      <c r="AA119" s="84">
        <v>5</v>
      </c>
      <c r="AB119" s="84">
        <v>5</v>
      </c>
      <c r="AC119" s="84">
        <v>5</v>
      </c>
    </row>
    <row r="120" spans="3:29">
      <c r="C120" s="57" t="s">
        <v>185</v>
      </c>
      <c r="D120" s="84" t="s">
        <v>202</v>
      </c>
      <c r="E120" s="84">
        <v>3.56556266273643</v>
      </c>
      <c r="F120" s="85">
        <v>2.70746042741341</v>
      </c>
      <c r="G120" s="85">
        <v>4.4384597641857</v>
      </c>
      <c r="L120">
        <v>2050</v>
      </c>
      <c r="M120" s="57" t="s">
        <v>185</v>
      </c>
      <c r="N120" s="84" t="s">
        <v>202</v>
      </c>
      <c r="O120" s="84">
        <f t="shared" si="13"/>
        <v>1.1160211134365</v>
      </c>
      <c r="P120" s="84">
        <f t="shared" si="14"/>
        <v>0.847435113780397</v>
      </c>
      <c r="Q120" s="84">
        <f t="shared" si="15"/>
        <v>1.38923790619012</v>
      </c>
      <c r="X120">
        <v>0</v>
      </c>
      <c r="Y120" s="57" t="s">
        <v>185</v>
      </c>
      <c r="Z120" s="84" t="s">
        <v>202</v>
      </c>
      <c r="AA120" s="84">
        <v>5</v>
      </c>
      <c r="AB120" s="84">
        <v>5</v>
      </c>
      <c r="AC120" s="84">
        <v>5</v>
      </c>
    </row>
    <row r="121" spans="3:29">
      <c r="C121" s="57" t="s">
        <v>185</v>
      </c>
      <c r="D121" s="84" t="s">
        <v>203</v>
      </c>
      <c r="E121" s="84">
        <v>3.56645369688037</v>
      </c>
      <c r="F121" s="85">
        <v>2.70813706705969</v>
      </c>
      <c r="G121" s="85">
        <v>4.43956890198968</v>
      </c>
      <c r="L121">
        <v>2050</v>
      </c>
      <c r="M121" s="57" t="s">
        <v>185</v>
      </c>
      <c r="N121" s="84" t="s">
        <v>203</v>
      </c>
      <c r="O121" s="84">
        <f t="shared" si="13"/>
        <v>1.11630000712356</v>
      </c>
      <c r="P121" s="84">
        <f t="shared" si="14"/>
        <v>0.847646901989683</v>
      </c>
      <c r="Q121" s="84">
        <f t="shared" si="15"/>
        <v>1.38958506632277</v>
      </c>
      <c r="X121">
        <v>0</v>
      </c>
      <c r="Y121" s="57" t="s">
        <v>185</v>
      </c>
      <c r="Z121" s="84" t="s">
        <v>203</v>
      </c>
      <c r="AA121" s="84">
        <v>5</v>
      </c>
      <c r="AB121" s="84">
        <v>5</v>
      </c>
      <c r="AC121" s="84">
        <v>5</v>
      </c>
    </row>
    <row r="122" spans="3:29">
      <c r="C122" s="57" t="s">
        <v>185</v>
      </c>
      <c r="D122" s="84" t="s">
        <v>204</v>
      </c>
      <c r="E122" s="84">
        <v>3.56585961680177</v>
      </c>
      <c r="F122" s="85">
        <v>2.70768592483419</v>
      </c>
      <c r="G122" s="85">
        <v>4.43882940309506</v>
      </c>
      <c r="L122">
        <v>2050</v>
      </c>
      <c r="M122" s="57" t="s">
        <v>185</v>
      </c>
      <c r="N122" s="84" t="s">
        <v>204</v>
      </c>
      <c r="O122" s="84">
        <f t="shared" si="13"/>
        <v>1.11611406005895</v>
      </c>
      <c r="P122" s="84">
        <f t="shared" si="14"/>
        <v>0.847505694473101</v>
      </c>
      <c r="Q122" s="84">
        <f t="shared" si="15"/>
        <v>1.38935360316875</v>
      </c>
      <c r="X122">
        <v>0</v>
      </c>
      <c r="Y122" s="57" t="s">
        <v>185</v>
      </c>
      <c r="Z122" s="84" t="s">
        <v>204</v>
      </c>
      <c r="AA122" s="84">
        <v>5</v>
      </c>
      <c r="AB122" s="84">
        <v>5</v>
      </c>
      <c r="AC122" s="84">
        <v>5</v>
      </c>
    </row>
    <row r="123" spans="3:29">
      <c r="C123" s="57" t="s">
        <v>185</v>
      </c>
      <c r="D123" s="84" t="s">
        <v>205</v>
      </c>
      <c r="E123" s="84">
        <v>3.56556266273643</v>
      </c>
      <c r="F123" s="85">
        <v>2.70746042741341</v>
      </c>
      <c r="G123" s="85">
        <v>4.4384597641857</v>
      </c>
      <c r="L123">
        <v>2050</v>
      </c>
      <c r="M123" s="57" t="s">
        <v>185</v>
      </c>
      <c r="N123" s="84" t="s">
        <v>205</v>
      </c>
      <c r="O123" s="84">
        <f t="shared" si="13"/>
        <v>1.1160211134365</v>
      </c>
      <c r="P123" s="84">
        <f t="shared" si="14"/>
        <v>0.847435113780397</v>
      </c>
      <c r="Q123" s="84">
        <f t="shared" si="15"/>
        <v>1.38923790619012</v>
      </c>
      <c r="X123">
        <v>0</v>
      </c>
      <c r="Y123" s="57" t="s">
        <v>185</v>
      </c>
      <c r="Z123" s="84" t="s">
        <v>205</v>
      </c>
      <c r="AA123" s="84">
        <v>5</v>
      </c>
      <c r="AB123" s="84">
        <v>5</v>
      </c>
      <c r="AC123" s="84">
        <v>5</v>
      </c>
    </row>
    <row r="124" spans="3:29">
      <c r="C124" s="57" t="s">
        <v>185</v>
      </c>
      <c r="D124" s="86" t="s">
        <v>206</v>
      </c>
      <c r="E124" s="84">
        <v>3.56496890198968</v>
      </c>
      <c r="F124" s="85">
        <v>2.70700957995578</v>
      </c>
      <c r="G124" s="85">
        <v>4.43772063375092</v>
      </c>
      <c r="L124">
        <v>2050</v>
      </c>
      <c r="M124" s="57" t="s">
        <v>185</v>
      </c>
      <c r="N124" s="86" t="s">
        <v>206</v>
      </c>
      <c r="O124" s="84">
        <f t="shared" si="13"/>
        <v>1.11583526632277</v>
      </c>
      <c r="P124" s="84">
        <f t="shared" si="14"/>
        <v>0.847293998526159</v>
      </c>
      <c r="Q124" s="84">
        <f t="shared" si="15"/>
        <v>1.38900655836404</v>
      </c>
      <c r="X124">
        <v>0</v>
      </c>
      <c r="Y124" s="57" t="s">
        <v>185</v>
      </c>
      <c r="Z124" s="84" t="s">
        <v>206</v>
      </c>
      <c r="AA124" s="84">
        <v>5</v>
      </c>
      <c r="AB124" s="84">
        <v>5</v>
      </c>
      <c r="AC124" s="84">
        <v>5</v>
      </c>
    </row>
    <row r="132" spans="3:29">
      <c r="C132" s="57"/>
      <c r="D132" t="s">
        <v>114</v>
      </c>
      <c r="M132" s="57"/>
      <c r="Y132" s="57"/>
    </row>
    <row r="133" spans="3:29">
      <c r="C133" s="57" t="s">
        <v>116</v>
      </c>
      <c r="D133" s="84" t="s">
        <v>64</v>
      </c>
      <c r="E133" s="84" t="s">
        <v>65</v>
      </c>
      <c r="F133" s="84"/>
      <c r="G133" s="84"/>
      <c r="M133" s="57"/>
      <c r="N133" s="57"/>
      <c r="O133" s="57"/>
      <c r="P133" s="57"/>
      <c r="Q133" s="57"/>
      <c r="Y133" s="57"/>
      <c r="Z133" s="57"/>
      <c r="AA133" s="57"/>
      <c r="AB133" s="57"/>
      <c r="AC133" s="57"/>
    </row>
    <row r="134" spans="3:29">
      <c r="C134" s="57" t="s">
        <v>207</v>
      </c>
      <c r="D134" s="84" t="s">
        <v>186</v>
      </c>
      <c r="E134" s="84">
        <v>0.001</v>
      </c>
      <c r="F134" s="85"/>
      <c r="G134" s="85"/>
      <c r="M134" s="57"/>
      <c r="N134" s="57"/>
      <c r="O134" s="57"/>
      <c r="P134" s="57"/>
      <c r="Q134" s="57"/>
      <c r="Y134" s="57"/>
      <c r="Z134" s="57"/>
      <c r="AA134" s="57"/>
      <c r="AB134" s="57"/>
      <c r="AC134" s="57"/>
    </row>
    <row r="135" spans="3:29">
      <c r="C135" s="57" t="s">
        <v>207</v>
      </c>
      <c r="D135" s="84" t="s">
        <v>187</v>
      </c>
      <c r="E135" s="84">
        <f>E134</f>
        <v>0.001</v>
      </c>
      <c r="F135" s="85"/>
      <c r="G135" s="85"/>
      <c r="M135" s="57"/>
      <c r="N135" s="57"/>
      <c r="O135" s="57"/>
      <c r="P135" s="57"/>
      <c r="Q135" s="57"/>
      <c r="Y135" s="57"/>
      <c r="Z135" s="57"/>
      <c r="AA135" s="57"/>
      <c r="AB135" s="57"/>
      <c r="AC135" s="57"/>
    </row>
    <row r="136" spans="3:29">
      <c r="C136" s="57" t="s">
        <v>207</v>
      </c>
      <c r="D136" s="84" t="s">
        <v>188</v>
      </c>
      <c r="E136" s="84">
        <f t="shared" ref="E136:E154" si="16">E135</f>
        <v>0.001</v>
      </c>
      <c r="F136" s="85"/>
      <c r="G136" s="85"/>
      <c r="M136" s="57"/>
      <c r="N136" s="57"/>
      <c r="O136" s="57"/>
      <c r="P136" s="57"/>
      <c r="Q136" s="57"/>
      <c r="Y136" s="57"/>
      <c r="Z136" s="57"/>
      <c r="AA136" s="57"/>
      <c r="AB136" s="57"/>
      <c r="AC136" s="57"/>
    </row>
    <row r="137" spans="3:29">
      <c r="C137" s="57" t="s">
        <v>207</v>
      </c>
      <c r="D137" s="84" t="s">
        <v>189</v>
      </c>
      <c r="E137" s="84">
        <f t="shared" si="16"/>
        <v>0.001</v>
      </c>
      <c r="F137" s="85"/>
      <c r="G137" s="85"/>
      <c r="M137" s="57"/>
      <c r="N137" s="57"/>
      <c r="O137" s="57"/>
      <c r="P137" s="57"/>
      <c r="Q137" s="57"/>
      <c r="Y137" s="57"/>
      <c r="Z137" s="57"/>
      <c r="AA137" s="57"/>
      <c r="AB137" s="57"/>
      <c r="AC137" s="57"/>
    </row>
    <row r="138" spans="3:29">
      <c r="C138" s="57" t="s">
        <v>207</v>
      </c>
      <c r="D138" s="84" t="s">
        <v>190</v>
      </c>
      <c r="E138" s="84">
        <f t="shared" si="16"/>
        <v>0.001</v>
      </c>
      <c r="F138" s="85"/>
      <c r="G138" s="85"/>
      <c r="M138" s="57"/>
      <c r="N138" s="57"/>
      <c r="O138" s="57"/>
      <c r="P138" s="57"/>
      <c r="Q138" s="57"/>
      <c r="Y138" s="57"/>
      <c r="Z138" s="57"/>
      <c r="AA138" s="57"/>
      <c r="AB138" s="57"/>
      <c r="AC138" s="57"/>
    </row>
    <row r="139" spans="3:29">
      <c r="C139" s="57" t="s">
        <v>207</v>
      </c>
      <c r="D139" s="84" t="s">
        <v>191</v>
      </c>
      <c r="E139" s="84">
        <f t="shared" si="16"/>
        <v>0.001</v>
      </c>
      <c r="F139" s="85"/>
      <c r="G139" s="85"/>
      <c r="M139" s="57"/>
      <c r="N139" s="57"/>
      <c r="O139" s="57"/>
      <c r="P139" s="57"/>
      <c r="Q139" s="57"/>
      <c r="Y139" s="57"/>
      <c r="Z139" s="57"/>
      <c r="AA139" s="57"/>
      <c r="AB139" s="57"/>
      <c r="AC139" s="57"/>
    </row>
    <row r="140" spans="3:29">
      <c r="C140" s="57" t="s">
        <v>207</v>
      </c>
      <c r="D140" s="84" t="s">
        <v>192</v>
      </c>
      <c r="E140" s="84">
        <f t="shared" si="16"/>
        <v>0.001</v>
      </c>
      <c r="F140" s="85"/>
      <c r="G140" s="85"/>
      <c r="M140" s="57"/>
      <c r="N140" s="57"/>
      <c r="O140" s="57"/>
      <c r="P140" s="57"/>
      <c r="Q140" s="57"/>
      <c r="Y140" s="57"/>
      <c r="Z140" s="57"/>
      <c r="AA140" s="57"/>
      <c r="AB140" s="57"/>
      <c r="AC140" s="57"/>
    </row>
    <row r="141" spans="3:29">
      <c r="C141" s="57" t="s">
        <v>207</v>
      </c>
      <c r="D141" s="84" t="s">
        <v>193</v>
      </c>
      <c r="E141" s="84">
        <f t="shared" si="16"/>
        <v>0.001</v>
      </c>
      <c r="F141" s="85"/>
      <c r="G141" s="85"/>
      <c r="M141" s="57"/>
      <c r="N141" s="57"/>
      <c r="O141" s="57"/>
      <c r="P141" s="57"/>
      <c r="Q141" s="57"/>
      <c r="Y141" s="57"/>
      <c r="Z141" s="57"/>
      <c r="AA141" s="57"/>
      <c r="AB141" s="57"/>
      <c r="AC141" s="57"/>
    </row>
    <row r="142" spans="3:29">
      <c r="C142" s="57" t="s">
        <v>207</v>
      </c>
      <c r="D142" s="84" t="s">
        <v>194</v>
      </c>
      <c r="E142" s="84">
        <f t="shared" si="16"/>
        <v>0.001</v>
      </c>
      <c r="F142" s="85"/>
      <c r="G142" s="85"/>
      <c r="M142" s="57"/>
      <c r="N142" s="57"/>
      <c r="O142" s="57"/>
      <c r="P142" s="57"/>
      <c r="Q142" s="57"/>
      <c r="Y142" s="57"/>
      <c r="Z142" s="57"/>
      <c r="AA142" s="57"/>
      <c r="AB142" s="57"/>
      <c r="AC142" s="57"/>
    </row>
    <row r="143" spans="3:29">
      <c r="C143" s="57" t="s">
        <v>207</v>
      </c>
      <c r="D143" s="84" t="s">
        <v>195</v>
      </c>
      <c r="E143" s="84">
        <f t="shared" si="16"/>
        <v>0.001</v>
      </c>
      <c r="F143" s="85"/>
      <c r="G143" s="85"/>
      <c r="M143" s="57"/>
      <c r="N143" s="57"/>
      <c r="O143" s="57"/>
      <c r="P143" s="57"/>
      <c r="Q143" s="57"/>
      <c r="Y143" s="57"/>
      <c r="Z143" s="57"/>
      <c r="AA143" s="57"/>
      <c r="AB143" s="57"/>
      <c r="AC143" s="57"/>
    </row>
    <row r="144" spans="3:29">
      <c r="C144" s="57" t="s">
        <v>207</v>
      </c>
      <c r="D144" s="84" t="s">
        <v>196</v>
      </c>
      <c r="E144" s="84">
        <f t="shared" si="16"/>
        <v>0.001</v>
      </c>
      <c r="F144" s="85"/>
      <c r="G144" s="85"/>
      <c r="M144" s="57"/>
      <c r="N144" s="57"/>
      <c r="O144" s="57"/>
      <c r="P144" s="57"/>
      <c r="Q144" s="57"/>
      <c r="Y144" s="57"/>
      <c r="Z144" s="57"/>
      <c r="AA144" s="57"/>
      <c r="AB144" s="57"/>
      <c r="AC144" s="57"/>
    </row>
    <row r="145" spans="3:29">
      <c r="C145" s="57" t="s">
        <v>207</v>
      </c>
      <c r="D145" s="84" t="s">
        <v>197</v>
      </c>
      <c r="E145" s="84">
        <f t="shared" si="16"/>
        <v>0.001</v>
      </c>
      <c r="F145" s="85"/>
      <c r="G145" s="85"/>
      <c r="M145" s="57"/>
      <c r="N145" s="57"/>
      <c r="O145" s="57"/>
      <c r="P145" s="57"/>
      <c r="Q145" s="57"/>
      <c r="Y145" s="57"/>
      <c r="Z145" s="57"/>
      <c r="AA145" s="57"/>
      <c r="AB145" s="57"/>
      <c r="AC145" s="57"/>
    </row>
    <row r="146" spans="3:29">
      <c r="C146" s="57" t="s">
        <v>207</v>
      </c>
      <c r="D146" s="84" t="s">
        <v>198</v>
      </c>
      <c r="E146" s="84">
        <f t="shared" si="16"/>
        <v>0.001</v>
      </c>
      <c r="F146" s="85"/>
      <c r="G146" s="85"/>
      <c r="M146" s="57"/>
      <c r="N146" s="57"/>
      <c r="O146" s="57"/>
      <c r="P146" s="57"/>
      <c r="Q146" s="57"/>
      <c r="Y146" s="57"/>
      <c r="Z146" s="57"/>
      <c r="AA146" s="57"/>
      <c r="AB146" s="57"/>
      <c r="AC146" s="57"/>
    </row>
    <row r="147" spans="3:29">
      <c r="C147" s="57" t="s">
        <v>207</v>
      </c>
      <c r="D147" s="84" t="s">
        <v>199</v>
      </c>
      <c r="E147" s="84">
        <f t="shared" si="16"/>
        <v>0.001</v>
      </c>
      <c r="F147" s="85"/>
      <c r="G147" s="85"/>
      <c r="M147" s="57"/>
      <c r="N147" s="57"/>
      <c r="O147" s="57"/>
      <c r="P147" s="57"/>
      <c r="Q147" s="57"/>
      <c r="Y147" s="57"/>
      <c r="Z147" s="57"/>
      <c r="AA147" s="57"/>
      <c r="AB147" s="57"/>
      <c r="AC147" s="57"/>
    </row>
    <row r="148" spans="3:29">
      <c r="C148" s="57" t="s">
        <v>207</v>
      </c>
      <c r="D148" s="84" t="s">
        <v>200</v>
      </c>
      <c r="E148" s="84">
        <f t="shared" si="16"/>
        <v>0.001</v>
      </c>
      <c r="F148" s="85"/>
      <c r="G148" s="85"/>
      <c r="M148" s="57"/>
      <c r="N148" s="57"/>
      <c r="O148" s="57"/>
      <c r="P148" s="57"/>
      <c r="Q148" s="57"/>
      <c r="Y148" s="57"/>
      <c r="Z148" s="57"/>
      <c r="AA148" s="57"/>
      <c r="AB148" s="57"/>
      <c r="AC148" s="57"/>
    </row>
    <row r="149" spans="3:29">
      <c r="C149" s="57" t="s">
        <v>207</v>
      </c>
      <c r="D149" s="84" t="s">
        <v>201</v>
      </c>
      <c r="E149" s="84">
        <f t="shared" si="16"/>
        <v>0.001</v>
      </c>
      <c r="F149" s="85"/>
      <c r="G149" s="85"/>
      <c r="M149" s="57"/>
      <c r="N149" s="57"/>
      <c r="O149" s="57"/>
      <c r="P149" s="57"/>
      <c r="Q149" s="57"/>
      <c r="Y149" s="57"/>
      <c r="Z149" s="57"/>
      <c r="AA149" s="57"/>
      <c r="AB149" s="57"/>
      <c r="AC149" s="57"/>
    </row>
    <row r="150" spans="3:29">
      <c r="C150" s="57" t="s">
        <v>207</v>
      </c>
      <c r="D150" s="84" t="s">
        <v>202</v>
      </c>
      <c r="E150" s="84">
        <f t="shared" si="16"/>
        <v>0.001</v>
      </c>
      <c r="F150" s="85"/>
      <c r="G150" s="85"/>
      <c r="M150" s="57"/>
      <c r="N150" s="57"/>
      <c r="O150" s="57"/>
      <c r="P150" s="57"/>
      <c r="Q150" s="57"/>
      <c r="Y150" s="57"/>
      <c r="Z150" s="57"/>
      <c r="AA150" s="57"/>
      <c r="AB150" s="57"/>
      <c r="AC150" s="57"/>
    </row>
    <row r="151" spans="3:29">
      <c r="C151" s="57" t="s">
        <v>207</v>
      </c>
      <c r="D151" s="84" t="s">
        <v>203</v>
      </c>
      <c r="E151" s="84">
        <f t="shared" si="16"/>
        <v>0.001</v>
      </c>
      <c r="F151" s="85"/>
      <c r="G151" s="85"/>
      <c r="M151" s="57"/>
      <c r="N151" s="57"/>
      <c r="O151" s="57"/>
      <c r="P151" s="57"/>
      <c r="Q151" s="57"/>
      <c r="Y151" s="57"/>
      <c r="Z151" s="57"/>
      <c r="AA151" s="57"/>
      <c r="AB151" s="57"/>
      <c r="AC151" s="57"/>
    </row>
    <row r="152" spans="3:29">
      <c r="C152" s="57" t="s">
        <v>207</v>
      </c>
      <c r="D152" s="84" t="s">
        <v>204</v>
      </c>
      <c r="E152" s="84">
        <f t="shared" si="16"/>
        <v>0.001</v>
      </c>
      <c r="F152" s="85"/>
      <c r="G152" s="85"/>
      <c r="M152" s="57"/>
      <c r="N152" s="57"/>
      <c r="O152" s="57"/>
      <c r="P152" s="57"/>
      <c r="Q152" s="57"/>
      <c r="Y152" s="57"/>
      <c r="Z152" s="57"/>
      <c r="AA152" s="57"/>
      <c r="AB152" s="57"/>
      <c r="AC152" s="57"/>
    </row>
    <row r="153" spans="3:29">
      <c r="C153" s="57" t="s">
        <v>207</v>
      </c>
      <c r="D153" s="84" t="s">
        <v>205</v>
      </c>
      <c r="E153" s="84">
        <f t="shared" si="16"/>
        <v>0.001</v>
      </c>
      <c r="F153" s="85"/>
      <c r="G153" s="85"/>
      <c r="M153" s="57"/>
      <c r="N153" s="57"/>
      <c r="O153" s="57"/>
      <c r="P153" s="57"/>
      <c r="Q153" s="57"/>
      <c r="Y153" s="57"/>
      <c r="Z153" s="57"/>
      <c r="AA153" s="57"/>
      <c r="AB153" s="57"/>
      <c r="AC153" s="57"/>
    </row>
    <row r="154" spans="3:29">
      <c r="C154" s="57" t="s">
        <v>207</v>
      </c>
      <c r="D154" s="86" t="s">
        <v>206</v>
      </c>
      <c r="E154" s="84">
        <f t="shared" si="16"/>
        <v>0.001</v>
      </c>
      <c r="F154" s="85"/>
      <c r="G154" s="85"/>
      <c r="M154" s="57"/>
      <c r="N154" s="57"/>
      <c r="O154" s="57"/>
      <c r="P154" s="57"/>
      <c r="Q154" s="57"/>
      <c r="Y154" s="57"/>
      <c r="Z154" s="57"/>
      <c r="AA154" s="57"/>
      <c r="AB154" s="57"/>
      <c r="AC154" s="57"/>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116</v>
      </c>
      <c r="C1" t="s">
        <v>64</v>
      </c>
      <c r="D1" t="s">
        <v>92</v>
      </c>
      <c r="E1" t="s">
        <v>208</v>
      </c>
      <c r="F1" t="s">
        <v>209</v>
      </c>
      <c r="G1" t="s">
        <v>41</v>
      </c>
      <c r="H1" s="52" t="s">
        <v>210</v>
      </c>
      <c r="I1" s="52" t="s">
        <v>211</v>
      </c>
      <c r="J1" s="52" t="s">
        <v>212</v>
      </c>
      <c r="K1" s="52" t="s">
        <v>213</v>
      </c>
      <c r="L1" s="52" t="s">
        <v>214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215</v>
      </c>
      <c r="M4" s="31"/>
      <c r="N4" s="32"/>
      <c r="O4" s="32"/>
      <c r="P4" s="32"/>
      <c r="Q4" s="32"/>
      <c r="R4" s="24" t="s">
        <v>215</v>
      </c>
      <c r="S4" s="32"/>
      <c r="T4" s="32"/>
      <c r="U4" s="32"/>
      <c r="V4" s="32"/>
      <c r="W4" s="32"/>
      <c r="X4" s="24" t="s">
        <v>215</v>
      </c>
      <c r="Y4" s="32"/>
      <c r="Z4" s="32"/>
      <c r="AA4" s="32"/>
      <c r="AB4" s="32"/>
      <c r="AC4" s="32"/>
      <c r="AD4" s="24" t="s">
        <v>215</v>
      </c>
      <c r="AE4" s="32"/>
      <c r="AF4" s="32"/>
      <c r="AG4" s="32"/>
      <c r="AH4" s="32"/>
      <c r="AI4" s="32"/>
      <c r="AJ4" s="24" t="s">
        <v>215</v>
      </c>
      <c r="AK4" s="32"/>
      <c r="AL4" s="32"/>
      <c r="AM4" s="32"/>
      <c r="AN4" s="32"/>
      <c r="AO4" s="32"/>
      <c r="AP4" s="24" t="s">
        <v>215</v>
      </c>
      <c r="AQ4" s="32"/>
      <c r="AT4" s="32"/>
      <c r="AU4" s="32"/>
      <c r="AV4" s="24" t="s">
        <v>215</v>
      </c>
      <c r="AW4" s="32"/>
      <c r="AZ4" s="4"/>
      <c r="BA4" s="4"/>
      <c r="BB4" s="4"/>
      <c r="BC4" s="4"/>
    </row>
    <row r="5" s="29" customFormat="1" ht="14.5" spans="4:55">
      <c r="D5" s="31"/>
      <c r="E5" s="31"/>
      <c r="F5" s="33"/>
      <c r="G5" s="31"/>
      <c r="H5" s="32"/>
      <c r="I5" s="32"/>
      <c r="J5" s="24" t="s">
        <v>120</v>
      </c>
      <c r="K5" s="24" t="s">
        <v>64</v>
      </c>
      <c r="L5" s="24" t="s">
        <v>95</v>
      </c>
      <c r="M5" s="24" t="s">
        <v>25</v>
      </c>
      <c r="N5" s="32" t="s">
        <v>41</v>
      </c>
      <c r="O5" s="32"/>
      <c r="P5" s="24" t="s">
        <v>120</v>
      </c>
      <c r="Q5" s="24" t="s">
        <v>64</v>
      </c>
      <c r="R5" s="24" t="s">
        <v>95</v>
      </c>
      <c r="S5" s="24" t="s">
        <v>25</v>
      </c>
      <c r="T5" s="32" t="s">
        <v>41</v>
      </c>
      <c r="U5" s="32"/>
      <c r="V5" s="24" t="s">
        <v>120</v>
      </c>
      <c r="W5" s="24" t="s">
        <v>64</v>
      </c>
      <c r="X5" s="24" t="s">
        <v>95</v>
      </c>
      <c r="Y5" s="24" t="s">
        <v>25</v>
      </c>
      <c r="Z5" s="32" t="s">
        <v>41</v>
      </c>
      <c r="AA5" s="32"/>
      <c r="AB5" s="24" t="s">
        <v>120</v>
      </c>
      <c r="AC5" s="24" t="s">
        <v>64</v>
      </c>
      <c r="AD5" s="24" t="s">
        <v>95</v>
      </c>
      <c r="AE5" s="24" t="s">
        <v>25</v>
      </c>
      <c r="AF5" s="32" t="s">
        <v>41</v>
      </c>
      <c r="AG5" s="32"/>
      <c r="AH5" s="24" t="s">
        <v>120</v>
      </c>
      <c r="AI5" s="24" t="s">
        <v>64</v>
      </c>
      <c r="AJ5" s="24" t="s">
        <v>95</v>
      </c>
      <c r="AK5" s="24" t="s">
        <v>25</v>
      </c>
      <c r="AL5" s="32" t="s">
        <v>41</v>
      </c>
      <c r="AM5" s="32"/>
      <c r="AN5" s="24" t="s">
        <v>120</v>
      </c>
      <c r="AO5" s="24" t="s">
        <v>64</v>
      </c>
      <c r="AP5" s="24" t="s">
        <v>95</v>
      </c>
      <c r="AQ5" s="24" t="s">
        <v>25</v>
      </c>
      <c r="AR5" s="32" t="s">
        <v>41</v>
      </c>
      <c r="AT5" s="24" t="s">
        <v>120</v>
      </c>
      <c r="AU5" s="24" t="s">
        <v>64</v>
      </c>
      <c r="AV5" s="24" t="s">
        <v>95</v>
      </c>
      <c r="AW5" s="24" t="s">
        <v>25</v>
      </c>
      <c r="AX5" s="32" t="s">
        <v>41</v>
      </c>
      <c r="AZ5" s="4"/>
      <c r="BA5" s="4"/>
      <c r="BB5" s="4"/>
      <c r="BC5" s="4"/>
    </row>
    <row r="6" s="29" customFormat="1" ht="16" spans="4:55">
      <c r="D6" s="31"/>
      <c r="E6" s="34"/>
      <c r="F6" s="33"/>
      <c r="G6" s="35"/>
      <c r="H6" s="32"/>
      <c r="I6" s="32"/>
      <c r="J6" s="31" t="s">
        <v>124</v>
      </c>
      <c r="K6" s="34" t="s">
        <v>216</v>
      </c>
      <c r="L6" s="26" t="s">
        <v>217</v>
      </c>
      <c r="M6" s="36">
        <f t="shared" ref="M6:M9" si="0">M16/1000</f>
        <v>0.0768000000000001</v>
      </c>
      <c r="N6" s="32">
        <v>2020</v>
      </c>
      <c r="O6" s="32"/>
      <c r="P6" s="31" t="s">
        <v>124</v>
      </c>
      <c r="Q6" s="34" t="s">
        <v>218</v>
      </c>
      <c r="R6" s="26" t="s">
        <v>217</v>
      </c>
      <c r="S6" s="36">
        <f t="shared" ref="S6:S9" si="1">S16/1000</f>
        <v>0.0713</v>
      </c>
      <c r="T6" s="32">
        <v>2020</v>
      </c>
      <c r="U6" s="32"/>
      <c r="V6" s="31" t="s">
        <v>124</v>
      </c>
      <c r="W6" s="34" t="s">
        <v>219</v>
      </c>
      <c r="X6" s="26" t="s">
        <v>217</v>
      </c>
      <c r="Y6" s="36">
        <f t="shared" ref="Y6:Y9" si="2">Y16/1000</f>
        <v>0.0712</v>
      </c>
      <c r="Z6" s="32">
        <v>2020</v>
      </c>
      <c r="AA6" s="32"/>
      <c r="AB6" s="31" t="s">
        <v>124</v>
      </c>
      <c r="AC6" s="34" t="s">
        <v>220</v>
      </c>
      <c r="AD6" s="26" t="s">
        <v>217</v>
      </c>
      <c r="AE6" s="36">
        <f t="shared" ref="AE6:AE9" si="3">AE16/1000</f>
        <v>0.0725</v>
      </c>
      <c r="AF6" s="32">
        <v>2020</v>
      </c>
      <c r="AG6" s="32"/>
      <c r="AH6" s="31" t="s">
        <v>124</v>
      </c>
      <c r="AI6" s="34" t="s">
        <v>221</v>
      </c>
      <c r="AJ6" s="26" t="s">
        <v>217</v>
      </c>
      <c r="AK6" s="36">
        <f t="shared" ref="AK6:AK9" si="4">AK16/1000</f>
        <v>0.077</v>
      </c>
      <c r="AL6" s="32">
        <v>2020</v>
      </c>
      <c r="AM6" s="32"/>
      <c r="AN6" s="31" t="s">
        <v>124</v>
      </c>
      <c r="AO6" s="34" t="s">
        <v>222</v>
      </c>
      <c r="AP6" s="26" t="s">
        <v>217</v>
      </c>
      <c r="AQ6" s="36">
        <f t="shared" ref="AQ6:AQ9" si="5">AQ16/1000</f>
        <v>0.0424</v>
      </c>
      <c r="AR6" s="32">
        <v>2020</v>
      </c>
      <c r="AT6" s="31" t="s">
        <v>124</v>
      </c>
      <c r="AU6" s="34" t="s">
        <v>223</v>
      </c>
      <c r="AV6" s="26" t="s">
        <v>217</v>
      </c>
      <c r="AW6" s="36">
        <f t="shared" ref="AW6:AW9" si="6">AW16/1000</f>
        <v>0.0472</v>
      </c>
      <c r="AX6" s="32">
        <v>2020</v>
      </c>
      <c r="AZ6" s="4"/>
      <c r="BA6" s="4"/>
      <c r="BB6" s="4"/>
      <c r="BC6" s="4"/>
    </row>
    <row r="7" s="29" customFormat="1" ht="16" spans="4:55">
      <c r="D7" s="31"/>
      <c r="E7" s="34"/>
      <c r="F7" s="33"/>
      <c r="G7" s="35"/>
      <c r="H7" s="32"/>
      <c r="I7" s="32"/>
      <c r="J7" s="31" t="s">
        <v>124</v>
      </c>
      <c r="K7" s="34" t="s">
        <v>216</v>
      </c>
      <c r="L7" s="26" t="s">
        <v>224</v>
      </c>
      <c r="M7" s="36">
        <f t="shared" si="0"/>
        <v>0.2026</v>
      </c>
      <c r="N7" s="32">
        <v>2020</v>
      </c>
      <c r="O7" s="32"/>
      <c r="P7" s="31" t="s">
        <v>124</v>
      </c>
      <c r="Q7" s="34" t="s">
        <v>218</v>
      </c>
      <c r="R7" s="26" t="s">
        <v>224</v>
      </c>
      <c r="S7" s="36">
        <f t="shared" si="1"/>
        <v>0.1913</v>
      </c>
      <c r="T7" s="32">
        <v>2020</v>
      </c>
      <c r="U7" s="32"/>
      <c r="V7" s="31" t="s">
        <v>124</v>
      </c>
      <c r="W7" s="34" t="s">
        <v>219</v>
      </c>
      <c r="X7" s="26" t="s">
        <v>224</v>
      </c>
      <c r="Y7" s="36">
        <f t="shared" si="2"/>
        <v>0.1915</v>
      </c>
      <c r="Z7" s="32">
        <v>2020</v>
      </c>
      <c r="AA7" s="32"/>
      <c r="AB7" s="31" t="s">
        <v>124</v>
      </c>
      <c r="AC7" s="34" t="s">
        <v>220</v>
      </c>
      <c r="AD7" s="26" t="s">
        <v>224</v>
      </c>
      <c r="AE7" s="36">
        <f t="shared" si="3"/>
        <v>0.1859</v>
      </c>
      <c r="AF7" s="32">
        <v>2020</v>
      </c>
      <c r="AG7" s="32"/>
      <c r="AH7" s="31" t="s">
        <v>124</v>
      </c>
      <c r="AI7" s="34" t="s">
        <v>221</v>
      </c>
      <c r="AJ7" s="26" t="s">
        <v>224</v>
      </c>
      <c r="AK7" s="36">
        <f t="shared" si="4"/>
        <v>0.1982</v>
      </c>
      <c r="AL7" s="32">
        <v>2020</v>
      </c>
      <c r="AM7" s="32"/>
      <c r="AN7" s="31" t="s">
        <v>124</v>
      </c>
      <c r="AO7" s="34" t="s">
        <v>222</v>
      </c>
      <c r="AP7" s="26" t="s">
        <v>224</v>
      </c>
      <c r="AQ7" s="36">
        <f t="shared" si="5"/>
        <v>0.0768</v>
      </c>
      <c r="AR7" s="32">
        <v>2020</v>
      </c>
      <c r="AT7" s="31" t="s">
        <v>124</v>
      </c>
      <c r="AU7" s="34" t="s">
        <v>223</v>
      </c>
      <c r="AV7" s="26" t="s">
        <v>224</v>
      </c>
      <c r="AW7" s="36">
        <f t="shared" si="6"/>
        <v>0.1555</v>
      </c>
      <c r="AX7" s="32">
        <v>2020</v>
      </c>
      <c r="AZ7" s="4"/>
      <c r="BA7" s="4"/>
      <c r="BB7" s="4"/>
      <c r="BC7" s="4"/>
    </row>
    <row r="8" s="29" customFormat="1" ht="14.5" customHeight="1" spans="4:55">
      <c r="D8" s="31"/>
      <c r="E8" s="34"/>
      <c r="F8" s="33"/>
      <c r="G8" s="35"/>
      <c r="H8" s="32"/>
      <c r="I8" s="32"/>
      <c r="J8" s="31" t="s">
        <v>124</v>
      </c>
      <c r="K8" s="34" t="s">
        <v>216</v>
      </c>
      <c r="L8" s="26" t="s">
        <v>225</v>
      </c>
      <c r="M8" s="36">
        <f t="shared" si="0"/>
        <v>0.5838</v>
      </c>
      <c r="N8" s="32">
        <v>2020</v>
      </c>
      <c r="O8" s="32"/>
      <c r="P8" s="31" t="s">
        <v>124</v>
      </c>
      <c r="Q8" s="34" t="s">
        <v>218</v>
      </c>
      <c r="R8" s="26" t="s">
        <v>225</v>
      </c>
      <c r="S8" s="36">
        <f t="shared" si="1"/>
        <v>0.5561</v>
      </c>
      <c r="T8" s="32">
        <v>2020</v>
      </c>
      <c r="U8" s="32"/>
      <c r="V8" s="31" t="s">
        <v>124</v>
      </c>
      <c r="W8" s="34" t="s">
        <v>219</v>
      </c>
      <c r="X8" s="26" t="s">
        <v>225</v>
      </c>
      <c r="Y8" s="36">
        <f t="shared" si="2"/>
        <v>0.5579</v>
      </c>
      <c r="Z8" s="32">
        <v>2020</v>
      </c>
      <c r="AA8" s="32"/>
      <c r="AB8" s="31" t="s">
        <v>124</v>
      </c>
      <c r="AC8" s="34" t="s">
        <v>220</v>
      </c>
      <c r="AD8" s="26" t="s">
        <v>225</v>
      </c>
      <c r="AE8" s="36">
        <f t="shared" si="3"/>
        <v>0.5505</v>
      </c>
      <c r="AF8" s="32">
        <v>2020</v>
      </c>
      <c r="AG8" s="32"/>
      <c r="AH8" s="31" t="s">
        <v>124</v>
      </c>
      <c r="AI8" s="34" t="s">
        <v>221</v>
      </c>
      <c r="AJ8" s="26" t="s">
        <v>225</v>
      </c>
      <c r="AK8" s="36">
        <f t="shared" si="4"/>
        <v>0.5942</v>
      </c>
      <c r="AL8" s="32">
        <v>2020</v>
      </c>
      <c r="AM8" s="32"/>
      <c r="AN8" s="31" t="s">
        <v>124</v>
      </c>
      <c r="AO8" s="34" t="s">
        <v>222</v>
      </c>
      <c r="AP8" s="26" t="s">
        <v>225</v>
      </c>
      <c r="AQ8" s="36">
        <f t="shared" si="5"/>
        <v>0.4099</v>
      </c>
      <c r="AR8" s="32">
        <v>2020</v>
      </c>
      <c r="AT8" s="31" t="s">
        <v>124</v>
      </c>
      <c r="AU8" s="34" t="s">
        <v>223</v>
      </c>
      <c r="AV8" s="26" t="s">
        <v>225</v>
      </c>
      <c r="AW8" s="36">
        <f t="shared" si="6"/>
        <v>0.477</v>
      </c>
      <c r="AX8" s="32">
        <v>2020</v>
      </c>
      <c r="AZ8" s="4"/>
      <c r="BA8" s="4"/>
      <c r="BB8" s="4"/>
      <c r="BC8" s="4"/>
    </row>
    <row r="9" s="29" customFormat="1" ht="16" spans="4:55">
      <c r="D9" s="31"/>
      <c r="E9" s="34"/>
      <c r="F9" s="33"/>
      <c r="G9" s="35"/>
      <c r="H9" s="32"/>
      <c r="I9" s="32"/>
      <c r="J9" s="31" t="s">
        <v>124</v>
      </c>
      <c r="K9" s="34" t="s">
        <v>216</v>
      </c>
      <c r="L9" s="26" t="s">
        <v>226</v>
      </c>
      <c r="M9" s="36">
        <f t="shared" si="0"/>
        <v>0.1275</v>
      </c>
      <c r="N9" s="32">
        <v>2020</v>
      </c>
      <c r="O9" s="32"/>
      <c r="P9" s="31" t="s">
        <v>124</v>
      </c>
      <c r="Q9" s="34" t="s">
        <v>218</v>
      </c>
      <c r="R9" s="26" t="s">
        <v>226</v>
      </c>
      <c r="S9" s="36">
        <f t="shared" si="1"/>
        <v>0.1337</v>
      </c>
      <c r="T9" s="32">
        <v>2020</v>
      </c>
      <c r="U9" s="32"/>
      <c r="V9" s="31" t="s">
        <v>124</v>
      </c>
      <c r="W9" s="34" t="s">
        <v>219</v>
      </c>
      <c r="X9" s="26" t="s">
        <v>226</v>
      </c>
      <c r="Y9" s="36">
        <f t="shared" si="2"/>
        <v>0.1403</v>
      </c>
      <c r="Z9" s="32">
        <v>2020</v>
      </c>
      <c r="AA9" s="32"/>
      <c r="AB9" s="31" t="s">
        <v>124</v>
      </c>
      <c r="AC9" s="34" t="s">
        <v>220</v>
      </c>
      <c r="AD9" s="26" t="s">
        <v>226</v>
      </c>
      <c r="AE9" s="36">
        <f t="shared" si="3"/>
        <v>0.1499</v>
      </c>
      <c r="AF9" s="32">
        <v>2020</v>
      </c>
      <c r="AG9" s="32"/>
      <c r="AH9" s="31" t="s">
        <v>124</v>
      </c>
      <c r="AI9" s="34" t="s">
        <v>221</v>
      </c>
      <c r="AJ9" s="26" t="s">
        <v>226</v>
      </c>
      <c r="AK9" s="36">
        <f t="shared" si="4"/>
        <v>0.1608</v>
      </c>
      <c r="AL9" s="32">
        <v>2020</v>
      </c>
      <c r="AM9" s="32"/>
      <c r="AN9" s="31" t="s">
        <v>124</v>
      </c>
      <c r="AO9" s="34" t="s">
        <v>222</v>
      </c>
      <c r="AP9" s="26" t="s">
        <v>226</v>
      </c>
      <c r="AQ9" s="36">
        <f t="shared" si="5"/>
        <v>0.057</v>
      </c>
      <c r="AR9" s="32">
        <v>2020</v>
      </c>
      <c r="AT9" s="31" t="s">
        <v>124</v>
      </c>
      <c r="AU9" s="34" t="s">
        <v>223</v>
      </c>
      <c r="AV9" s="26" t="s">
        <v>226</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215</v>
      </c>
      <c r="M24" s="31"/>
      <c r="N24" s="32"/>
      <c r="O24" s="32"/>
      <c r="P24" s="32"/>
      <c r="Q24" s="32"/>
      <c r="R24" s="24" t="s">
        <v>215</v>
      </c>
      <c r="S24" s="32"/>
      <c r="T24" s="32"/>
      <c r="U24" s="32"/>
      <c r="V24" s="32"/>
      <c r="W24" s="32"/>
      <c r="X24" s="24" t="s">
        <v>215</v>
      </c>
      <c r="Y24" s="32"/>
      <c r="Z24" s="32"/>
      <c r="AA24" s="32"/>
      <c r="AB24" s="32"/>
      <c r="AC24" s="32"/>
      <c r="AD24" s="24" t="s">
        <v>215</v>
      </c>
      <c r="AE24" s="32"/>
      <c r="AF24" s="32"/>
      <c r="AG24" s="32"/>
      <c r="AH24" s="32"/>
      <c r="AI24" s="32"/>
      <c r="AJ24" s="24" t="s">
        <v>215</v>
      </c>
      <c r="AK24" s="32"/>
      <c r="AL24" s="32"/>
      <c r="AM24" s="32"/>
      <c r="AN24" s="32"/>
      <c r="AO24" s="32"/>
      <c r="AP24" s="24" t="s">
        <v>215</v>
      </c>
      <c r="AQ24" s="32"/>
      <c r="AT24" s="32"/>
      <c r="AU24" s="32"/>
      <c r="AV24" s="24" t="s">
        <v>215</v>
      </c>
      <c r="AW24" s="32"/>
      <c r="AZ24" s="4"/>
      <c r="BA24" s="4"/>
      <c r="BB24" s="4"/>
      <c r="BC24" s="4"/>
    </row>
    <row r="25" s="29" customFormat="1" ht="14.5" spans="4:55">
      <c r="D25" s="31"/>
      <c r="E25" s="31"/>
      <c r="F25" s="33"/>
      <c r="G25" s="31"/>
      <c r="H25" s="32"/>
      <c r="I25" s="32"/>
      <c r="J25" s="24" t="s">
        <v>120</v>
      </c>
      <c r="K25" s="24" t="s">
        <v>64</v>
      </c>
      <c r="L25" s="24" t="s">
        <v>95</v>
      </c>
      <c r="M25" s="24" t="s">
        <v>11</v>
      </c>
      <c r="N25" s="32" t="s">
        <v>41</v>
      </c>
      <c r="O25" s="32"/>
      <c r="P25" s="24" t="s">
        <v>120</v>
      </c>
      <c r="Q25" s="24" t="s">
        <v>64</v>
      </c>
      <c r="R25" s="24" t="s">
        <v>95</v>
      </c>
      <c r="S25" s="24" t="s">
        <v>11</v>
      </c>
      <c r="T25" s="32" t="s">
        <v>41</v>
      </c>
      <c r="U25" s="32"/>
      <c r="V25" s="24" t="s">
        <v>120</v>
      </c>
      <c r="W25" s="24" t="s">
        <v>64</v>
      </c>
      <c r="X25" s="24" t="s">
        <v>95</v>
      </c>
      <c r="Y25" s="24" t="s">
        <v>11</v>
      </c>
      <c r="Z25" s="32" t="s">
        <v>41</v>
      </c>
      <c r="AA25" s="32"/>
      <c r="AB25" s="24" t="s">
        <v>120</v>
      </c>
      <c r="AC25" s="24" t="s">
        <v>64</v>
      </c>
      <c r="AD25" s="24" t="s">
        <v>95</v>
      </c>
      <c r="AE25" s="24" t="s">
        <v>11</v>
      </c>
      <c r="AF25" s="32" t="s">
        <v>41</v>
      </c>
      <c r="AG25" s="32"/>
      <c r="AH25" s="24" t="s">
        <v>120</v>
      </c>
      <c r="AI25" s="24" t="s">
        <v>64</v>
      </c>
      <c r="AJ25" s="24" t="s">
        <v>95</v>
      </c>
      <c r="AK25" s="24" t="s">
        <v>11</v>
      </c>
      <c r="AL25" s="32" t="s">
        <v>41</v>
      </c>
      <c r="AM25" s="32"/>
      <c r="AN25" s="24" t="s">
        <v>120</v>
      </c>
      <c r="AO25" s="24" t="s">
        <v>64</v>
      </c>
      <c r="AP25" s="24" t="s">
        <v>95</v>
      </c>
      <c r="AQ25" s="24" t="s">
        <v>11</v>
      </c>
      <c r="AR25" s="32" t="s">
        <v>41</v>
      </c>
      <c r="AT25" s="24" t="s">
        <v>120</v>
      </c>
      <c r="AU25" s="24" t="s">
        <v>64</v>
      </c>
      <c r="AV25" s="24" t="s">
        <v>95</v>
      </c>
      <c r="AW25" s="24" t="s">
        <v>11</v>
      </c>
      <c r="AX25" s="32" t="s">
        <v>41</v>
      </c>
      <c r="AZ25" s="4"/>
      <c r="BA25" s="4"/>
      <c r="BB25" s="4"/>
      <c r="BC25" s="4"/>
    </row>
    <row r="26" ht="16" spans="4:55">
      <c r="J26" s="31" t="s">
        <v>124</v>
      </c>
      <c r="K26" s="34" t="str">
        <f t="shared" ref="K26:K29" si="14">K6</f>
        <v>Tra_EV_Batt-NMC111_virgin</v>
      </c>
      <c r="L26" s="26" t="s">
        <v>217</v>
      </c>
      <c r="M26" s="35">
        <f t="shared" ref="M26:M29" si="15">T73/1000</f>
        <v>0.0774</v>
      </c>
      <c r="N26" s="32">
        <v>2020</v>
      </c>
      <c r="O26" s="32"/>
      <c r="P26" s="31" t="s">
        <v>124</v>
      </c>
      <c r="Q26" s="34" t="str">
        <f t="shared" ref="Q26:Q29" si="16">Q6</f>
        <v>Tra_EV_Batt-NMC532_virgin</v>
      </c>
      <c r="R26" s="26" t="s">
        <v>217</v>
      </c>
      <c r="S26" s="41">
        <f t="shared" ref="S26:S29" si="17">S32/1000</f>
        <v>0.072</v>
      </c>
      <c r="T26" s="32">
        <v>2020</v>
      </c>
      <c r="U26" s="32"/>
      <c r="V26" s="31" t="s">
        <v>124</v>
      </c>
      <c r="W26" s="34" t="str">
        <f t="shared" ref="W26:W29" si="18">W6</f>
        <v>Tra_EV_Batt-NMC622_virgin</v>
      </c>
      <c r="X26" s="26" t="s">
        <v>217</v>
      </c>
      <c r="Y26" s="41">
        <f t="shared" ref="Y26:Y29" si="19">Y32/1000</f>
        <v>0.0719</v>
      </c>
      <c r="Z26" s="32">
        <v>2020</v>
      </c>
      <c r="AA26" s="32"/>
      <c r="AB26" s="31" t="s">
        <v>124</v>
      </c>
      <c r="AC26" s="34" t="str">
        <f t="shared" ref="AC26:AC29" si="20">AC6</f>
        <v>Tra_EV_Batt-NMC811_virgin</v>
      </c>
      <c r="AD26" s="26" t="s">
        <v>217</v>
      </c>
      <c r="AE26" s="41">
        <f t="shared" ref="AE26:AE29" si="21">AE32/1000</f>
        <v>0.0731</v>
      </c>
      <c r="AF26" s="32">
        <v>2020</v>
      </c>
      <c r="AG26" s="32"/>
      <c r="AH26" s="31" t="s">
        <v>124</v>
      </c>
      <c r="AI26" s="34" t="str">
        <f t="shared" ref="AI26:AI29" si="22">AI6</f>
        <v>Tra_EV_Batt-NCA_virgin</v>
      </c>
      <c r="AJ26" s="26" t="s">
        <v>217</v>
      </c>
      <c r="AK26" s="41">
        <f t="shared" ref="AK26:AK29" si="23">AK32/1000</f>
        <v>0.0776999999999999</v>
      </c>
      <c r="AL26" s="32">
        <v>2020</v>
      </c>
      <c r="AM26" s="32"/>
      <c r="AN26" s="31" t="s">
        <v>124</v>
      </c>
      <c r="AO26" s="34" t="str">
        <f t="shared" ref="AO26:AO29" si="24">AO6</f>
        <v>Tra_EV_Batt-LMO_virgin</v>
      </c>
      <c r="AP26" s="26" t="s">
        <v>217</v>
      </c>
      <c r="AQ26" s="41">
        <f t="shared" ref="AQ26:AQ29" si="25">AQ32/1000</f>
        <v>0.0431</v>
      </c>
      <c r="AR26" s="32">
        <v>2020</v>
      </c>
      <c r="AS26" s="29"/>
      <c r="AT26" s="31" t="s">
        <v>124</v>
      </c>
      <c r="AU26" s="34" t="str">
        <f t="shared" ref="AU26:AU29" si="26">AU6</f>
        <v>Tra_EV_Batt-LFP_virgin</v>
      </c>
      <c r="AV26" s="26" t="s">
        <v>217</v>
      </c>
      <c r="AW26" s="41">
        <f t="shared" ref="AW26:AW29" si="27">AW32/1000</f>
        <v>0.0478</v>
      </c>
      <c r="AX26" s="32">
        <v>2020</v>
      </c>
    </row>
    <row r="27" ht="16" spans="4:55">
      <c r="J27" s="31" t="s">
        <v>124</v>
      </c>
      <c r="K27" s="34" t="str">
        <f t="shared" si="14"/>
        <v>Tra_EV_Batt-NMC111_virgin</v>
      </c>
      <c r="L27" s="26" t="s">
        <v>224</v>
      </c>
      <c r="M27" s="35">
        <f t="shared" si="15"/>
        <v>0.2366</v>
      </c>
      <c r="N27" s="32">
        <v>2020</v>
      </c>
      <c r="O27" s="32"/>
      <c r="P27" s="31" t="s">
        <v>124</v>
      </c>
      <c r="Q27" s="34" t="str">
        <f t="shared" si="16"/>
        <v>Tra_EV_Batt-NMC532_virgin</v>
      </c>
      <c r="R27" s="26" t="s">
        <v>224</v>
      </c>
      <c r="S27" s="41">
        <f t="shared" si="17"/>
        <v>0.2252</v>
      </c>
      <c r="T27" s="32">
        <v>2020</v>
      </c>
      <c r="U27" s="32"/>
      <c r="V27" s="31" t="s">
        <v>124</v>
      </c>
      <c r="W27" s="34" t="str">
        <f t="shared" si="18"/>
        <v>Tra_EV_Batt-NMC622_virgin</v>
      </c>
      <c r="X27" s="26" t="s">
        <v>224</v>
      </c>
      <c r="Y27" s="41">
        <f t="shared" si="19"/>
        <v>0.2255</v>
      </c>
      <c r="Z27" s="32">
        <v>2020</v>
      </c>
      <c r="AA27" s="32"/>
      <c r="AB27" s="31" t="s">
        <v>124</v>
      </c>
      <c r="AC27" s="34" t="str">
        <f t="shared" si="20"/>
        <v>Tra_EV_Batt-NMC811_virgin</v>
      </c>
      <c r="AD27" s="26" t="s">
        <v>224</v>
      </c>
      <c r="AE27" s="41">
        <f t="shared" si="21"/>
        <v>0.2198</v>
      </c>
      <c r="AF27" s="32">
        <v>2020</v>
      </c>
      <c r="AG27" s="32"/>
      <c r="AH27" s="31" t="s">
        <v>124</v>
      </c>
      <c r="AI27" s="34" t="str">
        <f t="shared" si="22"/>
        <v>Tra_EV_Batt-NCA_virgin</v>
      </c>
      <c r="AJ27" s="26" t="s">
        <v>224</v>
      </c>
      <c r="AK27" s="41">
        <f t="shared" si="23"/>
        <v>0.2322</v>
      </c>
      <c r="AL27" s="32">
        <v>2020</v>
      </c>
      <c r="AM27" s="32"/>
      <c r="AN27" s="31" t="s">
        <v>124</v>
      </c>
      <c r="AO27" s="34" t="str">
        <f t="shared" si="24"/>
        <v>Tra_EV_Batt-LMO_virgin</v>
      </c>
      <c r="AP27" s="26" t="s">
        <v>224</v>
      </c>
      <c r="AQ27" s="41">
        <f t="shared" si="25"/>
        <v>0.1108</v>
      </c>
      <c r="AR27" s="32">
        <v>2020</v>
      </c>
      <c r="AS27" s="29"/>
      <c r="AT27" s="31" t="s">
        <v>124</v>
      </c>
      <c r="AU27" s="34" t="str">
        <f t="shared" si="26"/>
        <v>Tra_EV_Batt-LFP_virgin</v>
      </c>
      <c r="AV27" s="26" t="s">
        <v>224</v>
      </c>
      <c r="AW27" s="41">
        <f t="shared" si="27"/>
        <v>0.1895</v>
      </c>
      <c r="AX27" s="32">
        <v>2020</v>
      </c>
    </row>
    <row r="28" ht="16" spans="4:55">
      <c r="J28" s="31" t="s">
        <v>124</v>
      </c>
      <c r="K28" s="34" t="str">
        <f t="shared" si="14"/>
        <v>Tra_EV_Batt-NMC111_virgin</v>
      </c>
      <c r="L28" s="26" t="s">
        <v>225</v>
      </c>
      <c r="M28" s="35">
        <f t="shared" si="15"/>
        <v>0.5598</v>
      </c>
      <c r="N28" s="32">
        <v>2020</v>
      </c>
      <c r="O28" s="32"/>
      <c r="P28" s="31" t="s">
        <v>124</v>
      </c>
      <c r="Q28" s="34" t="str">
        <f t="shared" si="16"/>
        <v>Tra_EV_Batt-NMC532_virgin</v>
      </c>
      <c r="R28" s="26" t="s">
        <v>225</v>
      </c>
      <c r="S28" s="41">
        <f t="shared" si="17"/>
        <v>0.5321</v>
      </c>
      <c r="T28" s="32">
        <v>2020</v>
      </c>
      <c r="U28" s="32"/>
      <c r="V28" s="31" t="s">
        <v>124</v>
      </c>
      <c r="W28" s="34" t="str">
        <f t="shared" si="18"/>
        <v>Tra_EV_Batt-NMC622_virgin</v>
      </c>
      <c r="X28" s="26" t="s">
        <v>225</v>
      </c>
      <c r="Y28" s="41">
        <f t="shared" si="19"/>
        <v>0.5339</v>
      </c>
      <c r="Z28" s="32">
        <v>2020</v>
      </c>
      <c r="AA28" s="32"/>
      <c r="AB28" s="31" t="s">
        <v>124</v>
      </c>
      <c r="AC28" s="34" t="str">
        <f t="shared" si="20"/>
        <v>Tra_EV_Batt-NMC811_virgin</v>
      </c>
      <c r="AD28" s="26" t="s">
        <v>225</v>
      </c>
      <c r="AE28" s="41">
        <f t="shared" si="21"/>
        <v>0.5264</v>
      </c>
      <c r="AF28" s="32">
        <v>2020</v>
      </c>
      <c r="AG28" s="32"/>
      <c r="AH28" s="31" t="s">
        <v>124</v>
      </c>
      <c r="AI28" s="34" t="str">
        <f t="shared" si="22"/>
        <v>Tra_EV_Batt-NCA_virgin</v>
      </c>
      <c r="AJ28" s="26" t="s">
        <v>225</v>
      </c>
      <c r="AK28" s="41">
        <f t="shared" si="23"/>
        <v>0.5702</v>
      </c>
      <c r="AL28" s="32">
        <v>2020</v>
      </c>
      <c r="AM28" s="32"/>
      <c r="AN28" s="31" t="s">
        <v>124</v>
      </c>
      <c r="AO28" s="34" t="str">
        <f t="shared" si="24"/>
        <v>Tra_EV_Batt-LMO_virgin</v>
      </c>
      <c r="AP28" s="26" t="s">
        <v>225</v>
      </c>
      <c r="AQ28" s="41">
        <f t="shared" si="25"/>
        <v>0.3858</v>
      </c>
      <c r="AR28" s="32">
        <v>2020</v>
      </c>
      <c r="AS28" s="29"/>
      <c r="AT28" s="31" t="s">
        <v>124</v>
      </c>
      <c r="AU28" s="34" t="str">
        <f t="shared" si="26"/>
        <v>Tra_EV_Batt-LFP_virgin</v>
      </c>
      <c r="AV28" s="26" t="s">
        <v>225</v>
      </c>
      <c r="AW28" s="41">
        <f t="shared" si="27"/>
        <v>0.453</v>
      </c>
      <c r="AX28" s="32">
        <v>2020</v>
      </c>
    </row>
    <row r="29" ht="16" spans="4:55">
      <c r="J29" s="31" t="s">
        <v>124</v>
      </c>
      <c r="K29" s="34" t="str">
        <f t="shared" si="14"/>
        <v>Tra_EV_Batt-NMC111_virgin</v>
      </c>
      <c r="L29" s="26" t="s">
        <v>226</v>
      </c>
      <c r="M29" s="35">
        <f t="shared" si="15"/>
        <v>0.1277</v>
      </c>
      <c r="N29" s="32">
        <v>2020</v>
      </c>
      <c r="O29" s="32"/>
      <c r="P29" s="31" t="s">
        <v>124</v>
      </c>
      <c r="Q29" s="34" t="str">
        <f t="shared" si="16"/>
        <v>Tra_EV_Batt-NMC532_virgin</v>
      </c>
      <c r="R29" s="26" t="s">
        <v>226</v>
      </c>
      <c r="S29" s="41">
        <f t="shared" si="17"/>
        <v>0.134</v>
      </c>
      <c r="T29" s="32">
        <v>2020</v>
      </c>
      <c r="U29" s="32"/>
      <c r="V29" s="31" t="s">
        <v>124</v>
      </c>
      <c r="W29" s="34" t="str">
        <f t="shared" si="18"/>
        <v>Tra_EV_Batt-NMC622_virgin</v>
      </c>
      <c r="X29" s="26" t="s">
        <v>226</v>
      </c>
      <c r="Y29" s="41">
        <f t="shared" si="19"/>
        <v>0.1406</v>
      </c>
      <c r="Z29" s="32">
        <v>2020</v>
      </c>
      <c r="AA29" s="32"/>
      <c r="AB29" s="31" t="s">
        <v>124</v>
      </c>
      <c r="AC29" s="34" t="str">
        <f t="shared" si="20"/>
        <v>Tra_EV_Batt-NMC811_virgin</v>
      </c>
      <c r="AD29" s="26" t="s">
        <v>226</v>
      </c>
      <c r="AE29" s="41">
        <f t="shared" si="21"/>
        <v>0.1502</v>
      </c>
      <c r="AF29" s="32">
        <v>2020</v>
      </c>
      <c r="AG29" s="32"/>
      <c r="AH29" s="31" t="s">
        <v>124</v>
      </c>
      <c r="AI29" s="34" t="str">
        <f t="shared" si="22"/>
        <v>Tra_EV_Batt-NCA_virgin</v>
      </c>
      <c r="AJ29" s="26" t="s">
        <v>226</v>
      </c>
      <c r="AK29" s="41">
        <f t="shared" si="23"/>
        <v>0.1611</v>
      </c>
      <c r="AL29" s="32">
        <v>2020</v>
      </c>
      <c r="AM29" s="32"/>
      <c r="AN29" s="31" t="s">
        <v>124</v>
      </c>
      <c r="AO29" s="34" t="str">
        <f t="shared" si="24"/>
        <v>Tra_EV_Batt-LMO_virgin</v>
      </c>
      <c r="AP29" s="26" t="s">
        <v>226</v>
      </c>
      <c r="AQ29" s="41">
        <f t="shared" si="25"/>
        <v>0.0572</v>
      </c>
      <c r="AR29" s="32">
        <v>2020</v>
      </c>
      <c r="AS29" s="29"/>
      <c r="AT29" s="31" t="s">
        <v>124</v>
      </c>
      <c r="AU29" s="34" t="str">
        <f t="shared" si="26"/>
        <v>Tra_EV_Batt-LFP_virgin</v>
      </c>
      <c r="AV29" s="26" t="s">
        <v>226</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227</v>
      </c>
      <c r="R42" s="3"/>
      <c r="S42" s="3"/>
      <c r="T42" s="3"/>
      <c r="U42" s="3"/>
      <c r="V42" s="3"/>
      <c r="W42" s="3"/>
      <c r="X42" s="3"/>
      <c r="Y42" s="3"/>
      <c r="Z42" s="3"/>
    </row>
    <row r="43" ht="15.5" spans="17:49">
      <c r="Q43" s="42" t="s">
        <v>228</v>
      </c>
      <c r="R43" s="42" t="s">
        <v>229</v>
      </c>
      <c r="S43" s="43" t="s">
        <v>230</v>
      </c>
      <c r="T43" s="43"/>
      <c r="U43" s="43"/>
      <c r="V43" s="43"/>
      <c r="W43" s="43"/>
      <c r="X43" s="43"/>
      <c r="Y43" s="43"/>
      <c r="Z43" s="43"/>
    </row>
    <row r="44" ht="15.5" spans="17:49">
      <c r="Q44" s="42"/>
      <c r="R44" s="42"/>
      <c r="S44" s="43" t="s">
        <v>231</v>
      </c>
      <c r="T44" s="43" t="s">
        <v>232</v>
      </c>
      <c r="U44" s="43" t="s">
        <v>233</v>
      </c>
      <c r="V44" s="43" t="s">
        <v>234</v>
      </c>
      <c r="W44" s="43" t="s">
        <v>235</v>
      </c>
      <c r="X44" s="43" t="s">
        <v>236</v>
      </c>
      <c r="Y44" s="43" t="s">
        <v>237</v>
      </c>
      <c r="Z44" s="43" t="s">
        <v>238</v>
      </c>
    </row>
    <row r="45" ht="15.5" spans="17:49">
      <c r="Q45" s="42" t="s">
        <v>239</v>
      </c>
      <c r="R45" s="44" t="s">
        <v>240</v>
      </c>
      <c r="S45" s="45">
        <v>1211.3</v>
      </c>
      <c r="T45" s="45">
        <v>990.7</v>
      </c>
      <c r="U45" s="45">
        <v>952.4</v>
      </c>
      <c r="V45" s="45">
        <v>961</v>
      </c>
      <c r="W45" s="45">
        <v>958.7</v>
      </c>
      <c r="X45" s="45">
        <v>1030.2</v>
      </c>
      <c r="Y45" s="45">
        <v>586.1</v>
      </c>
      <c r="Z45" s="45">
        <v>775</v>
      </c>
    </row>
    <row r="46" ht="15.5" spans="17:49">
      <c r="Q46" s="42"/>
      <c r="R46" s="44" t="s">
        <v>241</v>
      </c>
      <c r="S46" s="45">
        <v>1103.7</v>
      </c>
      <c r="T46" s="45">
        <v>913.9</v>
      </c>
      <c r="U46" s="45">
        <v>881.1</v>
      </c>
      <c r="V46" s="45">
        <v>889.8</v>
      </c>
      <c r="W46" s="45">
        <v>886.2</v>
      </c>
      <c r="X46" s="45">
        <v>953.2</v>
      </c>
      <c r="Y46" s="45">
        <v>543.7</v>
      </c>
      <c r="Z46" s="45">
        <v>727.8</v>
      </c>
    </row>
    <row r="47" ht="15.5" spans="17:49">
      <c r="Q47" s="42"/>
      <c r="R47" s="44" t="s">
        <v>242</v>
      </c>
      <c r="S47" s="45">
        <v>267.3</v>
      </c>
      <c r="T47" s="45">
        <v>202.6</v>
      </c>
      <c r="U47" s="45">
        <v>191.3</v>
      </c>
      <c r="V47" s="45">
        <v>191.5</v>
      </c>
      <c r="W47" s="45">
        <v>185.9</v>
      </c>
      <c r="X47" s="45">
        <v>198.2</v>
      </c>
      <c r="Y47" s="45">
        <v>76.8</v>
      </c>
      <c r="Z47" s="45">
        <v>155.5</v>
      </c>
    </row>
    <row r="48" ht="15.5" spans="17:49">
      <c r="Q48" s="42"/>
      <c r="R48" s="44" t="s">
        <v>243</v>
      </c>
      <c r="S48" s="45">
        <v>692.5</v>
      </c>
      <c r="T48" s="45">
        <v>583.8</v>
      </c>
      <c r="U48" s="45">
        <v>556.1</v>
      </c>
      <c r="V48" s="45">
        <v>557.9</v>
      </c>
      <c r="W48" s="45">
        <v>550.5</v>
      </c>
      <c r="X48" s="45">
        <v>594.2</v>
      </c>
      <c r="Y48" s="45">
        <v>409.9</v>
      </c>
      <c r="Z48" s="45">
        <v>477</v>
      </c>
    </row>
    <row r="49" ht="15.5" spans="17:26">
      <c r="Q49" s="42"/>
      <c r="R49" s="44" t="s">
        <v>244</v>
      </c>
      <c r="S49" s="45">
        <v>144</v>
      </c>
      <c r="T49" s="45">
        <v>127.5</v>
      </c>
      <c r="U49" s="45">
        <v>133.7</v>
      </c>
      <c r="V49" s="45">
        <v>140.3</v>
      </c>
      <c r="W49" s="45">
        <v>149.9</v>
      </c>
      <c r="X49" s="45">
        <v>160.8</v>
      </c>
      <c r="Y49" s="45">
        <v>57</v>
      </c>
      <c r="Z49" s="45">
        <v>95.2</v>
      </c>
    </row>
    <row r="50" ht="15.5" spans="17:26">
      <c r="Q50" s="42" t="s">
        <v>245</v>
      </c>
      <c r="R50" s="44" t="s">
        <v>240</v>
      </c>
      <c r="S50" s="45">
        <v>1217.1</v>
      </c>
      <c r="T50" s="45">
        <v>996.4</v>
      </c>
      <c r="U50" s="45">
        <v>958.2</v>
      </c>
      <c r="V50" s="45">
        <v>966.8</v>
      </c>
      <c r="W50" s="45">
        <v>964.4</v>
      </c>
      <c r="X50" s="45">
        <v>1036</v>
      </c>
      <c r="Y50" s="45">
        <v>591.9</v>
      </c>
      <c r="Z50" s="45">
        <v>780.8</v>
      </c>
    </row>
    <row r="51" ht="15.5" spans="17:26">
      <c r="Q51" s="42"/>
      <c r="R51" s="44" t="s">
        <v>241</v>
      </c>
      <c r="S51" s="45">
        <v>1109.8</v>
      </c>
      <c r="T51" s="45">
        <v>920</v>
      </c>
      <c r="U51" s="45">
        <v>887.2</v>
      </c>
      <c r="V51" s="45">
        <v>895.9</v>
      </c>
      <c r="W51" s="45">
        <v>892.3</v>
      </c>
      <c r="X51" s="45">
        <v>959.3</v>
      </c>
      <c r="Y51" s="45">
        <v>549.8</v>
      </c>
      <c r="Z51" s="45">
        <v>733.9</v>
      </c>
    </row>
    <row r="52" ht="15.5" spans="17:26">
      <c r="Q52" s="42"/>
      <c r="R52" s="44" t="s">
        <v>242</v>
      </c>
      <c r="S52" s="45">
        <v>280.2</v>
      </c>
      <c r="T52" s="45">
        <v>215.6</v>
      </c>
      <c r="U52" s="45">
        <v>204.2</v>
      </c>
      <c r="V52" s="45">
        <v>204.5</v>
      </c>
      <c r="W52" s="45">
        <v>198.8</v>
      </c>
      <c r="X52" s="45">
        <v>211.1</v>
      </c>
      <c r="Y52" s="45">
        <v>89.8</v>
      </c>
      <c r="Z52" s="45">
        <v>168.5</v>
      </c>
    </row>
    <row r="53" ht="15.5" spans="17:26">
      <c r="Q53" s="42"/>
      <c r="R53" s="44" t="s">
        <v>243</v>
      </c>
      <c r="S53" s="45">
        <v>684.6</v>
      </c>
      <c r="T53" s="45">
        <v>575.9</v>
      </c>
      <c r="U53" s="45">
        <v>548.2</v>
      </c>
      <c r="V53" s="45">
        <v>550</v>
      </c>
      <c r="W53" s="45">
        <v>542.6</v>
      </c>
      <c r="X53" s="45">
        <v>586.3</v>
      </c>
      <c r="Y53" s="45">
        <v>402</v>
      </c>
      <c r="Z53" s="45">
        <v>469.1</v>
      </c>
    </row>
    <row r="54" ht="15.5" spans="17:26">
      <c r="Q54" s="42"/>
      <c r="R54" s="44" t="s">
        <v>244</v>
      </c>
      <c r="S54" s="45">
        <v>145</v>
      </c>
      <c r="T54" s="45">
        <v>128.5</v>
      </c>
      <c r="U54" s="45">
        <v>134.7</v>
      </c>
      <c r="V54" s="45">
        <v>141.3</v>
      </c>
      <c r="W54" s="45">
        <v>150.9</v>
      </c>
      <c r="X54" s="45">
        <v>161.9</v>
      </c>
      <c r="Y54" s="45">
        <v>58</v>
      </c>
      <c r="Z54" s="45">
        <v>96.3</v>
      </c>
    </row>
    <row r="55" ht="15.5" spans="17:26">
      <c r="Q55" s="42" t="s">
        <v>11</v>
      </c>
      <c r="R55" s="44" t="s">
        <v>240</v>
      </c>
      <c r="S55" s="45">
        <v>1222.2</v>
      </c>
      <c r="T55" s="45">
        <v>1001.5</v>
      </c>
      <c r="U55" s="45">
        <v>963.3</v>
      </c>
      <c r="V55" s="45">
        <v>971.9</v>
      </c>
      <c r="W55" s="45">
        <v>969.5</v>
      </c>
      <c r="X55" s="45">
        <v>1041.1</v>
      </c>
      <c r="Y55" s="45">
        <v>597</v>
      </c>
      <c r="Z55" s="45">
        <v>785.8</v>
      </c>
    </row>
    <row r="56" ht="15.5" spans="17:26">
      <c r="Q56" s="42"/>
      <c r="R56" s="44" t="s">
        <v>241</v>
      </c>
      <c r="S56" s="45">
        <v>1113.9</v>
      </c>
      <c r="T56" s="45">
        <v>924.1</v>
      </c>
      <c r="U56" s="45">
        <v>891.3</v>
      </c>
      <c r="V56" s="45">
        <v>900</v>
      </c>
      <c r="W56" s="45">
        <v>896.4</v>
      </c>
      <c r="X56" s="45">
        <v>963.4</v>
      </c>
      <c r="Y56" s="45">
        <v>553.9</v>
      </c>
      <c r="Z56" s="45">
        <v>738</v>
      </c>
    </row>
    <row r="57" ht="15.5" spans="17:26">
      <c r="Q57" s="42"/>
      <c r="R57" s="44" t="s">
        <v>242</v>
      </c>
      <c r="S57" s="45">
        <v>301.2</v>
      </c>
      <c r="T57" s="45">
        <v>236.6</v>
      </c>
      <c r="U57" s="45">
        <v>225.2</v>
      </c>
      <c r="V57" s="45">
        <v>225.5</v>
      </c>
      <c r="W57" s="45">
        <v>219.8</v>
      </c>
      <c r="X57" s="45">
        <v>232.2</v>
      </c>
      <c r="Y57" s="45">
        <v>110.8</v>
      </c>
      <c r="Z57" s="45">
        <v>189.5</v>
      </c>
    </row>
    <row r="58" ht="15.5" spans="17:26">
      <c r="Q58" s="42"/>
      <c r="R58" s="44" t="s">
        <v>243</v>
      </c>
      <c r="S58" s="45">
        <v>668.4</v>
      </c>
      <c r="T58" s="45">
        <v>559.8</v>
      </c>
      <c r="U58" s="45">
        <v>532.1</v>
      </c>
      <c r="V58" s="45">
        <v>533.9</v>
      </c>
      <c r="W58" s="45">
        <v>526.4</v>
      </c>
      <c r="X58" s="45">
        <v>570.2</v>
      </c>
      <c r="Y58" s="45">
        <v>385.8</v>
      </c>
      <c r="Z58" s="45">
        <v>453</v>
      </c>
    </row>
    <row r="59" ht="15.5" spans="17:26">
      <c r="Q59" s="42"/>
      <c r="R59" s="44" t="s">
        <v>244</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246</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231</v>
      </c>
      <c r="T64" s="43" t="s">
        <v>232</v>
      </c>
      <c r="U64" s="43" t="s">
        <v>233</v>
      </c>
      <c r="V64" s="43" t="s">
        <v>234</v>
      </c>
      <c r="W64" s="43" t="s">
        <v>235</v>
      </c>
      <c r="X64" s="43" t="s">
        <v>236</v>
      </c>
      <c r="Y64" s="43" t="s">
        <v>237</v>
      </c>
      <c r="Z64" s="43" t="s">
        <v>238</v>
      </c>
    </row>
    <row r="65" ht="14.5" spans="17:26">
      <c r="Q65" s="46" t="s">
        <v>239</v>
      </c>
      <c r="R65" s="46" t="s">
        <v>105</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242</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243</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244</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245</v>
      </c>
      <c r="R69" s="46" t="s">
        <v>105</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242</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243</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244</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105</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242</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243</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244</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247</v>
      </c>
      <c r="R79" s="46" t="s">
        <v>105</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242</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243</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244</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215</v>
      </c>
      <c r="S94" s="4" t="s">
        <v>215</v>
      </c>
      <c r="Y94" s="4" t="s">
        <v>215</v>
      </c>
      <c r="AE94" s="4" t="s">
        <v>215</v>
      </c>
      <c r="AK94" s="4" t="s">
        <v>215</v>
      </c>
      <c r="AQ94" s="4" t="s">
        <v>215</v>
      </c>
      <c r="AW94" s="4" t="s">
        <v>215</v>
      </c>
    </row>
    <row r="95" spans="11:51">
      <c r="K95" s="4" t="s">
        <v>120</v>
      </c>
      <c r="L95" s="4" t="s">
        <v>64</v>
      </c>
      <c r="M95" s="4" t="s">
        <v>95</v>
      </c>
      <c r="N95" s="4" t="s">
        <v>25</v>
      </c>
      <c r="O95" s="4" t="s">
        <v>41</v>
      </c>
      <c r="Q95" s="4" t="s">
        <v>120</v>
      </c>
      <c r="R95" s="4" t="s">
        <v>64</v>
      </c>
      <c r="S95" s="4" t="s">
        <v>95</v>
      </c>
      <c r="T95" s="4" t="s">
        <v>25</v>
      </c>
      <c r="U95" s="4" t="s">
        <v>41</v>
      </c>
      <c r="W95" s="4" t="s">
        <v>120</v>
      </c>
      <c r="X95" s="4" t="s">
        <v>64</v>
      </c>
      <c r="Y95" s="4" t="s">
        <v>95</v>
      </c>
      <c r="Z95" s="4" t="s">
        <v>25</v>
      </c>
      <c r="AA95" s="4" t="s">
        <v>41</v>
      </c>
      <c r="AC95" s="4" t="s">
        <v>120</v>
      </c>
      <c r="AD95" s="4" t="s">
        <v>64</v>
      </c>
      <c r="AE95" s="4" t="s">
        <v>95</v>
      </c>
      <c r="AF95" s="4" t="s">
        <v>25</v>
      </c>
      <c r="AG95" s="4" t="s">
        <v>41</v>
      </c>
      <c r="AI95" s="4" t="s">
        <v>120</v>
      </c>
      <c r="AJ95" s="4" t="s">
        <v>64</v>
      </c>
      <c r="AK95" s="4" t="s">
        <v>95</v>
      </c>
      <c r="AL95" s="4" t="s">
        <v>25</v>
      </c>
      <c r="AM95" s="4" t="s">
        <v>41</v>
      </c>
      <c r="AO95" s="4" t="s">
        <v>120</v>
      </c>
      <c r="AP95" s="4" t="s">
        <v>64</v>
      </c>
      <c r="AQ95" s="4" t="s">
        <v>95</v>
      </c>
      <c r="AR95" s="4" t="s">
        <v>25</v>
      </c>
      <c r="AS95" s="4" t="s">
        <v>41</v>
      </c>
      <c r="AU95" s="4" t="s">
        <v>120</v>
      </c>
      <c r="AV95" s="4" t="s">
        <v>64</v>
      </c>
      <c r="AW95" s="4" t="s">
        <v>95</v>
      </c>
      <c r="AX95" s="4" t="s">
        <v>25</v>
      </c>
      <c r="AY95" s="4" t="s">
        <v>41</v>
      </c>
    </row>
    <row r="96" spans="11:51">
      <c r="K96" s="4" t="s">
        <v>124</v>
      </c>
      <c r="L96" s="4" t="s">
        <v>216</v>
      </c>
      <c r="M96" s="4" t="s">
        <v>217</v>
      </c>
      <c r="N96" s="4">
        <f>SUM(M6:M9)</f>
        <v>0.9907</v>
      </c>
      <c r="O96" s="4" t="s">
        <v>248</v>
      </c>
      <c r="Q96" s="4" t="s">
        <v>124</v>
      </c>
      <c r="R96" s="4" t="s">
        <v>218</v>
      </c>
      <c r="S96" s="4" t="s">
        <v>217</v>
      </c>
      <c r="T96" s="4">
        <f>SUM(S6:S9)</f>
        <v>0.9524</v>
      </c>
      <c r="U96" s="4" t="s">
        <v>248</v>
      </c>
      <c r="W96" s="4" t="s">
        <v>124</v>
      </c>
      <c r="X96" s="4" t="s">
        <v>219</v>
      </c>
      <c r="Y96" s="4" t="s">
        <v>217</v>
      </c>
      <c r="Z96" s="4">
        <f>SUM(Y6:Y9)</f>
        <v>0.9609</v>
      </c>
      <c r="AA96" s="4" t="s">
        <v>248</v>
      </c>
      <c r="AC96" s="4" t="s">
        <v>124</v>
      </c>
      <c r="AD96" s="4" t="s">
        <v>220</v>
      </c>
      <c r="AE96" s="4" t="s">
        <v>217</v>
      </c>
      <c r="AF96" s="4">
        <f>SUM(AE6:AE9)</f>
        <v>0.9588</v>
      </c>
      <c r="AG96" s="4" t="s">
        <v>248</v>
      </c>
      <c r="AI96" s="4" t="s">
        <v>124</v>
      </c>
      <c r="AJ96" s="4" t="s">
        <v>221</v>
      </c>
      <c r="AK96" s="4" t="s">
        <v>217</v>
      </c>
      <c r="AL96" s="4">
        <f>SUM(AK6:AK9)</f>
        <v>1.0302</v>
      </c>
      <c r="AM96" s="4" t="s">
        <v>248</v>
      </c>
      <c r="AO96" s="4" t="s">
        <v>124</v>
      </c>
      <c r="AP96" s="4" t="s">
        <v>222</v>
      </c>
      <c r="AQ96" s="4" t="s">
        <v>217</v>
      </c>
      <c r="AR96" s="4">
        <f>SUM(AQ6:AQ9)</f>
        <v>0.5861</v>
      </c>
      <c r="AS96" s="4" t="s">
        <v>248</v>
      </c>
      <c r="AU96" s="4" t="s">
        <v>124</v>
      </c>
      <c r="AV96" s="4" t="s">
        <v>223</v>
      </c>
      <c r="AW96" s="4" t="s">
        <v>217</v>
      </c>
      <c r="AX96" s="4">
        <f>SUM(AW6:AW9)</f>
        <v>0.7749</v>
      </c>
      <c r="AY96" s="4" t="s">
        <v>248</v>
      </c>
    </row>
    <row r="97" spans="11:51">
      <c r="K97" s="4" t="s">
        <v>124</v>
      </c>
      <c r="L97" s="4" t="s">
        <v>216</v>
      </c>
      <c r="M97" s="4" t="s">
        <v>224</v>
      </c>
      <c r="N97" s="4">
        <v>0</v>
      </c>
      <c r="O97" s="4" t="s">
        <v>248</v>
      </c>
      <c r="Q97" s="4" t="s">
        <v>124</v>
      </c>
      <c r="R97" s="4" t="s">
        <v>218</v>
      </c>
      <c r="S97" s="4" t="s">
        <v>224</v>
      </c>
      <c r="T97" s="4">
        <v>0</v>
      </c>
      <c r="U97" s="4" t="s">
        <v>248</v>
      </c>
      <c r="W97" s="4" t="s">
        <v>124</v>
      </c>
      <c r="X97" s="4" t="s">
        <v>219</v>
      </c>
      <c r="Y97" s="4" t="s">
        <v>224</v>
      </c>
      <c r="Z97" s="4">
        <v>0</v>
      </c>
      <c r="AA97" s="4" t="s">
        <v>248</v>
      </c>
      <c r="AC97" s="4" t="s">
        <v>124</v>
      </c>
      <c r="AD97" s="4" t="s">
        <v>220</v>
      </c>
      <c r="AE97" s="4" t="s">
        <v>224</v>
      </c>
      <c r="AF97" s="4">
        <v>0</v>
      </c>
      <c r="AG97" s="4" t="s">
        <v>248</v>
      </c>
      <c r="AI97" s="4" t="s">
        <v>124</v>
      </c>
      <c r="AJ97" s="4" t="s">
        <v>221</v>
      </c>
      <c r="AK97" s="4" t="s">
        <v>224</v>
      </c>
      <c r="AL97" s="4">
        <v>0</v>
      </c>
      <c r="AM97" s="4" t="s">
        <v>248</v>
      </c>
      <c r="AO97" s="4" t="s">
        <v>124</v>
      </c>
      <c r="AP97" s="4" t="s">
        <v>222</v>
      </c>
      <c r="AQ97" s="4" t="s">
        <v>224</v>
      </c>
      <c r="AR97" s="4">
        <v>0</v>
      </c>
      <c r="AS97" s="4" t="s">
        <v>248</v>
      </c>
      <c r="AU97" s="4" t="s">
        <v>124</v>
      </c>
      <c r="AV97" s="4" t="s">
        <v>223</v>
      </c>
      <c r="AW97" s="4" t="s">
        <v>224</v>
      </c>
      <c r="AX97" s="4">
        <v>0</v>
      </c>
      <c r="AY97" s="4" t="s">
        <v>248</v>
      </c>
    </row>
    <row r="98" spans="11:51">
      <c r="K98" s="4" t="s">
        <v>124</v>
      </c>
      <c r="L98" s="4" t="s">
        <v>216</v>
      </c>
      <c r="M98" s="4" t="s">
        <v>225</v>
      </c>
      <c r="N98" s="4">
        <v>0</v>
      </c>
      <c r="O98" s="4" t="s">
        <v>248</v>
      </c>
      <c r="Q98" s="4" t="s">
        <v>124</v>
      </c>
      <c r="R98" s="4" t="s">
        <v>218</v>
      </c>
      <c r="S98" s="4" t="s">
        <v>225</v>
      </c>
      <c r="T98" s="4">
        <v>0</v>
      </c>
      <c r="U98" s="4" t="s">
        <v>248</v>
      </c>
      <c r="W98" s="4" t="s">
        <v>124</v>
      </c>
      <c r="X98" s="4" t="s">
        <v>219</v>
      </c>
      <c r="Y98" s="4" t="s">
        <v>225</v>
      </c>
      <c r="Z98" s="4">
        <v>0</v>
      </c>
      <c r="AA98" s="4" t="s">
        <v>248</v>
      </c>
      <c r="AC98" s="4" t="s">
        <v>124</v>
      </c>
      <c r="AD98" s="4" t="s">
        <v>220</v>
      </c>
      <c r="AE98" s="4" t="s">
        <v>225</v>
      </c>
      <c r="AF98" s="4">
        <v>0</v>
      </c>
      <c r="AG98" s="4" t="s">
        <v>248</v>
      </c>
      <c r="AI98" s="4" t="s">
        <v>124</v>
      </c>
      <c r="AJ98" s="4" t="s">
        <v>221</v>
      </c>
      <c r="AK98" s="4" t="s">
        <v>225</v>
      </c>
      <c r="AL98" s="4">
        <v>0</v>
      </c>
      <c r="AM98" s="4" t="s">
        <v>248</v>
      </c>
      <c r="AO98" s="4" t="s">
        <v>124</v>
      </c>
      <c r="AP98" s="4" t="s">
        <v>222</v>
      </c>
      <c r="AQ98" s="4" t="s">
        <v>225</v>
      </c>
      <c r="AR98" s="4">
        <v>0</v>
      </c>
      <c r="AS98" s="4" t="s">
        <v>248</v>
      </c>
      <c r="AU98" s="4" t="s">
        <v>124</v>
      </c>
      <c r="AV98" s="4" t="s">
        <v>223</v>
      </c>
      <c r="AW98" s="4" t="s">
        <v>225</v>
      </c>
      <c r="AX98" s="4">
        <v>0</v>
      </c>
      <c r="AY98" s="4" t="s">
        <v>248</v>
      </c>
    </row>
    <row r="99" spans="11:51">
      <c r="K99" s="4" t="s">
        <v>124</v>
      </c>
      <c r="L99" s="4" t="s">
        <v>216</v>
      </c>
      <c r="M99" s="4" t="s">
        <v>226</v>
      </c>
      <c r="N99" s="4">
        <v>0</v>
      </c>
      <c r="O99" s="4" t="s">
        <v>248</v>
      </c>
      <c r="Q99" s="4" t="s">
        <v>124</v>
      </c>
      <c r="R99" s="4" t="s">
        <v>218</v>
      </c>
      <c r="S99" s="4" t="s">
        <v>226</v>
      </c>
      <c r="T99" s="4">
        <v>0</v>
      </c>
      <c r="U99" s="4" t="s">
        <v>248</v>
      </c>
      <c r="W99" s="4" t="s">
        <v>124</v>
      </c>
      <c r="X99" s="4" t="s">
        <v>219</v>
      </c>
      <c r="Y99" s="4" t="s">
        <v>226</v>
      </c>
      <c r="Z99" s="4">
        <v>0</v>
      </c>
      <c r="AA99" s="4" t="s">
        <v>248</v>
      </c>
      <c r="AC99" s="4" t="s">
        <v>124</v>
      </c>
      <c r="AD99" s="4" t="s">
        <v>220</v>
      </c>
      <c r="AE99" s="4" t="s">
        <v>226</v>
      </c>
      <c r="AF99" s="4">
        <v>0</v>
      </c>
      <c r="AG99" s="4" t="s">
        <v>248</v>
      </c>
      <c r="AI99" s="4" t="s">
        <v>124</v>
      </c>
      <c r="AJ99" s="4" t="s">
        <v>221</v>
      </c>
      <c r="AK99" s="4" t="s">
        <v>226</v>
      </c>
      <c r="AL99" s="4">
        <v>0</v>
      </c>
      <c r="AM99" s="4" t="s">
        <v>248</v>
      </c>
      <c r="AO99" s="4" t="s">
        <v>124</v>
      </c>
      <c r="AP99" s="4" t="s">
        <v>222</v>
      </c>
      <c r="AQ99" s="4" t="s">
        <v>226</v>
      </c>
      <c r="AR99" s="4">
        <v>0</v>
      </c>
      <c r="AS99" s="4" t="s">
        <v>248</v>
      </c>
      <c r="AU99" s="4" t="s">
        <v>124</v>
      </c>
      <c r="AV99" s="4" t="s">
        <v>223</v>
      </c>
      <c r="AW99" s="4" t="s">
        <v>226</v>
      </c>
      <c r="AX99" s="4">
        <v>0</v>
      </c>
      <c r="AY99" s="4" t="s">
        <v>248</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215</v>
      </c>
      <c r="S114" s="4" t="s">
        <v>215</v>
      </c>
      <c r="Y114" s="4" t="s">
        <v>215</v>
      </c>
      <c r="AE114" s="4" t="s">
        <v>215</v>
      </c>
      <c r="AK114" s="4" t="s">
        <v>215</v>
      </c>
      <c r="AQ114" s="4" t="s">
        <v>215</v>
      </c>
      <c r="AW114" s="4" t="s">
        <v>215</v>
      </c>
    </row>
    <row r="115" spans="11:51">
      <c r="K115" s="4" t="s">
        <v>120</v>
      </c>
      <c r="L115" s="4" t="s">
        <v>64</v>
      </c>
      <c r="M115" s="4" t="s">
        <v>95</v>
      </c>
      <c r="N115" s="4" t="s">
        <v>11</v>
      </c>
      <c r="O115" s="4" t="s">
        <v>41</v>
      </c>
      <c r="Q115" s="4" t="s">
        <v>120</v>
      </c>
      <c r="R115" s="4" t="s">
        <v>64</v>
      </c>
      <c r="S115" s="4" t="s">
        <v>95</v>
      </c>
      <c r="T115" s="4" t="s">
        <v>11</v>
      </c>
      <c r="U115" s="4" t="s">
        <v>41</v>
      </c>
      <c r="W115" s="4" t="s">
        <v>120</v>
      </c>
      <c r="X115" s="4" t="s">
        <v>64</v>
      </c>
      <c r="Y115" s="4" t="s">
        <v>95</v>
      </c>
      <c r="Z115" s="4" t="s">
        <v>11</v>
      </c>
      <c r="AA115" s="4" t="s">
        <v>41</v>
      </c>
      <c r="AC115" s="4" t="s">
        <v>120</v>
      </c>
      <c r="AD115" s="4" t="s">
        <v>64</v>
      </c>
      <c r="AE115" s="4" t="s">
        <v>95</v>
      </c>
      <c r="AF115" s="4" t="s">
        <v>11</v>
      </c>
      <c r="AG115" s="4" t="s">
        <v>41</v>
      </c>
      <c r="AI115" s="4" t="s">
        <v>120</v>
      </c>
      <c r="AJ115" s="4" t="s">
        <v>64</v>
      </c>
      <c r="AK115" s="4" t="s">
        <v>95</v>
      </c>
      <c r="AL115" s="4" t="s">
        <v>11</v>
      </c>
      <c r="AM115" s="4" t="s">
        <v>41</v>
      </c>
      <c r="AO115" s="4" t="s">
        <v>120</v>
      </c>
      <c r="AP115" s="4" t="s">
        <v>64</v>
      </c>
      <c r="AQ115" s="4" t="s">
        <v>95</v>
      </c>
      <c r="AR115" s="4" t="s">
        <v>11</v>
      </c>
      <c r="AS115" s="4" t="s">
        <v>41</v>
      </c>
      <c r="AU115" s="4" t="s">
        <v>120</v>
      </c>
      <c r="AV115" s="4" t="s">
        <v>64</v>
      </c>
      <c r="AW115" s="4" t="s">
        <v>95</v>
      </c>
      <c r="AX115" s="4" t="s">
        <v>11</v>
      </c>
      <c r="AY115" s="4" t="s">
        <v>41</v>
      </c>
    </row>
    <row r="116" spans="11:51">
      <c r="K116" s="4" t="s">
        <v>124</v>
      </c>
      <c r="L116" s="4" t="s">
        <v>216</v>
      </c>
      <c r="M116" s="4" t="s">
        <v>217</v>
      </c>
      <c r="N116" s="4">
        <f>SUM(M26:M29)</f>
        <v>1.0015</v>
      </c>
      <c r="O116" s="4" t="s">
        <v>248</v>
      </c>
      <c r="Q116" s="4" t="s">
        <v>124</v>
      </c>
      <c r="R116" s="4" t="s">
        <v>218</v>
      </c>
      <c r="S116" s="4" t="s">
        <v>217</v>
      </c>
      <c r="T116" s="4">
        <f>SUM(S26:S29)</f>
        <v>0.9633</v>
      </c>
      <c r="U116" s="4" t="s">
        <v>248</v>
      </c>
      <c r="W116" s="4" t="s">
        <v>124</v>
      </c>
      <c r="X116" s="4" t="s">
        <v>219</v>
      </c>
      <c r="Y116" s="4" t="s">
        <v>217</v>
      </c>
      <c r="Z116" s="4">
        <f>SUM(Y26:Y29)</f>
        <v>0.9719</v>
      </c>
      <c r="AA116" s="4" t="s">
        <v>248</v>
      </c>
      <c r="AC116" s="4" t="s">
        <v>124</v>
      </c>
      <c r="AD116" s="4" t="s">
        <v>220</v>
      </c>
      <c r="AE116" s="4" t="s">
        <v>217</v>
      </c>
      <c r="AF116" s="4">
        <f>SUM(AE26:AE29)</f>
        <v>0.9695</v>
      </c>
      <c r="AG116" s="4" t="s">
        <v>248</v>
      </c>
      <c r="AI116" s="4" t="s">
        <v>124</v>
      </c>
      <c r="AJ116" s="4" t="s">
        <v>221</v>
      </c>
      <c r="AK116" s="4" t="s">
        <v>217</v>
      </c>
      <c r="AL116" s="4">
        <f>SUM(AK26:AK29)</f>
        <v>1.0412</v>
      </c>
      <c r="AM116" s="4" t="s">
        <v>248</v>
      </c>
      <c r="AO116" s="4" t="s">
        <v>124</v>
      </c>
      <c r="AP116" s="4" t="s">
        <v>222</v>
      </c>
      <c r="AQ116" s="4" t="s">
        <v>217</v>
      </c>
      <c r="AR116" s="4">
        <f>SUM(AQ26:AQ29)</f>
        <v>0.5969</v>
      </c>
      <c r="AS116" s="4" t="s">
        <v>248</v>
      </c>
      <c r="AU116" s="4" t="s">
        <v>124</v>
      </c>
      <c r="AV116" s="4" t="s">
        <v>223</v>
      </c>
      <c r="AW116" s="4" t="s">
        <v>217</v>
      </c>
      <c r="AX116" s="4">
        <f>SUM(AW26:AW29)</f>
        <v>0.7858</v>
      </c>
      <c r="AY116" s="4" t="s">
        <v>248</v>
      </c>
    </row>
    <row r="117" spans="11:51">
      <c r="K117" s="4" t="s">
        <v>124</v>
      </c>
      <c r="L117" s="4" t="s">
        <v>216</v>
      </c>
      <c r="M117" s="4" t="s">
        <v>224</v>
      </c>
      <c r="N117" s="4">
        <v>0</v>
      </c>
      <c r="O117" s="4" t="s">
        <v>248</v>
      </c>
      <c r="Q117" s="4" t="s">
        <v>124</v>
      </c>
      <c r="R117" s="4" t="s">
        <v>218</v>
      </c>
      <c r="S117" s="4" t="s">
        <v>224</v>
      </c>
      <c r="T117" s="4">
        <v>0</v>
      </c>
      <c r="U117" s="4" t="s">
        <v>248</v>
      </c>
      <c r="W117" s="4" t="s">
        <v>124</v>
      </c>
      <c r="X117" s="4" t="s">
        <v>219</v>
      </c>
      <c r="Y117" s="4" t="s">
        <v>224</v>
      </c>
      <c r="Z117" s="4">
        <v>0</v>
      </c>
      <c r="AA117" s="4" t="s">
        <v>248</v>
      </c>
      <c r="AC117" s="4" t="s">
        <v>124</v>
      </c>
      <c r="AD117" s="4" t="s">
        <v>220</v>
      </c>
      <c r="AE117" s="4" t="s">
        <v>224</v>
      </c>
      <c r="AF117" s="4">
        <v>0</v>
      </c>
      <c r="AG117" s="4" t="s">
        <v>248</v>
      </c>
      <c r="AI117" s="4" t="s">
        <v>124</v>
      </c>
      <c r="AJ117" s="4" t="s">
        <v>221</v>
      </c>
      <c r="AK117" s="4" t="s">
        <v>224</v>
      </c>
      <c r="AL117" s="4">
        <v>0</v>
      </c>
      <c r="AM117" s="4" t="s">
        <v>248</v>
      </c>
      <c r="AO117" s="4" t="s">
        <v>124</v>
      </c>
      <c r="AP117" s="4" t="s">
        <v>222</v>
      </c>
      <c r="AQ117" s="4" t="s">
        <v>224</v>
      </c>
      <c r="AR117" s="4">
        <v>0</v>
      </c>
      <c r="AS117" s="4" t="s">
        <v>248</v>
      </c>
      <c r="AU117" s="4" t="s">
        <v>124</v>
      </c>
      <c r="AV117" s="4" t="s">
        <v>223</v>
      </c>
      <c r="AW117" s="4" t="s">
        <v>224</v>
      </c>
      <c r="AX117" s="4">
        <v>0</v>
      </c>
      <c r="AY117" s="4" t="s">
        <v>248</v>
      </c>
    </row>
    <row r="118" spans="11:51">
      <c r="K118" s="4" t="s">
        <v>124</v>
      </c>
      <c r="L118" s="4" t="s">
        <v>216</v>
      </c>
      <c r="M118" s="4" t="s">
        <v>225</v>
      </c>
      <c r="N118" s="4">
        <v>0</v>
      </c>
      <c r="O118" s="4" t="s">
        <v>248</v>
      </c>
      <c r="Q118" s="4" t="s">
        <v>124</v>
      </c>
      <c r="R118" s="4" t="s">
        <v>218</v>
      </c>
      <c r="S118" s="4" t="s">
        <v>225</v>
      </c>
      <c r="T118" s="4">
        <v>0</v>
      </c>
      <c r="U118" s="4" t="s">
        <v>248</v>
      </c>
      <c r="W118" s="4" t="s">
        <v>124</v>
      </c>
      <c r="X118" s="4" t="s">
        <v>219</v>
      </c>
      <c r="Y118" s="4" t="s">
        <v>225</v>
      </c>
      <c r="Z118" s="4">
        <v>0</v>
      </c>
      <c r="AA118" s="4" t="s">
        <v>248</v>
      </c>
      <c r="AC118" s="4" t="s">
        <v>124</v>
      </c>
      <c r="AD118" s="4" t="s">
        <v>220</v>
      </c>
      <c r="AE118" s="4" t="s">
        <v>225</v>
      </c>
      <c r="AF118" s="4">
        <v>0</v>
      </c>
      <c r="AG118" s="4" t="s">
        <v>248</v>
      </c>
      <c r="AI118" s="4" t="s">
        <v>124</v>
      </c>
      <c r="AJ118" s="4" t="s">
        <v>221</v>
      </c>
      <c r="AK118" s="4" t="s">
        <v>225</v>
      </c>
      <c r="AL118" s="4">
        <v>0</v>
      </c>
      <c r="AM118" s="4" t="s">
        <v>248</v>
      </c>
      <c r="AO118" s="4" t="s">
        <v>124</v>
      </c>
      <c r="AP118" s="4" t="s">
        <v>222</v>
      </c>
      <c r="AQ118" s="4" t="s">
        <v>225</v>
      </c>
      <c r="AR118" s="4">
        <v>0</v>
      </c>
      <c r="AS118" s="4" t="s">
        <v>248</v>
      </c>
      <c r="AU118" s="4" t="s">
        <v>124</v>
      </c>
      <c r="AV118" s="4" t="s">
        <v>223</v>
      </c>
      <c r="AW118" s="4" t="s">
        <v>225</v>
      </c>
      <c r="AX118" s="4">
        <v>0</v>
      </c>
      <c r="AY118" s="4" t="s">
        <v>248</v>
      </c>
    </row>
    <row r="119" spans="11:51">
      <c r="K119" s="4" t="s">
        <v>124</v>
      </c>
      <c r="L119" s="4" t="s">
        <v>216</v>
      </c>
      <c r="M119" s="4" t="s">
        <v>226</v>
      </c>
      <c r="N119" s="4">
        <v>0</v>
      </c>
      <c r="O119" s="4" t="s">
        <v>248</v>
      </c>
      <c r="Q119" s="4" t="s">
        <v>124</v>
      </c>
      <c r="R119" s="4" t="s">
        <v>218</v>
      </c>
      <c r="S119" s="4" t="s">
        <v>226</v>
      </c>
      <c r="T119" s="4">
        <v>0</v>
      </c>
      <c r="U119" s="4" t="s">
        <v>248</v>
      </c>
      <c r="W119" s="4" t="s">
        <v>124</v>
      </c>
      <c r="X119" s="4" t="s">
        <v>219</v>
      </c>
      <c r="Y119" s="4" t="s">
        <v>226</v>
      </c>
      <c r="Z119" s="4">
        <v>0</v>
      </c>
      <c r="AA119" s="4" t="s">
        <v>248</v>
      </c>
      <c r="AC119" s="4" t="s">
        <v>124</v>
      </c>
      <c r="AD119" s="4" t="s">
        <v>220</v>
      </c>
      <c r="AE119" s="4" t="s">
        <v>226</v>
      </c>
      <c r="AF119" s="4">
        <v>0</v>
      </c>
      <c r="AG119" s="4" t="s">
        <v>248</v>
      </c>
      <c r="AI119" s="4" t="s">
        <v>124</v>
      </c>
      <c r="AJ119" s="4" t="s">
        <v>221</v>
      </c>
      <c r="AK119" s="4" t="s">
        <v>226</v>
      </c>
      <c r="AL119" s="4">
        <v>0</v>
      </c>
      <c r="AM119" s="4" t="s">
        <v>248</v>
      </c>
      <c r="AO119" s="4" t="s">
        <v>124</v>
      </c>
      <c r="AP119" s="4" t="s">
        <v>222</v>
      </c>
      <c r="AQ119" s="4" t="s">
        <v>226</v>
      </c>
      <c r="AR119" s="4">
        <v>0</v>
      </c>
      <c r="AS119" s="4" t="s">
        <v>248</v>
      </c>
      <c r="AU119" s="4" t="s">
        <v>124</v>
      </c>
      <c r="AV119" s="4" t="s">
        <v>223</v>
      </c>
      <c r="AW119" s="4" t="s">
        <v>226</v>
      </c>
      <c r="AX119" s="4">
        <v>0</v>
      </c>
      <c r="AY119" s="4" t="s">
        <v>248</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249</v>
      </c>
      <c r="B1" s="5"/>
      <c r="C1" s="5"/>
      <c r="D1" s="5"/>
      <c r="E1" s="5"/>
      <c r="F1" s="5"/>
      <c r="G1" s="5"/>
      <c r="H1" s="5"/>
      <c r="I1" s="5"/>
      <c r="J1" s="5"/>
      <c r="K1" s="6"/>
      <c r="L1" s="6" t="s">
        <v>250</v>
      </c>
      <c r="M1" s="6"/>
      <c r="N1" s="6"/>
      <c r="O1" s="6"/>
      <c r="P1" s="6"/>
      <c r="Q1" s="6"/>
      <c r="R1" s="6"/>
      <c r="S1" s="6"/>
      <c r="T1" s="6"/>
      <c r="U1" s="6"/>
      <c r="V1" s="6"/>
      <c r="W1" s="6" t="s">
        <v>251</v>
      </c>
      <c r="X1" s="6"/>
      <c r="Y1" s="6"/>
      <c r="Z1" s="6"/>
      <c r="AA1" s="6"/>
      <c r="AB1" s="7" t="s">
        <v>252</v>
      </c>
      <c r="AC1" s="7"/>
      <c r="AD1" s="6"/>
      <c r="AE1" s="6"/>
      <c r="AF1" s="6" t="s">
        <v>253</v>
      </c>
      <c r="AG1" s="6"/>
      <c r="AH1" s="6"/>
      <c r="AI1" s="6"/>
      <c r="AJ1" s="6"/>
      <c r="AK1" s="6"/>
      <c r="AL1" s="6"/>
      <c r="AM1" s="6"/>
      <c r="AN1" s="6"/>
      <c r="AO1" s="6" t="s">
        <v>254</v>
      </c>
      <c r="AP1" s="6"/>
      <c r="AQ1" s="6"/>
      <c r="AR1" s="6"/>
      <c r="AS1" s="6"/>
      <c r="AT1" s="6"/>
      <c r="AU1" s="6"/>
      <c r="AZ1" s="5" t="s">
        <v>249</v>
      </c>
      <c r="BA1" s="5"/>
      <c r="BB1" s="5"/>
      <c r="BC1" s="5"/>
      <c r="BD1" s="5"/>
      <c r="BE1" s="5"/>
      <c r="BF1" s="5"/>
      <c r="BG1" s="5"/>
      <c r="BH1" s="5"/>
      <c r="BI1" s="5"/>
      <c r="BJ1" s="6"/>
      <c r="BK1" s="6"/>
      <c r="BL1" s="6"/>
      <c r="BM1" s="6"/>
      <c r="BN1" s="6"/>
      <c r="BO1" s="6"/>
    </row>
    <row r="2" ht="30" spans="1:67">
      <c r="A2" s="5" t="s">
        <v>228</v>
      </c>
      <c r="B2" s="5" t="s">
        <v>255</v>
      </c>
      <c r="C2" s="5" t="s">
        <v>230</v>
      </c>
      <c r="D2" s="5"/>
      <c r="E2" s="5"/>
      <c r="F2" s="5"/>
      <c r="G2" s="5"/>
      <c r="H2" s="5"/>
      <c r="I2" s="5"/>
      <c r="J2" s="5"/>
      <c r="K2" s="6"/>
      <c r="L2" s="6"/>
      <c r="M2" s="6"/>
      <c r="N2" s="6"/>
      <c r="O2" s="6"/>
      <c r="P2" s="6"/>
      <c r="Q2" s="6"/>
      <c r="R2" s="6"/>
      <c r="S2" s="6"/>
      <c r="T2" s="6"/>
      <c r="U2" s="6"/>
      <c r="V2" s="8" t="s">
        <v>256</v>
      </c>
      <c r="W2" s="6"/>
      <c r="X2" s="6"/>
      <c r="Y2" s="6"/>
      <c r="Z2" s="6"/>
      <c r="AA2" s="6"/>
      <c r="AB2" s="6"/>
      <c r="AC2" s="6"/>
      <c r="AD2" s="6"/>
      <c r="AE2" s="6"/>
      <c r="AF2" s="6"/>
      <c r="AG2" s="6"/>
      <c r="AH2" s="6"/>
      <c r="AI2" s="6"/>
      <c r="AJ2" s="6"/>
      <c r="AK2" s="6"/>
      <c r="AL2" s="6"/>
      <c r="AM2" s="6"/>
      <c r="AN2" s="6"/>
      <c r="AO2" s="6"/>
      <c r="AP2" s="6"/>
      <c r="AQ2" s="6"/>
      <c r="AR2" s="6"/>
      <c r="AS2" s="6"/>
      <c r="AT2" s="6"/>
      <c r="AU2" s="6"/>
      <c r="AZ2" s="5" t="s">
        <v>228</v>
      </c>
      <c r="BA2" s="5" t="s">
        <v>255</v>
      </c>
      <c r="BB2" s="5" t="s">
        <v>230</v>
      </c>
      <c r="BC2" s="5"/>
      <c r="BD2" s="5"/>
      <c r="BE2" s="5"/>
      <c r="BF2" s="5"/>
      <c r="BG2" s="5"/>
      <c r="BH2" s="5"/>
      <c r="BI2" s="5"/>
      <c r="BJ2" s="6"/>
      <c r="BK2" s="6"/>
      <c r="BL2" s="6"/>
      <c r="BM2" s="6"/>
      <c r="BN2" s="6"/>
      <c r="BO2" s="6"/>
    </row>
    <row r="3" ht="30" spans="1:67">
      <c r="A3" s="5"/>
      <c r="B3" s="5"/>
      <c r="C3" s="9" t="s">
        <v>231</v>
      </c>
      <c r="D3" s="6" t="s">
        <v>232</v>
      </c>
      <c r="E3" s="6" t="s">
        <v>233</v>
      </c>
      <c r="F3" s="10" t="s">
        <v>234</v>
      </c>
      <c r="G3" s="6" t="s">
        <v>235</v>
      </c>
      <c r="H3" s="6" t="s">
        <v>236</v>
      </c>
      <c r="I3" s="6" t="s">
        <v>237</v>
      </c>
      <c r="J3" s="6" t="s">
        <v>238</v>
      </c>
      <c r="K3" s="6"/>
      <c r="L3" s="11" t="s">
        <v>231</v>
      </c>
      <c r="M3" s="6" t="s">
        <v>232</v>
      </c>
      <c r="N3" s="6" t="s">
        <v>233</v>
      </c>
      <c r="O3" s="6" t="s">
        <v>234</v>
      </c>
      <c r="P3" s="6" t="s">
        <v>235</v>
      </c>
      <c r="Q3" s="6" t="s">
        <v>236</v>
      </c>
      <c r="R3" s="6" t="s">
        <v>237</v>
      </c>
      <c r="S3" s="6" t="s">
        <v>238</v>
      </c>
      <c r="T3" s="6"/>
      <c r="U3" s="6"/>
      <c r="V3" s="8" t="s">
        <v>257</v>
      </c>
      <c r="W3" s="6" t="s">
        <v>232</v>
      </c>
      <c r="X3" s="6" t="s">
        <v>233</v>
      </c>
      <c r="Y3" s="10" t="s">
        <v>234</v>
      </c>
      <c r="Z3" s="6" t="s">
        <v>235</v>
      </c>
      <c r="AA3" s="6" t="s">
        <v>236</v>
      </c>
      <c r="AB3" s="12" t="s">
        <v>237</v>
      </c>
      <c r="AC3" s="12" t="s">
        <v>238</v>
      </c>
      <c r="AD3" s="6"/>
      <c r="AE3" s="6"/>
      <c r="AF3" s="6" t="s">
        <v>232</v>
      </c>
      <c r="AG3" s="6" t="s">
        <v>233</v>
      </c>
      <c r="AH3" s="10" t="s">
        <v>234</v>
      </c>
      <c r="AI3" s="6" t="s">
        <v>235</v>
      </c>
      <c r="AJ3" s="6" t="s">
        <v>236</v>
      </c>
      <c r="AK3" s="12" t="s">
        <v>237</v>
      </c>
      <c r="AL3" s="12" t="s">
        <v>238</v>
      </c>
      <c r="AM3" s="6"/>
      <c r="AN3" s="6"/>
      <c r="AO3" s="6" t="s">
        <v>232</v>
      </c>
      <c r="AP3" s="6" t="s">
        <v>233</v>
      </c>
      <c r="AQ3" s="10" t="s">
        <v>234</v>
      </c>
      <c r="AR3" s="6" t="s">
        <v>235</v>
      </c>
      <c r="AS3" s="6" t="s">
        <v>236</v>
      </c>
      <c r="AT3" s="12" t="s">
        <v>237</v>
      </c>
      <c r="AU3" s="12" t="s">
        <v>238</v>
      </c>
      <c r="AZ3" s="5"/>
      <c r="BA3" s="5"/>
      <c r="BB3" s="9" t="s">
        <v>231</v>
      </c>
      <c r="BC3" s="6" t="s">
        <v>232</v>
      </c>
      <c r="BD3" s="6" t="s">
        <v>233</v>
      </c>
      <c r="BE3" s="10" t="s">
        <v>234</v>
      </c>
      <c r="BF3" s="6" t="s">
        <v>235</v>
      </c>
      <c r="BG3" s="6" t="s">
        <v>236</v>
      </c>
      <c r="BH3" s="6" t="s">
        <v>237</v>
      </c>
      <c r="BI3" s="6" t="s">
        <v>238</v>
      </c>
      <c r="BJ3" s="6"/>
      <c r="BK3" s="11"/>
      <c r="BL3" s="6"/>
      <c r="BM3" s="6"/>
      <c r="BN3" s="6"/>
      <c r="BO3" s="6"/>
    </row>
    <row r="4" ht="15.5" spans="1:67">
      <c r="A4" s="5" t="s">
        <v>239</v>
      </c>
      <c r="B4" s="13" t="s">
        <v>240</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239</v>
      </c>
      <c r="V4" s="13" t="s">
        <v>240</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239</v>
      </c>
      <c r="BA4" s="13" t="s">
        <v>240</v>
      </c>
      <c r="BB4" s="14">
        <v>837.4</v>
      </c>
      <c r="BC4" s="16">
        <v>808.1</v>
      </c>
      <c r="BD4" s="16">
        <v>770.5</v>
      </c>
      <c r="BE4" s="16">
        <v>760</v>
      </c>
      <c r="BF4" s="16">
        <v>755.1</v>
      </c>
      <c r="BG4" s="16">
        <v>796</v>
      </c>
      <c r="BH4" s="16">
        <v>760</v>
      </c>
      <c r="BI4" s="16">
        <v>760</v>
      </c>
      <c r="BJ4" s="6"/>
      <c r="BK4" s="11"/>
      <c r="BL4" s="15"/>
      <c r="BM4" s="15"/>
      <c r="BN4" s="15"/>
      <c r="BO4" s="15"/>
    </row>
    <row r="5" ht="15.5" spans="1:67">
      <c r="A5" s="5"/>
      <c r="B5" s="13" t="s">
        <v>241</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241</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241</v>
      </c>
      <c r="BB5" s="14">
        <v>770.1</v>
      </c>
      <c r="BC5" s="16">
        <v>745.7</v>
      </c>
      <c r="BD5" s="16">
        <v>711.5</v>
      </c>
      <c r="BE5" s="16">
        <v>702.1</v>
      </c>
      <c r="BF5" s="16">
        <v>694.8</v>
      </c>
      <c r="BG5" s="16">
        <v>733.8</v>
      </c>
      <c r="BH5" s="16">
        <v>702.1</v>
      </c>
      <c r="BI5" s="16">
        <v>702.1</v>
      </c>
      <c r="BJ5" s="6"/>
      <c r="BK5" s="6"/>
      <c r="BL5" s="19"/>
      <c r="BM5" s="19"/>
      <c r="BN5" s="19"/>
      <c r="BO5" s="19"/>
    </row>
    <row r="6" ht="15.5" spans="1:67">
      <c r="A6" s="5"/>
      <c r="B6" s="13" t="s">
        <v>242</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242</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242</v>
      </c>
      <c r="BB6" s="14">
        <v>198.6</v>
      </c>
      <c r="BC6" s="16">
        <v>171.7</v>
      </c>
      <c r="BD6" s="16">
        <v>161.1</v>
      </c>
      <c r="BE6" s="16">
        <v>157.9</v>
      </c>
      <c r="BF6" s="16">
        <v>152.1</v>
      </c>
      <c r="BG6" s="16">
        <v>158.8</v>
      </c>
      <c r="BH6" s="16">
        <v>157.9</v>
      </c>
      <c r="BI6" s="16">
        <v>157.9</v>
      </c>
      <c r="BJ6" s="6"/>
      <c r="BK6" s="6"/>
      <c r="BL6" s="19"/>
      <c r="BM6" s="19"/>
      <c r="BN6" s="19"/>
      <c r="BO6" s="19"/>
    </row>
    <row r="7" ht="15.5" spans="1:67">
      <c r="A7" s="5"/>
      <c r="B7" s="13" t="s">
        <v>243</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243</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243</v>
      </c>
      <c r="BB7" s="14">
        <v>487</v>
      </c>
      <c r="BC7" s="16">
        <v>496.7</v>
      </c>
      <c r="BD7" s="16">
        <v>475.8</v>
      </c>
      <c r="BE7" s="16">
        <v>470.5</v>
      </c>
      <c r="BF7" s="16">
        <v>466.5</v>
      </c>
      <c r="BG7" s="16">
        <v>496</v>
      </c>
      <c r="BH7" s="16">
        <v>470.5</v>
      </c>
      <c r="BI7" s="16">
        <v>470.5</v>
      </c>
      <c r="BJ7" s="6"/>
      <c r="BK7" s="6"/>
      <c r="BL7" s="19"/>
      <c r="BM7" s="19"/>
      <c r="BN7" s="19"/>
      <c r="BO7" s="19"/>
    </row>
    <row r="8" ht="15.5" spans="1:67">
      <c r="A8" s="5"/>
      <c r="B8" s="13" t="s">
        <v>244</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244</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244</v>
      </c>
      <c r="BB8" s="14">
        <v>84.5</v>
      </c>
      <c r="BC8" s="16">
        <v>77.3</v>
      </c>
      <c r="BD8" s="16">
        <v>74.5</v>
      </c>
      <c r="BE8" s="16">
        <v>73.6</v>
      </c>
      <c r="BF8" s="16">
        <v>76.1</v>
      </c>
      <c r="BG8" s="16">
        <v>78.9</v>
      </c>
      <c r="BH8" s="16">
        <v>73.6</v>
      </c>
      <c r="BI8" s="16">
        <v>73.6</v>
      </c>
      <c r="BJ8" s="6"/>
      <c r="BK8" s="6"/>
      <c r="BL8" s="19"/>
      <c r="BM8" s="19"/>
      <c r="BN8" s="19"/>
      <c r="BO8" s="19"/>
    </row>
    <row r="9" ht="15.5" spans="1:67">
      <c r="A9" s="5" t="s">
        <v>245</v>
      </c>
      <c r="B9" s="13" t="s">
        <v>240</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245</v>
      </c>
      <c r="V9" s="13" t="s">
        <v>240</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245</v>
      </c>
      <c r="BA9" s="13" t="s">
        <v>240</v>
      </c>
      <c r="BB9" s="14">
        <v>855</v>
      </c>
      <c r="BC9" s="16">
        <v>824.1</v>
      </c>
      <c r="BD9" s="16">
        <v>785.7</v>
      </c>
      <c r="BE9" s="16">
        <v>775</v>
      </c>
      <c r="BF9" s="16">
        <v>770.2</v>
      </c>
      <c r="BG9" s="16">
        <v>811.6</v>
      </c>
      <c r="BH9" s="16">
        <v>775</v>
      </c>
      <c r="BI9" s="16">
        <v>775</v>
      </c>
      <c r="BJ9" s="6"/>
      <c r="BK9" s="6"/>
      <c r="BL9" s="19"/>
      <c r="BM9" s="19"/>
      <c r="BN9" s="19"/>
      <c r="BO9" s="19"/>
    </row>
    <row r="10" ht="15.5" spans="1:67">
      <c r="A10" s="5"/>
      <c r="B10" s="13" t="s">
        <v>241</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241</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241</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242</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242</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242</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243</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243</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243</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244</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244</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244</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240</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240</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240</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241</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241</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241</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242</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242</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242</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243</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243</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243</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244</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244</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244</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258</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258</v>
      </c>
      <c r="BA21" s="5"/>
      <c r="BB21" s="5"/>
      <c r="BC21" s="5"/>
      <c r="BD21" s="5"/>
      <c r="BE21" s="5"/>
      <c r="BF21" s="5"/>
      <c r="BG21" s="5"/>
      <c r="BH21" s="5"/>
      <c r="BI21" s="5"/>
      <c r="BJ21" s="6"/>
      <c r="BK21" s="6"/>
      <c r="BL21" s="6"/>
      <c r="BM21" s="6"/>
      <c r="BN21" s="6"/>
      <c r="BO21" s="6"/>
    </row>
    <row r="22" ht="15.5" spans="1:67">
      <c r="A22" s="5" t="s">
        <v>228</v>
      </c>
      <c r="B22" s="5" t="s">
        <v>259</v>
      </c>
      <c r="C22" s="5" t="s">
        <v>230</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228</v>
      </c>
      <c r="BA22" s="5" t="s">
        <v>259</v>
      </c>
      <c r="BB22" s="5" t="s">
        <v>230</v>
      </c>
      <c r="BC22" s="5"/>
      <c r="BD22" s="5"/>
      <c r="BE22" s="5"/>
      <c r="BF22" s="5"/>
      <c r="BG22" s="5"/>
      <c r="BH22" s="5"/>
      <c r="BI22" s="5"/>
      <c r="BJ22" s="6"/>
      <c r="BK22" s="6"/>
      <c r="BL22" s="6"/>
      <c r="BM22" s="6"/>
      <c r="BN22" s="6"/>
      <c r="BO22" s="6"/>
    </row>
    <row r="23" ht="30" spans="1:67">
      <c r="A23" s="5"/>
      <c r="B23" s="5"/>
      <c r="C23" s="9" t="s">
        <v>231</v>
      </c>
      <c r="D23" s="6" t="s">
        <v>232</v>
      </c>
      <c r="E23" s="6" t="s">
        <v>233</v>
      </c>
      <c r="F23" s="10" t="s">
        <v>234</v>
      </c>
      <c r="G23" s="6" t="s">
        <v>235</v>
      </c>
      <c r="H23" s="6" t="s">
        <v>236</v>
      </c>
      <c r="I23" s="6" t="s">
        <v>237</v>
      </c>
      <c r="J23" s="6" t="s">
        <v>238</v>
      </c>
      <c r="K23" s="6"/>
      <c r="L23" s="6"/>
      <c r="M23" s="6" t="s">
        <v>232</v>
      </c>
      <c r="N23" s="6" t="s">
        <v>233</v>
      </c>
      <c r="O23" s="6" t="s">
        <v>234</v>
      </c>
      <c r="P23" s="6" t="s">
        <v>235</v>
      </c>
      <c r="Q23" s="6" t="s">
        <v>236</v>
      </c>
      <c r="R23" s="6" t="s">
        <v>237</v>
      </c>
      <c r="S23" s="6" t="s">
        <v>238</v>
      </c>
      <c r="T23" s="6"/>
      <c r="U23" s="6"/>
      <c r="V23" s="8" t="s">
        <v>257</v>
      </c>
      <c r="W23" s="6" t="s">
        <v>232</v>
      </c>
      <c r="X23" s="6" t="s">
        <v>233</v>
      </c>
      <c r="Y23" s="10" t="s">
        <v>234</v>
      </c>
      <c r="Z23" s="6" t="s">
        <v>235</v>
      </c>
      <c r="AA23" s="6" t="s">
        <v>236</v>
      </c>
      <c r="AB23" s="12" t="s">
        <v>237</v>
      </c>
      <c r="AC23" s="12" t="s">
        <v>238</v>
      </c>
      <c r="AD23" s="6"/>
      <c r="AE23" s="6"/>
      <c r="AF23" s="6" t="s">
        <v>232</v>
      </c>
      <c r="AG23" s="6" t="s">
        <v>233</v>
      </c>
      <c r="AH23" s="10" t="s">
        <v>234</v>
      </c>
      <c r="AI23" s="6" t="s">
        <v>235</v>
      </c>
      <c r="AJ23" s="6" t="s">
        <v>236</v>
      </c>
      <c r="AK23" s="12" t="s">
        <v>237</v>
      </c>
      <c r="AL23" s="12" t="s">
        <v>238</v>
      </c>
      <c r="AM23" s="6"/>
      <c r="AN23" s="6"/>
      <c r="AO23" s="6" t="s">
        <v>232</v>
      </c>
      <c r="AP23" s="6" t="s">
        <v>233</v>
      </c>
      <c r="AQ23" s="10" t="s">
        <v>234</v>
      </c>
      <c r="AR23" s="6" t="s">
        <v>235</v>
      </c>
      <c r="AS23" s="6" t="s">
        <v>236</v>
      </c>
      <c r="AT23" s="12" t="s">
        <v>237</v>
      </c>
      <c r="AU23" s="12" t="s">
        <v>238</v>
      </c>
      <c r="AZ23" s="5"/>
      <c r="BA23" s="5"/>
      <c r="BB23" s="9" t="s">
        <v>231</v>
      </c>
      <c r="BC23" s="6" t="s">
        <v>232</v>
      </c>
      <c r="BD23" s="6" t="s">
        <v>233</v>
      </c>
      <c r="BE23" s="10" t="s">
        <v>234</v>
      </c>
      <c r="BF23" s="6" t="s">
        <v>235</v>
      </c>
      <c r="BG23" s="6" t="s">
        <v>236</v>
      </c>
      <c r="BH23" s="6" t="s">
        <v>237</v>
      </c>
      <c r="BI23" s="6" t="s">
        <v>238</v>
      </c>
      <c r="BJ23" s="6"/>
      <c r="BK23" s="6"/>
      <c r="BL23" s="6"/>
      <c r="BM23" s="6"/>
      <c r="BN23" s="6"/>
      <c r="BO23" s="6"/>
    </row>
    <row r="24" ht="15.5" spans="1:67">
      <c r="A24" s="5" t="s">
        <v>239</v>
      </c>
      <c r="B24" s="13" t="s">
        <v>240</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239</v>
      </c>
      <c r="V24" s="13" t="s">
        <v>240</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239</v>
      </c>
      <c r="BA24" s="13" t="s">
        <v>240</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241</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241</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241</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242</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242</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242</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243</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243</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243</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244</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244</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244</v>
      </c>
      <c r="BB28" s="14">
        <v>85</v>
      </c>
      <c r="BC28" s="16">
        <v>78.6</v>
      </c>
      <c r="BD28" s="16">
        <v>76.3</v>
      </c>
      <c r="BE28" s="16">
        <v>75.9</v>
      </c>
      <c r="BF28" s="16">
        <v>73.7</v>
      </c>
      <c r="BG28" s="16">
        <v>76</v>
      </c>
      <c r="BH28" s="16">
        <v>75.9</v>
      </c>
      <c r="BI28" s="16">
        <v>75.9</v>
      </c>
      <c r="BJ28" s="6"/>
      <c r="BK28" s="6"/>
      <c r="BL28" s="19"/>
      <c r="BM28" s="19"/>
      <c r="BN28" s="19"/>
      <c r="BO28" s="19"/>
    </row>
    <row r="29" ht="15.5" spans="1:67">
      <c r="A29" s="5" t="s">
        <v>245</v>
      </c>
      <c r="B29" s="13" t="s">
        <v>240</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245</v>
      </c>
      <c r="V29" s="13" t="s">
        <v>240</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245</v>
      </c>
      <c r="BA29" s="13" t="s">
        <v>240</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241</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241</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241</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242</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242</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242</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243</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243</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243</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244</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244</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244</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240</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240</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240</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241</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241</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241</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242</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242</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242</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243</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243</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243</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244</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244</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244</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260</v>
      </c>
      <c r="B41" s="5"/>
      <c r="C41" s="5"/>
      <c r="D41" s="5"/>
      <c r="E41" s="5"/>
      <c r="F41" s="5"/>
      <c r="G41" s="5"/>
      <c r="H41" s="5"/>
      <c r="I41" s="5"/>
      <c r="J41" s="5"/>
      <c r="K41" s="6"/>
      <c r="L41" s="6"/>
      <c r="M41" s="6"/>
      <c r="N41" s="6"/>
      <c r="O41" s="6"/>
      <c r="P41" s="6"/>
      <c r="Q41" s="6"/>
      <c r="R41" s="6"/>
      <c r="S41" s="6"/>
      <c r="T41" s="6"/>
      <c r="AZ41" s="5" t="s">
        <v>260</v>
      </c>
      <c r="BA41" s="5"/>
      <c r="BB41" s="5"/>
      <c r="BC41" s="5"/>
      <c r="BD41" s="5"/>
      <c r="BE41" s="5"/>
      <c r="BF41" s="5"/>
      <c r="BG41" s="5"/>
      <c r="BH41" s="5"/>
      <c r="BI41" s="5"/>
      <c r="BJ41" s="6"/>
      <c r="BK41" s="6"/>
      <c r="BL41" s="6"/>
      <c r="BM41" s="6"/>
      <c r="BN41" s="6"/>
      <c r="BO41" s="6"/>
    </row>
    <row r="42" ht="15.5" spans="1:67">
      <c r="A42" s="5" t="s">
        <v>228</v>
      </c>
      <c r="B42" s="5" t="s">
        <v>259</v>
      </c>
      <c r="C42" s="5" t="s">
        <v>230</v>
      </c>
      <c r="D42" s="5"/>
      <c r="E42" s="5"/>
      <c r="F42" s="5"/>
      <c r="G42" s="5"/>
      <c r="H42" s="5"/>
      <c r="I42" s="5"/>
      <c r="J42" s="5"/>
      <c r="K42" s="6"/>
      <c r="L42" s="6"/>
      <c r="M42" s="6"/>
      <c r="N42" s="6"/>
      <c r="O42" s="6"/>
      <c r="P42" s="6"/>
      <c r="Q42" s="6"/>
      <c r="R42" s="6"/>
      <c r="S42" s="6"/>
      <c r="T42" s="6"/>
      <c r="AZ42" s="5" t="s">
        <v>228</v>
      </c>
      <c r="BA42" s="5" t="s">
        <v>259</v>
      </c>
      <c r="BB42" s="5" t="s">
        <v>230</v>
      </c>
      <c r="BC42" s="5"/>
      <c r="BD42" s="5"/>
      <c r="BE42" s="5"/>
      <c r="BF42" s="5"/>
      <c r="BG42" s="5"/>
      <c r="BH42" s="5"/>
      <c r="BI42" s="5"/>
      <c r="BJ42" s="6"/>
      <c r="BK42" s="6"/>
      <c r="BL42" s="6"/>
      <c r="BM42" s="6"/>
      <c r="BN42" s="6"/>
      <c r="BO42" s="6"/>
    </row>
    <row r="43" ht="30" spans="1:67">
      <c r="A43" s="5"/>
      <c r="B43" s="5"/>
      <c r="C43" s="9" t="s">
        <v>231</v>
      </c>
      <c r="D43" s="6" t="s">
        <v>232</v>
      </c>
      <c r="E43" s="6" t="s">
        <v>233</v>
      </c>
      <c r="F43" s="10" t="s">
        <v>234</v>
      </c>
      <c r="G43" s="6" t="s">
        <v>235</v>
      </c>
      <c r="H43" s="6" t="s">
        <v>236</v>
      </c>
      <c r="I43" s="6" t="s">
        <v>237</v>
      </c>
      <c r="J43" s="6" t="s">
        <v>238</v>
      </c>
      <c r="K43" s="6"/>
      <c r="L43" s="6"/>
      <c r="M43" s="6" t="s">
        <v>232</v>
      </c>
      <c r="N43" s="6" t="s">
        <v>233</v>
      </c>
      <c r="O43" s="6" t="s">
        <v>234</v>
      </c>
      <c r="P43" s="6" t="s">
        <v>235</v>
      </c>
      <c r="Q43" s="6" t="s">
        <v>236</v>
      </c>
      <c r="R43" s="6" t="s">
        <v>237</v>
      </c>
      <c r="S43" s="6" t="s">
        <v>238</v>
      </c>
      <c r="T43" s="6"/>
      <c r="U43" s="6"/>
      <c r="V43" s="8" t="s">
        <v>257</v>
      </c>
      <c r="W43" s="6" t="s">
        <v>232</v>
      </c>
      <c r="X43" s="6" t="s">
        <v>233</v>
      </c>
      <c r="Y43" s="10" t="s">
        <v>234</v>
      </c>
      <c r="Z43" s="6" t="s">
        <v>235</v>
      </c>
      <c r="AA43" s="6" t="s">
        <v>236</v>
      </c>
      <c r="AB43" s="12" t="s">
        <v>237</v>
      </c>
      <c r="AC43" s="12" t="s">
        <v>238</v>
      </c>
      <c r="AD43" s="6"/>
      <c r="AE43" s="6"/>
      <c r="AF43" s="6" t="s">
        <v>232</v>
      </c>
      <c r="AG43" s="6" t="s">
        <v>233</v>
      </c>
      <c r="AH43" s="10" t="s">
        <v>234</v>
      </c>
      <c r="AI43" s="6" t="s">
        <v>235</v>
      </c>
      <c r="AJ43" s="6" t="s">
        <v>236</v>
      </c>
      <c r="AK43" s="12" t="s">
        <v>237</v>
      </c>
      <c r="AL43" s="12" t="s">
        <v>238</v>
      </c>
      <c r="AO43" s="6" t="s">
        <v>232</v>
      </c>
      <c r="AP43" s="6" t="s">
        <v>233</v>
      </c>
      <c r="AQ43" s="10" t="s">
        <v>234</v>
      </c>
      <c r="AR43" s="6" t="s">
        <v>235</v>
      </c>
      <c r="AS43" s="6" t="s">
        <v>236</v>
      </c>
      <c r="AT43" s="12" t="s">
        <v>237</v>
      </c>
      <c r="AU43" s="12" t="s">
        <v>238</v>
      </c>
      <c r="AZ43" s="5"/>
      <c r="BA43" s="5"/>
      <c r="BB43" s="9" t="s">
        <v>231</v>
      </c>
      <c r="BC43" s="6" t="s">
        <v>232</v>
      </c>
      <c r="BD43" s="6" t="s">
        <v>233</v>
      </c>
      <c r="BE43" s="10" t="s">
        <v>234</v>
      </c>
      <c r="BF43" s="6" t="s">
        <v>235</v>
      </c>
      <c r="BG43" s="6" t="s">
        <v>236</v>
      </c>
      <c r="BH43" s="6" t="s">
        <v>237</v>
      </c>
      <c r="BI43" s="6" t="s">
        <v>238</v>
      </c>
      <c r="BJ43" s="6"/>
      <c r="BK43" s="6"/>
      <c r="BL43" s="6"/>
      <c r="BM43" s="6"/>
      <c r="BN43" s="6"/>
      <c r="BO43" s="6"/>
    </row>
    <row r="44" ht="15.5" spans="1:67">
      <c r="A44" s="5" t="s">
        <v>239</v>
      </c>
      <c r="B44" s="13" t="s">
        <v>240</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239</v>
      </c>
      <c r="V44" s="13" t="s">
        <v>240</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239</v>
      </c>
      <c r="BA44" s="13" t="s">
        <v>240</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241</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241</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241</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242</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242</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242</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243</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243</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243</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244</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244</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244</v>
      </c>
      <c r="BB48" s="14">
        <v>84.6</v>
      </c>
      <c r="BC48" s="16">
        <v>77</v>
      </c>
      <c r="BD48" s="16">
        <v>74.9</v>
      </c>
      <c r="BE48" s="16">
        <v>74.4</v>
      </c>
      <c r="BF48" s="16">
        <v>71.7</v>
      </c>
      <c r="BG48" s="16">
        <v>73.1</v>
      </c>
      <c r="BH48" s="16">
        <v>74.4</v>
      </c>
      <c r="BI48" s="16">
        <v>74.4</v>
      </c>
      <c r="BJ48" s="6"/>
      <c r="BK48" s="6"/>
      <c r="BL48" s="19"/>
      <c r="BM48" s="19"/>
      <c r="BN48" s="19"/>
      <c r="BO48" s="19"/>
    </row>
    <row r="49" ht="15.5" spans="1:67">
      <c r="A49" s="5" t="s">
        <v>245</v>
      </c>
      <c r="B49" s="13" t="s">
        <v>240</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245</v>
      </c>
      <c r="V49" s="13" t="s">
        <v>240</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245</v>
      </c>
      <c r="BA49" s="13" t="s">
        <v>240</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241</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241</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241</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242</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242</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242</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243</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243</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243</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244</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244</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244</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240</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240</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240</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241</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241</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241</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242</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242</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242</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243</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243</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243</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244</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244</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244</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246</v>
      </c>
      <c r="B60" s="6"/>
      <c r="C60" s="9"/>
      <c r="D60" s="6"/>
      <c r="E60" s="6"/>
      <c r="F60" s="6"/>
      <c r="G60" s="6"/>
      <c r="H60" s="6"/>
      <c r="I60" s="6"/>
      <c r="J60" s="6"/>
      <c r="K60" s="6"/>
      <c r="L60" s="6"/>
      <c r="M60" s="6"/>
      <c r="N60" s="6"/>
      <c r="O60" s="6"/>
      <c r="P60" s="6"/>
      <c r="Q60" s="6"/>
      <c r="R60" s="6"/>
      <c r="S60" s="6"/>
      <c r="T60" s="6"/>
      <c r="AZ60" s="6" t="s">
        <v>246</v>
      </c>
      <c r="BA60" s="6"/>
      <c r="BB60" s="9"/>
      <c r="BC60" s="6"/>
      <c r="BD60" s="6"/>
      <c r="BE60" s="6"/>
      <c r="BF60" s="6"/>
      <c r="BG60" s="6"/>
      <c r="BH60" s="6"/>
      <c r="BI60" s="6"/>
      <c r="BJ60" s="6"/>
      <c r="BK60" s="6"/>
      <c r="BL60" s="6"/>
      <c r="BM60" s="6"/>
      <c r="BN60" s="6"/>
      <c r="BO60" s="6"/>
    </row>
    <row r="61" ht="15.5" spans="1:67">
      <c r="A61" s="6" t="s">
        <v>261</v>
      </c>
      <c r="B61" s="6"/>
      <c r="C61" s="9"/>
      <c r="D61" s="6"/>
      <c r="E61" s="6"/>
      <c r="F61" s="6"/>
      <c r="G61" s="6"/>
      <c r="H61" s="6"/>
      <c r="I61" s="6"/>
      <c r="J61" s="6"/>
      <c r="K61" s="6"/>
      <c r="L61" s="6"/>
      <c r="M61" s="6"/>
      <c r="N61" s="6"/>
      <c r="O61" s="6"/>
      <c r="P61" s="6"/>
      <c r="Q61" s="6"/>
      <c r="R61" s="6"/>
      <c r="S61" s="6"/>
      <c r="T61" s="6"/>
      <c r="AZ61" s="6" t="s">
        <v>261</v>
      </c>
      <c r="BA61" s="6"/>
      <c r="BB61" s="9"/>
      <c r="BC61" s="6"/>
      <c r="BD61" s="6"/>
      <c r="BE61" s="6"/>
      <c r="BF61" s="6"/>
      <c r="BG61" s="6"/>
      <c r="BH61" s="6"/>
      <c r="BI61" s="6"/>
      <c r="BJ61" s="6"/>
      <c r="BK61" s="6"/>
      <c r="BL61" s="6"/>
      <c r="BM61" s="6"/>
      <c r="BN61" s="6"/>
      <c r="BO61" s="6"/>
    </row>
    <row r="62" ht="15.5" spans="1:67">
      <c r="A62" s="6" t="s">
        <v>262</v>
      </c>
      <c r="B62" s="6"/>
      <c r="C62" s="9"/>
      <c r="D62" s="6"/>
      <c r="E62" s="6"/>
      <c r="F62" s="6"/>
      <c r="G62" s="6"/>
      <c r="H62" s="6"/>
      <c r="I62" s="6"/>
      <c r="J62" s="6"/>
      <c r="K62" s="6"/>
      <c r="L62" s="6"/>
      <c r="M62" s="6"/>
      <c r="N62" s="6"/>
      <c r="O62" s="6"/>
      <c r="P62" s="6"/>
      <c r="Q62" s="6"/>
      <c r="R62" s="6"/>
      <c r="S62" s="6"/>
      <c r="T62" s="6"/>
      <c r="AZ62" s="6" t="s">
        <v>262</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232</v>
      </c>
      <c r="X72" s="6" t="s">
        <v>233</v>
      </c>
      <c r="Y72" s="10" t="s">
        <v>234</v>
      </c>
      <c r="Z72" s="6" t="s">
        <v>235</v>
      </c>
      <c r="AA72" s="6" t="s">
        <v>236</v>
      </c>
      <c r="AB72" s="12" t="s">
        <v>237</v>
      </c>
      <c r="AC72" s="12" t="s">
        <v>238</v>
      </c>
      <c r="AD72" s="6"/>
      <c r="AE72" s="6"/>
      <c r="AF72" s="6" t="s">
        <v>232</v>
      </c>
      <c r="AG72" s="6" t="s">
        <v>233</v>
      </c>
      <c r="AH72" s="10" t="s">
        <v>234</v>
      </c>
      <c r="AI72" s="6" t="s">
        <v>235</v>
      </c>
      <c r="AJ72" s="6" t="s">
        <v>236</v>
      </c>
      <c r="AK72" s="12" t="s">
        <v>237</v>
      </c>
      <c r="AL72" s="12" t="s">
        <v>238</v>
      </c>
      <c r="AM72" s="6"/>
      <c r="AN72" s="6"/>
      <c r="AO72" s="6" t="s">
        <v>232</v>
      </c>
      <c r="AP72" s="6" t="s">
        <v>233</v>
      </c>
      <c r="AQ72" s="10" t="s">
        <v>234</v>
      </c>
      <c r="AR72" s="6" t="s">
        <v>235</v>
      </c>
      <c r="AS72" s="6" t="s">
        <v>236</v>
      </c>
      <c r="AT72" s="12" t="s">
        <v>237</v>
      </c>
      <c r="AU72" s="12" t="s">
        <v>238</v>
      </c>
    </row>
    <row r="73" spans="21:47">
      <c r="U73" s="5" t="s">
        <v>239</v>
      </c>
      <c r="V73" s="20" t="s">
        <v>105</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263</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264</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265</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245</v>
      </c>
      <c r="V77" s="20" t="s">
        <v>105</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263</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264</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265</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266</v>
      </c>
      <c r="V81" s="20" t="s">
        <v>105</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263</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264</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265</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239</v>
      </c>
      <c r="V85" s="20" t="s">
        <v>105</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263</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264</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265</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232</v>
      </c>
      <c r="X92" s="6" t="s">
        <v>233</v>
      </c>
      <c r="Y92" s="10" t="s">
        <v>234</v>
      </c>
      <c r="Z92" s="6" t="s">
        <v>235</v>
      </c>
      <c r="AA92" s="6" t="s">
        <v>236</v>
      </c>
      <c r="AB92" s="12" t="s">
        <v>237</v>
      </c>
      <c r="AC92" s="12" t="s">
        <v>238</v>
      </c>
      <c r="AD92" s="6"/>
      <c r="AE92" s="6"/>
      <c r="AF92" s="6" t="s">
        <v>232</v>
      </c>
      <c r="AG92" s="6" t="s">
        <v>233</v>
      </c>
      <c r="AH92" s="10" t="s">
        <v>234</v>
      </c>
      <c r="AI92" s="6" t="s">
        <v>235</v>
      </c>
      <c r="AJ92" s="6" t="s">
        <v>236</v>
      </c>
      <c r="AK92" s="12" t="s">
        <v>237</v>
      </c>
      <c r="AL92" s="12" t="s">
        <v>238</v>
      </c>
      <c r="AM92" s="6"/>
      <c r="AN92" s="6"/>
      <c r="AO92" s="6" t="s">
        <v>232</v>
      </c>
      <c r="AP92" s="6" t="s">
        <v>233</v>
      </c>
      <c r="AQ92" s="10" t="s">
        <v>234</v>
      </c>
      <c r="AR92" s="6" t="s">
        <v>235</v>
      </c>
      <c r="AS92" s="6" t="s">
        <v>236</v>
      </c>
      <c r="AT92" s="12" t="s">
        <v>237</v>
      </c>
      <c r="AU92" s="12" t="s">
        <v>238</v>
      </c>
    </row>
    <row r="93" spans="21:47">
      <c r="U93" s="5" t="s">
        <v>239</v>
      </c>
      <c r="V93" s="20" t="s">
        <v>105</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263</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264</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265</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245</v>
      </c>
      <c r="V97" s="20" t="s">
        <v>105</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263</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264</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265</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266</v>
      </c>
      <c r="V101" s="20" t="s">
        <v>105</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263</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264</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265</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239</v>
      </c>
      <c r="V105" s="20" t="s">
        <v>105</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263</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264</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265</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232</v>
      </c>
      <c r="X112" s="6" t="s">
        <v>233</v>
      </c>
      <c r="Y112" s="10" t="s">
        <v>234</v>
      </c>
      <c r="Z112" s="6" t="s">
        <v>235</v>
      </c>
      <c r="AA112" s="6" t="s">
        <v>236</v>
      </c>
      <c r="AB112" s="12" t="s">
        <v>237</v>
      </c>
      <c r="AC112" s="12" t="s">
        <v>238</v>
      </c>
      <c r="AD112" s="6"/>
      <c r="AE112" s="6"/>
      <c r="AF112" s="6" t="s">
        <v>232</v>
      </c>
      <c r="AG112" s="6" t="s">
        <v>233</v>
      </c>
      <c r="AH112" s="10" t="s">
        <v>234</v>
      </c>
      <c r="AI112" s="6" t="s">
        <v>235</v>
      </c>
      <c r="AJ112" s="6" t="s">
        <v>236</v>
      </c>
      <c r="AK112" s="12" t="s">
        <v>237</v>
      </c>
      <c r="AL112" s="12" t="s">
        <v>238</v>
      </c>
      <c r="AM112" s="6"/>
      <c r="AN112" s="6"/>
      <c r="AO112" s="6" t="s">
        <v>232</v>
      </c>
      <c r="AP112" s="6" t="s">
        <v>233</v>
      </c>
      <c r="AQ112" s="10" t="s">
        <v>234</v>
      </c>
      <c r="AR112" s="6" t="s">
        <v>235</v>
      </c>
      <c r="AS112" s="6" t="s">
        <v>236</v>
      </c>
      <c r="AT112" s="12" t="s">
        <v>237</v>
      </c>
      <c r="AU112" s="12" t="s">
        <v>238</v>
      </c>
    </row>
    <row r="113" spans="21:47">
      <c r="U113" s="5" t="s">
        <v>239</v>
      </c>
      <c r="V113" s="20" t="s">
        <v>105</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263</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264</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265</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245</v>
      </c>
      <c r="V117" s="20" t="s">
        <v>105</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263</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264</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265</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266</v>
      </c>
      <c r="V121" s="20" t="s">
        <v>105</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263</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264</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265</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239</v>
      </c>
      <c r="V125" s="20" t="s">
        <v>105</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263</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264</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265</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215</v>
      </c>
      <c r="W160" s="23"/>
      <c r="Y160" s="25"/>
      <c r="Z160" s="23"/>
      <c r="AA160" s="24" t="s">
        <v>215</v>
      </c>
      <c r="AB160" s="23"/>
      <c r="AD160" s="25"/>
      <c r="AE160" s="23"/>
      <c r="AF160" s="24" t="s">
        <v>215</v>
      </c>
      <c r="AG160" s="23"/>
      <c r="AI160" s="25"/>
      <c r="AJ160" s="23"/>
      <c r="AK160" s="24" t="s">
        <v>215</v>
      </c>
      <c r="AL160" s="23"/>
      <c r="AN160" s="25"/>
      <c r="AO160" s="23"/>
      <c r="AP160" s="24" t="s">
        <v>215</v>
      </c>
      <c r="AQ160" s="23"/>
      <c r="AS160" s="25"/>
      <c r="AT160" s="23"/>
      <c r="AU160" s="24" t="s">
        <v>215</v>
      </c>
      <c r="AV160" s="23"/>
      <c r="AW160" s="25"/>
      <c r="AY160" s="23"/>
      <c r="AZ160" s="24" t="s">
        <v>215</v>
      </c>
      <c r="BA160" s="23"/>
    </row>
    <row r="161" ht="15.5" spans="21:53">
      <c r="U161" s="24" t="s">
        <v>64</v>
      </c>
      <c r="V161" s="24" t="s">
        <v>95</v>
      </c>
      <c r="W161" s="24" t="s">
        <v>25</v>
      </c>
      <c r="Y161" s="25"/>
      <c r="Z161" s="24" t="s">
        <v>64</v>
      </c>
      <c r="AA161" s="24" t="s">
        <v>95</v>
      </c>
      <c r="AB161" s="24" t="s">
        <v>25</v>
      </c>
      <c r="AD161" s="25"/>
      <c r="AE161" s="24" t="s">
        <v>64</v>
      </c>
      <c r="AF161" s="24" t="s">
        <v>95</v>
      </c>
      <c r="AG161" s="24" t="s">
        <v>25</v>
      </c>
      <c r="AI161" s="25"/>
      <c r="AJ161" s="24" t="s">
        <v>64</v>
      </c>
      <c r="AK161" s="24" t="s">
        <v>95</v>
      </c>
      <c r="AL161" s="24" t="s">
        <v>25</v>
      </c>
      <c r="AN161" s="25"/>
      <c r="AO161" s="24" t="s">
        <v>64</v>
      </c>
      <c r="AP161" s="24" t="s">
        <v>95</v>
      </c>
      <c r="AQ161" s="24" t="s">
        <v>25</v>
      </c>
      <c r="AS161" s="25"/>
      <c r="AT161" s="24" t="s">
        <v>64</v>
      </c>
      <c r="AU161" s="24" t="s">
        <v>95</v>
      </c>
      <c r="AV161" s="24" t="s">
        <v>25</v>
      </c>
      <c r="AW161" s="25"/>
      <c r="AY161" s="24" t="s">
        <v>64</v>
      </c>
      <c r="AZ161" s="24" t="s">
        <v>95</v>
      </c>
      <c r="BA161" s="24" t="s">
        <v>25</v>
      </c>
    </row>
    <row r="162" ht="15.5" spans="21:53">
      <c r="U162" s="25" t="s">
        <v>189</v>
      </c>
      <c r="V162" s="26" t="s">
        <v>217</v>
      </c>
      <c r="W162" s="25">
        <f t="shared" ref="W162:W165" si="336">W85</f>
        <v>0.0105103587670541</v>
      </c>
      <c r="Y162" s="25"/>
      <c r="Z162" s="25" t="s">
        <v>190</v>
      </c>
      <c r="AA162" s="26" t="s">
        <v>217</v>
      </c>
      <c r="AB162" s="25">
        <f t="shared" ref="AB162:AB165" si="337">X85</f>
        <v>0.0100940975192472</v>
      </c>
      <c r="AD162" s="25"/>
      <c r="AE162" s="25" t="s">
        <v>191</v>
      </c>
      <c r="AF162" s="26" t="s">
        <v>217</v>
      </c>
      <c r="AG162" s="25">
        <f t="shared" ref="AG162:AG165" si="338">Y85</f>
        <v>0.0103856502242152</v>
      </c>
      <c r="AI162" s="25"/>
      <c r="AJ162" s="25" t="s">
        <v>192</v>
      </c>
      <c r="AK162" s="26" t="s">
        <v>217</v>
      </c>
      <c r="AL162" s="25">
        <f t="shared" ref="AL162:AL165" si="339">Z85</f>
        <v>0.0114291129643669</v>
      </c>
      <c r="AN162" s="25"/>
      <c r="AO162" s="25" t="s">
        <v>188</v>
      </c>
      <c r="AP162" s="26" t="s">
        <v>217</v>
      </c>
      <c r="AQ162" s="25">
        <f t="shared" ref="AQ162:AQ165" si="340">AA85</f>
        <v>0.0115979862017528</v>
      </c>
      <c r="AS162" s="25"/>
      <c r="AT162" s="25" t="s">
        <v>187</v>
      </c>
      <c r="AU162" s="26" t="s">
        <v>217</v>
      </c>
      <c r="AV162" s="25">
        <f t="shared" ref="AV162:AV165" si="341">AB85</f>
        <v>0.00871331828442437</v>
      </c>
      <c r="AW162" s="25"/>
      <c r="AY162" s="25" t="s">
        <v>186</v>
      </c>
      <c r="AZ162" s="26" t="s">
        <v>217</v>
      </c>
      <c r="BA162" s="25">
        <f t="shared" ref="BA162:BA165" si="342">AC85</f>
        <v>0.0102405376724443</v>
      </c>
    </row>
    <row r="163" ht="15.5" spans="21:53">
      <c r="U163" s="25" t="str">
        <f>U162</f>
        <v>PyroRecy-NMC111</v>
      </c>
      <c r="V163" s="26" t="s">
        <v>224</v>
      </c>
      <c r="W163" s="25">
        <f t="shared" si="336"/>
        <v>0.0289203301330638</v>
      </c>
      <c r="Y163" s="25"/>
      <c r="Z163" s="25" t="str">
        <f t="shared" ref="Z163:Z165" si="343">Z162</f>
        <v>PyroRecy-NMC532</v>
      </c>
      <c r="AA163" s="26" t="s">
        <v>224</v>
      </c>
      <c r="AB163" s="25">
        <f t="shared" si="337"/>
        <v>0.0275620188195039</v>
      </c>
      <c r="AD163" s="25"/>
      <c r="AE163" s="25" t="str">
        <f t="shared" ref="AE163:AE165" si="344">AE162</f>
        <v>PyroRecy-NMC622</v>
      </c>
      <c r="AF163" s="26" t="s">
        <v>224</v>
      </c>
      <c r="AG163" s="25">
        <f t="shared" si="338"/>
        <v>0.028322869955157</v>
      </c>
      <c r="AI163" s="25"/>
      <c r="AJ163" s="25" t="str">
        <f t="shared" ref="AJ163:AJ165" si="345">AJ162</f>
        <v>PyroRecy-NMC811</v>
      </c>
      <c r="AK163" s="26" t="s">
        <v>224</v>
      </c>
      <c r="AL163" s="25">
        <f t="shared" si="339"/>
        <v>0.0288286580742987</v>
      </c>
      <c r="AN163" s="25"/>
      <c r="AO163" s="25" t="str">
        <f t="shared" ref="AO163:AO165" si="346">AO162</f>
        <v>PyroRecy-NCA</v>
      </c>
      <c r="AP163" s="26" t="s">
        <v>224</v>
      </c>
      <c r="AQ163" s="25">
        <f t="shared" si="340"/>
        <v>0.0296102927465971</v>
      </c>
      <c r="AS163" s="25"/>
      <c r="AT163" s="25" t="str">
        <f t="shared" ref="AT163:AT165" si="347">AT162</f>
        <v>PyroRecy-LMO</v>
      </c>
      <c r="AU163" s="26" t="s">
        <v>224</v>
      </c>
      <c r="AV163" s="25">
        <f t="shared" si="341"/>
        <v>0.0237622272385252</v>
      </c>
      <c r="AW163" s="25"/>
      <c r="AY163" s="25" t="str">
        <f t="shared" ref="AY163:AY165" si="348">AY162</f>
        <v>PyroRecy-LFP</v>
      </c>
      <c r="AZ163" s="26" t="s">
        <v>224</v>
      </c>
      <c r="BA163" s="25">
        <f t="shared" si="342"/>
        <v>0.0279271312345242</v>
      </c>
    </row>
    <row r="164" ht="15.5" spans="21:53">
      <c r="U164" s="25" t="str">
        <f>U163</f>
        <v>PyroRecy-NMC111</v>
      </c>
      <c r="V164" s="26" t="s">
        <v>225</v>
      </c>
      <c r="W164" s="25">
        <f t="shared" si="336"/>
        <v>0.0836617820448038</v>
      </c>
      <c r="Y164" s="25"/>
      <c r="Z164" s="25" t="str">
        <f t="shared" si="343"/>
        <v>PyroRecy-NMC532</v>
      </c>
      <c r="AA164" s="26" t="s">
        <v>225</v>
      </c>
      <c r="AB164" s="25">
        <f t="shared" si="337"/>
        <v>0.0814029084687767</v>
      </c>
      <c r="AD164" s="25"/>
      <c r="AE164" s="25" t="str">
        <f t="shared" si="344"/>
        <v>PyroRecy-NMC622</v>
      </c>
      <c r="AF164" s="26" t="s">
        <v>225</v>
      </c>
      <c r="AG164" s="25">
        <f t="shared" si="338"/>
        <v>0.0843946188340807</v>
      </c>
      <c r="AI164" s="25"/>
      <c r="AJ164" s="25" t="str">
        <f t="shared" si="345"/>
        <v>PyroRecy-NMC811</v>
      </c>
      <c r="AK164" s="26" t="s">
        <v>225</v>
      </c>
      <c r="AL164" s="25">
        <f t="shared" si="339"/>
        <v>0.0884192570128886</v>
      </c>
      <c r="AN164" s="25"/>
      <c r="AO164" s="25" t="str">
        <f t="shared" si="346"/>
        <v>PyroRecy-NCA</v>
      </c>
      <c r="AP164" s="26" t="s">
        <v>225</v>
      </c>
      <c r="AQ164" s="25">
        <f t="shared" si="340"/>
        <v>0.092485549132948</v>
      </c>
      <c r="AS164" s="25"/>
      <c r="AT164" s="25" t="str">
        <f t="shared" si="347"/>
        <v>PyroRecy-LMO</v>
      </c>
      <c r="AU164" s="26" t="s">
        <v>225</v>
      </c>
      <c r="AV164" s="25">
        <f t="shared" si="341"/>
        <v>0.0708051166290444</v>
      </c>
      <c r="AW164" s="25"/>
      <c r="AY164" s="25" t="str">
        <f t="shared" si="348"/>
        <v>PyroRecy-LFP</v>
      </c>
      <c r="AZ164" s="26" t="s">
        <v>225</v>
      </c>
      <c r="BA164" s="25">
        <f t="shared" si="342"/>
        <v>0.0832154227095861</v>
      </c>
    </row>
    <row r="165" ht="15.5" spans="21:53">
      <c r="U165" s="25" t="str">
        <f>U164</f>
        <v>PyroRecy-NMC111</v>
      </c>
      <c r="V165" s="26" t="s">
        <v>226</v>
      </c>
      <c r="W165" s="25">
        <f t="shared" si="336"/>
        <v>0.0130200437931615</v>
      </c>
      <c r="Y165" s="27"/>
      <c r="Z165" s="25" t="str">
        <f t="shared" si="343"/>
        <v>PyroRecy-NMC532</v>
      </c>
      <c r="AA165" s="26" t="s">
        <v>226</v>
      </c>
      <c r="AB165" s="25">
        <f t="shared" si="337"/>
        <v>0.0127459366980325</v>
      </c>
      <c r="AD165" s="27"/>
      <c r="AE165" s="25" t="str">
        <f t="shared" si="344"/>
        <v>PyroRecy-NMC622</v>
      </c>
      <c r="AF165" s="26" t="s">
        <v>226</v>
      </c>
      <c r="AG165" s="25">
        <f t="shared" si="338"/>
        <v>0.0132017937219731</v>
      </c>
      <c r="AI165" s="27"/>
      <c r="AJ165" s="25" t="str">
        <f t="shared" si="345"/>
        <v>PyroRecy-NMC811</v>
      </c>
      <c r="AK165" s="26" t="s">
        <v>226</v>
      </c>
      <c r="AL165" s="25">
        <f t="shared" si="339"/>
        <v>0.0144238059135709</v>
      </c>
      <c r="AN165" s="27"/>
      <c r="AO165" s="25" t="str">
        <f t="shared" si="346"/>
        <v>PyroRecy-NCA</v>
      </c>
      <c r="AP165" s="26" t="s">
        <v>226</v>
      </c>
      <c r="AQ165" s="25">
        <f t="shared" si="340"/>
        <v>0.0147119149729629</v>
      </c>
      <c r="AS165" s="27"/>
      <c r="AT165" s="25" t="str">
        <f t="shared" si="347"/>
        <v>PyroRecy-LMO</v>
      </c>
      <c r="AU165" s="26" t="s">
        <v>226</v>
      </c>
      <c r="AV165" s="25">
        <f t="shared" si="341"/>
        <v>0.0110759969902182</v>
      </c>
      <c r="AW165" s="27"/>
      <c r="AY165" s="25" t="str">
        <f t="shared" si="348"/>
        <v>PyroRecy-LFP</v>
      </c>
      <c r="AZ165" s="26" t="s">
        <v>226</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215</v>
      </c>
      <c r="W172" s="23"/>
      <c r="Y172" s="25"/>
      <c r="Z172" s="23"/>
      <c r="AA172" s="24" t="s">
        <v>215</v>
      </c>
      <c r="AB172" s="23"/>
      <c r="AD172" s="25"/>
      <c r="AE172" s="23"/>
      <c r="AF172" s="24" t="s">
        <v>215</v>
      </c>
      <c r="AG172" s="23"/>
      <c r="AI172" s="25"/>
      <c r="AJ172" s="23"/>
      <c r="AK172" s="24" t="s">
        <v>215</v>
      </c>
      <c r="AL172" s="23"/>
      <c r="AN172" s="25"/>
      <c r="AO172" s="23"/>
      <c r="AP172" s="24" t="s">
        <v>215</v>
      </c>
      <c r="AQ172" s="23"/>
      <c r="AS172" s="25"/>
      <c r="AT172" s="23"/>
      <c r="AU172" s="24" t="s">
        <v>215</v>
      </c>
      <c r="AV172" s="23"/>
      <c r="AW172" s="25"/>
      <c r="AY172" s="23"/>
      <c r="AZ172" s="24" t="s">
        <v>215</v>
      </c>
      <c r="BA172" s="23"/>
    </row>
    <row r="173" ht="15.5" spans="21:53">
      <c r="U173" s="24" t="s">
        <v>64</v>
      </c>
      <c r="V173" s="24" t="s">
        <v>95</v>
      </c>
      <c r="W173" s="24" t="s">
        <v>25</v>
      </c>
      <c r="Y173" s="25"/>
      <c r="Z173" s="24" t="s">
        <v>64</v>
      </c>
      <c r="AA173" s="24" t="s">
        <v>95</v>
      </c>
      <c r="AB173" s="24" t="s">
        <v>25</v>
      </c>
      <c r="AD173" s="25"/>
      <c r="AE173" s="24" t="s">
        <v>64</v>
      </c>
      <c r="AF173" s="24" t="s">
        <v>95</v>
      </c>
      <c r="AG173" s="24" t="s">
        <v>25</v>
      </c>
      <c r="AI173" s="25"/>
      <c r="AJ173" s="24" t="s">
        <v>64</v>
      </c>
      <c r="AK173" s="24" t="s">
        <v>95</v>
      </c>
      <c r="AL173" s="24" t="s">
        <v>25</v>
      </c>
      <c r="AN173" s="25"/>
      <c r="AO173" s="24" t="s">
        <v>64</v>
      </c>
      <c r="AP173" s="24" t="s">
        <v>95</v>
      </c>
      <c r="AQ173" s="24" t="s">
        <v>25</v>
      </c>
      <c r="AS173" s="25"/>
      <c r="AT173" s="24" t="s">
        <v>64</v>
      </c>
      <c r="AU173" s="24" t="s">
        <v>95</v>
      </c>
      <c r="AV173" s="24" t="s">
        <v>25</v>
      </c>
      <c r="AW173" s="25"/>
      <c r="AY173" s="24" t="s">
        <v>64</v>
      </c>
      <c r="AZ173" s="24" t="s">
        <v>95</v>
      </c>
      <c r="BA173" s="24" t="s">
        <v>25</v>
      </c>
    </row>
    <row r="174" ht="15.5" spans="21:53">
      <c r="U174" s="25" t="s">
        <v>196</v>
      </c>
      <c r="V174" s="26" t="s">
        <v>217</v>
      </c>
      <c r="W174" s="25">
        <f t="shared" ref="W174:W177" si="349">W105</f>
        <v>0.0115546572342934</v>
      </c>
      <c r="Y174" s="25"/>
      <c r="Z174" s="25" t="s">
        <v>197</v>
      </c>
      <c r="AA174" s="26" t="s">
        <v>217</v>
      </c>
      <c r="AB174" s="25">
        <f t="shared" ref="AB174:AB177" si="350">X105</f>
        <v>0.0110863986313088</v>
      </c>
      <c r="AD174" s="25"/>
      <c r="AE174" s="25" t="s">
        <v>198</v>
      </c>
      <c r="AF174" s="26" t="s">
        <v>217</v>
      </c>
      <c r="AG174" s="25">
        <f t="shared" ref="AG174:AG177" si="351">Y105</f>
        <v>0.0114618834080717</v>
      </c>
      <c r="AI174" s="25"/>
      <c r="AJ174" s="25" t="s">
        <v>199</v>
      </c>
      <c r="AK174" s="26" t="s">
        <v>217</v>
      </c>
      <c r="AL174" s="25">
        <f t="shared" ref="AL174:AL177" si="352">Z105</f>
        <v>0.011751326762699</v>
      </c>
      <c r="AN174" s="25"/>
      <c r="AO174" s="25" t="s">
        <v>195</v>
      </c>
      <c r="AP174" s="26" t="s">
        <v>217</v>
      </c>
      <c r="AQ174" s="25">
        <f t="shared" ref="AQ174:AQ177" si="353">AA105</f>
        <v>0.0119709118030953</v>
      </c>
      <c r="AS174" s="25"/>
      <c r="AT174" s="25" t="s">
        <v>194</v>
      </c>
      <c r="AU174" s="26" t="s">
        <v>217</v>
      </c>
      <c r="AV174" s="25">
        <f t="shared" ref="AV174:AV177" si="354">AB105</f>
        <v>0.00961625282167042</v>
      </c>
      <c r="AW174" s="25"/>
      <c r="AY174" s="25" t="s">
        <v>193</v>
      </c>
      <c r="AZ174" s="26" t="s">
        <v>217</v>
      </c>
      <c r="BA174" s="25">
        <f t="shared" ref="BA174:BA177" si="355">AC105</f>
        <v>0.0113017332861691</v>
      </c>
    </row>
    <row r="175" ht="15.5" spans="21:53">
      <c r="U175" s="25" t="str">
        <f t="shared" ref="U175:U177" si="356">U174</f>
        <v>HydRecy-NMC111</v>
      </c>
      <c r="V175" s="26" t="s">
        <v>224</v>
      </c>
      <c r="W175" s="25">
        <f t="shared" si="349"/>
        <v>0.0252147549267307</v>
      </c>
      <c r="Y175" s="25"/>
      <c r="Z175" s="25" t="str">
        <f t="shared" ref="Z175:Z177" si="357">Z174</f>
        <v>HydRecy-NMC532</v>
      </c>
      <c r="AA175" s="26" t="s">
        <v>224</v>
      </c>
      <c r="AB175" s="25">
        <f t="shared" si="350"/>
        <v>0.0242600513259196</v>
      </c>
      <c r="AD175" s="25"/>
      <c r="AE175" s="25" t="str">
        <f t="shared" ref="AE175:AE177" si="358">AE174</f>
        <v>HydRecy-NMC622</v>
      </c>
      <c r="AF175" s="26" t="s">
        <v>224</v>
      </c>
      <c r="AG175" s="25">
        <f t="shared" si="351"/>
        <v>0.0250941704035874</v>
      </c>
      <c r="AI175" s="25"/>
      <c r="AJ175" s="25" t="str">
        <f t="shared" ref="AJ175:AJ177" si="359">AJ174</f>
        <v>HydRecy-NMC811</v>
      </c>
      <c r="AK175" s="26" t="s">
        <v>224</v>
      </c>
      <c r="AL175" s="25">
        <f t="shared" si="352"/>
        <v>0.0257581501137225</v>
      </c>
      <c r="AN175" s="25"/>
      <c r="AO175" s="25" t="str">
        <f t="shared" ref="AO175:AO177" si="360">AO174</f>
        <v>HydRecy-NCA</v>
      </c>
      <c r="AP175" s="26" t="s">
        <v>224</v>
      </c>
      <c r="AQ175" s="25">
        <f t="shared" si="353"/>
        <v>0.0262539623345143</v>
      </c>
      <c r="AS175" s="25"/>
      <c r="AT175" s="25" t="str">
        <f t="shared" ref="AT175:AT177" si="361">AT174</f>
        <v>HydRecy-LMO</v>
      </c>
      <c r="AU175" s="26" t="s">
        <v>224</v>
      </c>
      <c r="AV175" s="25">
        <f t="shared" si="354"/>
        <v>0.0210534236267871</v>
      </c>
      <c r="AW175" s="25"/>
      <c r="AY175" s="25" t="str">
        <f t="shared" ref="AY175:AY177" si="362">AY174</f>
        <v>HydRecy-LFP</v>
      </c>
      <c r="AZ175" s="26" t="s">
        <v>224</v>
      </c>
      <c r="BA175" s="25">
        <f t="shared" si="355"/>
        <v>0.0247435443933498</v>
      </c>
    </row>
    <row r="176" ht="15.5" spans="21:53">
      <c r="U176" s="25" t="str">
        <f t="shared" si="356"/>
        <v>HydRecy-NMC111</v>
      </c>
      <c r="V176" s="26" t="s">
        <v>225</v>
      </c>
      <c r="W176" s="25">
        <f t="shared" si="349"/>
        <v>0.0978103419235304</v>
      </c>
      <c r="Y176" s="25"/>
      <c r="Z176" s="25" t="str">
        <f t="shared" si="357"/>
        <v>HydRecy-NMC532</v>
      </c>
      <c r="AA176" s="26" t="s">
        <v>225</v>
      </c>
      <c r="AB176" s="25">
        <f t="shared" si="350"/>
        <v>0.0947818648417451</v>
      </c>
      <c r="AD176" s="25"/>
      <c r="AE176" s="25" t="str">
        <f t="shared" si="358"/>
        <v>HydRecy-NMC622</v>
      </c>
      <c r="AF176" s="26" t="s">
        <v>225</v>
      </c>
      <c r="AG176" s="25">
        <f t="shared" si="351"/>
        <v>0.0982600896860986</v>
      </c>
      <c r="AI176" s="25"/>
      <c r="AJ176" s="25" t="str">
        <f t="shared" si="359"/>
        <v>HydRecy-NMC811</v>
      </c>
      <c r="AK176" s="26" t="s">
        <v>225</v>
      </c>
      <c r="AL176" s="25">
        <f t="shared" si="352"/>
        <v>0.099696739954511</v>
      </c>
      <c r="AN176" s="25"/>
      <c r="AO176" s="25" t="str">
        <f t="shared" si="360"/>
        <v>HydRecy-NCA</v>
      </c>
      <c r="AP176" s="26" t="s">
        <v>225</v>
      </c>
      <c r="AQ176" s="25">
        <f t="shared" si="353"/>
        <v>0.103953011374231</v>
      </c>
      <c r="AS176" s="25"/>
      <c r="AT176" s="25" t="str">
        <f t="shared" si="361"/>
        <v>HydRecy-LMO</v>
      </c>
      <c r="AU176" s="26" t="s">
        <v>225</v>
      </c>
      <c r="AV176" s="25">
        <f t="shared" si="354"/>
        <v>0.0824379232505643</v>
      </c>
      <c r="AW176" s="25"/>
      <c r="AY176" s="25" t="str">
        <f t="shared" si="362"/>
        <v>HydRecy-LFP</v>
      </c>
      <c r="AZ176" s="26" t="s">
        <v>225</v>
      </c>
      <c r="BA176" s="25">
        <f t="shared" si="355"/>
        <v>0.0968871595330739</v>
      </c>
    </row>
    <row r="177" ht="15.5" spans="21:53">
      <c r="U177" s="25" t="str">
        <f t="shared" si="356"/>
        <v>HydRecy-NMC111</v>
      </c>
      <c r="V177" s="26" t="s">
        <v>226</v>
      </c>
      <c r="W177" s="25">
        <f t="shared" si="349"/>
        <v>0.0132390096008085</v>
      </c>
      <c r="Y177" s="27"/>
      <c r="Z177" s="25" t="str">
        <f t="shared" si="357"/>
        <v>HydRecy-NMC532</v>
      </c>
      <c r="AA177" s="26" t="s">
        <v>226</v>
      </c>
      <c r="AB177" s="25">
        <f t="shared" si="350"/>
        <v>0.0130538922155689</v>
      </c>
      <c r="AD177" s="27"/>
      <c r="AE177" s="25" t="str">
        <f t="shared" si="358"/>
        <v>HydRecy-NMC622</v>
      </c>
      <c r="AF177" s="26" t="s">
        <v>226</v>
      </c>
      <c r="AG177" s="25">
        <f t="shared" si="351"/>
        <v>0.0136143497757848</v>
      </c>
      <c r="AI177" s="27"/>
      <c r="AJ177" s="25" t="str">
        <f t="shared" si="359"/>
        <v>HydRecy-NMC811</v>
      </c>
      <c r="AK177" s="26" t="s">
        <v>226</v>
      </c>
      <c r="AL177" s="25">
        <f t="shared" si="352"/>
        <v>0.0139689158453374</v>
      </c>
      <c r="AN177" s="27"/>
      <c r="AO177" s="25" t="str">
        <f t="shared" si="360"/>
        <v>HydRecy-NCA</v>
      </c>
      <c r="AP177" s="26" t="s">
        <v>226</v>
      </c>
      <c r="AQ177" s="25">
        <f t="shared" si="353"/>
        <v>0.0141711728510162</v>
      </c>
      <c r="AS177" s="27"/>
      <c r="AT177" s="25" t="str">
        <f t="shared" si="361"/>
        <v>HydRecy-LMO</v>
      </c>
      <c r="AU177" s="26" t="s">
        <v>226</v>
      </c>
      <c r="AV177" s="25">
        <f t="shared" si="354"/>
        <v>0.0114221218961625</v>
      </c>
      <c r="AW177" s="27"/>
      <c r="AY177" s="25" t="str">
        <f t="shared" si="362"/>
        <v>HydRecy-LFP</v>
      </c>
      <c r="AZ177" s="26" t="s">
        <v>226</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215</v>
      </c>
      <c r="W183" s="23"/>
      <c r="Y183" s="25"/>
      <c r="Z183" s="23"/>
      <c r="AA183" s="24" t="s">
        <v>215</v>
      </c>
      <c r="AB183" s="23"/>
      <c r="AD183" s="25"/>
      <c r="AE183" s="23"/>
      <c r="AF183" s="24" t="s">
        <v>215</v>
      </c>
      <c r="AG183" s="23"/>
      <c r="AI183" s="25"/>
      <c r="AJ183" s="23"/>
      <c r="AK183" s="24" t="s">
        <v>215</v>
      </c>
      <c r="AL183" s="23"/>
      <c r="AN183" s="25"/>
      <c r="AO183" s="23"/>
      <c r="AP183" s="24" t="s">
        <v>215</v>
      </c>
      <c r="AQ183" s="23"/>
      <c r="AS183" s="25"/>
      <c r="AT183" s="23"/>
      <c r="AU183" s="24" t="s">
        <v>215</v>
      </c>
      <c r="AV183" s="23"/>
      <c r="AW183" s="25"/>
      <c r="AY183" s="23"/>
      <c r="AZ183" s="24" t="s">
        <v>215</v>
      </c>
      <c r="BA183" s="23"/>
    </row>
    <row r="184" ht="15.5" spans="21:53">
      <c r="U184" s="24" t="s">
        <v>64</v>
      </c>
      <c r="V184" s="24" t="s">
        <v>95</v>
      </c>
      <c r="W184" s="24" t="s">
        <v>25</v>
      </c>
      <c r="Y184" s="25"/>
      <c r="Z184" s="24" t="s">
        <v>64</v>
      </c>
      <c r="AA184" s="24" t="s">
        <v>95</v>
      </c>
      <c r="AB184" s="24" t="s">
        <v>25</v>
      </c>
      <c r="AD184" s="25"/>
      <c r="AE184" s="24" t="s">
        <v>64</v>
      </c>
      <c r="AF184" s="24" t="s">
        <v>95</v>
      </c>
      <c r="AG184" s="24" t="s">
        <v>25</v>
      </c>
      <c r="AI184" s="25"/>
      <c r="AJ184" s="24" t="s">
        <v>64</v>
      </c>
      <c r="AK184" s="24" t="s">
        <v>95</v>
      </c>
      <c r="AL184" s="24" t="s">
        <v>25</v>
      </c>
      <c r="AN184" s="25"/>
      <c r="AO184" s="24" t="s">
        <v>64</v>
      </c>
      <c r="AP184" s="24" t="s">
        <v>95</v>
      </c>
      <c r="AQ184" s="24" t="s">
        <v>25</v>
      </c>
      <c r="AS184" s="25"/>
      <c r="AT184" s="24" t="s">
        <v>64</v>
      </c>
      <c r="AU184" s="24" t="s">
        <v>95</v>
      </c>
      <c r="AV184" s="24" t="s">
        <v>25</v>
      </c>
      <c r="AW184" s="25"/>
      <c r="AY184" s="24" t="s">
        <v>64</v>
      </c>
      <c r="AZ184" s="24" t="s">
        <v>95</v>
      </c>
      <c r="BA184" s="24" t="s">
        <v>25</v>
      </c>
    </row>
    <row r="185" ht="15.5" spans="21:53">
      <c r="U185" s="25" t="s">
        <v>203</v>
      </c>
      <c r="V185" s="26" t="s">
        <v>217</v>
      </c>
      <c r="W185" s="25">
        <f t="shared" ref="W185:W188" si="363">W125</f>
        <v>0.00788276907529056</v>
      </c>
      <c r="Y185" s="25"/>
      <c r="Z185" s="25" t="s">
        <v>204</v>
      </c>
      <c r="AA185" s="26" t="s">
        <v>217</v>
      </c>
      <c r="AB185" s="25">
        <f t="shared" ref="AB185:AB188" si="364">X125</f>
        <v>0.00764756201881948</v>
      </c>
      <c r="AD185" s="25"/>
      <c r="AE185" s="25" t="s">
        <v>205</v>
      </c>
      <c r="AF185" s="26" t="s">
        <v>217</v>
      </c>
      <c r="AG185" s="25">
        <f t="shared" ref="AG185:AG188" si="365">Y125</f>
        <v>0.00794618834080718</v>
      </c>
      <c r="AI185" s="25"/>
      <c r="AJ185" s="25" t="s">
        <v>206</v>
      </c>
      <c r="AK185" s="26" t="s">
        <v>217</v>
      </c>
      <c r="AL185" s="25">
        <f t="shared" ref="AL185:AL188" si="366">Z125</f>
        <v>0.00794162244124336</v>
      </c>
      <c r="AN185" s="25"/>
      <c r="AO185" s="25" t="s">
        <v>202</v>
      </c>
      <c r="AP185" s="26" t="s">
        <v>217</v>
      </c>
      <c r="AQ185" s="25">
        <f t="shared" ref="AQ185:AQ188" si="367">AA125</f>
        <v>0.00801790042886445</v>
      </c>
      <c r="AS185" s="25"/>
      <c r="AT185" s="25" t="s">
        <v>201</v>
      </c>
      <c r="AU185" s="26" t="s">
        <v>217</v>
      </c>
      <c r="AV185" s="25">
        <f t="shared" ref="AV185:AV188" si="368">AB125</f>
        <v>0.00666666666666667</v>
      </c>
      <c r="AW185" s="25"/>
      <c r="AY185" s="25" t="s">
        <v>200</v>
      </c>
      <c r="AZ185" s="26" t="s">
        <v>217</v>
      </c>
      <c r="BA185" s="25">
        <f t="shared" ref="BA185:BA188" si="369">AC125</f>
        <v>0.00783516094800141</v>
      </c>
    </row>
    <row r="186" ht="15.5" spans="21:53">
      <c r="U186" s="25" t="str">
        <f t="shared" ref="U186:U188" si="370">U185</f>
        <v>DirRecy-NMC111</v>
      </c>
      <c r="V186" s="26" t="s">
        <v>224</v>
      </c>
      <c r="W186" s="25">
        <f t="shared" si="363"/>
        <v>0.02011116725619</v>
      </c>
      <c r="Y186" s="25"/>
      <c r="Z186" s="25" t="str">
        <f t="shared" ref="Z186:Z188" si="371">Z185</f>
        <v>DirRecy-NMC532</v>
      </c>
      <c r="AA186" s="26" t="s">
        <v>224</v>
      </c>
      <c r="AB186" s="25">
        <f t="shared" si="364"/>
        <v>0.0195038494439692</v>
      </c>
      <c r="AD186" s="25"/>
      <c r="AE186" s="25" t="str">
        <f t="shared" ref="AE186:AE188" si="372">AE185</f>
        <v>DirRecy-NMC622</v>
      </c>
      <c r="AF186" s="26" t="s">
        <v>224</v>
      </c>
      <c r="AG186" s="25">
        <f t="shared" si="365"/>
        <v>0.0202152466367713</v>
      </c>
      <c r="AI186" s="25"/>
      <c r="AJ186" s="25" t="str">
        <f t="shared" ref="AJ186:AJ188" si="373">AJ185</f>
        <v>DirRecy-NMC811</v>
      </c>
      <c r="AK186" s="26" t="s">
        <v>224</v>
      </c>
      <c r="AL186" s="25">
        <f t="shared" si="366"/>
        <v>0.0201099317664898</v>
      </c>
      <c r="AN186" s="25"/>
      <c r="AO186" s="25" t="str">
        <f t="shared" ref="AO186:AO188" si="374">AO185</f>
        <v>DirRecy-NCA</v>
      </c>
      <c r="AP186" s="26" t="s">
        <v>224</v>
      </c>
      <c r="AQ186" s="25">
        <f t="shared" si="367"/>
        <v>0.0203990303934365</v>
      </c>
      <c r="AS186" s="25"/>
      <c r="AT186" s="25" t="str">
        <f t="shared" ref="AT186:AT188" si="375">AT185</f>
        <v>DirRecy-LMO</v>
      </c>
      <c r="AU186" s="26" t="s">
        <v>224</v>
      </c>
      <c r="AV186" s="25">
        <f t="shared" si="368"/>
        <v>0.0169601203912716</v>
      </c>
      <c r="AW186" s="25"/>
      <c r="AY186" s="25" t="str">
        <f t="shared" ref="AY186:AY188" si="376">AY185</f>
        <v>DirRecy-LFP</v>
      </c>
      <c r="AZ186" s="26" t="s">
        <v>224</v>
      </c>
      <c r="BA186" s="25">
        <f t="shared" si="369"/>
        <v>0.0199327909444641</v>
      </c>
    </row>
    <row r="187" ht="15.5" spans="21:53">
      <c r="U187" s="25" t="str">
        <f t="shared" si="370"/>
        <v>DirRecy-NMC111</v>
      </c>
      <c r="V187" s="26" t="s">
        <v>225</v>
      </c>
      <c r="W187" s="25">
        <f t="shared" si="363"/>
        <v>0.0641232945932289</v>
      </c>
      <c r="Y187" s="25"/>
      <c r="Z187" s="25" t="str">
        <f t="shared" si="371"/>
        <v>DirRecy-NMC532</v>
      </c>
      <c r="AA187" s="26" t="s">
        <v>225</v>
      </c>
      <c r="AB187" s="25">
        <f t="shared" si="364"/>
        <v>0.0633532934131737</v>
      </c>
      <c r="AD187" s="25"/>
      <c r="AE187" s="25" t="str">
        <f t="shared" si="372"/>
        <v>DirRecy-NMC622</v>
      </c>
      <c r="AF187" s="26" t="s">
        <v>225</v>
      </c>
      <c r="AG187" s="25">
        <f t="shared" si="365"/>
        <v>0.0659910313901345</v>
      </c>
      <c r="AI187" s="25"/>
      <c r="AJ187" s="25" t="str">
        <f t="shared" si="373"/>
        <v>DirRecy-NMC811</v>
      </c>
      <c r="AK187" s="26" t="s">
        <v>225</v>
      </c>
      <c r="AL187" s="25">
        <f t="shared" si="366"/>
        <v>0.0673237300985595</v>
      </c>
      <c r="AN187" s="25"/>
      <c r="AO187" s="25" t="str">
        <f t="shared" si="374"/>
        <v>DirRecy-NCA</v>
      </c>
      <c r="AP187" s="26" t="s">
        <v>225</v>
      </c>
      <c r="AQ187" s="25">
        <f t="shared" si="367"/>
        <v>0.0673690098825284</v>
      </c>
      <c r="AS187" s="25"/>
      <c r="AT187" s="25" t="str">
        <f t="shared" si="375"/>
        <v>DirRecy-LMO</v>
      </c>
      <c r="AU187" s="26" t="s">
        <v>225</v>
      </c>
      <c r="AV187" s="25">
        <f t="shared" si="368"/>
        <v>0.055364936042137</v>
      </c>
      <c r="AW187" s="25"/>
      <c r="AY187" s="25" t="str">
        <f t="shared" si="376"/>
        <v>DirRecy-LFP</v>
      </c>
      <c r="AZ187" s="26" t="s">
        <v>225</v>
      </c>
      <c r="BA187" s="25">
        <f t="shared" si="369"/>
        <v>0.0650689777148921</v>
      </c>
    </row>
    <row r="188" ht="15.5" spans="21:53">
      <c r="U188" s="25" t="str">
        <f t="shared" si="370"/>
        <v>DirRecy-NMC111</v>
      </c>
      <c r="V188" s="26" t="s">
        <v>226</v>
      </c>
      <c r="W188" s="25">
        <f t="shared" si="363"/>
        <v>0.0129695132221661</v>
      </c>
      <c r="Y188" s="27"/>
      <c r="Z188" s="25" t="str">
        <f t="shared" si="371"/>
        <v>DirRecy-NMC532</v>
      </c>
      <c r="AA188" s="26" t="s">
        <v>226</v>
      </c>
      <c r="AB188" s="25">
        <f t="shared" si="364"/>
        <v>0.012814371257485</v>
      </c>
      <c r="AD188" s="27"/>
      <c r="AE188" s="25" t="str">
        <f t="shared" si="372"/>
        <v>DirRecy-NMC622</v>
      </c>
      <c r="AF188" s="26" t="s">
        <v>226</v>
      </c>
      <c r="AG188" s="25">
        <f t="shared" si="365"/>
        <v>0.0133452914798206</v>
      </c>
      <c r="AI188" s="27"/>
      <c r="AJ188" s="25" t="str">
        <f t="shared" si="373"/>
        <v>DirRecy-NMC811</v>
      </c>
      <c r="AK188" s="26" t="s">
        <v>226</v>
      </c>
      <c r="AL188" s="25">
        <f t="shared" si="366"/>
        <v>0.0135898407884761</v>
      </c>
      <c r="AN188" s="27"/>
      <c r="AO188" s="25" t="str">
        <f t="shared" si="374"/>
        <v>DirRecy-NCA</v>
      </c>
      <c r="AP188" s="26" t="s">
        <v>226</v>
      </c>
      <c r="AQ188" s="25">
        <f t="shared" si="367"/>
        <v>0.0136304307290695</v>
      </c>
      <c r="AS188" s="27"/>
      <c r="AT188" s="25" t="str">
        <f t="shared" si="375"/>
        <v>DirRecy-LMO</v>
      </c>
      <c r="AU188" s="26" t="s">
        <v>226</v>
      </c>
      <c r="AV188" s="25">
        <f t="shared" si="368"/>
        <v>0.011196388261851</v>
      </c>
      <c r="AW188" s="27"/>
      <c r="AY188" s="25" t="str">
        <f t="shared" si="376"/>
        <v>DirRecy-LFP</v>
      </c>
      <c r="AZ188" s="26" t="s">
        <v>226</v>
      </c>
      <c r="BA188" s="25">
        <f t="shared" si="369"/>
        <v>0.0131588256101875</v>
      </c>
    </row>
    <row r="198" spans="21:54">
      <c r="V198" s="3" t="s">
        <v>215</v>
      </c>
      <c r="AA198" s="3" t="s">
        <v>215</v>
      </c>
      <c r="AF198" s="3" t="s">
        <v>215</v>
      </c>
      <c r="AK198" s="3" t="s">
        <v>215</v>
      </c>
      <c r="AP198" s="3" t="s">
        <v>215</v>
      </c>
      <c r="AU198" s="3" t="s">
        <v>215</v>
      </c>
      <c r="AZ198" s="3" t="s">
        <v>215</v>
      </c>
    </row>
    <row r="199" ht="15.5" spans="21:54">
      <c r="U199" s="3" t="s">
        <v>64</v>
      </c>
      <c r="V199" s="3" t="s">
        <v>95</v>
      </c>
      <c r="W199" s="3" t="s">
        <v>25</v>
      </c>
      <c r="X199" s="25" t="s">
        <v>41</v>
      </c>
      <c r="Z199" s="3" t="s">
        <v>64</v>
      </c>
      <c r="AA199" s="3" t="s">
        <v>95</v>
      </c>
      <c r="AB199" s="3" t="s">
        <v>25</v>
      </c>
      <c r="AC199" s="25" t="s">
        <v>41</v>
      </c>
      <c r="AE199" s="3" t="s">
        <v>64</v>
      </c>
      <c r="AF199" s="3" t="s">
        <v>95</v>
      </c>
      <c r="AG199" s="3" t="s">
        <v>25</v>
      </c>
      <c r="AH199" s="25" t="s">
        <v>41</v>
      </c>
      <c r="AJ199" s="3" t="s">
        <v>64</v>
      </c>
      <c r="AK199" s="3" t="s">
        <v>95</v>
      </c>
      <c r="AL199" s="3" t="s">
        <v>25</v>
      </c>
      <c r="AM199" s="25" t="s">
        <v>41</v>
      </c>
      <c r="AO199" s="3" t="s">
        <v>64</v>
      </c>
      <c r="AP199" s="3" t="s">
        <v>95</v>
      </c>
      <c r="AQ199" s="3" t="s">
        <v>25</v>
      </c>
      <c r="AR199" s="25" t="s">
        <v>41</v>
      </c>
      <c r="AT199" s="3" t="s">
        <v>64</v>
      </c>
      <c r="AU199" s="3" t="s">
        <v>95</v>
      </c>
      <c r="AV199" s="3" t="s">
        <v>25</v>
      </c>
      <c r="AW199" s="25" t="s">
        <v>41</v>
      </c>
      <c r="AY199" s="3" t="s">
        <v>64</v>
      </c>
      <c r="AZ199" s="3" t="s">
        <v>95</v>
      </c>
      <c r="BA199" s="3" t="s">
        <v>25</v>
      </c>
      <c r="BB199" s="25" t="s">
        <v>41</v>
      </c>
    </row>
    <row r="200" ht="15.5" spans="21:54">
      <c r="U200" s="3" t="s">
        <v>189</v>
      </c>
      <c r="V200" s="3" t="s">
        <v>217</v>
      </c>
      <c r="W200" s="3">
        <f>SUM(W162:W165)</f>
        <v>0.136112514738083</v>
      </c>
      <c r="X200" s="25" t="s">
        <v>248</v>
      </c>
      <c r="Z200" s="3" t="s">
        <v>190</v>
      </c>
      <c r="AA200" s="3" t="s">
        <v>217</v>
      </c>
      <c r="AB200" s="3">
        <f>SUM(AB162:AB165)</f>
        <v>0.13180496150556</v>
      </c>
      <c r="AC200" s="25" t="s">
        <v>248</v>
      </c>
      <c r="AE200" s="3" t="s">
        <v>191</v>
      </c>
      <c r="AF200" s="3" t="s">
        <v>217</v>
      </c>
      <c r="AG200" s="3">
        <f>SUM(AG162:AG165)</f>
        <v>0.136304932735426</v>
      </c>
      <c r="AH200" s="25" t="s">
        <v>248</v>
      </c>
      <c r="AJ200" s="3" t="s">
        <v>192</v>
      </c>
      <c r="AK200" s="3" t="s">
        <v>217</v>
      </c>
      <c r="AL200" s="3">
        <f>SUM(AL162:AL165)</f>
        <v>0.143100833965125</v>
      </c>
      <c r="AM200" s="25" t="s">
        <v>248</v>
      </c>
      <c r="AO200" s="3" t="s">
        <v>188</v>
      </c>
      <c r="AP200" s="3" t="s">
        <v>217</v>
      </c>
      <c r="AQ200" s="3">
        <f>SUM(AQ162:AQ165)</f>
        <v>0.148405743054261</v>
      </c>
      <c r="AR200" s="25" t="s">
        <v>248</v>
      </c>
      <c r="AT200" s="3" t="s">
        <v>187</v>
      </c>
      <c r="AU200" s="3" t="s">
        <v>217</v>
      </c>
      <c r="AV200" s="3">
        <f>SUM(AV162:AV165)</f>
        <v>0.114356659142212</v>
      </c>
      <c r="AW200" s="25" t="s">
        <v>248</v>
      </c>
      <c r="AY200" s="3" t="s">
        <v>186</v>
      </c>
      <c r="AZ200" s="3" t="s">
        <v>217</v>
      </c>
      <c r="BA200" s="3">
        <f>SUM(BA162:BA165)</f>
        <v>0.134400424478245</v>
      </c>
      <c r="BB200" s="25" t="s">
        <v>248</v>
      </c>
    </row>
    <row r="201" ht="15.5" spans="21:54">
      <c r="U201" s="3" t="s">
        <v>189</v>
      </c>
      <c r="V201" s="3" t="s">
        <v>224</v>
      </c>
      <c r="W201" s="3">
        <v>0</v>
      </c>
      <c r="X201" s="25" t="s">
        <v>248</v>
      </c>
      <c r="Z201" s="3" t="s">
        <v>190</v>
      </c>
      <c r="AA201" s="3" t="s">
        <v>224</v>
      </c>
      <c r="AB201" s="3">
        <v>0</v>
      </c>
      <c r="AC201" s="25" t="s">
        <v>248</v>
      </c>
      <c r="AE201" s="3" t="s">
        <v>191</v>
      </c>
      <c r="AF201" s="3" t="s">
        <v>224</v>
      </c>
      <c r="AG201" s="3">
        <v>0</v>
      </c>
      <c r="AH201" s="25" t="s">
        <v>248</v>
      </c>
      <c r="AJ201" s="3" t="s">
        <v>192</v>
      </c>
      <c r="AK201" s="3" t="s">
        <v>224</v>
      </c>
      <c r="AL201" s="3">
        <v>0</v>
      </c>
      <c r="AM201" s="25" t="s">
        <v>248</v>
      </c>
      <c r="AO201" s="3" t="s">
        <v>188</v>
      </c>
      <c r="AP201" s="3" t="s">
        <v>224</v>
      </c>
      <c r="AQ201" s="3">
        <v>0</v>
      </c>
      <c r="AR201" s="25" t="s">
        <v>248</v>
      </c>
      <c r="AT201" s="3" t="s">
        <v>187</v>
      </c>
      <c r="AU201" s="3" t="s">
        <v>224</v>
      </c>
      <c r="AV201" s="3">
        <v>0</v>
      </c>
      <c r="AW201" s="25" t="s">
        <v>248</v>
      </c>
      <c r="AY201" s="3" t="s">
        <v>186</v>
      </c>
      <c r="AZ201" s="3" t="s">
        <v>224</v>
      </c>
      <c r="BA201" s="3">
        <v>0</v>
      </c>
      <c r="BB201" s="25" t="s">
        <v>248</v>
      </c>
    </row>
    <row r="202" ht="15.5" spans="21:54">
      <c r="U202" s="3" t="s">
        <v>189</v>
      </c>
      <c r="V202" s="3" t="s">
        <v>225</v>
      </c>
      <c r="W202" s="3">
        <v>0</v>
      </c>
      <c r="X202" s="25" t="s">
        <v>248</v>
      </c>
      <c r="Z202" s="3" t="s">
        <v>190</v>
      </c>
      <c r="AA202" s="3" t="s">
        <v>225</v>
      </c>
      <c r="AB202" s="3">
        <v>0</v>
      </c>
      <c r="AC202" s="25" t="s">
        <v>248</v>
      </c>
      <c r="AE202" s="3" t="s">
        <v>191</v>
      </c>
      <c r="AF202" s="3" t="s">
        <v>225</v>
      </c>
      <c r="AG202" s="3">
        <v>0</v>
      </c>
      <c r="AH202" s="25" t="s">
        <v>248</v>
      </c>
      <c r="AJ202" s="3" t="s">
        <v>192</v>
      </c>
      <c r="AK202" s="3" t="s">
        <v>225</v>
      </c>
      <c r="AL202" s="3">
        <v>0</v>
      </c>
      <c r="AM202" s="25" t="s">
        <v>248</v>
      </c>
      <c r="AO202" s="3" t="s">
        <v>188</v>
      </c>
      <c r="AP202" s="3" t="s">
        <v>225</v>
      </c>
      <c r="AQ202" s="3">
        <v>0</v>
      </c>
      <c r="AR202" s="25" t="s">
        <v>248</v>
      </c>
      <c r="AT202" s="3" t="s">
        <v>187</v>
      </c>
      <c r="AU202" s="3" t="s">
        <v>225</v>
      </c>
      <c r="AV202" s="3">
        <v>0</v>
      </c>
      <c r="AW202" s="25" t="s">
        <v>248</v>
      </c>
      <c r="AY202" s="3" t="s">
        <v>186</v>
      </c>
      <c r="AZ202" s="3" t="s">
        <v>225</v>
      </c>
      <c r="BA202" s="3">
        <v>0</v>
      </c>
      <c r="BB202" s="25" t="s">
        <v>248</v>
      </c>
    </row>
    <row r="203" ht="15.5" spans="21:54">
      <c r="U203" s="3" t="s">
        <v>189</v>
      </c>
      <c r="V203" s="3" t="s">
        <v>226</v>
      </c>
      <c r="W203" s="3">
        <v>0</v>
      </c>
      <c r="X203" s="25" t="s">
        <v>248</v>
      </c>
      <c r="Z203" s="3" t="s">
        <v>190</v>
      </c>
      <c r="AA203" s="3" t="s">
        <v>226</v>
      </c>
      <c r="AB203" s="3">
        <v>0</v>
      </c>
      <c r="AC203" s="25" t="s">
        <v>248</v>
      </c>
      <c r="AE203" s="3" t="s">
        <v>191</v>
      </c>
      <c r="AF203" s="3" t="s">
        <v>226</v>
      </c>
      <c r="AG203" s="3">
        <v>0</v>
      </c>
      <c r="AH203" s="25" t="s">
        <v>248</v>
      </c>
      <c r="AJ203" s="3" t="s">
        <v>192</v>
      </c>
      <c r="AK203" s="3" t="s">
        <v>226</v>
      </c>
      <c r="AL203" s="3">
        <v>0</v>
      </c>
      <c r="AM203" s="25" t="s">
        <v>248</v>
      </c>
      <c r="AO203" s="3" t="s">
        <v>188</v>
      </c>
      <c r="AP203" s="3" t="s">
        <v>226</v>
      </c>
      <c r="AQ203" s="3">
        <v>0</v>
      </c>
      <c r="AR203" s="25" t="s">
        <v>248</v>
      </c>
      <c r="AT203" s="3" t="s">
        <v>187</v>
      </c>
      <c r="AU203" s="3" t="s">
        <v>226</v>
      </c>
      <c r="AV203" s="3">
        <v>0</v>
      </c>
      <c r="AW203" s="25" t="s">
        <v>248</v>
      </c>
      <c r="AY203" s="3" t="s">
        <v>186</v>
      </c>
      <c r="AZ203" s="3" t="s">
        <v>226</v>
      </c>
      <c r="BA203" s="3">
        <v>0</v>
      </c>
      <c r="BB203" s="25" t="s">
        <v>248</v>
      </c>
    </row>
    <row r="210" spans="21:54">
      <c r="V210" s="3" t="s">
        <v>215</v>
      </c>
      <c r="AA210" s="3" t="s">
        <v>215</v>
      </c>
      <c r="AF210" s="3" t="s">
        <v>215</v>
      </c>
      <c r="AK210" s="3" t="s">
        <v>215</v>
      </c>
      <c r="AP210" s="3" t="s">
        <v>215</v>
      </c>
      <c r="AU210" s="3" t="s">
        <v>215</v>
      </c>
      <c r="AZ210" s="3" t="s">
        <v>215</v>
      </c>
    </row>
    <row r="211" ht="15.5" spans="21:54">
      <c r="U211" s="3" t="s">
        <v>64</v>
      </c>
      <c r="V211" s="3" t="s">
        <v>95</v>
      </c>
      <c r="W211" s="3" t="s">
        <v>25</v>
      </c>
      <c r="X211" s="25" t="s">
        <v>41</v>
      </c>
      <c r="Z211" s="3" t="s">
        <v>64</v>
      </c>
      <c r="AA211" s="3" t="s">
        <v>95</v>
      </c>
      <c r="AB211" s="3" t="s">
        <v>25</v>
      </c>
      <c r="AC211" s="25" t="s">
        <v>41</v>
      </c>
      <c r="AE211" s="3" t="s">
        <v>64</v>
      </c>
      <c r="AF211" s="3" t="s">
        <v>95</v>
      </c>
      <c r="AG211" s="3" t="s">
        <v>25</v>
      </c>
      <c r="AH211" s="25" t="s">
        <v>41</v>
      </c>
      <c r="AJ211" s="3" t="s">
        <v>64</v>
      </c>
      <c r="AK211" s="3" t="s">
        <v>95</v>
      </c>
      <c r="AL211" s="3" t="s">
        <v>25</v>
      </c>
      <c r="AM211" s="25" t="s">
        <v>41</v>
      </c>
      <c r="AO211" s="3" t="s">
        <v>64</v>
      </c>
      <c r="AP211" s="3" t="s">
        <v>95</v>
      </c>
      <c r="AQ211" s="3" t="s">
        <v>25</v>
      </c>
      <c r="AR211" s="25" t="s">
        <v>41</v>
      </c>
      <c r="AT211" s="3" t="s">
        <v>64</v>
      </c>
      <c r="AU211" s="3" t="s">
        <v>95</v>
      </c>
      <c r="AV211" s="3" t="s">
        <v>25</v>
      </c>
      <c r="AW211" s="25" t="s">
        <v>41</v>
      </c>
      <c r="AY211" s="3" t="s">
        <v>64</v>
      </c>
      <c r="AZ211" s="3" t="s">
        <v>95</v>
      </c>
      <c r="BA211" s="3" t="s">
        <v>25</v>
      </c>
      <c r="BB211" s="25" t="s">
        <v>41</v>
      </c>
    </row>
    <row r="212" ht="15.5" spans="21:54">
      <c r="U212" s="3" t="s">
        <v>196</v>
      </c>
      <c r="V212" s="3" t="s">
        <v>217</v>
      </c>
      <c r="W212" s="3">
        <f>SUM(W174:W177)</f>
        <v>0.147818763685363</v>
      </c>
      <c r="X212" s="25" t="s">
        <v>248</v>
      </c>
      <c r="Z212" s="3" t="s">
        <v>197</v>
      </c>
      <c r="AA212" s="3" t="s">
        <v>217</v>
      </c>
      <c r="AB212" s="3">
        <f>SUM(AB174:AB177)</f>
        <v>0.143182207014542</v>
      </c>
      <c r="AC212" s="25" t="s">
        <v>248</v>
      </c>
      <c r="AE212" s="3" t="s">
        <v>198</v>
      </c>
      <c r="AF212" s="3" t="s">
        <v>217</v>
      </c>
      <c r="AG212" s="3">
        <f>SUM(AG174:AG177)</f>
        <v>0.148430493273542</v>
      </c>
      <c r="AH212" s="25" t="s">
        <v>248</v>
      </c>
      <c r="AJ212" s="3" t="s">
        <v>199</v>
      </c>
      <c r="AK212" s="3" t="s">
        <v>217</v>
      </c>
      <c r="AL212" s="3">
        <f>SUM(AL174:AL177)</f>
        <v>0.15117513267627</v>
      </c>
      <c r="AM212" s="25" t="s">
        <v>248</v>
      </c>
      <c r="AO212" s="3" t="s">
        <v>195</v>
      </c>
      <c r="AP212" s="3" t="s">
        <v>217</v>
      </c>
      <c r="AQ212" s="3">
        <f>SUM(AQ174:AQ177)</f>
        <v>0.156349058362857</v>
      </c>
      <c r="AR212" s="25" t="s">
        <v>248</v>
      </c>
      <c r="AT212" s="3" t="s">
        <v>194</v>
      </c>
      <c r="AU212" s="3" t="s">
        <v>217</v>
      </c>
      <c r="AV212" s="3">
        <f>SUM(AV174:AV177)</f>
        <v>0.124529721595184</v>
      </c>
      <c r="AW212" s="25" t="s">
        <v>248</v>
      </c>
      <c r="AY212" s="3" t="s">
        <v>193</v>
      </c>
      <c r="AZ212" s="3" t="s">
        <v>217</v>
      </c>
      <c r="BA212" s="3">
        <f>SUM(BA174:BA177)</f>
        <v>0.146356561726212</v>
      </c>
      <c r="BB212" s="25" t="s">
        <v>248</v>
      </c>
    </row>
    <row r="213" ht="15.5" spans="21:54">
      <c r="U213" s="3" t="s">
        <v>196</v>
      </c>
      <c r="V213" s="3" t="s">
        <v>224</v>
      </c>
      <c r="W213" s="3">
        <v>0</v>
      </c>
      <c r="X213" s="25" t="s">
        <v>248</v>
      </c>
      <c r="Z213" s="3" t="s">
        <v>197</v>
      </c>
      <c r="AA213" s="3" t="s">
        <v>224</v>
      </c>
      <c r="AB213" s="3">
        <v>0</v>
      </c>
      <c r="AC213" s="25" t="s">
        <v>248</v>
      </c>
      <c r="AE213" s="3" t="s">
        <v>198</v>
      </c>
      <c r="AF213" s="3" t="s">
        <v>224</v>
      </c>
      <c r="AG213" s="3">
        <v>0</v>
      </c>
      <c r="AH213" s="25" t="s">
        <v>248</v>
      </c>
      <c r="AJ213" s="3" t="s">
        <v>199</v>
      </c>
      <c r="AK213" s="3" t="s">
        <v>224</v>
      </c>
      <c r="AL213" s="3">
        <v>0</v>
      </c>
      <c r="AM213" s="25" t="s">
        <v>248</v>
      </c>
      <c r="AO213" s="3" t="s">
        <v>195</v>
      </c>
      <c r="AP213" s="3" t="s">
        <v>224</v>
      </c>
      <c r="AQ213" s="3">
        <v>0</v>
      </c>
      <c r="AR213" s="25" t="s">
        <v>248</v>
      </c>
      <c r="AT213" s="3" t="s">
        <v>194</v>
      </c>
      <c r="AU213" s="3" t="s">
        <v>224</v>
      </c>
      <c r="AV213" s="3">
        <v>0</v>
      </c>
      <c r="AW213" s="25" t="s">
        <v>248</v>
      </c>
      <c r="AY213" s="3" t="s">
        <v>193</v>
      </c>
      <c r="AZ213" s="3" t="s">
        <v>224</v>
      </c>
      <c r="BA213" s="3">
        <v>0</v>
      </c>
      <c r="BB213" s="25" t="s">
        <v>248</v>
      </c>
    </row>
    <row r="214" ht="15.5" spans="21:54">
      <c r="U214" s="3" t="s">
        <v>196</v>
      </c>
      <c r="V214" s="3" t="s">
        <v>225</v>
      </c>
      <c r="W214" s="3">
        <v>0</v>
      </c>
      <c r="X214" s="25" t="s">
        <v>248</v>
      </c>
      <c r="Z214" s="3" t="s">
        <v>197</v>
      </c>
      <c r="AA214" s="3" t="s">
        <v>225</v>
      </c>
      <c r="AB214" s="3">
        <v>0</v>
      </c>
      <c r="AC214" s="25" t="s">
        <v>248</v>
      </c>
      <c r="AE214" s="3" t="s">
        <v>198</v>
      </c>
      <c r="AF214" s="3" t="s">
        <v>225</v>
      </c>
      <c r="AG214" s="3">
        <v>0</v>
      </c>
      <c r="AH214" s="25" t="s">
        <v>248</v>
      </c>
      <c r="AJ214" s="3" t="s">
        <v>199</v>
      </c>
      <c r="AK214" s="3" t="s">
        <v>225</v>
      </c>
      <c r="AL214" s="3">
        <v>0</v>
      </c>
      <c r="AM214" s="25" t="s">
        <v>248</v>
      </c>
      <c r="AO214" s="3" t="s">
        <v>195</v>
      </c>
      <c r="AP214" s="3" t="s">
        <v>225</v>
      </c>
      <c r="AQ214" s="3">
        <v>0</v>
      </c>
      <c r="AR214" s="25" t="s">
        <v>248</v>
      </c>
      <c r="AT214" s="3" t="s">
        <v>194</v>
      </c>
      <c r="AU214" s="3" t="s">
        <v>225</v>
      </c>
      <c r="AV214" s="3">
        <v>0</v>
      </c>
      <c r="AW214" s="25" t="s">
        <v>248</v>
      </c>
      <c r="AY214" s="3" t="s">
        <v>193</v>
      </c>
      <c r="AZ214" s="3" t="s">
        <v>225</v>
      </c>
      <c r="BA214" s="3">
        <v>0</v>
      </c>
      <c r="BB214" s="25" t="s">
        <v>248</v>
      </c>
    </row>
    <row r="215" ht="15.5" spans="21:54">
      <c r="U215" s="3" t="s">
        <v>196</v>
      </c>
      <c r="V215" s="3" t="s">
        <v>226</v>
      </c>
      <c r="W215" s="3">
        <v>0</v>
      </c>
      <c r="X215" s="25" t="s">
        <v>248</v>
      </c>
      <c r="Z215" s="3" t="s">
        <v>197</v>
      </c>
      <c r="AA215" s="3" t="s">
        <v>226</v>
      </c>
      <c r="AB215" s="3">
        <v>0</v>
      </c>
      <c r="AC215" s="25" t="s">
        <v>248</v>
      </c>
      <c r="AE215" s="3" t="s">
        <v>198</v>
      </c>
      <c r="AF215" s="3" t="s">
        <v>226</v>
      </c>
      <c r="AG215" s="3">
        <v>0</v>
      </c>
      <c r="AH215" s="25" t="s">
        <v>248</v>
      </c>
      <c r="AJ215" s="3" t="s">
        <v>199</v>
      </c>
      <c r="AK215" s="3" t="s">
        <v>226</v>
      </c>
      <c r="AL215" s="3">
        <v>0</v>
      </c>
      <c r="AM215" s="25" t="s">
        <v>248</v>
      </c>
      <c r="AO215" s="3" t="s">
        <v>195</v>
      </c>
      <c r="AP215" s="3" t="s">
        <v>226</v>
      </c>
      <c r="AQ215" s="3">
        <v>0</v>
      </c>
      <c r="AR215" s="25" t="s">
        <v>248</v>
      </c>
      <c r="AT215" s="3" t="s">
        <v>194</v>
      </c>
      <c r="AU215" s="3" t="s">
        <v>226</v>
      </c>
      <c r="AV215" s="3">
        <v>0</v>
      </c>
      <c r="AW215" s="25" t="s">
        <v>248</v>
      </c>
      <c r="AY215" s="3" t="s">
        <v>193</v>
      </c>
      <c r="AZ215" s="3" t="s">
        <v>226</v>
      </c>
      <c r="BA215" s="3">
        <v>0</v>
      </c>
      <c r="BB215" s="25" t="s">
        <v>248</v>
      </c>
    </row>
    <row r="221" spans="21:54">
      <c r="V221" s="3" t="s">
        <v>215</v>
      </c>
      <c r="AA221" s="3" t="s">
        <v>215</v>
      </c>
      <c r="AF221" s="3" t="s">
        <v>215</v>
      </c>
      <c r="AK221" s="3" t="s">
        <v>215</v>
      </c>
      <c r="AP221" s="3" t="s">
        <v>215</v>
      </c>
      <c r="AU221" s="3" t="s">
        <v>215</v>
      </c>
      <c r="AZ221" s="3" t="s">
        <v>215</v>
      </c>
    </row>
    <row r="222" ht="15.5" spans="21:54">
      <c r="U222" s="3" t="s">
        <v>64</v>
      </c>
      <c r="V222" s="3" t="s">
        <v>95</v>
      </c>
      <c r="W222" s="3" t="s">
        <v>25</v>
      </c>
      <c r="X222" s="25" t="s">
        <v>41</v>
      </c>
      <c r="Z222" s="3" t="s">
        <v>64</v>
      </c>
      <c r="AA222" s="3" t="s">
        <v>95</v>
      </c>
      <c r="AB222" s="3" t="s">
        <v>25</v>
      </c>
      <c r="AC222" s="25" t="s">
        <v>41</v>
      </c>
      <c r="AE222" s="3" t="s">
        <v>64</v>
      </c>
      <c r="AF222" s="3" t="s">
        <v>95</v>
      </c>
      <c r="AG222" s="3" t="s">
        <v>25</v>
      </c>
      <c r="AH222" s="25" t="s">
        <v>41</v>
      </c>
      <c r="AJ222" s="3" t="s">
        <v>64</v>
      </c>
      <c r="AK222" s="3" t="s">
        <v>95</v>
      </c>
      <c r="AL222" s="3" t="s">
        <v>25</v>
      </c>
      <c r="AM222" s="25" t="s">
        <v>41</v>
      </c>
      <c r="AO222" s="3" t="s">
        <v>64</v>
      </c>
      <c r="AP222" s="3" t="s">
        <v>95</v>
      </c>
      <c r="AQ222" s="3" t="s">
        <v>25</v>
      </c>
      <c r="AR222" s="25" t="s">
        <v>41</v>
      </c>
      <c r="AT222" s="3" t="s">
        <v>64</v>
      </c>
      <c r="AU222" s="3" t="s">
        <v>95</v>
      </c>
      <c r="AV222" s="3" t="s">
        <v>25</v>
      </c>
      <c r="AW222" s="25" t="s">
        <v>41</v>
      </c>
      <c r="AY222" s="3" t="s">
        <v>64</v>
      </c>
      <c r="AZ222" s="3" t="s">
        <v>95</v>
      </c>
      <c r="BA222" s="3" t="s">
        <v>25</v>
      </c>
      <c r="BB222" s="25" t="s">
        <v>41</v>
      </c>
    </row>
    <row r="223" ht="15.5" spans="21:54">
      <c r="U223" s="3" t="s">
        <v>203</v>
      </c>
      <c r="V223" s="3" t="s">
        <v>217</v>
      </c>
      <c r="W223" s="3">
        <f>SUM(W185:W188)</f>
        <v>0.105086744146876</v>
      </c>
      <c r="X223" s="25" t="s">
        <v>248</v>
      </c>
      <c r="Z223" s="3" t="s">
        <v>204</v>
      </c>
      <c r="AA223" s="3" t="s">
        <v>217</v>
      </c>
      <c r="AB223" s="3">
        <f>SUM(AB185:AB188)</f>
        <v>0.103319076133447</v>
      </c>
      <c r="AC223" s="25" t="s">
        <v>248</v>
      </c>
      <c r="AE223" s="3" t="s">
        <v>205</v>
      </c>
      <c r="AF223" s="3" t="s">
        <v>217</v>
      </c>
      <c r="AG223" s="3">
        <f>SUM(AG185:AG188)</f>
        <v>0.107497757847534</v>
      </c>
      <c r="AH223" s="25" t="s">
        <v>248</v>
      </c>
      <c r="AJ223" s="3" t="s">
        <v>206</v>
      </c>
      <c r="AK223" s="3" t="s">
        <v>217</v>
      </c>
      <c r="AL223" s="3">
        <f>SUM(AL185:AL188)</f>
        <v>0.108965125094769</v>
      </c>
      <c r="AM223" s="25" t="s">
        <v>248</v>
      </c>
      <c r="AO223" s="3" t="s">
        <v>202</v>
      </c>
      <c r="AP223" s="3" t="s">
        <v>217</v>
      </c>
      <c r="AQ223" s="3">
        <f>SUM(AQ185:AQ188)</f>
        <v>0.109416371433899</v>
      </c>
      <c r="AR223" s="25" t="s">
        <v>248</v>
      </c>
      <c r="AT223" s="3" t="s">
        <v>201</v>
      </c>
      <c r="AU223" s="3" t="s">
        <v>217</v>
      </c>
      <c r="AV223" s="3">
        <f>SUM(AV185:AV188)</f>
        <v>0.0901881113619263</v>
      </c>
      <c r="AW223" s="25" t="s">
        <v>248</v>
      </c>
      <c r="AY223" s="3" t="s">
        <v>200</v>
      </c>
      <c r="AZ223" s="3" t="s">
        <v>217</v>
      </c>
      <c r="BA223" s="3">
        <f>SUM(BA185:BA188)</f>
        <v>0.105995755217545</v>
      </c>
      <c r="BB223" s="25" t="s">
        <v>248</v>
      </c>
    </row>
    <row r="224" ht="15.5" spans="21:54">
      <c r="U224" s="3" t="s">
        <v>203</v>
      </c>
      <c r="V224" s="3" t="s">
        <v>224</v>
      </c>
      <c r="W224" s="3">
        <v>0</v>
      </c>
      <c r="X224" s="25" t="s">
        <v>248</v>
      </c>
      <c r="Z224" s="3" t="s">
        <v>204</v>
      </c>
      <c r="AA224" s="3" t="s">
        <v>224</v>
      </c>
      <c r="AB224" s="3">
        <v>0</v>
      </c>
      <c r="AC224" s="25" t="s">
        <v>248</v>
      </c>
      <c r="AE224" s="3" t="s">
        <v>205</v>
      </c>
      <c r="AF224" s="3" t="s">
        <v>224</v>
      </c>
      <c r="AG224" s="3">
        <v>0</v>
      </c>
      <c r="AH224" s="25" t="s">
        <v>248</v>
      </c>
      <c r="AJ224" s="3" t="s">
        <v>206</v>
      </c>
      <c r="AK224" s="3" t="s">
        <v>224</v>
      </c>
      <c r="AL224" s="3">
        <v>0</v>
      </c>
      <c r="AM224" s="25" t="s">
        <v>248</v>
      </c>
      <c r="AO224" s="3" t="s">
        <v>202</v>
      </c>
      <c r="AP224" s="3" t="s">
        <v>224</v>
      </c>
      <c r="AQ224" s="3">
        <v>0</v>
      </c>
      <c r="AR224" s="25" t="s">
        <v>248</v>
      </c>
      <c r="AT224" s="3" t="s">
        <v>201</v>
      </c>
      <c r="AU224" s="3" t="s">
        <v>224</v>
      </c>
      <c r="AV224" s="3">
        <v>0</v>
      </c>
      <c r="AW224" s="25" t="s">
        <v>248</v>
      </c>
      <c r="AY224" s="3" t="s">
        <v>200</v>
      </c>
      <c r="AZ224" s="3" t="s">
        <v>224</v>
      </c>
      <c r="BA224" s="3">
        <v>0</v>
      </c>
      <c r="BB224" s="25" t="s">
        <v>248</v>
      </c>
    </row>
    <row r="225" ht="15.5" spans="21:54">
      <c r="U225" s="3" t="s">
        <v>203</v>
      </c>
      <c r="V225" s="3" t="s">
        <v>225</v>
      </c>
      <c r="W225" s="3">
        <v>0</v>
      </c>
      <c r="X225" s="25" t="s">
        <v>248</v>
      </c>
      <c r="Z225" s="3" t="s">
        <v>204</v>
      </c>
      <c r="AA225" s="3" t="s">
        <v>225</v>
      </c>
      <c r="AB225" s="3">
        <v>0</v>
      </c>
      <c r="AC225" s="25" t="s">
        <v>248</v>
      </c>
      <c r="AE225" s="3" t="s">
        <v>205</v>
      </c>
      <c r="AF225" s="3" t="s">
        <v>225</v>
      </c>
      <c r="AG225" s="3">
        <v>0</v>
      </c>
      <c r="AH225" s="25" t="s">
        <v>248</v>
      </c>
      <c r="AJ225" s="3" t="s">
        <v>206</v>
      </c>
      <c r="AK225" s="3" t="s">
        <v>225</v>
      </c>
      <c r="AL225" s="3">
        <v>0</v>
      </c>
      <c r="AM225" s="25" t="s">
        <v>248</v>
      </c>
      <c r="AO225" s="3" t="s">
        <v>202</v>
      </c>
      <c r="AP225" s="3" t="s">
        <v>225</v>
      </c>
      <c r="AQ225" s="3">
        <v>0</v>
      </c>
      <c r="AR225" s="25" t="s">
        <v>248</v>
      </c>
      <c r="AT225" s="3" t="s">
        <v>201</v>
      </c>
      <c r="AU225" s="3" t="s">
        <v>225</v>
      </c>
      <c r="AV225" s="3">
        <v>0</v>
      </c>
      <c r="AW225" s="25" t="s">
        <v>248</v>
      </c>
      <c r="AY225" s="3" t="s">
        <v>200</v>
      </c>
      <c r="AZ225" s="3" t="s">
        <v>225</v>
      </c>
      <c r="BA225" s="3">
        <v>0</v>
      </c>
      <c r="BB225" s="25" t="s">
        <v>248</v>
      </c>
    </row>
    <row r="226" ht="15.5" spans="21:54">
      <c r="U226" s="3" t="s">
        <v>203</v>
      </c>
      <c r="V226" s="3" t="s">
        <v>226</v>
      </c>
      <c r="W226" s="3">
        <v>0</v>
      </c>
      <c r="X226" s="25" t="s">
        <v>248</v>
      </c>
      <c r="Z226" s="3" t="s">
        <v>204</v>
      </c>
      <c r="AA226" s="3" t="s">
        <v>226</v>
      </c>
      <c r="AB226" s="3">
        <v>0</v>
      </c>
      <c r="AC226" s="25" t="s">
        <v>248</v>
      </c>
      <c r="AE226" s="3" t="s">
        <v>205</v>
      </c>
      <c r="AF226" s="3" t="s">
        <v>226</v>
      </c>
      <c r="AG226" s="3">
        <v>0</v>
      </c>
      <c r="AH226" s="25" t="s">
        <v>248</v>
      </c>
      <c r="AJ226" s="3" t="s">
        <v>206</v>
      </c>
      <c r="AK226" s="3" t="s">
        <v>226</v>
      </c>
      <c r="AL226" s="3">
        <v>0</v>
      </c>
      <c r="AM226" s="25" t="s">
        <v>248</v>
      </c>
      <c r="AO226" s="3" t="s">
        <v>202</v>
      </c>
      <c r="AP226" s="3" t="s">
        <v>226</v>
      </c>
      <c r="AQ226" s="3">
        <v>0</v>
      </c>
      <c r="AR226" s="25" t="s">
        <v>248</v>
      </c>
      <c r="AT226" s="3" t="s">
        <v>201</v>
      </c>
      <c r="AU226" s="3" t="s">
        <v>226</v>
      </c>
      <c r="AV226" s="3">
        <v>0</v>
      </c>
      <c r="AW226" s="25" t="s">
        <v>248</v>
      </c>
      <c r="AY226" s="3" t="s">
        <v>200</v>
      </c>
      <c r="AZ226" s="3" t="s">
        <v>226</v>
      </c>
      <c r="BA226" s="3">
        <v>0</v>
      </c>
      <c r="BB226" s="25" t="s">
        <v>248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249</v>
      </c>
      <c r="B1" s="5"/>
      <c r="C1" s="5"/>
      <c r="D1" s="5"/>
      <c r="E1" s="5"/>
      <c r="F1" s="5"/>
      <c r="G1" s="5"/>
      <c r="H1" s="5"/>
      <c r="I1" s="5"/>
      <c r="J1" s="5"/>
      <c r="K1" s="6"/>
      <c r="L1" s="6" t="s">
        <v>250</v>
      </c>
      <c r="M1" s="6"/>
      <c r="N1" s="6"/>
      <c r="O1" s="6"/>
      <c r="P1" s="6"/>
      <c r="Q1" s="6"/>
      <c r="R1" s="6"/>
      <c r="S1" s="6"/>
      <c r="T1" s="6"/>
      <c r="U1" s="6"/>
      <c r="V1" s="6"/>
      <c r="W1" s="6" t="s">
        <v>251</v>
      </c>
      <c r="X1" s="6"/>
      <c r="Y1" s="6"/>
      <c r="Z1" s="6"/>
      <c r="AA1" s="6"/>
      <c r="AB1" s="7" t="s">
        <v>252</v>
      </c>
      <c r="AC1" s="7"/>
      <c r="AD1" s="6"/>
      <c r="AE1" s="6"/>
      <c r="AF1" s="6" t="s">
        <v>253</v>
      </c>
      <c r="AG1" s="6"/>
      <c r="AH1" s="6"/>
      <c r="AI1" s="6"/>
      <c r="AJ1" s="6"/>
      <c r="AK1" s="6"/>
      <c r="AL1" s="6"/>
      <c r="AM1" s="6"/>
      <c r="AN1" s="6"/>
      <c r="AO1" s="6" t="s">
        <v>254</v>
      </c>
      <c r="AP1" s="6"/>
      <c r="AQ1" s="6"/>
      <c r="AR1" s="6"/>
      <c r="AS1" s="6"/>
      <c r="AT1" s="6"/>
      <c r="AU1" s="6"/>
      <c r="AZ1" s="5" t="s">
        <v>249</v>
      </c>
      <c r="BA1" s="5"/>
      <c r="BB1" s="5"/>
      <c r="BC1" s="5"/>
      <c r="BD1" s="5"/>
      <c r="BE1" s="5"/>
      <c r="BF1" s="5"/>
      <c r="BG1" s="5"/>
      <c r="BH1" s="5"/>
      <c r="BI1" s="5"/>
      <c r="BJ1" s="6"/>
      <c r="BK1" s="6"/>
      <c r="BL1" s="6"/>
      <c r="BM1" s="6"/>
      <c r="BN1" s="6"/>
      <c r="BO1" s="6"/>
    </row>
    <row r="2" ht="30" spans="1:67">
      <c r="A2" s="5" t="s">
        <v>228</v>
      </c>
      <c r="B2" s="5" t="s">
        <v>255</v>
      </c>
      <c r="C2" s="5" t="s">
        <v>230</v>
      </c>
      <c r="D2" s="5"/>
      <c r="E2" s="5"/>
      <c r="F2" s="5"/>
      <c r="G2" s="5"/>
      <c r="H2" s="5"/>
      <c r="I2" s="5"/>
      <c r="J2" s="5"/>
      <c r="K2" s="6"/>
      <c r="L2" s="6"/>
      <c r="M2" s="6"/>
      <c r="N2" s="6"/>
      <c r="O2" s="6"/>
      <c r="P2" s="6"/>
      <c r="Q2" s="6"/>
      <c r="R2" s="6"/>
      <c r="S2" s="6"/>
      <c r="T2" s="6"/>
      <c r="U2" s="6"/>
      <c r="V2" s="8" t="s">
        <v>256</v>
      </c>
      <c r="W2" s="6"/>
      <c r="X2" s="6"/>
      <c r="Y2" s="6"/>
      <c r="Z2" s="6"/>
      <c r="AA2" s="6"/>
      <c r="AB2" s="6"/>
      <c r="AC2" s="6"/>
      <c r="AD2" s="6"/>
      <c r="AE2" s="6"/>
      <c r="AF2" s="6"/>
      <c r="AG2" s="6"/>
      <c r="AH2" s="6"/>
      <c r="AI2" s="6"/>
      <c r="AJ2" s="6"/>
      <c r="AK2" s="6"/>
      <c r="AL2" s="6"/>
      <c r="AM2" s="6"/>
      <c r="AN2" s="6"/>
      <c r="AO2" s="6"/>
      <c r="AP2" s="6"/>
      <c r="AQ2" s="6"/>
      <c r="AR2" s="6"/>
      <c r="AS2" s="6"/>
      <c r="AT2" s="6"/>
      <c r="AU2" s="6"/>
      <c r="AZ2" s="5" t="s">
        <v>228</v>
      </c>
      <c r="BA2" s="5" t="s">
        <v>255</v>
      </c>
      <c r="BB2" s="5" t="s">
        <v>230</v>
      </c>
      <c r="BC2" s="5"/>
      <c r="BD2" s="5"/>
      <c r="BE2" s="5"/>
      <c r="BF2" s="5"/>
      <c r="BG2" s="5"/>
      <c r="BH2" s="5"/>
      <c r="BI2" s="5"/>
      <c r="BJ2" s="6"/>
      <c r="BK2" s="6"/>
      <c r="BL2" s="6"/>
      <c r="BM2" s="6"/>
      <c r="BN2" s="6"/>
      <c r="BO2" s="6"/>
    </row>
    <row r="3" ht="30" spans="1:67">
      <c r="A3" s="5"/>
      <c r="B3" s="5"/>
      <c r="C3" s="9" t="s">
        <v>231</v>
      </c>
      <c r="D3" s="6" t="s">
        <v>232</v>
      </c>
      <c r="E3" s="6" t="s">
        <v>233</v>
      </c>
      <c r="F3" s="10" t="s">
        <v>234</v>
      </c>
      <c r="G3" s="6" t="s">
        <v>235</v>
      </c>
      <c r="H3" s="6" t="s">
        <v>236</v>
      </c>
      <c r="I3" s="6" t="s">
        <v>237</v>
      </c>
      <c r="J3" s="6" t="s">
        <v>238</v>
      </c>
      <c r="K3" s="6"/>
      <c r="L3" s="11" t="s">
        <v>231</v>
      </c>
      <c r="M3" s="6" t="s">
        <v>232</v>
      </c>
      <c r="N3" s="6" t="s">
        <v>233</v>
      </c>
      <c r="O3" s="6" t="s">
        <v>234</v>
      </c>
      <c r="P3" s="6" t="s">
        <v>235</v>
      </c>
      <c r="Q3" s="6" t="s">
        <v>236</v>
      </c>
      <c r="R3" s="6" t="s">
        <v>237</v>
      </c>
      <c r="S3" s="6" t="s">
        <v>238</v>
      </c>
      <c r="T3" s="6"/>
      <c r="U3" s="6"/>
      <c r="V3" s="8" t="s">
        <v>257</v>
      </c>
      <c r="W3" s="6" t="s">
        <v>232</v>
      </c>
      <c r="X3" s="6" t="s">
        <v>233</v>
      </c>
      <c r="Y3" s="10" t="s">
        <v>234</v>
      </c>
      <c r="Z3" s="6" t="s">
        <v>235</v>
      </c>
      <c r="AA3" s="6" t="s">
        <v>236</v>
      </c>
      <c r="AB3" s="12" t="s">
        <v>237</v>
      </c>
      <c r="AC3" s="12" t="s">
        <v>238</v>
      </c>
      <c r="AD3" s="6"/>
      <c r="AE3" s="6"/>
      <c r="AF3" s="6" t="s">
        <v>232</v>
      </c>
      <c r="AG3" s="6" t="s">
        <v>233</v>
      </c>
      <c r="AH3" s="10" t="s">
        <v>234</v>
      </c>
      <c r="AI3" s="6" t="s">
        <v>235</v>
      </c>
      <c r="AJ3" s="6" t="s">
        <v>236</v>
      </c>
      <c r="AK3" s="12" t="s">
        <v>237</v>
      </c>
      <c r="AL3" s="12" t="s">
        <v>238</v>
      </c>
      <c r="AM3" s="6"/>
      <c r="AN3" s="6"/>
      <c r="AO3" s="6" t="s">
        <v>232</v>
      </c>
      <c r="AP3" s="6" t="s">
        <v>233</v>
      </c>
      <c r="AQ3" s="10" t="s">
        <v>234</v>
      </c>
      <c r="AR3" s="6" t="s">
        <v>235</v>
      </c>
      <c r="AS3" s="6" t="s">
        <v>236</v>
      </c>
      <c r="AT3" s="12" t="s">
        <v>237</v>
      </c>
      <c r="AU3" s="12" t="s">
        <v>238</v>
      </c>
      <c r="AZ3" s="5"/>
      <c r="BA3" s="5"/>
      <c r="BB3" s="9" t="s">
        <v>231</v>
      </c>
      <c r="BC3" s="6" t="s">
        <v>232</v>
      </c>
      <c r="BD3" s="6" t="s">
        <v>233</v>
      </c>
      <c r="BE3" s="10" t="s">
        <v>234</v>
      </c>
      <c r="BF3" s="6" t="s">
        <v>235</v>
      </c>
      <c r="BG3" s="6" t="s">
        <v>236</v>
      </c>
      <c r="BH3" s="6" t="s">
        <v>237</v>
      </c>
      <c r="BI3" s="6" t="s">
        <v>238</v>
      </c>
      <c r="BJ3" s="6"/>
      <c r="BK3" s="11"/>
      <c r="BL3" s="6"/>
      <c r="BM3" s="6"/>
      <c r="BN3" s="6"/>
      <c r="BO3" s="6"/>
    </row>
    <row r="4" ht="15.5" spans="1:67">
      <c r="A4" s="5" t="s">
        <v>239</v>
      </c>
      <c r="B4" s="13" t="s">
        <v>240</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239</v>
      </c>
      <c r="V4" s="13" t="s">
        <v>240</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239</v>
      </c>
      <c r="BA4" s="13" t="s">
        <v>240</v>
      </c>
      <c r="BB4" s="14">
        <v>837.4</v>
      </c>
      <c r="BC4" s="16">
        <v>808.1</v>
      </c>
      <c r="BD4" s="16">
        <v>770.5</v>
      </c>
      <c r="BE4" s="16">
        <v>760</v>
      </c>
      <c r="BF4" s="16">
        <v>755.1</v>
      </c>
      <c r="BG4" s="16">
        <v>796</v>
      </c>
      <c r="BH4" s="16">
        <v>760</v>
      </c>
      <c r="BI4" s="16">
        <v>760</v>
      </c>
      <c r="BJ4" s="6"/>
      <c r="BK4" s="11"/>
      <c r="BL4" s="15"/>
      <c r="BM4" s="15"/>
      <c r="BN4" s="15"/>
      <c r="BO4" s="15"/>
    </row>
    <row r="5" ht="15.5" spans="1:67">
      <c r="A5" s="5"/>
      <c r="B5" s="13" t="s">
        <v>241</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241</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241</v>
      </c>
      <c r="BB5" s="14">
        <v>770.1</v>
      </c>
      <c r="BC5" s="16">
        <v>745.7</v>
      </c>
      <c r="BD5" s="16">
        <v>711.5</v>
      </c>
      <c r="BE5" s="16">
        <v>702.1</v>
      </c>
      <c r="BF5" s="16">
        <v>694.8</v>
      </c>
      <c r="BG5" s="16">
        <v>733.8</v>
      </c>
      <c r="BH5" s="16">
        <v>702.1</v>
      </c>
      <c r="BI5" s="16">
        <v>702.1</v>
      </c>
      <c r="BJ5" s="6"/>
      <c r="BK5" s="6"/>
      <c r="BL5" s="19"/>
      <c r="BM5" s="19"/>
      <c r="BN5" s="19"/>
      <c r="BO5" s="19"/>
    </row>
    <row r="6" ht="15.5" spans="1:67">
      <c r="A6" s="5"/>
      <c r="B6" s="13" t="s">
        <v>242</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242</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242</v>
      </c>
      <c r="BB6" s="14">
        <v>198.6</v>
      </c>
      <c r="BC6" s="16">
        <v>171.7</v>
      </c>
      <c r="BD6" s="16">
        <v>161.1</v>
      </c>
      <c r="BE6" s="16">
        <v>157.9</v>
      </c>
      <c r="BF6" s="16">
        <v>152.1</v>
      </c>
      <c r="BG6" s="16">
        <v>158.8</v>
      </c>
      <c r="BH6" s="16">
        <v>157.9</v>
      </c>
      <c r="BI6" s="16">
        <v>157.9</v>
      </c>
      <c r="BJ6" s="6"/>
      <c r="BK6" s="6"/>
      <c r="BL6" s="19"/>
      <c r="BM6" s="19"/>
      <c r="BN6" s="19"/>
      <c r="BO6" s="19"/>
    </row>
    <row r="7" ht="15.5" spans="1:67">
      <c r="A7" s="5"/>
      <c r="B7" s="13" t="s">
        <v>243</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243</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243</v>
      </c>
      <c r="BB7" s="14">
        <v>487</v>
      </c>
      <c r="BC7" s="16">
        <v>496.7</v>
      </c>
      <c r="BD7" s="16">
        <v>475.8</v>
      </c>
      <c r="BE7" s="16">
        <v>470.5</v>
      </c>
      <c r="BF7" s="16">
        <v>466.5</v>
      </c>
      <c r="BG7" s="16">
        <v>496</v>
      </c>
      <c r="BH7" s="16">
        <v>470.5</v>
      </c>
      <c r="BI7" s="16">
        <v>470.5</v>
      </c>
      <c r="BJ7" s="6"/>
      <c r="BK7" s="6"/>
      <c r="BL7" s="19"/>
      <c r="BM7" s="19"/>
      <c r="BN7" s="19"/>
      <c r="BO7" s="19"/>
    </row>
    <row r="8" ht="15.5" spans="1:67">
      <c r="A8" s="5"/>
      <c r="B8" s="13" t="s">
        <v>244</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244</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244</v>
      </c>
      <c r="BB8" s="14">
        <v>84.5</v>
      </c>
      <c r="BC8" s="16">
        <v>77.3</v>
      </c>
      <c r="BD8" s="16">
        <v>74.5</v>
      </c>
      <c r="BE8" s="16">
        <v>73.6</v>
      </c>
      <c r="BF8" s="16">
        <v>76.1</v>
      </c>
      <c r="BG8" s="16">
        <v>78.9</v>
      </c>
      <c r="BH8" s="16">
        <v>73.6</v>
      </c>
      <c r="BI8" s="16">
        <v>73.6</v>
      </c>
      <c r="BJ8" s="6"/>
      <c r="BK8" s="6"/>
      <c r="BL8" s="19"/>
      <c r="BM8" s="19"/>
      <c r="BN8" s="19"/>
      <c r="BO8" s="19"/>
    </row>
    <row r="9" ht="15.5" spans="1:67">
      <c r="A9" s="5" t="s">
        <v>245</v>
      </c>
      <c r="B9" s="13" t="s">
        <v>240</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245</v>
      </c>
      <c r="V9" s="13" t="s">
        <v>240</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245</v>
      </c>
      <c r="BA9" s="13" t="s">
        <v>240</v>
      </c>
      <c r="BB9" s="14">
        <v>855</v>
      </c>
      <c r="BC9" s="16">
        <v>824.1</v>
      </c>
      <c r="BD9" s="16">
        <v>785.7</v>
      </c>
      <c r="BE9" s="16">
        <v>775</v>
      </c>
      <c r="BF9" s="16">
        <v>770.2</v>
      </c>
      <c r="BG9" s="16">
        <v>811.6</v>
      </c>
      <c r="BH9" s="16">
        <v>775</v>
      </c>
      <c r="BI9" s="16">
        <v>775</v>
      </c>
      <c r="BJ9" s="6"/>
      <c r="BK9" s="6"/>
      <c r="BL9" s="19"/>
      <c r="BM9" s="19"/>
      <c r="BN9" s="19"/>
      <c r="BO9" s="19"/>
    </row>
    <row r="10" ht="15.5" spans="1:67">
      <c r="A10" s="5"/>
      <c r="B10" s="13" t="s">
        <v>241</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241</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241</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242</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242</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242</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243</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243</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243</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244</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244</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244</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240</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240</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240</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241</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241</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241</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242</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242</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242</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243</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243</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243</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244</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244</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244</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258</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258</v>
      </c>
      <c r="BA21" s="5"/>
      <c r="BB21" s="5"/>
      <c r="BC21" s="5"/>
      <c r="BD21" s="5"/>
      <c r="BE21" s="5"/>
      <c r="BF21" s="5"/>
      <c r="BG21" s="5"/>
      <c r="BH21" s="5"/>
      <c r="BI21" s="5"/>
      <c r="BJ21" s="6"/>
      <c r="BK21" s="6"/>
      <c r="BL21" s="6"/>
      <c r="BM21" s="6"/>
      <c r="BN21" s="6"/>
      <c r="BO21" s="6"/>
    </row>
    <row r="22" ht="15.5" spans="1:67">
      <c r="A22" s="5" t="s">
        <v>228</v>
      </c>
      <c r="B22" s="5" t="s">
        <v>259</v>
      </c>
      <c r="C22" s="5" t="s">
        <v>230</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228</v>
      </c>
      <c r="BA22" s="5" t="s">
        <v>259</v>
      </c>
      <c r="BB22" s="5" t="s">
        <v>230</v>
      </c>
      <c r="BC22" s="5"/>
      <c r="BD22" s="5"/>
      <c r="BE22" s="5"/>
      <c r="BF22" s="5"/>
      <c r="BG22" s="5"/>
      <c r="BH22" s="5"/>
      <c r="BI22" s="5"/>
      <c r="BJ22" s="6"/>
      <c r="BK22" s="6"/>
      <c r="BL22" s="6"/>
      <c r="BM22" s="6"/>
      <c r="BN22" s="6"/>
      <c r="BO22" s="6"/>
    </row>
    <row r="23" ht="30" spans="1:67">
      <c r="A23" s="5"/>
      <c r="B23" s="5"/>
      <c r="C23" s="9" t="s">
        <v>231</v>
      </c>
      <c r="D23" s="6" t="s">
        <v>232</v>
      </c>
      <c r="E23" s="6" t="s">
        <v>233</v>
      </c>
      <c r="F23" s="10" t="s">
        <v>234</v>
      </c>
      <c r="G23" s="6" t="s">
        <v>235</v>
      </c>
      <c r="H23" s="6" t="s">
        <v>236</v>
      </c>
      <c r="I23" s="6" t="s">
        <v>237</v>
      </c>
      <c r="J23" s="6" t="s">
        <v>238</v>
      </c>
      <c r="K23" s="6"/>
      <c r="L23" s="6"/>
      <c r="M23" s="6" t="s">
        <v>232</v>
      </c>
      <c r="N23" s="6" t="s">
        <v>233</v>
      </c>
      <c r="O23" s="6" t="s">
        <v>234</v>
      </c>
      <c r="P23" s="6" t="s">
        <v>235</v>
      </c>
      <c r="Q23" s="6" t="s">
        <v>236</v>
      </c>
      <c r="R23" s="6" t="s">
        <v>237</v>
      </c>
      <c r="S23" s="6" t="s">
        <v>238</v>
      </c>
      <c r="T23" s="6"/>
      <c r="U23" s="6"/>
      <c r="V23" s="8" t="s">
        <v>257</v>
      </c>
      <c r="W23" s="6" t="s">
        <v>232</v>
      </c>
      <c r="X23" s="6" t="s">
        <v>233</v>
      </c>
      <c r="Y23" s="10" t="s">
        <v>234</v>
      </c>
      <c r="Z23" s="6" t="s">
        <v>235</v>
      </c>
      <c r="AA23" s="6" t="s">
        <v>236</v>
      </c>
      <c r="AB23" s="12" t="s">
        <v>237</v>
      </c>
      <c r="AC23" s="12" t="s">
        <v>238</v>
      </c>
      <c r="AD23" s="6"/>
      <c r="AE23" s="6"/>
      <c r="AF23" s="6" t="s">
        <v>232</v>
      </c>
      <c r="AG23" s="6" t="s">
        <v>233</v>
      </c>
      <c r="AH23" s="10" t="s">
        <v>234</v>
      </c>
      <c r="AI23" s="6" t="s">
        <v>235</v>
      </c>
      <c r="AJ23" s="6" t="s">
        <v>236</v>
      </c>
      <c r="AK23" s="12" t="s">
        <v>237</v>
      </c>
      <c r="AL23" s="12" t="s">
        <v>238</v>
      </c>
      <c r="AM23" s="6"/>
      <c r="AN23" s="6"/>
      <c r="AO23" s="6" t="s">
        <v>232</v>
      </c>
      <c r="AP23" s="6" t="s">
        <v>233</v>
      </c>
      <c r="AQ23" s="10" t="s">
        <v>234</v>
      </c>
      <c r="AR23" s="6" t="s">
        <v>235</v>
      </c>
      <c r="AS23" s="6" t="s">
        <v>236</v>
      </c>
      <c r="AT23" s="12" t="s">
        <v>237</v>
      </c>
      <c r="AU23" s="12" t="s">
        <v>238</v>
      </c>
      <c r="AZ23" s="5"/>
      <c r="BA23" s="5"/>
      <c r="BB23" s="9" t="s">
        <v>231</v>
      </c>
      <c r="BC23" s="6" t="s">
        <v>232</v>
      </c>
      <c r="BD23" s="6" t="s">
        <v>233</v>
      </c>
      <c r="BE23" s="10" t="s">
        <v>234</v>
      </c>
      <c r="BF23" s="6" t="s">
        <v>235</v>
      </c>
      <c r="BG23" s="6" t="s">
        <v>236</v>
      </c>
      <c r="BH23" s="6" t="s">
        <v>237</v>
      </c>
      <c r="BI23" s="6" t="s">
        <v>238</v>
      </c>
      <c r="BJ23" s="6"/>
      <c r="BK23" s="6"/>
      <c r="BL23" s="6"/>
      <c r="BM23" s="6"/>
      <c r="BN23" s="6"/>
      <c r="BO23" s="6"/>
    </row>
    <row r="24" ht="15.5" spans="1:67">
      <c r="A24" s="5" t="s">
        <v>239</v>
      </c>
      <c r="B24" s="13" t="s">
        <v>240</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239</v>
      </c>
      <c r="V24" s="13" t="s">
        <v>240</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239</v>
      </c>
      <c r="BA24" s="13" t="s">
        <v>240</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241</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241</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241</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242</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242</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242</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243</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243</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243</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244</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244</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244</v>
      </c>
      <c r="BB28" s="14">
        <v>85</v>
      </c>
      <c r="BC28" s="16">
        <v>78.6</v>
      </c>
      <c r="BD28" s="16">
        <v>76.3</v>
      </c>
      <c r="BE28" s="16">
        <v>75.9</v>
      </c>
      <c r="BF28" s="16">
        <v>73.7</v>
      </c>
      <c r="BG28" s="16">
        <v>76</v>
      </c>
      <c r="BH28" s="16">
        <v>75.9</v>
      </c>
      <c r="BI28" s="16">
        <v>75.9</v>
      </c>
      <c r="BJ28" s="6"/>
      <c r="BK28" s="6"/>
      <c r="BL28" s="19"/>
      <c r="BM28" s="19"/>
      <c r="BN28" s="19"/>
      <c r="BO28" s="19"/>
    </row>
    <row r="29" ht="15.5" spans="1:67">
      <c r="A29" s="5" t="s">
        <v>245</v>
      </c>
      <c r="B29" s="13" t="s">
        <v>240</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245</v>
      </c>
      <c r="V29" s="13" t="s">
        <v>240</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245</v>
      </c>
      <c r="BA29" s="13" t="s">
        <v>240</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241</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241</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241</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242</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242</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242</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243</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243</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243</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244</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244</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244</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240</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240</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240</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241</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241</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241</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242</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242</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242</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243</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243</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243</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244</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244</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244</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260</v>
      </c>
      <c r="B41" s="5"/>
      <c r="C41" s="5"/>
      <c r="D41" s="5"/>
      <c r="E41" s="5"/>
      <c r="F41" s="5"/>
      <c r="G41" s="5"/>
      <c r="H41" s="5"/>
      <c r="I41" s="5"/>
      <c r="J41" s="5"/>
      <c r="K41" s="6"/>
      <c r="L41" s="6"/>
      <c r="M41" s="6"/>
      <c r="N41" s="6"/>
      <c r="O41" s="6"/>
      <c r="P41" s="6"/>
      <c r="Q41" s="6"/>
      <c r="R41" s="6"/>
      <c r="S41" s="6"/>
      <c r="T41" s="6"/>
      <c r="AZ41" s="5" t="s">
        <v>260</v>
      </c>
      <c r="BA41" s="5"/>
      <c r="BB41" s="5"/>
      <c r="BC41" s="5"/>
      <c r="BD41" s="5"/>
      <c r="BE41" s="5"/>
      <c r="BF41" s="5"/>
      <c r="BG41" s="5"/>
      <c r="BH41" s="5"/>
      <c r="BI41" s="5"/>
      <c r="BJ41" s="6"/>
      <c r="BK41" s="6"/>
      <c r="BL41" s="6"/>
      <c r="BM41" s="6"/>
      <c r="BN41" s="6"/>
      <c r="BO41" s="6"/>
    </row>
    <row r="42" ht="15.5" spans="1:67">
      <c r="A42" s="5" t="s">
        <v>228</v>
      </c>
      <c r="B42" s="5" t="s">
        <v>259</v>
      </c>
      <c r="C42" s="5" t="s">
        <v>230</v>
      </c>
      <c r="D42" s="5"/>
      <c r="E42" s="5"/>
      <c r="F42" s="5"/>
      <c r="G42" s="5"/>
      <c r="H42" s="5"/>
      <c r="I42" s="5"/>
      <c r="J42" s="5"/>
      <c r="K42" s="6"/>
      <c r="L42" s="6"/>
      <c r="M42" s="6"/>
      <c r="N42" s="6"/>
      <c r="O42" s="6"/>
      <c r="P42" s="6"/>
      <c r="Q42" s="6"/>
      <c r="R42" s="6"/>
      <c r="S42" s="6"/>
      <c r="T42" s="6"/>
      <c r="AZ42" s="5" t="s">
        <v>228</v>
      </c>
      <c r="BA42" s="5" t="s">
        <v>259</v>
      </c>
      <c r="BB42" s="5" t="s">
        <v>230</v>
      </c>
      <c r="BC42" s="5"/>
      <c r="BD42" s="5"/>
      <c r="BE42" s="5"/>
      <c r="BF42" s="5"/>
      <c r="BG42" s="5"/>
      <c r="BH42" s="5"/>
      <c r="BI42" s="5"/>
      <c r="BJ42" s="6"/>
      <c r="BK42" s="6"/>
      <c r="BL42" s="6"/>
      <c r="BM42" s="6"/>
      <c r="BN42" s="6"/>
      <c r="BO42" s="6"/>
    </row>
    <row r="43" ht="30" spans="1:67">
      <c r="A43" s="5"/>
      <c r="B43" s="5"/>
      <c r="C43" s="9" t="s">
        <v>231</v>
      </c>
      <c r="D43" s="6" t="s">
        <v>232</v>
      </c>
      <c r="E43" s="6" t="s">
        <v>233</v>
      </c>
      <c r="F43" s="10" t="s">
        <v>234</v>
      </c>
      <c r="G43" s="6" t="s">
        <v>235</v>
      </c>
      <c r="H43" s="6" t="s">
        <v>236</v>
      </c>
      <c r="I43" s="6" t="s">
        <v>237</v>
      </c>
      <c r="J43" s="6" t="s">
        <v>238</v>
      </c>
      <c r="K43" s="6"/>
      <c r="L43" s="6"/>
      <c r="M43" s="6" t="s">
        <v>232</v>
      </c>
      <c r="N43" s="6" t="s">
        <v>233</v>
      </c>
      <c r="O43" s="6" t="s">
        <v>234</v>
      </c>
      <c r="P43" s="6" t="s">
        <v>235</v>
      </c>
      <c r="Q43" s="6" t="s">
        <v>236</v>
      </c>
      <c r="R43" s="6" t="s">
        <v>237</v>
      </c>
      <c r="S43" s="6" t="s">
        <v>238</v>
      </c>
      <c r="T43" s="6"/>
      <c r="U43" s="6"/>
      <c r="V43" s="8" t="s">
        <v>257</v>
      </c>
      <c r="W43" s="6" t="s">
        <v>232</v>
      </c>
      <c r="X43" s="6" t="s">
        <v>233</v>
      </c>
      <c r="Y43" s="10" t="s">
        <v>234</v>
      </c>
      <c r="Z43" s="6" t="s">
        <v>235</v>
      </c>
      <c r="AA43" s="6" t="s">
        <v>236</v>
      </c>
      <c r="AB43" s="12" t="s">
        <v>237</v>
      </c>
      <c r="AC43" s="12" t="s">
        <v>238</v>
      </c>
      <c r="AD43" s="6"/>
      <c r="AE43" s="6"/>
      <c r="AF43" s="6" t="s">
        <v>232</v>
      </c>
      <c r="AG43" s="6" t="s">
        <v>233</v>
      </c>
      <c r="AH43" s="10" t="s">
        <v>234</v>
      </c>
      <c r="AI43" s="6" t="s">
        <v>235</v>
      </c>
      <c r="AJ43" s="6" t="s">
        <v>236</v>
      </c>
      <c r="AK43" s="12" t="s">
        <v>237</v>
      </c>
      <c r="AL43" s="12" t="s">
        <v>238</v>
      </c>
      <c r="AO43" s="6" t="s">
        <v>232</v>
      </c>
      <c r="AP43" s="6" t="s">
        <v>233</v>
      </c>
      <c r="AQ43" s="10" t="s">
        <v>234</v>
      </c>
      <c r="AR43" s="6" t="s">
        <v>235</v>
      </c>
      <c r="AS43" s="6" t="s">
        <v>236</v>
      </c>
      <c r="AT43" s="12" t="s">
        <v>237</v>
      </c>
      <c r="AU43" s="12" t="s">
        <v>238</v>
      </c>
      <c r="AZ43" s="5"/>
      <c r="BA43" s="5"/>
      <c r="BB43" s="9" t="s">
        <v>231</v>
      </c>
      <c r="BC43" s="6" t="s">
        <v>232</v>
      </c>
      <c r="BD43" s="6" t="s">
        <v>233</v>
      </c>
      <c r="BE43" s="10" t="s">
        <v>234</v>
      </c>
      <c r="BF43" s="6" t="s">
        <v>235</v>
      </c>
      <c r="BG43" s="6" t="s">
        <v>236</v>
      </c>
      <c r="BH43" s="6" t="s">
        <v>237</v>
      </c>
      <c r="BI43" s="6" t="s">
        <v>238</v>
      </c>
      <c r="BJ43" s="6"/>
      <c r="BK43" s="6"/>
      <c r="BL43" s="6"/>
      <c r="BM43" s="6"/>
      <c r="BN43" s="6"/>
      <c r="BO43" s="6"/>
    </row>
    <row r="44" ht="15.5" spans="1:67">
      <c r="A44" s="5" t="s">
        <v>239</v>
      </c>
      <c r="B44" s="13" t="s">
        <v>240</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239</v>
      </c>
      <c r="V44" s="13" t="s">
        <v>240</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239</v>
      </c>
      <c r="BA44" s="13" t="s">
        <v>240</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241</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241</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241</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242</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242</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242</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243</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243</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243</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244</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244</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244</v>
      </c>
      <c r="BB48" s="14">
        <v>84.6</v>
      </c>
      <c r="BC48" s="16">
        <v>77</v>
      </c>
      <c r="BD48" s="16">
        <v>74.9</v>
      </c>
      <c r="BE48" s="16">
        <v>74.4</v>
      </c>
      <c r="BF48" s="16">
        <v>71.7</v>
      </c>
      <c r="BG48" s="16">
        <v>73.1</v>
      </c>
      <c r="BH48" s="16">
        <v>74.4</v>
      </c>
      <c r="BI48" s="16">
        <v>74.4</v>
      </c>
      <c r="BJ48" s="6"/>
      <c r="BK48" s="6"/>
      <c r="BL48" s="19"/>
      <c r="BM48" s="19"/>
      <c r="BN48" s="19"/>
      <c r="BO48" s="19"/>
    </row>
    <row r="49" ht="15.5" spans="1:67">
      <c r="A49" s="5" t="s">
        <v>245</v>
      </c>
      <c r="B49" s="13" t="s">
        <v>240</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245</v>
      </c>
      <c r="V49" s="13" t="s">
        <v>240</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245</v>
      </c>
      <c r="BA49" s="13" t="s">
        <v>240</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241</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241</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241</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242</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242</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242</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243</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243</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243</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244</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244</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244</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240</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240</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240</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241</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241</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241</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242</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242</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242</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243</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243</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243</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244</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244</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244</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246</v>
      </c>
      <c r="B60" s="6"/>
      <c r="C60" s="9"/>
      <c r="D60" s="6"/>
      <c r="E60" s="6"/>
      <c r="F60" s="6"/>
      <c r="G60" s="6"/>
      <c r="H60" s="6"/>
      <c r="I60" s="6"/>
      <c r="J60" s="6"/>
      <c r="K60" s="6"/>
      <c r="L60" s="6"/>
      <c r="M60" s="6"/>
      <c r="N60" s="6"/>
      <c r="O60" s="6"/>
      <c r="P60" s="6"/>
      <c r="Q60" s="6"/>
      <c r="R60" s="6"/>
      <c r="S60" s="6"/>
      <c r="T60" s="6"/>
      <c r="AZ60" s="6" t="s">
        <v>246</v>
      </c>
      <c r="BA60" s="6"/>
      <c r="BB60" s="9"/>
      <c r="BC60" s="6"/>
      <c r="BD60" s="6"/>
      <c r="BE60" s="6"/>
      <c r="BF60" s="6"/>
      <c r="BG60" s="6"/>
      <c r="BH60" s="6"/>
      <c r="BI60" s="6"/>
      <c r="BJ60" s="6"/>
      <c r="BK60" s="6"/>
      <c r="BL60" s="6"/>
      <c r="BM60" s="6"/>
      <c r="BN60" s="6"/>
      <c r="BO60" s="6"/>
    </row>
    <row r="61" ht="15.5" spans="1:67">
      <c r="A61" s="6" t="s">
        <v>261</v>
      </c>
      <c r="B61" s="6"/>
      <c r="C61" s="9"/>
      <c r="D61" s="6"/>
      <c r="E61" s="6"/>
      <c r="F61" s="6"/>
      <c r="G61" s="6"/>
      <c r="H61" s="6"/>
      <c r="I61" s="6"/>
      <c r="J61" s="6"/>
      <c r="K61" s="6"/>
      <c r="L61" s="6"/>
      <c r="M61" s="6"/>
      <c r="N61" s="6"/>
      <c r="O61" s="6"/>
      <c r="P61" s="6"/>
      <c r="Q61" s="6"/>
      <c r="R61" s="6"/>
      <c r="S61" s="6"/>
      <c r="T61" s="6"/>
      <c r="AZ61" s="6" t="s">
        <v>261</v>
      </c>
      <c r="BA61" s="6"/>
      <c r="BB61" s="9"/>
      <c r="BC61" s="6"/>
      <c r="BD61" s="6"/>
      <c r="BE61" s="6"/>
      <c r="BF61" s="6"/>
      <c r="BG61" s="6"/>
      <c r="BH61" s="6"/>
      <c r="BI61" s="6"/>
      <c r="BJ61" s="6"/>
      <c r="BK61" s="6"/>
      <c r="BL61" s="6"/>
      <c r="BM61" s="6"/>
      <c r="BN61" s="6"/>
      <c r="BO61" s="6"/>
    </row>
    <row r="62" ht="15.5" spans="1:67">
      <c r="A62" s="6" t="s">
        <v>262</v>
      </c>
      <c r="B62" s="6"/>
      <c r="C62" s="9"/>
      <c r="D62" s="6"/>
      <c r="E62" s="6"/>
      <c r="F62" s="6"/>
      <c r="G62" s="6"/>
      <c r="H62" s="6"/>
      <c r="I62" s="6"/>
      <c r="J62" s="6"/>
      <c r="K62" s="6"/>
      <c r="L62" s="6"/>
      <c r="M62" s="6"/>
      <c r="N62" s="6"/>
      <c r="O62" s="6"/>
      <c r="P62" s="6"/>
      <c r="Q62" s="6"/>
      <c r="R62" s="6"/>
      <c r="S62" s="6"/>
      <c r="T62" s="6"/>
      <c r="AZ62" s="6" t="s">
        <v>262</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232</v>
      </c>
      <c r="X72" s="6" t="s">
        <v>233</v>
      </c>
      <c r="Y72" s="10" t="s">
        <v>234</v>
      </c>
      <c r="Z72" s="6" t="s">
        <v>235</v>
      </c>
      <c r="AA72" s="6" t="s">
        <v>236</v>
      </c>
      <c r="AB72" s="12" t="s">
        <v>237</v>
      </c>
      <c r="AC72" s="12" t="s">
        <v>238</v>
      </c>
      <c r="AD72" s="6"/>
      <c r="AE72" s="6"/>
      <c r="AF72" s="6" t="s">
        <v>232</v>
      </c>
      <c r="AG72" s="6" t="s">
        <v>233</v>
      </c>
      <c r="AH72" s="10" t="s">
        <v>234</v>
      </c>
      <c r="AI72" s="6" t="s">
        <v>235</v>
      </c>
      <c r="AJ72" s="6" t="s">
        <v>236</v>
      </c>
      <c r="AK72" s="12" t="s">
        <v>237</v>
      </c>
      <c r="AL72" s="12" t="s">
        <v>238</v>
      </c>
      <c r="AM72" s="6"/>
      <c r="AN72" s="6"/>
      <c r="AO72" s="6" t="s">
        <v>232</v>
      </c>
      <c r="AP72" s="6" t="s">
        <v>233</v>
      </c>
      <c r="AQ72" s="10" t="s">
        <v>234</v>
      </c>
      <c r="AR72" s="6" t="s">
        <v>235</v>
      </c>
      <c r="AS72" s="6" t="s">
        <v>236</v>
      </c>
      <c r="AT72" s="12" t="s">
        <v>237</v>
      </c>
      <c r="AU72" s="12" t="s">
        <v>238</v>
      </c>
    </row>
    <row r="73" spans="21:47">
      <c r="U73" s="5" t="s">
        <v>239</v>
      </c>
      <c r="V73" s="20" t="s">
        <v>105</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263</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264</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265</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245</v>
      </c>
      <c r="V77" s="20" t="s">
        <v>105</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263</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264</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265</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266</v>
      </c>
      <c r="V81" s="20" t="s">
        <v>105</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263</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264</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265</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5" t="s">
        <v>266</v>
      </c>
      <c r="V85" s="20" t="s">
        <v>105</v>
      </c>
      <c r="W85" s="22">
        <f t="shared" ref="W85:AC85" si="228">W81</f>
        <v>0.010830385716692</v>
      </c>
      <c r="X85" s="22">
        <f t="shared" si="228"/>
        <v>0.0104020530367836</v>
      </c>
      <c r="Y85" s="22">
        <f t="shared" si="228"/>
        <v>0.0107085201793722</v>
      </c>
      <c r="Z85" s="22">
        <f t="shared" si="228"/>
        <v>0.0117702805155421</v>
      </c>
      <c r="AA85" s="22">
        <f t="shared" si="228"/>
        <v>0.011933619242961</v>
      </c>
      <c r="AB85" s="22">
        <f t="shared" si="228"/>
        <v>0.00898419864559818</v>
      </c>
      <c r="AC85" s="22">
        <f t="shared" si="228"/>
        <v>0.0105588963565617</v>
      </c>
      <c r="AD85" s="6"/>
      <c r="AE85" s="6"/>
      <c r="AF85" s="22">
        <f t="shared" ref="AF85:AL85" si="229">AF81</f>
        <v>0.010830385716692</v>
      </c>
      <c r="AG85" s="22">
        <f t="shared" si="229"/>
        <v>0.0104020530367836</v>
      </c>
      <c r="AH85" s="22">
        <f t="shared" si="229"/>
        <v>0.0107085201793722</v>
      </c>
      <c r="AI85" s="22">
        <f t="shared" si="229"/>
        <v>0.0117702805155421</v>
      </c>
      <c r="AJ85" s="22">
        <f t="shared" si="229"/>
        <v>0.011933619242961</v>
      </c>
      <c r="AK85" s="22">
        <f t="shared" si="229"/>
        <v>0.0103318284424379</v>
      </c>
      <c r="AL85" s="22">
        <f t="shared" si="229"/>
        <v>0.012142730810046</v>
      </c>
      <c r="AM85" s="6"/>
      <c r="AN85" s="6"/>
      <c r="AO85" s="22">
        <f t="shared" ref="AO85:AU85" si="230">AO81</f>
        <v>0.010830385716692</v>
      </c>
      <c r="AP85" s="22">
        <f t="shared" si="230"/>
        <v>0.0104020530367836</v>
      </c>
      <c r="AQ85" s="22">
        <f t="shared" si="230"/>
        <v>0.0107085201793722</v>
      </c>
      <c r="AR85" s="22">
        <f t="shared" si="230"/>
        <v>0.0117702805155421</v>
      </c>
      <c r="AS85" s="22">
        <f t="shared" si="230"/>
        <v>0.011933619242961</v>
      </c>
      <c r="AT85" s="22">
        <f t="shared" si="230"/>
        <v>0.00763656884875846</v>
      </c>
      <c r="AU85" s="22">
        <f t="shared" si="230"/>
        <v>0.00897506190307747</v>
      </c>
    </row>
    <row r="86" ht="15.5" spans="21:47">
      <c r="U86" s="5"/>
      <c r="V86" s="21" t="s">
        <v>263</v>
      </c>
      <c r="W86" s="22">
        <f t="shared" ref="W86:AC86" si="231">W82</f>
        <v>0.0447027118073101</v>
      </c>
      <c r="X86" s="22">
        <f t="shared" si="231"/>
        <v>0.0428058169375535</v>
      </c>
      <c r="Y86" s="22">
        <f t="shared" si="231"/>
        <v>0.0441255605381166</v>
      </c>
      <c r="Z86" s="22">
        <f t="shared" si="231"/>
        <v>0.0456406368460955</v>
      </c>
      <c r="AA86" s="22">
        <f t="shared" si="231"/>
        <v>0.0467275778482193</v>
      </c>
      <c r="AB86" s="22">
        <f t="shared" si="231"/>
        <v>0.037020316027088</v>
      </c>
      <c r="AC86" s="22">
        <f t="shared" si="231"/>
        <v>0.0435090201627167</v>
      </c>
      <c r="AD86" s="6"/>
      <c r="AE86" s="6"/>
      <c r="AF86" s="22">
        <f t="shared" ref="AF86:AL86" si="232">AF82</f>
        <v>0.0447027118073101</v>
      </c>
      <c r="AG86" s="22">
        <f t="shared" si="232"/>
        <v>0.0428058169375535</v>
      </c>
      <c r="AH86" s="22">
        <f t="shared" si="232"/>
        <v>0.0441255605381166</v>
      </c>
      <c r="AI86" s="22">
        <f t="shared" si="232"/>
        <v>0.0456406368460955</v>
      </c>
      <c r="AJ86" s="22">
        <f t="shared" si="232"/>
        <v>0.0467275778482193</v>
      </c>
      <c r="AK86" s="22">
        <f t="shared" si="232"/>
        <v>0.0425733634311512</v>
      </c>
      <c r="AL86" s="22">
        <f t="shared" si="232"/>
        <v>0.0500353731871242</v>
      </c>
      <c r="AM86" s="6"/>
      <c r="AN86" s="6"/>
      <c r="AO86" s="22">
        <f t="shared" ref="AO86:AU86" si="233">AO82</f>
        <v>0.0447027118073101</v>
      </c>
      <c r="AP86" s="22">
        <f t="shared" si="233"/>
        <v>0.0428058169375535</v>
      </c>
      <c r="AQ86" s="22">
        <f t="shared" si="233"/>
        <v>0.0441255605381166</v>
      </c>
      <c r="AR86" s="22">
        <f t="shared" si="233"/>
        <v>0.0456406368460955</v>
      </c>
      <c r="AS86" s="22">
        <f t="shared" si="233"/>
        <v>0.0467275778482193</v>
      </c>
      <c r="AT86" s="22">
        <f t="shared" si="233"/>
        <v>0.0314672686230248</v>
      </c>
      <c r="AU86" s="22">
        <f t="shared" si="233"/>
        <v>0.0369826671383092</v>
      </c>
    </row>
    <row r="87" ht="15.5" spans="21:47">
      <c r="U87" s="5"/>
      <c r="V87" s="20" t="s">
        <v>264</v>
      </c>
      <c r="W87" s="22">
        <f t="shared" ref="W87:AC87" si="234">W83</f>
        <v>0.0724945258548088</v>
      </c>
      <c r="X87" s="22">
        <f t="shared" si="234"/>
        <v>0.0706073567151412</v>
      </c>
      <c r="Y87" s="22">
        <f t="shared" si="234"/>
        <v>0.0732017937219731</v>
      </c>
      <c r="Z87" s="22">
        <f t="shared" si="234"/>
        <v>0.076516300227445</v>
      </c>
      <c r="AA87" s="22">
        <f t="shared" si="234"/>
        <v>0.0803841133693828</v>
      </c>
      <c r="AB87" s="22">
        <f t="shared" si="234"/>
        <v>0.0614145974416855</v>
      </c>
      <c r="AC87" s="22">
        <f t="shared" si="234"/>
        <v>0.0721789883268483</v>
      </c>
      <c r="AD87" s="6"/>
      <c r="AE87" s="6"/>
      <c r="AF87" s="22">
        <f t="shared" ref="AF87:AL87" si="235">AF83</f>
        <v>0.0724945258548088</v>
      </c>
      <c r="AG87" s="22">
        <f t="shared" si="235"/>
        <v>0.0706073567151412</v>
      </c>
      <c r="AH87" s="22">
        <f t="shared" si="235"/>
        <v>0.0732017937219731</v>
      </c>
      <c r="AI87" s="22">
        <f t="shared" si="235"/>
        <v>0.076516300227445</v>
      </c>
      <c r="AJ87" s="22">
        <f t="shared" si="235"/>
        <v>0.0803841133693828</v>
      </c>
      <c r="AK87" s="22">
        <f t="shared" si="235"/>
        <v>0.0706267870579383</v>
      </c>
      <c r="AL87" s="22">
        <f t="shared" si="235"/>
        <v>0.0830058365758755</v>
      </c>
      <c r="AM87" s="6"/>
      <c r="AN87" s="6"/>
      <c r="AO87" s="22">
        <f t="shared" ref="AO87:AU87" si="236">AO83</f>
        <v>0.0724945258548088</v>
      </c>
      <c r="AP87" s="22">
        <f t="shared" si="236"/>
        <v>0.0706073567151412</v>
      </c>
      <c r="AQ87" s="22">
        <f t="shared" si="236"/>
        <v>0.0732017937219731</v>
      </c>
      <c r="AR87" s="22">
        <f t="shared" si="236"/>
        <v>0.076516300227445</v>
      </c>
      <c r="AS87" s="22">
        <f t="shared" si="236"/>
        <v>0.0803841133693828</v>
      </c>
      <c r="AT87" s="22">
        <f t="shared" si="236"/>
        <v>0.0522024078254327</v>
      </c>
      <c r="AU87" s="22">
        <f t="shared" si="236"/>
        <v>0.061352140077821</v>
      </c>
    </row>
    <row r="88" ht="15.5" spans="21:47">
      <c r="U88" s="5"/>
      <c r="V88" s="20" t="s">
        <v>265</v>
      </c>
      <c r="W88" s="22">
        <f t="shared" ref="W88:AC88" si="237">W84</f>
        <v>0.0131547919824827</v>
      </c>
      <c r="X88" s="22">
        <f t="shared" si="237"/>
        <v>0.0128656971770744</v>
      </c>
      <c r="Y88" s="22">
        <f t="shared" si="237"/>
        <v>0.0133273542600897</v>
      </c>
      <c r="Z88" s="22">
        <f t="shared" si="237"/>
        <v>0.0145564821834723</v>
      </c>
      <c r="AA88" s="22">
        <f t="shared" si="237"/>
        <v>0.0148610852134999</v>
      </c>
      <c r="AB88" s="22">
        <f t="shared" si="237"/>
        <v>0.0111813393528969</v>
      </c>
      <c r="AC88" s="22">
        <f t="shared" si="237"/>
        <v>0.0131411390166254</v>
      </c>
      <c r="AD88" s="6"/>
      <c r="AE88" s="6"/>
      <c r="AF88" s="22">
        <f t="shared" ref="AF88:AL88" si="238">AF84</f>
        <v>0.0131547919824827</v>
      </c>
      <c r="AG88" s="22">
        <f t="shared" si="238"/>
        <v>0.0128656971770744</v>
      </c>
      <c r="AH88" s="22">
        <f t="shared" si="238"/>
        <v>0.0133273542600897</v>
      </c>
      <c r="AI88" s="22">
        <f t="shared" si="238"/>
        <v>0.0145564821834723</v>
      </c>
      <c r="AJ88" s="22">
        <f t="shared" si="238"/>
        <v>0.0148610852134999</v>
      </c>
      <c r="AK88" s="22">
        <f t="shared" si="238"/>
        <v>0.0128585402558315</v>
      </c>
      <c r="AL88" s="22">
        <f t="shared" si="238"/>
        <v>0.0151123098691192</v>
      </c>
      <c r="AM88" s="6"/>
      <c r="AN88" s="6"/>
      <c r="AO88" s="22">
        <f t="shared" ref="AO88:AU88" si="239">AO84</f>
        <v>0.0131547919824827</v>
      </c>
      <c r="AP88" s="22">
        <f t="shared" si="239"/>
        <v>0.0128656971770744</v>
      </c>
      <c r="AQ88" s="22">
        <f t="shared" si="239"/>
        <v>0.0133273542600897</v>
      </c>
      <c r="AR88" s="22">
        <f t="shared" si="239"/>
        <v>0.0145564821834723</v>
      </c>
      <c r="AS88" s="22">
        <f t="shared" si="239"/>
        <v>0.0148610852134999</v>
      </c>
      <c r="AT88" s="22">
        <f t="shared" si="239"/>
        <v>0.00950413844996238</v>
      </c>
      <c r="AU88" s="22">
        <f t="shared" si="239"/>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232</v>
      </c>
      <c r="X92" s="6" t="s">
        <v>233</v>
      </c>
      <c r="Y92" s="10" t="s">
        <v>234</v>
      </c>
      <c r="Z92" s="6" t="s">
        <v>235</v>
      </c>
      <c r="AA92" s="6" t="s">
        <v>236</v>
      </c>
      <c r="AB92" s="12" t="s">
        <v>237</v>
      </c>
      <c r="AC92" s="12" t="s">
        <v>238</v>
      </c>
      <c r="AD92" s="6"/>
      <c r="AE92" s="6"/>
      <c r="AF92" s="6" t="s">
        <v>232</v>
      </c>
      <c r="AG92" s="6" t="s">
        <v>233</v>
      </c>
      <c r="AH92" s="10" t="s">
        <v>234</v>
      </c>
      <c r="AI92" s="6" t="s">
        <v>235</v>
      </c>
      <c r="AJ92" s="6" t="s">
        <v>236</v>
      </c>
      <c r="AK92" s="12" t="s">
        <v>237</v>
      </c>
      <c r="AL92" s="12" t="s">
        <v>238</v>
      </c>
      <c r="AM92" s="6"/>
      <c r="AN92" s="6"/>
      <c r="AO92" s="6" t="s">
        <v>232</v>
      </c>
      <c r="AP92" s="6" t="s">
        <v>233</v>
      </c>
      <c r="AQ92" s="10" t="s">
        <v>234</v>
      </c>
      <c r="AR92" s="6" t="s">
        <v>235</v>
      </c>
      <c r="AS92" s="6" t="s">
        <v>236</v>
      </c>
      <c r="AT92" s="12" t="s">
        <v>237</v>
      </c>
      <c r="AU92" s="12" t="s">
        <v>238</v>
      </c>
    </row>
    <row r="93" spans="21:47">
      <c r="U93" s="5" t="s">
        <v>239</v>
      </c>
      <c r="V93" s="20" t="s">
        <v>105</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263</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264</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265</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245</v>
      </c>
      <c r="V97" s="20" t="s">
        <v>105</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263</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264</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265</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266</v>
      </c>
      <c r="V101" s="20" t="s">
        <v>105</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263</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264</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265</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5" t="s">
        <v>266</v>
      </c>
      <c r="V105" s="20" t="s">
        <v>105</v>
      </c>
      <c r="W105" s="22">
        <f t="shared" ref="W105:AC105" si="276">W101</f>
        <v>0.011840997136601</v>
      </c>
      <c r="X105" s="22">
        <f t="shared" si="276"/>
        <v>0.011377245508982</v>
      </c>
      <c r="Y105" s="22">
        <f t="shared" si="276"/>
        <v>0.0117668161434977</v>
      </c>
      <c r="Z105" s="22">
        <f t="shared" si="276"/>
        <v>0.0120924943138741</v>
      </c>
      <c r="AA105" s="22">
        <f t="shared" si="276"/>
        <v>0.0122878985642364</v>
      </c>
      <c r="AB105" s="22">
        <f t="shared" si="276"/>
        <v>0.00987208427389014</v>
      </c>
      <c r="AC105" s="22">
        <f t="shared" si="276"/>
        <v>0.0116024053767244</v>
      </c>
      <c r="AD105" s="6"/>
      <c r="AE105" s="6"/>
      <c r="AF105" s="22">
        <f t="shared" ref="AF105:AL105" si="277">AF101</f>
        <v>0.011840997136601</v>
      </c>
      <c r="AG105" s="22">
        <f t="shared" si="277"/>
        <v>0.011377245508982</v>
      </c>
      <c r="AH105" s="22">
        <f t="shared" si="277"/>
        <v>0.0117668161434977</v>
      </c>
      <c r="AI105" s="22">
        <f t="shared" si="277"/>
        <v>0.0120924943138741</v>
      </c>
      <c r="AJ105" s="22">
        <f t="shared" si="277"/>
        <v>0.0122878985642364</v>
      </c>
      <c r="AK105" s="22">
        <f t="shared" si="277"/>
        <v>0.0113528969149737</v>
      </c>
      <c r="AL105" s="22">
        <f t="shared" si="277"/>
        <v>0.0133427661832331</v>
      </c>
      <c r="AM105" s="6"/>
      <c r="AN105" s="6"/>
      <c r="AO105" s="22">
        <f t="shared" ref="AO105:AU105" si="278">AO101</f>
        <v>0.011840997136601</v>
      </c>
      <c r="AP105" s="22">
        <f t="shared" si="278"/>
        <v>0.011377245508982</v>
      </c>
      <c r="AQ105" s="22">
        <f t="shared" si="278"/>
        <v>0.0117668161434977</v>
      </c>
      <c r="AR105" s="22">
        <f t="shared" si="278"/>
        <v>0.0120924943138741</v>
      </c>
      <c r="AS105" s="22">
        <f t="shared" si="278"/>
        <v>0.0122878985642364</v>
      </c>
      <c r="AT105" s="22">
        <f t="shared" si="278"/>
        <v>0.00839127163280662</v>
      </c>
      <c r="AU105" s="22">
        <f t="shared" si="278"/>
        <v>0.00986204457021578</v>
      </c>
    </row>
    <row r="106" ht="15.5" spans="21:47">
      <c r="U106" s="5"/>
      <c r="V106" s="21" t="s">
        <v>263</v>
      </c>
      <c r="W106" s="22">
        <f t="shared" ref="W106:AC106" si="279">W102</f>
        <v>0.0404413003200269</v>
      </c>
      <c r="X106" s="22">
        <f t="shared" si="279"/>
        <v>0.0389734816082122</v>
      </c>
      <c r="Y106" s="22">
        <f t="shared" si="279"/>
        <v>0.0403408071748879</v>
      </c>
      <c r="Z106" s="22">
        <f t="shared" si="279"/>
        <v>0.0420204700530705</v>
      </c>
      <c r="AA106" s="22">
        <f t="shared" si="279"/>
        <v>0.0428118590341227</v>
      </c>
      <c r="AB106" s="22">
        <f t="shared" si="279"/>
        <v>0.0338449962377728</v>
      </c>
      <c r="AC106" s="22">
        <f t="shared" si="279"/>
        <v>0.0397771489211178</v>
      </c>
      <c r="AD106" s="6"/>
      <c r="AE106" s="6"/>
      <c r="AF106" s="22">
        <f t="shared" ref="AF106:AL106" si="280">AF102</f>
        <v>0.0404413003200269</v>
      </c>
      <c r="AG106" s="22">
        <f t="shared" si="280"/>
        <v>0.0389734816082122</v>
      </c>
      <c r="AH106" s="22">
        <f t="shared" si="280"/>
        <v>0.0403408071748879</v>
      </c>
      <c r="AI106" s="22">
        <f t="shared" si="280"/>
        <v>0.0420204700530705</v>
      </c>
      <c r="AJ106" s="22">
        <f t="shared" si="280"/>
        <v>0.0428118590341227</v>
      </c>
      <c r="AK106" s="22">
        <f t="shared" si="280"/>
        <v>0.0389217456734387</v>
      </c>
      <c r="AL106" s="22">
        <f t="shared" si="280"/>
        <v>0.0457437212592855</v>
      </c>
      <c r="AM106" s="6"/>
      <c r="AN106" s="6"/>
      <c r="AO106" s="22">
        <f t="shared" ref="AO106:AU106" si="281">AO102</f>
        <v>0.0404413003200269</v>
      </c>
      <c r="AP106" s="22">
        <f t="shared" si="281"/>
        <v>0.0389734816082122</v>
      </c>
      <c r="AQ106" s="22">
        <f t="shared" si="281"/>
        <v>0.0403408071748879</v>
      </c>
      <c r="AR106" s="22">
        <f t="shared" si="281"/>
        <v>0.0420204700530705</v>
      </c>
      <c r="AS106" s="22">
        <f t="shared" si="281"/>
        <v>0.0428118590341227</v>
      </c>
      <c r="AT106" s="22">
        <f t="shared" si="281"/>
        <v>0.0287682468021069</v>
      </c>
      <c r="AU106" s="22">
        <f t="shared" si="281"/>
        <v>0.0338105765829501</v>
      </c>
    </row>
    <row r="107" ht="15.5" spans="21:47">
      <c r="U107" s="5"/>
      <c r="V107" s="20" t="s">
        <v>264</v>
      </c>
      <c r="W107" s="22">
        <f t="shared" ref="W107:AC107" si="282">W103</f>
        <v>0.0870304867778339</v>
      </c>
      <c r="X107" s="22">
        <f t="shared" si="282"/>
        <v>0.0843627031650984</v>
      </c>
      <c r="Y107" s="22">
        <f t="shared" si="282"/>
        <v>0.0874439461883408</v>
      </c>
      <c r="Z107" s="22">
        <f t="shared" si="282"/>
        <v>0.0881918119787718</v>
      </c>
      <c r="AA107" s="22">
        <f t="shared" si="282"/>
        <v>0.0922245012120082</v>
      </c>
      <c r="AB107" s="22">
        <f t="shared" si="282"/>
        <v>0.0733634311512415</v>
      </c>
      <c r="AC107" s="22">
        <f t="shared" si="282"/>
        <v>0.0862221436151397</v>
      </c>
      <c r="AD107" s="6"/>
      <c r="AE107" s="6"/>
      <c r="AF107" s="22">
        <f t="shared" ref="AF107:AL107" si="283">AF103</f>
        <v>0.0870304867778339</v>
      </c>
      <c r="AG107" s="22">
        <f t="shared" si="283"/>
        <v>0.0843627031650984</v>
      </c>
      <c r="AH107" s="22">
        <f t="shared" si="283"/>
        <v>0.0874439461883408</v>
      </c>
      <c r="AI107" s="22">
        <f t="shared" si="283"/>
        <v>0.0881918119787718</v>
      </c>
      <c r="AJ107" s="22">
        <f t="shared" si="283"/>
        <v>0.0922245012120082</v>
      </c>
      <c r="AK107" s="22">
        <f t="shared" si="283"/>
        <v>0.0843679458239278</v>
      </c>
      <c r="AL107" s="22">
        <f t="shared" si="283"/>
        <v>0.0991554651574107</v>
      </c>
      <c r="AM107" s="6"/>
      <c r="AN107" s="6"/>
      <c r="AO107" s="22">
        <f t="shared" ref="AO107:AU107" si="284">AO103</f>
        <v>0.0870304867778339</v>
      </c>
      <c r="AP107" s="22">
        <f t="shared" si="284"/>
        <v>0.0843627031650984</v>
      </c>
      <c r="AQ107" s="22">
        <f t="shared" si="284"/>
        <v>0.0874439461883408</v>
      </c>
      <c r="AR107" s="22">
        <f t="shared" si="284"/>
        <v>0.0881918119787718</v>
      </c>
      <c r="AS107" s="22">
        <f t="shared" si="284"/>
        <v>0.0922245012120082</v>
      </c>
      <c r="AT107" s="22">
        <f t="shared" si="284"/>
        <v>0.0623589164785553</v>
      </c>
      <c r="AU107" s="22">
        <f t="shared" si="284"/>
        <v>0.0732888220728688</v>
      </c>
    </row>
    <row r="108" ht="15.5" spans="21:47">
      <c r="U108" s="5"/>
      <c r="V108" s="20" t="s">
        <v>265</v>
      </c>
      <c r="W108" s="22">
        <f t="shared" ref="W108:AC108" si="285">W104</f>
        <v>0.0133569142664645</v>
      </c>
      <c r="X108" s="22">
        <f t="shared" si="285"/>
        <v>0.0131907613344739</v>
      </c>
      <c r="Y108" s="22">
        <f t="shared" si="285"/>
        <v>0.0137399103139013</v>
      </c>
      <c r="Z108" s="22">
        <f t="shared" si="285"/>
        <v>0.0141015921152388</v>
      </c>
      <c r="AA108" s="22">
        <f t="shared" si="285"/>
        <v>0.0143016968114861</v>
      </c>
      <c r="AB108" s="22">
        <f t="shared" si="285"/>
        <v>0.0115274642588412</v>
      </c>
      <c r="AC108" s="22">
        <f t="shared" si="285"/>
        <v>0.0135479306685532</v>
      </c>
      <c r="AD108" s="6"/>
      <c r="AE108" s="6"/>
      <c r="AF108" s="22">
        <f t="shared" ref="AF108:AL108" si="286">AF104</f>
        <v>0.0133569142664645</v>
      </c>
      <c r="AG108" s="22">
        <f t="shared" si="286"/>
        <v>0.0131907613344739</v>
      </c>
      <c r="AH108" s="22">
        <f t="shared" si="286"/>
        <v>0.0137399103139013</v>
      </c>
      <c r="AI108" s="22">
        <f t="shared" si="286"/>
        <v>0.0141015921152388</v>
      </c>
      <c r="AJ108" s="22">
        <f t="shared" si="286"/>
        <v>0.0143016968114861</v>
      </c>
      <c r="AK108" s="22">
        <f t="shared" si="286"/>
        <v>0.0132565838976674</v>
      </c>
      <c r="AL108" s="22">
        <f t="shared" si="286"/>
        <v>0.0155801202688362</v>
      </c>
      <c r="AM108" s="6"/>
      <c r="AN108" s="6"/>
      <c r="AO108" s="22">
        <f t="shared" ref="AO108:AU108" si="287">AO104</f>
        <v>0.0133569142664645</v>
      </c>
      <c r="AP108" s="22">
        <f t="shared" si="287"/>
        <v>0.0131907613344739</v>
      </c>
      <c r="AQ108" s="22">
        <f t="shared" si="287"/>
        <v>0.0137399103139013</v>
      </c>
      <c r="AR108" s="22">
        <f t="shared" si="287"/>
        <v>0.0141015921152388</v>
      </c>
      <c r="AS108" s="22">
        <f t="shared" si="287"/>
        <v>0.0143016968114861</v>
      </c>
      <c r="AT108" s="22">
        <f t="shared" si="287"/>
        <v>0.00979834462001505</v>
      </c>
      <c r="AU108" s="22">
        <f t="shared" si="287"/>
        <v>0.0115157410682703</v>
      </c>
    </row>
    <row r="112" ht="15.5" spans="21:47">
      <c r="U112" s="6"/>
      <c r="V112" s="6"/>
      <c r="W112" s="6" t="s">
        <v>232</v>
      </c>
      <c r="X112" s="6" t="s">
        <v>233</v>
      </c>
      <c r="Y112" s="10" t="s">
        <v>234</v>
      </c>
      <c r="Z112" s="6" t="s">
        <v>235</v>
      </c>
      <c r="AA112" s="6" t="s">
        <v>236</v>
      </c>
      <c r="AB112" s="12" t="s">
        <v>237</v>
      </c>
      <c r="AC112" s="12" t="s">
        <v>238</v>
      </c>
      <c r="AD112" s="6"/>
      <c r="AE112" s="6"/>
      <c r="AF112" s="6" t="s">
        <v>232</v>
      </c>
      <c r="AG112" s="6" t="s">
        <v>233</v>
      </c>
      <c r="AH112" s="10" t="s">
        <v>234</v>
      </c>
      <c r="AI112" s="6" t="s">
        <v>235</v>
      </c>
      <c r="AJ112" s="6" t="s">
        <v>236</v>
      </c>
      <c r="AK112" s="12" t="s">
        <v>237</v>
      </c>
      <c r="AL112" s="12" t="s">
        <v>238</v>
      </c>
      <c r="AM112" s="6"/>
      <c r="AN112" s="6"/>
      <c r="AO112" s="6" t="s">
        <v>232</v>
      </c>
      <c r="AP112" s="6" t="s">
        <v>233</v>
      </c>
      <c r="AQ112" s="10" t="s">
        <v>234</v>
      </c>
      <c r="AR112" s="6" t="s">
        <v>235</v>
      </c>
      <c r="AS112" s="6" t="s">
        <v>236</v>
      </c>
      <c r="AT112" s="12" t="s">
        <v>237</v>
      </c>
      <c r="AU112" s="12" t="s">
        <v>238</v>
      </c>
    </row>
    <row r="113" spans="21:47">
      <c r="U113" s="5" t="s">
        <v>239</v>
      </c>
      <c r="V113" s="20" t="s">
        <v>105</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263</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264</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265</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245</v>
      </c>
      <c r="V117" s="20" t="s">
        <v>105</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263</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264</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265</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266</v>
      </c>
      <c r="V121" s="20" t="s">
        <v>105</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263</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264</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265</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5" t="s">
        <v>266</v>
      </c>
      <c r="V125" s="20" t="s">
        <v>105</v>
      </c>
      <c r="W125" s="22">
        <f t="shared" ref="W125:AC125" si="324">W121</f>
        <v>0.00810173488293751</v>
      </c>
      <c r="X125" s="22">
        <f t="shared" si="324"/>
        <v>0.00786997433704022</v>
      </c>
      <c r="Y125" s="22">
        <f t="shared" si="324"/>
        <v>0.00817937219730942</v>
      </c>
      <c r="Z125" s="22">
        <f t="shared" si="324"/>
        <v>0.00816906747536013</v>
      </c>
      <c r="AA125" s="22">
        <f t="shared" si="324"/>
        <v>0.00826030206973706</v>
      </c>
      <c r="AB125" s="22">
        <f t="shared" si="324"/>
        <v>0.00686230248306997</v>
      </c>
      <c r="AC125" s="22">
        <f t="shared" si="324"/>
        <v>0.00806508666430845</v>
      </c>
      <c r="AD125" s="6"/>
      <c r="AE125" s="6"/>
      <c r="AF125" s="22">
        <f t="shared" ref="AF125:AL125" si="325">AF121</f>
        <v>0.00810173488293751</v>
      </c>
      <c r="AG125" s="22">
        <f t="shared" si="325"/>
        <v>0.00786997433704022</v>
      </c>
      <c r="AH125" s="22">
        <f t="shared" si="325"/>
        <v>0.00817937219730942</v>
      </c>
      <c r="AI125" s="22">
        <f t="shared" si="325"/>
        <v>0.00816906747536013</v>
      </c>
      <c r="AJ125" s="22">
        <f t="shared" si="325"/>
        <v>0.00826030206973706</v>
      </c>
      <c r="AK125" s="22">
        <f t="shared" si="325"/>
        <v>0.00789164785553047</v>
      </c>
      <c r="AL125" s="22">
        <f t="shared" si="325"/>
        <v>0.00927484966395473</v>
      </c>
      <c r="AM125" s="6"/>
      <c r="AN125" s="6"/>
      <c r="AO125" s="22">
        <f t="shared" ref="AO125:AU125" si="326">AO121</f>
        <v>0.00810173488293751</v>
      </c>
      <c r="AP125" s="22">
        <f t="shared" si="326"/>
        <v>0.00786997433704022</v>
      </c>
      <c r="AQ125" s="22">
        <f t="shared" si="326"/>
        <v>0.00817937219730942</v>
      </c>
      <c r="AR125" s="22">
        <f t="shared" si="326"/>
        <v>0.00816906747536013</v>
      </c>
      <c r="AS125" s="22">
        <f t="shared" si="326"/>
        <v>0.00826030206973706</v>
      </c>
      <c r="AT125" s="22">
        <f t="shared" si="326"/>
        <v>0.00583295711060948</v>
      </c>
      <c r="AU125" s="22">
        <f t="shared" si="326"/>
        <v>0.00685532366466218</v>
      </c>
    </row>
    <row r="126" ht="15.5" spans="21:47">
      <c r="U126" s="5"/>
      <c r="V126" s="21" t="s">
        <v>263</v>
      </c>
      <c r="W126" s="22">
        <f t="shared" ref="W126:AC126" si="327">W122</f>
        <v>0.0319690079164561</v>
      </c>
      <c r="X126" s="22">
        <f t="shared" si="327"/>
        <v>0.0310692899914457</v>
      </c>
      <c r="Y126" s="22">
        <f t="shared" si="327"/>
        <v>0.0322331838565022</v>
      </c>
      <c r="Z126" s="22">
        <f t="shared" si="327"/>
        <v>0.0321645185746778</v>
      </c>
      <c r="AA126" s="22">
        <f t="shared" si="327"/>
        <v>0.0325750512772702</v>
      </c>
      <c r="AB126" s="22">
        <f t="shared" si="327"/>
        <v>0.0270428893905192</v>
      </c>
      <c r="AC126" s="22">
        <f t="shared" si="327"/>
        <v>0.0317828086310577</v>
      </c>
      <c r="AD126" s="6"/>
      <c r="AE126" s="6"/>
      <c r="AF126" s="22">
        <f t="shared" ref="AF126:AL126" si="328">AF122</f>
        <v>0.0319690079164561</v>
      </c>
      <c r="AG126" s="22">
        <f t="shared" si="328"/>
        <v>0.0310692899914457</v>
      </c>
      <c r="AH126" s="22">
        <f t="shared" si="328"/>
        <v>0.0322331838565022</v>
      </c>
      <c r="AI126" s="22">
        <f t="shared" si="328"/>
        <v>0.0321645185746778</v>
      </c>
      <c r="AJ126" s="22">
        <f t="shared" si="328"/>
        <v>0.0325750512772702</v>
      </c>
      <c r="AK126" s="22">
        <f t="shared" si="328"/>
        <v>0.0310993227990971</v>
      </c>
      <c r="AL126" s="22">
        <f t="shared" si="328"/>
        <v>0.0365502299257163</v>
      </c>
      <c r="AM126" s="6"/>
      <c r="AN126" s="6"/>
      <c r="AO126" s="22">
        <f t="shared" ref="AO126:AU126" si="329">AO122</f>
        <v>0.0319690079164561</v>
      </c>
      <c r="AP126" s="22">
        <f t="shared" si="329"/>
        <v>0.0310692899914457</v>
      </c>
      <c r="AQ126" s="22">
        <f t="shared" si="329"/>
        <v>0.0322331838565022</v>
      </c>
      <c r="AR126" s="22">
        <f t="shared" si="329"/>
        <v>0.0321645185746778</v>
      </c>
      <c r="AS126" s="22">
        <f t="shared" si="329"/>
        <v>0.0325750512772702</v>
      </c>
      <c r="AT126" s="22">
        <f t="shared" si="329"/>
        <v>0.0229864559819413</v>
      </c>
      <c r="AU126" s="22">
        <f t="shared" si="329"/>
        <v>0.027015387336399</v>
      </c>
    </row>
    <row r="127" ht="15.5" spans="21:47">
      <c r="U127" s="5"/>
      <c r="V127" s="20" t="s">
        <v>264</v>
      </c>
      <c r="W127" s="22">
        <f t="shared" ref="W127:AC127" si="330">W123</f>
        <v>0.0557183762843187</v>
      </c>
      <c r="X127" s="22">
        <f t="shared" si="330"/>
        <v>0.055158254918734</v>
      </c>
      <c r="Y127" s="22">
        <f t="shared" si="330"/>
        <v>0.0574887892376682</v>
      </c>
      <c r="Z127" s="22">
        <f t="shared" si="330"/>
        <v>0.0587755875663381</v>
      </c>
      <c r="AA127" s="22">
        <f t="shared" si="330"/>
        <v>0.0587544284915159</v>
      </c>
      <c r="AB127" s="22">
        <f t="shared" si="330"/>
        <v>0.0482317531978932</v>
      </c>
      <c r="AC127" s="22">
        <f t="shared" si="330"/>
        <v>0.0566855323664662</v>
      </c>
      <c r="AD127" s="6"/>
      <c r="AE127" s="6"/>
      <c r="AF127" s="22">
        <f t="shared" ref="AF127:AL127" si="331">AF123</f>
        <v>0.0557183762843187</v>
      </c>
      <c r="AG127" s="22">
        <f t="shared" si="331"/>
        <v>0.055158254918734</v>
      </c>
      <c r="AH127" s="22">
        <f t="shared" si="331"/>
        <v>0.0574887892376682</v>
      </c>
      <c r="AI127" s="22">
        <f t="shared" si="331"/>
        <v>0.0587755875663381</v>
      </c>
      <c r="AJ127" s="22">
        <f t="shared" si="331"/>
        <v>0.0587544284915159</v>
      </c>
      <c r="AK127" s="22">
        <f t="shared" si="331"/>
        <v>0.0554665161775771</v>
      </c>
      <c r="AL127" s="22">
        <f t="shared" si="331"/>
        <v>0.0651883622214361</v>
      </c>
      <c r="AM127" s="6"/>
      <c r="AN127" s="6"/>
      <c r="AO127" s="22">
        <f t="shared" ref="AO127:AU127" si="332">AO123</f>
        <v>0.0557183762843187</v>
      </c>
      <c r="AP127" s="22">
        <f t="shared" si="332"/>
        <v>0.055158254918734</v>
      </c>
      <c r="AQ127" s="22">
        <f t="shared" si="332"/>
        <v>0.0574887892376682</v>
      </c>
      <c r="AR127" s="22">
        <f t="shared" si="332"/>
        <v>0.0587755875663381</v>
      </c>
      <c r="AS127" s="22">
        <f t="shared" si="332"/>
        <v>0.0587544284915159</v>
      </c>
      <c r="AT127" s="22">
        <f t="shared" si="332"/>
        <v>0.0409969902182092</v>
      </c>
      <c r="AU127" s="22">
        <f t="shared" si="332"/>
        <v>0.0481827025114963</v>
      </c>
    </row>
    <row r="128" ht="15.5" spans="21:47">
      <c r="U128" s="5"/>
      <c r="V128" s="20" t="s">
        <v>265</v>
      </c>
      <c r="W128" s="22">
        <f t="shared" ref="W128:AC128" si="333">W124</f>
        <v>0.0130537308404918</v>
      </c>
      <c r="X128" s="22">
        <f t="shared" si="333"/>
        <v>0.0129170230966638</v>
      </c>
      <c r="Y128" s="22">
        <f t="shared" si="333"/>
        <v>0.0134529147982063</v>
      </c>
      <c r="Z128" s="22">
        <f t="shared" si="333"/>
        <v>0.0136846095526914</v>
      </c>
      <c r="AA128" s="22">
        <f t="shared" si="333"/>
        <v>0.0137236621294052</v>
      </c>
      <c r="AB128" s="22">
        <f t="shared" si="333"/>
        <v>0.0112866817155756</v>
      </c>
      <c r="AC128" s="22">
        <f t="shared" si="333"/>
        <v>0.01326494517156</v>
      </c>
      <c r="AD128" s="6"/>
      <c r="AE128" s="6"/>
      <c r="AF128" s="22">
        <f t="shared" ref="AF128:AL128" si="334">AF124</f>
        <v>0.0130537308404918</v>
      </c>
      <c r="AG128" s="22">
        <f t="shared" si="334"/>
        <v>0.0129170230966638</v>
      </c>
      <c r="AH128" s="22">
        <f t="shared" si="334"/>
        <v>0.0134529147982063</v>
      </c>
      <c r="AI128" s="22">
        <f t="shared" si="334"/>
        <v>0.0136846095526914</v>
      </c>
      <c r="AJ128" s="22">
        <f t="shared" si="334"/>
        <v>0.0137236621294052</v>
      </c>
      <c r="AK128" s="22">
        <f t="shared" si="334"/>
        <v>0.012979683972912</v>
      </c>
      <c r="AL128" s="22">
        <f t="shared" si="334"/>
        <v>0.0152546869472939</v>
      </c>
      <c r="AM128" s="6"/>
      <c r="AN128" s="6"/>
      <c r="AO128" s="22">
        <f t="shared" ref="AO128:AU128" si="335">AO124</f>
        <v>0.0130537308404918</v>
      </c>
      <c r="AP128" s="22">
        <f t="shared" si="335"/>
        <v>0.0129170230966638</v>
      </c>
      <c r="AQ128" s="22">
        <f t="shared" si="335"/>
        <v>0.0134529147982063</v>
      </c>
      <c r="AR128" s="22">
        <f t="shared" si="335"/>
        <v>0.0136846095526914</v>
      </c>
      <c r="AS128" s="22">
        <f t="shared" si="335"/>
        <v>0.0137236621294052</v>
      </c>
      <c r="AT128" s="22">
        <f t="shared" si="335"/>
        <v>0.00959367945823928</v>
      </c>
      <c r="AU128" s="22">
        <f t="shared" si="335"/>
        <v>0.011275203395826</v>
      </c>
    </row>
    <row r="160" ht="15.5" spans="21:53">
      <c r="U160" s="23"/>
      <c r="V160" s="24" t="s">
        <v>215</v>
      </c>
      <c r="W160" s="23"/>
      <c r="X160" s="25"/>
      <c r="Z160" s="23"/>
      <c r="AA160" s="24" t="s">
        <v>215</v>
      </c>
      <c r="AB160" s="23"/>
      <c r="AC160" s="25"/>
      <c r="AE160" s="23"/>
      <c r="AF160" s="24" t="s">
        <v>215</v>
      </c>
      <c r="AG160" s="23"/>
      <c r="AH160" s="25"/>
      <c r="AJ160" s="23"/>
      <c r="AK160" s="24" t="s">
        <v>215</v>
      </c>
      <c r="AL160" s="23"/>
      <c r="AM160" s="25"/>
      <c r="AO160" s="23"/>
      <c r="AP160" s="24" t="s">
        <v>215</v>
      </c>
      <c r="AQ160" s="23"/>
      <c r="AR160" s="25"/>
      <c r="AT160" s="23"/>
      <c r="AU160" s="24" t="s">
        <v>215</v>
      </c>
      <c r="AV160" s="23"/>
      <c r="AW160" s="25"/>
      <c r="AY160" s="23"/>
      <c r="AZ160" s="24" t="s">
        <v>215</v>
      </c>
      <c r="BA160" s="23"/>
    </row>
    <row r="161" ht="15.5" spans="21:54">
      <c r="U161" s="24" t="s">
        <v>64</v>
      </c>
      <c r="V161" s="24" t="s">
        <v>95</v>
      </c>
      <c r="W161" s="24" t="s">
        <v>11</v>
      </c>
      <c r="X161" s="25" t="s">
        <v>41</v>
      </c>
      <c r="Z161" s="24" t="s">
        <v>64</v>
      </c>
      <c r="AA161" s="24" t="s">
        <v>95</v>
      </c>
      <c r="AB161" s="24" t="s">
        <v>11</v>
      </c>
      <c r="AC161" s="25" t="s">
        <v>41</v>
      </c>
      <c r="AE161" s="24" t="s">
        <v>64</v>
      </c>
      <c r="AF161" s="24" t="s">
        <v>95</v>
      </c>
      <c r="AG161" s="24" t="s">
        <v>11</v>
      </c>
      <c r="AH161" s="25" t="s">
        <v>41</v>
      </c>
      <c r="AJ161" s="24" t="s">
        <v>64</v>
      </c>
      <c r="AK161" s="24" t="s">
        <v>95</v>
      </c>
      <c r="AL161" s="24" t="s">
        <v>11</v>
      </c>
      <c r="AM161" s="25" t="s">
        <v>41</v>
      </c>
      <c r="AO161" s="24" t="s">
        <v>64</v>
      </c>
      <c r="AP161" s="24" t="s">
        <v>95</v>
      </c>
      <c r="AQ161" s="24" t="s">
        <v>11</v>
      </c>
      <c r="AR161" s="25" t="s">
        <v>41</v>
      </c>
      <c r="AT161" s="24" t="s">
        <v>64</v>
      </c>
      <c r="AU161" s="24" t="s">
        <v>95</v>
      </c>
      <c r="AV161" s="24" t="s">
        <v>11</v>
      </c>
      <c r="AW161" s="25" t="s">
        <v>41</v>
      </c>
      <c r="AY161" s="24" t="s">
        <v>64</v>
      </c>
      <c r="AZ161" s="24" t="s">
        <v>95</v>
      </c>
      <c r="BA161" s="24" t="s">
        <v>11</v>
      </c>
      <c r="BB161" s="25" t="s">
        <v>41</v>
      </c>
    </row>
    <row r="162" ht="15.5" spans="21:54">
      <c r="U162" s="25" t="s">
        <v>189</v>
      </c>
      <c r="V162" s="26" t="s">
        <v>217</v>
      </c>
      <c r="W162" s="25">
        <f t="shared" ref="W162:W165" si="336">W85</f>
        <v>0.010830385716692</v>
      </c>
      <c r="X162" s="25">
        <v>2020</v>
      </c>
      <c r="Z162" s="25" t="s">
        <v>190</v>
      </c>
      <c r="AA162" s="26" t="s">
        <v>217</v>
      </c>
      <c r="AB162" s="25">
        <f t="shared" ref="AB162:AB165" si="337">X85</f>
        <v>0.0104020530367836</v>
      </c>
      <c r="AC162" s="25">
        <v>2020</v>
      </c>
      <c r="AE162" s="25" t="s">
        <v>191</v>
      </c>
      <c r="AF162" s="26" t="s">
        <v>217</v>
      </c>
      <c r="AG162" s="25">
        <f t="shared" ref="AG162:AG165" si="338">Y85</f>
        <v>0.0107085201793722</v>
      </c>
      <c r="AH162" s="25">
        <v>2020</v>
      </c>
      <c r="AJ162" s="25" t="s">
        <v>192</v>
      </c>
      <c r="AK162" s="26" t="s">
        <v>217</v>
      </c>
      <c r="AL162" s="25">
        <f t="shared" ref="AL162:AL165" si="339">Z85</f>
        <v>0.0117702805155421</v>
      </c>
      <c r="AM162" s="25">
        <v>2020</v>
      </c>
      <c r="AO162" s="25" t="s">
        <v>188</v>
      </c>
      <c r="AP162" s="26" t="s">
        <v>217</v>
      </c>
      <c r="AQ162" s="25">
        <f t="shared" ref="AQ162:AQ165" si="340">AA85</f>
        <v>0.011933619242961</v>
      </c>
      <c r="AR162" s="25">
        <v>2020</v>
      </c>
      <c r="AT162" s="25" t="s">
        <v>187</v>
      </c>
      <c r="AU162" s="26" t="s">
        <v>217</v>
      </c>
      <c r="AV162" s="25">
        <f t="shared" ref="AV162:AV165" si="341">AB85</f>
        <v>0.00898419864559818</v>
      </c>
      <c r="AW162" s="25">
        <v>2020</v>
      </c>
      <c r="AY162" s="25" t="s">
        <v>186</v>
      </c>
      <c r="AZ162" s="26" t="s">
        <v>217</v>
      </c>
      <c r="BA162" s="25">
        <f t="shared" ref="BA162:BA165" si="342">AC85</f>
        <v>0.0105588963565617</v>
      </c>
      <c r="BB162" s="25">
        <v>2020</v>
      </c>
    </row>
    <row r="163" ht="15.5" spans="21:54">
      <c r="U163" s="25" t="str">
        <f t="shared" ref="U163:U165" si="343">U162</f>
        <v>PyroRecy-NMC111</v>
      </c>
      <c r="V163" s="26" t="s">
        <v>224</v>
      </c>
      <c r="W163" s="25">
        <f t="shared" si="336"/>
        <v>0.0447027118073101</v>
      </c>
      <c r="X163" s="25">
        <v>2020</v>
      </c>
      <c r="Z163" s="25" t="str">
        <f t="shared" ref="Z163:Z165" si="344">Z162</f>
        <v>PyroRecy-NMC532</v>
      </c>
      <c r="AA163" s="26" t="s">
        <v>224</v>
      </c>
      <c r="AB163" s="25">
        <f t="shared" si="337"/>
        <v>0.0428058169375535</v>
      </c>
      <c r="AC163" s="25">
        <v>2020</v>
      </c>
      <c r="AE163" s="25" t="str">
        <f t="shared" ref="AE163:AE165" si="345">AE162</f>
        <v>PyroRecy-NMC622</v>
      </c>
      <c r="AF163" s="26" t="s">
        <v>224</v>
      </c>
      <c r="AG163" s="25">
        <f t="shared" si="338"/>
        <v>0.0441255605381166</v>
      </c>
      <c r="AH163" s="25">
        <v>2020</v>
      </c>
      <c r="AJ163" s="25" t="str">
        <f t="shared" ref="AJ163:AJ165" si="346">AJ162</f>
        <v>PyroRecy-NMC811</v>
      </c>
      <c r="AK163" s="26" t="s">
        <v>224</v>
      </c>
      <c r="AL163" s="25">
        <f t="shared" si="339"/>
        <v>0.0456406368460955</v>
      </c>
      <c r="AM163" s="25">
        <v>2020</v>
      </c>
      <c r="AO163" s="25" t="str">
        <f t="shared" ref="AO163:AO165" si="347">AO162</f>
        <v>PyroRecy-NCA</v>
      </c>
      <c r="AP163" s="26" t="s">
        <v>224</v>
      </c>
      <c r="AQ163" s="25">
        <f t="shared" si="340"/>
        <v>0.0467275778482193</v>
      </c>
      <c r="AR163" s="25">
        <v>2020</v>
      </c>
      <c r="AT163" s="25" t="str">
        <f t="shared" ref="AT163:AT165" si="348">AT162</f>
        <v>PyroRecy-LMO</v>
      </c>
      <c r="AU163" s="26" t="s">
        <v>224</v>
      </c>
      <c r="AV163" s="25">
        <f t="shared" si="341"/>
        <v>0.037020316027088</v>
      </c>
      <c r="AW163" s="25">
        <v>2020</v>
      </c>
      <c r="AY163" s="25" t="str">
        <f t="shared" ref="AY163:AY165" si="349">AY162</f>
        <v>PyroRecy-LFP</v>
      </c>
      <c r="AZ163" s="26" t="s">
        <v>224</v>
      </c>
      <c r="BA163" s="25">
        <f t="shared" si="342"/>
        <v>0.0435090201627167</v>
      </c>
      <c r="BB163" s="25">
        <v>2020</v>
      </c>
    </row>
    <row r="164" ht="15.5" spans="21:54">
      <c r="U164" s="25" t="str">
        <f t="shared" si="343"/>
        <v>PyroRecy-NMC111</v>
      </c>
      <c r="V164" s="26" t="s">
        <v>225</v>
      </c>
      <c r="W164" s="25">
        <f t="shared" si="336"/>
        <v>0.0724945258548088</v>
      </c>
      <c r="X164" s="25">
        <v>2020</v>
      </c>
      <c r="Z164" s="25" t="str">
        <f t="shared" si="344"/>
        <v>PyroRecy-NMC532</v>
      </c>
      <c r="AA164" s="26" t="s">
        <v>225</v>
      </c>
      <c r="AB164" s="25">
        <f t="shared" si="337"/>
        <v>0.0706073567151412</v>
      </c>
      <c r="AC164" s="25">
        <v>2020</v>
      </c>
      <c r="AE164" s="25" t="str">
        <f t="shared" si="345"/>
        <v>PyroRecy-NMC622</v>
      </c>
      <c r="AF164" s="26" t="s">
        <v>225</v>
      </c>
      <c r="AG164" s="25">
        <f t="shared" si="338"/>
        <v>0.0732017937219731</v>
      </c>
      <c r="AH164" s="25">
        <v>2020</v>
      </c>
      <c r="AJ164" s="25" t="str">
        <f t="shared" si="346"/>
        <v>PyroRecy-NMC811</v>
      </c>
      <c r="AK164" s="26" t="s">
        <v>225</v>
      </c>
      <c r="AL164" s="25">
        <f t="shared" si="339"/>
        <v>0.076516300227445</v>
      </c>
      <c r="AM164" s="25">
        <v>2020</v>
      </c>
      <c r="AO164" s="25" t="str">
        <f t="shared" si="347"/>
        <v>PyroRecy-NCA</v>
      </c>
      <c r="AP164" s="26" t="s">
        <v>225</v>
      </c>
      <c r="AQ164" s="25">
        <f t="shared" si="340"/>
        <v>0.0803841133693828</v>
      </c>
      <c r="AR164" s="25">
        <v>2020</v>
      </c>
      <c r="AT164" s="25" t="str">
        <f t="shared" si="348"/>
        <v>PyroRecy-LMO</v>
      </c>
      <c r="AU164" s="26" t="s">
        <v>225</v>
      </c>
      <c r="AV164" s="25">
        <f t="shared" si="341"/>
        <v>0.0614145974416855</v>
      </c>
      <c r="AW164" s="25">
        <v>2020</v>
      </c>
      <c r="AY164" s="25" t="str">
        <f t="shared" si="349"/>
        <v>PyroRecy-LFP</v>
      </c>
      <c r="AZ164" s="26" t="s">
        <v>225</v>
      </c>
      <c r="BA164" s="25">
        <f t="shared" si="342"/>
        <v>0.0721789883268483</v>
      </c>
      <c r="BB164" s="25">
        <v>2020</v>
      </c>
    </row>
    <row r="165" ht="15.5" spans="21:54">
      <c r="U165" s="25" t="str">
        <f t="shared" si="343"/>
        <v>PyroRecy-NMC111</v>
      </c>
      <c r="V165" s="26" t="s">
        <v>226</v>
      </c>
      <c r="W165" s="25">
        <f t="shared" si="336"/>
        <v>0.0131547919824827</v>
      </c>
      <c r="X165" s="25">
        <v>2020</v>
      </c>
      <c r="Z165" s="25" t="str">
        <f t="shared" si="344"/>
        <v>PyroRecy-NMC532</v>
      </c>
      <c r="AA165" s="26" t="s">
        <v>226</v>
      </c>
      <c r="AB165" s="25">
        <f t="shared" si="337"/>
        <v>0.0128656971770744</v>
      </c>
      <c r="AC165" s="25">
        <v>2020</v>
      </c>
      <c r="AE165" s="25" t="str">
        <f t="shared" si="345"/>
        <v>PyroRecy-NMC622</v>
      </c>
      <c r="AF165" s="26" t="s">
        <v>226</v>
      </c>
      <c r="AG165" s="25">
        <f t="shared" si="338"/>
        <v>0.0133273542600897</v>
      </c>
      <c r="AH165" s="25">
        <v>2020</v>
      </c>
      <c r="AJ165" s="25" t="str">
        <f t="shared" si="346"/>
        <v>PyroRecy-NMC811</v>
      </c>
      <c r="AK165" s="26" t="s">
        <v>226</v>
      </c>
      <c r="AL165" s="25">
        <f t="shared" si="339"/>
        <v>0.0145564821834723</v>
      </c>
      <c r="AM165" s="25">
        <v>2020</v>
      </c>
      <c r="AO165" s="25" t="str">
        <f t="shared" si="347"/>
        <v>PyroRecy-NCA</v>
      </c>
      <c r="AP165" s="26" t="s">
        <v>226</v>
      </c>
      <c r="AQ165" s="25">
        <f t="shared" si="340"/>
        <v>0.0148610852134999</v>
      </c>
      <c r="AR165" s="25">
        <v>2020</v>
      </c>
      <c r="AT165" s="25" t="str">
        <f t="shared" si="348"/>
        <v>PyroRecy-LMO</v>
      </c>
      <c r="AU165" s="26" t="s">
        <v>226</v>
      </c>
      <c r="AV165" s="25">
        <f t="shared" si="341"/>
        <v>0.0111813393528969</v>
      </c>
      <c r="AW165" s="25">
        <v>2020</v>
      </c>
      <c r="AY165" s="25" t="str">
        <f t="shared" si="349"/>
        <v>PyroRecy-LFP</v>
      </c>
      <c r="AZ165" s="26" t="s">
        <v>226</v>
      </c>
      <c r="BA165" s="25">
        <f t="shared" si="342"/>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215</v>
      </c>
      <c r="W172" s="23"/>
      <c r="X172" s="25"/>
      <c r="Z172" s="23"/>
      <c r="AA172" s="24" t="s">
        <v>215</v>
      </c>
      <c r="AB172" s="23"/>
      <c r="AC172" s="25"/>
      <c r="AE172" s="23"/>
      <c r="AF172" s="24" t="s">
        <v>215</v>
      </c>
      <c r="AG172" s="23"/>
      <c r="AH172" s="25"/>
      <c r="AJ172" s="23"/>
      <c r="AK172" s="24" t="s">
        <v>215</v>
      </c>
      <c r="AL172" s="23"/>
      <c r="AM172" s="25"/>
      <c r="AO172" s="23"/>
      <c r="AP172" s="24" t="s">
        <v>215</v>
      </c>
      <c r="AQ172" s="23"/>
      <c r="AR172" s="25"/>
      <c r="AT172" s="23"/>
      <c r="AU172" s="24" t="s">
        <v>215</v>
      </c>
      <c r="AV172" s="23"/>
      <c r="AW172" s="25"/>
      <c r="AY172" s="23"/>
      <c r="AZ172" s="24" t="s">
        <v>215</v>
      </c>
      <c r="BA172" s="23"/>
    </row>
    <row r="173" ht="15.5" spans="21:54">
      <c r="U173" s="24" t="s">
        <v>64</v>
      </c>
      <c r="V173" s="24" t="s">
        <v>95</v>
      </c>
      <c r="W173" s="24" t="s">
        <v>11</v>
      </c>
      <c r="X173" s="25" t="s">
        <v>41</v>
      </c>
      <c r="Z173" s="24" t="s">
        <v>64</v>
      </c>
      <c r="AA173" s="24" t="s">
        <v>95</v>
      </c>
      <c r="AB173" s="24" t="s">
        <v>11</v>
      </c>
      <c r="AC173" s="25" t="s">
        <v>41</v>
      </c>
      <c r="AE173" s="24" t="s">
        <v>64</v>
      </c>
      <c r="AF173" s="24" t="s">
        <v>95</v>
      </c>
      <c r="AG173" s="24" t="s">
        <v>11</v>
      </c>
      <c r="AH173" s="25" t="s">
        <v>41</v>
      </c>
      <c r="AJ173" s="24" t="s">
        <v>64</v>
      </c>
      <c r="AK173" s="24" t="s">
        <v>95</v>
      </c>
      <c r="AL173" s="24" t="s">
        <v>11</v>
      </c>
      <c r="AM173" s="25" t="s">
        <v>41</v>
      </c>
      <c r="AO173" s="24" t="s">
        <v>64</v>
      </c>
      <c r="AP173" s="24" t="s">
        <v>95</v>
      </c>
      <c r="AQ173" s="24" t="s">
        <v>11</v>
      </c>
      <c r="AR173" s="25" t="s">
        <v>41</v>
      </c>
      <c r="AT173" s="24" t="s">
        <v>64</v>
      </c>
      <c r="AU173" s="24" t="s">
        <v>95</v>
      </c>
      <c r="AV173" s="24" t="s">
        <v>11</v>
      </c>
      <c r="AW173" s="25" t="s">
        <v>41</v>
      </c>
      <c r="AY173" s="24" t="s">
        <v>64</v>
      </c>
      <c r="AZ173" s="24" t="s">
        <v>95</v>
      </c>
      <c r="BA173" s="24" t="s">
        <v>11</v>
      </c>
      <c r="BB173" s="25" t="s">
        <v>41</v>
      </c>
    </row>
    <row r="174" ht="15.5" spans="21:54">
      <c r="U174" s="25" t="s">
        <v>196</v>
      </c>
      <c r="V174" s="26" t="s">
        <v>217</v>
      </c>
      <c r="W174" s="25">
        <f t="shared" ref="W174:W177" si="350">W105</f>
        <v>0.011840997136601</v>
      </c>
      <c r="X174" s="25">
        <v>2020</v>
      </c>
      <c r="Z174" s="25" t="s">
        <v>197</v>
      </c>
      <c r="AA174" s="26" t="s">
        <v>217</v>
      </c>
      <c r="AB174" s="25">
        <f t="shared" ref="AB174:AB177" si="351">X105</f>
        <v>0.011377245508982</v>
      </c>
      <c r="AC174" s="25">
        <v>2020</v>
      </c>
      <c r="AE174" s="25" t="s">
        <v>198</v>
      </c>
      <c r="AF174" s="26" t="s">
        <v>217</v>
      </c>
      <c r="AG174" s="25">
        <f t="shared" ref="AG174:AG177" si="352">Y105</f>
        <v>0.0117668161434977</v>
      </c>
      <c r="AH174" s="25">
        <v>2020</v>
      </c>
      <c r="AJ174" s="25" t="s">
        <v>199</v>
      </c>
      <c r="AK174" s="26" t="s">
        <v>217</v>
      </c>
      <c r="AL174" s="25">
        <f t="shared" ref="AL174:AL177" si="353">Z105</f>
        <v>0.0120924943138741</v>
      </c>
      <c r="AM174" s="25">
        <v>2020</v>
      </c>
      <c r="AO174" s="25" t="s">
        <v>195</v>
      </c>
      <c r="AP174" s="26" t="s">
        <v>217</v>
      </c>
      <c r="AQ174" s="25">
        <f t="shared" ref="AQ174:AQ177" si="354">AA105</f>
        <v>0.0122878985642364</v>
      </c>
      <c r="AR174" s="25">
        <v>2020</v>
      </c>
      <c r="AT174" s="25" t="s">
        <v>194</v>
      </c>
      <c r="AU174" s="26" t="s">
        <v>217</v>
      </c>
      <c r="AV174" s="25">
        <f t="shared" ref="AV174:AV177" si="355">AB105</f>
        <v>0.00987208427389014</v>
      </c>
      <c r="AW174" s="25">
        <v>2020</v>
      </c>
      <c r="AY174" s="25" t="s">
        <v>193</v>
      </c>
      <c r="AZ174" s="26" t="s">
        <v>217</v>
      </c>
      <c r="BA174" s="25">
        <f t="shared" ref="BA174:BA177" si="356">AC105</f>
        <v>0.0116024053767244</v>
      </c>
      <c r="BB174" s="25">
        <v>2020</v>
      </c>
    </row>
    <row r="175" ht="15.5" spans="21:54">
      <c r="U175" s="25" t="str">
        <f t="shared" ref="U175:U177" si="357">U174</f>
        <v>HydRecy-NMC111</v>
      </c>
      <c r="V175" s="26" t="s">
        <v>224</v>
      </c>
      <c r="W175" s="25">
        <f t="shared" si="350"/>
        <v>0.0404413003200269</v>
      </c>
      <c r="X175" s="25">
        <v>2020</v>
      </c>
      <c r="Z175" s="25" t="str">
        <f t="shared" ref="Z175:Z177" si="358">Z174</f>
        <v>HydRecy-NMC532</v>
      </c>
      <c r="AA175" s="26" t="s">
        <v>224</v>
      </c>
      <c r="AB175" s="25">
        <f t="shared" si="351"/>
        <v>0.0389734816082122</v>
      </c>
      <c r="AC175" s="25">
        <v>2020</v>
      </c>
      <c r="AE175" s="25" t="str">
        <f t="shared" ref="AE175:AE177" si="359">AE174</f>
        <v>HydRecy-NMC622</v>
      </c>
      <c r="AF175" s="26" t="s">
        <v>224</v>
      </c>
      <c r="AG175" s="25">
        <f t="shared" si="352"/>
        <v>0.0403408071748879</v>
      </c>
      <c r="AH175" s="25">
        <v>2020</v>
      </c>
      <c r="AJ175" s="25" t="str">
        <f t="shared" ref="AJ175:AJ177" si="360">AJ174</f>
        <v>HydRecy-NMC811</v>
      </c>
      <c r="AK175" s="26" t="s">
        <v>224</v>
      </c>
      <c r="AL175" s="25">
        <f t="shared" si="353"/>
        <v>0.0420204700530705</v>
      </c>
      <c r="AM175" s="25">
        <v>2020</v>
      </c>
      <c r="AO175" s="25" t="str">
        <f t="shared" ref="AO175:AO177" si="361">AO174</f>
        <v>HydRecy-NCA</v>
      </c>
      <c r="AP175" s="26" t="s">
        <v>224</v>
      </c>
      <c r="AQ175" s="25">
        <f t="shared" si="354"/>
        <v>0.0428118590341227</v>
      </c>
      <c r="AR175" s="25">
        <v>2020</v>
      </c>
      <c r="AT175" s="25" t="str">
        <f t="shared" ref="AT175:AT177" si="362">AT174</f>
        <v>HydRecy-LMO</v>
      </c>
      <c r="AU175" s="26" t="s">
        <v>224</v>
      </c>
      <c r="AV175" s="25">
        <f t="shared" si="355"/>
        <v>0.0338449962377728</v>
      </c>
      <c r="AW175" s="25">
        <v>2020</v>
      </c>
      <c r="AY175" s="25" t="str">
        <f t="shared" ref="AY175:AY177" si="363">AY174</f>
        <v>HydRecy-LFP</v>
      </c>
      <c r="AZ175" s="26" t="s">
        <v>224</v>
      </c>
      <c r="BA175" s="25">
        <f t="shared" si="356"/>
        <v>0.0397771489211178</v>
      </c>
      <c r="BB175" s="25">
        <v>2020</v>
      </c>
    </row>
    <row r="176" ht="15.5" spans="21:54">
      <c r="U176" s="25" t="str">
        <f t="shared" si="357"/>
        <v>HydRecy-NMC111</v>
      </c>
      <c r="V176" s="26" t="s">
        <v>225</v>
      </c>
      <c r="W176" s="25">
        <f t="shared" si="350"/>
        <v>0.0870304867778339</v>
      </c>
      <c r="X176" s="25">
        <v>2020</v>
      </c>
      <c r="Z176" s="25" t="str">
        <f t="shared" si="358"/>
        <v>HydRecy-NMC532</v>
      </c>
      <c r="AA176" s="26" t="s">
        <v>225</v>
      </c>
      <c r="AB176" s="25">
        <f t="shared" si="351"/>
        <v>0.0843627031650984</v>
      </c>
      <c r="AC176" s="25">
        <v>2020</v>
      </c>
      <c r="AE176" s="25" t="str">
        <f t="shared" si="359"/>
        <v>HydRecy-NMC622</v>
      </c>
      <c r="AF176" s="26" t="s">
        <v>225</v>
      </c>
      <c r="AG176" s="25">
        <f t="shared" si="352"/>
        <v>0.0874439461883408</v>
      </c>
      <c r="AH176" s="25">
        <v>2020</v>
      </c>
      <c r="AJ176" s="25" t="str">
        <f t="shared" si="360"/>
        <v>HydRecy-NMC811</v>
      </c>
      <c r="AK176" s="26" t="s">
        <v>225</v>
      </c>
      <c r="AL176" s="25">
        <f t="shared" si="353"/>
        <v>0.0881918119787718</v>
      </c>
      <c r="AM176" s="25">
        <v>2020</v>
      </c>
      <c r="AO176" s="25" t="str">
        <f t="shared" si="361"/>
        <v>HydRecy-NCA</v>
      </c>
      <c r="AP176" s="26" t="s">
        <v>225</v>
      </c>
      <c r="AQ176" s="25">
        <f t="shared" si="354"/>
        <v>0.0922245012120082</v>
      </c>
      <c r="AR176" s="25">
        <v>2020</v>
      </c>
      <c r="AT176" s="25" t="str">
        <f t="shared" si="362"/>
        <v>HydRecy-LMO</v>
      </c>
      <c r="AU176" s="26" t="s">
        <v>225</v>
      </c>
      <c r="AV176" s="25">
        <f t="shared" si="355"/>
        <v>0.0733634311512415</v>
      </c>
      <c r="AW176" s="25">
        <v>2020</v>
      </c>
      <c r="AY176" s="25" t="str">
        <f t="shared" si="363"/>
        <v>HydRecy-LFP</v>
      </c>
      <c r="AZ176" s="26" t="s">
        <v>225</v>
      </c>
      <c r="BA176" s="25">
        <f t="shared" si="356"/>
        <v>0.0862221436151397</v>
      </c>
      <c r="BB176" s="25">
        <v>2020</v>
      </c>
    </row>
    <row r="177" ht="15.5" spans="21:54">
      <c r="U177" s="25" t="str">
        <f t="shared" si="357"/>
        <v>HydRecy-NMC111</v>
      </c>
      <c r="V177" s="26" t="s">
        <v>226</v>
      </c>
      <c r="W177" s="25">
        <f t="shared" si="350"/>
        <v>0.0133569142664645</v>
      </c>
      <c r="X177" s="25">
        <v>2020</v>
      </c>
      <c r="Z177" s="25" t="str">
        <f t="shared" si="358"/>
        <v>HydRecy-NMC532</v>
      </c>
      <c r="AA177" s="26" t="s">
        <v>226</v>
      </c>
      <c r="AB177" s="25">
        <f t="shared" si="351"/>
        <v>0.0131907613344739</v>
      </c>
      <c r="AC177" s="25">
        <v>2020</v>
      </c>
      <c r="AE177" s="25" t="str">
        <f t="shared" si="359"/>
        <v>HydRecy-NMC622</v>
      </c>
      <c r="AF177" s="26" t="s">
        <v>226</v>
      </c>
      <c r="AG177" s="25">
        <f t="shared" si="352"/>
        <v>0.0137399103139013</v>
      </c>
      <c r="AH177" s="25">
        <v>2020</v>
      </c>
      <c r="AJ177" s="25" t="str">
        <f t="shared" si="360"/>
        <v>HydRecy-NMC811</v>
      </c>
      <c r="AK177" s="26" t="s">
        <v>226</v>
      </c>
      <c r="AL177" s="25">
        <f t="shared" si="353"/>
        <v>0.0141015921152388</v>
      </c>
      <c r="AM177" s="25">
        <v>2020</v>
      </c>
      <c r="AO177" s="25" t="str">
        <f t="shared" si="361"/>
        <v>HydRecy-NCA</v>
      </c>
      <c r="AP177" s="26" t="s">
        <v>226</v>
      </c>
      <c r="AQ177" s="25">
        <f t="shared" si="354"/>
        <v>0.0143016968114861</v>
      </c>
      <c r="AR177" s="25">
        <v>2020</v>
      </c>
      <c r="AT177" s="25" t="str">
        <f t="shared" si="362"/>
        <v>HydRecy-LMO</v>
      </c>
      <c r="AU177" s="26" t="s">
        <v>226</v>
      </c>
      <c r="AV177" s="25">
        <f t="shared" si="355"/>
        <v>0.0115274642588412</v>
      </c>
      <c r="AW177" s="25">
        <v>2020</v>
      </c>
      <c r="AY177" s="25" t="str">
        <f t="shared" si="363"/>
        <v>HydRecy-LFP</v>
      </c>
      <c r="AZ177" s="26" t="s">
        <v>226</v>
      </c>
      <c r="BA177" s="25">
        <f t="shared" si="356"/>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215</v>
      </c>
      <c r="W183" s="23"/>
      <c r="X183" s="25"/>
      <c r="Z183" s="23"/>
      <c r="AA183" s="24" t="s">
        <v>215</v>
      </c>
      <c r="AB183" s="23"/>
      <c r="AC183" s="25"/>
      <c r="AE183" s="23"/>
      <c r="AF183" s="24" t="s">
        <v>215</v>
      </c>
      <c r="AG183" s="23"/>
      <c r="AH183" s="25"/>
      <c r="AJ183" s="23"/>
      <c r="AK183" s="24" t="s">
        <v>215</v>
      </c>
      <c r="AL183" s="23"/>
      <c r="AM183" s="25"/>
      <c r="AO183" s="23"/>
      <c r="AP183" s="24" t="s">
        <v>215</v>
      </c>
      <c r="AQ183" s="23"/>
      <c r="AR183" s="25"/>
      <c r="AT183" s="23"/>
      <c r="AU183" s="24" t="s">
        <v>215</v>
      </c>
      <c r="AV183" s="23"/>
      <c r="AW183" s="25"/>
      <c r="AY183" s="23"/>
      <c r="AZ183" s="24" t="s">
        <v>215</v>
      </c>
      <c r="BA183" s="23"/>
    </row>
    <row r="184" ht="15.5" spans="21:54">
      <c r="U184" s="24" t="s">
        <v>64</v>
      </c>
      <c r="V184" s="24" t="s">
        <v>95</v>
      </c>
      <c r="W184" s="24" t="s">
        <v>11</v>
      </c>
      <c r="X184" s="25" t="s">
        <v>41</v>
      </c>
      <c r="Z184" s="24" t="s">
        <v>64</v>
      </c>
      <c r="AA184" s="24" t="s">
        <v>95</v>
      </c>
      <c r="AB184" s="24" t="s">
        <v>11</v>
      </c>
      <c r="AC184" s="25" t="s">
        <v>41</v>
      </c>
      <c r="AE184" s="24" t="s">
        <v>64</v>
      </c>
      <c r="AF184" s="24" t="s">
        <v>95</v>
      </c>
      <c r="AG184" s="24" t="s">
        <v>11</v>
      </c>
      <c r="AH184" s="25" t="s">
        <v>41</v>
      </c>
      <c r="AJ184" s="24" t="s">
        <v>64</v>
      </c>
      <c r="AK184" s="24" t="s">
        <v>95</v>
      </c>
      <c r="AL184" s="24" t="s">
        <v>11</v>
      </c>
      <c r="AM184" s="25" t="s">
        <v>41</v>
      </c>
      <c r="AO184" s="24" t="s">
        <v>64</v>
      </c>
      <c r="AP184" s="24" t="s">
        <v>95</v>
      </c>
      <c r="AQ184" s="24" t="s">
        <v>11</v>
      </c>
      <c r="AR184" s="25" t="s">
        <v>41</v>
      </c>
      <c r="AT184" s="24" t="s">
        <v>64</v>
      </c>
      <c r="AU184" s="24" t="s">
        <v>95</v>
      </c>
      <c r="AV184" s="24" t="s">
        <v>11</v>
      </c>
      <c r="AW184" s="25" t="s">
        <v>41</v>
      </c>
      <c r="AY184" s="24" t="s">
        <v>64</v>
      </c>
      <c r="AZ184" s="24" t="s">
        <v>95</v>
      </c>
      <c r="BA184" s="24" t="s">
        <v>11</v>
      </c>
      <c r="BB184" s="25" t="s">
        <v>41</v>
      </c>
    </row>
    <row r="185" ht="15.5" spans="21:54">
      <c r="U185" s="25" t="s">
        <v>203</v>
      </c>
      <c r="V185" s="26" t="s">
        <v>217</v>
      </c>
      <c r="W185" s="25">
        <f t="shared" ref="W185:W188" si="364">W125</f>
        <v>0.00810173488293751</v>
      </c>
      <c r="X185" s="25">
        <v>2020</v>
      </c>
      <c r="Z185" s="25" t="s">
        <v>204</v>
      </c>
      <c r="AA185" s="26" t="s">
        <v>217</v>
      </c>
      <c r="AB185" s="25">
        <f t="shared" ref="AB185:AB188" si="365">X125</f>
        <v>0.00786997433704022</v>
      </c>
      <c r="AC185" s="25">
        <v>2020</v>
      </c>
      <c r="AE185" s="25" t="s">
        <v>205</v>
      </c>
      <c r="AF185" s="26" t="s">
        <v>217</v>
      </c>
      <c r="AG185" s="25">
        <f t="shared" ref="AG185:AG188" si="366">Y125</f>
        <v>0.00817937219730942</v>
      </c>
      <c r="AH185" s="25">
        <v>2020</v>
      </c>
      <c r="AJ185" s="25" t="s">
        <v>206</v>
      </c>
      <c r="AK185" s="26" t="s">
        <v>217</v>
      </c>
      <c r="AL185" s="25">
        <f t="shared" ref="AL185:AL188" si="367">Z125</f>
        <v>0.00816906747536013</v>
      </c>
      <c r="AM185" s="25">
        <v>2020</v>
      </c>
      <c r="AO185" s="25" t="s">
        <v>202</v>
      </c>
      <c r="AP185" s="26" t="s">
        <v>217</v>
      </c>
      <c r="AQ185" s="25">
        <f t="shared" ref="AQ185:AQ188" si="368">AA125</f>
        <v>0.00826030206973706</v>
      </c>
      <c r="AR185" s="25">
        <v>2020</v>
      </c>
      <c r="AT185" s="25" t="s">
        <v>201</v>
      </c>
      <c r="AU185" s="26" t="s">
        <v>217</v>
      </c>
      <c r="AV185" s="25">
        <f t="shared" ref="AV185:AV188" si="369">AB125</f>
        <v>0.00686230248306997</v>
      </c>
      <c r="AW185" s="25">
        <v>2020</v>
      </c>
      <c r="AY185" s="25" t="s">
        <v>200</v>
      </c>
      <c r="AZ185" s="26" t="s">
        <v>217</v>
      </c>
      <c r="BA185" s="25">
        <f t="shared" ref="BA185:BA188" si="370">AC125</f>
        <v>0.00806508666430845</v>
      </c>
      <c r="BB185" s="25">
        <v>2020</v>
      </c>
    </row>
    <row r="186" ht="15.5" spans="21:54">
      <c r="U186" s="25" t="str">
        <f t="shared" ref="U186:U188" si="371">U185</f>
        <v>DirRecy-NMC111</v>
      </c>
      <c r="V186" s="26" t="s">
        <v>224</v>
      </c>
      <c r="W186" s="25">
        <f t="shared" si="364"/>
        <v>0.0319690079164561</v>
      </c>
      <c r="X186" s="25">
        <v>2020</v>
      </c>
      <c r="Z186" s="25" t="str">
        <f t="shared" ref="Z186:Z188" si="372">Z185</f>
        <v>DirRecy-NMC532</v>
      </c>
      <c r="AA186" s="26" t="s">
        <v>224</v>
      </c>
      <c r="AB186" s="25">
        <f t="shared" si="365"/>
        <v>0.0310692899914457</v>
      </c>
      <c r="AC186" s="25">
        <v>2020</v>
      </c>
      <c r="AE186" s="25" t="str">
        <f t="shared" ref="AE186:AE188" si="373">AE185</f>
        <v>DirRecy-NMC622</v>
      </c>
      <c r="AF186" s="26" t="s">
        <v>224</v>
      </c>
      <c r="AG186" s="25">
        <f t="shared" si="366"/>
        <v>0.0322331838565022</v>
      </c>
      <c r="AH186" s="25">
        <v>2020</v>
      </c>
      <c r="AJ186" s="25" t="str">
        <f t="shared" ref="AJ186:AJ188" si="374">AJ185</f>
        <v>DirRecy-NMC811</v>
      </c>
      <c r="AK186" s="26" t="s">
        <v>224</v>
      </c>
      <c r="AL186" s="25">
        <f t="shared" si="367"/>
        <v>0.0321645185746778</v>
      </c>
      <c r="AM186" s="25">
        <v>2020</v>
      </c>
      <c r="AO186" s="25" t="str">
        <f t="shared" ref="AO186:AO188" si="375">AO185</f>
        <v>DirRecy-NCA</v>
      </c>
      <c r="AP186" s="26" t="s">
        <v>224</v>
      </c>
      <c r="AQ186" s="25">
        <f t="shared" si="368"/>
        <v>0.0325750512772702</v>
      </c>
      <c r="AR186" s="25">
        <v>2020</v>
      </c>
      <c r="AT186" s="25" t="str">
        <f t="shared" ref="AT186:AT188" si="376">AT185</f>
        <v>DirRecy-LMO</v>
      </c>
      <c r="AU186" s="26" t="s">
        <v>224</v>
      </c>
      <c r="AV186" s="25">
        <f t="shared" si="369"/>
        <v>0.0270428893905192</v>
      </c>
      <c r="AW186" s="25">
        <v>2020</v>
      </c>
      <c r="AY186" s="25" t="str">
        <f t="shared" ref="AY186:AY188" si="377">AY185</f>
        <v>DirRecy-LFP</v>
      </c>
      <c r="AZ186" s="26" t="s">
        <v>224</v>
      </c>
      <c r="BA186" s="25">
        <f t="shared" si="370"/>
        <v>0.0317828086310577</v>
      </c>
      <c r="BB186" s="25">
        <v>2020</v>
      </c>
    </row>
    <row r="187" ht="15.5" spans="21:54">
      <c r="U187" s="25" t="str">
        <f t="shared" si="371"/>
        <v>DirRecy-NMC111</v>
      </c>
      <c r="V187" s="26" t="s">
        <v>225</v>
      </c>
      <c r="W187" s="25">
        <f t="shared" si="364"/>
        <v>0.0557183762843187</v>
      </c>
      <c r="X187" s="25">
        <v>2020</v>
      </c>
      <c r="Z187" s="25" t="str">
        <f t="shared" si="372"/>
        <v>DirRecy-NMC532</v>
      </c>
      <c r="AA187" s="26" t="s">
        <v>225</v>
      </c>
      <c r="AB187" s="25">
        <f t="shared" si="365"/>
        <v>0.055158254918734</v>
      </c>
      <c r="AC187" s="25">
        <v>2020</v>
      </c>
      <c r="AE187" s="25" t="str">
        <f t="shared" si="373"/>
        <v>DirRecy-NMC622</v>
      </c>
      <c r="AF187" s="26" t="s">
        <v>225</v>
      </c>
      <c r="AG187" s="25">
        <f t="shared" si="366"/>
        <v>0.0574887892376682</v>
      </c>
      <c r="AH187" s="25">
        <v>2020</v>
      </c>
      <c r="AJ187" s="25" t="str">
        <f t="shared" si="374"/>
        <v>DirRecy-NMC811</v>
      </c>
      <c r="AK187" s="26" t="s">
        <v>225</v>
      </c>
      <c r="AL187" s="25">
        <f t="shared" si="367"/>
        <v>0.0587755875663381</v>
      </c>
      <c r="AM187" s="25">
        <v>2020</v>
      </c>
      <c r="AO187" s="25" t="str">
        <f t="shared" si="375"/>
        <v>DirRecy-NCA</v>
      </c>
      <c r="AP187" s="26" t="s">
        <v>225</v>
      </c>
      <c r="AQ187" s="25">
        <f t="shared" si="368"/>
        <v>0.0587544284915159</v>
      </c>
      <c r="AR187" s="25">
        <v>2020</v>
      </c>
      <c r="AT187" s="25" t="str">
        <f t="shared" si="376"/>
        <v>DirRecy-LMO</v>
      </c>
      <c r="AU187" s="26" t="s">
        <v>225</v>
      </c>
      <c r="AV187" s="25">
        <f t="shared" si="369"/>
        <v>0.0482317531978932</v>
      </c>
      <c r="AW187" s="25">
        <v>2020</v>
      </c>
      <c r="AY187" s="25" t="str">
        <f t="shared" si="377"/>
        <v>DirRecy-LFP</v>
      </c>
      <c r="AZ187" s="26" t="s">
        <v>225</v>
      </c>
      <c r="BA187" s="25">
        <f t="shared" si="370"/>
        <v>0.0566855323664662</v>
      </c>
      <c r="BB187" s="25">
        <v>2020</v>
      </c>
    </row>
    <row r="188" ht="15.5" spans="21:54">
      <c r="U188" s="25" t="str">
        <f t="shared" si="371"/>
        <v>DirRecy-NMC111</v>
      </c>
      <c r="V188" s="26" t="s">
        <v>226</v>
      </c>
      <c r="W188" s="25">
        <f t="shared" si="364"/>
        <v>0.0130537308404918</v>
      </c>
      <c r="X188" s="25">
        <v>2020</v>
      </c>
      <c r="Z188" s="25" t="str">
        <f t="shared" si="372"/>
        <v>DirRecy-NMC532</v>
      </c>
      <c r="AA188" s="26" t="s">
        <v>226</v>
      </c>
      <c r="AB188" s="25">
        <f t="shared" si="365"/>
        <v>0.0129170230966638</v>
      </c>
      <c r="AC188" s="25">
        <v>2020</v>
      </c>
      <c r="AE188" s="25" t="str">
        <f t="shared" si="373"/>
        <v>DirRecy-NMC622</v>
      </c>
      <c r="AF188" s="26" t="s">
        <v>226</v>
      </c>
      <c r="AG188" s="25">
        <f t="shared" si="366"/>
        <v>0.0134529147982063</v>
      </c>
      <c r="AH188" s="25">
        <v>2020</v>
      </c>
      <c r="AJ188" s="25" t="str">
        <f t="shared" si="374"/>
        <v>DirRecy-NMC811</v>
      </c>
      <c r="AK188" s="26" t="s">
        <v>226</v>
      </c>
      <c r="AL188" s="25">
        <f t="shared" si="367"/>
        <v>0.0136846095526914</v>
      </c>
      <c r="AM188" s="25">
        <v>2020</v>
      </c>
      <c r="AO188" s="25" t="str">
        <f t="shared" si="375"/>
        <v>DirRecy-NCA</v>
      </c>
      <c r="AP188" s="26" t="s">
        <v>226</v>
      </c>
      <c r="AQ188" s="25">
        <f t="shared" si="368"/>
        <v>0.0137236621294052</v>
      </c>
      <c r="AR188" s="25">
        <v>2020</v>
      </c>
      <c r="AT188" s="25" t="str">
        <f t="shared" si="376"/>
        <v>DirRecy-LMO</v>
      </c>
      <c r="AU188" s="26" t="s">
        <v>226</v>
      </c>
      <c r="AV188" s="25">
        <f t="shared" si="369"/>
        <v>0.0112866817155756</v>
      </c>
      <c r="AW188" s="25">
        <v>2020</v>
      </c>
      <c r="AY188" s="25" t="str">
        <f t="shared" si="377"/>
        <v>DirRecy-LFP</v>
      </c>
      <c r="AZ188" s="26" t="s">
        <v>226</v>
      </c>
      <c r="BA188" s="25">
        <f t="shared" si="370"/>
        <v>0.01326494517156</v>
      </c>
      <c r="BB188" s="25">
        <v>2020</v>
      </c>
    </row>
    <row r="198" spans="21:54">
      <c r="V198" s="3" t="s">
        <v>215</v>
      </c>
      <c r="AA198" s="3" t="s">
        <v>215</v>
      </c>
      <c r="AF198" s="3" t="s">
        <v>215</v>
      </c>
      <c r="AK198" s="3" t="s">
        <v>215</v>
      </c>
      <c r="AP198" s="3" t="s">
        <v>215</v>
      </c>
      <c r="AU198" s="3" t="s">
        <v>215</v>
      </c>
      <c r="AZ198" s="3" t="s">
        <v>215</v>
      </c>
    </row>
    <row r="199" ht="15.5" spans="21:54">
      <c r="U199" s="3" t="s">
        <v>64</v>
      </c>
      <c r="V199" s="3" t="s">
        <v>95</v>
      </c>
      <c r="W199" s="3" t="s">
        <v>11</v>
      </c>
      <c r="X199" s="25" t="s">
        <v>41</v>
      </c>
      <c r="Z199" s="3" t="s">
        <v>64</v>
      </c>
      <c r="AA199" s="3" t="s">
        <v>95</v>
      </c>
      <c r="AB199" s="3" t="s">
        <v>11</v>
      </c>
      <c r="AC199" s="25" t="s">
        <v>41</v>
      </c>
      <c r="AE199" s="3" t="s">
        <v>64</v>
      </c>
      <c r="AF199" s="3" t="s">
        <v>95</v>
      </c>
      <c r="AG199" s="3" t="s">
        <v>11</v>
      </c>
      <c r="AH199" s="25" t="s">
        <v>41</v>
      </c>
      <c r="AJ199" s="3" t="s">
        <v>64</v>
      </c>
      <c r="AK199" s="3" t="s">
        <v>95</v>
      </c>
      <c r="AL199" s="3" t="s">
        <v>11</v>
      </c>
      <c r="AM199" s="25" t="s">
        <v>41</v>
      </c>
      <c r="AO199" s="3" t="s">
        <v>64</v>
      </c>
      <c r="AP199" s="3" t="s">
        <v>95</v>
      </c>
      <c r="AQ199" s="3" t="s">
        <v>11</v>
      </c>
      <c r="AR199" s="25" t="s">
        <v>41</v>
      </c>
      <c r="AT199" s="3" t="s">
        <v>64</v>
      </c>
      <c r="AU199" s="3" t="s">
        <v>95</v>
      </c>
      <c r="AV199" s="3" t="s">
        <v>11</v>
      </c>
      <c r="AW199" s="25" t="s">
        <v>41</v>
      </c>
      <c r="AY199" s="3" t="s">
        <v>64</v>
      </c>
      <c r="AZ199" s="3" t="s">
        <v>95</v>
      </c>
      <c r="BA199" s="3" t="s">
        <v>11</v>
      </c>
      <c r="BB199" s="25" t="s">
        <v>41</v>
      </c>
    </row>
    <row r="200" ht="15.5" spans="21:54">
      <c r="U200" s="3" t="s">
        <v>189</v>
      </c>
      <c r="V200" s="3" t="s">
        <v>217</v>
      </c>
      <c r="W200" s="3">
        <f>SUM(W162:W165)</f>
        <v>0.141182415361294</v>
      </c>
      <c r="X200" s="25" t="s">
        <v>248</v>
      </c>
      <c r="Z200" s="3" t="s">
        <v>190</v>
      </c>
      <c r="AA200" s="3" t="s">
        <v>217</v>
      </c>
      <c r="AB200" s="3">
        <f>SUM(AB162:AB165)</f>
        <v>0.136680923866553</v>
      </c>
      <c r="AC200" s="25" t="s">
        <v>248</v>
      </c>
      <c r="AE200" s="3" t="s">
        <v>191</v>
      </c>
      <c r="AF200" s="3" t="s">
        <v>217</v>
      </c>
      <c r="AG200" s="3">
        <f>SUM(AG162:AG165)</f>
        <v>0.141363228699552</v>
      </c>
      <c r="AH200" s="25" t="s">
        <v>248</v>
      </c>
      <c r="AJ200" s="3" t="s">
        <v>192</v>
      </c>
      <c r="AK200" s="3" t="s">
        <v>217</v>
      </c>
      <c r="AL200" s="3">
        <f>SUM(AL162:AL165)</f>
        <v>0.148483699772555</v>
      </c>
      <c r="AM200" s="25" t="s">
        <v>248</v>
      </c>
      <c r="AO200" s="3" t="s">
        <v>188</v>
      </c>
      <c r="AP200" s="3" t="s">
        <v>217</v>
      </c>
      <c r="AQ200" s="3">
        <f>SUM(AQ162:AQ165)</f>
        <v>0.153906395674063</v>
      </c>
      <c r="AR200" s="25" t="s">
        <v>248</v>
      </c>
      <c r="AT200" s="3" t="s">
        <v>187</v>
      </c>
      <c r="AU200" s="3" t="s">
        <v>217</v>
      </c>
      <c r="AV200" s="3">
        <f>SUM(AV162:AV165)</f>
        <v>0.118600451467269</v>
      </c>
      <c r="AW200" s="25" t="s">
        <v>248</v>
      </c>
      <c r="AY200" s="3" t="s">
        <v>186</v>
      </c>
      <c r="AZ200" s="3" t="s">
        <v>217</v>
      </c>
      <c r="BA200" s="3">
        <f>SUM(BA162:BA165)</f>
        <v>0.139388043862752</v>
      </c>
      <c r="BB200" s="25" t="s">
        <v>248</v>
      </c>
    </row>
    <row r="201" ht="15.5" spans="21:54">
      <c r="U201" s="3" t="s">
        <v>189</v>
      </c>
      <c r="V201" s="3" t="s">
        <v>224</v>
      </c>
      <c r="W201" s="3">
        <v>0</v>
      </c>
      <c r="X201" s="25" t="s">
        <v>248</v>
      </c>
      <c r="Z201" s="3" t="s">
        <v>190</v>
      </c>
      <c r="AA201" s="3" t="s">
        <v>224</v>
      </c>
      <c r="AB201" s="3">
        <v>0</v>
      </c>
      <c r="AC201" s="25" t="s">
        <v>248</v>
      </c>
      <c r="AE201" s="3" t="s">
        <v>191</v>
      </c>
      <c r="AF201" s="3" t="s">
        <v>224</v>
      </c>
      <c r="AG201" s="3">
        <v>0</v>
      </c>
      <c r="AH201" s="25" t="s">
        <v>248</v>
      </c>
      <c r="AJ201" s="3" t="s">
        <v>192</v>
      </c>
      <c r="AK201" s="3" t="s">
        <v>224</v>
      </c>
      <c r="AL201" s="3">
        <v>0</v>
      </c>
      <c r="AM201" s="25" t="s">
        <v>248</v>
      </c>
      <c r="AO201" s="3" t="s">
        <v>188</v>
      </c>
      <c r="AP201" s="3" t="s">
        <v>224</v>
      </c>
      <c r="AQ201" s="3">
        <v>0</v>
      </c>
      <c r="AR201" s="25" t="s">
        <v>248</v>
      </c>
      <c r="AT201" s="3" t="s">
        <v>187</v>
      </c>
      <c r="AU201" s="3" t="s">
        <v>224</v>
      </c>
      <c r="AV201" s="3">
        <v>0</v>
      </c>
      <c r="AW201" s="25" t="s">
        <v>248</v>
      </c>
      <c r="AY201" s="3" t="s">
        <v>186</v>
      </c>
      <c r="AZ201" s="3" t="s">
        <v>224</v>
      </c>
      <c r="BA201" s="3">
        <v>0</v>
      </c>
      <c r="BB201" s="25" t="s">
        <v>248</v>
      </c>
    </row>
    <row r="202" ht="15.5" spans="21:54">
      <c r="U202" s="3" t="s">
        <v>189</v>
      </c>
      <c r="V202" s="3" t="s">
        <v>225</v>
      </c>
      <c r="W202" s="3">
        <v>0</v>
      </c>
      <c r="X202" s="25" t="s">
        <v>248</v>
      </c>
      <c r="Z202" s="3" t="s">
        <v>190</v>
      </c>
      <c r="AA202" s="3" t="s">
        <v>225</v>
      </c>
      <c r="AB202" s="3">
        <v>0</v>
      </c>
      <c r="AC202" s="25" t="s">
        <v>248</v>
      </c>
      <c r="AE202" s="3" t="s">
        <v>191</v>
      </c>
      <c r="AF202" s="3" t="s">
        <v>225</v>
      </c>
      <c r="AG202" s="3">
        <v>0</v>
      </c>
      <c r="AH202" s="25" t="s">
        <v>248</v>
      </c>
      <c r="AJ202" s="3" t="s">
        <v>192</v>
      </c>
      <c r="AK202" s="3" t="s">
        <v>225</v>
      </c>
      <c r="AL202" s="3">
        <v>0</v>
      </c>
      <c r="AM202" s="25" t="s">
        <v>248</v>
      </c>
      <c r="AO202" s="3" t="s">
        <v>188</v>
      </c>
      <c r="AP202" s="3" t="s">
        <v>225</v>
      </c>
      <c r="AQ202" s="3">
        <v>0</v>
      </c>
      <c r="AR202" s="25" t="s">
        <v>248</v>
      </c>
      <c r="AT202" s="3" t="s">
        <v>187</v>
      </c>
      <c r="AU202" s="3" t="s">
        <v>225</v>
      </c>
      <c r="AV202" s="3">
        <v>0</v>
      </c>
      <c r="AW202" s="25" t="s">
        <v>248</v>
      </c>
      <c r="AY202" s="3" t="s">
        <v>186</v>
      </c>
      <c r="AZ202" s="3" t="s">
        <v>225</v>
      </c>
      <c r="BA202" s="3">
        <v>0</v>
      </c>
      <c r="BB202" s="25" t="s">
        <v>248</v>
      </c>
    </row>
    <row r="203" ht="15.5" spans="21:54">
      <c r="U203" s="3" t="s">
        <v>189</v>
      </c>
      <c r="V203" s="3" t="s">
        <v>226</v>
      </c>
      <c r="W203" s="3">
        <v>0</v>
      </c>
      <c r="X203" s="25" t="s">
        <v>248</v>
      </c>
      <c r="Z203" s="3" t="s">
        <v>190</v>
      </c>
      <c r="AA203" s="3" t="s">
        <v>226</v>
      </c>
      <c r="AB203" s="3">
        <v>0</v>
      </c>
      <c r="AC203" s="25" t="s">
        <v>248</v>
      </c>
      <c r="AE203" s="3" t="s">
        <v>191</v>
      </c>
      <c r="AF203" s="3" t="s">
        <v>226</v>
      </c>
      <c r="AG203" s="3">
        <v>0</v>
      </c>
      <c r="AH203" s="25" t="s">
        <v>248</v>
      </c>
      <c r="AJ203" s="3" t="s">
        <v>192</v>
      </c>
      <c r="AK203" s="3" t="s">
        <v>226</v>
      </c>
      <c r="AL203" s="3">
        <v>0</v>
      </c>
      <c r="AM203" s="25" t="s">
        <v>248</v>
      </c>
      <c r="AO203" s="3" t="s">
        <v>188</v>
      </c>
      <c r="AP203" s="3" t="s">
        <v>226</v>
      </c>
      <c r="AQ203" s="3">
        <v>0</v>
      </c>
      <c r="AR203" s="25" t="s">
        <v>248</v>
      </c>
      <c r="AT203" s="3" t="s">
        <v>187</v>
      </c>
      <c r="AU203" s="3" t="s">
        <v>226</v>
      </c>
      <c r="AV203" s="3">
        <v>0</v>
      </c>
      <c r="AW203" s="25" t="s">
        <v>248</v>
      </c>
      <c r="AY203" s="3" t="s">
        <v>186</v>
      </c>
      <c r="AZ203" s="3" t="s">
        <v>226</v>
      </c>
      <c r="BA203" s="3">
        <v>0</v>
      </c>
      <c r="BB203" s="25" t="s">
        <v>248</v>
      </c>
    </row>
    <row r="210" spans="21:54">
      <c r="V210" s="3" t="s">
        <v>215</v>
      </c>
      <c r="AA210" s="3" t="s">
        <v>215</v>
      </c>
      <c r="AF210" s="3" t="s">
        <v>215</v>
      </c>
      <c r="AK210" s="3" t="s">
        <v>215</v>
      </c>
      <c r="AP210" s="3" t="s">
        <v>215</v>
      </c>
      <c r="AU210" s="3" t="s">
        <v>215</v>
      </c>
      <c r="AZ210" s="3" t="s">
        <v>215</v>
      </c>
    </row>
    <row r="211" ht="15.5" spans="21:54">
      <c r="U211" s="3" t="s">
        <v>64</v>
      </c>
      <c r="V211" s="3" t="s">
        <v>95</v>
      </c>
      <c r="W211" s="3" t="s">
        <v>11</v>
      </c>
      <c r="X211" s="25" t="s">
        <v>41</v>
      </c>
      <c r="Z211" s="3" t="s">
        <v>64</v>
      </c>
      <c r="AA211" s="3" t="s">
        <v>95</v>
      </c>
      <c r="AB211" s="3" t="s">
        <v>11</v>
      </c>
      <c r="AC211" s="25" t="s">
        <v>41</v>
      </c>
      <c r="AE211" s="3" t="s">
        <v>64</v>
      </c>
      <c r="AF211" s="3" t="s">
        <v>95</v>
      </c>
      <c r="AG211" s="3" t="s">
        <v>11</v>
      </c>
      <c r="AH211" s="25" t="s">
        <v>41</v>
      </c>
      <c r="AJ211" s="3" t="s">
        <v>64</v>
      </c>
      <c r="AK211" s="3" t="s">
        <v>95</v>
      </c>
      <c r="AL211" s="3" t="s">
        <v>11</v>
      </c>
      <c r="AM211" s="25" t="s">
        <v>41</v>
      </c>
      <c r="AO211" s="3" t="s">
        <v>64</v>
      </c>
      <c r="AP211" s="3" t="s">
        <v>95</v>
      </c>
      <c r="AQ211" s="3" t="s">
        <v>11</v>
      </c>
      <c r="AR211" s="25" t="s">
        <v>41</v>
      </c>
      <c r="AT211" s="3" t="s">
        <v>64</v>
      </c>
      <c r="AU211" s="3" t="s">
        <v>95</v>
      </c>
      <c r="AV211" s="3" t="s">
        <v>11</v>
      </c>
      <c r="AW211" s="25" t="s">
        <v>41</v>
      </c>
      <c r="AY211" s="3" t="s">
        <v>64</v>
      </c>
      <c r="AZ211" s="3" t="s">
        <v>95</v>
      </c>
      <c r="BA211" s="3" t="s">
        <v>11</v>
      </c>
      <c r="BB211" s="25" t="s">
        <v>41</v>
      </c>
    </row>
    <row r="212" ht="15.5" spans="21:54">
      <c r="U212" s="3" t="s">
        <v>196</v>
      </c>
      <c r="V212" s="3" t="s">
        <v>217</v>
      </c>
      <c r="W212" s="3">
        <f>SUM(W174:W177)</f>
        <v>0.152669698500926</v>
      </c>
      <c r="X212" s="25" t="s">
        <v>248</v>
      </c>
      <c r="Z212" s="3" t="s">
        <v>197</v>
      </c>
      <c r="AA212" s="3" t="s">
        <v>217</v>
      </c>
      <c r="AB212" s="3">
        <f>SUM(AB174:AB177)</f>
        <v>0.147904191616766</v>
      </c>
      <c r="AC212" s="25" t="s">
        <v>248</v>
      </c>
      <c r="AE212" s="3" t="s">
        <v>198</v>
      </c>
      <c r="AF212" s="3" t="s">
        <v>217</v>
      </c>
      <c r="AG212" s="3">
        <f>SUM(AG174:AG177)</f>
        <v>0.153291479820628</v>
      </c>
      <c r="AH212" s="25" t="s">
        <v>248</v>
      </c>
      <c r="AJ212" s="3" t="s">
        <v>199</v>
      </c>
      <c r="AK212" s="3" t="s">
        <v>217</v>
      </c>
      <c r="AL212" s="3">
        <f>SUM(AL174:AL177)</f>
        <v>0.156406368460955</v>
      </c>
      <c r="AM212" s="25" t="s">
        <v>248</v>
      </c>
      <c r="AO212" s="3" t="s">
        <v>195</v>
      </c>
      <c r="AP212" s="3" t="s">
        <v>217</v>
      </c>
      <c r="AQ212" s="3">
        <f>SUM(AQ174:AQ177)</f>
        <v>0.161625955621853</v>
      </c>
      <c r="AR212" s="25" t="s">
        <v>248</v>
      </c>
      <c r="AT212" s="3" t="s">
        <v>194</v>
      </c>
      <c r="AU212" s="3" t="s">
        <v>217</v>
      </c>
      <c r="AV212" s="3">
        <f>SUM(AV174:AV177)</f>
        <v>0.128607975921746</v>
      </c>
      <c r="AW212" s="25" t="s">
        <v>248</v>
      </c>
      <c r="AY212" s="3" t="s">
        <v>193</v>
      </c>
      <c r="AZ212" s="3" t="s">
        <v>217</v>
      </c>
      <c r="BA212" s="3">
        <f>SUM(BA174:BA177)</f>
        <v>0.151149628581535</v>
      </c>
      <c r="BB212" s="25" t="s">
        <v>248</v>
      </c>
    </row>
    <row r="213" ht="15.5" spans="21:54">
      <c r="U213" s="3" t="s">
        <v>196</v>
      </c>
      <c r="V213" s="3" t="s">
        <v>224</v>
      </c>
      <c r="W213" s="3">
        <v>0</v>
      </c>
      <c r="X213" s="25" t="s">
        <v>248</v>
      </c>
      <c r="Z213" s="3" t="s">
        <v>197</v>
      </c>
      <c r="AA213" s="3" t="s">
        <v>224</v>
      </c>
      <c r="AB213" s="3">
        <v>0</v>
      </c>
      <c r="AC213" s="25" t="s">
        <v>248</v>
      </c>
      <c r="AE213" s="3" t="s">
        <v>198</v>
      </c>
      <c r="AF213" s="3" t="s">
        <v>224</v>
      </c>
      <c r="AG213" s="3">
        <v>0</v>
      </c>
      <c r="AH213" s="25" t="s">
        <v>248</v>
      </c>
      <c r="AJ213" s="3" t="s">
        <v>199</v>
      </c>
      <c r="AK213" s="3" t="s">
        <v>224</v>
      </c>
      <c r="AL213" s="3">
        <v>0</v>
      </c>
      <c r="AM213" s="25" t="s">
        <v>248</v>
      </c>
      <c r="AO213" s="3" t="s">
        <v>195</v>
      </c>
      <c r="AP213" s="3" t="s">
        <v>224</v>
      </c>
      <c r="AQ213" s="3">
        <v>0</v>
      </c>
      <c r="AR213" s="25" t="s">
        <v>248</v>
      </c>
      <c r="AT213" s="3" t="s">
        <v>194</v>
      </c>
      <c r="AU213" s="3" t="s">
        <v>224</v>
      </c>
      <c r="AV213" s="3">
        <v>0</v>
      </c>
      <c r="AW213" s="25" t="s">
        <v>248</v>
      </c>
      <c r="AY213" s="3" t="s">
        <v>193</v>
      </c>
      <c r="AZ213" s="3" t="s">
        <v>224</v>
      </c>
      <c r="BA213" s="3">
        <v>0</v>
      </c>
      <c r="BB213" s="25" t="s">
        <v>248</v>
      </c>
    </row>
    <row r="214" ht="15.5" spans="21:54">
      <c r="U214" s="3" t="s">
        <v>196</v>
      </c>
      <c r="V214" s="3" t="s">
        <v>225</v>
      </c>
      <c r="W214" s="3">
        <v>0</v>
      </c>
      <c r="X214" s="25" t="s">
        <v>248</v>
      </c>
      <c r="Z214" s="3" t="s">
        <v>197</v>
      </c>
      <c r="AA214" s="3" t="s">
        <v>225</v>
      </c>
      <c r="AB214" s="3">
        <v>0</v>
      </c>
      <c r="AC214" s="25" t="s">
        <v>248</v>
      </c>
      <c r="AE214" s="3" t="s">
        <v>198</v>
      </c>
      <c r="AF214" s="3" t="s">
        <v>225</v>
      </c>
      <c r="AG214" s="3">
        <v>0</v>
      </c>
      <c r="AH214" s="25" t="s">
        <v>248</v>
      </c>
      <c r="AJ214" s="3" t="s">
        <v>199</v>
      </c>
      <c r="AK214" s="3" t="s">
        <v>225</v>
      </c>
      <c r="AL214" s="3">
        <v>0</v>
      </c>
      <c r="AM214" s="25" t="s">
        <v>248</v>
      </c>
      <c r="AO214" s="3" t="s">
        <v>195</v>
      </c>
      <c r="AP214" s="3" t="s">
        <v>225</v>
      </c>
      <c r="AQ214" s="3">
        <v>0</v>
      </c>
      <c r="AR214" s="25" t="s">
        <v>248</v>
      </c>
      <c r="AT214" s="3" t="s">
        <v>194</v>
      </c>
      <c r="AU214" s="3" t="s">
        <v>225</v>
      </c>
      <c r="AV214" s="3">
        <v>0</v>
      </c>
      <c r="AW214" s="25" t="s">
        <v>248</v>
      </c>
      <c r="AY214" s="3" t="s">
        <v>193</v>
      </c>
      <c r="AZ214" s="3" t="s">
        <v>225</v>
      </c>
      <c r="BA214" s="3">
        <v>0</v>
      </c>
      <c r="BB214" s="25" t="s">
        <v>248</v>
      </c>
    </row>
    <row r="215" ht="15.5" spans="21:54">
      <c r="U215" s="3" t="s">
        <v>196</v>
      </c>
      <c r="V215" s="3" t="s">
        <v>226</v>
      </c>
      <c r="W215" s="3">
        <v>0</v>
      </c>
      <c r="X215" s="25" t="s">
        <v>248</v>
      </c>
      <c r="Z215" s="3" t="s">
        <v>197</v>
      </c>
      <c r="AA215" s="3" t="s">
        <v>226</v>
      </c>
      <c r="AB215" s="3">
        <v>0</v>
      </c>
      <c r="AC215" s="25" t="s">
        <v>248</v>
      </c>
      <c r="AE215" s="3" t="s">
        <v>198</v>
      </c>
      <c r="AF215" s="3" t="s">
        <v>226</v>
      </c>
      <c r="AG215" s="3">
        <v>0</v>
      </c>
      <c r="AH215" s="25" t="s">
        <v>248</v>
      </c>
      <c r="AJ215" s="3" t="s">
        <v>199</v>
      </c>
      <c r="AK215" s="3" t="s">
        <v>226</v>
      </c>
      <c r="AL215" s="3">
        <v>0</v>
      </c>
      <c r="AM215" s="25" t="s">
        <v>248</v>
      </c>
      <c r="AO215" s="3" t="s">
        <v>195</v>
      </c>
      <c r="AP215" s="3" t="s">
        <v>226</v>
      </c>
      <c r="AQ215" s="3">
        <v>0</v>
      </c>
      <c r="AR215" s="25" t="s">
        <v>248</v>
      </c>
      <c r="AT215" s="3" t="s">
        <v>194</v>
      </c>
      <c r="AU215" s="3" t="s">
        <v>226</v>
      </c>
      <c r="AV215" s="3">
        <v>0</v>
      </c>
      <c r="AW215" s="25" t="s">
        <v>248</v>
      </c>
      <c r="AY215" s="3" t="s">
        <v>193</v>
      </c>
      <c r="AZ215" s="3" t="s">
        <v>226</v>
      </c>
      <c r="BA215" s="3">
        <v>0</v>
      </c>
      <c r="BB215" s="25" t="s">
        <v>248</v>
      </c>
    </row>
    <row r="221" spans="21:54">
      <c r="V221" s="3" t="s">
        <v>215</v>
      </c>
      <c r="AA221" s="3" t="s">
        <v>215</v>
      </c>
      <c r="AF221" s="3" t="s">
        <v>215</v>
      </c>
      <c r="AK221" s="3" t="s">
        <v>215</v>
      </c>
      <c r="AP221" s="3" t="s">
        <v>215</v>
      </c>
      <c r="AU221" s="3" t="s">
        <v>215</v>
      </c>
      <c r="AZ221" s="3" t="s">
        <v>215</v>
      </c>
    </row>
    <row r="222" ht="15.5" spans="21:54">
      <c r="U222" s="3" t="s">
        <v>64</v>
      </c>
      <c r="V222" s="3" t="s">
        <v>95</v>
      </c>
      <c r="W222" s="3" t="s">
        <v>11</v>
      </c>
      <c r="X222" s="25" t="s">
        <v>41</v>
      </c>
      <c r="Z222" s="3" t="s">
        <v>64</v>
      </c>
      <c r="AA222" s="3" t="s">
        <v>95</v>
      </c>
      <c r="AB222" s="3" t="s">
        <v>11</v>
      </c>
      <c r="AC222" s="25" t="s">
        <v>41</v>
      </c>
      <c r="AE222" s="3" t="s">
        <v>64</v>
      </c>
      <c r="AF222" s="3" t="s">
        <v>95</v>
      </c>
      <c r="AG222" s="3" t="s">
        <v>11</v>
      </c>
      <c r="AH222" s="25" t="s">
        <v>41</v>
      </c>
      <c r="AJ222" s="3" t="s">
        <v>64</v>
      </c>
      <c r="AK222" s="3" t="s">
        <v>95</v>
      </c>
      <c r="AL222" s="3" t="s">
        <v>11</v>
      </c>
      <c r="AM222" s="25" t="s">
        <v>41</v>
      </c>
      <c r="AO222" s="3" t="s">
        <v>64</v>
      </c>
      <c r="AP222" s="3" t="s">
        <v>95</v>
      </c>
      <c r="AQ222" s="3" t="s">
        <v>11</v>
      </c>
      <c r="AR222" s="25" t="s">
        <v>41</v>
      </c>
      <c r="AT222" s="3" t="s">
        <v>64</v>
      </c>
      <c r="AU222" s="3" t="s">
        <v>95</v>
      </c>
      <c r="AV222" s="3" t="s">
        <v>11</v>
      </c>
      <c r="AW222" s="25" t="s">
        <v>41</v>
      </c>
      <c r="AY222" s="3" t="s">
        <v>64</v>
      </c>
      <c r="AZ222" s="3" t="s">
        <v>95</v>
      </c>
      <c r="BA222" s="3" t="s">
        <v>11</v>
      </c>
      <c r="BB222" s="25" t="s">
        <v>41</v>
      </c>
    </row>
    <row r="223" ht="15.5" spans="21:54">
      <c r="U223" s="3" t="s">
        <v>203</v>
      </c>
      <c r="V223" s="3" t="s">
        <v>217</v>
      </c>
      <c r="W223" s="3">
        <f>SUM(W185:W188)</f>
        <v>0.108842849924204</v>
      </c>
      <c r="X223" s="25" t="s">
        <v>248</v>
      </c>
      <c r="Z223" s="3" t="s">
        <v>204</v>
      </c>
      <c r="AA223" s="3" t="s">
        <v>217</v>
      </c>
      <c r="AB223" s="3">
        <f>SUM(AB185:AB188)</f>
        <v>0.107014542343884</v>
      </c>
      <c r="AC223" s="25" t="s">
        <v>248</v>
      </c>
      <c r="AE223" s="3" t="s">
        <v>205</v>
      </c>
      <c r="AF223" s="3" t="s">
        <v>217</v>
      </c>
      <c r="AG223" s="3">
        <f>SUM(AG185:AG188)</f>
        <v>0.111354260089686</v>
      </c>
      <c r="AH223" s="25" t="s">
        <v>248</v>
      </c>
      <c r="AJ223" s="3" t="s">
        <v>206</v>
      </c>
      <c r="AK223" s="3" t="s">
        <v>217</v>
      </c>
      <c r="AL223" s="3">
        <f>SUM(AL185:AL188)</f>
        <v>0.112793783169067</v>
      </c>
      <c r="AM223" s="25" t="s">
        <v>248</v>
      </c>
      <c r="AO223" s="3" t="s">
        <v>202</v>
      </c>
      <c r="AP223" s="3" t="s">
        <v>217</v>
      </c>
      <c r="AQ223" s="3">
        <f>SUM(AQ185:AQ188)</f>
        <v>0.113313443967928</v>
      </c>
      <c r="AR223" s="25" t="s">
        <v>248</v>
      </c>
      <c r="AT223" s="3" t="s">
        <v>201</v>
      </c>
      <c r="AU223" s="3" t="s">
        <v>217</v>
      </c>
      <c r="AV223" s="3">
        <f>SUM(AV185:AV188)</f>
        <v>0.093423626787058</v>
      </c>
      <c r="AW223" s="25" t="s">
        <v>248</v>
      </c>
      <c r="AY223" s="3" t="s">
        <v>200</v>
      </c>
      <c r="AZ223" s="3" t="s">
        <v>217</v>
      </c>
      <c r="BA223" s="3">
        <f>SUM(BA185:BA188)</f>
        <v>0.109798372833392</v>
      </c>
      <c r="BB223" s="25" t="s">
        <v>248</v>
      </c>
    </row>
    <row r="224" ht="15.5" spans="21:54">
      <c r="U224" s="3" t="s">
        <v>203</v>
      </c>
      <c r="V224" s="3" t="s">
        <v>224</v>
      </c>
      <c r="W224" s="3">
        <v>0</v>
      </c>
      <c r="X224" s="25" t="s">
        <v>248</v>
      </c>
      <c r="Z224" s="3" t="s">
        <v>204</v>
      </c>
      <c r="AA224" s="3" t="s">
        <v>224</v>
      </c>
      <c r="AB224" s="3">
        <v>0</v>
      </c>
      <c r="AC224" s="25" t="s">
        <v>248</v>
      </c>
      <c r="AE224" s="3" t="s">
        <v>205</v>
      </c>
      <c r="AF224" s="3" t="s">
        <v>224</v>
      </c>
      <c r="AG224" s="3">
        <v>0</v>
      </c>
      <c r="AH224" s="25" t="s">
        <v>248</v>
      </c>
      <c r="AJ224" s="3" t="s">
        <v>206</v>
      </c>
      <c r="AK224" s="3" t="s">
        <v>224</v>
      </c>
      <c r="AL224" s="3">
        <v>0</v>
      </c>
      <c r="AM224" s="25" t="s">
        <v>248</v>
      </c>
      <c r="AO224" s="3" t="s">
        <v>202</v>
      </c>
      <c r="AP224" s="3" t="s">
        <v>224</v>
      </c>
      <c r="AQ224" s="3">
        <v>0</v>
      </c>
      <c r="AR224" s="25" t="s">
        <v>248</v>
      </c>
      <c r="AT224" s="3" t="s">
        <v>201</v>
      </c>
      <c r="AU224" s="3" t="s">
        <v>224</v>
      </c>
      <c r="AV224" s="3">
        <v>0</v>
      </c>
      <c r="AW224" s="25" t="s">
        <v>248</v>
      </c>
      <c r="AY224" s="3" t="s">
        <v>200</v>
      </c>
      <c r="AZ224" s="3" t="s">
        <v>224</v>
      </c>
      <c r="BA224" s="3">
        <v>0</v>
      </c>
      <c r="BB224" s="25" t="s">
        <v>248</v>
      </c>
    </row>
    <row r="225" ht="15.5" spans="21:54">
      <c r="U225" s="3" t="s">
        <v>203</v>
      </c>
      <c r="V225" s="3" t="s">
        <v>225</v>
      </c>
      <c r="W225" s="3">
        <v>0</v>
      </c>
      <c r="X225" s="25" t="s">
        <v>248</v>
      </c>
      <c r="Z225" s="3" t="s">
        <v>204</v>
      </c>
      <c r="AA225" s="3" t="s">
        <v>225</v>
      </c>
      <c r="AB225" s="3">
        <v>0</v>
      </c>
      <c r="AC225" s="25" t="s">
        <v>248</v>
      </c>
      <c r="AE225" s="3" t="s">
        <v>205</v>
      </c>
      <c r="AF225" s="3" t="s">
        <v>225</v>
      </c>
      <c r="AG225" s="3">
        <v>0</v>
      </c>
      <c r="AH225" s="25" t="s">
        <v>248</v>
      </c>
      <c r="AJ225" s="3" t="s">
        <v>206</v>
      </c>
      <c r="AK225" s="3" t="s">
        <v>225</v>
      </c>
      <c r="AL225" s="3">
        <v>0</v>
      </c>
      <c r="AM225" s="25" t="s">
        <v>248</v>
      </c>
      <c r="AO225" s="3" t="s">
        <v>202</v>
      </c>
      <c r="AP225" s="3" t="s">
        <v>225</v>
      </c>
      <c r="AQ225" s="3">
        <v>0</v>
      </c>
      <c r="AR225" s="25" t="s">
        <v>248</v>
      </c>
      <c r="AT225" s="3" t="s">
        <v>201</v>
      </c>
      <c r="AU225" s="3" t="s">
        <v>225</v>
      </c>
      <c r="AV225" s="3">
        <v>0</v>
      </c>
      <c r="AW225" s="25" t="s">
        <v>248</v>
      </c>
      <c r="AY225" s="3" t="s">
        <v>200</v>
      </c>
      <c r="AZ225" s="3" t="s">
        <v>225</v>
      </c>
      <c r="BA225" s="3">
        <v>0</v>
      </c>
      <c r="BB225" s="25" t="s">
        <v>248</v>
      </c>
    </row>
    <row r="226" ht="15.5" spans="21:54">
      <c r="U226" s="3" t="s">
        <v>203</v>
      </c>
      <c r="V226" s="3" t="s">
        <v>226</v>
      </c>
      <c r="W226" s="3">
        <v>0</v>
      </c>
      <c r="X226" s="25" t="s">
        <v>248</v>
      </c>
      <c r="Z226" s="3" t="s">
        <v>204</v>
      </c>
      <c r="AA226" s="3" t="s">
        <v>226</v>
      </c>
      <c r="AB226" s="3">
        <v>0</v>
      </c>
      <c r="AC226" s="25" t="s">
        <v>248</v>
      </c>
      <c r="AE226" s="3" t="s">
        <v>205</v>
      </c>
      <c r="AF226" s="3" t="s">
        <v>226</v>
      </c>
      <c r="AG226" s="3">
        <v>0</v>
      </c>
      <c r="AH226" s="25" t="s">
        <v>248</v>
      </c>
      <c r="AJ226" s="3" t="s">
        <v>206</v>
      </c>
      <c r="AK226" s="3" t="s">
        <v>226</v>
      </c>
      <c r="AL226" s="3">
        <v>0</v>
      </c>
      <c r="AM226" s="25" t="s">
        <v>248</v>
      </c>
      <c r="AO226" s="3" t="s">
        <v>202</v>
      </c>
      <c r="AP226" s="3" t="s">
        <v>226</v>
      </c>
      <c r="AQ226" s="3">
        <v>0</v>
      </c>
      <c r="AR226" s="25" t="s">
        <v>248</v>
      </c>
      <c r="AT226" s="3" t="s">
        <v>201</v>
      </c>
      <c r="AU226" s="3" t="s">
        <v>226</v>
      </c>
      <c r="AV226" s="3">
        <v>0</v>
      </c>
      <c r="AW226" s="25" t="s">
        <v>248</v>
      </c>
      <c r="AY226" s="3" t="s">
        <v>200</v>
      </c>
      <c r="AZ226" s="3" t="s">
        <v>226</v>
      </c>
      <c r="BA226" s="3">
        <v>0</v>
      </c>
      <c r="BB226" s="25" t="s">
        <v>248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tabSelected="1"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267</v>
      </c>
      <c r="AI1" t="s">
        <v>268</v>
      </c>
      <c r="BL1" t="s">
        <v>269</v>
      </c>
    </row>
    <row r="2" spans="1:89">
      <c r="A2" t="s">
        <v>1</v>
      </c>
      <c r="B2" t="s">
        <v>119</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270</v>
      </c>
      <c r="BK2" t="s">
        <v>270</v>
      </c>
    </row>
    <row r="3" spans="1:89">
      <c r="A3" t="s">
        <v>3</v>
      </c>
      <c r="B3" t="s">
        <v>271</v>
      </c>
      <c r="C3" t="s">
        <v>271</v>
      </c>
      <c r="D3"/>
      <c r="E3" s="2">
        <v>29.5822608017472</v>
      </c>
      <c r="F3" s="2">
        <f>E3</f>
        <v>29.5822608017472</v>
      </c>
      <c r="I3" s="2">
        <f>F3</f>
        <v>29.5822608017472</v>
      </c>
      <c r="J3" s="2">
        <f>I3</f>
        <v>29.5822608017472</v>
      </c>
      <c r="L3" s="2">
        <f>J3</f>
        <v>29.5822608017472</v>
      </c>
      <c r="V3" s="2">
        <f>L3</f>
        <v>29.5822608017472</v>
      </c>
      <c r="W3">
        <v>5</v>
      </c>
      <c r="AG3" s="104" t="s">
        <v>272</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273</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274</v>
      </c>
      <c r="C4" t="s">
        <v>274</v>
      </c>
      <c r="D4"/>
      <c r="E4" s="2">
        <v>101.446710074843</v>
      </c>
      <c r="F4" s="2">
        <f>E4</f>
        <v>101.446710074843</v>
      </c>
      <c r="I4" s="2">
        <f>F4</f>
        <v>101.446710074843</v>
      </c>
      <c r="J4" s="2">
        <f>I4</f>
        <v>101.446710074843</v>
      </c>
      <c r="L4" s="2">
        <f>J4</f>
        <v>101.446710074843</v>
      </c>
      <c r="V4" s="2">
        <f>L4</f>
        <v>101.446710074843</v>
      </c>
      <c r="W4">
        <v>5</v>
      </c>
      <c r="AG4" s="104" t="s">
        <v>272</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273</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275</v>
      </c>
      <c r="C5" t="s">
        <v>275</v>
      </c>
      <c r="D5"/>
      <c r="E5" s="2">
        <v>7.339410306728</v>
      </c>
      <c r="I5" s="2">
        <v>13.841847071751</v>
      </c>
      <c r="J5" s="2">
        <v>17.0217286798939</v>
      </c>
      <c r="K5"/>
      <c r="L5" s="2">
        <v>25.0152093842934</v>
      </c>
      <c r="M5"/>
      <c r="N5"/>
      <c r="O5"/>
      <c r="P5"/>
      <c r="Q5"/>
      <c r="R5"/>
      <c r="S5"/>
      <c r="T5"/>
      <c r="U5"/>
      <c r="V5" s="2">
        <v>87.2541501773716</v>
      </c>
      <c r="W5">
        <v>5</v>
      </c>
      <c r="AG5" s="104" t="s">
        <v>272</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273</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276</v>
      </c>
      <c r="C6" t="s">
        <v>276</v>
      </c>
      <c r="D6"/>
      <c r="E6" s="2">
        <v>7.64151346723974</v>
      </c>
      <c r="I6" s="2">
        <v>9.2993927266152</v>
      </c>
      <c r="J6" s="2">
        <v>9.79653150802128</v>
      </c>
      <c r="K6"/>
      <c r="L6" s="2">
        <v>10.6662053125579</v>
      </c>
      <c r="M6"/>
      <c r="N6"/>
      <c r="O6"/>
      <c r="P6"/>
      <c r="Q6"/>
      <c r="R6"/>
      <c r="S6"/>
      <c r="T6"/>
      <c r="U6"/>
      <c r="V6" s="2">
        <v>11.9574774350737</v>
      </c>
      <c r="W6">
        <v>5</v>
      </c>
      <c r="AG6" s="104" t="s">
        <v>277</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273</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278</v>
      </c>
      <c r="C7" t="s">
        <v>278</v>
      </c>
      <c r="D7"/>
      <c r="E7" s="2">
        <v>12.3151564281066</v>
      </c>
      <c r="F7" s="2">
        <f>E7</f>
        <v>12.3151564281066</v>
      </c>
      <c r="I7" s="2">
        <f>F7</f>
        <v>12.3151564281066</v>
      </c>
      <c r="J7" s="2">
        <f>I7</f>
        <v>12.3151564281066</v>
      </c>
      <c r="L7" s="2">
        <f>J7</f>
        <v>12.3151564281066</v>
      </c>
      <c r="V7" s="2">
        <f>L7</f>
        <v>12.3151564281066</v>
      </c>
      <c r="W7">
        <v>5</v>
      </c>
      <c r="AG7" s="104" t="s">
        <v>272</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273</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279</v>
      </c>
      <c r="C8" t="s">
        <v>279</v>
      </c>
      <c r="D8"/>
      <c r="E8" s="2">
        <v>36.6868983480112</v>
      </c>
      <c r="F8" s="2">
        <f>E8</f>
        <v>36.6868983480112</v>
      </c>
      <c r="I8" s="2">
        <f>F8</f>
        <v>36.6868983480112</v>
      </c>
      <c r="J8" s="2">
        <f>I8</f>
        <v>36.6868983480112</v>
      </c>
      <c r="L8" s="2">
        <f>J8</f>
        <v>36.6868983480112</v>
      </c>
      <c r="V8" s="2">
        <f>L8</f>
        <v>36.6868983480112</v>
      </c>
      <c r="W8">
        <v>5</v>
      </c>
      <c r="AG8" s="104" t="s">
        <v>272</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273</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280</v>
      </c>
      <c r="C9" t="s">
        <v>280</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04" t="s">
        <v>277</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273</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281</v>
      </c>
      <c r="C10" t="s">
        <v>281</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04" t="s">
        <v>277</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273</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282</v>
      </c>
      <c r="C11" t="s">
        <v>282</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04" t="s">
        <v>277</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273</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283</v>
      </c>
      <c r="C12" t="s">
        <v>283</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04" t="s">
        <v>284</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273</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285</v>
      </c>
      <c r="C13" t="s">
        <v>285</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04" t="s">
        <v>272</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273</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286</v>
      </c>
      <c r="C14" t="s">
        <v>286</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04" t="s">
        <v>272</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273</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271</v>
      </c>
      <c r="C15" t="s">
        <v>271</v>
      </c>
      <c r="D15"/>
      <c r="E15" s="2">
        <v>23.1803432118412</v>
      </c>
      <c r="F15" s="2">
        <f>E15</f>
        <v>23.1803432118412</v>
      </c>
      <c r="I15" s="2">
        <f>F15</f>
        <v>23.1803432118412</v>
      </c>
      <c r="J15" s="2">
        <f>I15</f>
        <v>23.1803432118412</v>
      </c>
      <c r="L15" s="2">
        <f>J15</f>
        <v>23.1803432118412</v>
      </c>
      <c r="V15" s="2">
        <f>L15</f>
        <v>23.1803432118412</v>
      </c>
      <c r="W15">
        <v>5</v>
      </c>
      <c r="AG15" s="104" t="s">
        <v>272</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273</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274</v>
      </c>
      <c r="C16" t="s">
        <v>274</v>
      </c>
      <c r="D16"/>
      <c r="E16" s="2">
        <v>196.398393249324</v>
      </c>
      <c r="F16" s="2">
        <f>E16</f>
        <v>196.398393249324</v>
      </c>
      <c r="I16" s="2">
        <f>F16</f>
        <v>196.398393249324</v>
      </c>
      <c r="J16" s="2">
        <f>I16</f>
        <v>196.398393249324</v>
      </c>
      <c r="L16" s="2">
        <f>J16</f>
        <v>196.398393249324</v>
      </c>
      <c r="V16" s="2">
        <f>L16</f>
        <v>196.398393249324</v>
      </c>
      <c r="W16">
        <v>5</v>
      </c>
      <c r="AG16" s="104" t="s">
        <v>272</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273</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275</v>
      </c>
      <c r="C17" t="s">
        <v>275</v>
      </c>
      <c r="D17"/>
      <c r="E17" s="2">
        <v>10.9711987039902</v>
      </c>
      <c r="I17" s="2">
        <v>21.9803324306003</v>
      </c>
      <c r="J17" s="2">
        <v>27.9653136634823</v>
      </c>
      <c r="K17"/>
      <c r="L17" s="2">
        <v>44.1146915834348</v>
      </c>
      <c r="M17"/>
      <c r="N17"/>
      <c r="O17"/>
      <c r="P17"/>
      <c r="Q17"/>
      <c r="R17"/>
      <c r="S17"/>
      <c r="T17"/>
      <c r="U17"/>
      <c r="V17" s="2">
        <v>243.633869506012</v>
      </c>
      <c r="W17">
        <v>5</v>
      </c>
      <c r="AG17" s="104" t="s">
        <v>272</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273</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276</v>
      </c>
      <c r="C18" t="s">
        <v>276</v>
      </c>
      <c r="D18"/>
      <c r="E18" s="2">
        <v>4.81437254044958</v>
      </c>
      <c r="I18" s="2">
        <v>6.86787428674687</v>
      </c>
      <c r="J18" s="2">
        <v>7.58517428493052</v>
      </c>
      <c r="K18"/>
      <c r="L18" s="2">
        <v>8.98931157796759</v>
      </c>
      <c r="M18"/>
      <c r="N18"/>
      <c r="O18"/>
      <c r="P18"/>
      <c r="Q18"/>
      <c r="R18"/>
      <c r="S18"/>
      <c r="T18"/>
      <c r="U18"/>
      <c r="V18" s="2">
        <v>13.0281374717101</v>
      </c>
      <c r="W18">
        <v>5</v>
      </c>
      <c r="AG18" s="104" t="s">
        <v>277</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273</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278</v>
      </c>
      <c r="C19" t="s">
        <v>278</v>
      </c>
      <c r="D19"/>
      <c r="E19" s="2">
        <v>24.0823261432321</v>
      </c>
      <c r="F19" s="2">
        <f>E19</f>
        <v>24.0823261432321</v>
      </c>
      <c r="I19" s="2">
        <f>F19</f>
        <v>24.0823261432321</v>
      </c>
      <c r="J19" s="2">
        <f>I19</f>
        <v>24.0823261432321</v>
      </c>
      <c r="L19" s="2">
        <f>J19</f>
        <v>24.0823261432321</v>
      </c>
      <c r="V19" s="2">
        <f>L19</f>
        <v>24.0823261432321</v>
      </c>
      <c r="W19">
        <v>5</v>
      </c>
      <c r="AG19" s="104" t="s">
        <v>272</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273</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279</v>
      </c>
      <c r="C20" t="s">
        <v>279</v>
      </c>
      <c r="D20"/>
      <c r="E20" s="2">
        <v>90.4088922329234</v>
      </c>
      <c r="F20" s="2">
        <f>E20</f>
        <v>90.4088922329234</v>
      </c>
      <c r="I20" s="2">
        <f>F20</f>
        <v>90.4088922329234</v>
      </c>
      <c r="J20" s="2">
        <f>I20</f>
        <v>90.4088922329234</v>
      </c>
      <c r="L20" s="2">
        <f>J20</f>
        <v>90.4088922329234</v>
      </c>
      <c r="V20" s="2">
        <f>L20</f>
        <v>90.4088922329234</v>
      </c>
      <c r="W20">
        <v>5</v>
      </c>
      <c r="AG20" s="104" t="s">
        <v>272</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273</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280</v>
      </c>
      <c r="C21" t="s">
        <v>280</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04" t="s">
        <v>277</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273</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281</v>
      </c>
      <c r="C22" t="s">
        <v>281</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04" t="s">
        <v>277</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273</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282</v>
      </c>
      <c r="C23" t="s">
        <v>282</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04" t="s">
        <v>277</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273</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283</v>
      </c>
      <c r="C24" t="s">
        <v>283</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04" t="s">
        <v>284</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273</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285</v>
      </c>
      <c r="C25" t="s">
        <v>285</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04" t="s">
        <v>272</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273</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286</v>
      </c>
      <c r="C26" t="s">
        <v>286</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04" t="s">
        <v>272</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273</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271</v>
      </c>
      <c r="C27" t="s">
        <v>271</v>
      </c>
      <c r="D27"/>
      <c r="E27" s="2">
        <v>125.236568967332</v>
      </c>
      <c r="F27" s="2">
        <f>E27</f>
        <v>125.236568967332</v>
      </c>
      <c r="I27" s="2">
        <f>F27</f>
        <v>125.236568967332</v>
      </c>
      <c r="J27" s="2">
        <f>I27</f>
        <v>125.236568967332</v>
      </c>
      <c r="L27" s="2">
        <f>J27</f>
        <v>125.236568967332</v>
      </c>
      <c r="V27" s="2">
        <f>L27</f>
        <v>125.236568967332</v>
      </c>
      <c r="W27">
        <v>5</v>
      </c>
      <c r="AG27" s="104" t="s">
        <v>272</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287</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274</v>
      </c>
      <c r="C28" t="s">
        <v>274</v>
      </c>
      <c r="D28"/>
      <c r="E28" s="2">
        <v>213.949612782254</v>
      </c>
      <c r="F28" s="2">
        <f>E28</f>
        <v>213.949612782254</v>
      </c>
      <c r="I28" s="2">
        <f>F28</f>
        <v>213.949612782254</v>
      </c>
      <c r="J28" s="2">
        <f>I28</f>
        <v>213.949612782254</v>
      </c>
      <c r="L28" s="2">
        <f>J28</f>
        <v>213.949612782254</v>
      </c>
      <c r="V28" s="2">
        <f>L28</f>
        <v>213.949612782254</v>
      </c>
      <c r="W28">
        <v>5</v>
      </c>
      <c r="AG28" s="104" t="s">
        <v>272</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287</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275</v>
      </c>
      <c r="C29" t="s">
        <v>275</v>
      </c>
      <c r="D29"/>
      <c r="E29" s="2">
        <v>37.3435930436258</v>
      </c>
      <c r="I29" s="2">
        <v>50.867806738396</v>
      </c>
      <c r="J29" s="2">
        <v>55.6372129625937</v>
      </c>
      <c r="K29"/>
      <c r="L29" s="2">
        <v>65.4610142006929</v>
      </c>
      <c r="M29"/>
      <c r="N29"/>
      <c r="O29"/>
      <c r="P29"/>
      <c r="Q29"/>
      <c r="R29"/>
      <c r="S29"/>
      <c r="T29"/>
      <c r="U29"/>
      <c r="V29" s="2">
        <v>104.777296697505</v>
      </c>
      <c r="W29">
        <v>5</v>
      </c>
      <c r="AG29" s="104" t="s">
        <v>272</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287</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276</v>
      </c>
      <c r="C30" t="s">
        <v>276</v>
      </c>
      <c r="D30"/>
      <c r="E30" s="2">
        <v>22.6322603522854</v>
      </c>
      <c r="I30" s="2">
        <v>24.6222738080731</v>
      </c>
      <c r="J30" s="2">
        <v>25.1847275482685</v>
      </c>
      <c r="K30"/>
      <c r="L30" s="2">
        <v>26.2652817642942</v>
      </c>
      <c r="M30"/>
      <c r="N30"/>
      <c r="O30"/>
      <c r="P30"/>
      <c r="Q30"/>
      <c r="R30"/>
      <c r="S30"/>
      <c r="T30"/>
      <c r="U30"/>
      <c r="V30" s="2">
        <v>28.4622983069202</v>
      </c>
      <c r="W30">
        <v>5</v>
      </c>
      <c r="AG30" s="104" t="s">
        <v>277</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287</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278</v>
      </c>
      <c r="C31" t="s">
        <v>278</v>
      </c>
      <c r="D31"/>
      <c r="E31" s="2">
        <v>29.5450191028017</v>
      </c>
      <c r="F31" s="2">
        <f>E31</f>
        <v>29.5450191028017</v>
      </c>
      <c r="I31" s="2">
        <f>F31</f>
        <v>29.5450191028017</v>
      </c>
      <c r="J31" s="2">
        <f>I31</f>
        <v>29.5450191028017</v>
      </c>
      <c r="L31" s="2">
        <f>J31</f>
        <v>29.5450191028017</v>
      </c>
      <c r="V31" s="2">
        <f>L31</f>
        <v>29.5450191028017</v>
      </c>
      <c r="W31">
        <v>5</v>
      </c>
      <c r="AG31" s="104" t="s">
        <v>272</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287</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279</v>
      </c>
      <c r="C32" t="s">
        <v>279</v>
      </c>
      <c r="D32"/>
      <c r="E32" s="2">
        <v>32.4911044377169</v>
      </c>
      <c r="F32" s="2">
        <f>E32</f>
        <v>32.4911044377169</v>
      </c>
      <c r="I32" s="2">
        <f>F32</f>
        <v>32.4911044377169</v>
      </c>
      <c r="J32" s="2">
        <f>I32</f>
        <v>32.4911044377169</v>
      </c>
      <c r="L32" s="2">
        <f>J32</f>
        <v>32.4911044377169</v>
      </c>
      <c r="V32" s="2">
        <f>L32</f>
        <v>32.4911044377169</v>
      </c>
      <c r="W32">
        <v>5</v>
      </c>
      <c r="AG32" s="104" t="s">
        <v>272</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287</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280</v>
      </c>
      <c r="C33" t="s">
        <v>280</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04" t="s">
        <v>277</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287</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281</v>
      </c>
      <c r="C34" t="s">
        <v>281</v>
      </c>
      <c r="D34">
        <v>0</v>
      </c>
      <c r="E34">
        <v>0</v>
      </c>
      <c r="F34"/>
      <c r="G34">
        <v>0</v>
      </c>
      <c r="H34">
        <v>0</v>
      </c>
      <c r="I34">
        <v>0</v>
      </c>
      <c r="J34">
        <v>0</v>
      </c>
      <c r="K34">
        <v>0</v>
      </c>
      <c r="L34">
        <v>0</v>
      </c>
      <c r="M34">
        <v>0</v>
      </c>
      <c r="N34">
        <v>0</v>
      </c>
      <c r="O34">
        <v>0</v>
      </c>
      <c r="P34">
        <v>0</v>
      </c>
      <c r="Q34">
        <v>0</v>
      </c>
      <c r="R34">
        <v>0</v>
      </c>
      <c r="S34">
        <v>0</v>
      </c>
      <c r="T34">
        <v>0</v>
      </c>
      <c r="U34">
        <v>0</v>
      </c>
      <c r="V34">
        <v>0</v>
      </c>
      <c r="W34">
        <v>5</v>
      </c>
      <c r="AG34" s="104" t="s">
        <v>277</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287</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282</v>
      </c>
      <c r="C35" t="s">
        <v>282</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04" t="s">
        <v>277</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287</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283</v>
      </c>
      <c r="C36" t="s">
        <v>283</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04" t="s">
        <v>284</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287</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285</v>
      </c>
      <c r="C37" t="s">
        <v>285</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04" t="s">
        <v>272</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287</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286</v>
      </c>
      <c r="C38" t="s">
        <v>286</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04" t="s">
        <v>272</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287</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271</v>
      </c>
      <c r="C39" t="s">
        <v>271</v>
      </c>
      <c r="D39"/>
      <c r="E39" s="2">
        <v>1.31029971791135</v>
      </c>
      <c r="F39" s="2">
        <f>E39</f>
        <v>1.31029971791135</v>
      </c>
      <c r="I39" s="2">
        <f>F39</f>
        <v>1.31029971791135</v>
      </c>
      <c r="J39" s="2">
        <f>I39</f>
        <v>1.31029971791135</v>
      </c>
      <c r="L39" s="2">
        <f>J39</f>
        <v>1.31029971791135</v>
      </c>
      <c r="V39" s="2">
        <f>L39</f>
        <v>1.31029971791135</v>
      </c>
      <c r="W39">
        <v>5</v>
      </c>
      <c r="AG39" s="104" t="s">
        <v>272</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287</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274</v>
      </c>
      <c r="C40" t="s">
        <v>274</v>
      </c>
      <c r="D40"/>
      <c r="E40" s="2">
        <v>39.7497370273663</v>
      </c>
      <c r="F40" s="2">
        <f>E40</f>
        <v>39.7497370273663</v>
      </c>
      <c r="I40" s="2">
        <f>F40</f>
        <v>39.7497370273663</v>
      </c>
      <c r="J40" s="2">
        <f>I40</f>
        <v>39.7497370273663</v>
      </c>
      <c r="L40" s="2">
        <f>J40</f>
        <v>39.7497370273663</v>
      </c>
      <c r="V40" s="2">
        <f>L40</f>
        <v>39.7497370273663</v>
      </c>
      <c r="W40">
        <v>5</v>
      </c>
      <c r="AG40" s="104" t="s">
        <v>272</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287</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275</v>
      </c>
      <c r="C41" t="s">
        <v>275</v>
      </c>
      <c r="D41"/>
      <c r="E41" s="2">
        <v>1.27011069498277</v>
      </c>
      <c r="I41" s="2">
        <v>1.56700840734804</v>
      </c>
      <c r="J41" s="2">
        <v>1.64178868795761</v>
      </c>
      <c r="K41"/>
      <c r="L41" s="2">
        <v>1.7820875475286</v>
      </c>
      <c r="M41"/>
      <c r="N41"/>
      <c r="O41"/>
      <c r="P41"/>
      <c r="Q41"/>
      <c r="R41"/>
      <c r="S41"/>
      <c r="T41"/>
      <c r="U41"/>
      <c r="V41" s="2">
        <v>2.26478361303252</v>
      </c>
      <c r="W41">
        <v>5</v>
      </c>
      <c r="AG41" s="104" t="s">
        <v>272</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287</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276</v>
      </c>
      <c r="C42" t="s">
        <v>276</v>
      </c>
      <c r="D42"/>
      <c r="E42" s="2">
        <v>7.31143704140328</v>
      </c>
      <c r="I42" s="2">
        <v>7.4712788225843</v>
      </c>
      <c r="J42" s="2">
        <v>7.49446942090852</v>
      </c>
      <c r="K42"/>
      <c r="L42" s="2">
        <v>7.53994546338287</v>
      </c>
      <c r="M42"/>
      <c r="N42"/>
      <c r="O42"/>
      <c r="P42"/>
      <c r="Q42"/>
      <c r="R42"/>
      <c r="S42"/>
      <c r="T42"/>
      <c r="U42"/>
      <c r="V42" s="2">
        <v>7.26035151569322</v>
      </c>
      <c r="W42">
        <v>5</v>
      </c>
      <c r="AG42" s="104" t="s">
        <v>277</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287</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278</v>
      </c>
      <c r="C43" t="s">
        <v>278</v>
      </c>
      <c r="D43"/>
      <c r="E43" s="2">
        <v>1.13972076127334</v>
      </c>
      <c r="F43" s="2">
        <f>E43</f>
        <v>1.13972076127334</v>
      </c>
      <c r="I43" s="2">
        <f>F43</f>
        <v>1.13972076127334</v>
      </c>
      <c r="J43" s="2">
        <f>I43</f>
        <v>1.13972076127334</v>
      </c>
      <c r="L43" s="2">
        <f>J43</f>
        <v>1.13972076127334</v>
      </c>
      <c r="V43" s="2">
        <f>L43</f>
        <v>1.13972076127334</v>
      </c>
      <c r="W43">
        <v>5</v>
      </c>
      <c r="AG43" s="104" t="s">
        <v>272</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287</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279</v>
      </c>
      <c r="C44" t="s">
        <v>279</v>
      </c>
      <c r="D44"/>
      <c r="E44" s="2">
        <v>0.614101020779717</v>
      </c>
      <c r="F44" s="2">
        <f>E44</f>
        <v>0.614101020779717</v>
      </c>
      <c r="I44" s="2">
        <f>F44</f>
        <v>0.614101020779717</v>
      </c>
      <c r="J44" s="2">
        <f>I44</f>
        <v>0.614101020779717</v>
      </c>
      <c r="L44" s="2">
        <f>J44</f>
        <v>0.614101020779717</v>
      </c>
      <c r="V44" s="2">
        <f>L44</f>
        <v>0.614101020779717</v>
      </c>
      <c r="W44">
        <v>5</v>
      </c>
      <c r="AG44" s="104" t="s">
        <v>272</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287</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280</v>
      </c>
      <c r="C45" t="s">
        <v>280</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04" t="s">
        <v>277</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287</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281</v>
      </c>
      <c r="C46" t="s">
        <v>281</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04" t="s">
        <v>277</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287</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282</v>
      </c>
      <c r="C47" t="s">
        <v>282</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04" t="s">
        <v>277</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287</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283</v>
      </c>
      <c r="C48" t="s">
        <v>283</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04" t="s">
        <v>284</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287</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285</v>
      </c>
      <c r="C49" t="s">
        <v>285</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04" t="s">
        <v>272</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287</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286</v>
      </c>
      <c r="C50" t="s">
        <v>286</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04" t="s">
        <v>272</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287</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271</v>
      </c>
      <c r="C51" t="s">
        <v>271</v>
      </c>
      <c r="D51"/>
      <c r="E51" s="2">
        <v>0.0904007668523383</v>
      </c>
      <c r="F51" s="2">
        <f>E51</f>
        <v>0.0904007668523383</v>
      </c>
      <c r="I51" s="2">
        <f>F51</f>
        <v>0.0904007668523383</v>
      </c>
      <c r="J51" s="2">
        <f>I51</f>
        <v>0.0904007668523383</v>
      </c>
      <c r="L51" s="2">
        <f>J51</f>
        <v>0.0904007668523383</v>
      </c>
      <c r="V51" s="2">
        <f>L51</f>
        <v>0.0904007668523383</v>
      </c>
      <c r="W51">
        <v>5</v>
      </c>
      <c r="AG51" s="104" t="s">
        <v>272</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287</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274</v>
      </c>
      <c r="C52" t="s">
        <v>274</v>
      </c>
      <c r="D52"/>
      <c r="E52" s="2">
        <v>14.8181528799758</v>
      </c>
      <c r="F52" s="2">
        <f>E52</f>
        <v>14.8181528799758</v>
      </c>
      <c r="I52" s="2">
        <f>F52</f>
        <v>14.8181528799758</v>
      </c>
      <c r="J52" s="2">
        <f>I52</f>
        <v>14.8181528799758</v>
      </c>
      <c r="L52" s="2">
        <f>J52</f>
        <v>14.8181528799758</v>
      </c>
      <c r="V52" s="2">
        <f>L52</f>
        <v>14.8181528799758</v>
      </c>
      <c r="W52">
        <v>5</v>
      </c>
      <c r="AG52" s="104" t="s">
        <v>272</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287</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275</v>
      </c>
      <c r="C53" t="s">
        <v>275</v>
      </c>
      <c r="D53"/>
      <c r="E53" s="2">
        <v>4.41815872313833</v>
      </c>
      <c r="I53" s="2">
        <v>5.64904106823887</v>
      </c>
      <c r="J53" s="2">
        <v>5.82978759084491</v>
      </c>
      <c r="K53"/>
      <c r="L53" s="2">
        <v>6.00578208244984</v>
      </c>
      <c r="M53"/>
      <c r="N53"/>
      <c r="O53"/>
      <c r="P53"/>
      <c r="Q53"/>
      <c r="R53"/>
      <c r="S53"/>
      <c r="T53"/>
      <c r="U53"/>
      <c r="V53" s="2">
        <v>6.43196534717608</v>
      </c>
      <c r="W53">
        <v>5</v>
      </c>
      <c r="AG53" s="104" t="s">
        <v>272</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287</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276</v>
      </c>
      <c r="C54" t="s">
        <v>276</v>
      </c>
      <c r="D54"/>
      <c r="E54" s="2">
        <v>0.743295306072797</v>
      </c>
      <c r="I54" s="2">
        <v>0.677223548832968</v>
      </c>
      <c r="J54" s="2">
        <v>0.656209277870055</v>
      </c>
      <c r="K54"/>
      <c r="L54" s="2">
        <v>0.62247470653344</v>
      </c>
      <c r="M54"/>
      <c r="N54"/>
      <c r="O54"/>
      <c r="P54"/>
      <c r="Q54"/>
      <c r="R54"/>
      <c r="S54"/>
      <c r="T54"/>
      <c r="U54"/>
      <c r="V54" s="2">
        <v>0.524452135498622</v>
      </c>
      <c r="W54">
        <v>5</v>
      </c>
      <c r="AG54" s="104" t="s">
        <v>277</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287</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278</v>
      </c>
      <c r="C55" t="s">
        <v>278</v>
      </c>
      <c r="D55"/>
      <c r="E55" s="2">
        <v>0.53141239378321</v>
      </c>
      <c r="F55" s="2">
        <f>E55</f>
        <v>0.53141239378321</v>
      </c>
      <c r="I55" s="2">
        <f>F55</f>
        <v>0.53141239378321</v>
      </c>
      <c r="J55" s="2">
        <f>I55</f>
        <v>0.53141239378321</v>
      </c>
      <c r="L55" s="2">
        <f>J55</f>
        <v>0.53141239378321</v>
      </c>
      <c r="V55" s="2">
        <f>L55</f>
        <v>0.53141239378321</v>
      </c>
      <c r="W55">
        <v>5</v>
      </c>
      <c r="AG55" s="104" t="s">
        <v>272</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287</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279</v>
      </c>
      <c r="C56" t="s">
        <v>279</v>
      </c>
      <c r="D56"/>
      <c r="E56" s="2">
        <v>28.7369724475552</v>
      </c>
      <c r="F56" s="2">
        <f>E56</f>
        <v>28.7369724475552</v>
      </c>
      <c r="I56" s="2">
        <f>F56</f>
        <v>28.7369724475552</v>
      </c>
      <c r="J56" s="2">
        <f>I56</f>
        <v>28.7369724475552</v>
      </c>
      <c r="L56" s="2">
        <f>J56</f>
        <v>28.7369724475552</v>
      </c>
      <c r="V56" s="2">
        <f>L56</f>
        <v>28.7369724475552</v>
      </c>
      <c r="W56">
        <v>5</v>
      </c>
      <c r="AG56" s="104" t="s">
        <v>272</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287</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280</v>
      </c>
      <c r="C57" t="s">
        <v>280</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04" t="s">
        <v>277</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287</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281</v>
      </c>
      <c r="C58" t="s">
        <v>281</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04" t="s">
        <v>277</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287</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282</v>
      </c>
      <c r="C59" t="s">
        <v>282</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04" t="s">
        <v>277</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287</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283</v>
      </c>
      <c r="C60" t="s">
        <v>283</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04" t="s">
        <v>284</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287</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285</v>
      </c>
      <c r="C61" t="s">
        <v>285</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04" t="s">
        <v>272</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287</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286</v>
      </c>
      <c r="C62" t="s">
        <v>286</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04" t="s">
        <v>272</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287</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271</v>
      </c>
      <c r="C63" t="s">
        <v>271</v>
      </c>
      <c r="D63"/>
      <c r="E63" s="2">
        <v>0.556097471395552</v>
      </c>
      <c r="F63" s="2">
        <f>E63</f>
        <v>0.556097471395552</v>
      </c>
      <c r="I63" s="2">
        <f>F63</f>
        <v>0.556097471395552</v>
      </c>
      <c r="J63" s="2">
        <f>I63</f>
        <v>0.556097471395552</v>
      </c>
      <c r="L63" s="2">
        <f>J63</f>
        <v>0.556097471395552</v>
      </c>
      <c r="V63" s="2">
        <f>L63</f>
        <v>0.556097471395552</v>
      </c>
      <c r="W63">
        <v>5</v>
      </c>
      <c r="AG63" s="104" t="s">
        <v>272</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287</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274</v>
      </c>
      <c r="C64" t="s">
        <v>274</v>
      </c>
      <c r="D64"/>
      <c r="E64" s="2">
        <v>262.50625171618</v>
      </c>
      <c r="F64" s="2">
        <f>E64</f>
        <v>262.50625171618</v>
      </c>
      <c r="I64" s="2">
        <f>F64</f>
        <v>262.50625171618</v>
      </c>
      <c r="J64" s="2">
        <f>I64</f>
        <v>262.50625171618</v>
      </c>
      <c r="L64" s="2">
        <f>J64</f>
        <v>262.50625171618</v>
      </c>
      <c r="V64" s="2">
        <f>L64</f>
        <v>262.50625171618</v>
      </c>
      <c r="W64">
        <v>5</v>
      </c>
      <c r="AG64" s="104" t="s">
        <v>272</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287</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275</v>
      </c>
      <c r="C65" t="s">
        <v>275</v>
      </c>
      <c r="D65"/>
      <c r="E65" s="2">
        <v>1.78356265105312</v>
      </c>
      <c r="I65" s="2">
        <v>2.22661580785633</v>
      </c>
      <c r="J65" s="2">
        <v>2.32708131726095</v>
      </c>
      <c r="K65"/>
      <c r="L65" s="2">
        <v>2.50388201247059</v>
      </c>
      <c r="M65"/>
      <c r="N65"/>
      <c r="O65"/>
      <c r="P65"/>
      <c r="Q65"/>
      <c r="R65"/>
      <c r="S65"/>
      <c r="T65"/>
      <c r="U65"/>
      <c r="V65" s="2">
        <v>3.07152023009688</v>
      </c>
      <c r="W65">
        <v>5</v>
      </c>
      <c r="AG65" s="104" t="s">
        <v>272</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287</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276</v>
      </c>
      <c r="C66" t="s">
        <v>276</v>
      </c>
      <c r="D66"/>
      <c r="E66" s="2">
        <v>12.3807603168204</v>
      </c>
      <c r="I66" s="2">
        <v>12.6644810306856</v>
      </c>
      <c r="J66" s="2">
        <v>12.7260322944271</v>
      </c>
      <c r="K66"/>
      <c r="L66" s="2">
        <v>12.8232854254518</v>
      </c>
      <c r="M66"/>
      <c r="N66"/>
      <c r="O66"/>
      <c r="P66"/>
      <c r="Q66"/>
      <c r="R66"/>
      <c r="S66"/>
      <c r="T66"/>
      <c r="U66"/>
      <c r="V66" s="2">
        <v>12.828033432102</v>
      </c>
      <c r="W66">
        <v>5</v>
      </c>
      <c r="AG66" s="104" t="s">
        <v>277</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287</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278</v>
      </c>
      <c r="C67" t="s">
        <v>278</v>
      </c>
      <c r="D67"/>
      <c r="E67" s="2">
        <v>18.0740611496268</v>
      </c>
      <c r="F67" s="2">
        <f>E67</f>
        <v>18.0740611496268</v>
      </c>
      <c r="I67" s="2">
        <f>F67</f>
        <v>18.0740611496268</v>
      </c>
      <c r="J67" s="2">
        <f>I67</f>
        <v>18.0740611496268</v>
      </c>
      <c r="L67" s="2">
        <f>J67</f>
        <v>18.0740611496268</v>
      </c>
      <c r="V67" s="2">
        <f>L67</f>
        <v>18.0740611496268</v>
      </c>
      <c r="W67">
        <v>5</v>
      </c>
      <c r="AG67" s="104" t="s">
        <v>272</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287</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279</v>
      </c>
      <c r="C68" t="s">
        <v>279</v>
      </c>
      <c r="D68"/>
      <c r="E68" s="2">
        <v>816.254772786243</v>
      </c>
      <c r="F68" s="2">
        <f>E68</f>
        <v>816.254772786243</v>
      </c>
      <c r="I68" s="2">
        <f>F68</f>
        <v>816.254772786243</v>
      </c>
      <c r="J68" s="2">
        <f>I68</f>
        <v>816.254772786243</v>
      </c>
      <c r="L68" s="2">
        <f>J68</f>
        <v>816.254772786243</v>
      </c>
      <c r="V68" s="2">
        <f>L68</f>
        <v>816.254772786243</v>
      </c>
      <c r="W68">
        <v>5</v>
      </c>
      <c r="AG68" s="104" t="s">
        <v>272</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287</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280</v>
      </c>
      <c r="C69" t="s">
        <v>280</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04" t="s">
        <v>277</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287</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281</v>
      </c>
      <c r="C70" t="s">
        <v>281</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04" t="s">
        <v>277</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287</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282</v>
      </c>
      <c r="C71" t="s">
        <v>282</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04" t="s">
        <v>277</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287</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283</v>
      </c>
      <c r="C72" t="s">
        <v>283</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04" t="s">
        <v>284</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287</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285</v>
      </c>
      <c r="C73" t="s">
        <v>285</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04" t="s">
        <v>272</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287</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286</v>
      </c>
      <c r="C74" t="s">
        <v>286</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04" t="s">
        <v>272</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287</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271</v>
      </c>
      <c r="C75" t="s">
        <v>271</v>
      </c>
      <c r="D75"/>
      <c r="E75" s="2">
        <v>139.408253389821</v>
      </c>
      <c r="F75" s="2">
        <f>E75</f>
        <v>139.408253389821</v>
      </c>
      <c r="I75" s="2">
        <f>F75</f>
        <v>139.408253389821</v>
      </c>
      <c r="J75" s="2">
        <f>I75</f>
        <v>139.408253389821</v>
      </c>
      <c r="L75" s="2">
        <f>J75</f>
        <v>139.408253389821</v>
      </c>
      <c r="V75" s="2">
        <f>L75</f>
        <v>139.408253389821</v>
      </c>
      <c r="W75">
        <v>5</v>
      </c>
      <c r="AG75" s="104" t="s">
        <v>272</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273</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274</v>
      </c>
      <c r="C76" t="s">
        <v>274</v>
      </c>
      <c r="D76"/>
      <c r="E76" s="2">
        <v>100.89549985663</v>
      </c>
      <c r="F76" s="2">
        <f>E76</f>
        <v>100.89549985663</v>
      </c>
      <c r="I76" s="2">
        <f>F76</f>
        <v>100.89549985663</v>
      </c>
      <c r="J76" s="2">
        <f>I76</f>
        <v>100.89549985663</v>
      </c>
      <c r="L76" s="2">
        <f>J76</f>
        <v>100.89549985663</v>
      </c>
      <c r="V76" s="2">
        <f>L76</f>
        <v>100.89549985663</v>
      </c>
      <c r="W76">
        <v>5</v>
      </c>
      <c r="AG76" s="104" t="s">
        <v>272</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273</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275</v>
      </c>
      <c r="C77" t="s">
        <v>275</v>
      </c>
      <c r="D77"/>
      <c r="E77" s="2">
        <v>36.3491412681947</v>
      </c>
      <c r="I77" s="2">
        <v>51.7238503606635</v>
      </c>
      <c r="J77" s="2">
        <v>59.47712543275</v>
      </c>
      <c r="K77"/>
      <c r="L77" s="2">
        <v>79.1294823604451</v>
      </c>
      <c r="M77"/>
      <c r="N77"/>
      <c r="O77"/>
      <c r="P77"/>
      <c r="Q77"/>
      <c r="R77"/>
      <c r="S77"/>
      <c r="T77"/>
      <c r="U77"/>
      <c r="V77" s="2">
        <v>192.459870143503</v>
      </c>
      <c r="W77">
        <v>5</v>
      </c>
      <c r="AG77" s="104" t="s">
        <v>272</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273</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276</v>
      </c>
      <c r="C78" t="s">
        <v>276</v>
      </c>
      <c r="D78"/>
      <c r="E78" s="2">
        <v>16.8114020843873</v>
      </c>
      <c r="I78" s="2">
        <v>17.8160951323929</v>
      </c>
      <c r="J78" s="2">
        <v>17.9690096349578</v>
      </c>
      <c r="K78"/>
      <c r="L78" s="2">
        <v>17.9821026520996</v>
      </c>
      <c r="M78"/>
      <c r="N78"/>
      <c r="O78"/>
      <c r="P78"/>
      <c r="Q78"/>
      <c r="R78"/>
      <c r="S78"/>
      <c r="T78"/>
      <c r="U78"/>
      <c r="V78" s="2">
        <v>14.8844598657544</v>
      </c>
      <c r="W78">
        <v>5</v>
      </c>
      <c r="AG78" s="104" t="s">
        <v>277</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273</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278</v>
      </c>
      <c r="C79" t="s">
        <v>278</v>
      </c>
      <c r="D79"/>
      <c r="E79" s="2">
        <v>54.0166941738206</v>
      </c>
      <c r="F79" s="2">
        <f>E79</f>
        <v>54.0166941738206</v>
      </c>
      <c r="I79" s="2">
        <f>F79</f>
        <v>54.0166941738206</v>
      </c>
      <c r="J79" s="2">
        <f>I79</f>
        <v>54.0166941738206</v>
      </c>
      <c r="L79" s="2">
        <f>J79</f>
        <v>54.0166941738206</v>
      </c>
      <c r="V79" s="2">
        <f>L79</f>
        <v>54.0166941738206</v>
      </c>
      <c r="W79">
        <v>5</v>
      </c>
      <c r="AG79" s="104" t="s">
        <v>272</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273</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279</v>
      </c>
      <c r="C80" t="s">
        <v>279</v>
      </c>
      <c r="D80"/>
      <c r="E80" s="2">
        <v>138.398524415336</v>
      </c>
      <c r="F80" s="2">
        <f>E80</f>
        <v>138.398524415336</v>
      </c>
      <c r="I80" s="2">
        <f>F80</f>
        <v>138.398524415336</v>
      </c>
      <c r="J80" s="2">
        <f>I80</f>
        <v>138.398524415336</v>
      </c>
      <c r="L80" s="2">
        <f>J80</f>
        <v>138.398524415336</v>
      </c>
      <c r="V80" s="2">
        <f>L80</f>
        <v>138.398524415336</v>
      </c>
      <c r="W80">
        <v>5</v>
      </c>
      <c r="AG80" s="104" t="s">
        <v>272</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273</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280</v>
      </c>
      <c r="C81" t="s">
        <v>280</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04" t="s">
        <v>277</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273</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281</v>
      </c>
      <c r="C82" t="s">
        <v>281</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04" t="s">
        <v>277</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273</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282</v>
      </c>
      <c r="C83" t="s">
        <v>282</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04" t="s">
        <v>277</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273</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283</v>
      </c>
      <c r="C84" t="s">
        <v>283</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04" t="s">
        <v>284</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273</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285</v>
      </c>
      <c r="C85" t="s">
        <v>285</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04" t="s">
        <v>272</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273</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286</v>
      </c>
      <c r="C86" t="s">
        <v>286</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04" t="s">
        <v>272</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273</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271</v>
      </c>
      <c r="C87" s="1" t="s">
        <v>271</v>
      </c>
      <c r="D87" s="1"/>
      <c r="E87" s="2">
        <v>1188.16711411818</v>
      </c>
      <c r="F87" s="2">
        <f>E87</f>
        <v>1188.16711411818</v>
      </c>
      <c r="I87" s="2">
        <f>F87</f>
        <v>1188.16711411818</v>
      </c>
      <c r="J87" s="2">
        <f>I87</f>
        <v>1188.16711411818</v>
      </c>
      <c r="L87" s="2">
        <f>J87</f>
        <v>1188.16711411818</v>
      </c>
      <c r="V87" s="2">
        <f>L87</f>
        <v>1188.16711411818</v>
      </c>
      <c r="W87" s="1">
        <v>5</v>
      </c>
      <c r="AG87" s="105" t="s">
        <v>272</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288</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274</v>
      </c>
      <c r="C88" t="s">
        <v>274</v>
      </c>
      <c r="D88"/>
      <c r="E88" s="2">
        <v>467.444758409838</v>
      </c>
      <c r="F88" s="2">
        <f>E88</f>
        <v>467.444758409838</v>
      </c>
      <c r="I88" s="2">
        <f>F88</f>
        <v>467.444758409838</v>
      </c>
      <c r="J88" s="2">
        <f>I88</f>
        <v>467.444758409838</v>
      </c>
      <c r="L88" s="2">
        <f>J88</f>
        <v>467.444758409838</v>
      </c>
      <c r="V88" s="2">
        <f>L88</f>
        <v>467.444758409838</v>
      </c>
      <c r="W88">
        <v>5</v>
      </c>
      <c r="AG88" s="104" t="s">
        <v>272</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288</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275</v>
      </c>
      <c r="C89" t="s">
        <v>275</v>
      </c>
      <c r="D89"/>
      <c r="E89" s="2">
        <v>144.327570907279</v>
      </c>
      <c r="I89" s="2">
        <v>224.407696622378</v>
      </c>
      <c r="J89" s="2">
        <v>241.010404715518</v>
      </c>
      <c r="K89"/>
      <c r="L89" s="2">
        <v>268.938258912685</v>
      </c>
      <c r="M89"/>
      <c r="N89"/>
      <c r="O89"/>
      <c r="P89"/>
      <c r="Q89"/>
      <c r="R89"/>
      <c r="S89"/>
      <c r="T89"/>
      <c r="U89"/>
      <c r="V89" s="2">
        <v>317.390632286557</v>
      </c>
      <c r="W89">
        <v>5</v>
      </c>
      <c r="AG89" s="104" t="s">
        <v>272</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288</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276</v>
      </c>
      <c r="C90" t="s">
        <v>276</v>
      </c>
      <c r="D90"/>
      <c r="E90" s="2">
        <v>326.607668327134</v>
      </c>
      <c r="I90" s="2">
        <v>322.411094673057</v>
      </c>
      <c r="J90" s="2">
        <v>318.688567557196</v>
      </c>
      <c r="K90"/>
      <c r="L90" s="2">
        <v>308.001346625873</v>
      </c>
      <c r="M90"/>
      <c r="N90"/>
      <c r="O90"/>
      <c r="P90"/>
      <c r="Q90"/>
      <c r="R90"/>
      <c r="S90"/>
      <c r="T90"/>
      <c r="U90"/>
      <c r="V90" s="2">
        <v>240.985198947612</v>
      </c>
      <c r="W90">
        <v>5</v>
      </c>
      <c r="AG90" s="104" t="s">
        <v>277</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288</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278</v>
      </c>
      <c r="C91" t="s">
        <v>278</v>
      </c>
      <c r="D91"/>
      <c r="E91" s="2">
        <v>1059.41231504256</v>
      </c>
      <c r="F91" s="2">
        <f>E91</f>
        <v>1059.41231504256</v>
      </c>
      <c r="I91" s="2">
        <f>F91</f>
        <v>1059.41231504256</v>
      </c>
      <c r="J91" s="2">
        <f>I91</f>
        <v>1059.41231504256</v>
      </c>
      <c r="L91" s="2">
        <f>J91</f>
        <v>1059.41231504256</v>
      </c>
      <c r="V91" s="2">
        <f>L91</f>
        <v>1059.41231504256</v>
      </c>
      <c r="W91">
        <v>5</v>
      </c>
      <c r="AG91" s="104" t="s">
        <v>272</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288</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279</v>
      </c>
      <c r="C92" t="s">
        <v>279</v>
      </c>
      <c r="D92"/>
      <c r="E92" s="2">
        <v>494.941546836131</v>
      </c>
      <c r="F92" s="2">
        <f>E92</f>
        <v>494.941546836131</v>
      </c>
      <c r="I92" s="2">
        <f>F92</f>
        <v>494.941546836131</v>
      </c>
      <c r="J92" s="2">
        <f>I92</f>
        <v>494.941546836131</v>
      </c>
      <c r="L92" s="2">
        <f>J92</f>
        <v>494.941546836131</v>
      </c>
      <c r="V92" s="2">
        <f>L92</f>
        <v>494.941546836131</v>
      </c>
      <c r="W92">
        <v>5</v>
      </c>
      <c r="AG92" s="104" t="s">
        <v>272</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288</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280</v>
      </c>
      <c r="C93" t="s">
        <v>280</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04" t="s">
        <v>277</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288</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281</v>
      </c>
      <c r="C94" t="s">
        <v>281</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04" t="s">
        <v>277</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288</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282</v>
      </c>
      <c r="C95" t="s">
        <v>282</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04" t="s">
        <v>277</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288</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283</v>
      </c>
      <c r="C96" t="s">
        <v>283</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04" t="s">
        <v>284</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288</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285</v>
      </c>
      <c r="C97" t="s">
        <v>285</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04" t="s">
        <v>272</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288</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286</v>
      </c>
      <c r="C98" t="s">
        <v>286</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04" t="s">
        <v>272</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288</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271</v>
      </c>
      <c r="C99" t="s">
        <v>271</v>
      </c>
      <c r="D99"/>
      <c r="E99" s="2">
        <v>0.474749727627687</v>
      </c>
      <c r="F99" s="2">
        <f>E99</f>
        <v>0.474749727627687</v>
      </c>
      <c r="I99" s="2">
        <f>F99</f>
        <v>0.474749727627687</v>
      </c>
      <c r="J99" s="2">
        <f>I99</f>
        <v>0.474749727627687</v>
      </c>
      <c r="L99" s="2">
        <f>J99</f>
        <v>0.474749727627687</v>
      </c>
      <c r="V99" s="2">
        <f>L99</f>
        <v>0.474749727627687</v>
      </c>
      <c r="W99">
        <v>5</v>
      </c>
      <c r="AG99" s="104" t="s">
        <v>272</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287</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274</v>
      </c>
      <c r="C100" t="s">
        <v>274</v>
      </c>
      <c r="D100"/>
      <c r="E100" s="2">
        <v>9.59652531307715</v>
      </c>
      <c r="F100" s="2">
        <f>E100</f>
        <v>9.59652531307715</v>
      </c>
      <c r="I100" s="2">
        <f>F100</f>
        <v>9.59652531307715</v>
      </c>
      <c r="J100" s="2">
        <f>I100</f>
        <v>9.59652531307715</v>
      </c>
      <c r="L100" s="2">
        <f>J100</f>
        <v>9.59652531307715</v>
      </c>
      <c r="V100" s="2">
        <f>L100</f>
        <v>9.59652531307715</v>
      </c>
      <c r="W100">
        <v>5</v>
      </c>
      <c r="AG100" s="104" t="s">
        <v>272</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287</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275</v>
      </c>
      <c r="C101" t="s">
        <v>275</v>
      </c>
      <c r="D101"/>
      <c r="E101" s="2">
        <v>1.00929896141801</v>
      </c>
      <c r="I101" s="2">
        <v>1.41658801405982</v>
      </c>
      <c r="J101" s="2">
        <v>1.47448946544171</v>
      </c>
      <c r="K101"/>
      <c r="L101" s="2">
        <v>1.54503579850711</v>
      </c>
      <c r="M101"/>
      <c r="N101"/>
      <c r="O101"/>
      <c r="P101"/>
      <c r="Q101"/>
      <c r="R101"/>
      <c r="S101"/>
      <c r="T101"/>
      <c r="U101"/>
      <c r="V101" s="2">
        <v>1.74630995498665</v>
      </c>
      <c r="W101">
        <v>5</v>
      </c>
      <c r="AG101" s="104" t="s">
        <v>272</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287</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276</v>
      </c>
      <c r="C102" t="s">
        <v>276</v>
      </c>
      <c r="D102"/>
      <c r="E102" s="2">
        <v>1.58463004706926</v>
      </c>
      <c r="I102" s="2">
        <v>1.50167208679505</v>
      </c>
      <c r="J102" s="2">
        <v>1.47566951737528</v>
      </c>
      <c r="K102"/>
      <c r="L102" s="2">
        <v>1.42900847026344</v>
      </c>
      <c r="M102"/>
      <c r="N102"/>
      <c r="O102"/>
      <c r="P102"/>
      <c r="Q102"/>
      <c r="R102"/>
      <c r="S102"/>
      <c r="T102"/>
      <c r="U102"/>
      <c r="V102" s="2">
        <v>1.25848141112579</v>
      </c>
      <c r="W102">
        <v>5</v>
      </c>
      <c r="AG102" s="104" t="s">
        <v>277</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287</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278</v>
      </c>
      <c r="C103" t="s">
        <v>278</v>
      </c>
      <c r="D103"/>
      <c r="E103" s="2">
        <v>2.11971648311455</v>
      </c>
      <c r="F103" s="2">
        <f>E103</f>
        <v>2.11971648311455</v>
      </c>
      <c r="I103" s="2">
        <f>F103</f>
        <v>2.11971648311455</v>
      </c>
      <c r="J103" s="2">
        <f>I103</f>
        <v>2.11971648311455</v>
      </c>
      <c r="L103" s="2">
        <f>J103</f>
        <v>2.11971648311455</v>
      </c>
      <c r="V103" s="2">
        <f>L103</f>
        <v>2.11971648311455</v>
      </c>
      <c r="W103">
        <v>5</v>
      </c>
      <c r="AG103" s="104" t="s">
        <v>272</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287</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279</v>
      </c>
      <c r="C104" t="s">
        <v>279</v>
      </c>
      <c r="D104"/>
      <c r="E104" s="2">
        <v>8.94049211840846</v>
      </c>
      <c r="F104" s="2">
        <f>E104</f>
        <v>8.94049211840846</v>
      </c>
      <c r="I104" s="2">
        <f>F104</f>
        <v>8.94049211840846</v>
      </c>
      <c r="J104" s="2">
        <f>I104</f>
        <v>8.94049211840846</v>
      </c>
      <c r="L104" s="2">
        <f>J104</f>
        <v>8.94049211840846</v>
      </c>
      <c r="V104" s="2">
        <f>L104</f>
        <v>8.94049211840846</v>
      </c>
      <c r="W104">
        <v>5</v>
      </c>
      <c r="AG104" s="104" t="s">
        <v>272</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287</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280</v>
      </c>
      <c r="C105" t="s">
        <v>280</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04" t="s">
        <v>277</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287</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281</v>
      </c>
      <c r="C106" t="s">
        <v>281</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04" t="s">
        <v>277</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287</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282</v>
      </c>
      <c r="C107" t="s">
        <v>282</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04" t="s">
        <v>277</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287</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283</v>
      </c>
      <c r="C108" t="s">
        <v>283</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04" t="s">
        <v>284</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287</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285</v>
      </c>
      <c r="C109" t="s">
        <v>285</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04" t="s">
        <v>272</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287</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286</v>
      </c>
      <c r="C110" t="s">
        <v>286</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04" t="s">
        <v>272</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287</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271</v>
      </c>
      <c r="C111" t="s">
        <v>271</v>
      </c>
      <c r="D111"/>
      <c r="E111" s="2">
        <v>2.00560851222116</v>
      </c>
      <c r="F111" s="2">
        <f>E111</f>
        <v>2.00560851222116</v>
      </c>
      <c r="I111" s="2">
        <f>F111</f>
        <v>2.00560851222116</v>
      </c>
      <c r="J111" s="2">
        <f>I111</f>
        <v>2.00560851222116</v>
      </c>
      <c r="L111" s="2">
        <f>J111</f>
        <v>2.00560851222116</v>
      </c>
      <c r="V111" s="2">
        <f>L111</f>
        <v>2.00560851222116</v>
      </c>
      <c r="W111">
        <v>5</v>
      </c>
      <c r="AG111" s="104" t="s">
        <v>272</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287</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274</v>
      </c>
      <c r="C112" t="s">
        <v>274</v>
      </c>
      <c r="D112"/>
      <c r="E112" s="2">
        <v>19.5468221264771</v>
      </c>
      <c r="F112" s="2">
        <f>E112</f>
        <v>19.5468221264771</v>
      </c>
      <c r="I112" s="2">
        <f>F112</f>
        <v>19.5468221264771</v>
      </c>
      <c r="J112" s="2">
        <f>I112</f>
        <v>19.5468221264771</v>
      </c>
      <c r="L112" s="2">
        <f>J112</f>
        <v>19.5468221264771</v>
      </c>
      <c r="V112" s="2">
        <f>L112</f>
        <v>19.5468221264771</v>
      </c>
      <c r="W112">
        <v>5</v>
      </c>
      <c r="AG112" s="104" t="s">
        <v>272</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287</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275</v>
      </c>
      <c r="C113" t="s">
        <v>275</v>
      </c>
      <c r="D113"/>
      <c r="E113" s="2">
        <v>3.92497340838634</v>
      </c>
      <c r="I113" s="2">
        <v>4.83125377216984</v>
      </c>
      <c r="J113" s="2">
        <v>5.09671332771343</v>
      </c>
      <c r="K113"/>
      <c r="L113" s="2">
        <v>5.5506826861402</v>
      </c>
      <c r="M113"/>
      <c r="N113"/>
      <c r="O113"/>
      <c r="P113"/>
      <c r="Q113"/>
      <c r="R113"/>
      <c r="S113"/>
      <c r="T113"/>
      <c r="U113"/>
      <c r="V113" s="2">
        <v>7.01327729505485</v>
      </c>
      <c r="W113">
        <v>5</v>
      </c>
      <c r="AG113" s="104" t="s">
        <v>272</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287</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276</v>
      </c>
      <c r="C114" t="s">
        <v>276</v>
      </c>
      <c r="D114"/>
      <c r="E114" s="2">
        <v>7.10295902802551</v>
      </c>
      <c r="I114" s="2">
        <v>7.09434671357223</v>
      </c>
      <c r="J114" s="2">
        <v>7.02400495859201</v>
      </c>
      <c r="K114"/>
      <c r="L114" s="2">
        <v>6.91840009341947</v>
      </c>
      <c r="M114"/>
      <c r="N114"/>
      <c r="O114"/>
      <c r="P114"/>
      <c r="Q114"/>
      <c r="R114"/>
      <c r="S114"/>
      <c r="T114"/>
      <c r="U114"/>
      <c r="V114" s="2">
        <v>6.28230153212521</v>
      </c>
      <c r="W114">
        <v>5</v>
      </c>
      <c r="AG114" s="104" t="s">
        <v>277</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287</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278</v>
      </c>
      <c r="C115" t="s">
        <v>278</v>
      </c>
      <c r="D115"/>
      <c r="E115" s="2">
        <v>0.215645069999914</v>
      </c>
      <c r="F115" s="2">
        <f>E115</f>
        <v>0.215645069999914</v>
      </c>
      <c r="I115" s="2">
        <f>F115</f>
        <v>0.215645069999914</v>
      </c>
      <c r="J115" s="2">
        <f>I115</f>
        <v>0.215645069999914</v>
      </c>
      <c r="L115" s="2">
        <f>J115</f>
        <v>0.215645069999914</v>
      </c>
      <c r="V115" s="2">
        <f>L115</f>
        <v>0.215645069999914</v>
      </c>
      <c r="W115">
        <v>5</v>
      </c>
      <c r="AG115" s="104" t="s">
        <v>272</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287</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279</v>
      </c>
      <c r="C116" t="s">
        <v>279</v>
      </c>
      <c r="D116"/>
      <c r="E116" s="2">
        <v>0</v>
      </c>
      <c r="F116" s="2">
        <f>E116</f>
        <v>0</v>
      </c>
      <c r="I116" s="2">
        <f>F116</f>
        <v>0</v>
      </c>
      <c r="J116" s="2">
        <f>I116</f>
        <v>0</v>
      </c>
      <c r="L116" s="2">
        <f>J116</f>
        <v>0</v>
      </c>
      <c r="V116" s="2">
        <f>L116</f>
        <v>0</v>
      </c>
      <c r="W116">
        <v>5</v>
      </c>
      <c r="AG116" s="104" t="s">
        <v>272</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287</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280</v>
      </c>
      <c r="C117" t="s">
        <v>280</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04" t="s">
        <v>277</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287</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281</v>
      </c>
      <c r="C118" t="s">
        <v>281</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04" t="s">
        <v>277</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287</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282</v>
      </c>
      <c r="C119" t="s">
        <v>282</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04" t="s">
        <v>277</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287</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283</v>
      </c>
      <c r="C120" t="s">
        <v>283</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04" t="s">
        <v>284</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287</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285</v>
      </c>
      <c r="C121" t="s">
        <v>285</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04" t="s">
        <v>272</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287</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286</v>
      </c>
      <c r="C122" t="s">
        <v>286</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04" t="s">
        <v>272</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287</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271</v>
      </c>
      <c r="C123" t="s">
        <v>271</v>
      </c>
      <c r="D123"/>
      <c r="E123" s="2">
        <v>67.7006244221446</v>
      </c>
      <c r="F123" s="2">
        <f>E123</f>
        <v>67.7006244221446</v>
      </c>
      <c r="I123" s="2">
        <f>F123</f>
        <v>67.7006244221446</v>
      </c>
      <c r="J123" s="2">
        <f>I123</f>
        <v>67.7006244221446</v>
      </c>
      <c r="L123" s="2">
        <f>J123</f>
        <v>67.7006244221446</v>
      </c>
      <c r="V123" s="2">
        <f>L123</f>
        <v>67.7006244221446</v>
      </c>
      <c r="W123">
        <v>5</v>
      </c>
      <c r="AG123" s="104" t="s">
        <v>272</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287</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274</v>
      </c>
      <c r="C124" t="s">
        <v>274</v>
      </c>
      <c r="D124"/>
      <c r="E124" s="2">
        <v>259.667818336121</v>
      </c>
      <c r="F124" s="2">
        <f>E124</f>
        <v>259.667818336121</v>
      </c>
      <c r="I124" s="2">
        <f>F124</f>
        <v>259.667818336121</v>
      </c>
      <c r="J124" s="2">
        <f>I124</f>
        <v>259.667818336121</v>
      </c>
      <c r="L124" s="2">
        <f>J124</f>
        <v>259.667818336121</v>
      </c>
      <c r="V124" s="2">
        <f>L124</f>
        <v>259.667818336121</v>
      </c>
      <c r="W124">
        <v>5</v>
      </c>
      <c r="AG124" s="104" t="s">
        <v>272</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287</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275</v>
      </c>
      <c r="C125" t="s">
        <v>275</v>
      </c>
      <c r="D125"/>
      <c r="E125" s="2">
        <v>4.72257563891638</v>
      </c>
      <c r="I125" s="2">
        <v>5.77714122000144</v>
      </c>
      <c r="J125" s="2">
        <v>6.05615573207307</v>
      </c>
      <c r="K125"/>
      <c r="L125" s="2">
        <v>6.60926879552228</v>
      </c>
      <c r="M125"/>
      <c r="N125"/>
      <c r="O125"/>
      <c r="P125"/>
      <c r="Q125"/>
      <c r="R125"/>
      <c r="S125"/>
      <c r="T125"/>
      <c r="U125"/>
      <c r="V125" s="2">
        <v>9.30139354906975</v>
      </c>
      <c r="W125">
        <v>5</v>
      </c>
      <c r="AG125" s="104" t="s">
        <v>272</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287</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276</v>
      </c>
      <c r="C126" t="s">
        <v>276</v>
      </c>
      <c r="D126"/>
      <c r="E126" s="2">
        <v>31.0685582966778</v>
      </c>
      <c r="I126" s="2">
        <v>31.8370089157593</v>
      </c>
      <c r="J126" s="2">
        <v>32.1180186747229</v>
      </c>
      <c r="K126"/>
      <c r="L126" s="2">
        <v>32.5692744879249</v>
      </c>
      <c r="M126"/>
      <c r="N126"/>
      <c r="O126"/>
      <c r="P126"/>
      <c r="Q126"/>
      <c r="R126"/>
      <c r="S126"/>
      <c r="T126"/>
      <c r="U126"/>
      <c r="V126" s="2">
        <v>33.9075290194786</v>
      </c>
      <c r="W126">
        <v>5</v>
      </c>
      <c r="AG126" s="104" t="s">
        <v>277</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287</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278</v>
      </c>
      <c r="C127" t="s">
        <v>278</v>
      </c>
      <c r="D127"/>
      <c r="E127" s="2">
        <v>21.0626926925154</v>
      </c>
      <c r="F127" s="2">
        <f>E127</f>
        <v>21.0626926925154</v>
      </c>
      <c r="I127" s="2">
        <f>F127</f>
        <v>21.0626926925154</v>
      </c>
      <c r="J127" s="2">
        <f>I127</f>
        <v>21.0626926925154</v>
      </c>
      <c r="L127" s="2">
        <f>J127</f>
        <v>21.0626926925154</v>
      </c>
      <c r="V127" s="2">
        <f>L127</f>
        <v>21.0626926925154</v>
      </c>
      <c r="W127">
        <v>5</v>
      </c>
      <c r="AG127" s="104" t="s">
        <v>272</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287</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279</v>
      </c>
      <c r="C128" t="s">
        <v>279</v>
      </c>
      <c r="D128"/>
      <c r="E128" s="2">
        <v>70.9847274318518</v>
      </c>
      <c r="F128" s="2">
        <f>E128</f>
        <v>70.9847274318518</v>
      </c>
      <c r="I128" s="2">
        <f>F128</f>
        <v>70.9847274318518</v>
      </c>
      <c r="J128" s="2">
        <f>I128</f>
        <v>70.9847274318518</v>
      </c>
      <c r="L128" s="2">
        <f>J128</f>
        <v>70.9847274318518</v>
      </c>
      <c r="V128" s="2">
        <f>L128</f>
        <v>70.9847274318518</v>
      </c>
      <c r="W128">
        <v>5</v>
      </c>
      <c r="AG128" s="104" t="s">
        <v>272</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287</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280</v>
      </c>
      <c r="C129" t="s">
        <v>280</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04" t="s">
        <v>277</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287</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281</v>
      </c>
      <c r="C130" t="s">
        <v>281</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04" t="s">
        <v>277</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287</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282</v>
      </c>
      <c r="C131" t="s">
        <v>282</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04" t="s">
        <v>277</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287</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283</v>
      </c>
      <c r="C132" t="s">
        <v>283</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04" t="s">
        <v>284</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287</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285</v>
      </c>
      <c r="C133" t="s">
        <v>285</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04" t="s">
        <v>272</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287</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286</v>
      </c>
      <c r="C134" t="s">
        <v>286</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04" t="s">
        <v>272</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287</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271</v>
      </c>
      <c r="C135" t="s">
        <v>271</v>
      </c>
      <c r="D135"/>
      <c r="E135" s="2">
        <v>30.8925002060472</v>
      </c>
      <c r="F135" s="2">
        <f>E135</f>
        <v>30.8925002060472</v>
      </c>
      <c r="I135" s="2">
        <f>F135</f>
        <v>30.8925002060472</v>
      </c>
      <c r="J135" s="2">
        <f>I135</f>
        <v>30.8925002060472</v>
      </c>
      <c r="L135" s="2">
        <f>J135</f>
        <v>30.8925002060472</v>
      </c>
      <c r="V135" s="2">
        <f>L135</f>
        <v>30.8925002060472</v>
      </c>
      <c r="W135">
        <v>5</v>
      </c>
      <c r="AG135" s="104" t="s">
        <v>272</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287</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274</v>
      </c>
      <c r="C136" t="s">
        <v>274</v>
      </c>
      <c r="D136"/>
      <c r="E136" s="2">
        <v>411.735252066231</v>
      </c>
      <c r="F136" s="2">
        <f>E136</f>
        <v>411.735252066231</v>
      </c>
      <c r="I136" s="2">
        <f>F136</f>
        <v>411.735252066231</v>
      </c>
      <c r="J136" s="2">
        <f>I136</f>
        <v>411.735252066231</v>
      </c>
      <c r="L136" s="2">
        <f>J136</f>
        <v>411.735252066231</v>
      </c>
      <c r="V136" s="2">
        <f>L136</f>
        <v>411.735252066231</v>
      </c>
      <c r="W136">
        <v>5</v>
      </c>
      <c r="AG136" s="104" t="s">
        <v>272</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287</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275</v>
      </c>
      <c r="C137" t="s">
        <v>275</v>
      </c>
      <c r="D137"/>
      <c r="E137" s="2">
        <v>10.2422820870275</v>
      </c>
      <c r="I137" s="2">
        <v>11.6970659852254</v>
      </c>
      <c r="J137" s="2">
        <v>12.2167840930765</v>
      </c>
      <c r="K137"/>
      <c r="L137" s="2">
        <v>13.2500408782904</v>
      </c>
      <c r="M137"/>
      <c r="N137"/>
      <c r="O137"/>
      <c r="P137"/>
      <c r="Q137"/>
      <c r="R137"/>
      <c r="S137"/>
      <c r="T137"/>
      <c r="U137"/>
      <c r="V137" s="2">
        <v>16.4810771612383</v>
      </c>
      <c r="W137">
        <v>5</v>
      </c>
      <c r="AG137" s="104" t="s">
        <v>272</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287</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276</v>
      </c>
      <c r="C138" t="s">
        <v>276</v>
      </c>
      <c r="D138"/>
      <c r="E138" s="2">
        <v>41.728037261455</v>
      </c>
      <c r="I138" s="2">
        <v>41.4076364519895</v>
      </c>
      <c r="J138" s="2">
        <v>41.206691240923</v>
      </c>
      <c r="K138"/>
      <c r="L138" s="2">
        <v>40.8643391636625</v>
      </c>
      <c r="M138"/>
      <c r="N138"/>
      <c r="O138"/>
      <c r="P138"/>
      <c r="Q138"/>
      <c r="R138"/>
      <c r="S138"/>
      <c r="T138"/>
      <c r="U138"/>
      <c r="V138" s="2">
        <v>38.3848419306435</v>
      </c>
      <c r="W138">
        <v>5</v>
      </c>
      <c r="AG138" s="104" t="s">
        <v>277</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287</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278</v>
      </c>
      <c r="C139" t="s">
        <v>278</v>
      </c>
      <c r="D139"/>
      <c r="E139" s="2">
        <v>11.29741306648</v>
      </c>
      <c r="F139" s="2">
        <f>E139</f>
        <v>11.29741306648</v>
      </c>
      <c r="I139" s="2">
        <f>F139</f>
        <v>11.29741306648</v>
      </c>
      <c r="J139" s="2">
        <f>I139</f>
        <v>11.29741306648</v>
      </c>
      <c r="L139" s="2">
        <f>J139</f>
        <v>11.29741306648</v>
      </c>
      <c r="V139" s="2">
        <f>L139</f>
        <v>11.29741306648</v>
      </c>
      <c r="W139">
        <v>5</v>
      </c>
      <c r="AG139" s="104" t="s">
        <v>272</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287</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279</v>
      </c>
      <c r="C140" t="s">
        <v>279</v>
      </c>
      <c r="D140"/>
      <c r="E140" s="2">
        <v>57.0532322107784</v>
      </c>
      <c r="F140" s="2">
        <f>E140</f>
        <v>57.0532322107784</v>
      </c>
      <c r="I140" s="2">
        <f>F140</f>
        <v>57.0532322107784</v>
      </c>
      <c r="J140" s="2">
        <f>I140</f>
        <v>57.0532322107784</v>
      </c>
      <c r="L140" s="2">
        <f>J140</f>
        <v>57.0532322107784</v>
      </c>
      <c r="V140" s="2">
        <f>L140</f>
        <v>57.0532322107784</v>
      </c>
      <c r="W140">
        <v>5</v>
      </c>
      <c r="AG140" s="104" t="s">
        <v>272</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287</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280</v>
      </c>
      <c r="C141" t="s">
        <v>280</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04" t="s">
        <v>277</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287</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281</v>
      </c>
      <c r="C142" t="s">
        <v>281</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04" t="s">
        <v>277</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287</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282</v>
      </c>
      <c r="C143" t="s">
        <v>282</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04" t="s">
        <v>277</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287</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283</v>
      </c>
      <c r="C144" t="s">
        <v>283</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04" t="s">
        <v>284</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287</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285</v>
      </c>
      <c r="C145" t="s">
        <v>285</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04" t="s">
        <v>272</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287</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286</v>
      </c>
      <c r="C146" t="s">
        <v>286</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04" t="s">
        <v>272</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287</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271</v>
      </c>
      <c r="C147" t="s">
        <v>271</v>
      </c>
      <c r="D147"/>
      <c r="E147" s="2">
        <v>9.41801071539259</v>
      </c>
      <c r="F147" s="2">
        <f>E147</f>
        <v>9.41801071539259</v>
      </c>
      <c r="I147" s="2">
        <f>F147</f>
        <v>9.41801071539259</v>
      </c>
      <c r="J147" s="2">
        <f>I147</f>
        <v>9.41801071539259</v>
      </c>
      <c r="L147" s="2">
        <f>J147</f>
        <v>9.41801071539259</v>
      </c>
      <c r="V147" s="2">
        <f>L147</f>
        <v>9.41801071539259</v>
      </c>
      <c r="W147">
        <v>5</v>
      </c>
      <c r="AG147" s="104" t="s">
        <v>272</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287</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274</v>
      </c>
      <c r="C148" t="s">
        <v>274</v>
      </c>
      <c r="D148"/>
      <c r="E148" s="2">
        <v>60.0666943733252</v>
      </c>
      <c r="F148" s="2">
        <f>E148</f>
        <v>60.0666943733252</v>
      </c>
      <c r="I148" s="2">
        <f>F148</f>
        <v>60.0666943733252</v>
      </c>
      <c r="J148" s="2">
        <f>I148</f>
        <v>60.0666943733252</v>
      </c>
      <c r="L148" s="2">
        <f>J148</f>
        <v>60.0666943733252</v>
      </c>
      <c r="V148" s="2">
        <f>L148</f>
        <v>60.0666943733252</v>
      </c>
      <c r="W148">
        <v>5</v>
      </c>
      <c r="AG148" s="104" t="s">
        <v>272</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287</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275</v>
      </c>
      <c r="C149" t="s">
        <v>275</v>
      </c>
      <c r="D149"/>
      <c r="E149" s="2">
        <v>0.407881973548625</v>
      </c>
      <c r="I149" s="2">
        <v>0.556269853938886</v>
      </c>
      <c r="J149" s="2">
        <v>0.592210356864755</v>
      </c>
      <c r="K149"/>
      <c r="L149" s="2">
        <v>0.658731360506297</v>
      </c>
      <c r="M149"/>
      <c r="N149"/>
      <c r="O149"/>
      <c r="P149"/>
      <c r="Q149"/>
      <c r="R149"/>
      <c r="S149"/>
      <c r="T149"/>
      <c r="U149"/>
      <c r="V149" s="2">
        <v>0.856844601589363</v>
      </c>
      <c r="W149">
        <v>5</v>
      </c>
      <c r="AG149" s="104" t="s">
        <v>272</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287</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276</v>
      </c>
      <c r="C150" t="s">
        <v>276</v>
      </c>
      <c r="D150"/>
      <c r="E150" s="2">
        <v>0.699362690149308</v>
      </c>
      <c r="I150" s="2">
        <v>0.682703126816235</v>
      </c>
      <c r="J150" s="2">
        <v>0.678924584296357</v>
      </c>
      <c r="K150"/>
      <c r="L150" s="2">
        <v>0.673124624068275</v>
      </c>
      <c r="M150"/>
      <c r="N150"/>
      <c r="O150"/>
      <c r="P150"/>
      <c r="Q150"/>
      <c r="R150"/>
      <c r="S150"/>
      <c r="T150"/>
      <c r="U150"/>
      <c r="V150" s="2">
        <v>0.613005347160796</v>
      </c>
      <c r="W150">
        <v>5</v>
      </c>
      <c r="AG150" s="104" t="s">
        <v>277</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287</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278</v>
      </c>
      <c r="C151" t="s">
        <v>278</v>
      </c>
      <c r="D151"/>
      <c r="E151" s="2">
        <v>26.7348015160745</v>
      </c>
      <c r="F151" s="2">
        <f>E151</f>
        <v>26.7348015160745</v>
      </c>
      <c r="I151" s="2">
        <f>F151</f>
        <v>26.7348015160745</v>
      </c>
      <c r="J151" s="2">
        <f>I151</f>
        <v>26.7348015160745</v>
      </c>
      <c r="L151" s="2">
        <f>J151</f>
        <v>26.7348015160745</v>
      </c>
      <c r="V151" s="2">
        <f>L151</f>
        <v>26.7348015160745</v>
      </c>
      <c r="W151">
        <v>5</v>
      </c>
      <c r="AG151" s="104" t="s">
        <v>272</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287</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279</v>
      </c>
      <c r="C152" t="s">
        <v>279</v>
      </c>
      <c r="D152"/>
      <c r="E152" s="2">
        <v>116.52376180417</v>
      </c>
      <c r="F152" s="2">
        <f>E152</f>
        <v>116.52376180417</v>
      </c>
      <c r="I152" s="2">
        <f>F152</f>
        <v>116.52376180417</v>
      </c>
      <c r="J152" s="2">
        <f>I152</f>
        <v>116.52376180417</v>
      </c>
      <c r="L152" s="2">
        <f>J152</f>
        <v>116.52376180417</v>
      </c>
      <c r="V152" s="2">
        <f>L152</f>
        <v>116.52376180417</v>
      </c>
      <c r="W152">
        <v>5</v>
      </c>
      <c r="AG152" s="104" t="s">
        <v>272</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287</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280</v>
      </c>
      <c r="C153" t="s">
        <v>280</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04" t="s">
        <v>277</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287</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281</v>
      </c>
      <c r="C154" t="s">
        <v>281</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04" t="s">
        <v>277</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287</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282</v>
      </c>
      <c r="C155" t="s">
        <v>282</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04" t="s">
        <v>277</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287</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283</v>
      </c>
      <c r="C156" t="s">
        <v>283</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04" t="s">
        <v>284</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287</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285</v>
      </c>
      <c r="C157" t="s">
        <v>285</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04" t="s">
        <v>272</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287</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286</v>
      </c>
      <c r="C158" t="s">
        <v>286</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04" t="s">
        <v>272</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287</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271</v>
      </c>
      <c r="C159" t="s">
        <v>271</v>
      </c>
      <c r="D159"/>
      <c r="E159" s="2">
        <v>3.26516627111412</v>
      </c>
      <c r="F159" s="2">
        <f>E159</f>
        <v>3.26516627111412</v>
      </c>
      <c r="I159" s="2">
        <f>F159</f>
        <v>3.26516627111412</v>
      </c>
      <c r="J159" s="2">
        <f>I159</f>
        <v>3.26516627111412</v>
      </c>
      <c r="L159" s="2">
        <f>J159</f>
        <v>3.26516627111412</v>
      </c>
      <c r="V159" s="2">
        <f>L159</f>
        <v>3.26516627111412</v>
      </c>
      <c r="W159">
        <v>5</v>
      </c>
      <c r="AG159" s="104" t="s">
        <v>272</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287</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274</v>
      </c>
      <c r="C160" t="s">
        <v>274</v>
      </c>
      <c r="D160"/>
      <c r="E160" s="2">
        <v>28.7692351147517</v>
      </c>
      <c r="F160" s="2">
        <f>E160</f>
        <v>28.7692351147517</v>
      </c>
      <c r="I160" s="2">
        <f>F160</f>
        <v>28.7692351147517</v>
      </c>
      <c r="J160" s="2">
        <f>I160</f>
        <v>28.7692351147517</v>
      </c>
      <c r="L160" s="2">
        <f>J160</f>
        <v>28.7692351147517</v>
      </c>
      <c r="V160" s="2">
        <f>L160</f>
        <v>28.7692351147517</v>
      </c>
      <c r="W160">
        <v>5</v>
      </c>
      <c r="AG160" s="104" t="s">
        <v>272</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287</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275</v>
      </c>
      <c r="C161" t="s">
        <v>275</v>
      </c>
      <c r="D161"/>
      <c r="E161" s="2">
        <v>7.75342561481203</v>
      </c>
      <c r="I161" s="2">
        <v>10.6106392868222</v>
      </c>
      <c r="J161" s="2">
        <v>11.184011651854</v>
      </c>
      <c r="K161"/>
      <c r="L161" s="2">
        <v>11.9476259257563</v>
      </c>
      <c r="M161"/>
      <c r="N161"/>
      <c r="O161"/>
      <c r="P161"/>
      <c r="Q161"/>
      <c r="R161"/>
      <c r="S161"/>
      <c r="T161"/>
      <c r="U161"/>
      <c r="V161" s="2">
        <v>13.8206787126309</v>
      </c>
      <c r="W161">
        <v>5</v>
      </c>
      <c r="AG161" s="104" t="s">
        <v>272</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287</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276</v>
      </c>
      <c r="C162" t="s">
        <v>276</v>
      </c>
      <c r="D162"/>
      <c r="E162" s="2">
        <v>8.67473913168791</v>
      </c>
      <c r="I162" s="2">
        <v>8.08336435165592</v>
      </c>
      <c r="J162" s="2">
        <v>7.89625828842359</v>
      </c>
      <c r="K162"/>
      <c r="L162" s="2">
        <v>7.54541790110384</v>
      </c>
      <c r="M162"/>
      <c r="N162"/>
      <c r="O162"/>
      <c r="P162"/>
      <c r="Q162"/>
      <c r="R162"/>
      <c r="S162"/>
      <c r="T162"/>
      <c r="U162"/>
      <c r="V162" s="2">
        <v>6.17662652933353</v>
      </c>
      <c r="W162">
        <v>5</v>
      </c>
      <c r="AG162" s="104" t="s">
        <v>277</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287</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278</v>
      </c>
      <c r="C163" t="s">
        <v>278</v>
      </c>
      <c r="D163"/>
      <c r="E163" s="2">
        <v>2.08057642901886</v>
      </c>
      <c r="F163" s="2">
        <f>E163</f>
        <v>2.08057642901886</v>
      </c>
      <c r="I163" s="2">
        <f>F163</f>
        <v>2.08057642901886</v>
      </c>
      <c r="J163" s="2">
        <f>I163</f>
        <v>2.08057642901886</v>
      </c>
      <c r="L163" s="2">
        <f>J163</f>
        <v>2.08057642901886</v>
      </c>
      <c r="V163" s="2">
        <f>L163</f>
        <v>2.08057642901886</v>
      </c>
      <c r="W163">
        <v>5</v>
      </c>
      <c r="AG163" s="104" t="s">
        <v>272</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287</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279</v>
      </c>
      <c r="C164" t="s">
        <v>279</v>
      </c>
      <c r="D164"/>
      <c r="E164" s="2">
        <v>4.70380562556693</v>
      </c>
      <c r="F164" s="2">
        <f>E164</f>
        <v>4.70380562556693</v>
      </c>
      <c r="I164" s="2">
        <f>F164</f>
        <v>4.70380562556693</v>
      </c>
      <c r="J164" s="2">
        <f>I164</f>
        <v>4.70380562556693</v>
      </c>
      <c r="L164" s="2">
        <f>J164</f>
        <v>4.70380562556693</v>
      </c>
      <c r="V164" s="2">
        <f>L164</f>
        <v>4.70380562556693</v>
      </c>
      <c r="W164">
        <v>5</v>
      </c>
      <c r="AG164" s="104" t="s">
        <v>272</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287</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280</v>
      </c>
      <c r="C165" t="s">
        <v>280</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04" t="s">
        <v>277</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287</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281</v>
      </c>
      <c r="C166" t="s">
        <v>281</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04" t="s">
        <v>277</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287</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282</v>
      </c>
      <c r="C167" t="s">
        <v>282</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04" t="s">
        <v>277</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287</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283</v>
      </c>
      <c r="C168" t="s">
        <v>283</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04" t="s">
        <v>284</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287</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285</v>
      </c>
      <c r="C169" t="s">
        <v>285</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04" t="s">
        <v>272</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287</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286</v>
      </c>
      <c r="C170" t="s">
        <v>286</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04" t="s">
        <v>272</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287</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271</v>
      </c>
      <c r="C171" t="s">
        <v>271</v>
      </c>
      <c r="D171"/>
      <c r="E171" s="2">
        <v>0.385231112178535</v>
      </c>
      <c r="F171" s="2">
        <f>E171</f>
        <v>0.385231112178535</v>
      </c>
      <c r="I171" s="2">
        <f>F171</f>
        <v>0.385231112178535</v>
      </c>
      <c r="J171" s="2">
        <f>I171</f>
        <v>0.385231112178535</v>
      </c>
      <c r="L171" s="2">
        <f>J171</f>
        <v>0.385231112178535</v>
      </c>
      <c r="V171" s="2">
        <f>L171</f>
        <v>0.385231112178535</v>
      </c>
      <c r="W171">
        <v>5</v>
      </c>
      <c r="AG171" s="104" t="s">
        <v>272</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287</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274</v>
      </c>
      <c r="C172" t="s">
        <v>274</v>
      </c>
      <c r="D172"/>
      <c r="E172" s="2">
        <v>13.2313227078569</v>
      </c>
      <c r="F172" s="2">
        <f>E172</f>
        <v>13.2313227078569</v>
      </c>
      <c r="I172" s="2">
        <f>F172</f>
        <v>13.2313227078569</v>
      </c>
      <c r="J172" s="2">
        <f>I172</f>
        <v>13.2313227078569</v>
      </c>
      <c r="L172" s="2">
        <f>J172</f>
        <v>13.2313227078569</v>
      </c>
      <c r="V172" s="2">
        <f>L172</f>
        <v>13.2313227078569</v>
      </c>
      <c r="W172">
        <v>5</v>
      </c>
      <c r="AG172" s="104" t="s">
        <v>272</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287</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275</v>
      </c>
      <c r="C173" t="s">
        <v>275</v>
      </c>
      <c r="D173"/>
      <c r="E173" s="2">
        <v>0</v>
      </c>
      <c r="I173" s="2">
        <v>0</v>
      </c>
      <c r="J173" s="2">
        <v>0</v>
      </c>
      <c r="K173"/>
      <c r="L173" s="2">
        <v>0</v>
      </c>
      <c r="M173"/>
      <c r="N173"/>
      <c r="O173"/>
      <c r="P173"/>
      <c r="Q173"/>
      <c r="R173"/>
      <c r="S173"/>
      <c r="T173"/>
      <c r="U173"/>
      <c r="V173" s="2">
        <v>0</v>
      </c>
      <c r="W173">
        <v>5</v>
      </c>
      <c r="AG173" s="104" t="s">
        <v>272</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287</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276</v>
      </c>
      <c r="C174" t="s">
        <v>276</v>
      </c>
      <c r="D174"/>
      <c r="E174" s="2">
        <v>0</v>
      </c>
      <c r="I174" s="2">
        <v>0</v>
      </c>
      <c r="J174" s="2">
        <v>0</v>
      </c>
      <c r="K174"/>
      <c r="L174" s="2">
        <v>0</v>
      </c>
      <c r="M174"/>
      <c r="N174"/>
      <c r="O174"/>
      <c r="P174"/>
      <c r="Q174"/>
      <c r="R174"/>
      <c r="S174"/>
      <c r="T174"/>
      <c r="U174"/>
      <c r="V174" s="2">
        <v>0</v>
      </c>
      <c r="W174">
        <v>5</v>
      </c>
      <c r="AG174" s="104" t="s">
        <v>277</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287</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278</v>
      </c>
      <c r="C175" t="s">
        <v>278</v>
      </c>
      <c r="D175"/>
      <c r="E175" s="2">
        <v>0.709145337885679</v>
      </c>
      <c r="F175" s="2">
        <f>E175</f>
        <v>0.709145337885679</v>
      </c>
      <c r="I175" s="2">
        <f>F175</f>
        <v>0.709145337885679</v>
      </c>
      <c r="J175" s="2">
        <f>I175</f>
        <v>0.709145337885679</v>
      </c>
      <c r="L175" s="2">
        <f>J175</f>
        <v>0.709145337885679</v>
      </c>
      <c r="V175" s="2">
        <f>L175</f>
        <v>0.709145337885679</v>
      </c>
      <c r="W175">
        <v>5</v>
      </c>
      <c r="AG175" s="104" t="s">
        <v>272</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287</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279</v>
      </c>
      <c r="C176" t="s">
        <v>279</v>
      </c>
      <c r="D176"/>
      <c r="E176" s="2">
        <v>2.73749995706238</v>
      </c>
      <c r="F176" s="2">
        <f>E176</f>
        <v>2.73749995706238</v>
      </c>
      <c r="I176" s="2">
        <f>F176</f>
        <v>2.73749995706238</v>
      </c>
      <c r="J176" s="2">
        <f>I176</f>
        <v>2.73749995706238</v>
      </c>
      <c r="L176" s="2">
        <f>J176</f>
        <v>2.73749995706238</v>
      </c>
      <c r="V176" s="2">
        <f>L176</f>
        <v>2.73749995706238</v>
      </c>
      <c r="W176">
        <v>5</v>
      </c>
      <c r="AG176" s="104" t="s">
        <v>272</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287</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280</v>
      </c>
      <c r="C177" t="s">
        <v>280</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04" t="s">
        <v>277</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287</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281</v>
      </c>
      <c r="C178" t="s">
        <v>281</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04" t="s">
        <v>277</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287</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282</v>
      </c>
      <c r="C179" t="s">
        <v>282</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04" t="s">
        <v>277</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287</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283</v>
      </c>
      <c r="C180" t="s">
        <v>283</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04" t="s">
        <v>284</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287</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285</v>
      </c>
      <c r="C181" t="s">
        <v>285</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04" t="s">
        <v>272</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287</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286</v>
      </c>
      <c r="C182" t="s">
        <v>286</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04" t="s">
        <v>272</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287</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271</v>
      </c>
      <c r="C183" t="s">
        <v>271</v>
      </c>
      <c r="D183"/>
      <c r="E183" s="2">
        <v>186.015286947819</v>
      </c>
      <c r="F183" s="2">
        <f>E183</f>
        <v>186.015286947819</v>
      </c>
      <c r="I183" s="2">
        <f>F183</f>
        <v>186.015286947819</v>
      </c>
      <c r="J183" s="2">
        <f>I183</f>
        <v>186.015286947819</v>
      </c>
      <c r="L183" s="2">
        <f>J183</f>
        <v>186.015286947819</v>
      </c>
      <c r="V183" s="2">
        <f>L183</f>
        <v>186.015286947819</v>
      </c>
      <c r="W183">
        <v>5</v>
      </c>
      <c r="AG183" s="104" t="s">
        <v>272</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273</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274</v>
      </c>
      <c r="C184" t="s">
        <v>274</v>
      </c>
      <c r="D184"/>
      <c r="E184" s="2">
        <v>184.129899916563</v>
      </c>
      <c r="F184" s="2">
        <f>E184</f>
        <v>184.129899916563</v>
      </c>
      <c r="I184" s="2">
        <f>F184</f>
        <v>184.129899916563</v>
      </c>
      <c r="J184" s="2">
        <f>I184</f>
        <v>184.129899916563</v>
      </c>
      <c r="L184" s="2">
        <f>J184</f>
        <v>184.129899916563</v>
      </c>
      <c r="V184" s="2">
        <f>L184</f>
        <v>184.129899916563</v>
      </c>
      <c r="W184">
        <v>5</v>
      </c>
      <c r="AG184" s="104" t="s">
        <v>272</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273</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275</v>
      </c>
      <c r="C185" t="s">
        <v>275</v>
      </c>
      <c r="D185"/>
      <c r="E185" s="2">
        <v>78.4974489885753</v>
      </c>
      <c r="I185" s="2">
        <v>179.473164032869</v>
      </c>
      <c r="J185" s="2">
        <v>217.58565066713</v>
      </c>
      <c r="K185"/>
      <c r="L185" s="2">
        <v>299.687527515158</v>
      </c>
      <c r="M185"/>
      <c r="N185"/>
      <c r="O185"/>
      <c r="P185"/>
      <c r="Q185"/>
      <c r="R185"/>
      <c r="S185"/>
      <c r="T185"/>
      <c r="U185"/>
      <c r="V185" s="2">
        <v>700.385629999891</v>
      </c>
      <c r="W185">
        <v>5</v>
      </c>
      <c r="AG185" s="104" t="s">
        <v>272</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273</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276</v>
      </c>
      <c r="C186" t="s">
        <v>276</v>
      </c>
      <c r="D186"/>
      <c r="E186" s="2">
        <v>104.060158429408</v>
      </c>
      <c r="I186" s="2">
        <v>115.579723919514</v>
      </c>
      <c r="J186" s="2">
        <v>118.102884953976</v>
      </c>
      <c r="K186"/>
      <c r="L186" s="2">
        <v>120.651844860726</v>
      </c>
      <c r="M186"/>
      <c r="N186"/>
      <c r="O186"/>
      <c r="P186"/>
      <c r="Q186"/>
      <c r="R186"/>
      <c r="S186"/>
      <c r="T186"/>
      <c r="U186"/>
      <c r="V186" s="2">
        <v>106.318426449093</v>
      </c>
      <c r="W186">
        <v>5</v>
      </c>
      <c r="AG186" s="104" t="s">
        <v>277</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273</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278</v>
      </c>
      <c r="C187" t="s">
        <v>278</v>
      </c>
      <c r="D187"/>
      <c r="E187" s="2">
        <v>66.791549374975</v>
      </c>
      <c r="F187" s="2">
        <f>E187</f>
        <v>66.791549374975</v>
      </c>
      <c r="I187" s="2">
        <f>F187</f>
        <v>66.791549374975</v>
      </c>
      <c r="J187" s="2">
        <f>I187</f>
        <v>66.791549374975</v>
      </c>
      <c r="L187" s="2">
        <f>J187</f>
        <v>66.791549374975</v>
      </c>
      <c r="V187" s="2">
        <f>L187</f>
        <v>66.791549374975</v>
      </c>
      <c r="W187">
        <v>5</v>
      </c>
      <c r="AG187" s="104" t="s">
        <v>272</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273</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279</v>
      </c>
      <c r="C188" t="s">
        <v>279</v>
      </c>
      <c r="D188"/>
      <c r="E188" s="2">
        <v>70.7067159866117</v>
      </c>
      <c r="F188" s="2">
        <f>E188</f>
        <v>70.7067159866117</v>
      </c>
      <c r="I188" s="2">
        <f>F188</f>
        <v>70.7067159866117</v>
      </c>
      <c r="J188" s="2">
        <f>I188</f>
        <v>70.7067159866117</v>
      </c>
      <c r="L188" s="2">
        <f>J188</f>
        <v>70.7067159866117</v>
      </c>
      <c r="V188" s="2">
        <f>L188</f>
        <v>70.7067159866117</v>
      </c>
      <c r="W188">
        <v>5</v>
      </c>
      <c r="AG188" s="104" t="s">
        <v>272</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273</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280</v>
      </c>
      <c r="C189" t="s">
        <v>280</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04" t="s">
        <v>277</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273</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281</v>
      </c>
      <c r="C190" t="s">
        <v>281</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04" t="s">
        <v>277</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273</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282</v>
      </c>
      <c r="C191" t="s">
        <v>282</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04" t="s">
        <v>277</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273</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283</v>
      </c>
      <c r="C192" t="s">
        <v>283</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04" t="s">
        <v>284</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273</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285</v>
      </c>
      <c r="C193" t="s">
        <v>285</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04" t="s">
        <v>272</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273</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286</v>
      </c>
      <c r="C194" t="s">
        <v>286</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04" t="s">
        <v>272</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273</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271</v>
      </c>
      <c r="C195" t="s">
        <v>271</v>
      </c>
      <c r="D195"/>
      <c r="E195" s="2">
        <v>0.256072074981676</v>
      </c>
      <c r="F195" s="2">
        <f>E195</f>
        <v>0.256072074981676</v>
      </c>
      <c r="I195" s="2">
        <f>F195</f>
        <v>0.256072074981676</v>
      </c>
      <c r="J195" s="2">
        <f>I195</f>
        <v>0.256072074981676</v>
      </c>
      <c r="L195" s="2">
        <f>J195</f>
        <v>0.256072074981676</v>
      </c>
      <c r="V195" s="2">
        <f>L195</f>
        <v>0.256072074981676</v>
      </c>
      <c r="W195">
        <v>5</v>
      </c>
      <c r="AG195" s="104" t="s">
        <v>272</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287</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274</v>
      </c>
      <c r="C196" t="s">
        <v>274</v>
      </c>
      <c r="D196"/>
      <c r="E196" s="2">
        <v>47.3746158946769</v>
      </c>
      <c r="F196" s="2">
        <f>E196</f>
        <v>47.3746158946769</v>
      </c>
      <c r="I196" s="2">
        <f>F196</f>
        <v>47.3746158946769</v>
      </c>
      <c r="J196" s="2">
        <f>I196</f>
        <v>47.3746158946769</v>
      </c>
      <c r="L196" s="2">
        <f>J196</f>
        <v>47.3746158946769</v>
      </c>
      <c r="V196" s="2">
        <f>L196</f>
        <v>47.3746158946769</v>
      </c>
      <c r="W196">
        <v>5</v>
      </c>
      <c r="AG196" s="104" t="s">
        <v>272</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287</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275</v>
      </c>
      <c r="C197" t="s">
        <v>275</v>
      </c>
      <c r="D197"/>
      <c r="E197" s="2">
        <v>1.54205978731801</v>
      </c>
      <c r="I197" s="2">
        <v>2.2933747443729</v>
      </c>
      <c r="J197" s="2">
        <v>2.50091005576803</v>
      </c>
      <c r="K197"/>
      <c r="L197" s="2">
        <v>3.00411860431572</v>
      </c>
      <c r="M197"/>
      <c r="N197"/>
      <c r="O197"/>
      <c r="P197"/>
      <c r="Q197"/>
      <c r="R197"/>
      <c r="S197"/>
      <c r="T197"/>
      <c r="U197"/>
      <c r="V197" s="2">
        <v>4.38797476185201</v>
      </c>
      <c r="W197">
        <v>5</v>
      </c>
      <c r="AG197" s="104" t="s">
        <v>272</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287</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276</v>
      </c>
      <c r="C198" t="s">
        <v>276</v>
      </c>
      <c r="D198"/>
      <c r="E198" s="2">
        <v>0.352843445576617</v>
      </c>
      <c r="I198" s="2">
        <v>0.380077614067599</v>
      </c>
      <c r="J198" s="2">
        <v>0.388635517829094</v>
      </c>
      <c r="K198"/>
      <c r="L198" s="2">
        <v>0.405863584509525</v>
      </c>
      <c r="M198"/>
      <c r="N198"/>
      <c r="O198"/>
      <c r="P198"/>
      <c r="Q198"/>
      <c r="R198"/>
      <c r="S198"/>
      <c r="T198"/>
      <c r="U198"/>
      <c r="V198" s="2">
        <v>0.439997486713419</v>
      </c>
      <c r="W198">
        <v>5</v>
      </c>
      <c r="AG198" s="104" t="s">
        <v>277</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287</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278</v>
      </c>
      <c r="C199" t="s">
        <v>278</v>
      </c>
      <c r="D199"/>
      <c r="E199" s="2">
        <v>3.84648924933516</v>
      </c>
      <c r="F199" s="2">
        <f>E199</f>
        <v>3.84648924933516</v>
      </c>
      <c r="I199" s="2">
        <f>F199</f>
        <v>3.84648924933516</v>
      </c>
      <c r="J199" s="2">
        <f>I199</f>
        <v>3.84648924933516</v>
      </c>
      <c r="L199" s="2">
        <f>J199</f>
        <v>3.84648924933516</v>
      </c>
      <c r="V199" s="2">
        <f>L199</f>
        <v>3.84648924933516</v>
      </c>
      <c r="W199">
        <v>5</v>
      </c>
      <c r="AG199" s="104" t="s">
        <v>272</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287</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279</v>
      </c>
      <c r="C200" t="s">
        <v>279</v>
      </c>
      <c r="D200"/>
      <c r="E200" s="2">
        <v>6.11048510398272</v>
      </c>
      <c r="F200" s="2">
        <f>E200</f>
        <v>6.11048510398272</v>
      </c>
      <c r="I200" s="2">
        <f>F200</f>
        <v>6.11048510398272</v>
      </c>
      <c r="J200" s="2">
        <f>I200</f>
        <v>6.11048510398272</v>
      </c>
      <c r="L200" s="2">
        <f>J200</f>
        <v>6.11048510398272</v>
      </c>
      <c r="V200" s="2">
        <f>L200</f>
        <v>6.11048510398272</v>
      </c>
      <c r="W200">
        <v>5</v>
      </c>
      <c r="AG200" s="104" t="s">
        <v>272</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287</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280</v>
      </c>
      <c r="C201" t="s">
        <v>280</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04" t="s">
        <v>277</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287</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281</v>
      </c>
      <c r="C202" t="s">
        <v>281</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04" t="s">
        <v>277</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287</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282</v>
      </c>
      <c r="C203" t="s">
        <v>282</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04" t="s">
        <v>277</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287</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283</v>
      </c>
      <c r="C204" t="s">
        <v>283</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04" t="s">
        <v>284</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287</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285</v>
      </c>
      <c r="C205" t="s">
        <v>285</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04" t="s">
        <v>272</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287</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286</v>
      </c>
      <c r="C206" t="s">
        <v>286</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04" t="s">
        <v>272</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287</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271</v>
      </c>
      <c r="C207" t="s">
        <v>271</v>
      </c>
      <c r="D207"/>
      <c r="E207" s="2">
        <v>37.6862690821027</v>
      </c>
      <c r="F207" s="2">
        <f>E207</f>
        <v>37.6862690821027</v>
      </c>
      <c r="I207" s="2">
        <f>F207</f>
        <v>37.6862690821027</v>
      </c>
      <c r="J207" s="2">
        <f>I207</f>
        <v>37.6862690821027</v>
      </c>
      <c r="L207" s="2">
        <f>J207</f>
        <v>37.6862690821027</v>
      </c>
      <c r="V207" s="2">
        <f>L207</f>
        <v>37.6862690821027</v>
      </c>
      <c r="W207">
        <v>5</v>
      </c>
      <c r="AG207" s="104" t="s">
        <v>272</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287</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274</v>
      </c>
      <c r="C208" t="s">
        <v>274</v>
      </c>
      <c r="D208"/>
      <c r="E208" s="2">
        <v>171.695546898346</v>
      </c>
      <c r="F208" s="2">
        <f>E208</f>
        <v>171.695546898346</v>
      </c>
      <c r="I208" s="2">
        <f>F208</f>
        <v>171.695546898346</v>
      </c>
      <c r="J208" s="2">
        <f>I208</f>
        <v>171.695546898346</v>
      </c>
      <c r="L208" s="2">
        <f>J208</f>
        <v>171.695546898346</v>
      </c>
      <c r="V208" s="2">
        <f>L208</f>
        <v>171.695546898346</v>
      </c>
      <c r="W208">
        <v>5</v>
      </c>
      <c r="AG208" s="104" t="s">
        <v>272</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287</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275</v>
      </c>
      <c r="C209" t="s">
        <v>275</v>
      </c>
      <c r="D209"/>
      <c r="E209" s="2">
        <v>1.63567528506496</v>
      </c>
      <c r="I209" s="2">
        <v>2.00210413796029</v>
      </c>
      <c r="J209" s="2">
        <v>2.09278038542612</v>
      </c>
      <c r="K209"/>
      <c r="L209" s="2">
        <v>2.26532114634834</v>
      </c>
      <c r="M209"/>
      <c r="N209"/>
      <c r="O209"/>
      <c r="P209"/>
      <c r="Q209"/>
      <c r="R209"/>
      <c r="S209"/>
      <c r="T209"/>
      <c r="U209"/>
      <c r="V209" s="2">
        <v>2.74074096644458</v>
      </c>
      <c r="W209">
        <v>5</v>
      </c>
      <c r="AG209" s="104" t="s">
        <v>272</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287</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276</v>
      </c>
      <c r="C210" t="s">
        <v>276</v>
      </c>
      <c r="D210"/>
      <c r="E210" s="2">
        <v>20.1251585840136</v>
      </c>
      <c r="I210" s="2">
        <v>19.5799173646443</v>
      </c>
      <c r="J210" s="2">
        <v>19.4340318121154</v>
      </c>
      <c r="K210"/>
      <c r="L210" s="2">
        <v>19.1689954097244</v>
      </c>
      <c r="M210"/>
      <c r="N210"/>
      <c r="O210"/>
      <c r="P210"/>
      <c r="Q210"/>
      <c r="R210"/>
      <c r="S210"/>
      <c r="T210"/>
      <c r="U210"/>
      <c r="V210" s="2">
        <v>17.2937393473289</v>
      </c>
      <c r="W210">
        <v>5</v>
      </c>
      <c r="AG210" s="104" t="s">
        <v>277</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287</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278</v>
      </c>
      <c r="C211" t="s">
        <v>278</v>
      </c>
      <c r="D211"/>
      <c r="E211" s="2">
        <v>25.7362823995911</v>
      </c>
      <c r="F211" s="2">
        <f>E211</f>
        <v>25.7362823995911</v>
      </c>
      <c r="I211" s="2">
        <f>F211</f>
        <v>25.7362823995911</v>
      </c>
      <c r="J211" s="2">
        <f>I211</f>
        <v>25.7362823995911</v>
      </c>
      <c r="L211" s="2">
        <f>J211</f>
        <v>25.7362823995911</v>
      </c>
      <c r="V211" s="2">
        <f>L211</f>
        <v>25.7362823995911</v>
      </c>
      <c r="W211">
        <v>5</v>
      </c>
      <c r="AG211" s="104" t="s">
        <v>272</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287</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279</v>
      </c>
      <c r="C212" t="s">
        <v>279</v>
      </c>
      <c r="D212"/>
      <c r="E212" s="2">
        <v>204.212343478537</v>
      </c>
      <c r="F212" s="2">
        <f>E212</f>
        <v>204.212343478537</v>
      </c>
      <c r="I212" s="2">
        <f>F212</f>
        <v>204.212343478537</v>
      </c>
      <c r="J212" s="2">
        <f>I212</f>
        <v>204.212343478537</v>
      </c>
      <c r="L212" s="2">
        <f>J212</f>
        <v>204.212343478537</v>
      </c>
      <c r="V212" s="2">
        <f>L212</f>
        <v>204.212343478537</v>
      </c>
      <c r="W212">
        <v>5</v>
      </c>
      <c r="AG212" s="104" t="s">
        <v>272</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287</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280</v>
      </c>
      <c r="C213" t="s">
        <v>280</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04" t="s">
        <v>277</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287</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281</v>
      </c>
      <c r="C214" t="s">
        <v>281</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04" t="s">
        <v>277</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287</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282</v>
      </c>
      <c r="C215" t="s">
        <v>282</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04" t="s">
        <v>277</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287</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283</v>
      </c>
      <c r="C216" t="s">
        <v>283</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04" t="s">
        <v>284</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287</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285</v>
      </c>
      <c r="C217" t="s">
        <v>285</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04" t="s">
        <v>272</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287</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286</v>
      </c>
      <c r="C218" t="s">
        <v>286</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04" t="s">
        <v>272</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287</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271</v>
      </c>
      <c r="C219" t="s">
        <v>271</v>
      </c>
      <c r="D219"/>
      <c r="E219" s="2">
        <v>147.201253049397</v>
      </c>
      <c r="F219" s="2">
        <f>E219</f>
        <v>147.201253049397</v>
      </c>
      <c r="I219" s="2">
        <f>F219</f>
        <v>147.201253049397</v>
      </c>
      <c r="J219" s="2">
        <f>I219</f>
        <v>147.201253049397</v>
      </c>
      <c r="L219" s="2">
        <f>J219</f>
        <v>147.201253049397</v>
      </c>
      <c r="V219" s="2">
        <f>L219</f>
        <v>147.201253049397</v>
      </c>
      <c r="W219">
        <v>5</v>
      </c>
      <c r="AG219" s="104" t="s">
        <v>272</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287</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274</v>
      </c>
      <c r="C220" t="s">
        <v>274</v>
      </c>
      <c r="D220"/>
      <c r="E220" s="2">
        <v>304.698744172512</v>
      </c>
      <c r="F220" s="2">
        <f>E220</f>
        <v>304.698744172512</v>
      </c>
      <c r="I220" s="2">
        <f>F220</f>
        <v>304.698744172512</v>
      </c>
      <c r="J220" s="2">
        <f>I220</f>
        <v>304.698744172512</v>
      </c>
      <c r="L220" s="2">
        <f>J220</f>
        <v>304.698744172512</v>
      </c>
      <c r="V220" s="2">
        <f>L220</f>
        <v>304.698744172512</v>
      </c>
      <c r="W220">
        <v>5</v>
      </c>
      <c r="AG220" s="104" t="s">
        <v>272</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287</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275</v>
      </c>
      <c r="C221" t="s">
        <v>275</v>
      </c>
      <c r="D221"/>
      <c r="E221" s="2">
        <v>2.00415370193619</v>
      </c>
      <c r="I221" s="2">
        <v>2.25537567940657</v>
      </c>
      <c r="J221" s="2">
        <v>2.31451247838056</v>
      </c>
      <c r="K221"/>
      <c r="L221" s="2">
        <v>2.43518133307239</v>
      </c>
      <c r="M221"/>
      <c r="N221"/>
      <c r="O221"/>
      <c r="P221"/>
      <c r="Q221"/>
      <c r="R221"/>
      <c r="S221"/>
      <c r="T221"/>
      <c r="U221"/>
      <c r="V221" s="2">
        <v>2.7227704244893</v>
      </c>
      <c r="W221">
        <v>5</v>
      </c>
      <c r="AG221" s="104" t="s">
        <v>272</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287</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276</v>
      </c>
      <c r="C222" t="s">
        <v>276</v>
      </c>
      <c r="D222"/>
      <c r="E222" s="2">
        <v>66.7506994732046</v>
      </c>
      <c r="I222" s="2">
        <v>62.8279897332199</v>
      </c>
      <c r="J222" s="2">
        <v>61.4557974881527</v>
      </c>
      <c r="K222"/>
      <c r="L222" s="2">
        <v>58.7814507762721</v>
      </c>
      <c r="M222"/>
      <c r="N222"/>
      <c r="O222"/>
      <c r="P222"/>
      <c r="Q222"/>
      <c r="R222"/>
      <c r="S222"/>
      <c r="T222"/>
      <c r="U222"/>
      <c r="V222" s="2">
        <v>46.9474788673513</v>
      </c>
      <c r="W222">
        <v>5</v>
      </c>
      <c r="AG222" s="104" t="s">
        <v>277</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287</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278</v>
      </c>
      <c r="C223" t="s">
        <v>278</v>
      </c>
      <c r="D223"/>
      <c r="E223" s="2">
        <v>130.648113917981</v>
      </c>
      <c r="F223" s="2">
        <f>E223</f>
        <v>130.648113917981</v>
      </c>
      <c r="I223" s="2">
        <f>F223</f>
        <v>130.648113917981</v>
      </c>
      <c r="J223" s="2">
        <f>I223</f>
        <v>130.648113917981</v>
      </c>
      <c r="L223" s="2">
        <f>J223</f>
        <v>130.648113917981</v>
      </c>
      <c r="V223" s="2">
        <f>L223</f>
        <v>130.648113917981</v>
      </c>
      <c r="W223">
        <v>5</v>
      </c>
      <c r="AG223" s="104" t="s">
        <v>272</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287</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279</v>
      </c>
      <c r="C224" t="s">
        <v>279</v>
      </c>
      <c r="D224"/>
      <c r="E224" s="2">
        <v>187.66044154924</v>
      </c>
      <c r="F224" s="2">
        <f>E224</f>
        <v>187.66044154924</v>
      </c>
      <c r="I224" s="2">
        <f>F224</f>
        <v>187.66044154924</v>
      </c>
      <c r="J224" s="2">
        <f>I224</f>
        <v>187.66044154924</v>
      </c>
      <c r="L224" s="2">
        <f>J224</f>
        <v>187.66044154924</v>
      </c>
      <c r="V224" s="2">
        <f>L224</f>
        <v>187.66044154924</v>
      </c>
      <c r="W224">
        <v>5</v>
      </c>
      <c r="AG224" s="104" t="s">
        <v>272</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287</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280</v>
      </c>
      <c r="C225" t="s">
        <v>280</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04" t="s">
        <v>277</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287</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281</v>
      </c>
      <c r="C226" t="s">
        <v>281</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04" t="s">
        <v>277</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287</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282</v>
      </c>
      <c r="C227" t="s">
        <v>282</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04" t="s">
        <v>277</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287</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283</v>
      </c>
      <c r="C228" t="s">
        <v>283</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04" t="s">
        <v>284</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287</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285</v>
      </c>
      <c r="C229" t="s">
        <v>285</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04" t="s">
        <v>272</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287</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286</v>
      </c>
      <c r="C230" t="s">
        <v>286</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04" t="s">
        <v>272</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287</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271</v>
      </c>
      <c r="C231" t="s">
        <v>271</v>
      </c>
      <c r="D231"/>
      <c r="E231" s="2">
        <v>90.136915586846</v>
      </c>
      <c r="F231" s="2">
        <f>E231</f>
        <v>90.136915586846</v>
      </c>
      <c r="I231" s="2">
        <f>F231</f>
        <v>90.136915586846</v>
      </c>
      <c r="J231" s="2">
        <f>I231</f>
        <v>90.136915586846</v>
      </c>
      <c r="L231" s="2">
        <f>J231</f>
        <v>90.136915586846</v>
      </c>
      <c r="V231" s="2">
        <f>L231</f>
        <v>90.136915586846</v>
      </c>
      <c r="W231">
        <v>5</v>
      </c>
      <c r="AG231" s="104" t="s">
        <v>272</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273</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274</v>
      </c>
      <c r="C232" t="s">
        <v>274</v>
      </c>
      <c r="D232"/>
      <c r="E232" s="2">
        <v>322.671564831785</v>
      </c>
      <c r="F232" s="2">
        <f>E232</f>
        <v>322.671564831785</v>
      </c>
      <c r="I232" s="2">
        <f>F232</f>
        <v>322.671564831785</v>
      </c>
      <c r="J232" s="2">
        <f>I232</f>
        <v>322.671564831785</v>
      </c>
      <c r="L232" s="2">
        <f>J232</f>
        <v>322.671564831785</v>
      </c>
      <c r="V232" s="2">
        <f>L232</f>
        <v>322.671564831785</v>
      </c>
      <c r="W232">
        <v>5</v>
      </c>
      <c r="AG232" s="104" t="s">
        <v>272</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273</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275</v>
      </c>
      <c r="C233" t="s">
        <v>275</v>
      </c>
      <c r="D233"/>
      <c r="E233" s="2">
        <v>1.84646348307184</v>
      </c>
      <c r="I233" s="2">
        <v>2.9750260287217</v>
      </c>
      <c r="J233" s="2">
        <v>3.41960386866863</v>
      </c>
      <c r="K233"/>
      <c r="L233" s="2">
        <v>4.40674604488185</v>
      </c>
      <c r="M233"/>
      <c r="N233"/>
      <c r="O233"/>
      <c r="P233"/>
      <c r="Q233"/>
      <c r="R233"/>
      <c r="S233"/>
      <c r="T233"/>
      <c r="U233"/>
      <c r="V233" s="2">
        <v>10.1928288864832</v>
      </c>
      <c r="W233">
        <v>5</v>
      </c>
      <c r="AG233" s="104" t="s">
        <v>272</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273</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276</v>
      </c>
      <c r="C234" t="s">
        <v>276</v>
      </c>
      <c r="D234"/>
      <c r="E234" s="2">
        <v>5.37764191828844</v>
      </c>
      <c r="I234" s="2">
        <v>5.9759908455789</v>
      </c>
      <c r="J234" s="2">
        <v>6.11874641816906</v>
      </c>
      <c r="K234"/>
      <c r="L234" s="2">
        <v>6.30184396491898</v>
      </c>
      <c r="M234"/>
      <c r="N234"/>
      <c r="O234"/>
      <c r="P234"/>
      <c r="Q234"/>
      <c r="R234"/>
      <c r="S234"/>
      <c r="T234"/>
      <c r="U234"/>
      <c r="V234" s="2">
        <v>5.931543434921</v>
      </c>
      <c r="W234">
        <v>5</v>
      </c>
      <c r="AG234" s="104" t="s">
        <v>277</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273</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278</v>
      </c>
      <c r="C235" t="s">
        <v>278</v>
      </c>
      <c r="D235"/>
      <c r="E235" s="2">
        <v>51.9865510775928</v>
      </c>
      <c r="F235" s="2">
        <f>E235</f>
        <v>51.9865510775928</v>
      </c>
      <c r="I235" s="2">
        <f>F235</f>
        <v>51.9865510775928</v>
      </c>
      <c r="J235" s="2">
        <f>I235</f>
        <v>51.9865510775928</v>
      </c>
      <c r="L235" s="2">
        <f>J235</f>
        <v>51.9865510775928</v>
      </c>
      <c r="V235" s="2">
        <f>L235</f>
        <v>51.9865510775928</v>
      </c>
      <c r="W235">
        <v>5</v>
      </c>
      <c r="AG235" s="104" t="s">
        <v>272</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273</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279</v>
      </c>
      <c r="C236" t="s">
        <v>279</v>
      </c>
      <c r="D236"/>
      <c r="E236" s="2">
        <v>361.380565652376</v>
      </c>
      <c r="F236" s="2">
        <f>E236</f>
        <v>361.380565652376</v>
      </c>
      <c r="I236" s="2">
        <f>F236</f>
        <v>361.380565652376</v>
      </c>
      <c r="J236" s="2">
        <f>I236</f>
        <v>361.380565652376</v>
      </c>
      <c r="L236" s="2">
        <f>J236</f>
        <v>361.380565652376</v>
      </c>
      <c r="V236" s="2">
        <f>L236</f>
        <v>361.380565652376</v>
      </c>
      <c r="W236">
        <v>5</v>
      </c>
      <c r="AG236" s="104" t="s">
        <v>272</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273</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280</v>
      </c>
      <c r="C237" t="s">
        <v>280</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04" t="s">
        <v>277</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273</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281</v>
      </c>
      <c r="C238" t="s">
        <v>281</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04" t="s">
        <v>277</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273</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282</v>
      </c>
      <c r="C239" t="s">
        <v>282</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04" t="s">
        <v>277</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273</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283</v>
      </c>
      <c r="C240" t="s">
        <v>283</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04" t="s">
        <v>284</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273</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285</v>
      </c>
      <c r="C241" t="s">
        <v>285</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04" t="s">
        <v>272</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273</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286</v>
      </c>
      <c r="C242" t="s">
        <v>286</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04" t="s">
        <v>272</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273</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271</v>
      </c>
      <c r="C243" t="s">
        <v>271</v>
      </c>
      <c r="D243"/>
      <c r="E243" s="2">
        <v>60.7568958307909</v>
      </c>
      <c r="F243" s="2">
        <f>E243</f>
        <v>60.7568958307909</v>
      </c>
      <c r="I243" s="2">
        <f>F243</f>
        <v>60.7568958307909</v>
      </c>
      <c r="J243" s="2">
        <f>I243</f>
        <v>60.7568958307909</v>
      </c>
      <c r="L243" s="2">
        <f>J243</f>
        <v>60.7568958307909</v>
      </c>
      <c r="V243" s="2">
        <f>L243</f>
        <v>60.7568958307909</v>
      </c>
      <c r="W243">
        <v>5</v>
      </c>
      <c r="AG243" s="104" t="s">
        <v>272</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273</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274</v>
      </c>
      <c r="C244" t="s">
        <v>274</v>
      </c>
      <c r="D244"/>
      <c r="E244" s="2">
        <v>769.872325083212</v>
      </c>
      <c r="F244" s="2">
        <f>E244</f>
        <v>769.872325083212</v>
      </c>
      <c r="I244" s="2">
        <f>F244</f>
        <v>769.872325083212</v>
      </c>
      <c r="J244" s="2">
        <f>I244</f>
        <v>769.872325083212</v>
      </c>
      <c r="L244" s="2">
        <f>J244</f>
        <v>769.872325083212</v>
      </c>
      <c r="V244" s="2">
        <f>L244</f>
        <v>769.872325083212</v>
      </c>
      <c r="W244">
        <v>5</v>
      </c>
      <c r="AG244" s="104" t="s">
        <v>272</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273</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275</v>
      </c>
      <c r="C245" t="s">
        <v>275</v>
      </c>
      <c r="D245"/>
      <c r="E245" s="2">
        <v>2.42303774855836</v>
      </c>
      <c r="I245" s="2">
        <v>3.84384051393692</v>
      </c>
      <c r="J245" s="2">
        <v>4.4294966471537</v>
      </c>
      <c r="K245"/>
      <c r="L245" s="2">
        <v>5.66688008820451</v>
      </c>
      <c r="M245"/>
      <c r="N245"/>
      <c r="O245"/>
      <c r="P245"/>
      <c r="Q245"/>
      <c r="R245"/>
      <c r="S245"/>
      <c r="T245"/>
      <c r="U245"/>
      <c r="V245" s="2">
        <v>12.5737312548675</v>
      </c>
      <c r="W245">
        <v>5</v>
      </c>
      <c r="AG245" s="104" t="s">
        <v>272</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273</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276</v>
      </c>
      <c r="C246" t="s">
        <v>276</v>
      </c>
      <c r="D246"/>
      <c r="E246" s="2">
        <v>1.04527510225683</v>
      </c>
      <c r="I246" s="2">
        <v>1.28003974811183</v>
      </c>
      <c r="J246" s="2">
        <v>1.34969977903957</v>
      </c>
      <c r="K246"/>
      <c r="L246" s="2">
        <v>1.46831105505433</v>
      </c>
      <c r="M246"/>
      <c r="N246"/>
      <c r="O246"/>
      <c r="P246"/>
      <c r="Q246"/>
      <c r="R246"/>
      <c r="S246"/>
      <c r="T246"/>
      <c r="U246"/>
      <c r="V246" s="2">
        <v>1.60221331092418</v>
      </c>
      <c r="W246">
        <v>5</v>
      </c>
      <c r="AG246" s="104" t="s">
        <v>277</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273</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278</v>
      </c>
      <c r="C247" t="s">
        <v>278</v>
      </c>
      <c r="D247"/>
      <c r="E247" s="2">
        <v>0</v>
      </c>
      <c r="F247" s="2">
        <f>E247</f>
        <v>0</v>
      </c>
      <c r="I247" s="2">
        <f>F247</f>
        <v>0</v>
      </c>
      <c r="J247" s="2">
        <f>I247</f>
        <v>0</v>
      </c>
      <c r="L247" s="2">
        <f>J247</f>
        <v>0</v>
      </c>
      <c r="V247" s="2">
        <f>L247</f>
        <v>0</v>
      </c>
      <c r="W247">
        <v>5</v>
      </c>
      <c r="AG247" s="104" t="s">
        <v>272</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273</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279</v>
      </c>
      <c r="C248" t="s">
        <v>279</v>
      </c>
      <c r="D248"/>
      <c r="E248" s="2">
        <v>877.340866458265</v>
      </c>
      <c r="F248" s="2">
        <f>E248</f>
        <v>877.340866458265</v>
      </c>
      <c r="I248" s="2">
        <f>F248</f>
        <v>877.340866458265</v>
      </c>
      <c r="J248" s="2">
        <f>I248</f>
        <v>877.340866458265</v>
      </c>
      <c r="L248" s="2">
        <f>J248</f>
        <v>877.340866458265</v>
      </c>
      <c r="V248" s="2">
        <f>L248</f>
        <v>877.340866458265</v>
      </c>
      <c r="W248">
        <v>5</v>
      </c>
      <c r="AG248" s="104" t="s">
        <v>272</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273</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280</v>
      </c>
      <c r="C249" t="s">
        <v>280</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04" t="s">
        <v>277</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273</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281</v>
      </c>
      <c r="C250" t="s">
        <v>281</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04" t="s">
        <v>277</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273</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282</v>
      </c>
      <c r="C251" t="s">
        <v>282</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04" t="s">
        <v>277</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273</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283</v>
      </c>
      <c r="C252" t="s">
        <v>283</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04" t="s">
        <v>284</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273</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285</v>
      </c>
      <c r="C253" t="s">
        <v>285</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04" t="s">
        <v>272</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273</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286</v>
      </c>
      <c r="C254" t="s">
        <v>286</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04" t="s">
        <v>272</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273</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271</v>
      </c>
      <c r="C255" t="s">
        <v>271</v>
      </c>
      <c r="D255"/>
      <c r="E255" s="2">
        <v>2841.17573671432</v>
      </c>
      <c r="F255" s="2">
        <f>E255</f>
        <v>2841.17573671432</v>
      </c>
      <c r="I255" s="2">
        <f>F255</f>
        <v>2841.17573671432</v>
      </c>
      <c r="J255" s="2">
        <f>I255</f>
        <v>2841.17573671432</v>
      </c>
      <c r="L255" s="2">
        <f>J255</f>
        <v>2841.17573671432</v>
      </c>
      <c r="V255" s="2">
        <f>L255</f>
        <v>2841.17573671432</v>
      </c>
      <c r="W255">
        <v>5</v>
      </c>
      <c r="AG255" s="104" t="s">
        <v>272</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287</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274</v>
      </c>
      <c r="C256" t="s">
        <v>274</v>
      </c>
      <c r="D256"/>
      <c r="E256" s="2">
        <v>1296.87718269106</v>
      </c>
      <c r="F256" s="2">
        <f>E256</f>
        <v>1296.87718269106</v>
      </c>
      <c r="I256" s="2">
        <f>F256</f>
        <v>1296.87718269106</v>
      </c>
      <c r="J256" s="2">
        <f>I256</f>
        <v>1296.87718269106</v>
      </c>
      <c r="L256" s="2">
        <f>J256</f>
        <v>1296.87718269106</v>
      </c>
      <c r="V256" s="2">
        <f>L256</f>
        <v>1296.87718269106</v>
      </c>
      <c r="W256">
        <v>5</v>
      </c>
      <c r="AG256" s="104" t="s">
        <v>272</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287</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275</v>
      </c>
      <c r="C257" t="s">
        <v>275</v>
      </c>
      <c r="D257"/>
      <c r="E257" s="2">
        <v>679.575521485568</v>
      </c>
      <c r="I257" s="2">
        <v>871.443239460521</v>
      </c>
      <c r="J257" s="2">
        <v>923.557036642287</v>
      </c>
      <c r="K257"/>
      <c r="L257" s="2">
        <v>1023.3743399238</v>
      </c>
      <c r="M257"/>
      <c r="N257"/>
      <c r="O257"/>
      <c r="P257"/>
      <c r="Q257"/>
      <c r="R257"/>
      <c r="S257"/>
      <c r="T257"/>
      <c r="U257"/>
      <c r="V257" s="2">
        <v>1430.88134514306</v>
      </c>
      <c r="W257">
        <v>5</v>
      </c>
      <c r="AG257" s="104" t="s">
        <v>272</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287</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276</v>
      </c>
      <c r="C258" t="s">
        <v>276</v>
      </c>
      <c r="D258"/>
      <c r="E258" s="2">
        <v>58.4320094976446</v>
      </c>
      <c r="I258" s="2">
        <v>61.9365902820291</v>
      </c>
      <c r="J258" s="2">
        <v>62.9423237956776</v>
      </c>
      <c r="K258"/>
      <c r="L258" s="2">
        <v>64.5538136248101</v>
      </c>
      <c r="M258"/>
      <c r="N258"/>
      <c r="O258"/>
      <c r="P258"/>
      <c r="Q258"/>
      <c r="R258"/>
      <c r="S258"/>
      <c r="T258"/>
      <c r="U258"/>
      <c r="V258" s="2">
        <v>66.6913174585817</v>
      </c>
      <c r="W258">
        <v>5</v>
      </c>
      <c r="AG258" s="104" t="s">
        <v>277</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287</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278</v>
      </c>
      <c r="C259" t="s">
        <v>278</v>
      </c>
      <c r="D259"/>
      <c r="E259" s="2">
        <v>449.84905940102</v>
      </c>
      <c r="F259" s="2">
        <f>E259</f>
        <v>449.84905940102</v>
      </c>
      <c r="I259" s="2">
        <f>F259</f>
        <v>449.84905940102</v>
      </c>
      <c r="J259" s="2">
        <f>I259</f>
        <v>449.84905940102</v>
      </c>
      <c r="L259" s="2">
        <f>J259</f>
        <v>449.84905940102</v>
      </c>
      <c r="V259" s="2">
        <f>L259</f>
        <v>449.84905940102</v>
      </c>
      <c r="W259">
        <v>5</v>
      </c>
      <c r="AG259" s="104" t="s">
        <v>272</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287</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279</v>
      </c>
      <c r="C260" t="s">
        <v>279</v>
      </c>
      <c r="D260"/>
      <c r="E260" s="2">
        <v>1024.60125475921</v>
      </c>
      <c r="F260" s="2">
        <f>E260</f>
        <v>1024.60125475921</v>
      </c>
      <c r="I260" s="2">
        <f>F260</f>
        <v>1024.60125475921</v>
      </c>
      <c r="J260" s="2">
        <f>I260</f>
        <v>1024.60125475921</v>
      </c>
      <c r="L260" s="2">
        <f>J260</f>
        <v>1024.60125475921</v>
      </c>
      <c r="V260" s="2">
        <f>L260</f>
        <v>1024.60125475921</v>
      </c>
      <c r="W260">
        <v>5</v>
      </c>
      <c r="AG260" s="104" t="s">
        <v>272</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287</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280</v>
      </c>
      <c r="C261" t="s">
        <v>280</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04" t="s">
        <v>277</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287</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281</v>
      </c>
      <c r="C262" t="s">
        <v>281</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04" t="s">
        <v>277</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287</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282</v>
      </c>
      <c r="C263" t="s">
        <v>282</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04" t="s">
        <v>277</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287</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283</v>
      </c>
      <c r="C264" t="s">
        <v>283</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04" t="s">
        <v>284</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287</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285</v>
      </c>
      <c r="C265" t="s">
        <v>285</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04" t="s">
        <v>272</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287</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286</v>
      </c>
      <c r="C266" t="s">
        <v>286</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04" t="s">
        <v>272</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287</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271</v>
      </c>
      <c r="C267" t="s">
        <v>271</v>
      </c>
      <c r="D267"/>
      <c r="E267" s="2">
        <v>14.7984681944307</v>
      </c>
      <c r="F267" s="2">
        <f>E267</f>
        <v>14.7984681944307</v>
      </c>
      <c r="I267" s="2">
        <f>F267</f>
        <v>14.7984681944307</v>
      </c>
      <c r="J267" s="2">
        <f>I267</f>
        <v>14.7984681944307</v>
      </c>
      <c r="L267" s="2">
        <f>J267</f>
        <v>14.7984681944307</v>
      </c>
      <c r="V267" s="2">
        <f>L267</f>
        <v>14.7984681944307</v>
      </c>
      <c r="W267">
        <v>5</v>
      </c>
      <c r="AG267" s="104" t="s">
        <v>272</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287</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274</v>
      </c>
      <c r="C268" t="s">
        <v>274</v>
      </c>
      <c r="D268"/>
      <c r="E268" s="2">
        <v>23.0960305800922</v>
      </c>
      <c r="F268" s="2">
        <f>E268</f>
        <v>23.0960305800922</v>
      </c>
      <c r="I268" s="2">
        <f>F268</f>
        <v>23.0960305800922</v>
      </c>
      <c r="J268" s="2">
        <f>I268</f>
        <v>23.0960305800922</v>
      </c>
      <c r="L268" s="2">
        <f>J268</f>
        <v>23.0960305800922</v>
      </c>
      <c r="V268" s="2">
        <f>L268</f>
        <v>23.0960305800922</v>
      </c>
      <c r="W268">
        <v>5</v>
      </c>
      <c r="AG268" s="104" t="s">
        <v>272</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287</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275</v>
      </c>
      <c r="C269" t="s">
        <v>275</v>
      </c>
      <c r="D269"/>
      <c r="E269" s="2">
        <v>0.51595754320536</v>
      </c>
      <c r="I269" s="2">
        <v>0.638928901592722</v>
      </c>
      <c r="J269" s="2">
        <v>0.677045949641929</v>
      </c>
      <c r="K269"/>
      <c r="L269" s="2">
        <v>0.753366829922741</v>
      </c>
      <c r="M269"/>
      <c r="N269"/>
      <c r="O269"/>
      <c r="P269"/>
      <c r="Q269"/>
      <c r="R269"/>
      <c r="S269"/>
      <c r="T269"/>
      <c r="U269"/>
      <c r="V269" s="2">
        <v>1.0359150852844</v>
      </c>
      <c r="W269">
        <v>5</v>
      </c>
      <c r="AG269" s="104" t="s">
        <v>272</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287</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276</v>
      </c>
      <c r="C270" t="s">
        <v>276</v>
      </c>
      <c r="D270"/>
      <c r="E270" s="2">
        <v>2.17914793638656</v>
      </c>
      <c r="I270" s="2">
        <v>2.29597042282211</v>
      </c>
      <c r="J270" s="2">
        <v>2.33082853795445</v>
      </c>
      <c r="K270"/>
      <c r="L270" s="2">
        <v>2.40103698525162</v>
      </c>
      <c r="M270"/>
      <c r="N270"/>
      <c r="O270"/>
      <c r="P270"/>
      <c r="Q270"/>
      <c r="R270"/>
      <c r="S270"/>
      <c r="T270"/>
      <c r="U270"/>
      <c r="V270" s="2">
        <v>2.54308329491963</v>
      </c>
      <c r="W270">
        <v>5</v>
      </c>
      <c r="AG270" s="104" t="s">
        <v>277</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287</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278</v>
      </c>
      <c r="C271" t="s">
        <v>278</v>
      </c>
      <c r="D271"/>
      <c r="E271" s="2">
        <v>42.2817941023615</v>
      </c>
      <c r="F271" s="2">
        <f>E271</f>
        <v>42.2817941023615</v>
      </c>
      <c r="I271" s="2">
        <f>F271</f>
        <v>42.2817941023615</v>
      </c>
      <c r="J271" s="2">
        <f>I271</f>
        <v>42.2817941023615</v>
      </c>
      <c r="L271" s="2">
        <f>J271</f>
        <v>42.2817941023615</v>
      </c>
      <c r="V271" s="2">
        <f>L271</f>
        <v>42.2817941023615</v>
      </c>
      <c r="W271">
        <v>5</v>
      </c>
      <c r="AG271" s="104" t="s">
        <v>272</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287</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279</v>
      </c>
      <c r="C272" t="s">
        <v>279</v>
      </c>
      <c r="D272"/>
      <c r="E272" s="2">
        <v>13.8699028407244</v>
      </c>
      <c r="F272" s="2">
        <f>E272</f>
        <v>13.8699028407244</v>
      </c>
      <c r="I272" s="2">
        <f>F272</f>
        <v>13.8699028407244</v>
      </c>
      <c r="J272" s="2">
        <f>I272</f>
        <v>13.8699028407244</v>
      </c>
      <c r="L272" s="2">
        <f>J272</f>
        <v>13.8699028407244</v>
      </c>
      <c r="V272" s="2">
        <f>L272</f>
        <v>13.8699028407244</v>
      </c>
      <c r="W272">
        <v>5</v>
      </c>
      <c r="AG272" s="104" t="s">
        <v>272</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287</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280</v>
      </c>
      <c r="C273" t="s">
        <v>280</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04" t="s">
        <v>277</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287</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281</v>
      </c>
      <c r="C274" t="s">
        <v>281</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04" t="s">
        <v>277</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287</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282</v>
      </c>
      <c r="C275" t="s">
        <v>282</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04" t="s">
        <v>277</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287</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283</v>
      </c>
      <c r="C276" t="s">
        <v>283</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04" t="s">
        <v>284</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287</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285</v>
      </c>
      <c r="C277" t="s">
        <v>285</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04" t="s">
        <v>272</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287</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286</v>
      </c>
      <c r="C278" t="s">
        <v>286</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04" t="s">
        <v>272</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287</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271</v>
      </c>
      <c r="C279" t="s">
        <v>271</v>
      </c>
      <c r="D279"/>
      <c r="E279" s="2">
        <v>1.45078903816604</v>
      </c>
      <c r="F279" s="2">
        <f>E279</f>
        <v>1.45078903816604</v>
      </c>
      <c r="I279" s="2">
        <f>F279</f>
        <v>1.45078903816604</v>
      </c>
      <c r="J279" s="2">
        <f>I279</f>
        <v>1.45078903816604</v>
      </c>
      <c r="L279" s="2">
        <f>J279</f>
        <v>1.45078903816604</v>
      </c>
      <c r="V279" s="2">
        <f>L279</f>
        <v>1.45078903816604</v>
      </c>
      <c r="W279">
        <v>5</v>
      </c>
      <c r="AG279" s="104" t="s">
        <v>272</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287</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274</v>
      </c>
      <c r="C280" t="s">
        <v>274</v>
      </c>
      <c r="D280"/>
      <c r="E280" s="2">
        <v>46.1548724636098</v>
      </c>
      <c r="F280" s="2">
        <f>E280</f>
        <v>46.1548724636098</v>
      </c>
      <c r="I280" s="2">
        <f>F280</f>
        <v>46.1548724636098</v>
      </c>
      <c r="J280" s="2">
        <f>I280</f>
        <v>46.1548724636098</v>
      </c>
      <c r="L280" s="2">
        <f>J280</f>
        <v>46.1548724636098</v>
      </c>
      <c r="V280" s="2">
        <f>L280</f>
        <v>46.1548724636098</v>
      </c>
      <c r="W280">
        <v>5</v>
      </c>
      <c r="AG280" s="104" t="s">
        <v>272</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287</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275</v>
      </c>
      <c r="C281" t="s">
        <v>275</v>
      </c>
      <c r="D281"/>
      <c r="E281" s="2">
        <v>4.46314013629739</v>
      </c>
      <c r="I281" s="2">
        <v>6.35758734024323</v>
      </c>
      <c r="J281" s="2">
        <v>6.76445580300758</v>
      </c>
      <c r="K281"/>
      <c r="L281" s="2">
        <v>7.22461343573354</v>
      </c>
      <c r="M281"/>
      <c r="N281"/>
      <c r="O281"/>
      <c r="P281"/>
      <c r="Q281"/>
      <c r="R281"/>
      <c r="S281"/>
      <c r="T281"/>
      <c r="U281"/>
      <c r="V281" s="2">
        <v>7.83606786808991</v>
      </c>
      <c r="W281">
        <v>5</v>
      </c>
      <c r="AG281" s="104" t="s">
        <v>272</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287</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276</v>
      </c>
      <c r="C282" t="s">
        <v>276</v>
      </c>
      <c r="D282"/>
      <c r="E282" s="2">
        <v>10.5765290940029</v>
      </c>
      <c r="I282" s="2">
        <v>10.347440240102</v>
      </c>
      <c r="J282" s="2">
        <v>10.1800295633949</v>
      </c>
      <c r="K282"/>
      <c r="L282" s="2">
        <v>9.87991671494312</v>
      </c>
      <c r="M282"/>
      <c r="N282"/>
      <c r="O282"/>
      <c r="P282"/>
      <c r="Q282"/>
      <c r="R282"/>
      <c r="S282"/>
      <c r="T282"/>
      <c r="U282"/>
      <c r="V282" s="2">
        <v>8.4582264030971</v>
      </c>
      <c r="W282">
        <v>5</v>
      </c>
      <c r="AG282" s="104" t="s">
        <v>277</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287</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278</v>
      </c>
      <c r="C283" t="s">
        <v>278</v>
      </c>
      <c r="D283"/>
      <c r="E283" s="2">
        <v>0.0798619145042989</v>
      </c>
      <c r="F283" s="2">
        <f>E283</f>
        <v>0.0798619145042989</v>
      </c>
      <c r="I283" s="2">
        <f>F283</f>
        <v>0.0798619145042989</v>
      </c>
      <c r="J283" s="2">
        <f>I283</f>
        <v>0.0798619145042989</v>
      </c>
      <c r="L283" s="2">
        <f>J283</f>
        <v>0.0798619145042989</v>
      </c>
      <c r="V283" s="2">
        <f>L283</f>
        <v>0.0798619145042989</v>
      </c>
      <c r="W283">
        <v>5</v>
      </c>
      <c r="AG283" s="104" t="s">
        <v>272</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287</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279</v>
      </c>
      <c r="C284" t="s">
        <v>279</v>
      </c>
      <c r="D284"/>
      <c r="E284" s="2">
        <v>11.6805555781569</v>
      </c>
      <c r="F284" s="2">
        <f>E284</f>
        <v>11.6805555781569</v>
      </c>
      <c r="I284" s="2">
        <f>F284</f>
        <v>11.6805555781569</v>
      </c>
      <c r="J284" s="2">
        <f>I284</f>
        <v>11.6805555781569</v>
      </c>
      <c r="L284" s="2">
        <f>J284</f>
        <v>11.6805555781569</v>
      </c>
      <c r="V284" s="2">
        <f>L284</f>
        <v>11.6805555781569</v>
      </c>
      <c r="W284">
        <v>5</v>
      </c>
      <c r="AG284" s="104" t="s">
        <v>272</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287</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280</v>
      </c>
      <c r="C285" t="s">
        <v>280</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04" t="s">
        <v>277</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287</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281</v>
      </c>
      <c r="C286" t="s">
        <v>281</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04" t="s">
        <v>277</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287</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282</v>
      </c>
      <c r="C287" t="s">
        <v>282</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04" t="s">
        <v>277</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287</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283</v>
      </c>
      <c r="C288" t="s">
        <v>283</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04" t="s">
        <v>284</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287</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285</v>
      </c>
      <c r="C289" t="s">
        <v>285</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04" t="s">
        <v>272</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287</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286</v>
      </c>
      <c r="C290" t="s">
        <v>286</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04" t="s">
        <v>272</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287</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271</v>
      </c>
      <c r="C291" t="s">
        <v>271</v>
      </c>
      <c r="D291"/>
      <c r="E291" s="2">
        <v>375.856107261349</v>
      </c>
      <c r="F291" s="2">
        <f>E291</f>
        <v>375.856107261349</v>
      </c>
      <c r="I291" s="2">
        <f>F291</f>
        <v>375.856107261349</v>
      </c>
      <c r="J291" s="2">
        <f>I291</f>
        <v>375.856107261349</v>
      </c>
      <c r="L291" s="2">
        <f>J291</f>
        <v>375.856107261349</v>
      </c>
      <c r="V291" s="2">
        <f>L291</f>
        <v>375.856107261349</v>
      </c>
      <c r="W291">
        <v>5</v>
      </c>
      <c r="AG291" s="104" t="s">
        <v>272</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273</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274</v>
      </c>
      <c r="C292" t="s">
        <v>274</v>
      </c>
      <c r="D292"/>
      <c r="E292" s="2">
        <v>1793.42387251125</v>
      </c>
      <c r="F292" s="2">
        <f>E292</f>
        <v>1793.42387251125</v>
      </c>
      <c r="I292" s="2">
        <f>F292</f>
        <v>1793.42387251125</v>
      </c>
      <c r="J292" s="2">
        <f>I292</f>
        <v>1793.42387251125</v>
      </c>
      <c r="L292" s="2">
        <f>J292</f>
        <v>1793.42387251125</v>
      </c>
      <c r="V292" s="2">
        <f>L292</f>
        <v>1793.42387251125</v>
      </c>
      <c r="W292">
        <v>5</v>
      </c>
      <c r="AG292" s="104" t="s">
        <v>272</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273</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275</v>
      </c>
      <c r="C293" t="s">
        <v>275</v>
      </c>
      <c r="D293"/>
      <c r="E293" s="2">
        <v>68.1480988096855</v>
      </c>
      <c r="I293" s="2">
        <v>120.210053388916</v>
      </c>
      <c r="J293" s="2">
        <v>138.717891505017</v>
      </c>
      <c r="K293"/>
      <c r="L293" s="2">
        <v>176.096796523436</v>
      </c>
      <c r="M293"/>
      <c r="N293"/>
      <c r="O293"/>
      <c r="P293"/>
      <c r="Q293"/>
      <c r="R293"/>
      <c r="S293"/>
      <c r="T293"/>
      <c r="U293"/>
      <c r="V293" s="2">
        <v>396.400729239108</v>
      </c>
      <c r="W293">
        <v>5</v>
      </c>
      <c r="AG293" s="104" t="s">
        <v>272</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273</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276</v>
      </c>
      <c r="C294" t="s">
        <v>276</v>
      </c>
      <c r="D294"/>
      <c r="E294" s="2">
        <v>65.0197081639144</v>
      </c>
      <c r="I294" s="2">
        <v>74.8789879038112</v>
      </c>
      <c r="J294" s="2">
        <v>77.4311006071278</v>
      </c>
      <c r="K294"/>
      <c r="L294" s="2">
        <v>81.3506404193642</v>
      </c>
      <c r="M294"/>
      <c r="N294"/>
      <c r="O294"/>
      <c r="P294"/>
      <c r="Q294"/>
      <c r="R294"/>
      <c r="S294"/>
      <c r="T294"/>
      <c r="U294"/>
      <c r="V294" s="2">
        <v>82.103251456904</v>
      </c>
      <c r="W294">
        <v>5</v>
      </c>
      <c r="AG294" s="104" t="s">
        <v>277</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273</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278</v>
      </c>
      <c r="C295" t="s">
        <v>278</v>
      </c>
      <c r="D295"/>
      <c r="E295" s="2">
        <v>289.95526653166</v>
      </c>
      <c r="F295" s="2">
        <f>E295</f>
        <v>289.95526653166</v>
      </c>
      <c r="I295" s="2">
        <f>F295</f>
        <v>289.95526653166</v>
      </c>
      <c r="J295" s="2">
        <f>I295</f>
        <v>289.95526653166</v>
      </c>
      <c r="L295" s="2">
        <f>J295</f>
        <v>289.95526653166</v>
      </c>
      <c r="V295" s="2">
        <f>L295</f>
        <v>289.95526653166</v>
      </c>
      <c r="W295">
        <v>5</v>
      </c>
      <c r="AG295" s="104" t="s">
        <v>272</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273</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279</v>
      </c>
      <c r="C296" t="s">
        <v>279</v>
      </c>
      <c r="D296"/>
      <c r="E296" s="2">
        <v>2967.54737989209</v>
      </c>
      <c r="F296" s="2">
        <f>E296</f>
        <v>2967.54737989209</v>
      </c>
      <c r="I296" s="2">
        <f>F296</f>
        <v>2967.54737989209</v>
      </c>
      <c r="J296" s="2">
        <f>I296</f>
        <v>2967.54737989209</v>
      </c>
      <c r="L296" s="2">
        <f>J296</f>
        <v>2967.54737989209</v>
      </c>
      <c r="V296" s="2">
        <f>L296</f>
        <v>2967.54737989209</v>
      </c>
      <c r="W296">
        <v>5</v>
      </c>
      <c r="AG296" s="104" t="s">
        <v>272</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273</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280</v>
      </c>
      <c r="C297" t="s">
        <v>280</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04" t="s">
        <v>277</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273</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281</v>
      </c>
      <c r="C298" t="s">
        <v>281</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04" t="s">
        <v>277</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273</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282</v>
      </c>
      <c r="C299" t="s">
        <v>282</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04" t="s">
        <v>277</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273</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283</v>
      </c>
      <c r="C300" t="s">
        <v>283</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04" t="s">
        <v>284</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273</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285</v>
      </c>
      <c r="C301" t="s">
        <v>285</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04" t="s">
        <v>272</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273</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286</v>
      </c>
      <c r="C302" t="s">
        <v>286</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04" t="s">
        <v>272</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273</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271</v>
      </c>
      <c r="C303" t="s">
        <v>271</v>
      </c>
      <c r="D303"/>
      <c r="E303" s="2">
        <v>247.424732991695</v>
      </c>
      <c r="F303" s="2">
        <f>E303</f>
        <v>247.424732991695</v>
      </c>
      <c r="I303" s="2">
        <f>F303</f>
        <v>247.424732991695</v>
      </c>
      <c r="J303" s="2">
        <f>I303</f>
        <v>247.424732991695</v>
      </c>
      <c r="L303" s="2">
        <f>J303</f>
        <v>247.424732991695</v>
      </c>
      <c r="V303" s="2">
        <f>L303</f>
        <v>247.424732991695</v>
      </c>
      <c r="W303">
        <v>5</v>
      </c>
      <c r="AG303" s="104" t="s">
        <v>272</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287</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274</v>
      </c>
      <c r="C304" t="s">
        <v>274</v>
      </c>
      <c r="D304"/>
      <c r="E304" s="2">
        <v>254.796113659036</v>
      </c>
      <c r="F304" s="2">
        <f>E304</f>
        <v>254.796113659036</v>
      </c>
      <c r="I304" s="2">
        <f>F304</f>
        <v>254.796113659036</v>
      </c>
      <c r="J304" s="2">
        <f>I304</f>
        <v>254.796113659036</v>
      </c>
      <c r="L304" s="2">
        <f>J304</f>
        <v>254.796113659036</v>
      </c>
      <c r="V304" s="2">
        <f>L304</f>
        <v>254.796113659036</v>
      </c>
      <c r="W304">
        <v>5</v>
      </c>
      <c r="AG304" s="104" t="s">
        <v>272</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287</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275</v>
      </c>
      <c r="C305" t="s">
        <v>275</v>
      </c>
      <c r="D305"/>
      <c r="E305" s="2">
        <v>195.540546638997</v>
      </c>
      <c r="I305" s="2">
        <v>233.403341867434</v>
      </c>
      <c r="J305" s="2">
        <v>249.181754381167</v>
      </c>
      <c r="K305"/>
      <c r="L305" s="2">
        <v>279.646185639978</v>
      </c>
      <c r="M305"/>
      <c r="N305"/>
      <c r="O305"/>
      <c r="P305"/>
      <c r="Q305"/>
      <c r="R305"/>
      <c r="S305"/>
      <c r="T305"/>
      <c r="U305"/>
      <c r="V305" s="2">
        <v>454.057544816134</v>
      </c>
      <c r="W305">
        <v>5</v>
      </c>
      <c r="AG305" s="104" t="s">
        <v>272</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287</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276</v>
      </c>
      <c r="C306" t="s">
        <v>276</v>
      </c>
      <c r="D306"/>
      <c r="E306" s="2">
        <v>172.001941684198</v>
      </c>
      <c r="I306" s="2">
        <v>167.898987057315</v>
      </c>
      <c r="J306" s="2">
        <v>166.624883992822</v>
      </c>
      <c r="K306"/>
      <c r="L306" s="2">
        <v>165.248837367325</v>
      </c>
      <c r="M306"/>
      <c r="N306"/>
      <c r="O306"/>
      <c r="P306"/>
      <c r="Q306"/>
      <c r="R306"/>
      <c r="S306"/>
      <c r="T306"/>
      <c r="U306"/>
      <c r="V306" s="2">
        <v>154.25511252623</v>
      </c>
      <c r="W306">
        <v>5</v>
      </c>
      <c r="AG306" s="104" t="s">
        <v>277</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287</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278</v>
      </c>
      <c r="C307" t="s">
        <v>278</v>
      </c>
      <c r="D307"/>
      <c r="E307" s="2">
        <v>25.7643640096326</v>
      </c>
      <c r="F307" s="2">
        <f>E307</f>
        <v>25.7643640096326</v>
      </c>
      <c r="I307" s="2">
        <f>F307</f>
        <v>25.7643640096326</v>
      </c>
      <c r="J307" s="2">
        <f>I307</f>
        <v>25.7643640096326</v>
      </c>
      <c r="L307" s="2">
        <f>J307</f>
        <v>25.7643640096326</v>
      </c>
      <c r="V307" s="2">
        <f>L307</f>
        <v>25.7643640096326</v>
      </c>
      <c r="W307">
        <v>5</v>
      </c>
      <c r="AG307" s="104" t="s">
        <v>272</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287</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279</v>
      </c>
      <c r="C308" t="s">
        <v>279</v>
      </c>
      <c r="D308"/>
      <c r="E308" s="2">
        <v>455.503588512067</v>
      </c>
      <c r="F308" s="2">
        <f>E308</f>
        <v>455.503588512067</v>
      </c>
      <c r="I308" s="2">
        <f>F308</f>
        <v>455.503588512067</v>
      </c>
      <c r="J308" s="2">
        <f>I308</f>
        <v>455.503588512067</v>
      </c>
      <c r="L308" s="2">
        <f>J308</f>
        <v>455.503588512067</v>
      </c>
      <c r="V308" s="2">
        <f>L308</f>
        <v>455.503588512067</v>
      </c>
      <c r="W308">
        <v>5</v>
      </c>
      <c r="AG308" s="104" t="s">
        <v>272</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287</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280</v>
      </c>
      <c r="C309" t="s">
        <v>280</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04" t="s">
        <v>277</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287</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281</v>
      </c>
      <c r="C310" t="s">
        <v>281</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04" t="s">
        <v>277</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287</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282</v>
      </c>
      <c r="C311" t="s">
        <v>282</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04" t="s">
        <v>277</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287</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283</v>
      </c>
      <c r="C312" t="s">
        <v>283</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04" t="s">
        <v>284</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287</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285</v>
      </c>
      <c r="C313" t="s">
        <v>285</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04" t="s">
        <v>272</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287</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286</v>
      </c>
      <c r="C314" t="s">
        <v>286</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04" t="s">
        <v>272</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287</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271</v>
      </c>
      <c r="C315" t="s">
        <v>271</v>
      </c>
      <c r="D315"/>
      <c r="E315" s="2">
        <v>40.9363086427679</v>
      </c>
      <c r="F315" s="2">
        <f>E315</f>
        <v>40.9363086427679</v>
      </c>
      <c r="I315" s="2">
        <f>F315</f>
        <v>40.9363086427679</v>
      </c>
      <c r="J315" s="2">
        <f>I315</f>
        <v>40.9363086427679</v>
      </c>
      <c r="L315" s="2">
        <f>J315</f>
        <v>40.9363086427679</v>
      </c>
      <c r="V315" s="2">
        <f>L315</f>
        <v>40.9363086427679</v>
      </c>
      <c r="W315">
        <v>5</v>
      </c>
      <c r="AG315" s="104" t="s">
        <v>272</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287</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274</v>
      </c>
      <c r="C316" t="s">
        <v>274</v>
      </c>
      <c r="D316"/>
      <c r="E316" s="2">
        <v>153.428915688234</v>
      </c>
      <c r="F316" s="2">
        <f>E316</f>
        <v>153.428915688234</v>
      </c>
      <c r="I316" s="2">
        <f>F316</f>
        <v>153.428915688234</v>
      </c>
      <c r="J316" s="2">
        <f>I316</f>
        <v>153.428915688234</v>
      </c>
      <c r="L316" s="2">
        <f>J316</f>
        <v>153.428915688234</v>
      </c>
      <c r="V316" s="2">
        <f>L316</f>
        <v>153.428915688234</v>
      </c>
      <c r="W316">
        <v>5</v>
      </c>
      <c r="AG316" s="104" t="s">
        <v>272</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287</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275</v>
      </c>
      <c r="C317" t="s">
        <v>275</v>
      </c>
      <c r="D317"/>
      <c r="E317" s="2">
        <v>0</v>
      </c>
      <c r="I317" s="2">
        <v>0</v>
      </c>
      <c r="J317" s="2">
        <v>0</v>
      </c>
      <c r="K317"/>
      <c r="L317" s="2">
        <v>0</v>
      </c>
      <c r="M317"/>
      <c r="N317"/>
      <c r="O317"/>
      <c r="P317"/>
      <c r="Q317"/>
      <c r="R317"/>
      <c r="S317"/>
      <c r="T317"/>
      <c r="U317"/>
      <c r="V317" s="2">
        <v>0</v>
      </c>
      <c r="W317">
        <v>5</v>
      </c>
      <c r="AG317" s="104" t="s">
        <v>272</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287</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276</v>
      </c>
      <c r="C318" t="s">
        <v>276</v>
      </c>
      <c r="D318"/>
      <c r="E318" s="2">
        <v>0</v>
      </c>
      <c r="I318" s="2">
        <v>0</v>
      </c>
      <c r="J318" s="2">
        <v>0</v>
      </c>
      <c r="K318"/>
      <c r="L318" s="2">
        <v>0</v>
      </c>
      <c r="M318"/>
      <c r="N318"/>
      <c r="O318"/>
      <c r="P318"/>
      <c r="Q318"/>
      <c r="R318"/>
      <c r="S318"/>
      <c r="T318"/>
      <c r="U318"/>
      <c r="V318" s="2">
        <v>0</v>
      </c>
      <c r="W318">
        <v>5</v>
      </c>
      <c r="AG318" s="104" t="s">
        <v>277</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287</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278</v>
      </c>
      <c r="C319" t="s">
        <v>278</v>
      </c>
      <c r="D319"/>
      <c r="E319" s="2">
        <v>0</v>
      </c>
      <c r="F319" s="2">
        <f>E319</f>
        <v>0</v>
      </c>
      <c r="I319" s="2">
        <f>F319</f>
        <v>0</v>
      </c>
      <c r="J319" s="2">
        <f>I319</f>
        <v>0</v>
      </c>
      <c r="L319" s="2">
        <f>J319</f>
        <v>0</v>
      </c>
      <c r="V319" s="2">
        <f>L319</f>
        <v>0</v>
      </c>
      <c r="W319">
        <v>5</v>
      </c>
      <c r="AG319" s="104" t="s">
        <v>272</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287</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279</v>
      </c>
      <c r="C320" t="s">
        <v>279</v>
      </c>
      <c r="D320"/>
      <c r="E320" s="2">
        <v>135.303709517611</v>
      </c>
      <c r="F320" s="2">
        <f>E320</f>
        <v>135.303709517611</v>
      </c>
      <c r="I320" s="2">
        <f>F320</f>
        <v>135.303709517611</v>
      </c>
      <c r="J320" s="2">
        <f>I320</f>
        <v>135.303709517611</v>
      </c>
      <c r="L320" s="2">
        <f>J320</f>
        <v>135.303709517611</v>
      </c>
      <c r="V320" s="2">
        <f>L320</f>
        <v>135.303709517611</v>
      </c>
      <c r="W320">
        <v>5</v>
      </c>
      <c r="AG320" s="104" t="s">
        <v>272</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287</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280</v>
      </c>
      <c r="C321" t="s">
        <v>280</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04" t="s">
        <v>277</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287</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281</v>
      </c>
      <c r="C322" t="s">
        <v>281</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04" t="s">
        <v>277</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287</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282</v>
      </c>
      <c r="C323" t="s">
        <v>282</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04" t="s">
        <v>277</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287</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283</v>
      </c>
      <c r="C324" t="s">
        <v>283</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04" t="s">
        <v>284</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287</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285</v>
      </c>
      <c r="C325" t="s">
        <v>285</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04" t="s">
        <v>272</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287</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286</v>
      </c>
      <c r="C326" t="s">
        <v>286</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04" t="s">
        <v>272</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287</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271</v>
      </c>
      <c r="C327" t="s">
        <v>271</v>
      </c>
      <c r="D327"/>
      <c r="E327" s="2">
        <v>52.4749917783354</v>
      </c>
      <c r="F327" s="2">
        <f>E327</f>
        <v>52.4749917783354</v>
      </c>
      <c r="I327" s="2">
        <f>F327</f>
        <v>52.4749917783354</v>
      </c>
      <c r="J327" s="2">
        <f>I327</f>
        <v>52.4749917783354</v>
      </c>
      <c r="L327" s="2">
        <f>J327</f>
        <v>52.4749917783354</v>
      </c>
      <c r="V327" s="2">
        <f>L327</f>
        <v>52.4749917783354</v>
      </c>
      <c r="W327">
        <v>5</v>
      </c>
      <c r="AG327" s="104" t="s">
        <v>272</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273</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274</v>
      </c>
      <c r="C328" t="s">
        <v>274</v>
      </c>
      <c r="D328"/>
      <c r="E328" s="2">
        <v>45.8382269487756</v>
      </c>
      <c r="F328" s="2">
        <f>E328</f>
        <v>45.8382269487756</v>
      </c>
      <c r="I328" s="2">
        <f>F328</f>
        <v>45.8382269487756</v>
      </c>
      <c r="J328" s="2">
        <f>I328</f>
        <v>45.8382269487756</v>
      </c>
      <c r="L328" s="2">
        <f>J328</f>
        <v>45.8382269487756</v>
      </c>
      <c r="V328" s="2">
        <f>L328</f>
        <v>45.8382269487756</v>
      </c>
      <c r="W328">
        <v>5</v>
      </c>
      <c r="AG328" s="104" t="s">
        <v>272</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273</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275</v>
      </c>
      <c r="C329" t="s">
        <v>275</v>
      </c>
      <c r="D329"/>
      <c r="E329" s="2">
        <v>9.12676390579556</v>
      </c>
      <c r="I329" s="2">
        <v>12.3280833254511</v>
      </c>
      <c r="J329" s="2">
        <v>14.3309310966871</v>
      </c>
      <c r="K329"/>
      <c r="L329" s="2">
        <v>19.4316201953666</v>
      </c>
      <c r="M329"/>
      <c r="N329"/>
      <c r="O329"/>
      <c r="P329"/>
      <c r="Q329"/>
      <c r="R329"/>
      <c r="S329"/>
      <c r="T329"/>
      <c r="U329"/>
      <c r="V329" s="2">
        <v>53.2382589133765</v>
      </c>
      <c r="W329">
        <v>5</v>
      </c>
      <c r="AG329" s="104" t="s">
        <v>272</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273</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276</v>
      </c>
      <c r="C330" t="s">
        <v>276</v>
      </c>
      <c r="D330"/>
      <c r="E330" s="2">
        <v>9.74070027471122</v>
      </c>
      <c r="I330" s="2">
        <v>10.8414100633482</v>
      </c>
      <c r="J330" s="2">
        <v>11.0821321791008</v>
      </c>
      <c r="K330"/>
      <c r="L330" s="2">
        <v>11.335909074956</v>
      </c>
      <c r="M330"/>
      <c r="N330"/>
      <c r="O330"/>
      <c r="P330"/>
      <c r="Q330"/>
      <c r="R330"/>
      <c r="S330"/>
      <c r="T330"/>
      <c r="U330"/>
      <c r="V330" s="2">
        <v>9.99259949010795</v>
      </c>
      <c r="W330">
        <v>5</v>
      </c>
      <c r="AG330" s="104" t="s">
        <v>277</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273</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278</v>
      </c>
      <c r="C331" t="s">
        <v>278</v>
      </c>
      <c r="D331"/>
      <c r="E331" s="2">
        <v>10.9989574210474</v>
      </c>
      <c r="F331" s="2">
        <f>E331</f>
        <v>10.9989574210474</v>
      </c>
      <c r="I331" s="2">
        <f>F331</f>
        <v>10.9989574210474</v>
      </c>
      <c r="J331" s="2">
        <f>I331</f>
        <v>10.9989574210474</v>
      </c>
      <c r="L331" s="2">
        <f>J331</f>
        <v>10.9989574210474</v>
      </c>
      <c r="V331" s="2">
        <f>L331</f>
        <v>10.9989574210474</v>
      </c>
      <c r="W331">
        <v>5</v>
      </c>
      <c r="AG331" s="104" t="s">
        <v>272</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273</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279</v>
      </c>
      <c r="C332" t="s">
        <v>279</v>
      </c>
      <c r="D332"/>
      <c r="E332" s="2">
        <v>125.722145353272</v>
      </c>
      <c r="F332" s="2">
        <f>E332</f>
        <v>125.722145353272</v>
      </c>
      <c r="I332" s="2">
        <f>F332</f>
        <v>125.722145353272</v>
      </c>
      <c r="J332" s="2">
        <f>I332</f>
        <v>125.722145353272</v>
      </c>
      <c r="L332" s="2">
        <f>J332</f>
        <v>125.722145353272</v>
      </c>
      <c r="V332" s="2">
        <f>L332</f>
        <v>125.722145353272</v>
      </c>
      <c r="W332">
        <v>5</v>
      </c>
      <c r="AG332" s="104" t="s">
        <v>272</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273</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280</v>
      </c>
      <c r="C333" t="s">
        <v>280</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04" t="s">
        <v>277</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273</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281</v>
      </c>
      <c r="C334" t="s">
        <v>281</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04" t="s">
        <v>277</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273</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282</v>
      </c>
      <c r="C335" t="s">
        <v>282</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04" t="s">
        <v>277</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273</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283</v>
      </c>
      <c r="C336" t="s">
        <v>283</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04" t="s">
        <v>284</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273</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285</v>
      </c>
      <c r="C337" t="s">
        <v>285</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04" t="s">
        <v>272</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273</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286</v>
      </c>
      <c r="C338" t="s">
        <v>286</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04" t="s">
        <v>272</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273</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271</v>
      </c>
      <c r="C339" t="s">
        <v>271</v>
      </c>
      <c r="D339"/>
      <c r="E339" s="2">
        <v>103.891851463989</v>
      </c>
      <c r="F339" s="2">
        <f>E339</f>
        <v>103.891851463989</v>
      </c>
      <c r="I339" s="2">
        <f>F339</f>
        <v>103.891851463989</v>
      </c>
      <c r="J339" s="2">
        <f>I339</f>
        <v>103.891851463989</v>
      </c>
      <c r="L339" s="2">
        <f>J339</f>
        <v>103.891851463989</v>
      </c>
      <c r="V339" s="2">
        <f>L339</f>
        <v>103.891851463989</v>
      </c>
      <c r="W339">
        <v>5</v>
      </c>
      <c r="AG339" s="104" t="s">
        <v>272</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287</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274</v>
      </c>
      <c r="C340" t="s">
        <v>274</v>
      </c>
      <c r="D340"/>
      <c r="E340" s="2">
        <v>260.258225243851</v>
      </c>
      <c r="F340" s="2">
        <f>E340</f>
        <v>260.258225243851</v>
      </c>
      <c r="I340" s="2">
        <f>F340</f>
        <v>260.258225243851</v>
      </c>
      <c r="J340" s="2">
        <f>I340</f>
        <v>260.258225243851</v>
      </c>
      <c r="L340" s="2">
        <f>J340</f>
        <v>260.258225243851</v>
      </c>
      <c r="V340" s="2">
        <f>L340</f>
        <v>260.258225243851</v>
      </c>
      <c r="W340">
        <v>5</v>
      </c>
      <c r="AG340" s="104" t="s">
        <v>272</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287</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275</v>
      </c>
      <c r="C341" t="s">
        <v>275</v>
      </c>
      <c r="D341"/>
      <c r="E341" s="2">
        <v>3.47343215679999</v>
      </c>
      <c r="I341" s="2">
        <v>4.5230426202522</v>
      </c>
      <c r="J341" s="2">
        <v>4.8408389135394</v>
      </c>
      <c r="K341"/>
      <c r="L341" s="2">
        <v>5.47408246075369</v>
      </c>
      <c r="M341"/>
      <c r="N341"/>
      <c r="O341"/>
      <c r="P341"/>
      <c r="Q341"/>
      <c r="R341"/>
      <c r="S341"/>
      <c r="T341"/>
      <c r="U341"/>
      <c r="V341" s="2">
        <v>7.4792063275324</v>
      </c>
      <c r="W341">
        <v>5</v>
      </c>
      <c r="AG341" s="104" t="s">
        <v>272</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287</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276</v>
      </c>
      <c r="C342" t="s">
        <v>276</v>
      </c>
      <c r="D342"/>
      <c r="E342" s="2">
        <v>14.626041583712</v>
      </c>
      <c r="I342" s="2">
        <v>14.7086189446099</v>
      </c>
      <c r="J342" s="2">
        <v>14.7592524756673</v>
      </c>
      <c r="K342"/>
      <c r="L342" s="2">
        <v>14.8957022241977</v>
      </c>
      <c r="M342"/>
      <c r="N342"/>
      <c r="O342"/>
      <c r="P342"/>
      <c r="Q342"/>
      <c r="R342"/>
      <c r="S342"/>
      <c r="T342"/>
      <c r="U342"/>
      <c r="V342" s="2">
        <v>14.2703428586092</v>
      </c>
      <c r="W342">
        <v>5</v>
      </c>
      <c r="AG342" s="104" t="s">
        <v>277</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287</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278</v>
      </c>
      <c r="C343" t="s">
        <v>278</v>
      </c>
      <c r="D343"/>
      <c r="E343" s="2">
        <v>46.6214604970415</v>
      </c>
      <c r="F343" s="2">
        <f>E343</f>
        <v>46.6214604970415</v>
      </c>
      <c r="I343" s="2">
        <f>F343</f>
        <v>46.6214604970415</v>
      </c>
      <c r="J343" s="2">
        <f>I343</f>
        <v>46.6214604970415</v>
      </c>
      <c r="L343" s="2">
        <f>J343</f>
        <v>46.6214604970415</v>
      </c>
      <c r="V343" s="2">
        <f>L343</f>
        <v>46.6214604970415</v>
      </c>
      <c r="W343">
        <v>5</v>
      </c>
      <c r="AG343" s="104" t="s">
        <v>272</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287</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279</v>
      </c>
      <c r="C344" t="s">
        <v>279</v>
      </c>
      <c r="D344"/>
      <c r="E344" s="2">
        <v>337.154179744827</v>
      </c>
      <c r="F344" s="2">
        <f>E344</f>
        <v>337.154179744827</v>
      </c>
      <c r="I344" s="2">
        <f>F344</f>
        <v>337.154179744827</v>
      </c>
      <c r="J344" s="2">
        <f>I344</f>
        <v>337.154179744827</v>
      </c>
      <c r="L344" s="2">
        <f>J344</f>
        <v>337.154179744827</v>
      </c>
      <c r="V344" s="2">
        <f>L344</f>
        <v>337.154179744827</v>
      </c>
      <c r="W344">
        <v>5</v>
      </c>
      <c r="AG344" s="104" t="s">
        <v>272</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287</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280</v>
      </c>
      <c r="C345" t="s">
        <v>280</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04" t="s">
        <v>277</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287</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281</v>
      </c>
      <c r="C346" t="s">
        <v>281</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04" t="s">
        <v>277</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287</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282</v>
      </c>
      <c r="C347" t="s">
        <v>282</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04" t="s">
        <v>277</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287</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283</v>
      </c>
      <c r="C348" t="s">
        <v>283</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04" t="s">
        <v>284</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287</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285</v>
      </c>
      <c r="C349" t="s">
        <v>285</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04" t="s">
        <v>272</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287</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286</v>
      </c>
      <c r="C350" t="s">
        <v>286</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04" t="s">
        <v>272</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287</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271</v>
      </c>
      <c r="C351" t="s">
        <v>271</v>
      </c>
      <c r="D351"/>
      <c r="E351" s="2">
        <v>10.8787135219328</v>
      </c>
      <c r="F351" s="2">
        <f>E351</f>
        <v>10.8787135219328</v>
      </c>
      <c r="I351" s="2">
        <f>F351</f>
        <v>10.8787135219328</v>
      </c>
      <c r="J351" s="2">
        <f>I351</f>
        <v>10.8787135219328</v>
      </c>
      <c r="L351" s="2">
        <f>J351</f>
        <v>10.8787135219328</v>
      </c>
      <c r="V351" s="2">
        <f>L351</f>
        <v>10.8787135219328</v>
      </c>
      <c r="W351">
        <v>5</v>
      </c>
      <c r="AG351" s="104" t="s">
        <v>272</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287</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274</v>
      </c>
      <c r="C352" t="s">
        <v>274</v>
      </c>
      <c r="D352"/>
      <c r="E352" s="2">
        <v>116.616235183285</v>
      </c>
      <c r="F352" s="2">
        <f>E352</f>
        <v>116.616235183285</v>
      </c>
      <c r="I352" s="2">
        <f>F352</f>
        <v>116.616235183285</v>
      </c>
      <c r="J352" s="2">
        <f>I352</f>
        <v>116.616235183285</v>
      </c>
      <c r="L352" s="2">
        <f>J352</f>
        <v>116.616235183285</v>
      </c>
      <c r="V352" s="2">
        <f>L352</f>
        <v>116.616235183285</v>
      </c>
      <c r="W352">
        <v>5</v>
      </c>
      <c r="AG352" s="104" t="s">
        <v>272</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287</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275</v>
      </c>
      <c r="C353" t="s">
        <v>275</v>
      </c>
      <c r="D353"/>
      <c r="E353" s="2">
        <v>4.13885072055123</v>
      </c>
      <c r="I353" s="2">
        <v>5.17869535206599</v>
      </c>
      <c r="J353" s="2">
        <v>5.45308235480547</v>
      </c>
      <c r="K353"/>
      <c r="L353" s="2">
        <v>5.97960378256308</v>
      </c>
      <c r="M353"/>
      <c r="N353"/>
      <c r="O353"/>
      <c r="P353"/>
      <c r="Q353"/>
      <c r="R353"/>
      <c r="S353"/>
      <c r="T353"/>
      <c r="U353"/>
      <c r="V353" s="2">
        <v>8.15145189420441</v>
      </c>
      <c r="W353">
        <v>5</v>
      </c>
      <c r="AG353" s="104" t="s">
        <v>272</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287</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276</v>
      </c>
      <c r="C354" t="s">
        <v>276</v>
      </c>
      <c r="D354"/>
      <c r="E354" s="2">
        <v>13.7458008530983</v>
      </c>
      <c r="I354" s="2">
        <v>14.148885907274</v>
      </c>
      <c r="J354" s="2">
        <v>14.2616938690585</v>
      </c>
      <c r="K354"/>
      <c r="L354" s="2">
        <v>14.5485180546064</v>
      </c>
      <c r="M354"/>
      <c r="N354"/>
      <c r="O354"/>
      <c r="P354"/>
      <c r="Q354"/>
      <c r="R354"/>
      <c r="S354"/>
      <c r="T354"/>
      <c r="U354"/>
      <c r="V354" s="2">
        <v>15.3661972671952</v>
      </c>
      <c r="W354">
        <v>5</v>
      </c>
      <c r="AG354" s="104" t="s">
        <v>277</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287</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278</v>
      </c>
      <c r="C355" t="s">
        <v>278</v>
      </c>
      <c r="D355"/>
      <c r="E355" s="2">
        <v>16.6107321567818</v>
      </c>
      <c r="F355" s="2">
        <f>E355</f>
        <v>16.6107321567818</v>
      </c>
      <c r="I355" s="2">
        <f>F355</f>
        <v>16.6107321567818</v>
      </c>
      <c r="J355" s="2">
        <f>I355</f>
        <v>16.6107321567818</v>
      </c>
      <c r="L355" s="2">
        <f>J355</f>
        <v>16.6107321567818</v>
      </c>
      <c r="V355" s="2">
        <f>L355</f>
        <v>16.6107321567818</v>
      </c>
      <c r="W355">
        <v>5</v>
      </c>
      <c r="AG355" s="104" t="s">
        <v>272</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287</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279</v>
      </c>
      <c r="C356" t="s">
        <v>279</v>
      </c>
      <c r="D356"/>
      <c r="E356" s="2">
        <v>129.840269242668</v>
      </c>
      <c r="F356" s="2">
        <f>E356</f>
        <v>129.840269242668</v>
      </c>
      <c r="I356" s="2">
        <f>F356</f>
        <v>129.840269242668</v>
      </c>
      <c r="J356" s="2">
        <f>I356</f>
        <v>129.840269242668</v>
      </c>
      <c r="L356" s="2">
        <f>J356</f>
        <v>129.840269242668</v>
      </c>
      <c r="V356" s="2">
        <f>L356</f>
        <v>129.840269242668</v>
      </c>
      <c r="W356">
        <v>5</v>
      </c>
      <c r="AG356" s="104" t="s">
        <v>272</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287</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280</v>
      </c>
      <c r="C357" t="s">
        <v>280</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04" t="s">
        <v>277</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287</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281</v>
      </c>
      <c r="C358" t="s">
        <v>281</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04" t="s">
        <v>277</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287</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282</v>
      </c>
      <c r="C359" t="s">
        <v>282</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04" t="s">
        <v>277</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287</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283</v>
      </c>
      <c r="C360" t="s">
        <v>283</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04" t="s">
        <v>284</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287</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285</v>
      </c>
      <c r="C361" t="s">
        <v>285</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04" t="s">
        <v>272</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287</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286</v>
      </c>
      <c r="C362" t="s">
        <v>286</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04" t="s">
        <v>272</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287</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271</v>
      </c>
      <c r="C363" t="s">
        <v>271</v>
      </c>
      <c r="D363"/>
      <c r="E363" s="2">
        <v>2.7922333831801</v>
      </c>
      <c r="F363" s="2">
        <f>E363</f>
        <v>2.7922333831801</v>
      </c>
      <c r="I363" s="2">
        <f>F363</f>
        <v>2.7922333831801</v>
      </c>
      <c r="J363" s="2">
        <f>I363</f>
        <v>2.7922333831801</v>
      </c>
      <c r="L363" s="2">
        <f>J363</f>
        <v>2.7922333831801</v>
      </c>
      <c r="V363" s="2">
        <f>L363</f>
        <v>2.7922333831801</v>
      </c>
      <c r="W363">
        <v>5</v>
      </c>
      <c r="AG363" s="104" t="s">
        <v>272</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287</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274</v>
      </c>
      <c r="C364" t="s">
        <v>274</v>
      </c>
      <c r="D364"/>
      <c r="E364" s="2">
        <v>78.5809754084052</v>
      </c>
      <c r="F364" s="2">
        <f>E364</f>
        <v>78.5809754084052</v>
      </c>
      <c r="I364" s="2">
        <f>F364</f>
        <v>78.5809754084052</v>
      </c>
      <c r="J364" s="2">
        <f>I364</f>
        <v>78.5809754084052</v>
      </c>
      <c r="L364" s="2">
        <f>J364</f>
        <v>78.5809754084052</v>
      </c>
      <c r="V364" s="2">
        <f>L364</f>
        <v>78.5809754084052</v>
      </c>
      <c r="W364">
        <v>5</v>
      </c>
      <c r="AG364" s="104" t="s">
        <v>272</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287</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275</v>
      </c>
      <c r="C365" t="s">
        <v>275</v>
      </c>
      <c r="D365"/>
      <c r="E365" s="2">
        <v>0.356036346642533</v>
      </c>
      <c r="I365" s="2">
        <v>0.422268318976179</v>
      </c>
      <c r="J365" s="2">
        <v>0.437318678711944</v>
      </c>
      <c r="K365"/>
      <c r="L365" s="2">
        <v>0.465843190262119</v>
      </c>
      <c r="M365"/>
      <c r="N365"/>
      <c r="O365"/>
      <c r="P365"/>
      <c r="Q365"/>
      <c r="R365"/>
      <c r="S365"/>
      <c r="T365"/>
      <c r="U365"/>
      <c r="V365" s="2">
        <v>0.587643350380561</v>
      </c>
      <c r="W365">
        <v>5</v>
      </c>
      <c r="AG365" s="104" t="s">
        <v>272</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287</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276</v>
      </c>
      <c r="C366" t="s">
        <v>276</v>
      </c>
      <c r="D366"/>
      <c r="E366" s="2">
        <v>11.0388847973258</v>
      </c>
      <c r="I366" s="2">
        <v>11.6000229964462</v>
      </c>
      <c r="J366" s="2">
        <v>11.7445834962148</v>
      </c>
      <c r="K366"/>
      <c r="L366" s="2">
        <v>12.0632503469926</v>
      </c>
      <c r="M366"/>
      <c r="N366"/>
      <c r="O366"/>
      <c r="P366"/>
      <c r="Q366"/>
      <c r="R366"/>
      <c r="S366"/>
      <c r="T366"/>
      <c r="U366"/>
      <c r="V366" s="2">
        <v>12.6327834024112</v>
      </c>
      <c r="W366">
        <v>5</v>
      </c>
      <c r="AG366" s="104" t="s">
        <v>277</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287</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278</v>
      </c>
      <c r="C367" t="s">
        <v>278</v>
      </c>
      <c r="D367"/>
      <c r="E367" s="2">
        <v>1.5612086088509</v>
      </c>
      <c r="F367" s="2">
        <f>E367</f>
        <v>1.5612086088509</v>
      </c>
      <c r="I367" s="2">
        <f>F367</f>
        <v>1.5612086088509</v>
      </c>
      <c r="J367" s="2">
        <f>I367</f>
        <v>1.5612086088509</v>
      </c>
      <c r="L367" s="2">
        <f>J367</f>
        <v>1.5612086088509</v>
      </c>
      <c r="V367" s="2">
        <f>L367</f>
        <v>1.5612086088509</v>
      </c>
      <c r="W367">
        <v>5</v>
      </c>
      <c r="AG367" s="104" t="s">
        <v>272</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287</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279</v>
      </c>
      <c r="C368" t="s">
        <v>279</v>
      </c>
      <c r="D368"/>
      <c r="E368" s="2">
        <v>0.112388280015901</v>
      </c>
      <c r="F368" s="2">
        <f>E368</f>
        <v>0.112388280015901</v>
      </c>
      <c r="I368" s="2">
        <f>F368</f>
        <v>0.112388280015901</v>
      </c>
      <c r="J368" s="2">
        <f>I368</f>
        <v>0.112388280015901</v>
      </c>
      <c r="L368" s="2">
        <f>J368</f>
        <v>0.112388280015901</v>
      </c>
      <c r="V368" s="2">
        <f>L368</f>
        <v>0.112388280015901</v>
      </c>
      <c r="W368">
        <v>5</v>
      </c>
      <c r="AG368" s="104" t="s">
        <v>272</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287</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280</v>
      </c>
      <c r="C369" t="s">
        <v>280</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04" t="s">
        <v>277</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287</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281</v>
      </c>
      <c r="C370" t="s">
        <v>281</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04" t="s">
        <v>277</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287</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282</v>
      </c>
      <c r="C371" t="s">
        <v>282</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04" t="s">
        <v>277</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287</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283</v>
      </c>
      <c r="C372" t="s">
        <v>283</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04" t="s">
        <v>284</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287</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285</v>
      </c>
      <c r="C373" t="s">
        <v>285</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04" t="s">
        <v>272</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287</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286</v>
      </c>
      <c r="C374" t="s">
        <v>286</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04" t="s">
        <v>272</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287</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271</v>
      </c>
      <c r="C375" t="s">
        <v>271</v>
      </c>
      <c r="D375"/>
      <c r="E375" s="2">
        <v>51.6742677900742</v>
      </c>
      <c r="F375" s="2">
        <f>E375</f>
        <v>51.6742677900742</v>
      </c>
      <c r="I375" s="2">
        <f>F375</f>
        <v>51.6742677900742</v>
      </c>
      <c r="J375" s="2">
        <f>I375</f>
        <v>51.6742677900742</v>
      </c>
      <c r="L375" s="2">
        <f>J375</f>
        <v>51.6742677900742</v>
      </c>
      <c r="V375" s="2">
        <f>L375</f>
        <v>51.6742677900742</v>
      </c>
      <c r="W375">
        <v>5</v>
      </c>
      <c r="AG375" s="104" t="s">
        <v>272</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287</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274</v>
      </c>
      <c r="C376" t="s">
        <v>274</v>
      </c>
      <c r="D376"/>
      <c r="E376" s="2">
        <v>188.943680282024</v>
      </c>
      <c r="F376" s="2">
        <f>E376</f>
        <v>188.943680282024</v>
      </c>
      <c r="I376" s="2">
        <f>F376</f>
        <v>188.943680282024</v>
      </c>
      <c r="J376" s="2">
        <f>I376</f>
        <v>188.943680282024</v>
      </c>
      <c r="L376" s="2">
        <f>J376</f>
        <v>188.943680282024</v>
      </c>
      <c r="V376" s="2">
        <f>L376</f>
        <v>188.943680282024</v>
      </c>
      <c r="W376">
        <v>5</v>
      </c>
      <c r="AG376" s="104" t="s">
        <v>272</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287</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275</v>
      </c>
      <c r="C377" t="s">
        <v>275</v>
      </c>
      <c r="D377"/>
      <c r="E377" s="2">
        <v>3.95764867674044</v>
      </c>
      <c r="I377" s="2">
        <v>6.4464674603342</v>
      </c>
      <c r="J377" s="2">
        <v>7.10077394538316</v>
      </c>
      <c r="K377"/>
      <c r="L377" s="2">
        <v>8.21786107201598</v>
      </c>
      <c r="M377"/>
      <c r="N377"/>
      <c r="O377"/>
      <c r="P377"/>
      <c r="Q377"/>
      <c r="R377"/>
      <c r="S377"/>
      <c r="T377"/>
      <c r="U377"/>
      <c r="V377" s="2">
        <v>10.5694547388171</v>
      </c>
      <c r="W377">
        <v>5</v>
      </c>
      <c r="AG377" s="104" t="s">
        <v>272</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287</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276</v>
      </c>
      <c r="C378" t="s">
        <v>276</v>
      </c>
      <c r="D378"/>
      <c r="E378" s="2">
        <v>5.66430246258363</v>
      </c>
      <c r="I378" s="2">
        <v>6.10401954633122</v>
      </c>
      <c r="J378" s="2">
        <v>6.19700482916527</v>
      </c>
      <c r="K378"/>
      <c r="L378" s="2">
        <v>6.30371330506704</v>
      </c>
      <c r="M378"/>
      <c r="N378"/>
      <c r="O378"/>
      <c r="P378"/>
      <c r="Q378"/>
      <c r="R378"/>
      <c r="S378"/>
      <c r="T378"/>
      <c r="U378"/>
      <c r="V378" s="2">
        <v>5.7761418345808</v>
      </c>
      <c r="W378">
        <v>5</v>
      </c>
      <c r="AG378" s="104" t="s">
        <v>277</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287</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278</v>
      </c>
      <c r="C379" t="s">
        <v>278</v>
      </c>
      <c r="D379"/>
      <c r="E379" s="2">
        <v>16.622151379341</v>
      </c>
      <c r="F379" s="2">
        <f>E379</f>
        <v>16.622151379341</v>
      </c>
      <c r="I379" s="2">
        <f>F379</f>
        <v>16.622151379341</v>
      </c>
      <c r="J379" s="2">
        <f>I379</f>
        <v>16.622151379341</v>
      </c>
      <c r="L379" s="2">
        <f>J379</f>
        <v>16.622151379341</v>
      </c>
      <c r="V379" s="2">
        <f>L379</f>
        <v>16.622151379341</v>
      </c>
      <c r="W379">
        <v>5</v>
      </c>
      <c r="AG379" s="104" t="s">
        <v>272</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287</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279</v>
      </c>
      <c r="C380" t="s">
        <v>279</v>
      </c>
      <c r="D380"/>
      <c r="E380" s="2">
        <v>37.8006200912268</v>
      </c>
      <c r="F380" s="2">
        <f>E380</f>
        <v>37.8006200912268</v>
      </c>
      <c r="I380" s="2">
        <f>F380</f>
        <v>37.8006200912268</v>
      </c>
      <c r="J380" s="2">
        <f>I380</f>
        <v>37.8006200912268</v>
      </c>
      <c r="L380" s="2">
        <f>J380</f>
        <v>37.8006200912268</v>
      </c>
      <c r="V380" s="2">
        <f>L380</f>
        <v>37.8006200912268</v>
      </c>
      <c r="W380">
        <v>5</v>
      </c>
      <c r="AG380" s="104" t="s">
        <v>272</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287</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280</v>
      </c>
      <c r="C381" t="s">
        <v>280</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04" t="s">
        <v>277</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287</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281</v>
      </c>
      <c r="C382" t="s">
        <v>281</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04" t="s">
        <v>277</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287</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282</v>
      </c>
      <c r="C383" t="s">
        <v>282</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04" t="s">
        <v>277</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287</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283</v>
      </c>
      <c r="C384" t="s">
        <v>283</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04" t="s">
        <v>284</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287</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285</v>
      </c>
      <c r="C385" t="s">
        <v>285</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04" t="s">
        <v>272</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287</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286</v>
      </c>
      <c r="C386" t="s">
        <v>286</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04" t="s">
        <v>272</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287</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271</v>
      </c>
      <c r="C387" t="s">
        <v>271</v>
      </c>
      <c r="D387"/>
      <c r="E387" s="2">
        <v>36.9226194799132</v>
      </c>
      <c r="F387" s="2">
        <f>E387</f>
        <v>36.9226194799132</v>
      </c>
      <c r="I387" s="2">
        <f>F387</f>
        <v>36.9226194799132</v>
      </c>
      <c r="J387" s="2">
        <f>I387</f>
        <v>36.9226194799132</v>
      </c>
      <c r="L387" s="2">
        <f>J387</f>
        <v>36.9226194799132</v>
      </c>
      <c r="V387" s="2">
        <f>L387</f>
        <v>36.9226194799132</v>
      </c>
      <c r="W387">
        <v>5</v>
      </c>
      <c r="AG387" s="104" t="s">
        <v>272</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287</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274</v>
      </c>
      <c r="C388" t="s">
        <v>274</v>
      </c>
      <c r="D388"/>
      <c r="E388" s="2">
        <v>490.543871571096</v>
      </c>
      <c r="F388" s="2">
        <f>E388</f>
        <v>490.543871571096</v>
      </c>
      <c r="I388" s="2">
        <f>F388</f>
        <v>490.543871571096</v>
      </c>
      <c r="J388" s="2">
        <f>I388</f>
        <v>490.543871571096</v>
      </c>
      <c r="L388" s="2">
        <f>J388</f>
        <v>490.543871571096</v>
      </c>
      <c r="V388" s="2">
        <f>L388</f>
        <v>490.543871571096</v>
      </c>
      <c r="W388">
        <v>5</v>
      </c>
      <c r="AG388" s="104" t="s">
        <v>272</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287</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275</v>
      </c>
      <c r="C389" t="s">
        <v>275</v>
      </c>
      <c r="D389"/>
      <c r="E389" s="2">
        <v>24.6033770922968</v>
      </c>
      <c r="I389" s="2">
        <v>31.7384471153733</v>
      </c>
      <c r="J389" s="2">
        <v>34.1423828187106</v>
      </c>
      <c r="K389"/>
      <c r="L389" s="2">
        <v>39.4372995434473</v>
      </c>
      <c r="M389"/>
      <c r="N389"/>
      <c r="O389"/>
      <c r="P389"/>
      <c r="Q389"/>
      <c r="R389"/>
      <c r="S389"/>
      <c r="T389"/>
      <c r="U389"/>
      <c r="V389" s="2">
        <v>61.3720467254865</v>
      </c>
      <c r="W389">
        <v>5</v>
      </c>
      <c r="AG389" s="104" t="s">
        <v>272</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287</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276</v>
      </c>
      <c r="C390" t="s">
        <v>276</v>
      </c>
      <c r="D390"/>
      <c r="E390" s="2">
        <v>23.1089699635029</v>
      </c>
      <c r="I390" s="2">
        <v>23.8134228090774</v>
      </c>
      <c r="J390" s="2">
        <v>24.0593576107348</v>
      </c>
      <c r="K390"/>
      <c r="L390" s="2">
        <v>24.6177722207965</v>
      </c>
      <c r="M390"/>
      <c r="N390"/>
      <c r="O390"/>
      <c r="P390"/>
      <c r="Q390"/>
      <c r="R390"/>
      <c r="S390"/>
      <c r="T390"/>
      <c r="U390"/>
      <c r="V390" s="2">
        <v>25.7219062863884</v>
      </c>
      <c r="W390">
        <v>5</v>
      </c>
      <c r="AG390" s="104" t="s">
        <v>277</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287</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278</v>
      </c>
      <c r="C391" t="s">
        <v>278</v>
      </c>
      <c r="D391"/>
      <c r="E391" s="2">
        <v>36.9758094058833</v>
      </c>
      <c r="F391" s="2">
        <f>E391</f>
        <v>36.9758094058833</v>
      </c>
      <c r="I391" s="2">
        <f>F391</f>
        <v>36.9758094058833</v>
      </c>
      <c r="J391" s="2">
        <f>I391</f>
        <v>36.9758094058833</v>
      </c>
      <c r="L391" s="2">
        <f>J391</f>
        <v>36.9758094058833</v>
      </c>
      <c r="V391" s="2">
        <f>L391</f>
        <v>36.9758094058833</v>
      </c>
      <c r="W391">
        <v>5</v>
      </c>
      <c r="AG391" s="104" t="s">
        <v>272</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287</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279</v>
      </c>
      <c r="C392" t="s">
        <v>279</v>
      </c>
      <c r="D392"/>
      <c r="E392" s="2">
        <v>94.701473626264</v>
      </c>
      <c r="F392" s="2">
        <f>E392</f>
        <v>94.701473626264</v>
      </c>
      <c r="I392" s="2">
        <f>F392</f>
        <v>94.701473626264</v>
      </c>
      <c r="J392" s="2">
        <f>I392</f>
        <v>94.701473626264</v>
      </c>
      <c r="L392" s="2">
        <f>J392</f>
        <v>94.701473626264</v>
      </c>
      <c r="V392" s="2">
        <f>L392</f>
        <v>94.701473626264</v>
      </c>
      <c r="W392">
        <v>5</v>
      </c>
      <c r="AG392" s="104" t="s">
        <v>272</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287</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280</v>
      </c>
      <c r="C393" t="s">
        <v>280</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04" t="s">
        <v>277</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287</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281</v>
      </c>
      <c r="C394" t="s">
        <v>281</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04" t="s">
        <v>277</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287</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282</v>
      </c>
      <c r="C395" t="s">
        <v>282</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04" t="s">
        <v>277</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287</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283</v>
      </c>
      <c r="C396" t="s">
        <v>283</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04" t="s">
        <v>284</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287</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285</v>
      </c>
      <c r="C397" t="s">
        <v>285</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04" t="s">
        <v>272</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287</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286</v>
      </c>
      <c r="C398" t="s">
        <v>286</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04" t="s">
        <v>272</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287</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271</v>
      </c>
      <c r="C399" t="s">
        <v>271</v>
      </c>
      <c r="D399"/>
      <c r="E399" s="2">
        <v>7.75124785307158</v>
      </c>
      <c r="F399" s="2">
        <f>E399</f>
        <v>7.75124785307158</v>
      </c>
      <c r="I399" s="2">
        <f>F399</f>
        <v>7.75124785307158</v>
      </c>
      <c r="J399" s="2">
        <f>I399</f>
        <v>7.75124785307158</v>
      </c>
      <c r="L399" s="2">
        <f>J399</f>
        <v>7.75124785307158</v>
      </c>
      <c r="V399" s="2">
        <f>L399</f>
        <v>7.75124785307158</v>
      </c>
      <c r="W399">
        <v>5</v>
      </c>
      <c r="AG399" s="104" t="s">
        <v>272</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273</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274</v>
      </c>
      <c r="C400" t="s">
        <v>274</v>
      </c>
      <c r="D400"/>
      <c r="E400" s="2">
        <v>7.39791458129825</v>
      </c>
      <c r="F400" s="2">
        <f>E400</f>
        <v>7.39791458129825</v>
      </c>
      <c r="I400" s="2">
        <f>F400</f>
        <v>7.39791458129825</v>
      </c>
      <c r="J400" s="2">
        <f>I400</f>
        <v>7.39791458129825</v>
      </c>
      <c r="L400" s="2">
        <f>J400</f>
        <v>7.39791458129825</v>
      </c>
      <c r="V400" s="2">
        <f>L400</f>
        <v>7.39791458129825</v>
      </c>
      <c r="W400">
        <v>5</v>
      </c>
      <c r="AG400" s="104" t="s">
        <v>272</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273</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275</v>
      </c>
      <c r="C401" t="s">
        <v>275</v>
      </c>
      <c r="D401"/>
      <c r="E401" s="2">
        <v>5.36702369795162</v>
      </c>
      <c r="I401" s="2">
        <v>6.79767649689424</v>
      </c>
      <c r="J401" s="2">
        <v>7.90571937471574</v>
      </c>
      <c r="K401"/>
      <c r="L401" s="2">
        <v>9.94129063496476</v>
      </c>
      <c r="M401"/>
      <c r="N401"/>
      <c r="O401"/>
      <c r="P401"/>
      <c r="Q401"/>
      <c r="R401"/>
      <c r="S401"/>
      <c r="T401"/>
      <c r="U401"/>
      <c r="V401" s="2">
        <v>19.5816696304826</v>
      </c>
      <c r="W401">
        <v>5</v>
      </c>
      <c r="AG401" s="104" t="s">
        <v>272</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273</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276</v>
      </c>
      <c r="C402" t="s">
        <v>276</v>
      </c>
      <c r="D402"/>
      <c r="E402" s="2">
        <v>15.1011499893745</v>
      </c>
      <c r="I402" s="2">
        <v>12.7482738405374</v>
      </c>
      <c r="J402" s="2">
        <v>12.5807321535368</v>
      </c>
      <c r="K402"/>
      <c r="L402" s="2">
        <v>12.0676049227177</v>
      </c>
      <c r="M402"/>
      <c r="N402"/>
      <c r="O402"/>
      <c r="P402"/>
      <c r="Q402"/>
      <c r="R402"/>
      <c r="S402"/>
      <c r="T402"/>
      <c r="U402"/>
      <c r="V402" s="2">
        <v>9.69056012966569</v>
      </c>
      <c r="W402">
        <v>5</v>
      </c>
      <c r="AG402" s="104" t="s">
        <v>277</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273</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278</v>
      </c>
      <c r="C403" t="s">
        <v>278</v>
      </c>
      <c r="D403"/>
      <c r="E403" s="2">
        <v>5.71590616242323</v>
      </c>
      <c r="F403" s="2">
        <f>E403</f>
        <v>5.71590616242323</v>
      </c>
      <c r="I403" s="2">
        <f>F403</f>
        <v>5.71590616242323</v>
      </c>
      <c r="J403" s="2">
        <f>I403</f>
        <v>5.71590616242323</v>
      </c>
      <c r="L403" s="2">
        <f>J403</f>
        <v>5.71590616242323</v>
      </c>
      <c r="V403" s="2">
        <f>L403</f>
        <v>5.71590616242323</v>
      </c>
      <c r="W403">
        <v>5</v>
      </c>
      <c r="AG403" s="104" t="s">
        <v>272</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273</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279</v>
      </c>
      <c r="C404" t="s">
        <v>279</v>
      </c>
      <c r="D404"/>
      <c r="E404" s="2">
        <v>0</v>
      </c>
      <c r="F404" s="2">
        <f>E404</f>
        <v>0</v>
      </c>
      <c r="I404" s="2">
        <f>F404</f>
        <v>0</v>
      </c>
      <c r="J404" s="2">
        <f>I404</f>
        <v>0</v>
      </c>
      <c r="L404" s="2">
        <f>J404</f>
        <v>0</v>
      </c>
      <c r="V404" s="2">
        <f>L404</f>
        <v>0</v>
      </c>
      <c r="W404">
        <v>5</v>
      </c>
      <c r="AG404" s="104" t="s">
        <v>272</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273</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280</v>
      </c>
      <c r="C405" t="s">
        <v>280</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04" t="s">
        <v>277</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273</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281</v>
      </c>
      <c r="C406" t="s">
        <v>281</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04" t="s">
        <v>277</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273</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282</v>
      </c>
      <c r="C407" t="s">
        <v>282</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04" t="s">
        <v>277</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273</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283</v>
      </c>
      <c r="C408" t="s">
        <v>283</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04" t="s">
        <v>284</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273</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285</v>
      </c>
      <c r="C409" t="s">
        <v>285</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04" t="s">
        <v>272</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273</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286</v>
      </c>
      <c r="C410" t="s">
        <v>286</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04" t="s">
        <v>272</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273</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271</v>
      </c>
      <c r="C411" t="s">
        <v>271</v>
      </c>
      <c r="D411"/>
      <c r="E411" s="2">
        <v>0</v>
      </c>
      <c r="F411" s="2">
        <f>E411</f>
        <v>0</v>
      </c>
      <c r="I411" s="2">
        <f>F411</f>
        <v>0</v>
      </c>
      <c r="J411" s="2">
        <f>I411</f>
        <v>0</v>
      </c>
      <c r="L411" s="2">
        <f>J411</f>
        <v>0</v>
      </c>
      <c r="V411" s="2">
        <f>L411</f>
        <v>0</v>
      </c>
      <c r="W411">
        <v>5</v>
      </c>
      <c r="AG411" s="104" t="s">
        <v>272</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273</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274</v>
      </c>
      <c r="C412" t="s">
        <v>274</v>
      </c>
      <c r="D412"/>
      <c r="E412" s="2">
        <v>9.75424966159573</v>
      </c>
      <c r="F412" s="2">
        <f>E412</f>
        <v>9.75424966159573</v>
      </c>
      <c r="I412" s="2">
        <f>F412</f>
        <v>9.75424966159573</v>
      </c>
      <c r="J412" s="2">
        <f>I412</f>
        <v>9.75424966159573</v>
      </c>
      <c r="L412" s="2">
        <f>J412</f>
        <v>9.75424966159573</v>
      </c>
      <c r="V412" s="2">
        <f>L412</f>
        <v>9.75424966159573</v>
      </c>
      <c r="W412">
        <v>5</v>
      </c>
      <c r="AG412" s="104" t="s">
        <v>272</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273</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275</v>
      </c>
      <c r="C413" t="s">
        <v>275</v>
      </c>
      <c r="D413"/>
      <c r="E413" s="2">
        <v>0.890246851516642</v>
      </c>
      <c r="I413" s="2">
        <v>1.46050023609891</v>
      </c>
      <c r="J413" s="2">
        <v>1.61970024496212</v>
      </c>
      <c r="K413"/>
      <c r="L413" s="2">
        <v>1.89179360953464</v>
      </c>
      <c r="M413"/>
      <c r="N413"/>
      <c r="O413"/>
      <c r="P413"/>
      <c r="Q413"/>
      <c r="R413"/>
      <c r="S413"/>
      <c r="T413"/>
      <c r="U413"/>
      <c r="V413" s="2">
        <v>3.05610476950368</v>
      </c>
      <c r="W413">
        <v>5</v>
      </c>
      <c r="AG413" s="104" t="s">
        <v>272</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273</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276</v>
      </c>
      <c r="C414" t="s">
        <v>276</v>
      </c>
      <c r="D414"/>
      <c r="E414" s="2">
        <v>1.58810450436334</v>
      </c>
      <c r="I414" s="2">
        <v>1.49267611008859</v>
      </c>
      <c r="J414" s="2">
        <v>1.46069677747366</v>
      </c>
      <c r="K414"/>
      <c r="L414" s="2">
        <v>1.39716477220475</v>
      </c>
      <c r="M414"/>
      <c r="N414"/>
      <c r="O414"/>
      <c r="P414"/>
      <c r="Q414"/>
      <c r="R414"/>
      <c r="S414"/>
      <c r="T414"/>
      <c r="U414"/>
      <c r="V414" s="2">
        <v>1.13898479048603</v>
      </c>
      <c r="W414">
        <v>5</v>
      </c>
      <c r="AG414" s="104" t="s">
        <v>277</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273</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278</v>
      </c>
      <c r="C415" t="s">
        <v>278</v>
      </c>
      <c r="D415"/>
      <c r="E415" s="2">
        <v>1.85651971653567</v>
      </c>
      <c r="F415" s="2">
        <f>E415</f>
        <v>1.85651971653567</v>
      </c>
      <c r="I415" s="2">
        <f>F415</f>
        <v>1.85651971653567</v>
      </c>
      <c r="J415" s="2">
        <f>I415</f>
        <v>1.85651971653567</v>
      </c>
      <c r="L415" s="2">
        <f>J415</f>
        <v>1.85651971653567</v>
      </c>
      <c r="V415" s="2">
        <f>L415</f>
        <v>1.85651971653567</v>
      </c>
      <c r="W415">
        <v>5</v>
      </c>
      <c r="AG415" s="104" t="s">
        <v>272</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273</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279</v>
      </c>
      <c r="C416" t="s">
        <v>279</v>
      </c>
      <c r="D416"/>
      <c r="E416" s="2">
        <v>2.05021145703732</v>
      </c>
      <c r="F416" s="2">
        <f>E416</f>
        <v>2.05021145703732</v>
      </c>
      <c r="I416" s="2">
        <f>F416</f>
        <v>2.05021145703732</v>
      </c>
      <c r="J416" s="2">
        <f>I416</f>
        <v>2.05021145703732</v>
      </c>
      <c r="L416" s="2">
        <f>J416</f>
        <v>2.05021145703732</v>
      </c>
      <c r="V416" s="2">
        <f>L416</f>
        <v>2.05021145703732</v>
      </c>
      <c r="W416">
        <v>5</v>
      </c>
      <c r="AG416" s="104" t="s">
        <v>272</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273</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280</v>
      </c>
      <c r="C417" t="s">
        <v>280</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04" t="s">
        <v>277</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273</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281</v>
      </c>
      <c r="C418" t="s">
        <v>281</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04" t="s">
        <v>277</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273</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282</v>
      </c>
      <c r="C419" t="s">
        <v>282</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04" t="s">
        <v>277</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273</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283</v>
      </c>
      <c r="C420" t="s">
        <v>283</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04" t="s">
        <v>284</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273</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285</v>
      </c>
      <c r="C421" t="s">
        <v>285</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04" t="s">
        <v>272</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273</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286</v>
      </c>
      <c r="C422" t="s">
        <v>286</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04" t="s">
        <v>272</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273</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G433"/>
      <c r="H433"/>
      <c r="I433"/>
      <c r="J433"/>
    </row>
    <row r="434" spans="5:10">
      <c r="E434"/>
      <c r="F434"/>
      <c r="G434"/>
      <c r="H434"/>
      <c r="I434"/>
      <c r="J434"/>
    </row>
    <row r="435" spans="5:10">
      <c r="E435"/>
      <c r="F435"/>
      <c r="G435"/>
      <c r="H435"/>
      <c r="I435"/>
      <c r="J435"/>
    </row>
    <row r="436" spans="5:10">
      <c r="E436"/>
      <c r="F436"/>
      <c r="G436"/>
      <c r="H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G444"/>
      <c r="H444"/>
      <c r="I444"/>
      <c r="J444"/>
    </row>
    <row r="445" spans="5:10">
      <c r="E445"/>
      <c r="F445"/>
      <c r="G445"/>
      <c r="H445"/>
      <c r="I445"/>
      <c r="J445"/>
    </row>
    <row r="446" spans="5:10">
      <c r="E446"/>
      <c r="F446"/>
      <c r="G446"/>
      <c r="H446"/>
      <c r="I446"/>
      <c r="J446"/>
    </row>
    <row r="447" spans="5:10">
      <c r="E447"/>
      <c r="F447"/>
      <c r="G447"/>
      <c r="H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2026-04-29T19:20:08Z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1033-12.1.0.25862</vt:lpwstr>
  </property>
  <property fmtid="{D5CDD505-2E9C-101B-9397-08002B2CF9AE}" pid="6" name="CalculationRule">
    <vt:i4>0</vt:i4>
  </property>
</Properties>
</file>