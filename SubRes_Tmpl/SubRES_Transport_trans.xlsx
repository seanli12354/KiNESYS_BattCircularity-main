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7" activeTab="9"/>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<sst xmlns="http://schemas.openxmlformats.org/spreadsheetml/2006/main" count="7861" uniqueCount="502">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</sst>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imes New Roman"/>
      <charset val="0"/>
    </font>
    <font>
      <sz val="9"/>
      <name val="Tahoma"/>
      <charset val="1"/>
    </font>
    <font>
      <b/>
      <sz val="9"/>
      <name val="Tahoma"/>
      <charset val="1"/>
    </font>
    <font>
      <sz val="9"/>
      <name val="Times New Roman"/>
      <charset val="0"/>
    </font>
  </fonts>
  <fills count="52">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7"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8" borderId="7" applyNumberFormat="0" applyProtection="0"/>
    <xf numFmtId="0" fontId="39" fillId="29" borderId="8" applyNumberFormat="0" applyProtection="0"/>
    <xf numFmtId="0" fontId="40" fillId="29" borderId="7" applyNumberFormat="0" applyProtection="0"/>
    <xf numFmtId="0" fontId="41" fillId="30" borderId="9" applyNumberFormat="0" applyProtection="0"/>
    <xf numFmtId="0" fontId="42" fillId="0" borderId="10" applyNumberFormat="0" applyFill="0" applyProtection="0"/>
    <xf numFmtId="0" fontId="2" fillId="0" borderId="11" applyNumberFormat="0" applyFill="0" applyProtection="0"/>
    <xf numFmtId="0" fontId="43" fillId="31" borderId="0" applyNumberFormat="0" applyBorder="0" applyProtection="0"/>
    <xf numFmtId="0" fontId="44" fillId="32" borderId="0" applyNumberFormat="0" applyBorder="0" applyProtection="0"/>
    <xf numFmtId="0" fontId="45" fillId="33" borderId="0" applyNumberFormat="0" applyBorder="0" applyProtection="0"/>
    <xf numFmtId="0" fontId="46" fillId="3" borderId="0" applyNumberFormat="0" applyBorder="0" applyProtection="0"/>
    <xf numFmtId="0" fontId="1" fillId="15" borderId="0" applyNumberFormat="0" applyBorder="0" applyProtection="0"/>
    <xf numFmtId="0" fontId="1" fillId="34" borderId="0" applyNumberFormat="0" applyBorder="0" applyProtection="0"/>
    <xf numFmtId="0" fontId="46" fillId="35" borderId="0" applyNumberFormat="0" applyBorder="0" applyProtection="0"/>
    <xf numFmtId="0" fontId="46" fillId="23" borderId="0" applyNumberFormat="0" applyBorder="0" applyProtection="0"/>
    <xf numFmtId="0" fontId="1" fillId="36" borderId="0" applyNumberFormat="0" applyBorder="0" applyProtection="0"/>
    <xf numFmtId="0" fontId="1" fillId="37" borderId="0" applyNumberFormat="0" applyBorder="0" applyProtection="0"/>
    <xf numFmtId="0" fontId="46" fillId="38" borderId="0" applyNumberFormat="0" applyBorder="0" applyProtection="0"/>
    <xf numFmtId="0" fontId="46" fillId="39" borderId="0" applyNumberFormat="0" applyBorder="0" applyProtection="0"/>
    <xf numFmtId="0" fontId="1" fillId="40" borderId="0" applyNumberFormat="0" applyBorder="0" applyProtection="0"/>
    <xf numFmtId="0" fontId="1" fillId="41" borderId="0" applyNumberFormat="0" applyBorder="0" applyProtection="0"/>
    <xf numFmtId="0" fontId="46" fillId="42" borderId="0" applyNumberFormat="0" applyBorder="0" applyProtection="0"/>
    <xf numFmtId="0" fontId="46" fillId="43" borderId="0" applyNumberFormat="0" applyBorder="0" applyProtection="0"/>
    <xf numFmtId="0" fontId="1" fillId="44" borderId="0" applyNumberFormat="0" applyBorder="0" applyProtection="0"/>
    <xf numFmtId="0" fontId="1" fillId="45" borderId="0" applyNumberFormat="0" applyBorder="0" applyProtection="0"/>
    <xf numFmtId="0" fontId="46" fillId="46" borderId="0" applyNumberFormat="0" applyBorder="0" applyProtection="0"/>
    <xf numFmtId="0" fontId="46" fillId="47" borderId="0" applyNumberFormat="0" applyBorder="0" applyProtection="0"/>
    <xf numFmtId="0" fontId="1" fillId="14" borderId="0" applyNumberFormat="0" applyBorder="0" applyProtection="0"/>
    <xf numFmtId="0" fontId="1" fillId="48" borderId="0" applyNumberFormat="0" applyBorder="0" applyProtection="0"/>
    <xf numFmtId="0" fontId="46" fillId="49" borderId="0" applyNumberFormat="0" applyBorder="0" applyProtection="0"/>
    <xf numFmtId="0" fontId="46" fillId="24" borderId="0" applyNumberFormat="0" applyBorder="0" applyProtection="0"/>
    <xf numFmtId="0" fontId="1" fillId="13" borderId="0" applyNumberFormat="0" applyBorder="0" applyProtection="0"/>
    <xf numFmtId="0" fontId="1" fillId="50" borderId="0" applyNumberFormat="0" applyBorder="0" applyProtection="0"/>
    <xf numFmtId="0" fontId="46" fillId="51" borderId="0" applyNumberFormat="0" applyBorder="0" applyProtection="0"/>
    <xf numFmtId="0" fontId="0" fillId="0" borderId="0"/>
    <xf numFmtId="0" fontId="0" fillId="0" borderId="0"/>
    <xf numFmtId="0" fontId="0" fillId="0" borderId="0"/>
  </cellStyleXfs>
  <cellXfs count="153">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0" fontId="0" fillId="0" borderId="0" xfId="0" applyAlignment="1">
      <alignment wrapText="1"/>
    </xf>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5" borderId="1" xfId="49" applyFill="1" applyBorder="1"/>
    <xf numFmtId="0" fontId="0" fillId="22" borderId="3" xfId="49" applyFill="1" applyBorder="1"/>
    <xf numFmtId="0" fontId="0" fillId="5"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2" customWidth="1"/>
    <col min="2" max="2" width="8.85454545454546" style="152" customWidth="1"/>
    <col min="3" max="3" width="4.71818181818182" style="152" customWidth="1"/>
    <col min="4" max="4" width="8.85454545454546" style="152" customWidth="1"/>
    <col min="5" max="5" width="4.42727272727273" style="152" customWidth="1"/>
    <col min="6" max="6" width="4.28181818181818" style="152" customWidth="1"/>
    <col min="7" max="7" width="4.42727272727273" style="152" customWidth="1"/>
    <col min="8" max="8" width="4.57272727272727" style="152" customWidth="1"/>
    <col min="9" max="9" width="4" style="152" customWidth="1"/>
    <col min="10" max="10" width="4.42727272727273" style="152" customWidth="1"/>
    <col min="11" max="11" width="4.57272727272727" style="152" customWidth="1"/>
    <col min="12" max="12" width="4.42727272727273" style="152" customWidth="1"/>
    <col min="13" max="13" width="4" style="152" customWidth="1"/>
    <col min="14" max="14" width="4.28181818181818" style="152" customWidth="1"/>
    <col min="15" max="16" width="4.42727272727273" style="152" customWidth="1"/>
    <col min="17" max="18" width="4.57272727272727" style="152" customWidth="1"/>
    <col min="19" max="19" width="4.42727272727273" style="152" customWidth="1"/>
    <col min="20" max="20" width="5" style="152" customWidth="1"/>
    <col min="21" max="21" width="11.7181818181818" style="152" customWidth="1"/>
    <col min="22" max="22" width="10.7181818181818" style="152" customWidth="1"/>
    <col min="23" max="23" width="13.1454545454545" style="152" customWidth="1"/>
    <col min="24" max="259" width="11.4272727272727" style="152" customWidth="1"/>
    <col min="260" max="16384" width="9.14545454545454" style="152"/>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2"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2"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2"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2"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2"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79" zoomScaleNormal="79" topLeftCell="BE1" workbookViewId="0">
      <selection activeCell="BJ20" sqref="BJ20"/>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5"/>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0" t="s">
        <v>41</v>
      </c>
      <c r="T1" s="130" t="s">
        <v>42</v>
      </c>
      <c r="U1" s="130" t="s">
        <v>43</v>
      </c>
      <c r="V1" s="130" t="s">
        <v>44</v>
      </c>
      <c r="W1" s="130" t="s">
        <v>45</v>
      </c>
      <c r="X1" s="130" t="s">
        <v>46</v>
      </c>
      <c r="Y1" s="130" t="s">
        <v>47</v>
      </c>
      <c r="Z1" s="130" t="s">
        <v>48</v>
      </c>
      <c r="AA1" s="130" t="s">
        <v>49</v>
      </c>
      <c r="AB1" s="130" t="s">
        <v>50</v>
      </c>
      <c r="AC1" s="130" t="s">
        <v>51</v>
      </c>
      <c r="AI1" s="136">
        <v>2023</v>
      </c>
      <c r="AJ1" s="136">
        <v>2025</v>
      </c>
      <c r="AK1" s="136">
        <v>2030</v>
      </c>
      <c r="AL1" s="136">
        <v>2035</v>
      </c>
      <c r="AM1" s="136">
        <v>2040</v>
      </c>
      <c r="AN1" s="136">
        <v>2045</v>
      </c>
      <c r="AO1" s="136">
        <v>2050</v>
      </c>
      <c r="BS1" s="135"/>
      <c r="BT1" s="135"/>
      <c r="BU1" s="135"/>
    </row>
    <row r="2" s="2" customFormat="1" spans="2:73">
      <c r="B2" s="137" t="s">
        <v>52</v>
      </c>
      <c r="S2" s="138">
        <v>2023</v>
      </c>
      <c r="T2" s="138" t="s">
        <v>53</v>
      </c>
      <c r="U2" s="138" t="s">
        <v>54</v>
      </c>
      <c r="V2" s="138" t="s">
        <v>55</v>
      </c>
      <c r="W2" s="138" t="s">
        <v>56</v>
      </c>
      <c r="X2" s="138" t="s">
        <v>57</v>
      </c>
      <c r="Y2" s="138" t="s">
        <v>58</v>
      </c>
      <c r="Z2" s="138"/>
      <c r="AA2" s="138" t="s">
        <v>59</v>
      </c>
      <c r="AB2" s="139">
        <v>132.92732205738</v>
      </c>
      <c r="AC2" s="138" t="s">
        <v>60</v>
      </c>
      <c r="AH2" s="2" t="s">
        <v>61</v>
      </c>
      <c r="AI2" s="140">
        <v>132.92732205738</v>
      </c>
      <c r="AJ2" s="140">
        <v>120.58407072348</v>
      </c>
      <c r="AK2" s="140">
        <v>104.442895902227</v>
      </c>
      <c r="AL2" s="140">
        <v>94.9480871838431</v>
      </c>
      <c r="AM2" s="140">
        <v>92.1084750593323</v>
      </c>
      <c r="AN2" s="140">
        <v>88.9611647549709</v>
      </c>
      <c r="AO2" s="140">
        <v>85.4532784654588</v>
      </c>
      <c r="AX2" t="s">
        <v>62</v>
      </c>
      <c r="AY2"/>
      <c r="AZ2" s="141"/>
      <c r="BE2" s="43" t="s">
        <v>63</v>
      </c>
      <c r="BL2" s="142" t="s">
        <v>62</v>
      </c>
      <c r="BS2" s="135"/>
      <c r="BT2" s="135"/>
      <c r="BU2" s="135"/>
    </row>
    <row r="3" s="2" customFormat="1" spans="2:73">
      <c r="F3" s="143" t="s">
        <v>64</v>
      </c>
      <c r="G3" s="144"/>
      <c r="H3" s="144"/>
      <c r="I3" s="144"/>
      <c r="S3" s="138">
        <v>2025</v>
      </c>
      <c r="T3" s="138" t="s">
        <v>53</v>
      </c>
      <c r="U3" s="138" t="s">
        <v>54</v>
      </c>
      <c r="V3" s="138" t="s">
        <v>55</v>
      </c>
      <c r="W3" s="138" t="s">
        <v>56</v>
      </c>
      <c r="X3" s="138" t="s">
        <v>57</v>
      </c>
      <c r="Y3" s="138" t="s">
        <v>58</v>
      </c>
      <c r="Z3" s="138"/>
      <c r="AA3" s="138" t="s">
        <v>59</v>
      </c>
      <c r="AB3" s="139">
        <v>120.58407072348</v>
      </c>
      <c r="AC3" s="138"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1" t="s">
        <v>65</v>
      </c>
      <c r="AY3" s="141" t="s">
        <v>41</v>
      </c>
      <c r="AZ3" s="145" t="s">
        <v>66</v>
      </c>
      <c r="BA3" s="145" t="s">
        <v>11</v>
      </c>
      <c r="BB3" s="145" t="s">
        <v>25</v>
      </c>
      <c r="BE3" s="2" t="s">
        <v>65</v>
      </c>
      <c r="BF3" s="2" t="s">
        <v>41</v>
      </c>
      <c r="BG3" s="2" t="s">
        <v>66</v>
      </c>
      <c r="BH3" s="2" t="s">
        <v>11</v>
      </c>
      <c r="BI3" s="2" t="s">
        <v>25</v>
      </c>
      <c r="BL3" s="2" t="s">
        <v>65</v>
      </c>
      <c r="BM3" s="2" t="s">
        <v>41</v>
      </c>
      <c r="BN3" s="2" t="s">
        <v>66</v>
      </c>
      <c r="BO3" s="2" t="s">
        <v>11</v>
      </c>
      <c r="BP3" s="2" t="s">
        <v>25</v>
      </c>
      <c r="BS3" s="135" t="s">
        <v>66</v>
      </c>
      <c r="BT3" s="135" t="s">
        <v>11</v>
      </c>
      <c r="BU3" s="135" t="s">
        <v>25</v>
      </c>
    </row>
    <row r="4" s="2" customFormat="1" spans="2:73">
      <c r="F4" s="143" t="s">
        <v>65</v>
      </c>
      <c r="G4" s="143" t="s">
        <v>66</v>
      </c>
      <c r="H4" s="143" t="s">
        <v>11</v>
      </c>
      <c r="I4" s="143" t="s">
        <v>25</v>
      </c>
      <c r="S4" s="138">
        <v>2030</v>
      </c>
      <c r="T4" s="138" t="s">
        <v>53</v>
      </c>
      <c r="U4" s="138" t="s">
        <v>54</v>
      </c>
      <c r="V4" s="138" t="s">
        <v>55</v>
      </c>
      <c r="W4" s="138" t="s">
        <v>56</v>
      </c>
      <c r="X4" s="138" t="s">
        <v>57</v>
      </c>
      <c r="Y4" s="138" t="s">
        <v>58</v>
      </c>
      <c r="Z4" s="138"/>
      <c r="AA4" s="138" t="s">
        <v>59</v>
      </c>
      <c r="AB4" s="139">
        <v>104.442895902227</v>
      </c>
      <c r="AC4" s="138"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1" t="s">
        <v>67</v>
      </c>
      <c r="AY4" s="141">
        <v>2023</v>
      </c>
      <c r="AZ4" s="141">
        <f>G5</f>
        <v>80.3831766666667</v>
      </c>
      <c r="BA4" s="141">
        <f>H5</f>
        <v>55.48673</v>
      </c>
      <c r="BB4" s="141">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5">
        <v>80.3831766666667</v>
      </c>
      <c r="BT4" s="135">
        <v>55.48673</v>
      </c>
      <c r="BU4" s="135">
        <v>106.82505</v>
      </c>
    </row>
    <row r="5" s="2" customFormat="1" ht="28" customHeight="1" spans="2:73">
      <c r="B5" s="146" t="s">
        <v>70</v>
      </c>
      <c r="F5" s="143" t="s">
        <v>71</v>
      </c>
      <c r="G5" s="144">
        <f>[3]R_strategies_n_GridBattery!$D$131</f>
        <v>80.3831766666667</v>
      </c>
      <c r="H5" s="144">
        <f>[3]R_strategies_n_GridBattery!$E$131</f>
        <v>55.48673</v>
      </c>
      <c r="I5" s="144">
        <f>[3]R_strategies_n_GridBattery!$F$131</f>
        <v>106.82505</v>
      </c>
      <c r="S5" s="138">
        <v>2035</v>
      </c>
      <c r="T5" s="138" t="s">
        <v>53</v>
      </c>
      <c r="U5" s="138" t="s">
        <v>54</v>
      </c>
      <c r="V5" s="138" t="s">
        <v>55</v>
      </c>
      <c r="W5" s="138" t="s">
        <v>56</v>
      </c>
      <c r="X5" s="138" t="s">
        <v>57</v>
      </c>
      <c r="Y5" s="138" t="s">
        <v>58</v>
      </c>
      <c r="Z5" s="138"/>
      <c r="AA5" s="138" t="s">
        <v>59</v>
      </c>
      <c r="AB5" s="139">
        <v>94.9480871838431</v>
      </c>
      <c r="AC5" s="138"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1" t="s">
        <v>72</v>
      </c>
      <c r="AY5" s="141">
        <f>AY4</f>
        <v>2023</v>
      </c>
      <c r="AZ5" s="141">
        <f t="shared" ref="AZ5:AZ10" si="14">G6</f>
        <v>95.4086</v>
      </c>
      <c r="BA5" s="141">
        <f t="shared" ref="BA5:BA10" si="15">H6</f>
        <v>66.32565</v>
      </c>
      <c r="BB5" s="141">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5">
        <v>95.4086</v>
      </c>
      <c r="BT5" s="135">
        <v>66.32565</v>
      </c>
      <c r="BU5" s="135">
        <v>126.26355</v>
      </c>
    </row>
    <row r="6" s="2" customFormat="1" spans="2:73">
      <c r="F6" s="143" t="s">
        <v>75</v>
      </c>
      <c r="G6" s="144">
        <f>[3]R_strategies_n_GridBattery!$D$132</f>
        <v>95.4086</v>
      </c>
      <c r="H6" s="144">
        <f>[3]R_strategies_n_GridBattery!$E$132</f>
        <v>66.32565</v>
      </c>
      <c r="I6" s="144">
        <f>[3]R_strategies_n_GridBattery!$F$132</f>
        <v>126.26355</v>
      </c>
      <c r="S6" s="138">
        <v>2040</v>
      </c>
      <c r="T6" s="138" t="s">
        <v>53</v>
      </c>
      <c r="U6" s="138" t="s">
        <v>54</v>
      </c>
      <c r="V6" s="138" t="s">
        <v>55</v>
      </c>
      <c r="W6" s="138" t="s">
        <v>56</v>
      </c>
      <c r="X6" s="138" t="s">
        <v>57</v>
      </c>
      <c r="Y6" s="138" t="s">
        <v>58</v>
      </c>
      <c r="Z6" s="138"/>
      <c r="AA6" s="138" t="s">
        <v>59</v>
      </c>
      <c r="AB6" s="139">
        <v>92.1084750593323</v>
      </c>
      <c r="AC6" s="138"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1" t="s">
        <v>76</v>
      </c>
      <c r="AY6" s="141">
        <f t="shared" ref="AY6:AY11" si="17">AY5</f>
        <v>2023</v>
      </c>
      <c r="AZ6" s="141">
        <f t="shared" si="14"/>
        <v>85.3476966666666</v>
      </c>
      <c r="BA6" s="141">
        <f t="shared" si="15"/>
        <v>56.10147</v>
      </c>
      <c r="BB6" s="141">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5">
        <v>85.3476966666666</v>
      </c>
      <c r="BT6" s="135">
        <v>56.10147</v>
      </c>
      <c r="BU6" s="135">
        <v>116.32796</v>
      </c>
    </row>
    <row r="7" s="2" customFormat="1" spans="2:73">
      <c r="F7" s="143" t="s">
        <v>79</v>
      </c>
      <c r="G7" s="144">
        <f>[3]R_strategies_n_GridBattery!$D$133</f>
        <v>85.3476966666666</v>
      </c>
      <c r="H7" s="144">
        <f>[3]R_strategies_n_GridBattery!$E$133</f>
        <v>56.10147</v>
      </c>
      <c r="I7" s="144">
        <f>[3]R_strategies_n_GridBattery!$F$133</f>
        <v>116.32796</v>
      </c>
      <c r="S7" s="138">
        <v>2045</v>
      </c>
      <c r="T7" s="138" t="s">
        <v>53</v>
      </c>
      <c r="U7" s="138" t="s">
        <v>54</v>
      </c>
      <c r="V7" s="138" t="s">
        <v>55</v>
      </c>
      <c r="W7" s="138" t="s">
        <v>56</v>
      </c>
      <c r="X7" s="138" t="s">
        <v>57</v>
      </c>
      <c r="Y7" s="138" t="s">
        <v>58</v>
      </c>
      <c r="Z7" s="138"/>
      <c r="AA7" s="138" t="s">
        <v>59</v>
      </c>
      <c r="AB7" s="139">
        <v>88.9611647549709</v>
      </c>
      <c r="AC7" s="138"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1" t="s">
        <v>80</v>
      </c>
      <c r="AY7" s="141">
        <f t="shared" si="17"/>
        <v>2023</v>
      </c>
      <c r="AZ7" s="141">
        <f t="shared" si="14"/>
        <v>85.52157</v>
      </c>
      <c r="BA7" s="141">
        <f t="shared" si="15"/>
        <v>55.55951</v>
      </c>
      <c r="BB7" s="141">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5">
        <v>85.52157</v>
      </c>
      <c r="BT7" s="135">
        <v>55.55951</v>
      </c>
      <c r="BU7" s="135">
        <v>117.30431</v>
      </c>
    </row>
    <row r="8" s="2" customFormat="1" ht="29" spans="2:73">
      <c r="B8" s="146" t="s">
        <v>83</v>
      </c>
      <c r="F8" s="143" t="s">
        <v>84</v>
      </c>
      <c r="G8" s="144">
        <f>[3]R_strategies_n_GridBattery!$D$134</f>
        <v>85.52157</v>
      </c>
      <c r="H8" s="144">
        <f>[3]R_strategies_n_GridBattery!$E$134</f>
        <v>55.55951</v>
      </c>
      <c r="I8" s="144">
        <f>[3]R_strategies_n_GridBattery!$F$134</f>
        <v>117.30431</v>
      </c>
      <c r="S8" s="138">
        <v>2050</v>
      </c>
      <c r="T8" s="138" t="s">
        <v>53</v>
      </c>
      <c r="U8" s="138" t="s">
        <v>54</v>
      </c>
      <c r="V8" s="138" t="s">
        <v>55</v>
      </c>
      <c r="W8" s="138" t="s">
        <v>56</v>
      </c>
      <c r="X8" s="138" t="s">
        <v>57</v>
      </c>
      <c r="Y8" s="138" t="s">
        <v>58</v>
      </c>
      <c r="Z8" s="138"/>
      <c r="AA8" s="138" t="s">
        <v>59</v>
      </c>
      <c r="AB8" s="139">
        <v>85.4532784654588</v>
      </c>
      <c r="AC8" s="138"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1" t="s">
        <v>85</v>
      </c>
      <c r="AY8" s="141">
        <f t="shared" si="17"/>
        <v>2023</v>
      </c>
      <c r="AZ8" s="141">
        <f t="shared" si="14"/>
        <v>90.0929166666666</v>
      </c>
      <c r="BA8" s="141">
        <f t="shared" si="15"/>
        <v>59.3677</v>
      </c>
      <c r="BB8" s="141">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5">
        <v>90.0929166666666</v>
      </c>
      <c r="BT8" s="135">
        <v>59.3677</v>
      </c>
      <c r="BU8" s="135">
        <v>122.66905</v>
      </c>
    </row>
    <row r="9" s="2" customFormat="1" spans="2:73">
      <c r="F9" s="143" t="s">
        <v>88</v>
      </c>
      <c r="G9" s="144">
        <f>[3]R_strategies_n_GridBattery!$D$135</f>
        <v>90.0929166666666</v>
      </c>
      <c r="H9" s="144">
        <f>[3]R_strategies_n_GridBattery!$E$135</f>
        <v>59.3677</v>
      </c>
      <c r="I9" s="144">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1" t="s">
        <v>89</v>
      </c>
      <c r="AY9" s="141">
        <f t="shared" si="17"/>
        <v>2023</v>
      </c>
      <c r="AZ9" s="141">
        <f t="shared" si="14"/>
        <v>86.9222166666667</v>
      </c>
      <c r="BA9" s="141">
        <f t="shared" si="15"/>
        <v>57.33755</v>
      </c>
      <c r="BB9" s="141">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5">
        <v>86.9222166666667</v>
      </c>
      <c r="BT9" s="135">
        <v>57.33755</v>
      </c>
      <c r="BU9" s="135">
        <v>118.2723</v>
      </c>
    </row>
    <row r="10" s="2" customFormat="1" spans="2:73">
      <c r="F10" s="143" t="s">
        <v>92</v>
      </c>
      <c r="G10" s="144">
        <f>[3]R_strategies_n_GridBattery!$D$136</f>
        <v>86.9222166666667</v>
      </c>
      <c r="H10" s="144">
        <f>[3]R_strategies_n_GridBattery!$E$136</f>
        <v>57.33755</v>
      </c>
      <c r="I10" s="144">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1" t="s">
        <v>93</v>
      </c>
      <c r="AY10" s="141">
        <f t="shared" si="17"/>
        <v>2023</v>
      </c>
      <c r="AZ10" s="141">
        <f t="shared" si="14"/>
        <v>89.5526666666667</v>
      </c>
      <c r="BA10" s="141">
        <f t="shared" si="15"/>
        <v>59.98948</v>
      </c>
      <c r="BB10" s="141">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5">
        <v>89.5526666666667</v>
      </c>
      <c r="BT10" s="135">
        <v>59.98948</v>
      </c>
      <c r="BU10" s="135">
        <v>120.87452</v>
      </c>
    </row>
    <row r="11" s="2" customFormat="1" spans="2:73">
      <c r="F11" s="143" t="s">
        <v>96</v>
      </c>
      <c r="G11" s="144">
        <f>[3]R_strategies_n_GridBattery!$D$137</f>
        <v>89.5526666666667</v>
      </c>
      <c r="H11" s="144">
        <f>[3]R_strategies_n_GridBattery!$E$137</f>
        <v>59.98948</v>
      </c>
      <c r="I11" s="144">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4"/>
      <c r="AW11" s="134"/>
      <c r="AX11" s="147"/>
      <c r="AY11" s="141"/>
      <c r="AZ11" s="147"/>
      <c r="BA11" s="147"/>
      <c r="BB11" s="147"/>
      <c r="BC11" s="134"/>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5">
        <v>162.093333333333</v>
      </c>
      <c r="BT11" s="135">
        <v>162.093333333333</v>
      </c>
      <c r="BU11" s="135">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5"/>
      <c r="BT12" s="135"/>
      <c r="BU12" s="135"/>
    </row>
    <row r="14" s="2" customFormat="1" spans="2:73">
      <c r="AM14" s="2">
        <f>AM2/AL2</f>
        <v>0.97009300335864</v>
      </c>
      <c r="AN14" s="2">
        <f>AN2/AM2</f>
        <v>0.965830393974778</v>
      </c>
      <c r="AO14" s="2">
        <f>AO2/AN2</f>
        <v>0.96056834126246</v>
      </c>
      <c r="BS14" s="135"/>
      <c r="BT14" s="135"/>
      <c r="BU14" s="135"/>
    </row>
    <row r="15" spans="2:73">
      <c r="AX15" t="s">
        <v>62</v>
      </c>
      <c r="AY15"/>
      <c r="AZ15" s="141"/>
      <c r="BE15" s="2" t="s">
        <v>63</v>
      </c>
      <c r="BL15" s="2" t="s">
        <v>62</v>
      </c>
    </row>
    <row r="16" s="2" customFormat="1" spans="2:73">
      <c r="AX16" s="141" t="s">
        <v>65</v>
      </c>
      <c r="AY16" s="141" t="s">
        <v>41</v>
      </c>
      <c r="AZ16" s="145" t="s">
        <v>66</v>
      </c>
      <c r="BA16" s="145" t="s">
        <v>11</v>
      </c>
      <c r="BB16" s="145" t="s">
        <v>25</v>
      </c>
      <c r="BE16" s="2" t="s">
        <v>65</v>
      </c>
      <c r="BF16" s="2" t="s">
        <v>41</v>
      </c>
      <c r="BG16" s="2" t="s">
        <v>66</v>
      </c>
      <c r="BH16" s="2" t="s">
        <v>11</v>
      </c>
      <c r="BI16" s="2" t="s">
        <v>25</v>
      </c>
      <c r="BL16" s="2" t="s">
        <v>65</v>
      </c>
      <c r="BM16" s="2" t="s">
        <v>41</v>
      </c>
      <c r="BN16" s="2" t="s">
        <v>66</v>
      </c>
      <c r="BO16" s="2" t="s">
        <v>11</v>
      </c>
      <c r="BP16" s="2" t="s">
        <v>25</v>
      </c>
      <c r="BS16" s="135" t="s">
        <v>66</v>
      </c>
      <c r="BT16" s="135" t="s">
        <v>11</v>
      </c>
      <c r="BU16" s="135" t="s">
        <v>25</v>
      </c>
    </row>
    <row r="17" s="2" customFormat="1" spans="2:73">
      <c r="AX17" s="141" t="s">
        <v>67</v>
      </c>
      <c r="AY17" s="141">
        <v>2025</v>
      </c>
      <c r="AZ17" s="141">
        <f t="shared" ref="AZ17:AZ24" si="18">AZ4*AJ2/AI2</f>
        <v>72.9190245476188</v>
      </c>
      <c r="BA17" s="141">
        <f>BA4*AJ2/AI2</f>
        <v>50.3343907857141</v>
      </c>
      <c r="BB17" s="141">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5">
        <v>72.9190245476188</v>
      </c>
      <c r="BT17" s="135">
        <v>50.3343907857141</v>
      </c>
      <c r="BU17" s="135">
        <v>96.9055810714282</v>
      </c>
    </row>
    <row r="18" s="2" customFormat="1" spans="2:73">
      <c r="AX18" s="141" t="s">
        <v>72</v>
      </c>
      <c r="AY18" s="141">
        <f t="shared" ref="AY18:AY24" si="25">AY17</f>
        <v>2025</v>
      </c>
      <c r="AZ18" s="141">
        <f t="shared" si="18"/>
        <v>86.5492299999997</v>
      </c>
      <c r="BA18" s="141">
        <f t="shared" ref="BA18:BA24" si="26">BA5*AJ3/AI3</f>
        <v>60.1668396428569</v>
      </c>
      <c r="BB18" s="141">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5">
        <v>86.5492299999997</v>
      </c>
      <c r="BT18" s="135">
        <v>60.1668396428569</v>
      </c>
      <c r="BU18" s="135">
        <v>114.5390775</v>
      </c>
    </row>
    <row r="19" s="2" customFormat="1" spans="2:73">
      <c r="AX19" s="141" t="s">
        <v>76</v>
      </c>
      <c r="AY19" s="141">
        <f t="shared" si="25"/>
        <v>2025</v>
      </c>
      <c r="AZ19" s="141">
        <f t="shared" si="18"/>
        <v>77.4225534047616</v>
      </c>
      <c r="BA19" s="141">
        <f t="shared" si="26"/>
        <v>50.8920477857141</v>
      </c>
      <c r="BB19" s="141">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5">
        <v>77.4225534047616</v>
      </c>
      <c r="BT19" s="135">
        <v>50.8920477857141</v>
      </c>
      <c r="BU19" s="135">
        <v>105.526078</v>
      </c>
    </row>
    <row r="20" s="2" customFormat="1" spans="2:73">
      <c r="AX20" s="141" t="s">
        <v>80</v>
      </c>
      <c r="AY20" s="141">
        <f t="shared" si="25"/>
        <v>2025</v>
      </c>
      <c r="AZ20" s="141">
        <f t="shared" si="18"/>
        <v>77.5802813571426</v>
      </c>
      <c r="BA20" s="141">
        <f t="shared" si="26"/>
        <v>50.400412642857</v>
      </c>
      <c r="BB20" s="141">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5">
        <v>77.5802813571426</v>
      </c>
      <c r="BT20" s="135">
        <v>50.400412642857</v>
      </c>
      <c r="BU20" s="135">
        <v>106.411766928571</v>
      </c>
    </row>
    <row r="21" s="2" customFormat="1" spans="2:73">
      <c r="AX21" s="141" t="s">
        <v>85</v>
      </c>
      <c r="AY21" s="141">
        <f t="shared" si="25"/>
        <v>2025</v>
      </c>
      <c r="AZ21" s="141">
        <f t="shared" si="18"/>
        <v>81.727145833333</v>
      </c>
      <c r="BA21" s="141">
        <f t="shared" si="26"/>
        <v>53.8549849999998</v>
      </c>
      <c r="BB21" s="141">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5">
        <v>81.727145833333</v>
      </c>
      <c r="BT21" s="135">
        <v>53.8549849999998</v>
      </c>
      <c r="BU21" s="135">
        <v>111.2783525</v>
      </c>
    </row>
    <row r="22" s="2" customFormat="1" spans="2:73">
      <c r="AX22" s="141" t="s">
        <v>89</v>
      </c>
      <c r="AY22" s="141">
        <f t="shared" si="25"/>
        <v>2025</v>
      </c>
      <c r="AZ22" s="141">
        <f t="shared" si="18"/>
        <v>78.8508679761902</v>
      </c>
      <c r="BA22" s="141">
        <f t="shared" si="26"/>
        <v>52.0133489285712</v>
      </c>
      <c r="BB22" s="141">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5">
        <v>78.8508679761902</v>
      </c>
      <c r="BT22" s="135">
        <v>52.0133489285712</v>
      </c>
      <c r="BU22" s="135">
        <v>107.289872142857</v>
      </c>
    </row>
    <row r="23" s="2" customFormat="1" spans="2:73">
      <c r="AX23" s="141" t="s">
        <v>93</v>
      </c>
      <c r="AY23" s="141">
        <f t="shared" si="25"/>
        <v>2025</v>
      </c>
      <c r="AZ23" s="141">
        <f t="shared" si="18"/>
        <v>81.2370619047616</v>
      </c>
      <c r="BA23" s="141">
        <f t="shared" si="26"/>
        <v>54.4190282857141</v>
      </c>
      <c r="BB23" s="141">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5">
        <v>81.2370619047616</v>
      </c>
      <c r="BT23" s="135">
        <v>54.4190282857141</v>
      </c>
      <c r="BU23" s="135">
        <v>109.650457428571</v>
      </c>
    </row>
    <row r="24" s="2" customFormat="1" spans="2:73">
      <c r="AW24" s="134"/>
      <c r="AX24" s="147"/>
      <c r="AY24" s="141"/>
      <c r="AZ24" s="141"/>
      <c r="BA24" s="141"/>
      <c r="BB24" s="141"/>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5">
        <v>147.041809523809</v>
      </c>
      <c r="BT24" s="135">
        <v>147.041809523809</v>
      </c>
      <c r="BU24" s="135">
        <v>147.041809523809</v>
      </c>
    </row>
    <row r="25" s="134" customFormat="1" spans="2:73">
      <c r="AV25" s="2"/>
      <c r="AW25" s="2"/>
      <c r="AX25" s="2"/>
      <c r="AY25" s="2"/>
      <c r="AZ25" s="2"/>
      <c r="BA25" s="2"/>
      <c r="BB25" s="2"/>
      <c r="BC25" s="2"/>
      <c r="BS25" s="148"/>
      <c r="BT25" s="148"/>
      <c r="BU25" s="148"/>
    </row>
    <row r="30" spans="2:73">
      <c r="AX30" t="s">
        <v>62</v>
      </c>
      <c r="AY30"/>
      <c r="AZ30" s="141"/>
      <c r="BE30" s="2" t="s">
        <v>63</v>
      </c>
      <c r="BL30" s="2" t="s">
        <v>62</v>
      </c>
    </row>
    <row r="31" spans="2:73">
      <c r="AW31" s="149"/>
      <c r="AX31" s="141" t="s">
        <v>65</v>
      </c>
      <c r="AY31" s="141" t="s">
        <v>41</v>
      </c>
      <c r="AZ31" s="145" t="s">
        <v>66</v>
      </c>
      <c r="BA31" s="145" t="s">
        <v>11</v>
      </c>
      <c r="BB31" s="145" t="s">
        <v>25</v>
      </c>
      <c r="BE31" s="2" t="s">
        <v>65</v>
      </c>
      <c r="BF31" s="2" t="s">
        <v>41</v>
      </c>
      <c r="BG31" s="2" t="s">
        <v>66</v>
      </c>
      <c r="BH31" s="2" t="s">
        <v>11</v>
      </c>
      <c r="BI31" s="2" t="s">
        <v>25</v>
      </c>
      <c r="BL31" s="2" t="s">
        <v>65</v>
      </c>
      <c r="BM31" s="2" t="s">
        <v>41</v>
      </c>
      <c r="BN31" s="2" t="s">
        <v>66</v>
      </c>
      <c r="BO31" s="2" t="s">
        <v>11</v>
      </c>
      <c r="BP31" s="2" t="s">
        <v>25</v>
      </c>
      <c r="BS31" s="135" t="s">
        <v>66</v>
      </c>
      <c r="BT31" s="135" t="s">
        <v>11</v>
      </c>
      <c r="BU31" s="135" t="s">
        <v>25</v>
      </c>
    </row>
    <row r="32" spans="2:73">
      <c r="B32" s="52" t="s">
        <v>99</v>
      </c>
      <c r="C32" s="52" t="s">
        <v>100</v>
      </c>
      <c r="AW32" s="141"/>
      <c r="AX32" s="141" t="s">
        <v>67</v>
      </c>
      <c r="AY32" s="141">
        <v>2030</v>
      </c>
      <c r="AZ32" s="141">
        <f>AZ17*AK2/AJ2</f>
        <v>63.1582102380952</v>
      </c>
      <c r="BA32" s="141">
        <f>BA17*AK2/AJ2</f>
        <v>43.5967164285714</v>
      </c>
      <c r="BB32" s="141">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5">
        <v>63.1582102380952</v>
      </c>
      <c r="BT32" s="135">
        <v>43.5967164285714</v>
      </c>
      <c r="BU32" s="135">
        <v>83.9339678571427</v>
      </c>
    </row>
    <row r="33" spans="2:73">
      <c r="B33" s="52">
        <v>121.57</v>
      </c>
      <c r="C33" s="52">
        <f>B33/0.75</f>
        <v>162.093333333333</v>
      </c>
      <c r="AW33" s="141"/>
      <c r="AX33" s="141" t="s">
        <v>72</v>
      </c>
      <c r="AY33" s="141">
        <f t="shared" ref="AY33:AY39" si="34">AY32</f>
        <v>2030</v>
      </c>
      <c r="AZ33" s="141">
        <f t="shared" ref="AZ33:AZ39" si="35">AZ18*AK3/AJ3</f>
        <v>74.9638999999999</v>
      </c>
      <c r="BA33" s="141">
        <f t="shared" ref="BA33:BA39" si="36">BA18*AK3/AJ3</f>
        <v>52.1130107142856</v>
      </c>
      <c r="BB33" s="141">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5">
        <v>74.9638999999999</v>
      </c>
      <c r="BT33" s="135">
        <v>52.1130107142856</v>
      </c>
      <c r="BU33" s="135">
        <v>99.2070749999999</v>
      </c>
    </row>
    <row r="34" spans="2:73">
      <c r="AW34" s="141"/>
      <c r="AX34" s="141" t="s">
        <v>76</v>
      </c>
      <c r="AY34" s="141">
        <f t="shared" si="34"/>
        <v>2030</v>
      </c>
      <c r="AZ34" s="141">
        <f t="shared" si="35"/>
        <v>67.0589045238094</v>
      </c>
      <c r="BA34" s="141">
        <f t="shared" si="36"/>
        <v>44.0797264285714</v>
      </c>
      <c r="BB34" s="141">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5">
        <v>67.0589045238094</v>
      </c>
      <c r="BT34" s="135">
        <v>44.0797264285714</v>
      </c>
      <c r="BU34" s="135">
        <v>91.4005399999999</v>
      </c>
    </row>
    <row r="35" spans="2:73">
      <c r="AW35" s="141"/>
      <c r="AX35" s="141" t="s">
        <v>80</v>
      </c>
      <c r="AY35" s="141">
        <f t="shared" si="34"/>
        <v>2030</v>
      </c>
      <c r="AZ35" s="141">
        <f t="shared" si="35"/>
        <v>67.1955192857142</v>
      </c>
      <c r="BA35" s="141">
        <f t="shared" si="36"/>
        <v>43.6539007142857</v>
      </c>
      <c r="BB35" s="141">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5">
        <v>67.1955192857142</v>
      </c>
      <c r="BT35" s="135">
        <v>43.6539007142857</v>
      </c>
      <c r="BU35" s="135">
        <v>92.167672142857</v>
      </c>
    </row>
    <row r="36" spans="2:73">
      <c r="AW36" s="141"/>
      <c r="AX36" s="141" t="s">
        <v>85</v>
      </c>
      <c r="AY36" s="141">
        <f t="shared" si="34"/>
        <v>2030</v>
      </c>
      <c r="AZ36" s="141">
        <f t="shared" si="35"/>
        <v>70.7872916666665</v>
      </c>
      <c r="BA36" s="141">
        <f t="shared" si="36"/>
        <v>46.6460499999999</v>
      </c>
      <c r="BB36" s="141">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5">
        <v>70.7872916666665</v>
      </c>
      <c r="BT36" s="135">
        <v>46.6460499999999</v>
      </c>
      <c r="BU36" s="135">
        <v>96.3828249999999</v>
      </c>
    </row>
    <row r="37" spans="2:73">
      <c r="AW37" s="141"/>
      <c r="AX37" s="141" t="s">
        <v>89</v>
      </c>
      <c r="AY37" s="141">
        <f t="shared" si="34"/>
        <v>2030</v>
      </c>
      <c r="AZ37" s="141">
        <f t="shared" si="35"/>
        <v>68.2960273809523</v>
      </c>
      <c r="BA37" s="141">
        <f t="shared" si="36"/>
        <v>45.0509321428571</v>
      </c>
      <c r="BB37" s="141">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5">
        <v>68.2960273809523</v>
      </c>
      <c r="BT37" s="135">
        <v>45.0509321428571</v>
      </c>
      <c r="BU37" s="135">
        <v>92.9282357142856</v>
      </c>
    </row>
    <row r="38" spans="2:73">
      <c r="AW38" s="141"/>
      <c r="AX38" s="141" t="s">
        <v>93</v>
      </c>
      <c r="AY38" s="141">
        <f t="shared" si="34"/>
        <v>2030</v>
      </c>
      <c r="AZ38" s="141">
        <f t="shared" si="35"/>
        <v>70.3628095238094</v>
      </c>
      <c r="BA38" s="141">
        <f t="shared" si="36"/>
        <v>47.1345914285714</v>
      </c>
      <c r="BB38" s="141">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5">
        <v>70.3628095238094</v>
      </c>
      <c r="BT38" s="135">
        <v>47.1345914285714</v>
      </c>
      <c r="BU38" s="135">
        <v>94.972837142857</v>
      </c>
    </row>
    <row r="39" spans="2:73">
      <c r="AW39" s="147"/>
      <c r="AX39" s="147"/>
      <c r="AY39" s="141"/>
      <c r="AZ39" s="141"/>
      <c r="BA39" s="141"/>
      <c r="BB39" s="141"/>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5">
        <v>127.359047619047</v>
      </c>
      <c r="BT39" s="135">
        <v>127.359047619047</v>
      </c>
      <c r="BU39" s="135">
        <v>127.359047619047</v>
      </c>
    </row>
    <row r="44" spans="2:73">
      <c r="AX44" t="s">
        <v>62</v>
      </c>
      <c r="AY44"/>
      <c r="AZ44" s="141"/>
      <c r="BE44" s="2" t="s">
        <v>63</v>
      </c>
      <c r="BL44" s="2" t="s">
        <v>62</v>
      </c>
    </row>
    <row r="45" spans="2:73">
      <c r="AX45" s="141" t="s">
        <v>65</v>
      </c>
      <c r="AY45" s="141" t="s">
        <v>41</v>
      </c>
      <c r="AZ45" s="145" t="s">
        <v>66</v>
      </c>
      <c r="BA45" s="145" t="s">
        <v>11</v>
      </c>
      <c r="BB45" s="145" t="s">
        <v>25</v>
      </c>
      <c r="BE45" s="2" t="s">
        <v>65</v>
      </c>
      <c r="BF45" s="2" t="s">
        <v>41</v>
      </c>
      <c r="BG45" s="2" t="s">
        <v>66</v>
      </c>
      <c r="BH45" s="2" t="s">
        <v>11</v>
      </c>
      <c r="BI45" s="2" t="s">
        <v>25</v>
      </c>
      <c r="BL45" s="2" t="s">
        <v>65</v>
      </c>
      <c r="BM45" s="2" t="s">
        <v>41</v>
      </c>
      <c r="BN45" s="2" t="s">
        <v>66</v>
      </c>
      <c r="BO45" s="2" t="s">
        <v>11</v>
      </c>
      <c r="BP45" s="2" t="s">
        <v>25</v>
      </c>
      <c r="BS45" s="135" t="s">
        <v>66</v>
      </c>
      <c r="BT45" s="135" t="s">
        <v>11</v>
      </c>
      <c r="BU45" s="135" t="s">
        <v>25</v>
      </c>
    </row>
    <row r="46" spans="2:73">
      <c r="B46"/>
      <c r="C46" s="141"/>
      <c r="AX46" s="141" t="s">
        <v>67</v>
      </c>
      <c r="AY46" s="141">
        <v>2035</v>
      </c>
      <c r="AZ46" s="141">
        <f>AZ32*AL2/AK2</f>
        <v>57.4165547619049</v>
      </c>
      <c r="BA46" s="141">
        <f>BA32*AL2/AK2</f>
        <v>39.6333785714287</v>
      </c>
      <c r="BB46" s="141">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5">
        <v>57.4165547619049</v>
      </c>
      <c r="BT46" s="135">
        <v>39.6333785714287</v>
      </c>
      <c r="BU46" s="135">
        <v>76.3036071428573</v>
      </c>
    </row>
    <row r="47" spans="2:73">
      <c r="B47" s="141"/>
      <c r="C47" s="145"/>
      <c r="D47" s="145"/>
      <c r="E47" s="145"/>
      <c r="AX47" s="141" t="s">
        <v>72</v>
      </c>
      <c r="AY47" s="141">
        <f t="shared" ref="AY47:AY53" si="44">AY46</f>
        <v>2035</v>
      </c>
      <c r="AZ47" s="141">
        <f t="shared" ref="AZ47:AZ53" si="45">AZ33*AL3/AK3</f>
        <v>68.1490000000002</v>
      </c>
      <c r="BA47" s="141">
        <f t="shared" ref="BA47:BA53" si="46">BA33*AL3/AK3</f>
        <v>47.3754642857144</v>
      </c>
      <c r="BB47" s="141">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5">
        <v>68.1490000000002</v>
      </c>
      <c r="BT47" s="135">
        <v>47.3754642857144</v>
      </c>
      <c r="BU47" s="135">
        <v>90.1882500000002</v>
      </c>
    </row>
    <row r="48" spans="2:73">
      <c r="B48" s="141"/>
      <c r="C48" s="141"/>
      <c r="D48" s="141"/>
      <c r="E48" s="141"/>
      <c r="AX48" s="141" t="s">
        <v>76</v>
      </c>
      <c r="AY48" s="141">
        <f t="shared" si="44"/>
        <v>2035</v>
      </c>
      <c r="AZ48" s="141">
        <f t="shared" si="45"/>
        <v>60.9626404761906</v>
      </c>
      <c r="BA48" s="141">
        <f t="shared" si="46"/>
        <v>40.0724785714287</v>
      </c>
      <c r="BB48" s="141">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5">
        <v>60.9626404761906</v>
      </c>
      <c r="BT48" s="135">
        <v>40.0724785714287</v>
      </c>
      <c r="BU48" s="135">
        <v>83.0914000000002</v>
      </c>
    </row>
    <row r="49" spans="2:73">
      <c r="B49" s="141"/>
      <c r="C49" s="141"/>
      <c r="D49" s="141"/>
      <c r="E49" s="141"/>
      <c r="AX49" s="141" t="s">
        <v>80</v>
      </c>
      <c r="AY49" s="141">
        <f t="shared" si="44"/>
        <v>2035</v>
      </c>
      <c r="AZ49" s="141">
        <f t="shared" si="45"/>
        <v>61.0868357142859</v>
      </c>
      <c r="BA49" s="141">
        <f t="shared" si="46"/>
        <v>39.6853642857144</v>
      </c>
      <c r="BB49" s="141">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5">
        <v>61.0868357142859</v>
      </c>
      <c r="BT49" s="135">
        <v>39.6853642857144</v>
      </c>
      <c r="BU49" s="135">
        <v>83.7887928571431</v>
      </c>
    </row>
    <row r="50" spans="2:73">
      <c r="B50" s="141"/>
      <c r="C50" s="141"/>
      <c r="D50" s="141"/>
      <c r="E50" s="141"/>
      <c r="AX50" s="141" t="s">
        <v>85</v>
      </c>
      <c r="AY50" s="141">
        <f t="shared" si="44"/>
        <v>2035</v>
      </c>
      <c r="AZ50" s="141">
        <f t="shared" si="45"/>
        <v>64.3520833333335</v>
      </c>
      <c r="BA50" s="141">
        <f t="shared" si="46"/>
        <v>42.4055000000001</v>
      </c>
      <c r="BB50" s="141">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5">
        <v>64.3520833333335</v>
      </c>
      <c r="BT50" s="135">
        <v>42.4055000000001</v>
      </c>
      <c r="BU50" s="135">
        <v>87.6207500000002</v>
      </c>
    </row>
    <row r="51" spans="2:73">
      <c r="B51" s="141"/>
      <c r="C51" s="141"/>
      <c r="D51" s="141"/>
      <c r="E51" s="141"/>
      <c r="AX51" s="141" t="s">
        <v>89</v>
      </c>
      <c r="AY51" s="141">
        <f t="shared" si="44"/>
        <v>2035</v>
      </c>
      <c r="AZ51" s="141">
        <f t="shared" si="45"/>
        <v>62.0872976190478</v>
      </c>
      <c r="BA51" s="141">
        <f t="shared" si="46"/>
        <v>40.955392857143</v>
      </c>
      <c r="BB51" s="141">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5">
        <v>62.0872976190478</v>
      </c>
      <c r="BT51" s="135">
        <v>40.955392857143</v>
      </c>
      <c r="BU51" s="135">
        <v>84.4802142857145</v>
      </c>
    </row>
    <row r="52" spans="2:73">
      <c r="B52" s="141"/>
      <c r="C52" s="141"/>
      <c r="D52" s="141"/>
      <c r="E52" s="141"/>
      <c r="AX52" s="141" t="s">
        <v>93</v>
      </c>
      <c r="AY52" s="141">
        <f t="shared" si="44"/>
        <v>2035</v>
      </c>
      <c r="AZ52" s="141">
        <f t="shared" si="45"/>
        <v>63.9661904761907</v>
      </c>
      <c r="BA52" s="141">
        <f t="shared" si="46"/>
        <v>42.8496285714287</v>
      </c>
      <c r="BB52" s="141">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5">
        <v>63.9661904761907</v>
      </c>
      <c r="BT52" s="135">
        <v>42.8496285714287</v>
      </c>
      <c r="BU52" s="135">
        <v>86.3389428571431</v>
      </c>
    </row>
    <row r="53" spans="2:73">
      <c r="B53" s="141"/>
      <c r="C53" s="141"/>
      <c r="D53" s="141"/>
      <c r="E53" s="141"/>
      <c r="AW53" s="134"/>
      <c r="AX53" s="147"/>
      <c r="AY53" s="141"/>
      <c r="AZ53" s="141"/>
      <c r="BA53" s="141"/>
      <c r="BB53" s="141"/>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5">
        <v>115.780952380953</v>
      </c>
      <c r="BT53" s="135">
        <v>115.780952380953</v>
      </c>
      <c r="BU53" s="135">
        <v>115.780952380953</v>
      </c>
    </row>
    <row r="54" spans="2:73">
      <c r="B54" s="141"/>
      <c r="C54" s="141"/>
      <c r="D54" s="141"/>
      <c r="E54" s="141"/>
    </row>
    <row r="55" spans="2:73">
      <c r="B55" s="150"/>
      <c r="C55" s="151"/>
      <c r="D55" s="151"/>
      <c r="E55" s="151"/>
    </row>
    <row r="58" spans="2:73">
      <c r="AX58" t="s">
        <v>62</v>
      </c>
      <c r="AY58"/>
      <c r="AZ58" s="141"/>
      <c r="BE58" s="2" t="s">
        <v>63</v>
      </c>
      <c r="BL58" s="2" t="s">
        <v>62</v>
      </c>
    </row>
    <row r="59" spans="2:73">
      <c r="AX59" s="141" t="s">
        <v>65</v>
      </c>
      <c r="AY59" s="141" t="s">
        <v>41</v>
      </c>
      <c r="AZ59" s="145" t="s">
        <v>66</v>
      </c>
      <c r="BA59" s="145" t="s">
        <v>11</v>
      </c>
      <c r="BB59" s="145" t="s">
        <v>25</v>
      </c>
      <c r="BE59" s="2" t="s">
        <v>65</v>
      </c>
      <c r="BF59" s="2" t="s">
        <v>41</v>
      </c>
      <c r="BG59" s="2" t="s">
        <v>66</v>
      </c>
      <c r="BH59" s="2" t="s">
        <v>11</v>
      </c>
      <c r="BI59" s="2" t="s">
        <v>25</v>
      </c>
      <c r="BL59" s="2" t="s">
        <v>65</v>
      </c>
      <c r="BM59" s="2" t="s">
        <v>41</v>
      </c>
      <c r="BN59" s="2" t="s">
        <v>66</v>
      </c>
      <c r="BO59" s="2" t="s">
        <v>11</v>
      </c>
      <c r="BP59" s="2" t="s">
        <v>25</v>
      </c>
      <c r="BS59" s="135" t="s">
        <v>66</v>
      </c>
      <c r="BT59" s="135" t="s">
        <v>11</v>
      </c>
      <c r="BU59" s="135" t="s">
        <v>25</v>
      </c>
    </row>
    <row r="60" spans="2:73">
      <c r="AX60" s="141" t="s">
        <v>67</v>
      </c>
      <c r="AY60" s="141">
        <v>2040</v>
      </c>
      <c r="AZ60" s="141">
        <f>AZ46*0.97</f>
        <v>55.6940581190478</v>
      </c>
      <c r="BA60" s="141">
        <f>BA46*0.97</f>
        <v>38.4443772142858</v>
      </c>
      <c r="BB60" s="141">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5">
        <v>55.6940581190478</v>
      </c>
      <c r="BT60" s="135">
        <v>38.4443772142858</v>
      </c>
      <c r="BU60" s="135">
        <v>74.0144989285716</v>
      </c>
    </row>
    <row r="61" spans="2:73">
      <c r="AX61" s="141" t="s">
        <v>72</v>
      </c>
      <c r="AY61" s="141">
        <f t="shared" ref="AY61:AY67" si="54">AY60</f>
        <v>2040</v>
      </c>
      <c r="AZ61" s="141">
        <f t="shared" ref="AZ61:AZ67" si="55">AZ47*0.97</f>
        <v>66.1045300000002</v>
      </c>
      <c r="BA61" s="141">
        <f t="shared" ref="BA61:BA67" si="56">BA47*0.97</f>
        <v>45.954200357143</v>
      </c>
      <c r="BB61" s="141">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5">
        <v>66.1045300000002</v>
      </c>
      <c r="BT61" s="135">
        <v>45.954200357143</v>
      </c>
      <c r="BU61" s="135">
        <v>87.4826025000002</v>
      </c>
    </row>
    <row r="62" spans="2:73">
      <c r="AX62" s="141" t="s">
        <v>76</v>
      </c>
      <c r="AY62" s="141">
        <f t="shared" si="54"/>
        <v>2040</v>
      </c>
      <c r="AZ62" s="141">
        <f t="shared" si="55"/>
        <v>59.1337612619049</v>
      </c>
      <c r="BA62" s="141">
        <f t="shared" si="56"/>
        <v>38.8703042142858</v>
      </c>
      <c r="BB62" s="141">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5">
        <v>59.1337612619049</v>
      </c>
      <c r="BT62" s="135">
        <v>38.8703042142858</v>
      </c>
      <c r="BU62" s="135">
        <v>80.5986580000002</v>
      </c>
    </row>
    <row r="63" spans="2:73">
      <c r="AX63" s="141" t="s">
        <v>80</v>
      </c>
      <c r="AY63" s="141">
        <f t="shared" si="54"/>
        <v>2040</v>
      </c>
      <c r="AZ63" s="141">
        <f t="shared" si="55"/>
        <v>59.2542306428573</v>
      </c>
      <c r="BA63" s="141">
        <f t="shared" si="56"/>
        <v>38.494803357143</v>
      </c>
      <c r="BB63" s="141">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5">
        <v>59.2542306428573</v>
      </c>
      <c r="BT63" s="135">
        <v>38.494803357143</v>
      </c>
      <c r="BU63" s="135">
        <v>81.2751290714288</v>
      </c>
    </row>
    <row r="64" spans="2:73">
      <c r="AX64" s="141" t="s">
        <v>85</v>
      </c>
      <c r="AY64" s="141">
        <f t="shared" si="54"/>
        <v>2040</v>
      </c>
      <c r="AZ64" s="141">
        <f t="shared" si="55"/>
        <v>62.4215208333334</v>
      </c>
      <c r="BA64" s="141">
        <f t="shared" si="56"/>
        <v>41.1333350000001</v>
      </c>
      <c r="BB64" s="141">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5">
        <v>62.4215208333334</v>
      </c>
      <c r="BT64" s="135">
        <v>41.1333350000001</v>
      </c>
      <c r="BU64" s="135">
        <v>84.9921275000002</v>
      </c>
    </row>
    <row r="65" spans="49:73">
      <c r="AX65" s="141" t="s">
        <v>89</v>
      </c>
      <c r="AY65" s="141">
        <f t="shared" si="54"/>
        <v>2040</v>
      </c>
      <c r="AZ65" s="141">
        <f t="shared" si="55"/>
        <v>60.2246786904764</v>
      </c>
      <c r="BA65" s="141">
        <f t="shared" si="56"/>
        <v>39.7267310714287</v>
      </c>
      <c r="BB65" s="141">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5">
        <v>60.2246786904764</v>
      </c>
      <c r="BT65" s="135">
        <v>39.7267310714287</v>
      </c>
      <c r="BU65" s="135">
        <v>81.9458078571431</v>
      </c>
    </row>
    <row r="66" spans="49:73">
      <c r="AX66" s="141" t="s">
        <v>93</v>
      </c>
      <c r="AY66" s="141">
        <f t="shared" si="54"/>
        <v>2040</v>
      </c>
      <c r="AZ66" s="141">
        <f t="shared" si="55"/>
        <v>62.0472047619049</v>
      </c>
      <c r="BA66" s="141">
        <f t="shared" si="56"/>
        <v>41.5641397142858</v>
      </c>
      <c r="BB66" s="141">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5">
        <v>62.0472047619049</v>
      </c>
      <c r="BT66" s="135">
        <v>41.5641397142858</v>
      </c>
      <c r="BU66" s="135">
        <v>83.7487745714288</v>
      </c>
    </row>
    <row r="67" spans="49:73">
      <c r="AW67" s="134"/>
      <c r="AX67" s="147"/>
      <c r="AY67" s="141"/>
      <c r="AZ67" s="141"/>
      <c r="BA67" s="141"/>
      <c r="BB67" s="141"/>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5">
        <v>112.307523809524</v>
      </c>
      <c r="BT67" s="135">
        <v>112.307523809524</v>
      </c>
      <c r="BU67" s="135">
        <v>112.307523809524</v>
      </c>
    </row>
    <row r="74" spans="49:73">
      <c r="AX74" t="s">
        <v>62</v>
      </c>
      <c r="AY74"/>
      <c r="AZ74" s="141"/>
      <c r="BE74" s="2" t="s">
        <v>63</v>
      </c>
      <c r="BL74" s="2" t="s">
        <v>62</v>
      </c>
    </row>
    <row r="75" spans="49:73">
      <c r="AX75" s="141" t="s">
        <v>65</v>
      </c>
      <c r="AY75" s="141" t="s">
        <v>41</v>
      </c>
      <c r="AZ75" s="145" t="s">
        <v>66</v>
      </c>
      <c r="BA75" s="145" t="s">
        <v>11</v>
      </c>
      <c r="BB75" s="145" t="s">
        <v>25</v>
      </c>
      <c r="BE75" s="2" t="s">
        <v>65</v>
      </c>
      <c r="BF75" s="2" t="s">
        <v>41</v>
      </c>
      <c r="BG75" s="2" t="s">
        <v>66</v>
      </c>
      <c r="BH75" s="2" t="s">
        <v>11</v>
      </c>
      <c r="BI75" s="2" t="s">
        <v>25</v>
      </c>
      <c r="BL75" s="2" t="s">
        <v>65</v>
      </c>
      <c r="BM75" s="2" t="s">
        <v>41</v>
      </c>
      <c r="BN75" s="2" t="s">
        <v>66</v>
      </c>
      <c r="BO75" s="2" t="s">
        <v>11</v>
      </c>
      <c r="BP75" s="2" t="s">
        <v>25</v>
      </c>
      <c r="BS75" s="135" t="s">
        <v>66</v>
      </c>
      <c r="BT75" s="135" t="s">
        <v>11</v>
      </c>
      <c r="BU75" s="135" t="s">
        <v>25</v>
      </c>
    </row>
    <row r="76" spans="49:73">
      <c r="AX76" s="141" t="s">
        <v>67</v>
      </c>
      <c r="AY76" s="141">
        <v>2045</v>
      </c>
      <c r="AZ76" s="141">
        <f>AZ60*0.96</f>
        <v>53.4662957942859</v>
      </c>
      <c r="BA76" s="141">
        <f>BA60*0.96</f>
        <v>36.9066021257144</v>
      </c>
      <c r="BB76" s="141">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5">
        <v>53.4662957942859</v>
      </c>
      <c r="BT76" s="135">
        <v>36.9066021257144</v>
      </c>
      <c r="BU76" s="135">
        <v>71.0539189714287</v>
      </c>
    </row>
    <row r="77" spans="49:73">
      <c r="AX77" s="141" t="s">
        <v>72</v>
      </c>
      <c r="AY77" s="141">
        <f t="shared" ref="AY77:AY83" si="64">AY76</f>
        <v>2045</v>
      </c>
      <c r="AZ77" s="141">
        <f t="shared" ref="AZ77:AZ83" si="65">AZ61*0.96</f>
        <v>63.4603488000002</v>
      </c>
      <c r="BA77" s="141">
        <f t="shared" ref="BA77:BA83" si="66">BA61*0.96</f>
        <v>44.1160323428573</v>
      </c>
      <c r="BB77" s="141">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5">
        <v>63.4603488000002</v>
      </c>
      <c r="BT77" s="135">
        <v>44.1160323428573</v>
      </c>
      <c r="BU77" s="135">
        <v>83.9832984000002</v>
      </c>
    </row>
    <row r="78" spans="49:73">
      <c r="AX78" s="141" t="s">
        <v>76</v>
      </c>
      <c r="AY78" s="141">
        <f t="shared" si="64"/>
        <v>2045</v>
      </c>
      <c r="AZ78" s="141">
        <f t="shared" si="65"/>
        <v>56.7684108114287</v>
      </c>
      <c r="BA78" s="141">
        <f t="shared" si="66"/>
        <v>37.3154920457144</v>
      </c>
      <c r="BB78" s="141">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5">
        <v>56.7684108114287</v>
      </c>
      <c r="BT78" s="135">
        <v>37.3154920457144</v>
      </c>
      <c r="BU78" s="135">
        <v>77.3747116800002</v>
      </c>
    </row>
    <row r="79" spans="49:73">
      <c r="AX79" s="141" t="s">
        <v>80</v>
      </c>
      <c r="AY79" s="141">
        <f t="shared" si="64"/>
        <v>2045</v>
      </c>
      <c r="AZ79" s="141">
        <f t="shared" si="65"/>
        <v>56.884061417143</v>
      </c>
      <c r="BA79" s="141">
        <f t="shared" si="66"/>
        <v>36.9550112228572</v>
      </c>
      <c r="BB79" s="141">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5">
        <v>56.884061417143</v>
      </c>
      <c r="BT79" s="135">
        <v>36.9550112228572</v>
      </c>
      <c r="BU79" s="135">
        <v>78.0241239085716</v>
      </c>
    </row>
    <row r="80" spans="49:73">
      <c r="AX80" s="141" t="s">
        <v>85</v>
      </c>
      <c r="AY80" s="141">
        <f t="shared" si="64"/>
        <v>2045</v>
      </c>
      <c r="AZ80" s="141">
        <f t="shared" si="65"/>
        <v>59.9246600000001</v>
      </c>
      <c r="BA80" s="141">
        <f t="shared" si="66"/>
        <v>39.4880016000001</v>
      </c>
      <c r="BB80" s="141">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5">
        <v>59.9246600000001</v>
      </c>
      <c r="BT80" s="135">
        <v>39.4880016000001</v>
      </c>
      <c r="BU80" s="135">
        <v>81.5924424000002</v>
      </c>
    </row>
    <row r="81" spans="49:73">
      <c r="AX81" s="141" t="s">
        <v>89</v>
      </c>
      <c r="AY81" s="141">
        <f t="shared" si="64"/>
        <v>2045</v>
      </c>
      <c r="AZ81" s="141">
        <f t="shared" si="65"/>
        <v>57.8156915428573</v>
      </c>
      <c r="BA81" s="141">
        <f t="shared" si="66"/>
        <v>38.1376618285715</v>
      </c>
      <c r="BB81" s="141">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5">
        <v>57.8156915428573</v>
      </c>
      <c r="BT81" s="135">
        <v>38.1376618285715</v>
      </c>
      <c r="BU81" s="135">
        <v>78.6679755428573</v>
      </c>
    </row>
    <row r="82" spans="49:73">
      <c r="AX82" s="141" t="s">
        <v>93</v>
      </c>
      <c r="AY82" s="141">
        <f t="shared" si="64"/>
        <v>2045</v>
      </c>
      <c r="AZ82" s="141">
        <f t="shared" si="65"/>
        <v>59.5653165714287</v>
      </c>
      <c r="BA82" s="141">
        <f t="shared" si="66"/>
        <v>39.9015741257144</v>
      </c>
      <c r="BB82" s="141">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5">
        <v>59.5653165714287</v>
      </c>
      <c r="BT82" s="135">
        <v>39.9015741257144</v>
      </c>
      <c r="BU82" s="135">
        <v>80.3988235885716</v>
      </c>
    </row>
    <row r="83" spans="49:73">
      <c r="AW83" s="134"/>
      <c r="AX83" s="147"/>
      <c r="AY83" s="141"/>
      <c r="AZ83" s="141"/>
      <c r="BA83" s="141"/>
      <c r="BB83" s="141"/>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5">
        <v>107.815222857143</v>
      </c>
      <c r="BT83" s="135">
        <v>107.815222857143</v>
      </c>
      <c r="BU83" s="135">
        <v>107.815222857143</v>
      </c>
    </row>
    <row r="87" spans="49:73">
      <c r="AX87" t="s">
        <v>62</v>
      </c>
      <c r="AY87"/>
      <c r="AZ87" s="141"/>
      <c r="BE87" s="2" t="s">
        <v>63</v>
      </c>
      <c r="BL87" s="2" t="s">
        <v>62</v>
      </c>
    </row>
    <row r="88" spans="49:73">
      <c r="AX88" s="141" t="s">
        <v>65</v>
      </c>
      <c r="AY88" s="141" t="s">
        <v>41</v>
      </c>
      <c r="AZ88" s="145" t="s">
        <v>66</v>
      </c>
      <c r="BA88" s="145" t="s">
        <v>11</v>
      </c>
      <c r="BB88" s="145" t="s">
        <v>25</v>
      </c>
      <c r="BE88" s="2" t="s">
        <v>65</v>
      </c>
      <c r="BF88" s="2" t="s">
        <v>41</v>
      </c>
      <c r="BG88" s="2" t="s">
        <v>66</v>
      </c>
      <c r="BH88" s="2" t="s">
        <v>11</v>
      </c>
      <c r="BI88" s="2" t="s">
        <v>25</v>
      </c>
      <c r="BL88" s="2" t="s">
        <v>65</v>
      </c>
      <c r="BM88" s="2" t="s">
        <v>41</v>
      </c>
      <c r="BN88" s="2" t="s">
        <v>66</v>
      </c>
      <c r="BO88" s="2" t="s">
        <v>11</v>
      </c>
      <c r="BP88" s="2" t="s">
        <v>25</v>
      </c>
      <c r="BS88" s="135" t="s">
        <v>66</v>
      </c>
      <c r="BT88" s="135" t="s">
        <v>11</v>
      </c>
      <c r="BU88" s="135" t="s">
        <v>25</v>
      </c>
    </row>
    <row r="89" spans="49:73">
      <c r="AX89" s="141" t="s">
        <v>67</v>
      </c>
      <c r="AY89" s="141">
        <v>2050</v>
      </c>
      <c r="AZ89" s="141">
        <f>AZ76*0.96</f>
        <v>51.3276439625144</v>
      </c>
      <c r="BA89" s="141">
        <f>BA76*0.96</f>
        <v>35.4303380406858</v>
      </c>
      <c r="BB89" s="141">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5">
        <v>51.3276439625144</v>
      </c>
      <c r="BT89" s="135">
        <v>35.4303380406858</v>
      </c>
      <c r="BU89" s="135">
        <v>68.2117622125716</v>
      </c>
    </row>
    <row r="90" spans="49:73">
      <c r="AX90" s="141" t="s">
        <v>72</v>
      </c>
      <c r="AY90" s="141">
        <f t="shared" ref="AY90:AY96" si="74">AY89</f>
        <v>2050</v>
      </c>
      <c r="AZ90" s="141">
        <f t="shared" ref="AZ90:BB90" si="75">AZ77*0.96</f>
        <v>60.9219348480002</v>
      </c>
      <c r="BA90" s="141">
        <f t="shared" si="75"/>
        <v>42.351391049143</v>
      </c>
      <c r="BB90" s="141">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5">
        <v>60.9219348480002</v>
      </c>
      <c r="BT90" s="135">
        <v>42.351391049143</v>
      </c>
      <c r="BU90" s="135">
        <v>80.6239664640002</v>
      </c>
    </row>
    <row r="91" spans="49:73">
      <c r="AX91" s="141" t="s">
        <v>76</v>
      </c>
      <c r="AY91" s="141">
        <f t="shared" si="74"/>
        <v>2050</v>
      </c>
      <c r="AZ91" s="141">
        <f t="shared" ref="AZ91:BB91" si="76">AZ78*0.96</f>
        <v>54.4976743789715</v>
      </c>
      <c r="BA91" s="141">
        <f t="shared" si="76"/>
        <v>35.8228723638858</v>
      </c>
      <c r="BB91" s="141">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5">
        <v>54.4976743789715</v>
      </c>
      <c r="BT91" s="135">
        <v>35.8228723638858</v>
      </c>
      <c r="BU91" s="135">
        <v>74.2797232128002</v>
      </c>
    </row>
    <row r="92" spans="49:73">
      <c r="AX92" s="141" t="s">
        <v>80</v>
      </c>
      <c r="AY92" s="141">
        <f t="shared" si="74"/>
        <v>2050</v>
      </c>
      <c r="AZ92" s="141">
        <f t="shared" ref="AZ92:BB92" si="77">AZ79*0.96</f>
        <v>54.6086989604573</v>
      </c>
      <c r="BA92" s="141">
        <f t="shared" si="77"/>
        <v>35.4768107739429</v>
      </c>
      <c r="BB92" s="141">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5">
        <v>54.6086989604573</v>
      </c>
      <c r="BT92" s="135">
        <v>35.4768107739429</v>
      </c>
      <c r="BU92" s="135">
        <v>74.9031589522287</v>
      </c>
    </row>
    <row r="93" spans="49:73">
      <c r="AX93" s="141" t="s">
        <v>85</v>
      </c>
      <c r="AY93" s="141">
        <f t="shared" si="74"/>
        <v>2050</v>
      </c>
      <c r="AZ93" s="141">
        <f t="shared" ref="AZ93:BB93" si="78">AZ80*0.96</f>
        <v>57.5276736000001</v>
      </c>
      <c r="BA93" s="141">
        <f t="shared" si="78"/>
        <v>37.9084815360001</v>
      </c>
      <c r="BB93" s="141">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5">
        <v>57.5276736000001</v>
      </c>
      <c r="BT93" s="135">
        <v>37.9084815360001</v>
      </c>
      <c r="BU93" s="135">
        <v>78.3287447040002</v>
      </c>
    </row>
    <row r="94" spans="49:73">
      <c r="AX94" s="141" t="s">
        <v>89</v>
      </c>
      <c r="AY94" s="141">
        <f t="shared" si="74"/>
        <v>2050</v>
      </c>
      <c r="AZ94" s="141">
        <f t="shared" ref="AZ94:BB94" si="79">AZ81*0.96</f>
        <v>55.503063881143</v>
      </c>
      <c r="BA94" s="141">
        <f t="shared" si="79"/>
        <v>36.6121553554287</v>
      </c>
      <c r="BB94" s="141">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5">
        <v>55.503063881143</v>
      </c>
      <c r="BT94" s="135">
        <v>36.6121553554287</v>
      </c>
      <c r="BU94" s="135">
        <v>75.521256521143</v>
      </c>
    </row>
    <row r="95" spans="49:73">
      <c r="AX95" s="141" t="s">
        <v>93</v>
      </c>
      <c r="AY95" s="141">
        <f t="shared" si="74"/>
        <v>2050</v>
      </c>
      <c r="AZ95" s="141">
        <f t="shared" ref="AZ95:BB95" si="80">AZ82*0.96</f>
        <v>57.1827039085716</v>
      </c>
      <c r="BA95" s="141">
        <f t="shared" si="80"/>
        <v>38.3055111606858</v>
      </c>
      <c r="BB95" s="141">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5">
        <v>57.1827039085716</v>
      </c>
      <c r="BT95" s="135">
        <v>38.3055111606858</v>
      </c>
      <c r="BU95" s="135">
        <v>77.1828706450288</v>
      </c>
    </row>
    <row r="96" spans="49:73">
      <c r="AW96" s="134"/>
      <c r="AX96" s="147"/>
      <c r="AY96" s="141"/>
      <c r="AZ96" s="141"/>
      <c r="BA96" s="141"/>
      <c r="BB96" s="141"/>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5">
        <v>103.502613942857</v>
      </c>
      <c r="BT96" s="135">
        <v>103.502613942857</v>
      </c>
      <c r="BU96" s="135">
        <v>103.502613942857</v>
      </c>
    </row>
    <row r="104" spans="50:73">
      <c r="AX104" t="s">
        <v>62</v>
      </c>
      <c r="AY104"/>
      <c r="AZ104" s="141"/>
      <c r="BE104" s="2" t="s">
        <v>63</v>
      </c>
      <c r="BL104" s="2" t="s">
        <v>62</v>
      </c>
    </row>
    <row r="105" spans="50:73">
      <c r="AX105" s="141" t="s">
        <v>65</v>
      </c>
      <c r="AY105" s="141" t="s">
        <v>41</v>
      </c>
      <c r="AZ105" s="145" t="s">
        <v>66</v>
      </c>
      <c r="BA105" s="145" t="s">
        <v>11</v>
      </c>
      <c r="BB105" s="145" t="s">
        <v>25</v>
      </c>
      <c r="BE105" s="2" t="s">
        <v>65</v>
      </c>
      <c r="BF105" s="2" t="s">
        <v>41</v>
      </c>
      <c r="BG105" s="2" t="s">
        <v>66</v>
      </c>
      <c r="BH105" s="2" t="s">
        <v>11</v>
      </c>
      <c r="BI105" s="2" t="s">
        <v>25</v>
      </c>
      <c r="BL105" s="2" t="s">
        <v>65</v>
      </c>
      <c r="BM105" s="2" t="s">
        <v>41</v>
      </c>
      <c r="BN105" s="2" t="s">
        <v>66</v>
      </c>
      <c r="BO105" s="2" t="s">
        <v>11</v>
      </c>
      <c r="BP105" s="2" t="s">
        <v>25</v>
      </c>
      <c r="BS105" s="135" t="s">
        <v>66</v>
      </c>
      <c r="BT105" s="135" t="s">
        <v>11</v>
      </c>
      <c r="BU105" s="135" t="s">
        <v>25</v>
      </c>
    </row>
    <row r="106" spans="50:73">
      <c r="AX106" s="141" t="s">
        <v>67</v>
      </c>
      <c r="AY106" s="141">
        <v>2100</v>
      </c>
      <c r="AZ106" s="141">
        <f>AZ89</f>
        <v>51.3276439625144</v>
      </c>
      <c r="BA106" s="141">
        <f t="shared" ref="BA106:BA113" si="81">BA89</f>
        <v>35.4303380406858</v>
      </c>
      <c r="BB106" s="141">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5">
        <v>51.3276439625144</v>
      </c>
      <c r="BT106" s="135">
        <v>35.4303380406858</v>
      </c>
      <c r="BU106" s="135">
        <v>68.2117622125716</v>
      </c>
    </row>
    <row r="107" spans="50:73">
      <c r="AX107" s="141" t="s">
        <v>72</v>
      </c>
      <c r="AY107" s="141">
        <f t="shared" ref="AY107:AY113" si="89">AY106</f>
        <v>2100</v>
      </c>
      <c r="AZ107" s="141">
        <f t="shared" ref="AZ107:AZ113" si="90">AZ90</f>
        <v>60.9219348480002</v>
      </c>
      <c r="BA107" s="141">
        <f t="shared" si="81"/>
        <v>42.351391049143</v>
      </c>
      <c r="BB107" s="141">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5">
        <v>60.9219348480002</v>
      </c>
      <c r="BT107" s="135">
        <v>42.351391049143</v>
      </c>
      <c r="BU107" s="135">
        <v>80.6239664640002</v>
      </c>
    </row>
    <row r="108" spans="50:73">
      <c r="AX108" s="141" t="s">
        <v>76</v>
      </c>
      <c r="AY108" s="141">
        <f t="shared" si="89"/>
        <v>2100</v>
      </c>
      <c r="AZ108" s="141">
        <f t="shared" si="90"/>
        <v>54.4976743789715</v>
      </c>
      <c r="BA108" s="141">
        <f t="shared" si="81"/>
        <v>35.8228723638858</v>
      </c>
      <c r="BB108" s="141">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5">
        <v>54.4976743789715</v>
      </c>
      <c r="BT108" s="135">
        <v>35.8228723638858</v>
      </c>
      <c r="BU108" s="135">
        <v>74.2797232128002</v>
      </c>
    </row>
    <row r="109" spans="50:73">
      <c r="AX109" s="141" t="s">
        <v>80</v>
      </c>
      <c r="AY109" s="141">
        <f t="shared" si="89"/>
        <v>2100</v>
      </c>
      <c r="AZ109" s="141">
        <f t="shared" si="90"/>
        <v>54.6086989604573</v>
      </c>
      <c r="BA109" s="141">
        <f t="shared" si="81"/>
        <v>35.4768107739429</v>
      </c>
      <c r="BB109" s="141">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5">
        <v>54.6086989604573</v>
      </c>
      <c r="BT109" s="135">
        <v>35.4768107739429</v>
      </c>
      <c r="BU109" s="135">
        <v>74.9031589522287</v>
      </c>
    </row>
    <row r="110" spans="50:73">
      <c r="AX110" s="141" t="s">
        <v>85</v>
      </c>
      <c r="AY110" s="141">
        <f t="shared" si="89"/>
        <v>2100</v>
      </c>
      <c r="AZ110" s="141">
        <f t="shared" si="90"/>
        <v>57.5276736000001</v>
      </c>
      <c r="BA110" s="141">
        <f t="shared" si="81"/>
        <v>37.9084815360001</v>
      </c>
      <c r="BB110" s="141">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5">
        <v>57.5276736000001</v>
      </c>
      <c r="BT110" s="135">
        <v>37.9084815360001</v>
      </c>
      <c r="BU110" s="135">
        <v>78.3287447040002</v>
      </c>
    </row>
    <row r="111" spans="50:73">
      <c r="AX111" s="141" t="s">
        <v>89</v>
      </c>
      <c r="AY111" s="141">
        <f t="shared" si="89"/>
        <v>2100</v>
      </c>
      <c r="AZ111" s="141">
        <f t="shared" si="90"/>
        <v>55.503063881143</v>
      </c>
      <c r="BA111" s="141">
        <f t="shared" si="81"/>
        <v>36.6121553554287</v>
      </c>
      <c r="BB111" s="141">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5">
        <v>55.503063881143</v>
      </c>
      <c r="BT111" s="135">
        <v>36.6121553554287</v>
      </c>
      <c r="BU111" s="135">
        <v>75.521256521143</v>
      </c>
    </row>
    <row r="112" spans="50:73">
      <c r="AX112" s="141" t="s">
        <v>93</v>
      </c>
      <c r="AY112" s="141">
        <f t="shared" si="89"/>
        <v>2100</v>
      </c>
      <c r="AZ112" s="141">
        <f t="shared" si="90"/>
        <v>57.1827039085716</v>
      </c>
      <c r="BA112" s="141">
        <f t="shared" si="81"/>
        <v>38.3055111606858</v>
      </c>
      <c r="BB112" s="141">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5">
        <v>57.1827039085716</v>
      </c>
      <c r="BT112" s="135">
        <v>38.3055111606858</v>
      </c>
      <c r="BU112" s="135">
        <v>77.1828706450288</v>
      </c>
    </row>
    <row r="113" spans="49:73">
      <c r="AW113" s="134"/>
      <c r="AX113" s="147"/>
      <c r="AY113" s="141"/>
      <c r="AZ113" s="141"/>
      <c r="BA113" s="141"/>
      <c r="BB113" s="141"/>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5">
        <v>103.502613942857</v>
      </c>
      <c r="BT113" s="135">
        <v>103.502613942857</v>
      </c>
      <c r="BU113" s="135">
        <v>103.502613942857</v>
      </c>
    </row>
    <row r="118" spans="49:73">
      <c r="AX118" t="s">
        <v>62</v>
      </c>
      <c r="AY118"/>
      <c r="AZ118" s="141"/>
      <c r="BE118" s="2" t="s">
        <v>63</v>
      </c>
      <c r="BL118" s="2" t="s">
        <v>62</v>
      </c>
    </row>
    <row r="119" spans="49:73">
      <c r="AX119" s="141" t="s">
        <v>65</v>
      </c>
      <c r="AY119" s="141" t="s">
        <v>41</v>
      </c>
      <c r="AZ119" s="145" t="s">
        <v>66</v>
      </c>
      <c r="BA119" s="145" t="s">
        <v>11</v>
      </c>
      <c r="BB119" s="145" t="s">
        <v>25</v>
      </c>
      <c r="BE119" s="2" t="s">
        <v>65</v>
      </c>
      <c r="BF119" s="2" t="s">
        <v>41</v>
      </c>
      <c r="BG119" s="2" t="s">
        <v>66</v>
      </c>
      <c r="BH119" s="2" t="s">
        <v>11</v>
      </c>
      <c r="BI119" s="2" t="s">
        <v>25</v>
      </c>
      <c r="BL119" s="2" t="s">
        <v>65</v>
      </c>
      <c r="BM119" s="2" t="s">
        <v>41</v>
      </c>
      <c r="BN119" s="2" t="s">
        <v>66</v>
      </c>
      <c r="BO119" s="2" t="s">
        <v>11</v>
      </c>
      <c r="BP119" s="2" t="s">
        <v>25</v>
      </c>
      <c r="BS119" s="135" t="s">
        <v>66</v>
      </c>
      <c r="BT119" s="135" t="s">
        <v>11</v>
      </c>
      <c r="BU119" s="135" t="s">
        <v>25</v>
      </c>
    </row>
    <row r="120" spans="49:73">
      <c r="AX120" s="141" t="s">
        <v>67</v>
      </c>
      <c r="AY120" s="141">
        <v>0</v>
      </c>
      <c r="AZ120" s="141">
        <v>3</v>
      </c>
      <c r="BA120" s="141">
        <v>3</v>
      </c>
      <c r="BB120" s="141">
        <v>3</v>
      </c>
      <c r="BE120" s="2" t="s">
        <v>68</v>
      </c>
      <c r="BF120" s="2">
        <v>0</v>
      </c>
      <c r="BG120" s="2">
        <v>3</v>
      </c>
      <c r="BH120" s="2">
        <v>3</v>
      </c>
      <c r="BI120" s="2">
        <v>3</v>
      </c>
      <c r="BL120" s="2" t="s">
        <v>69</v>
      </c>
      <c r="BM120" s="2">
        <v>0</v>
      </c>
      <c r="BN120" s="2">
        <v>3</v>
      </c>
      <c r="BO120" s="2">
        <v>3</v>
      </c>
      <c r="BP120" s="2">
        <v>3</v>
      </c>
      <c r="BS120" s="135">
        <v>3</v>
      </c>
      <c r="BT120" s="135">
        <v>3</v>
      </c>
      <c r="BU120" s="135">
        <v>3</v>
      </c>
    </row>
    <row r="121" spans="49:73">
      <c r="AX121" s="141" t="s">
        <v>72</v>
      </c>
      <c r="AY121" s="141">
        <f t="shared" ref="AY121:AY127" si="91">AY120</f>
        <v>0</v>
      </c>
      <c r="AZ121" s="141">
        <v>3</v>
      </c>
      <c r="BA121" s="141">
        <v>3</v>
      </c>
      <c r="BB121" s="141">
        <v>3</v>
      </c>
      <c r="BE121" s="2" t="s">
        <v>73</v>
      </c>
      <c r="BF121" s="2">
        <v>0</v>
      </c>
      <c r="BG121" s="2">
        <v>3</v>
      </c>
      <c r="BH121" s="2">
        <v>3</v>
      </c>
      <c r="BI121" s="2">
        <v>3</v>
      </c>
      <c r="BL121" s="2" t="s">
        <v>74</v>
      </c>
      <c r="BM121" s="2">
        <v>0</v>
      </c>
      <c r="BN121" s="2">
        <v>3</v>
      </c>
      <c r="BO121" s="2">
        <v>3</v>
      </c>
      <c r="BP121" s="2">
        <v>3</v>
      </c>
      <c r="BS121" s="135">
        <v>3</v>
      </c>
      <c r="BT121" s="135">
        <v>3</v>
      </c>
      <c r="BU121" s="135">
        <v>3</v>
      </c>
    </row>
    <row r="122" spans="49:73">
      <c r="AX122" s="141" t="s">
        <v>76</v>
      </c>
      <c r="AY122" s="141">
        <f t="shared" si="91"/>
        <v>0</v>
      </c>
      <c r="AZ122" s="141">
        <v>3</v>
      </c>
      <c r="BA122" s="141">
        <v>3</v>
      </c>
      <c r="BB122" s="141">
        <v>3</v>
      </c>
      <c r="BE122" s="2" t="s">
        <v>77</v>
      </c>
      <c r="BF122" s="2">
        <v>0</v>
      </c>
      <c r="BG122" s="2">
        <v>3</v>
      </c>
      <c r="BH122" s="2">
        <v>3</v>
      </c>
      <c r="BI122" s="2">
        <v>3</v>
      </c>
      <c r="BL122" s="2" t="s">
        <v>78</v>
      </c>
      <c r="BM122" s="2">
        <v>0</v>
      </c>
      <c r="BN122" s="2">
        <v>3</v>
      </c>
      <c r="BO122" s="2">
        <v>3</v>
      </c>
      <c r="BP122" s="2">
        <v>3</v>
      </c>
      <c r="BS122" s="135">
        <v>3</v>
      </c>
      <c r="BT122" s="135">
        <v>3</v>
      </c>
      <c r="BU122" s="135">
        <v>3</v>
      </c>
    </row>
    <row r="123" spans="49:73">
      <c r="AX123" s="141" t="s">
        <v>80</v>
      </c>
      <c r="AY123" s="141">
        <f t="shared" si="91"/>
        <v>0</v>
      </c>
      <c r="AZ123" s="141">
        <v>3</v>
      </c>
      <c r="BA123" s="141">
        <v>3</v>
      </c>
      <c r="BB123" s="141">
        <v>3</v>
      </c>
      <c r="BE123" s="2" t="s">
        <v>81</v>
      </c>
      <c r="BF123" s="2">
        <v>0</v>
      </c>
      <c r="BG123" s="2">
        <v>3</v>
      </c>
      <c r="BH123" s="2">
        <v>3</v>
      </c>
      <c r="BI123" s="2">
        <v>3</v>
      </c>
      <c r="BL123" s="2" t="s">
        <v>82</v>
      </c>
      <c r="BM123" s="2">
        <v>0</v>
      </c>
      <c r="BN123" s="2">
        <v>3</v>
      </c>
      <c r="BO123" s="2">
        <v>3</v>
      </c>
      <c r="BP123" s="2">
        <v>3</v>
      </c>
      <c r="BS123" s="135">
        <v>3</v>
      </c>
      <c r="BT123" s="135">
        <v>3</v>
      </c>
      <c r="BU123" s="135">
        <v>3</v>
      </c>
    </row>
    <row r="124" spans="49:73">
      <c r="AX124" s="141" t="s">
        <v>85</v>
      </c>
      <c r="AY124" s="141">
        <f t="shared" si="91"/>
        <v>0</v>
      </c>
      <c r="AZ124" s="141">
        <v>3</v>
      </c>
      <c r="BA124" s="141">
        <v>3</v>
      </c>
      <c r="BB124" s="141">
        <v>3</v>
      </c>
      <c r="BE124" s="2" t="s">
        <v>86</v>
      </c>
      <c r="BF124" s="2">
        <v>0</v>
      </c>
      <c r="BG124" s="2">
        <v>3</v>
      </c>
      <c r="BH124" s="2">
        <v>3</v>
      </c>
      <c r="BI124" s="2">
        <v>3</v>
      </c>
      <c r="BL124" s="2" t="s">
        <v>87</v>
      </c>
      <c r="BM124" s="2">
        <v>0</v>
      </c>
      <c r="BN124" s="2">
        <v>3</v>
      </c>
      <c r="BO124" s="2">
        <v>3</v>
      </c>
      <c r="BP124" s="2">
        <v>3</v>
      </c>
      <c r="BS124" s="135">
        <v>3</v>
      </c>
      <c r="BT124" s="135">
        <v>3</v>
      </c>
      <c r="BU124" s="135">
        <v>3</v>
      </c>
    </row>
    <row r="125" spans="49:73">
      <c r="AX125" s="141" t="s">
        <v>89</v>
      </c>
      <c r="AY125" s="141">
        <f t="shared" si="91"/>
        <v>0</v>
      </c>
      <c r="AZ125" s="141">
        <v>3</v>
      </c>
      <c r="BA125" s="141">
        <v>3</v>
      </c>
      <c r="BB125" s="141">
        <v>3</v>
      </c>
      <c r="BE125" s="2" t="s">
        <v>90</v>
      </c>
      <c r="BF125" s="2">
        <v>0</v>
      </c>
      <c r="BG125" s="2">
        <v>3</v>
      </c>
      <c r="BH125" s="2">
        <v>3</v>
      </c>
      <c r="BI125" s="2">
        <v>3</v>
      </c>
      <c r="BL125" s="2" t="s">
        <v>91</v>
      </c>
      <c r="BM125" s="2">
        <v>0</v>
      </c>
      <c r="BN125" s="2">
        <v>3</v>
      </c>
      <c r="BO125" s="2">
        <v>3</v>
      </c>
      <c r="BP125" s="2">
        <v>3</v>
      </c>
      <c r="BS125" s="135">
        <v>3</v>
      </c>
      <c r="BT125" s="135">
        <v>3</v>
      </c>
      <c r="BU125" s="135">
        <v>3</v>
      </c>
    </row>
    <row r="126" spans="49:73">
      <c r="AX126" s="141" t="s">
        <v>93</v>
      </c>
      <c r="AY126" s="141">
        <f t="shared" si="91"/>
        <v>0</v>
      </c>
      <c r="AZ126" s="141">
        <v>3</v>
      </c>
      <c r="BA126" s="141">
        <v>3</v>
      </c>
      <c r="BB126" s="141">
        <v>3</v>
      </c>
      <c r="BE126" s="2" t="s">
        <v>94</v>
      </c>
      <c r="BF126" s="2">
        <v>0</v>
      </c>
      <c r="BG126" s="2">
        <v>3</v>
      </c>
      <c r="BH126" s="2">
        <v>3</v>
      </c>
      <c r="BI126" s="2">
        <v>3</v>
      </c>
      <c r="BL126" s="2" t="s">
        <v>95</v>
      </c>
      <c r="BM126" s="2">
        <v>0</v>
      </c>
      <c r="BN126" s="2">
        <v>3</v>
      </c>
      <c r="BO126" s="2">
        <v>3</v>
      </c>
      <c r="BP126" s="2">
        <v>3</v>
      </c>
      <c r="BS126" s="135">
        <v>3</v>
      </c>
      <c r="BT126" s="135">
        <v>3</v>
      </c>
      <c r="BU126" s="135">
        <v>3</v>
      </c>
    </row>
    <row r="127" spans="49:73">
      <c r="AW127" s="134"/>
      <c r="AX127" s="147"/>
      <c r="AY127" s="141"/>
      <c r="AZ127" s="141"/>
      <c r="BA127" s="141"/>
      <c r="BB127" s="141"/>
      <c r="BE127" s="2" t="s">
        <v>97</v>
      </c>
      <c r="BF127" s="2">
        <v>0</v>
      </c>
      <c r="BG127" s="2">
        <v>3</v>
      </c>
      <c r="BH127" s="2">
        <v>3</v>
      </c>
      <c r="BI127" s="2">
        <v>3</v>
      </c>
      <c r="BL127" s="2" t="s">
        <v>98</v>
      </c>
      <c r="BM127" s="2">
        <v>0</v>
      </c>
      <c r="BN127" s="2">
        <v>3</v>
      </c>
      <c r="BO127" s="2">
        <v>3</v>
      </c>
      <c r="BP127" s="2">
        <v>3</v>
      </c>
      <c r="BS127" s="135">
        <v>3</v>
      </c>
      <c r="BT127" s="135">
        <v>3</v>
      </c>
      <c r="BU127" s="135">
        <v>3</v>
      </c>
    </row>
    <row r="143" spans="57:61">
      <c r="BE143" s="2" t="s">
        <v>62</v>
      </c>
    </row>
    <row r="144" spans="57:61">
      <c r="BE144" s="2" t="s">
        <v>65</v>
      </c>
      <c r="BF144" s="2" t="s">
        <v>41</v>
      </c>
      <c r="BG144" s="2" t="s">
        <v>66</v>
      </c>
      <c r="BH144" s="2" t="s">
        <v>11</v>
      </c>
      <c r="BI144" s="2" t="s">
        <v>25</v>
      </c>
    </row>
    <row r="145" spans="57:61">
      <c r="BE145" s="2" t="s">
        <v>68</v>
      </c>
      <c r="BF145" s="2">
        <v>2023</v>
      </c>
      <c r="BG145" s="2">
        <v>0.1</v>
      </c>
      <c r="BH145" s="2">
        <f>BG145</f>
        <v>0.1</v>
      </c>
      <c r="BI145" s="2">
        <f>BH145</f>
        <v>0.1</v>
      </c>
    </row>
    <row r="146" spans="57:61">
      <c r="BE146" s="2" t="s">
        <v>73</v>
      </c>
      <c r="BF146" s="2">
        <v>2023</v>
      </c>
      <c r="BG146" s="2">
        <v>0.1</v>
      </c>
      <c r="BH146" s="2">
        <f>BH145</f>
        <v>0.1</v>
      </c>
      <c r="BI146" s="2">
        <f>BI145</f>
        <v>0.1</v>
      </c>
    </row>
    <row r="147" spans="57:61">
      <c r="BE147" s="2" t="s">
        <v>77</v>
      </c>
      <c r="BF147" s="2">
        <v>2023</v>
      </c>
      <c r="BG147" s="2">
        <f t="shared" ref="BG147:BG152" si="92">BG146</f>
        <v>0.1</v>
      </c>
      <c r="BH147" s="2">
        <f t="shared" ref="BH147:BH152" si="93">BH146</f>
        <v>0.1</v>
      </c>
      <c r="BI147" s="2">
        <f t="shared" ref="BI147:BI152" si="94">BI146</f>
        <v>0.1</v>
      </c>
    </row>
    <row r="148" spans="57:61">
      <c r="BE148" s="2" t="s">
        <v>81</v>
      </c>
      <c r="BF148" s="2">
        <v>2023</v>
      </c>
      <c r="BG148" s="2">
        <f t="shared" si="92"/>
        <v>0.1</v>
      </c>
      <c r="BH148" s="2">
        <f t="shared" si="93"/>
        <v>0.1</v>
      </c>
      <c r="BI148" s="2">
        <f t="shared" si="94"/>
        <v>0.1</v>
      </c>
    </row>
    <row r="149" spans="57:61">
      <c r="BE149" s="2" t="s">
        <v>86</v>
      </c>
      <c r="BF149" s="2">
        <v>2023</v>
      </c>
      <c r="BG149" s="2">
        <f t="shared" si="92"/>
        <v>0.1</v>
      </c>
      <c r="BH149" s="2">
        <f t="shared" si="93"/>
        <v>0.1</v>
      </c>
      <c r="BI149" s="2">
        <f t="shared" si="94"/>
        <v>0.1</v>
      </c>
    </row>
    <row r="150" spans="57:61">
      <c r="BE150" s="2" t="s">
        <v>90</v>
      </c>
      <c r="BF150" s="2">
        <v>2023</v>
      </c>
      <c r="BG150" s="2">
        <f t="shared" si="92"/>
        <v>0.1</v>
      </c>
      <c r="BH150" s="2">
        <f t="shared" si="93"/>
        <v>0.1</v>
      </c>
      <c r="BI150" s="2">
        <f t="shared" si="94"/>
        <v>0.1</v>
      </c>
    </row>
    <row r="151" spans="57:61">
      <c r="BE151" s="2" t="s">
        <v>94</v>
      </c>
      <c r="BF151" s="2">
        <v>2023</v>
      </c>
      <c r="BG151" s="2">
        <f t="shared" si="92"/>
        <v>0.1</v>
      </c>
      <c r="BH151" s="2">
        <f t="shared" si="93"/>
        <v>0.1</v>
      </c>
      <c r="BI151" s="2">
        <f t="shared" si="94"/>
        <v>0.1</v>
      </c>
    </row>
    <row r="152" spans="57:61">
      <c r="BE152" s="2" t="s">
        <v>97</v>
      </c>
      <c r="BF152" s="2">
        <v>2023</v>
      </c>
      <c r="BG152" s="2">
        <f t="shared" si="92"/>
        <v>0.1</v>
      </c>
      <c r="BH152" s="2">
        <f t="shared" si="93"/>
        <v>0.1</v>
      </c>
      <c r="BI152" s="2">
        <f t="shared" si="94"/>
        <v>0.1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41" zoomScaleNormal="41" topLeftCell="A72" workbookViewId="0">
      <selection activeCell="D163" sqref="D163"/>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3"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3" t="s">
        <v>144</v>
      </c>
      <c r="C19">
        <v>0.2</v>
      </c>
      <c r="D19">
        <v>3</v>
      </c>
      <c r="E19" s="153"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3"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80"/>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1"/>
      <c r="CP65" s="81"/>
      <c r="CR65" s="81"/>
      <c r="CS65" s="81"/>
      <c r="CT65" s="81"/>
      <c r="CU65" s="81"/>
      <c r="CW65" s="71"/>
      <c r="CX65" s="82"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3"/>
      <c r="CR66" s="83"/>
      <c r="CT66" s="83"/>
      <c r="CU66" s="83"/>
      <c r="CW66" t="s">
        <v>132</v>
      </c>
      <c r="CX66" t="s">
        <v>136</v>
      </c>
      <c r="CY66" t="s">
        <v>65</v>
      </c>
      <c r="CZ66" t="s">
        <v>111</v>
      </c>
      <c r="DA66" s="84" t="s">
        <v>41</v>
      </c>
      <c r="DB66" s="84" t="s">
        <v>66</v>
      </c>
    </row>
    <row r="67" s="68" customFormat="1" ht="14.5" spans="1:106">
      <c r="A67" s="68">
        <v>2020</v>
      </c>
      <c r="B67" s="85" t="s">
        <v>184</v>
      </c>
      <c r="C67" s="72" t="s">
        <v>185</v>
      </c>
      <c r="D67" s="86" t="s">
        <v>186</v>
      </c>
      <c r="E67" s="80"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3"/>
      <c r="CR67" s="83"/>
      <c r="CT67" s="83"/>
      <c r="CU67" s="83"/>
      <c r="CW67" s="87" t="s">
        <v>184</v>
      </c>
      <c r="CX67" t="s">
        <v>185</v>
      </c>
      <c r="CY67" s="71" t="str">
        <f>D67</f>
        <v>MINBatMaterials_LI</v>
      </c>
      <c r="CZ67" s="71" t="s">
        <v>187</v>
      </c>
      <c r="DA67" s="84">
        <v>0</v>
      </c>
      <c r="DB67" s="84">
        <v>-1</v>
      </c>
    </row>
    <row r="68" s="68" customFormat="1" ht="16" spans="1:106">
      <c r="A68" s="68">
        <v>2020</v>
      </c>
      <c r="B68" s="85" t="s">
        <v>184</v>
      </c>
      <c r="C68" s="72" t="s">
        <v>185</v>
      </c>
      <c r="D68" s="88" t="s">
        <v>188</v>
      </c>
      <c r="E68" s="80"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3"/>
      <c r="CR68" s="83"/>
      <c r="CT68" s="83"/>
      <c r="CU68" s="83"/>
      <c r="CW68" s="87" t="s">
        <v>184</v>
      </c>
      <c r="CX68" t="s">
        <v>185</v>
      </c>
      <c r="CY68" s="71" t="str">
        <f t="shared" ref="CY68:CY73" si="7">D68</f>
        <v>MINBatMaterials_NI</v>
      </c>
      <c r="CZ68" s="71" t="s">
        <v>189</v>
      </c>
      <c r="DA68" s="84">
        <v>0</v>
      </c>
      <c r="DB68" s="84">
        <v>-1</v>
      </c>
    </row>
    <row r="69" s="69" customFormat="1" ht="16" spans="1:106">
      <c r="A69" s="68">
        <v>2020</v>
      </c>
      <c r="B69" s="89" t="s">
        <v>184</v>
      </c>
      <c r="C69" s="69"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8" t="str">
        <f t="shared" si="6"/>
        <v>m_cobalt</v>
      </c>
      <c r="CQ69" s="92"/>
      <c r="CR69" s="92"/>
      <c r="CT69" s="92"/>
      <c r="CU69" s="92"/>
      <c r="CW69" s="89" t="s">
        <v>184</v>
      </c>
      <c r="CX69" s="69" t="s">
        <v>185</v>
      </c>
      <c r="CY69" s="71" t="str">
        <f t="shared" si="7"/>
        <v>MINBatMaterials_COB</v>
      </c>
      <c r="CZ69" s="90" t="s">
        <v>191</v>
      </c>
      <c r="DA69" s="92">
        <v>0</v>
      </c>
      <c r="DB69" s="84">
        <v>-1</v>
      </c>
    </row>
    <row r="70" s="68" customFormat="1" ht="16" spans="1:106">
      <c r="A70" s="68">
        <v>2020</v>
      </c>
      <c r="B70" s="85" t="s">
        <v>184</v>
      </c>
      <c r="C70" s="72"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3"/>
      <c r="CR70" s="83"/>
      <c r="CT70" s="83"/>
      <c r="CU70" s="83"/>
      <c r="CW70" s="87" t="s">
        <v>184</v>
      </c>
      <c r="CX70" t="s">
        <v>185</v>
      </c>
      <c r="CY70" s="71" t="str">
        <f t="shared" si="7"/>
        <v>MINBatMaterials_MN</v>
      </c>
      <c r="CZ70" s="96" t="s">
        <v>193</v>
      </c>
      <c r="DA70" s="84">
        <v>0</v>
      </c>
      <c r="DB70" s="84">
        <v>-1</v>
      </c>
    </row>
    <row r="71" s="70" customFormat="1" ht="16" spans="1:106">
      <c r="A71" s="70">
        <v>2020</v>
      </c>
      <c r="B71" s="97" t="s">
        <v>184</v>
      </c>
      <c r="C71" s="70" t="s">
        <v>185</v>
      </c>
      <c r="D71" s="98" t="s">
        <v>194</v>
      </c>
      <c r="E71" s="99" t="s">
        <v>195</v>
      </c>
      <c r="F71" s="70">
        <f t="shared" ref="F71:L73" si="11">D81/1000</f>
        <v>0</v>
      </c>
      <c r="G71" s="70">
        <f t="shared" si="11"/>
        <v>0</v>
      </c>
      <c r="H71" s="70">
        <f t="shared" si="11"/>
        <v>0</v>
      </c>
      <c r="I71" s="70">
        <f t="shared" si="11"/>
        <v>0</v>
      </c>
      <c r="J71" s="70">
        <f t="shared" si="11"/>
        <v>0</v>
      </c>
      <c r="K71" s="70">
        <f t="shared" si="11"/>
        <v>0</v>
      </c>
      <c r="L71" s="70">
        <f t="shared" si="11"/>
        <v>0</v>
      </c>
      <c r="M71" s="100">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100">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1"/>
      <c r="CR71" s="101"/>
      <c r="CT71" s="101"/>
      <c r="CU71" s="101"/>
      <c r="CW71" s="97" t="s">
        <v>184</v>
      </c>
      <c r="CX71" s="70" t="s">
        <v>185</v>
      </c>
      <c r="CY71" s="99" t="str">
        <f t="shared" si="7"/>
        <v>MINBatMaterials_AL</v>
      </c>
      <c r="CZ71" s="99" t="s">
        <v>195</v>
      </c>
      <c r="DA71" s="101">
        <v>0</v>
      </c>
      <c r="DB71" s="84">
        <v>-1</v>
      </c>
    </row>
    <row r="72" s="68" customFormat="1" ht="16" spans="1:106">
      <c r="A72" s="68">
        <v>2020</v>
      </c>
      <c r="B72" s="85" t="s">
        <v>184</v>
      </c>
      <c r="C72" s="72" t="s">
        <v>185</v>
      </c>
      <c r="D72" s="88" t="s">
        <v>196</v>
      </c>
      <c r="E72" s="80"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3"/>
      <c r="CR72" s="83"/>
      <c r="CT72" s="83"/>
      <c r="CU72" s="83"/>
      <c r="CW72" s="87" t="s">
        <v>184</v>
      </c>
      <c r="CX72" t="s">
        <v>185</v>
      </c>
      <c r="CY72" s="71" t="str">
        <f t="shared" si="7"/>
        <v>MINBatMaterials_COP</v>
      </c>
      <c r="CZ72" s="71" t="s">
        <v>197</v>
      </c>
      <c r="DA72" s="84">
        <v>0</v>
      </c>
      <c r="DB72" s="84">
        <v>-1</v>
      </c>
    </row>
    <row r="73" s="67" customFormat="1" ht="16" spans="1:106">
      <c r="A73" s="68">
        <v>2020</v>
      </c>
      <c r="B73" s="85" t="s">
        <v>184</v>
      </c>
      <c r="C73" s="72" t="s">
        <v>185</v>
      </c>
      <c r="D73" s="88" t="s">
        <v>198</v>
      </c>
      <c r="E73" s="80"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1"/>
      <c r="CR73" s="83"/>
      <c r="CT73" s="81"/>
      <c r="CU73" s="81"/>
      <c r="CW73" s="87" t="s">
        <v>184</v>
      </c>
      <c r="CX73" t="s">
        <v>185</v>
      </c>
      <c r="CY73" s="71" t="str">
        <f t="shared" si="7"/>
        <v>MINBatMaterials_GR</v>
      </c>
      <c r="CZ73" s="71" t="s">
        <v>199</v>
      </c>
      <c r="DA73" s="84">
        <v>0</v>
      </c>
      <c r="DB73" s="84">
        <v>-1</v>
      </c>
    </row>
    <row r="74" s="71" customFormat="1"/>
    <row r="75" s="71" customFormat="1" spans="1:106">
      <c r="E75" s="71" t="s">
        <v>200</v>
      </c>
    </row>
    <row r="76" s="71" customFormat="1"/>
    <row r="77" s="71"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1"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1"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1"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1"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1"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1"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1"/>
      <c r="D95" s="71"/>
      <c r="F95" s="71"/>
      <c r="H95" s="71"/>
      <c r="I95" s="71"/>
      <c r="J95" s="71"/>
      <c r="K95" s="71"/>
      <c r="L95" s="71"/>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1"/>
      <c r="D96" s="71"/>
      <c r="H96" s="71"/>
      <c r="I96" s="71"/>
      <c r="J96" s="71"/>
      <c r="K96" s="71"/>
      <c r="L96" s="71"/>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1"/>
      <c r="D97" s="71"/>
      <c r="F97" s="71"/>
      <c r="H97" s="71"/>
      <c r="I97" s="71"/>
      <c r="J97" s="71"/>
      <c r="K97" s="71"/>
      <c r="L97" s="71"/>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1"/>
      <c r="D98" s="71"/>
      <c r="H98" s="71"/>
      <c r="I98" s="71"/>
      <c r="J98" s="71"/>
      <c r="K98" s="71"/>
      <c r="L98" s="71"/>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1"/>
      <c r="F99" s="71"/>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1"/>
      <c r="D100" s="71"/>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1"/>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1"/>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1"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1"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1"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1"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1"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1"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1"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1"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1"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1"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1"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1"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1"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1"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1"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1"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1"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1"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1"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1"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1"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1"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32" spans="3:35">
      <c r="C132" s="80"/>
      <c r="D132" s="70" t="s">
        <v>130</v>
      </c>
      <c r="E132" s="72"/>
      <c r="M132" s="71"/>
      <c r="Y132" s="71"/>
      <c r="Z132" t="s">
        <v>130</v>
      </c>
      <c r="AE132" s="71"/>
      <c r="AF132" t="s">
        <v>130</v>
      </c>
    </row>
    <row r="133" spans="3:35">
      <c r="C133" s="80" t="s">
        <v>132</v>
      </c>
      <c r="D133" s="126" t="s">
        <v>65</v>
      </c>
      <c r="E133" s="126" t="s">
        <v>66</v>
      </c>
      <c r="F133" s="117"/>
      <c r="G133" s="117"/>
      <c r="M133" s="71"/>
      <c r="N133" s="71"/>
      <c r="O133" s="71"/>
      <c r="P133" s="71"/>
      <c r="Q133" s="71"/>
      <c r="X133" t="s">
        <v>41</v>
      </c>
      <c r="Y133" s="71" t="s">
        <v>132</v>
      </c>
      <c r="Z133" s="117" t="s">
        <v>65</v>
      </c>
      <c r="AA133" s="127" t="s">
        <v>66</v>
      </c>
      <c r="AB133" s="71"/>
      <c r="AC133" s="71"/>
      <c r="AD133" t="s">
        <v>41</v>
      </c>
      <c r="AE133" s="71" t="s">
        <v>132</v>
      </c>
      <c r="AF133" s="117" t="s">
        <v>65</v>
      </c>
      <c r="AG133" s="117" t="s">
        <v>66</v>
      </c>
      <c r="AH133" s="117" t="s">
        <v>11</v>
      </c>
      <c r="AI133" s="117" t="s">
        <v>25</v>
      </c>
    </row>
    <row r="134" spans="3:35">
      <c r="C134" s="80" t="s">
        <v>275</v>
      </c>
      <c r="D134" s="126" t="s">
        <v>237</v>
      </c>
      <c r="E134" s="126">
        <v>0.1</v>
      </c>
      <c r="F134" s="120"/>
      <c r="G134" s="120"/>
      <c r="M134" s="71"/>
      <c r="N134" s="71"/>
      <c r="O134" s="71"/>
      <c r="P134" s="71"/>
      <c r="Q134" s="71"/>
      <c r="X134">
        <v>0</v>
      </c>
      <c r="Y134" s="71" t="s">
        <v>236</v>
      </c>
      <c r="Z134" s="117" t="s">
        <v>237</v>
      </c>
      <c r="AA134" s="127">
        <v>5</v>
      </c>
      <c r="AB134" s="71"/>
      <c r="AC134" s="71"/>
      <c r="AD134">
        <v>2050</v>
      </c>
      <c r="AE134" s="71" t="s">
        <v>236</v>
      </c>
      <c r="AF134" s="117" t="s">
        <v>237</v>
      </c>
      <c r="AG134" s="117">
        <f>E104*0.313</f>
        <v>2.22663316246622</v>
      </c>
      <c r="AH134" s="117">
        <f>F104*0.313</f>
        <v>1.69076293868828</v>
      </c>
      <c r="AI134" s="117">
        <f>G104*0.313</f>
        <v>2.77174252962417</v>
      </c>
    </row>
    <row r="135" spans="3:35">
      <c r="C135" s="80" t="s">
        <v>275</v>
      </c>
      <c r="D135" s="126" t="s">
        <v>239</v>
      </c>
      <c r="E135" s="126">
        <f>E134</f>
        <v>0.1</v>
      </c>
      <c r="F135" s="120"/>
      <c r="G135" s="120"/>
      <c r="M135" s="71"/>
      <c r="N135" s="71"/>
      <c r="O135" s="71"/>
      <c r="P135" s="71"/>
      <c r="Q135" s="71"/>
      <c r="X135">
        <v>0</v>
      </c>
      <c r="Y135" s="71" t="s">
        <v>236</v>
      </c>
      <c r="Z135" s="117" t="s">
        <v>239</v>
      </c>
      <c r="AA135" s="127">
        <v>5</v>
      </c>
      <c r="AB135" s="71"/>
      <c r="AC135" s="71"/>
      <c r="AD135">
        <v>2050</v>
      </c>
      <c r="AE135" s="71"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80" t="s">
        <v>275</v>
      </c>
      <c r="D136" s="126" t="s">
        <v>241</v>
      </c>
      <c r="E136" s="126">
        <f t="shared" ref="E136:E154" si="24">E135</f>
        <v>0.1</v>
      </c>
      <c r="F136" s="120"/>
      <c r="G136" s="120"/>
      <c r="M136" s="71"/>
      <c r="N136" s="71"/>
      <c r="O136" s="71"/>
      <c r="P136" s="71"/>
      <c r="Q136" s="71"/>
      <c r="X136">
        <v>0</v>
      </c>
      <c r="Y136" s="71" t="s">
        <v>236</v>
      </c>
      <c r="Z136" s="117" t="s">
        <v>241</v>
      </c>
      <c r="AA136" s="127">
        <v>5</v>
      </c>
      <c r="AB136" s="71"/>
      <c r="AC136" s="71"/>
      <c r="AD136">
        <v>2050</v>
      </c>
      <c r="AE136" s="71" t="s">
        <v>236</v>
      </c>
      <c r="AF136" s="117" t="s">
        <v>241</v>
      </c>
      <c r="AG136" s="117">
        <f t="shared" si="21"/>
        <v>2.38811314546794</v>
      </c>
      <c r="AH136" s="117">
        <f t="shared" si="22"/>
        <v>1.81338051569639</v>
      </c>
      <c r="AI136" s="117">
        <f t="shared" si="23"/>
        <v>2.97275495851142</v>
      </c>
    </row>
    <row r="137" spans="3:35">
      <c r="C137" s="80" t="s">
        <v>275</v>
      </c>
      <c r="D137" s="126" t="s">
        <v>243</v>
      </c>
      <c r="E137" s="126">
        <f t="shared" si="24"/>
        <v>0.1</v>
      </c>
      <c r="F137" s="120"/>
      <c r="G137" s="120"/>
      <c r="M137" s="71"/>
      <c r="N137" s="71"/>
      <c r="O137" s="71"/>
      <c r="P137" s="71"/>
      <c r="Q137" s="71"/>
      <c r="X137">
        <v>0</v>
      </c>
      <c r="Y137" s="71" t="s">
        <v>236</v>
      </c>
      <c r="Z137" s="117" t="s">
        <v>243</v>
      </c>
      <c r="AA137" s="127">
        <v>5</v>
      </c>
      <c r="AB137" s="71"/>
      <c r="AC137" s="71"/>
      <c r="AD137">
        <v>2050</v>
      </c>
      <c r="AE137" s="71" t="s">
        <v>236</v>
      </c>
      <c r="AF137" s="117" t="s">
        <v>243</v>
      </c>
      <c r="AG137" s="117">
        <f t="shared" si="21"/>
        <v>2.338413866028</v>
      </c>
      <c r="AH137" s="117">
        <f t="shared" si="22"/>
        <v>1.77564205725866</v>
      </c>
      <c r="AI137" s="117">
        <f t="shared" si="23"/>
        <v>2.91088862866618</v>
      </c>
    </row>
    <row r="138" spans="3:35">
      <c r="C138" s="80" t="s">
        <v>275</v>
      </c>
      <c r="D138" s="126" t="s">
        <v>245</v>
      </c>
      <c r="E138" s="126">
        <f t="shared" si="24"/>
        <v>0.1</v>
      </c>
      <c r="F138" s="120"/>
      <c r="G138" s="120"/>
      <c r="M138" s="71"/>
      <c r="N138" s="71"/>
      <c r="O138" s="71"/>
      <c r="P138" s="71"/>
      <c r="Q138" s="71"/>
      <c r="X138">
        <v>0</v>
      </c>
      <c r="Y138" s="71" t="s">
        <v>236</v>
      </c>
      <c r="Z138" s="117" t="s">
        <v>245</v>
      </c>
      <c r="AA138" s="127">
        <v>5</v>
      </c>
      <c r="AB138" s="71"/>
      <c r="AC138" s="71"/>
      <c r="AD138">
        <v>2050</v>
      </c>
      <c r="AE138" s="71" t="s">
        <v>236</v>
      </c>
      <c r="AF138" s="117" t="s">
        <v>245</v>
      </c>
      <c r="AG138" s="117">
        <f t="shared" si="21"/>
        <v>2.35264421766151</v>
      </c>
      <c r="AH138" s="117">
        <f t="shared" si="22"/>
        <v>1.78644768452469</v>
      </c>
      <c r="AI138" s="117">
        <f t="shared" si="23"/>
        <v>2.92860276794399</v>
      </c>
    </row>
    <row r="139" spans="3:35">
      <c r="C139" s="80" t="s">
        <v>275</v>
      </c>
      <c r="D139" s="126" t="s">
        <v>247</v>
      </c>
      <c r="E139" s="126">
        <f t="shared" si="24"/>
        <v>0.1</v>
      </c>
      <c r="F139" s="120"/>
      <c r="G139" s="120"/>
      <c r="M139" s="71"/>
      <c r="N139" s="71"/>
      <c r="O139" s="71"/>
      <c r="P139" s="71"/>
      <c r="Q139" s="71"/>
      <c r="X139">
        <v>0</v>
      </c>
      <c r="Y139" s="71" t="s">
        <v>236</v>
      </c>
      <c r="Z139" s="117" t="s">
        <v>247</v>
      </c>
      <c r="AA139" s="127">
        <v>5</v>
      </c>
      <c r="AB139" s="71"/>
      <c r="AC139" s="71"/>
      <c r="AD139">
        <v>2050</v>
      </c>
      <c r="AE139" s="71" t="s">
        <v>236</v>
      </c>
      <c r="AF139" s="117" t="s">
        <v>247</v>
      </c>
      <c r="AG139" s="117">
        <f t="shared" si="21"/>
        <v>2.36326350574797</v>
      </c>
      <c r="AH139" s="117">
        <f t="shared" si="22"/>
        <v>1.79451129801032</v>
      </c>
      <c r="AI139" s="117">
        <f t="shared" si="23"/>
        <v>2.9418217935888</v>
      </c>
    </row>
    <row r="140" spans="3:35">
      <c r="C140" s="80" t="s">
        <v>275</v>
      </c>
      <c r="D140" s="126" t="s">
        <v>249</v>
      </c>
      <c r="E140" s="126">
        <f t="shared" si="24"/>
        <v>0.1</v>
      </c>
      <c r="F140" s="120"/>
      <c r="G140" s="120"/>
      <c r="M140" s="71"/>
      <c r="N140" s="71"/>
      <c r="O140" s="71"/>
      <c r="P140" s="71"/>
      <c r="Q140" s="71"/>
      <c r="X140">
        <v>0</v>
      </c>
      <c r="Y140" s="71" t="s">
        <v>236</v>
      </c>
      <c r="Z140" s="117" t="s">
        <v>249</v>
      </c>
      <c r="AA140" s="127">
        <v>5</v>
      </c>
      <c r="AB140" s="71"/>
      <c r="AC140" s="71"/>
      <c r="AD140">
        <v>2050</v>
      </c>
      <c r="AE140" s="71" t="s">
        <v>236</v>
      </c>
      <c r="AF140" s="117" t="s">
        <v>249</v>
      </c>
      <c r="AG140" s="117">
        <f t="shared" si="21"/>
        <v>2.38811314546794</v>
      </c>
      <c r="AH140" s="117">
        <f t="shared" si="22"/>
        <v>1.81338051569639</v>
      </c>
      <c r="AI140" s="117">
        <f t="shared" si="23"/>
        <v>2.97275495851142</v>
      </c>
    </row>
    <row r="141" spans="3:35">
      <c r="C141" s="80" t="s">
        <v>275</v>
      </c>
      <c r="D141" s="126" t="s">
        <v>251</v>
      </c>
      <c r="E141" s="126">
        <f t="shared" si="24"/>
        <v>0.1</v>
      </c>
      <c r="F141" s="120"/>
      <c r="G141" s="120"/>
      <c r="M141" s="71"/>
      <c r="N141" s="71"/>
      <c r="O141" s="71"/>
      <c r="P141" s="71"/>
      <c r="Q141" s="71"/>
      <c r="X141">
        <v>0</v>
      </c>
      <c r="Y141" s="71" t="s">
        <v>236</v>
      </c>
      <c r="Z141" s="117" t="s">
        <v>251</v>
      </c>
      <c r="AA141" s="127">
        <v>5</v>
      </c>
      <c r="AB141" s="71"/>
      <c r="AC141" s="71"/>
      <c r="AD141">
        <v>2050</v>
      </c>
      <c r="AE141" s="71" t="s">
        <v>236</v>
      </c>
      <c r="AF141" s="117" t="s">
        <v>251</v>
      </c>
      <c r="AG141" s="117">
        <f t="shared" si="21"/>
        <v>1.3095438006141</v>
      </c>
      <c r="AH141" s="117">
        <f t="shared" si="22"/>
        <v>0.994383885335299</v>
      </c>
      <c r="AI141" s="117">
        <f t="shared" si="23"/>
        <v>1.63013751429624</v>
      </c>
    </row>
    <row r="142" spans="3:35">
      <c r="C142" s="80" t="s">
        <v>275</v>
      </c>
      <c r="D142" s="126" t="s">
        <v>253</v>
      </c>
      <c r="E142" s="126">
        <f t="shared" si="24"/>
        <v>0.1</v>
      </c>
      <c r="F142" s="120"/>
      <c r="G142" s="120"/>
      <c r="M142" s="71"/>
      <c r="N142" s="71"/>
      <c r="O142" s="71"/>
      <c r="P142" s="71"/>
      <c r="Q142" s="71"/>
      <c r="X142">
        <v>0</v>
      </c>
      <c r="Y142" s="71" t="s">
        <v>236</v>
      </c>
      <c r="Z142" s="117" t="s">
        <v>253</v>
      </c>
      <c r="AA142" s="127">
        <v>5</v>
      </c>
      <c r="AB142" s="71"/>
      <c r="AC142" s="71"/>
      <c r="AD142">
        <v>2050</v>
      </c>
      <c r="AE142" s="71" t="s">
        <v>236</v>
      </c>
      <c r="AF142" s="117" t="s">
        <v>253</v>
      </c>
      <c r="AG142" s="117">
        <f t="shared" si="21"/>
        <v>1.3095438006141</v>
      </c>
      <c r="AH142" s="117">
        <f t="shared" si="22"/>
        <v>0.994383885335299</v>
      </c>
      <c r="AI142" s="117">
        <f t="shared" si="23"/>
        <v>1.63013751429624</v>
      </c>
    </row>
    <row r="143" spans="3:35">
      <c r="C143" s="80" t="s">
        <v>275</v>
      </c>
      <c r="D143" s="126" t="s">
        <v>254</v>
      </c>
      <c r="E143" s="126">
        <f t="shared" si="24"/>
        <v>0.1</v>
      </c>
      <c r="F143" s="120"/>
      <c r="G143" s="120"/>
      <c r="M143" s="71"/>
      <c r="N143" s="71"/>
      <c r="O143" s="71"/>
      <c r="P143" s="71"/>
      <c r="Q143" s="71"/>
      <c r="X143">
        <v>0</v>
      </c>
      <c r="Y143" s="71" t="s">
        <v>236</v>
      </c>
      <c r="Z143" s="117" t="s">
        <v>254</v>
      </c>
      <c r="AA143" s="127">
        <v>5</v>
      </c>
      <c r="AB143" s="71"/>
      <c r="AC143" s="71"/>
      <c r="AD143">
        <v>2050</v>
      </c>
      <c r="AE143" s="71" t="s">
        <v>236</v>
      </c>
      <c r="AF143" s="117" t="s">
        <v>254</v>
      </c>
      <c r="AG143" s="117">
        <f t="shared" si="21"/>
        <v>1.3095438006141</v>
      </c>
      <c r="AH143" s="117">
        <f t="shared" si="22"/>
        <v>0.994383885335299</v>
      </c>
      <c r="AI143" s="117">
        <f t="shared" si="23"/>
        <v>1.63013751429624</v>
      </c>
    </row>
    <row r="144" spans="3:35">
      <c r="C144" s="80" t="s">
        <v>275</v>
      </c>
      <c r="D144" s="126" t="s">
        <v>256</v>
      </c>
      <c r="E144" s="126">
        <f t="shared" si="24"/>
        <v>0.1</v>
      </c>
      <c r="F144" s="120"/>
      <c r="G144" s="120"/>
      <c r="M144" s="71"/>
      <c r="N144" s="71"/>
      <c r="O144" s="71"/>
      <c r="P144" s="71"/>
      <c r="Q144" s="71"/>
      <c r="X144">
        <v>0</v>
      </c>
      <c r="Y144" s="71" t="s">
        <v>236</v>
      </c>
      <c r="Z144" s="117" t="s">
        <v>256</v>
      </c>
      <c r="AA144" s="127">
        <v>5</v>
      </c>
      <c r="AB144" s="71"/>
      <c r="AC144" s="71"/>
      <c r="AD144">
        <v>2050</v>
      </c>
      <c r="AE144" s="71" t="s">
        <v>236</v>
      </c>
      <c r="AF144" s="117" t="s">
        <v>256</v>
      </c>
      <c r="AG144" s="117">
        <f t="shared" si="21"/>
        <v>1.3095438006141</v>
      </c>
      <c r="AH144" s="117">
        <f t="shared" si="22"/>
        <v>0.994383885335299</v>
      </c>
      <c r="AI144" s="117">
        <f t="shared" si="23"/>
        <v>1.63013751429624</v>
      </c>
    </row>
    <row r="145" spans="3:35">
      <c r="C145" s="80" t="s">
        <v>275</v>
      </c>
      <c r="D145" s="126" t="s">
        <v>258</v>
      </c>
      <c r="E145" s="126">
        <f t="shared" si="24"/>
        <v>0.1</v>
      </c>
      <c r="F145" s="120"/>
      <c r="G145" s="120"/>
      <c r="M145" s="71"/>
      <c r="N145" s="71"/>
      <c r="O145" s="71"/>
      <c r="P145" s="71"/>
      <c r="Q145" s="71"/>
      <c r="X145">
        <v>0</v>
      </c>
      <c r="Y145" s="71" t="s">
        <v>236</v>
      </c>
      <c r="Z145" s="117" t="s">
        <v>258</v>
      </c>
      <c r="AA145" s="127">
        <v>5</v>
      </c>
      <c r="AB145" s="71"/>
      <c r="AC145" s="71"/>
      <c r="AD145">
        <v>2050</v>
      </c>
      <c r="AE145" s="71" t="s">
        <v>236</v>
      </c>
      <c r="AF145" s="117" t="s">
        <v>258</v>
      </c>
      <c r="AG145" s="117">
        <f t="shared" si="21"/>
        <v>1.3095438006141</v>
      </c>
      <c r="AH145" s="117">
        <f t="shared" si="22"/>
        <v>0.994383885335299</v>
      </c>
      <c r="AI145" s="117">
        <f t="shared" si="23"/>
        <v>1.63013751429624</v>
      </c>
    </row>
    <row r="146" spans="3:35">
      <c r="C146" s="80" t="s">
        <v>275</v>
      </c>
      <c r="D146" s="126" t="s">
        <v>260</v>
      </c>
      <c r="E146" s="126">
        <f t="shared" si="24"/>
        <v>0.1</v>
      </c>
      <c r="F146" s="120"/>
      <c r="G146" s="120"/>
      <c r="M146" s="71"/>
      <c r="N146" s="71"/>
      <c r="O146" s="71"/>
      <c r="P146" s="71"/>
      <c r="Q146" s="71"/>
      <c r="X146">
        <v>0</v>
      </c>
      <c r="Y146" s="71" t="s">
        <v>236</v>
      </c>
      <c r="Z146" s="117" t="s">
        <v>260</v>
      </c>
      <c r="AA146" s="127">
        <v>5</v>
      </c>
      <c r="AB146" s="71"/>
      <c r="AC146" s="71"/>
      <c r="AD146">
        <v>2050</v>
      </c>
      <c r="AE146" s="71" t="s">
        <v>236</v>
      </c>
      <c r="AF146" s="117" t="s">
        <v>260</v>
      </c>
      <c r="AG146" s="117">
        <f t="shared" si="21"/>
        <v>1.3095438006141</v>
      </c>
      <c r="AH146" s="117">
        <f t="shared" si="22"/>
        <v>0.994383885335299</v>
      </c>
      <c r="AI146" s="117">
        <f t="shared" si="23"/>
        <v>1.63013751429624</v>
      </c>
    </row>
    <row r="147" spans="3:35">
      <c r="C147" s="80" t="s">
        <v>275</v>
      </c>
      <c r="D147" s="126" t="s">
        <v>262</v>
      </c>
      <c r="E147" s="126">
        <f t="shared" si="24"/>
        <v>0.1</v>
      </c>
      <c r="F147" s="120"/>
      <c r="G147" s="120"/>
      <c r="M147" s="71"/>
      <c r="N147" s="71"/>
      <c r="O147" s="71"/>
      <c r="P147" s="71"/>
      <c r="Q147" s="71"/>
      <c r="X147">
        <v>0</v>
      </c>
      <c r="Y147" s="71" t="s">
        <v>236</v>
      </c>
      <c r="Z147" s="117" t="s">
        <v>262</v>
      </c>
      <c r="AA147" s="127">
        <v>5</v>
      </c>
      <c r="AB147" s="71"/>
      <c r="AC147" s="71"/>
      <c r="AD147">
        <v>2050</v>
      </c>
      <c r="AE147" s="71" t="s">
        <v>236</v>
      </c>
      <c r="AF147" s="117" t="s">
        <v>262</v>
      </c>
      <c r="AG147" s="117">
        <f t="shared" si="21"/>
        <v>1.3095438006141</v>
      </c>
      <c r="AH147" s="117">
        <f t="shared" si="22"/>
        <v>0.994383885335299</v>
      </c>
      <c r="AI147" s="117">
        <f t="shared" si="23"/>
        <v>1.63013751429624</v>
      </c>
    </row>
    <row r="148" spans="3:35">
      <c r="C148" s="80" t="s">
        <v>275</v>
      </c>
      <c r="D148" s="126" t="s">
        <v>264</v>
      </c>
      <c r="E148" s="126">
        <f t="shared" si="24"/>
        <v>0.1</v>
      </c>
      <c r="F148" s="120"/>
      <c r="G148" s="120"/>
      <c r="M148" s="71"/>
      <c r="N148" s="71"/>
      <c r="O148" s="71"/>
      <c r="P148" s="71"/>
      <c r="Q148" s="71"/>
      <c r="X148">
        <v>0</v>
      </c>
      <c r="Y148" s="71" t="s">
        <v>236</v>
      </c>
      <c r="Z148" s="117" t="s">
        <v>264</v>
      </c>
      <c r="AA148" s="127">
        <v>5</v>
      </c>
      <c r="AB148" s="71"/>
      <c r="AC148" s="71"/>
      <c r="AD148">
        <v>2050</v>
      </c>
      <c r="AE148" s="71" t="s">
        <v>236</v>
      </c>
      <c r="AF148" s="117" t="s">
        <v>264</v>
      </c>
      <c r="AG148" s="117">
        <f t="shared" si="21"/>
        <v>1.1160211134365</v>
      </c>
      <c r="AH148" s="117">
        <f t="shared" si="22"/>
        <v>0.847435113780397</v>
      </c>
      <c r="AI148" s="117">
        <f t="shared" si="23"/>
        <v>1.38923790619012</v>
      </c>
    </row>
    <row r="149" spans="3:35">
      <c r="C149" s="80" t="s">
        <v>275</v>
      </c>
      <c r="D149" s="126" t="s">
        <v>266</v>
      </c>
      <c r="E149" s="126">
        <f t="shared" si="24"/>
        <v>0.1</v>
      </c>
      <c r="F149" s="120"/>
      <c r="G149" s="120"/>
      <c r="M149" s="71"/>
      <c r="N149" s="71"/>
      <c r="O149" s="71"/>
      <c r="P149" s="71"/>
      <c r="Q149" s="71"/>
      <c r="X149">
        <v>0</v>
      </c>
      <c r="Y149" s="71" t="s">
        <v>236</v>
      </c>
      <c r="Z149" s="117" t="s">
        <v>266</v>
      </c>
      <c r="AA149" s="127">
        <v>5</v>
      </c>
      <c r="AB149" s="71"/>
      <c r="AC149" s="71"/>
      <c r="AD149">
        <v>2050</v>
      </c>
      <c r="AE149" s="71" t="s">
        <v>236</v>
      </c>
      <c r="AF149" s="117" t="s">
        <v>266</v>
      </c>
      <c r="AG149" s="117">
        <f t="shared" si="21"/>
        <v>1.1270745266028</v>
      </c>
      <c r="AH149" s="117">
        <f t="shared" si="22"/>
        <v>0.855828380619012</v>
      </c>
      <c r="AI149" s="117">
        <f t="shared" si="23"/>
        <v>1.40299733544584</v>
      </c>
    </row>
    <row r="150" spans="3:35">
      <c r="C150" s="80" t="s">
        <v>275</v>
      </c>
      <c r="D150" s="126" t="s">
        <v>268</v>
      </c>
      <c r="E150" s="126">
        <f t="shared" si="24"/>
        <v>0.1</v>
      </c>
      <c r="F150" s="120"/>
      <c r="G150" s="120"/>
      <c r="M150" s="71"/>
      <c r="N150" s="71"/>
      <c r="O150" s="71"/>
      <c r="P150" s="71"/>
      <c r="Q150" s="71"/>
      <c r="X150">
        <v>0</v>
      </c>
      <c r="Y150" s="71" t="s">
        <v>236</v>
      </c>
      <c r="Z150" s="117" t="s">
        <v>268</v>
      </c>
      <c r="AA150" s="127">
        <v>5</v>
      </c>
      <c r="AB150" s="71"/>
      <c r="AC150" s="71"/>
      <c r="AD150">
        <v>2050</v>
      </c>
      <c r="AE150" s="71" t="s">
        <v>236</v>
      </c>
      <c r="AF150" s="117" t="s">
        <v>268</v>
      </c>
      <c r="AG150" s="117">
        <f t="shared" si="21"/>
        <v>1.1160211134365</v>
      </c>
      <c r="AH150" s="117">
        <f t="shared" si="22"/>
        <v>0.847435113780397</v>
      </c>
      <c r="AI150" s="117">
        <f t="shared" si="23"/>
        <v>1.38923790619012</v>
      </c>
    </row>
    <row r="151" spans="3:35">
      <c r="C151" s="80" t="s">
        <v>275</v>
      </c>
      <c r="D151" s="126" t="s">
        <v>269</v>
      </c>
      <c r="E151" s="126">
        <f t="shared" si="24"/>
        <v>0.1</v>
      </c>
      <c r="F151" s="120"/>
      <c r="G151" s="120"/>
      <c r="M151" s="71"/>
      <c r="N151" s="71"/>
      <c r="O151" s="71"/>
      <c r="P151" s="71"/>
      <c r="Q151" s="71"/>
      <c r="X151">
        <v>0</v>
      </c>
      <c r="Y151" s="71" t="s">
        <v>236</v>
      </c>
      <c r="Z151" s="117" t="s">
        <v>269</v>
      </c>
      <c r="AA151" s="127">
        <v>5</v>
      </c>
      <c r="AB151" s="71"/>
      <c r="AC151" s="71"/>
      <c r="AD151">
        <v>2050</v>
      </c>
      <c r="AE151" s="71" t="s">
        <v>236</v>
      </c>
      <c r="AF151" s="117" t="s">
        <v>269</v>
      </c>
      <c r="AG151" s="117">
        <f t="shared" si="21"/>
        <v>1.11630000712356</v>
      </c>
      <c r="AH151" s="117">
        <f t="shared" si="22"/>
        <v>0.847646901989683</v>
      </c>
      <c r="AI151" s="117">
        <f t="shared" si="23"/>
        <v>1.38958506632277</v>
      </c>
    </row>
    <row r="152" spans="3:35">
      <c r="C152" s="80" t="s">
        <v>275</v>
      </c>
      <c r="D152" s="126" t="s">
        <v>271</v>
      </c>
      <c r="E152" s="126">
        <f t="shared" si="24"/>
        <v>0.1</v>
      </c>
      <c r="F152" s="120"/>
      <c r="G152" s="120"/>
      <c r="M152" s="71"/>
      <c r="N152" s="71"/>
      <c r="O152" s="71"/>
      <c r="P152" s="71"/>
      <c r="Q152" s="71"/>
      <c r="X152">
        <v>0</v>
      </c>
      <c r="Y152" s="71" t="s">
        <v>236</v>
      </c>
      <c r="Z152" s="117" t="s">
        <v>271</v>
      </c>
      <c r="AA152" s="127">
        <v>5</v>
      </c>
      <c r="AB152" s="71"/>
      <c r="AC152" s="71"/>
      <c r="AD152">
        <v>2050</v>
      </c>
      <c r="AE152" s="71" t="s">
        <v>236</v>
      </c>
      <c r="AF152" s="117" t="s">
        <v>271</v>
      </c>
      <c r="AG152" s="117">
        <f t="shared" si="21"/>
        <v>1.11611406005895</v>
      </c>
      <c r="AH152" s="117">
        <f t="shared" si="22"/>
        <v>0.847505694473101</v>
      </c>
      <c r="AI152" s="117">
        <f t="shared" si="23"/>
        <v>1.38935360316875</v>
      </c>
    </row>
    <row r="153" spans="3:35">
      <c r="C153" s="80" t="s">
        <v>275</v>
      </c>
      <c r="D153" s="126" t="s">
        <v>273</v>
      </c>
      <c r="E153" s="126">
        <f t="shared" si="24"/>
        <v>0.1</v>
      </c>
      <c r="F153" s="120"/>
      <c r="G153" s="120"/>
      <c r="M153" s="71"/>
      <c r="N153" s="71"/>
      <c r="O153" s="71"/>
      <c r="P153" s="71"/>
      <c r="Q153" s="71"/>
      <c r="X153">
        <v>0</v>
      </c>
      <c r="Y153" s="71" t="s">
        <v>236</v>
      </c>
      <c r="Z153" s="117" t="s">
        <v>273</v>
      </c>
      <c r="AA153" s="127">
        <v>5</v>
      </c>
      <c r="AB153" s="71"/>
      <c r="AC153" s="71"/>
      <c r="AD153">
        <v>2050</v>
      </c>
      <c r="AE153" s="71" t="s">
        <v>236</v>
      </c>
      <c r="AF153" s="117" t="s">
        <v>273</v>
      </c>
      <c r="AG153" s="117">
        <f t="shared" si="21"/>
        <v>1.1160211134365</v>
      </c>
      <c r="AH153" s="117">
        <f t="shared" si="22"/>
        <v>0.847435113780397</v>
      </c>
      <c r="AI153" s="117">
        <f t="shared" si="23"/>
        <v>1.38923790619012</v>
      </c>
    </row>
    <row r="154" spans="3:35">
      <c r="C154" s="80" t="s">
        <v>275</v>
      </c>
      <c r="D154" s="128" t="s">
        <v>274</v>
      </c>
      <c r="E154" s="126">
        <f t="shared" si="24"/>
        <v>0.1</v>
      </c>
      <c r="F154" s="120"/>
      <c r="G154" s="120"/>
      <c r="M154" s="71"/>
      <c r="N154" s="71"/>
      <c r="O154" s="71"/>
      <c r="P154" s="71"/>
      <c r="Q154" s="71"/>
      <c r="X154">
        <v>0</v>
      </c>
      <c r="Y154" s="71" t="s">
        <v>236</v>
      </c>
      <c r="Z154" s="117" t="s">
        <v>274</v>
      </c>
      <c r="AA154" s="127">
        <v>5</v>
      </c>
      <c r="AB154" s="71"/>
      <c r="AC154" s="71"/>
      <c r="AD154">
        <v>2050</v>
      </c>
      <c r="AE154" s="71" t="s">
        <v>236</v>
      </c>
      <c r="AF154" s="125" t="s">
        <v>274</v>
      </c>
      <c r="AG154" s="117">
        <f t="shared" si="21"/>
        <v>1.11583526632277</v>
      </c>
      <c r="AH154" s="117">
        <f t="shared" si="22"/>
        <v>0.847293998526159</v>
      </c>
      <c r="AI154" s="117">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29"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30" t="s">
        <v>1</v>
      </c>
      <c r="E243" s="130" t="s">
        <v>68</v>
      </c>
      <c r="F243" s="130" t="s">
        <v>90</v>
      </c>
      <c r="G243" s="130" t="s">
        <v>94</v>
      </c>
      <c r="H243" s="130" t="s">
        <v>86</v>
      </c>
      <c r="I243" s="130" t="s">
        <v>77</v>
      </c>
      <c r="J243" s="130" t="s">
        <v>73</v>
      </c>
      <c r="K243" s="130" t="s">
        <v>97</v>
      </c>
      <c r="P243" t="s">
        <v>278</v>
      </c>
    </row>
    <row r="244" ht="14.5" spans="4:23">
      <c r="D244" s="130" t="s">
        <v>3</v>
      </c>
      <c r="E244" s="130">
        <v>0</v>
      </c>
      <c r="F244" s="130">
        <v>0</v>
      </c>
      <c r="G244" s="130">
        <v>0</v>
      </c>
      <c r="H244" s="130">
        <v>0</v>
      </c>
      <c r="I244" s="130">
        <v>0</v>
      </c>
      <c r="J244" s="130">
        <v>0</v>
      </c>
      <c r="K244" s="130">
        <v>0</v>
      </c>
      <c r="Q244">
        <f>E244/3</f>
        <v>0</v>
      </c>
      <c r="R244">
        <f t="shared" ref="R244:W244" si="59">F244/3</f>
        <v>0</v>
      </c>
      <c r="S244">
        <f t="shared" si="59"/>
        <v>0</v>
      </c>
      <c r="T244">
        <f t="shared" si="59"/>
        <v>0</v>
      </c>
      <c r="U244">
        <f t="shared" si="59"/>
        <v>0</v>
      </c>
      <c r="V244">
        <f t="shared" si="59"/>
        <v>0</v>
      </c>
      <c r="W244">
        <f t="shared" si="59"/>
        <v>0</v>
      </c>
    </row>
    <row r="245" ht="14.5" spans="4:23">
      <c r="D245" s="130" t="s">
        <v>5</v>
      </c>
      <c r="E245" s="130">
        <v>0</v>
      </c>
      <c r="F245" s="130">
        <v>0</v>
      </c>
      <c r="G245" s="130">
        <v>0</v>
      </c>
      <c r="H245" s="130">
        <v>0</v>
      </c>
      <c r="I245" s="130">
        <v>0</v>
      </c>
      <c r="J245" s="130">
        <v>0</v>
      </c>
      <c r="K245" s="130">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0" t="s">
        <v>6</v>
      </c>
      <c r="E246" s="130">
        <v>0</v>
      </c>
      <c r="F246" s="130">
        <v>0</v>
      </c>
      <c r="G246" s="130">
        <v>0</v>
      </c>
      <c r="H246" s="130">
        <v>0</v>
      </c>
      <c r="I246" s="130">
        <v>0</v>
      </c>
      <c r="J246" s="130">
        <v>0</v>
      </c>
      <c r="K246" s="130">
        <v>0</v>
      </c>
      <c r="Q246">
        <f t="shared" si="60"/>
        <v>0</v>
      </c>
      <c r="R246">
        <f t="shared" ref="R246:W246" si="62">F246/3</f>
        <v>0</v>
      </c>
      <c r="S246">
        <f t="shared" si="62"/>
        <v>0</v>
      </c>
      <c r="T246">
        <f t="shared" si="62"/>
        <v>0</v>
      </c>
      <c r="U246">
        <f t="shared" si="62"/>
        <v>0</v>
      </c>
      <c r="V246">
        <f t="shared" si="62"/>
        <v>0</v>
      </c>
      <c r="W246">
        <f t="shared" si="62"/>
        <v>0</v>
      </c>
    </row>
    <row r="247" ht="14.5" spans="4:23">
      <c r="D247" s="130" t="s">
        <v>7</v>
      </c>
      <c r="E247" s="130">
        <v>0</v>
      </c>
      <c r="F247" s="130">
        <v>0</v>
      </c>
      <c r="G247" s="130">
        <v>0</v>
      </c>
      <c r="H247" s="130">
        <v>0</v>
      </c>
      <c r="I247" s="130">
        <v>0</v>
      </c>
      <c r="J247" s="130">
        <v>0</v>
      </c>
      <c r="K247" s="130">
        <v>0</v>
      </c>
      <c r="Q247">
        <f t="shared" si="60"/>
        <v>0</v>
      </c>
      <c r="R247">
        <f t="shared" ref="R247:W247" si="63">F247/3</f>
        <v>0</v>
      </c>
      <c r="S247">
        <f t="shared" si="63"/>
        <v>0</v>
      </c>
      <c r="T247">
        <f t="shared" si="63"/>
        <v>0</v>
      </c>
      <c r="U247">
        <f t="shared" si="63"/>
        <v>0</v>
      </c>
      <c r="V247">
        <f t="shared" si="63"/>
        <v>0</v>
      </c>
      <c r="W247">
        <f t="shared" si="63"/>
        <v>0</v>
      </c>
    </row>
    <row r="248" ht="14.5" spans="4:23">
      <c r="D248" s="130" t="s">
        <v>8</v>
      </c>
      <c r="E248" s="130">
        <v>0</v>
      </c>
      <c r="F248" s="130">
        <v>0</v>
      </c>
      <c r="G248" s="130">
        <v>0</v>
      </c>
      <c r="H248" s="130">
        <v>0</v>
      </c>
      <c r="I248" s="130">
        <v>0</v>
      </c>
      <c r="J248" s="130">
        <v>0</v>
      </c>
      <c r="K248" s="130">
        <v>0</v>
      </c>
      <c r="Q248">
        <f t="shared" si="60"/>
        <v>0</v>
      </c>
      <c r="R248">
        <f t="shared" ref="R248:W248" si="64">F248/3</f>
        <v>0</v>
      </c>
      <c r="S248">
        <f t="shared" si="64"/>
        <v>0</v>
      </c>
      <c r="T248">
        <f t="shared" si="64"/>
        <v>0</v>
      </c>
      <c r="U248">
        <f t="shared" si="64"/>
        <v>0</v>
      </c>
      <c r="V248">
        <f t="shared" si="64"/>
        <v>0</v>
      </c>
      <c r="W248">
        <f t="shared" si="64"/>
        <v>0</v>
      </c>
    </row>
    <row r="249" ht="14.5" spans="4:23">
      <c r="D249" s="130" t="s">
        <v>9</v>
      </c>
      <c r="E249" s="130">
        <v>0</v>
      </c>
      <c r="F249" s="130">
        <v>0</v>
      </c>
      <c r="G249" s="130">
        <v>0</v>
      </c>
      <c r="H249" s="130">
        <v>0</v>
      </c>
      <c r="I249" s="130">
        <v>0</v>
      </c>
      <c r="J249" s="130">
        <v>0</v>
      </c>
      <c r="K249" s="130">
        <v>0</v>
      </c>
      <c r="Q249">
        <f t="shared" si="60"/>
        <v>0</v>
      </c>
      <c r="R249">
        <f t="shared" ref="R249:W249" si="65">F249/3</f>
        <v>0</v>
      </c>
      <c r="S249">
        <f t="shared" si="65"/>
        <v>0</v>
      </c>
      <c r="T249">
        <f t="shared" si="65"/>
        <v>0</v>
      </c>
      <c r="U249">
        <f t="shared" si="65"/>
        <v>0</v>
      </c>
      <c r="V249">
        <f t="shared" si="65"/>
        <v>0</v>
      </c>
      <c r="W249">
        <f t="shared" si="65"/>
        <v>0</v>
      </c>
    </row>
    <row r="250" ht="14.5" spans="4:23">
      <c r="D250" s="130" t="s">
        <v>10</v>
      </c>
      <c r="E250" s="130">
        <v>0</v>
      </c>
      <c r="F250" s="130">
        <v>0</v>
      </c>
      <c r="G250" s="130">
        <v>0</v>
      </c>
      <c r="H250" s="130">
        <v>0</v>
      </c>
      <c r="I250" s="130">
        <v>0</v>
      </c>
      <c r="J250" s="130">
        <v>0</v>
      </c>
      <c r="K250" s="130">
        <v>0</v>
      </c>
      <c r="Q250">
        <f t="shared" si="60"/>
        <v>0</v>
      </c>
      <c r="R250">
        <f t="shared" ref="R250:W250" si="66">F250/3</f>
        <v>0</v>
      </c>
      <c r="S250">
        <f t="shared" si="66"/>
        <v>0</v>
      </c>
      <c r="T250">
        <f t="shared" si="66"/>
        <v>0</v>
      </c>
      <c r="U250">
        <f t="shared" si="66"/>
        <v>0</v>
      </c>
      <c r="V250">
        <f t="shared" si="66"/>
        <v>0</v>
      </c>
      <c r="W250">
        <f t="shared" si="66"/>
        <v>0</v>
      </c>
    </row>
    <row r="251" ht="14.5" spans="4:23">
      <c r="D251" s="130" t="s">
        <v>11</v>
      </c>
      <c r="E251" s="130">
        <v>970</v>
      </c>
      <c r="F251" s="130">
        <v>483</v>
      </c>
      <c r="G251" s="130">
        <v>268</v>
      </c>
      <c r="H251" s="130">
        <v>188</v>
      </c>
      <c r="I251" s="130">
        <v>80</v>
      </c>
      <c r="J251" s="130">
        <v>188</v>
      </c>
      <c r="K251" s="130">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0" t="s">
        <v>12</v>
      </c>
      <c r="E252" s="130">
        <v>0</v>
      </c>
      <c r="F252" s="130">
        <v>0</v>
      </c>
      <c r="G252" s="130">
        <v>0</v>
      </c>
      <c r="H252" s="130">
        <v>0</v>
      </c>
      <c r="I252" s="130">
        <v>0</v>
      </c>
      <c r="J252" s="130">
        <v>0</v>
      </c>
      <c r="K252" s="130">
        <v>0</v>
      </c>
      <c r="Q252">
        <f t="shared" si="60"/>
        <v>0</v>
      </c>
      <c r="R252">
        <f t="shared" ref="R252:W252" si="68">F252/3</f>
        <v>0</v>
      </c>
      <c r="S252">
        <f t="shared" si="68"/>
        <v>0</v>
      </c>
      <c r="T252">
        <f t="shared" si="68"/>
        <v>0</v>
      </c>
      <c r="U252">
        <f t="shared" si="68"/>
        <v>0</v>
      </c>
      <c r="V252">
        <f t="shared" si="68"/>
        <v>0</v>
      </c>
      <c r="W252">
        <f t="shared" si="68"/>
        <v>0</v>
      </c>
    </row>
    <row r="253" ht="14.5" spans="4:23">
      <c r="D253" s="130" t="s">
        <v>13</v>
      </c>
      <c r="E253" s="130">
        <v>0</v>
      </c>
      <c r="F253" s="130">
        <v>0</v>
      </c>
      <c r="G253" s="130">
        <v>0</v>
      </c>
      <c r="H253" s="130">
        <v>0</v>
      </c>
      <c r="I253" s="130">
        <v>0</v>
      </c>
      <c r="J253" s="130">
        <v>0</v>
      </c>
      <c r="K253" s="130">
        <v>0</v>
      </c>
      <c r="Q253">
        <f t="shared" si="60"/>
        <v>0</v>
      </c>
      <c r="R253">
        <f t="shared" ref="R253:W253" si="69">F253/3</f>
        <v>0</v>
      </c>
      <c r="S253">
        <f t="shared" si="69"/>
        <v>0</v>
      </c>
      <c r="T253">
        <f t="shared" si="69"/>
        <v>0</v>
      </c>
      <c r="U253">
        <f t="shared" si="69"/>
        <v>0</v>
      </c>
      <c r="V253">
        <f t="shared" si="69"/>
        <v>0</v>
      </c>
      <c r="W253">
        <f t="shared" si="69"/>
        <v>0</v>
      </c>
    </row>
    <row r="254" ht="14.5" spans="4:23">
      <c r="D254" s="130" t="s">
        <v>14</v>
      </c>
      <c r="E254" s="130">
        <v>1</v>
      </c>
      <c r="F254" s="130">
        <v>2</v>
      </c>
      <c r="G254" s="130">
        <v>2</v>
      </c>
      <c r="H254" s="130">
        <v>1</v>
      </c>
      <c r="I254" s="130">
        <v>1</v>
      </c>
      <c r="J254" s="130">
        <v>0</v>
      </c>
      <c r="K254" s="130">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0" t="s">
        <v>15</v>
      </c>
      <c r="E255" s="130">
        <v>3</v>
      </c>
      <c r="F255" s="130">
        <v>8</v>
      </c>
      <c r="G255" s="130">
        <v>6</v>
      </c>
      <c r="H255" s="130">
        <v>5</v>
      </c>
      <c r="I255" s="130">
        <v>3</v>
      </c>
      <c r="J255" s="130">
        <v>1</v>
      </c>
      <c r="K255" s="130">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0" t="s">
        <v>16</v>
      </c>
      <c r="E256" s="130">
        <v>0</v>
      </c>
      <c r="F256" s="130">
        <v>0</v>
      </c>
      <c r="G256" s="130">
        <v>0</v>
      </c>
      <c r="H256" s="130">
        <v>0</v>
      </c>
      <c r="I256" s="130">
        <v>0</v>
      </c>
      <c r="J256" s="130">
        <v>0</v>
      </c>
      <c r="K256" s="130">
        <v>0</v>
      </c>
      <c r="Q256">
        <f t="shared" si="60"/>
        <v>0</v>
      </c>
      <c r="R256">
        <f t="shared" ref="R256:W256" si="72">F256/3</f>
        <v>0</v>
      </c>
      <c r="S256">
        <f t="shared" si="72"/>
        <v>0</v>
      </c>
      <c r="T256">
        <f t="shared" si="72"/>
        <v>0</v>
      </c>
      <c r="U256">
        <f t="shared" si="72"/>
        <v>0</v>
      </c>
      <c r="V256">
        <f t="shared" si="72"/>
        <v>0</v>
      </c>
      <c r="W256">
        <f t="shared" si="72"/>
        <v>0</v>
      </c>
    </row>
    <row r="257" ht="14.5" spans="4:23">
      <c r="D257" s="130" t="s">
        <v>17</v>
      </c>
      <c r="E257" s="130">
        <v>3</v>
      </c>
      <c r="F257" s="130">
        <v>8</v>
      </c>
      <c r="G257" s="130">
        <v>6</v>
      </c>
      <c r="H257" s="130">
        <v>5</v>
      </c>
      <c r="I257" s="130">
        <v>3</v>
      </c>
      <c r="J257" s="130">
        <v>1</v>
      </c>
      <c r="K257" s="130">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0" t="s">
        <v>18</v>
      </c>
      <c r="E258" s="130">
        <v>0</v>
      </c>
      <c r="F258" s="130">
        <v>0</v>
      </c>
      <c r="G258" s="130">
        <v>0</v>
      </c>
      <c r="H258" s="130">
        <v>0</v>
      </c>
      <c r="I258" s="130">
        <v>0</v>
      </c>
      <c r="J258" s="130">
        <v>0</v>
      </c>
      <c r="K258" s="130">
        <v>0</v>
      </c>
      <c r="Q258">
        <f t="shared" si="60"/>
        <v>0</v>
      </c>
      <c r="R258">
        <f t="shared" ref="R258:W258" si="74">F258/3</f>
        <v>0</v>
      </c>
      <c r="S258">
        <f t="shared" si="74"/>
        <v>0</v>
      </c>
      <c r="T258">
        <f t="shared" si="74"/>
        <v>0</v>
      </c>
      <c r="U258">
        <f t="shared" si="74"/>
        <v>0</v>
      </c>
      <c r="V258">
        <f t="shared" si="74"/>
        <v>0</v>
      </c>
      <c r="W258">
        <f t="shared" si="74"/>
        <v>0</v>
      </c>
    </row>
    <row r="259" ht="14.5" spans="4:23">
      <c r="D259" s="130" t="s">
        <v>19</v>
      </c>
      <c r="E259" s="130">
        <v>0</v>
      </c>
      <c r="F259" s="130">
        <v>0</v>
      </c>
      <c r="G259" s="130">
        <v>0</v>
      </c>
      <c r="H259" s="130">
        <v>0</v>
      </c>
      <c r="I259" s="130">
        <v>0</v>
      </c>
      <c r="J259" s="130">
        <v>0</v>
      </c>
      <c r="K259" s="130">
        <v>0</v>
      </c>
      <c r="Q259">
        <f t="shared" si="60"/>
        <v>0</v>
      </c>
      <c r="R259">
        <f t="shared" ref="R259:W259" si="75">F259/3</f>
        <v>0</v>
      </c>
      <c r="S259">
        <f t="shared" si="75"/>
        <v>0</v>
      </c>
      <c r="T259">
        <f t="shared" si="75"/>
        <v>0</v>
      </c>
      <c r="U259">
        <f t="shared" si="75"/>
        <v>0</v>
      </c>
      <c r="V259">
        <f t="shared" si="75"/>
        <v>0</v>
      </c>
      <c r="W259">
        <f t="shared" si="75"/>
        <v>0</v>
      </c>
    </row>
    <row r="260" ht="14.5" spans="4:23">
      <c r="D260" s="130" t="s">
        <v>20</v>
      </c>
      <c r="E260" s="130">
        <v>0</v>
      </c>
      <c r="F260" s="130">
        <v>0</v>
      </c>
      <c r="G260" s="130">
        <v>0</v>
      </c>
      <c r="H260" s="130">
        <v>0</v>
      </c>
      <c r="I260" s="130">
        <v>0</v>
      </c>
      <c r="J260" s="130">
        <v>0</v>
      </c>
      <c r="K260" s="130">
        <v>0</v>
      </c>
      <c r="Q260">
        <f t="shared" si="60"/>
        <v>0</v>
      </c>
      <c r="R260">
        <f t="shared" ref="R260:W260" si="76">F260/3</f>
        <v>0</v>
      </c>
      <c r="S260">
        <f t="shared" si="76"/>
        <v>0</v>
      </c>
      <c r="T260">
        <f t="shared" si="76"/>
        <v>0</v>
      </c>
      <c r="U260">
        <f t="shared" si="76"/>
        <v>0</v>
      </c>
      <c r="V260">
        <f t="shared" si="76"/>
        <v>0</v>
      </c>
      <c r="W260">
        <f t="shared" si="76"/>
        <v>0</v>
      </c>
    </row>
    <row r="261" ht="14.5" spans="4:23">
      <c r="D261" s="130" t="s">
        <v>21</v>
      </c>
      <c r="E261" s="130">
        <v>0</v>
      </c>
      <c r="F261" s="130">
        <v>0</v>
      </c>
      <c r="G261" s="130">
        <v>0</v>
      </c>
      <c r="H261" s="130">
        <v>0</v>
      </c>
      <c r="I261" s="130">
        <v>0</v>
      </c>
      <c r="J261" s="130">
        <v>0</v>
      </c>
      <c r="K261" s="130">
        <v>0</v>
      </c>
      <c r="Q261">
        <f t="shared" si="60"/>
        <v>0</v>
      </c>
      <c r="R261">
        <f t="shared" ref="R261:W261" si="77">F261/3</f>
        <v>0</v>
      </c>
      <c r="S261">
        <f t="shared" si="77"/>
        <v>0</v>
      </c>
      <c r="T261">
        <f t="shared" si="77"/>
        <v>0</v>
      </c>
      <c r="U261">
        <f t="shared" si="77"/>
        <v>0</v>
      </c>
      <c r="V261">
        <f t="shared" si="77"/>
        <v>0</v>
      </c>
      <c r="W261">
        <f t="shared" si="77"/>
        <v>0</v>
      </c>
    </row>
    <row r="262" ht="14.5" spans="4:23">
      <c r="D262" s="130" t="s">
        <v>22</v>
      </c>
      <c r="E262" s="130">
        <v>3</v>
      </c>
      <c r="F262" s="130">
        <v>12</v>
      </c>
      <c r="G262" s="130">
        <v>12</v>
      </c>
      <c r="H262" s="130">
        <v>9</v>
      </c>
      <c r="I262" s="130">
        <v>23</v>
      </c>
      <c r="J262" s="130">
        <v>1</v>
      </c>
      <c r="K262" s="130">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0" t="s">
        <v>23</v>
      </c>
      <c r="E263" s="130">
        <v>0</v>
      </c>
      <c r="F263" s="130">
        <v>0</v>
      </c>
      <c r="G263" s="130">
        <v>0</v>
      </c>
      <c r="H263" s="130">
        <v>0</v>
      </c>
      <c r="I263" s="130">
        <v>0</v>
      </c>
      <c r="J263" s="130">
        <v>0</v>
      </c>
      <c r="K263" s="130">
        <v>0</v>
      </c>
      <c r="Q263">
        <f t="shared" si="60"/>
        <v>0</v>
      </c>
      <c r="R263">
        <f t="shared" ref="R263:W263" si="79">F263/3</f>
        <v>0</v>
      </c>
      <c r="S263">
        <f t="shared" si="79"/>
        <v>0</v>
      </c>
      <c r="T263">
        <f t="shared" si="79"/>
        <v>0</v>
      </c>
      <c r="U263">
        <f t="shared" si="79"/>
        <v>0</v>
      </c>
      <c r="V263">
        <f t="shared" si="79"/>
        <v>0</v>
      </c>
      <c r="W263">
        <f t="shared" si="79"/>
        <v>0</v>
      </c>
    </row>
    <row r="264" ht="14.5" spans="4:23">
      <c r="D264" s="130" t="s">
        <v>24</v>
      </c>
      <c r="E264" s="130">
        <v>0</v>
      </c>
      <c r="F264" s="130">
        <v>0</v>
      </c>
      <c r="G264" s="130">
        <v>0</v>
      </c>
      <c r="H264" s="130">
        <v>0</v>
      </c>
      <c r="I264" s="130">
        <v>0</v>
      </c>
      <c r="J264" s="130">
        <v>0</v>
      </c>
      <c r="K264" s="130">
        <v>0</v>
      </c>
      <c r="Q264">
        <f t="shared" si="60"/>
        <v>0</v>
      </c>
      <c r="R264">
        <f t="shared" ref="R264:W264" si="80">F264/3</f>
        <v>0</v>
      </c>
      <c r="S264">
        <f t="shared" si="80"/>
        <v>0</v>
      </c>
      <c r="T264">
        <f t="shared" si="80"/>
        <v>0</v>
      </c>
      <c r="U264">
        <f t="shared" si="80"/>
        <v>0</v>
      </c>
      <c r="V264">
        <f t="shared" si="80"/>
        <v>0</v>
      </c>
      <c r="W264">
        <f t="shared" si="80"/>
        <v>0</v>
      </c>
    </row>
    <row r="265" ht="14.5" spans="4:23">
      <c r="D265" s="130" t="s">
        <v>25</v>
      </c>
      <c r="E265" s="130">
        <v>19</v>
      </c>
      <c r="F265" s="130">
        <v>26</v>
      </c>
      <c r="G265" s="130">
        <v>23</v>
      </c>
      <c r="H265" s="130">
        <v>15</v>
      </c>
      <c r="I265" s="130">
        <v>38</v>
      </c>
      <c r="J265" s="130">
        <v>6</v>
      </c>
      <c r="K265" s="130">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0" t="s">
        <v>26</v>
      </c>
      <c r="E266" s="130">
        <v>0</v>
      </c>
      <c r="F266" s="130">
        <v>0</v>
      </c>
      <c r="G266" s="130">
        <v>0</v>
      </c>
      <c r="H266" s="130">
        <v>0</v>
      </c>
      <c r="I266" s="130">
        <v>0</v>
      </c>
      <c r="J266" s="130">
        <v>0</v>
      </c>
      <c r="K266" s="130">
        <v>0</v>
      </c>
      <c r="Q266">
        <f t="shared" si="60"/>
        <v>0</v>
      </c>
      <c r="R266">
        <f t="shared" ref="R266:W266" si="82">F266/3</f>
        <v>0</v>
      </c>
      <c r="S266">
        <f t="shared" si="82"/>
        <v>0</v>
      </c>
      <c r="T266">
        <f t="shared" si="82"/>
        <v>0</v>
      </c>
      <c r="U266">
        <f t="shared" si="82"/>
        <v>0</v>
      </c>
      <c r="V266">
        <f t="shared" si="82"/>
        <v>0</v>
      </c>
      <c r="W266">
        <f t="shared" si="82"/>
        <v>0</v>
      </c>
    </row>
    <row r="267" ht="14.5" spans="4:23">
      <c r="D267" s="130" t="s">
        <v>27</v>
      </c>
      <c r="E267" s="130">
        <v>7</v>
      </c>
      <c r="F267" s="130">
        <v>19</v>
      </c>
      <c r="G267" s="130">
        <v>14</v>
      </c>
      <c r="H267" s="130">
        <v>10</v>
      </c>
      <c r="I267" s="130">
        <v>6</v>
      </c>
      <c r="J267" s="130">
        <v>2</v>
      </c>
      <c r="K267" s="130">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0" t="s">
        <v>28</v>
      </c>
      <c r="E268" s="130">
        <v>17</v>
      </c>
      <c r="F268" s="130">
        <v>17</v>
      </c>
      <c r="G268" s="130">
        <v>12</v>
      </c>
      <c r="H268" s="130">
        <v>8</v>
      </c>
      <c r="I268" s="130">
        <v>12</v>
      </c>
      <c r="J268" s="130">
        <v>1</v>
      </c>
      <c r="K268" s="130">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0" t="s">
        <v>29</v>
      </c>
      <c r="E269" s="130">
        <v>0</v>
      </c>
      <c r="F269" s="130">
        <v>0</v>
      </c>
      <c r="G269" s="130">
        <v>0</v>
      </c>
      <c r="H269" s="130">
        <v>0</v>
      </c>
      <c r="I269" s="130">
        <v>0</v>
      </c>
      <c r="J269" s="130">
        <v>0</v>
      </c>
      <c r="K269" s="130">
        <v>0</v>
      </c>
      <c r="Q269">
        <f t="shared" si="60"/>
        <v>0</v>
      </c>
      <c r="R269">
        <f t="shared" ref="R269:W269" si="85">F269/3</f>
        <v>0</v>
      </c>
      <c r="S269">
        <f t="shared" si="85"/>
        <v>0</v>
      </c>
      <c r="T269">
        <f t="shared" si="85"/>
        <v>0</v>
      </c>
      <c r="U269">
        <f t="shared" si="85"/>
        <v>0</v>
      </c>
      <c r="V269">
        <f t="shared" si="85"/>
        <v>0</v>
      </c>
      <c r="W269">
        <f t="shared" si="85"/>
        <v>0</v>
      </c>
    </row>
    <row r="270" ht="14.5" spans="4:23">
      <c r="D270" s="130" t="s">
        <v>30</v>
      </c>
      <c r="E270" s="130">
        <v>0</v>
      </c>
      <c r="F270" s="130">
        <v>0</v>
      </c>
      <c r="G270" s="130">
        <v>0</v>
      </c>
      <c r="H270" s="130">
        <v>0</v>
      </c>
      <c r="I270" s="130">
        <v>0</v>
      </c>
      <c r="J270" s="130">
        <v>0</v>
      </c>
      <c r="K270" s="130">
        <v>0</v>
      </c>
      <c r="Q270">
        <f t="shared" si="60"/>
        <v>0</v>
      </c>
      <c r="R270">
        <f t="shared" ref="R270:W270" si="86">F270/3</f>
        <v>0</v>
      </c>
      <c r="S270">
        <f t="shared" si="86"/>
        <v>0</v>
      </c>
      <c r="T270">
        <f t="shared" si="86"/>
        <v>0</v>
      </c>
      <c r="U270">
        <f t="shared" si="86"/>
        <v>0</v>
      </c>
      <c r="V270">
        <f t="shared" si="86"/>
        <v>0</v>
      </c>
      <c r="W270">
        <f t="shared" si="86"/>
        <v>0</v>
      </c>
    </row>
    <row r="271" ht="14.5" spans="4:23">
      <c r="D271" s="130" t="s">
        <v>31</v>
      </c>
      <c r="E271" s="130">
        <v>0</v>
      </c>
      <c r="F271" s="130">
        <v>0</v>
      </c>
      <c r="G271" s="130">
        <v>0</v>
      </c>
      <c r="H271" s="130">
        <v>0</v>
      </c>
      <c r="I271" s="130">
        <v>0</v>
      </c>
      <c r="J271" s="130">
        <v>0</v>
      </c>
      <c r="K271" s="130">
        <v>0</v>
      </c>
      <c r="Q271">
        <f t="shared" si="60"/>
        <v>0</v>
      </c>
      <c r="R271">
        <f t="shared" ref="R271:W271" si="87">F271/3</f>
        <v>0</v>
      </c>
      <c r="S271">
        <f t="shared" si="87"/>
        <v>0</v>
      </c>
      <c r="T271">
        <f t="shared" si="87"/>
        <v>0</v>
      </c>
      <c r="U271">
        <f t="shared" si="87"/>
        <v>0</v>
      </c>
      <c r="V271">
        <f t="shared" si="87"/>
        <v>0</v>
      </c>
      <c r="W271">
        <f t="shared" si="87"/>
        <v>0</v>
      </c>
    </row>
    <row r="272" ht="14.5" spans="4:23">
      <c r="D272" s="130" t="s">
        <v>32</v>
      </c>
      <c r="E272" s="130">
        <v>0</v>
      </c>
      <c r="F272" s="130">
        <v>0</v>
      </c>
      <c r="G272" s="130">
        <v>0</v>
      </c>
      <c r="H272" s="130">
        <v>0</v>
      </c>
      <c r="I272" s="130">
        <v>0</v>
      </c>
      <c r="J272" s="130">
        <v>0</v>
      </c>
      <c r="K272" s="130">
        <v>0</v>
      </c>
      <c r="Q272">
        <f t="shared" si="60"/>
        <v>0</v>
      </c>
      <c r="R272">
        <f t="shared" ref="R272:W272" si="88">F272/3</f>
        <v>0</v>
      </c>
      <c r="S272">
        <f t="shared" si="88"/>
        <v>0</v>
      </c>
      <c r="T272">
        <f t="shared" si="88"/>
        <v>0</v>
      </c>
      <c r="U272">
        <f t="shared" si="88"/>
        <v>0</v>
      </c>
      <c r="V272">
        <f t="shared" si="88"/>
        <v>0</v>
      </c>
      <c r="W272">
        <f t="shared" si="88"/>
        <v>0</v>
      </c>
    </row>
    <row r="273" ht="14.5" spans="1:38">
      <c r="D273" s="130" t="s">
        <v>33</v>
      </c>
      <c r="E273" s="130">
        <v>2</v>
      </c>
      <c r="F273" s="130">
        <v>4</v>
      </c>
      <c r="G273" s="130">
        <v>3</v>
      </c>
      <c r="H273" s="130">
        <v>2</v>
      </c>
      <c r="I273" s="130">
        <v>1</v>
      </c>
      <c r="J273" s="130">
        <v>0</v>
      </c>
      <c r="K273" s="130">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0" t="s">
        <v>34</v>
      </c>
      <c r="E274" s="130">
        <v>0</v>
      </c>
      <c r="F274" s="130">
        <v>0</v>
      </c>
      <c r="G274" s="130">
        <v>0</v>
      </c>
      <c r="H274" s="130">
        <v>0</v>
      </c>
      <c r="I274" s="130">
        <v>0</v>
      </c>
      <c r="J274" s="130">
        <v>0</v>
      </c>
      <c r="K274" s="130">
        <v>0</v>
      </c>
      <c r="Q274">
        <f t="shared" si="60"/>
        <v>0</v>
      </c>
      <c r="R274">
        <f t="shared" ref="R274:W274" si="90">F274/3</f>
        <v>0</v>
      </c>
      <c r="S274">
        <f t="shared" si="90"/>
        <v>0</v>
      </c>
      <c r="T274">
        <f t="shared" si="90"/>
        <v>0</v>
      </c>
      <c r="U274">
        <f t="shared" si="90"/>
        <v>0</v>
      </c>
      <c r="V274">
        <f t="shared" si="90"/>
        <v>0</v>
      </c>
      <c r="W274">
        <f t="shared" si="90"/>
        <v>0</v>
      </c>
    </row>
    <row r="275" ht="14.5" spans="1:38">
      <c r="D275" s="130" t="s">
        <v>35</v>
      </c>
      <c r="E275" s="130">
        <v>0</v>
      </c>
      <c r="F275" s="130">
        <v>0</v>
      </c>
      <c r="G275" s="130">
        <v>0</v>
      </c>
      <c r="H275" s="130">
        <v>0</v>
      </c>
      <c r="I275" s="130">
        <v>0</v>
      </c>
      <c r="J275" s="130">
        <v>0</v>
      </c>
      <c r="K275" s="130">
        <v>0</v>
      </c>
      <c r="Q275">
        <f t="shared" si="60"/>
        <v>0</v>
      </c>
      <c r="R275">
        <f t="shared" ref="R275:W275" si="91">F275/3</f>
        <v>0</v>
      </c>
      <c r="S275">
        <f t="shared" si="91"/>
        <v>0</v>
      </c>
      <c r="T275">
        <f t="shared" si="91"/>
        <v>0</v>
      </c>
      <c r="U275">
        <f t="shared" si="91"/>
        <v>0</v>
      </c>
      <c r="V275">
        <f t="shared" si="91"/>
        <v>0</v>
      </c>
      <c r="W275">
        <f t="shared" si="91"/>
        <v>0</v>
      </c>
    </row>
    <row r="276" ht="14.5" spans="1:38">
      <c r="D276" s="130" t="s">
        <v>36</v>
      </c>
      <c r="E276" s="130">
        <v>0</v>
      </c>
      <c r="F276" s="130">
        <v>0</v>
      </c>
      <c r="G276" s="130">
        <v>0</v>
      </c>
      <c r="H276" s="130">
        <v>0</v>
      </c>
      <c r="I276" s="130">
        <v>0</v>
      </c>
      <c r="J276" s="130">
        <v>0</v>
      </c>
      <c r="K276" s="130">
        <v>0</v>
      </c>
      <c r="Q276">
        <f t="shared" si="60"/>
        <v>0</v>
      </c>
      <c r="R276">
        <f t="shared" ref="R276:W276" si="92">F276/3</f>
        <v>0</v>
      </c>
      <c r="S276">
        <f t="shared" si="92"/>
        <v>0</v>
      </c>
      <c r="T276">
        <f t="shared" si="92"/>
        <v>0</v>
      </c>
      <c r="U276">
        <f t="shared" si="92"/>
        <v>0</v>
      </c>
      <c r="V276">
        <f t="shared" si="92"/>
        <v>0</v>
      </c>
      <c r="W276">
        <f t="shared" si="92"/>
        <v>0</v>
      </c>
    </row>
    <row r="277" ht="14.5" spans="1:38">
      <c r="D277" s="130" t="s">
        <v>37</v>
      </c>
      <c r="E277" s="130">
        <v>0</v>
      </c>
      <c r="F277" s="130">
        <v>0</v>
      </c>
      <c r="G277" s="130">
        <v>0</v>
      </c>
      <c r="H277" s="130">
        <v>0</v>
      </c>
      <c r="I277" s="130">
        <v>0</v>
      </c>
      <c r="J277" s="130">
        <v>0</v>
      </c>
      <c r="K277" s="130">
        <v>0</v>
      </c>
      <c r="Q277">
        <f t="shared" si="60"/>
        <v>0</v>
      </c>
      <c r="R277">
        <f t="shared" ref="R277:W277" si="93">F277/3</f>
        <v>0</v>
      </c>
      <c r="S277">
        <f t="shared" si="93"/>
        <v>0</v>
      </c>
      <c r="T277">
        <f t="shared" si="93"/>
        <v>0</v>
      </c>
      <c r="U277">
        <f t="shared" si="93"/>
        <v>0</v>
      </c>
      <c r="V277">
        <f t="shared" si="93"/>
        <v>0</v>
      </c>
      <c r="W277">
        <f t="shared" si="93"/>
        <v>0</v>
      </c>
    </row>
    <row r="278" ht="14.5" spans="1:38">
      <c r="D278" s="130"/>
      <c r="E278" s="130"/>
      <c r="F278" s="130"/>
      <c r="G278" s="130"/>
      <c r="H278" s="130"/>
      <c r="I278" s="130"/>
      <c r="J278" s="130"/>
      <c r="K278" s="130"/>
    </row>
    <row r="280" spans="1:38">
      <c r="B280" s="131" t="s">
        <v>130</v>
      </c>
    </row>
    <row r="283" spans="1:38">
      <c r="B283" t="s">
        <v>130</v>
      </c>
    </row>
    <row r="284" spans="1:38">
      <c r="A284" s="72"/>
      <c r="C284" s="72"/>
    </row>
    <row r="285" ht="14.5" spans="1:38">
      <c r="A285" s="131" t="s">
        <v>41</v>
      </c>
      <c r="B285" s="131" t="s">
        <v>132</v>
      </c>
      <c r="C285" s="131" t="s">
        <v>136</v>
      </c>
      <c r="D285" s="132" t="s">
        <v>65</v>
      </c>
      <c r="E285" s="132" t="s">
        <v>3</v>
      </c>
      <c r="F285" s="132" t="s">
        <v>5</v>
      </c>
      <c r="G285" s="132" t="s">
        <v>6</v>
      </c>
      <c r="H285" s="132" t="s">
        <v>7</v>
      </c>
      <c r="I285" s="132" t="s">
        <v>8</v>
      </c>
      <c r="J285" s="132" t="s">
        <v>9</v>
      </c>
      <c r="K285" s="132" t="s">
        <v>10</v>
      </c>
      <c r="L285" s="132" t="s">
        <v>11</v>
      </c>
      <c r="M285" s="132" t="s">
        <v>12</v>
      </c>
      <c r="N285" s="132" t="s">
        <v>13</v>
      </c>
      <c r="O285" s="132" t="s">
        <v>14</v>
      </c>
      <c r="P285" s="132" t="s">
        <v>15</v>
      </c>
      <c r="Q285" s="132" t="s">
        <v>16</v>
      </c>
      <c r="R285" s="132" t="s">
        <v>17</v>
      </c>
      <c r="S285" s="132" t="s">
        <v>18</v>
      </c>
      <c r="T285" s="132" t="s">
        <v>19</v>
      </c>
      <c r="U285" s="132" t="s">
        <v>20</v>
      </c>
      <c r="V285" s="132" t="s">
        <v>21</v>
      </c>
      <c r="W285" s="132" t="s">
        <v>22</v>
      </c>
      <c r="X285" s="132" t="s">
        <v>23</v>
      </c>
      <c r="Y285" s="132" t="s">
        <v>24</v>
      </c>
      <c r="Z285" s="132" t="s">
        <v>25</v>
      </c>
      <c r="AA285" s="132" t="s">
        <v>26</v>
      </c>
      <c r="AB285" s="132" t="s">
        <v>27</v>
      </c>
      <c r="AC285" s="132" t="s">
        <v>28</v>
      </c>
      <c r="AD285" s="132" t="s">
        <v>29</v>
      </c>
      <c r="AE285" s="132" t="s">
        <v>30</v>
      </c>
      <c r="AF285" s="132" t="s">
        <v>31</v>
      </c>
      <c r="AG285" s="132" t="s">
        <v>32</v>
      </c>
      <c r="AH285" s="132" t="s">
        <v>33</v>
      </c>
      <c r="AI285" s="132" t="s">
        <v>34</v>
      </c>
      <c r="AJ285" s="132" t="s">
        <v>35</v>
      </c>
      <c r="AK285" s="132" t="s">
        <v>36</v>
      </c>
      <c r="AL285" s="132" t="s">
        <v>37</v>
      </c>
    </row>
    <row r="286" ht="14.5" spans="1:38">
      <c r="A286" s="131">
        <v>2020</v>
      </c>
      <c r="B286" s="131" t="s">
        <v>276</v>
      </c>
      <c r="C286" s="131" t="s">
        <v>140</v>
      </c>
      <c r="D286" s="132" t="s">
        <v>279</v>
      </c>
      <c r="E286" s="131">
        <f>F309*25%</f>
        <v>2.70047156845812</v>
      </c>
      <c r="F286" s="131">
        <f t="shared" ref="F286:AL286" si="94">G309*25%</f>
        <v>0</v>
      </c>
      <c r="G286" s="131">
        <f t="shared" si="94"/>
        <v>3.03412561201197</v>
      </c>
      <c r="H286" s="131">
        <f t="shared" si="94"/>
        <v>0.476962737941833</v>
      </c>
      <c r="I286" s="131">
        <f t="shared" si="94"/>
        <v>0.00409064974235645</v>
      </c>
      <c r="J286" s="131">
        <f t="shared" si="94"/>
        <v>4.6301135077302</v>
      </c>
      <c r="K286" s="131">
        <f t="shared" si="94"/>
        <v>1.90663375437732</v>
      </c>
      <c r="L286" s="131">
        <f t="shared" si="94"/>
        <v>167.552498082159</v>
      </c>
      <c r="M286" s="131">
        <f t="shared" si="94"/>
        <v>0.579445415374862</v>
      </c>
      <c r="N286" s="131">
        <f t="shared" si="94"/>
        <v>2.64382085354907</v>
      </c>
      <c r="O286" s="131">
        <f t="shared" si="94"/>
        <v>11.2538795555429</v>
      </c>
      <c r="P286" s="131">
        <f t="shared" si="94"/>
        <v>6.6423572524105</v>
      </c>
      <c r="Q286" s="131">
        <f t="shared" si="94"/>
        <v>0.224780310033883</v>
      </c>
      <c r="R286" s="131">
        <f t="shared" si="94"/>
        <v>3.0175573987723</v>
      </c>
      <c r="S286" s="131">
        <f t="shared" si="94"/>
        <v>0.0840570283394965</v>
      </c>
      <c r="T286" s="131">
        <f t="shared" si="94"/>
        <v>22.6664174429379</v>
      </c>
      <c r="U286" s="131">
        <f t="shared" si="94"/>
        <v>0.024654019511857</v>
      </c>
      <c r="V286" s="131">
        <f t="shared" si="94"/>
        <v>7.09546051638262</v>
      </c>
      <c r="W286" s="131">
        <f t="shared" si="94"/>
        <v>22.1794832455743</v>
      </c>
      <c r="X286" s="131">
        <f t="shared" si="94"/>
        <v>1.8551035254334</v>
      </c>
      <c r="Y286" s="131">
        <f t="shared" si="94"/>
        <v>0.147291672799524</v>
      </c>
      <c r="Z286" s="131">
        <f t="shared" si="94"/>
        <v>10.7367486821926</v>
      </c>
      <c r="AA286" s="131">
        <f t="shared" si="94"/>
        <v>2.32906895797145</v>
      </c>
      <c r="AB286" s="131">
        <f t="shared" si="94"/>
        <v>4.03549622432517</v>
      </c>
      <c r="AC286" s="131">
        <f t="shared" si="94"/>
        <v>16.6333708524932</v>
      </c>
      <c r="AD286" s="131">
        <f t="shared" si="94"/>
        <v>66.0476618761158</v>
      </c>
      <c r="AE286" s="131">
        <f t="shared" si="94"/>
        <v>0</v>
      </c>
      <c r="AF286" s="131">
        <f t="shared" si="94"/>
        <v>3.17356159859707</v>
      </c>
      <c r="AG286" s="131">
        <f t="shared" si="94"/>
        <v>7.830330737292</v>
      </c>
      <c r="AH286" s="131">
        <f t="shared" si="94"/>
        <v>5.264142175387</v>
      </c>
      <c r="AI286" s="131">
        <f t="shared" si="94"/>
        <v>0</v>
      </c>
      <c r="AJ286" s="131">
        <f t="shared" si="94"/>
        <v>0</v>
      </c>
      <c r="AK286" s="131">
        <f t="shared" si="94"/>
        <v>0</v>
      </c>
      <c r="AL286" s="131">
        <f t="shared" si="94"/>
        <v>0</v>
      </c>
    </row>
    <row r="287" ht="14.5" spans="1:38">
      <c r="A287" s="131">
        <v>2020</v>
      </c>
      <c r="B287" s="131" t="s">
        <v>276</v>
      </c>
      <c r="C287" s="131" t="s">
        <v>140</v>
      </c>
      <c r="D287" s="132" t="s">
        <v>280</v>
      </c>
      <c r="E287" s="131">
        <f>F309*15%</f>
        <v>1.62028294107487</v>
      </c>
      <c r="F287" s="131">
        <f t="shared" ref="F287:AL287" si="95">G309*15%</f>
        <v>0</v>
      </c>
      <c r="G287" s="131">
        <f t="shared" si="95"/>
        <v>1.82047536720718</v>
      </c>
      <c r="H287" s="131">
        <f t="shared" si="95"/>
        <v>0.286177642765099</v>
      </c>
      <c r="I287" s="131">
        <f t="shared" si="95"/>
        <v>0.00245438984541387</v>
      </c>
      <c r="J287" s="131">
        <f t="shared" si="95"/>
        <v>2.77806810463812</v>
      </c>
      <c r="K287" s="131">
        <f t="shared" si="95"/>
        <v>1.14398025262639</v>
      </c>
      <c r="L287" s="131">
        <f t="shared" si="95"/>
        <v>100.531498849296</v>
      </c>
      <c r="M287" s="131">
        <f t="shared" si="95"/>
        <v>0.347667249224917</v>
      </c>
      <c r="N287" s="131">
        <f t="shared" si="95"/>
        <v>1.58629251212944</v>
      </c>
      <c r="O287" s="131">
        <f t="shared" si="95"/>
        <v>6.75232773332572</v>
      </c>
      <c r="P287" s="131">
        <f t="shared" si="95"/>
        <v>3.9854143514463</v>
      </c>
      <c r="Q287" s="131">
        <f t="shared" si="95"/>
        <v>0.13486818602033</v>
      </c>
      <c r="R287" s="131">
        <f t="shared" si="95"/>
        <v>1.81053443926338</v>
      </c>
      <c r="S287" s="131">
        <f t="shared" si="95"/>
        <v>0.0504342170036979</v>
      </c>
      <c r="T287" s="131">
        <f t="shared" si="95"/>
        <v>13.5998504657627</v>
      </c>
      <c r="U287" s="131">
        <f t="shared" si="95"/>
        <v>0.0147924117071142</v>
      </c>
      <c r="V287" s="131">
        <f t="shared" si="95"/>
        <v>4.25727630982957</v>
      </c>
      <c r="W287" s="131">
        <f t="shared" si="95"/>
        <v>13.3076899473446</v>
      </c>
      <c r="X287" s="131">
        <f t="shared" si="95"/>
        <v>1.11306211526004</v>
      </c>
      <c r="Y287" s="131">
        <f t="shared" si="95"/>
        <v>0.0883750036797145</v>
      </c>
      <c r="Z287" s="131">
        <f t="shared" si="95"/>
        <v>6.44204920931559</v>
      </c>
      <c r="AA287" s="131">
        <f t="shared" si="95"/>
        <v>1.39744137478287</v>
      </c>
      <c r="AB287" s="131">
        <f t="shared" si="95"/>
        <v>2.4212977345951</v>
      </c>
      <c r="AC287" s="131">
        <f t="shared" si="95"/>
        <v>9.98002251149592</v>
      </c>
      <c r="AD287" s="131">
        <f t="shared" si="95"/>
        <v>39.6285971256695</v>
      </c>
      <c r="AE287" s="131">
        <f t="shared" si="95"/>
        <v>0</v>
      </c>
      <c r="AF287" s="131">
        <f t="shared" si="95"/>
        <v>1.90413695915824</v>
      </c>
      <c r="AG287" s="131">
        <f t="shared" si="95"/>
        <v>4.6981984423752</v>
      </c>
      <c r="AH287" s="131">
        <f t="shared" si="95"/>
        <v>3.1584853052322</v>
      </c>
      <c r="AI287" s="131">
        <f t="shared" si="95"/>
        <v>0</v>
      </c>
      <c r="AJ287" s="131">
        <f t="shared" si="95"/>
        <v>0</v>
      </c>
      <c r="AK287" s="131">
        <f t="shared" si="95"/>
        <v>0</v>
      </c>
      <c r="AL287" s="131">
        <f t="shared" si="95"/>
        <v>0</v>
      </c>
    </row>
    <row r="288" ht="14.5" spans="1:38">
      <c r="A288" s="131">
        <v>2020</v>
      </c>
      <c r="B288" s="131" t="s">
        <v>276</v>
      </c>
      <c r="C288" s="131" t="s">
        <v>140</v>
      </c>
      <c r="D288" s="132" t="s">
        <v>281</v>
      </c>
      <c r="E288" s="131">
        <f>F309*15%</f>
        <v>1.62028294107487</v>
      </c>
      <c r="F288" s="131">
        <f t="shared" ref="F288:AL288" si="96">G309*15%</f>
        <v>0</v>
      </c>
      <c r="G288" s="131">
        <f t="shared" si="96"/>
        <v>1.82047536720718</v>
      </c>
      <c r="H288" s="131">
        <f t="shared" si="96"/>
        <v>0.286177642765099</v>
      </c>
      <c r="I288" s="131">
        <f t="shared" si="96"/>
        <v>0.00245438984541387</v>
      </c>
      <c r="J288" s="131">
        <f t="shared" si="96"/>
        <v>2.77806810463812</v>
      </c>
      <c r="K288" s="131">
        <f t="shared" si="96"/>
        <v>1.14398025262639</v>
      </c>
      <c r="L288" s="131">
        <f t="shared" si="96"/>
        <v>100.531498849296</v>
      </c>
      <c r="M288" s="131">
        <f t="shared" si="96"/>
        <v>0.347667249224917</v>
      </c>
      <c r="N288" s="131">
        <f t="shared" si="96"/>
        <v>1.58629251212944</v>
      </c>
      <c r="O288" s="131">
        <f t="shared" si="96"/>
        <v>6.75232773332572</v>
      </c>
      <c r="P288" s="131">
        <f t="shared" si="96"/>
        <v>3.9854143514463</v>
      </c>
      <c r="Q288" s="131">
        <f t="shared" si="96"/>
        <v>0.13486818602033</v>
      </c>
      <c r="R288" s="131">
        <f t="shared" si="96"/>
        <v>1.81053443926338</v>
      </c>
      <c r="S288" s="131">
        <f t="shared" si="96"/>
        <v>0.0504342170036979</v>
      </c>
      <c r="T288" s="131">
        <f t="shared" si="96"/>
        <v>13.5998504657627</v>
      </c>
      <c r="U288" s="131">
        <f t="shared" si="96"/>
        <v>0.0147924117071142</v>
      </c>
      <c r="V288" s="131">
        <f t="shared" si="96"/>
        <v>4.25727630982957</v>
      </c>
      <c r="W288" s="131">
        <f t="shared" si="96"/>
        <v>13.3076899473446</v>
      </c>
      <c r="X288" s="131">
        <f t="shared" si="96"/>
        <v>1.11306211526004</v>
      </c>
      <c r="Y288" s="131">
        <f t="shared" si="96"/>
        <v>0.0883750036797145</v>
      </c>
      <c r="Z288" s="131">
        <f t="shared" si="96"/>
        <v>6.44204920931559</v>
      </c>
      <c r="AA288" s="131">
        <f t="shared" si="96"/>
        <v>1.39744137478287</v>
      </c>
      <c r="AB288" s="131">
        <f t="shared" si="96"/>
        <v>2.4212977345951</v>
      </c>
      <c r="AC288" s="131">
        <f t="shared" si="96"/>
        <v>9.98002251149592</v>
      </c>
      <c r="AD288" s="131">
        <f t="shared" si="96"/>
        <v>39.6285971256695</v>
      </c>
      <c r="AE288" s="131">
        <f t="shared" si="96"/>
        <v>0</v>
      </c>
      <c r="AF288" s="131">
        <f t="shared" si="96"/>
        <v>1.90413695915824</v>
      </c>
      <c r="AG288" s="131">
        <f t="shared" si="96"/>
        <v>4.6981984423752</v>
      </c>
      <c r="AH288" s="131">
        <f t="shared" si="96"/>
        <v>3.1584853052322</v>
      </c>
      <c r="AI288" s="131">
        <f t="shared" si="96"/>
        <v>0</v>
      </c>
      <c r="AJ288" s="131">
        <f t="shared" si="96"/>
        <v>0</v>
      </c>
      <c r="AK288" s="131">
        <f t="shared" si="96"/>
        <v>0</v>
      </c>
      <c r="AL288" s="131">
        <f t="shared" si="96"/>
        <v>0</v>
      </c>
    </row>
    <row r="289" ht="14.5" spans="1:38">
      <c r="A289" s="131">
        <v>2020</v>
      </c>
      <c r="B289" s="131" t="s">
        <v>276</v>
      </c>
      <c r="C289" s="131" t="s">
        <v>140</v>
      </c>
      <c r="D289" s="132" t="s">
        <v>282</v>
      </c>
      <c r="E289" s="131">
        <f>F309*15%</f>
        <v>1.62028294107487</v>
      </c>
      <c r="F289" s="131">
        <f t="shared" ref="F289:AL289" si="97">G309*15%</f>
        <v>0</v>
      </c>
      <c r="G289" s="131">
        <f t="shared" si="97"/>
        <v>1.82047536720718</v>
      </c>
      <c r="H289" s="131">
        <f t="shared" si="97"/>
        <v>0.286177642765099</v>
      </c>
      <c r="I289" s="131">
        <f t="shared" si="97"/>
        <v>0.00245438984541387</v>
      </c>
      <c r="J289" s="131">
        <f t="shared" si="97"/>
        <v>2.77806810463812</v>
      </c>
      <c r="K289" s="131">
        <f t="shared" si="97"/>
        <v>1.14398025262639</v>
      </c>
      <c r="L289" s="131">
        <f t="shared" si="97"/>
        <v>100.531498849296</v>
      </c>
      <c r="M289" s="131">
        <f t="shared" si="97"/>
        <v>0.347667249224917</v>
      </c>
      <c r="N289" s="131">
        <f t="shared" si="97"/>
        <v>1.58629251212944</v>
      </c>
      <c r="O289" s="131">
        <f t="shared" si="97"/>
        <v>6.75232773332572</v>
      </c>
      <c r="P289" s="131">
        <f t="shared" si="97"/>
        <v>3.9854143514463</v>
      </c>
      <c r="Q289" s="131">
        <f t="shared" si="97"/>
        <v>0.13486818602033</v>
      </c>
      <c r="R289" s="131">
        <f t="shared" si="97"/>
        <v>1.81053443926338</v>
      </c>
      <c r="S289" s="131">
        <f t="shared" si="97"/>
        <v>0.0504342170036979</v>
      </c>
      <c r="T289" s="131">
        <f t="shared" si="97"/>
        <v>13.5998504657627</v>
      </c>
      <c r="U289" s="131">
        <f t="shared" si="97"/>
        <v>0.0147924117071142</v>
      </c>
      <c r="V289" s="131">
        <f t="shared" si="97"/>
        <v>4.25727630982957</v>
      </c>
      <c r="W289" s="131">
        <f t="shared" si="97"/>
        <v>13.3076899473446</v>
      </c>
      <c r="X289" s="131">
        <f t="shared" si="97"/>
        <v>1.11306211526004</v>
      </c>
      <c r="Y289" s="131">
        <f t="shared" si="97"/>
        <v>0.0883750036797145</v>
      </c>
      <c r="Z289" s="131">
        <f t="shared" si="97"/>
        <v>6.44204920931559</v>
      </c>
      <c r="AA289" s="131">
        <f t="shared" si="97"/>
        <v>1.39744137478287</v>
      </c>
      <c r="AB289" s="131">
        <f t="shared" si="97"/>
        <v>2.4212977345951</v>
      </c>
      <c r="AC289" s="131">
        <f t="shared" si="97"/>
        <v>9.98002251149592</v>
      </c>
      <c r="AD289" s="131">
        <f t="shared" si="97"/>
        <v>39.6285971256695</v>
      </c>
      <c r="AE289" s="131">
        <f t="shared" si="97"/>
        <v>0</v>
      </c>
      <c r="AF289" s="131">
        <f t="shared" si="97"/>
        <v>1.90413695915824</v>
      </c>
      <c r="AG289" s="131">
        <f t="shared" si="97"/>
        <v>4.6981984423752</v>
      </c>
      <c r="AH289" s="131">
        <f t="shared" si="97"/>
        <v>3.1584853052322</v>
      </c>
      <c r="AI289" s="131">
        <f t="shared" si="97"/>
        <v>0</v>
      </c>
      <c r="AJ289" s="131">
        <f t="shared" si="97"/>
        <v>0</v>
      </c>
      <c r="AK289" s="131">
        <f t="shared" si="97"/>
        <v>0</v>
      </c>
      <c r="AL289" s="131">
        <f t="shared" si="97"/>
        <v>0</v>
      </c>
    </row>
    <row r="290" ht="14.5" spans="1:38">
      <c r="A290" s="131">
        <v>2020</v>
      </c>
      <c r="B290" s="131" t="s">
        <v>276</v>
      </c>
      <c r="C290" s="131" t="s">
        <v>140</v>
      </c>
      <c r="D290" s="132" t="s">
        <v>283</v>
      </c>
      <c r="E290" s="131">
        <f>F309*15%</f>
        <v>1.62028294107487</v>
      </c>
      <c r="F290" s="131">
        <f t="shared" ref="F290:AL290" si="98">G309*15%</f>
        <v>0</v>
      </c>
      <c r="G290" s="131">
        <f t="shared" si="98"/>
        <v>1.82047536720718</v>
      </c>
      <c r="H290" s="131">
        <f t="shared" si="98"/>
        <v>0.286177642765099</v>
      </c>
      <c r="I290" s="131">
        <f t="shared" si="98"/>
        <v>0.00245438984541387</v>
      </c>
      <c r="J290" s="131">
        <f t="shared" si="98"/>
        <v>2.77806810463812</v>
      </c>
      <c r="K290" s="131">
        <f t="shared" si="98"/>
        <v>1.14398025262639</v>
      </c>
      <c r="L290" s="131">
        <f t="shared" si="98"/>
        <v>100.531498849296</v>
      </c>
      <c r="M290" s="131">
        <f t="shared" si="98"/>
        <v>0.347667249224917</v>
      </c>
      <c r="N290" s="131">
        <f t="shared" si="98"/>
        <v>1.58629251212944</v>
      </c>
      <c r="O290" s="131">
        <f t="shared" si="98"/>
        <v>6.75232773332572</v>
      </c>
      <c r="P290" s="131">
        <f t="shared" si="98"/>
        <v>3.9854143514463</v>
      </c>
      <c r="Q290" s="131">
        <f t="shared" si="98"/>
        <v>0.13486818602033</v>
      </c>
      <c r="R290" s="131">
        <f t="shared" si="98"/>
        <v>1.81053443926338</v>
      </c>
      <c r="S290" s="131">
        <f t="shared" si="98"/>
        <v>0.0504342170036979</v>
      </c>
      <c r="T290" s="131">
        <f t="shared" si="98"/>
        <v>13.5998504657627</v>
      </c>
      <c r="U290" s="131">
        <f t="shared" si="98"/>
        <v>0.0147924117071142</v>
      </c>
      <c r="V290" s="131">
        <f t="shared" si="98"/>
        <v>4.25727630982957</v>
      </c>
      <c r="W290" s="131">
        <f t="shared" si="98"/>
        <v>13.3076899473446</v>
      </c>
      <c r="X290" s="131">
        <f t="shared" si="98"/>
        <v>1.11306211526004</v>
      </c>
      <c r="Y290" s="131">
        <f t="shared" si="98"/>
        <v>0.0883750036797145</v>
      </c>
      <c r="Z290" s="131">
        <f t="shared" si="98"/>
        <v>6.44204920931559</v>
      </c>
      <c r="AA290" s="131">
        <f t="shared" si="98"/>
        <v>1.39744137478287</v>
      </c>
      <c r="AB290" s="131">
        <f t="shared" si="98"/>
        <v>2.4212977345951</v>
      </c>
      <c r="AC290" s="131">
        <f t="shared" si="98"/>
        <v>9.98002251149592</v>
      </c>
      <c r="AD290" s="131">
        <f t="shared" si="98"/>
        <v>39.6285971256695</v>
      </c>
      <c r="AE290" s="131">
        <f t="shared" si="98"/>
        <v>0</v>
      </c>
      <c r="AF290" s="131">
        <f t="shared" si="98"/>
        <v>1.90413695915824</v>
      </c>
      <c r="AG290" s="131">
        <f t="shared" si="98"/>
        <v>4.6981984423752</v>
      </c>
      <c r="AH290" s="131">
        <f t="shared" si="98"/>
        <v>3.1584853052322</v>
      </c>
      <c r="AI290" s="131">
        <f t="shared" si="98"/>
        <v>0</v>
      </c>
      <c r="AJ290" s="131">
        <f t="shared" si="98"/>
        <v>0</v>
      </c>
      <c r="AK290" s="131">
        <f t="shared" si="98"/>
        <v>0</v>
      </c>
      <c r="AL290" s="131">
        <f t="shared" si="98"/>
        <v>0</v>
      </c>
    </row>
    <row r="291" ht="14.5" spans="1:38">
      <c r="A291" s="131">
        <v>2020</v>
      </c>
      <c r="B291" s="131" t="s">
        <v>276</v>
      </c>
      <c r="C291" s="131" t="s">
        <v>140</v>
      </c>
      <c r="D291" s="132" t="s">
        <v>284</v>
      </c>
      <c r="E291" s="131">
        <f>0</f>
        <v>0</v>
      </c>
      <c r="F291" s="131">
        <f t="shared" ref="F291:O291" si="99">0</f>
        <v>0</v>
      </c>
      <c r="G291" s="131">
        <f t="shared" si="99"/>
        <v>0</v>
      </c>
      <c r="H291" s="131">
        <f t="shared" si="99"/>
        <v>0</v>
      </c>
      <c r="I291" s="131">
        <f t="shared" si="99"/>
        <v>0</v>
      </c>
      <c r="J291" s="131">
        <f t="shared" si="99"/>
        <v>0</v>
      </c>
      <c r="K291" s="131">
        <f t="shared" si="99"/>
        <v>0</v>
      </c>
      <c r="L291" s="131">
        <f t="shared" si="99"/>
        <v>0</v>
      </c>
      <c r="M291" s="131">
        <f t="shared" si="99"/>
        <v>0</v>
      </c>
      <c r="N291" s="131">
        <f t="shared" si="99"/>
        <v>0</v>
      </c>
      <c r="O291" s="131">
        <f t="shared" si="99"/>
        <v>0</v>
      </c>
      <c r="P291" s="131">
        <f t="shared" ref="P291:Y291" si="100">0</f>
        <v>0</v>
      </c>
      <c r="Q291" s="131">
        <f t="shared" si="100"/>
        <v>0</v>
      </c>
      <c r="R291" s="131">
        <f t="shared" si="100"/>
        <v>0</v>
      </c>
      <c r="S291" s="131">
        <f t="shared" si="100"/>
        <v>0</v>
      </c>
      <c r="T291" s="131">
        <f t="shared" si="100"/>
        <v>0</v>
      </c>
      <c r="U291" s="131">
        <f t="shared" si="100"/>
        <v>0</v>
      </c>
      <c r="V291" s="131">
        <f t="shared" si="100"/>
        <v>0</v>
      </c>
      <c r="W291" s="131">
        <f t="shared" si="100"/>
        <v>0</v>
      </c>
      <c r="X291" s="131">
        <f t="shared" si="100"/>
        <v>0</v>
      </c>
      <c r="Y291" s="131">
        <f t="shared" si="100"/>
        <v>0</v>
      </c>
      <c r="Z291" s="131">
        <f t="shared" ref="Z291:AL291" si="101">0</f>
        <v>0</v>
      </c>
      <c r="AA291" s="131">
        <f t="shared" si="101"/>
        <v>0</v>
      </c>
      <c r="AB291" s="131">
        <f t="shared" si="101"/>
        <v>0</v>
      </c>
      <c r="AC291" s="131">
        <f t="shared" si="101"/>
        <v>0</v>
      </c>
      <c r="AD291" s="131">
        <f t="shared" si="101"/>
        <v>0</v>
      </c>
      <c r="AE291" s="131">
        <f t="shared" si="101"/>
        <v>0</v>
      </c>
      <c r="AF291" s="131">
        <f t="shared" si="101"/>
        <v>0</v>
      </c>
      <c r="AG291" s="131">
        <f t="shared" si="101"/>
        <v>0</v>
      </c>
      <c r="AH291" s="131">
        <f t="shared" si="101"/>
        <v>0</v>
      </c>
      <c r="AI291" s="131">
        <f t="shared" si="101"/>
        <v>0</v>
      </c>
      <c r="AJ291" s="131">
        <f t="shared" si="101"/>
        <v>0</v>
      </c>
      <c r="AK291" s="131">
        <f t="shared" si="101"/>
        <v>0</v>
      </c>
      <c r="AL291" s="131">
        <f t="shared" si="101"/>
        <v>0</v>
      </c>
    </row>
    <row r="292" ht="14.5" spans="1:38">
      <c r="A292" s="131">
        <v>2020</v>
      </c>
      <c r="B292" s="131" t="s">
        <v>276</v>
      </c>
      <c r="C292" s="131" t="s">
        <v>140</v>
      </c>
      <c r="D292" s="132" t="s">
        <v>285</v>
      </c>
      <c r="E292" s="131">
        <f>0</f>
        <v>0</v>
      </c>
      <c r="F292" s="131">
        <f t="shared" ref="F292:O292" si="102">0</f>
        <v>0</v>
      </c>
      <c r="G292" s="131">
        <f t="shared" si="102"/>
        <v>0</v>
      </c>
      <c r="H292" s="131">
        <f t="shared" si="102"/>
        <v>0</v>
      </c>
      <c r="I292" s="131">
        <f t="shared" si="102"/>
        <v>0</v>
      </c>
      <c r="J292" s="131">
        <f t="shared" si="102"/>
        <v>0</v>
      </c>
      <c r="K292" s="131">
        <f t="shared" si="102"/>
        <v>0</v>
      </c>
      <c r="L292" s="131">
        <f t="shared" si="102"/>
        <v>0</v>
      </c>
      <c r="M292" s="131">
        <f t="shared" si="102"/>
        <v>0</v>
      </c>
      <c r="N292" s="131">
        <f t="shared" si="102"/>
        <v>0</v>
      </c>
      <c r="O292" s="131">
        <f t="shared" si="102"/>
        <v>0</v>
      </c>
      <c r="P292" s="131">
        <f t="shared" ref="P292:Y292" si="103">0</f>
        <v>0</v>
      </c>
      <c r="Q292" s="131">
        <f t="shared" si="103"/>
        <v>0</v>
      </c>
      <c r="R292" s="131">
        <f t="shared" si="103"/>
        <v>0</v>
      </c>
      <c r="S292" s="131">
        <f t="shared" si="103"/>
        <v>0</v>
      </c>
      <c r="T292" s="131">
        <f t="shared" si="103"/>
        <v>0</v>
      </c>
      <c r="U292" s="131">
        <f t="shared" si="103"/>
        <v>0</v>
      </c>
      <c r="V292" s="131">
        <f t="shared" si="103"/>
        <v>0</v>
      </c>
      <c r="W292" s="131">
        <f t="shared" si="103"/>
        <v>0</v>
      </c>
      <c r="X292" s="131">
        <f t="shared" si="103"/>
        <v>0</v>
      </c>
      <c r="Y292" s="131">
        <f t="shared" si="103"/>
        <v>0</v>
      </c>
      <c r="Z292" s="131">
        <f t="shared" ref="Z292:AL292" si="104">0</f>
        <v>0</v>
      </c>
      <c r="AA292" s="131">
        <f t="shared" si="104"/>
        <v>0</v>
      </c>
      <c r="AB292" s="131">
        <f t="shared" si="104"/>
        <v>0</v>
      </c>
      <c r="AC292" s="131">
        <f t="shared" si="104"/>
        <v>0</v>
      </c>
      <c r="AD292" s="131">
        <f t="shared" si="104"/>
        <v>0</v>
      </c>
      <c r="AE292" s="131">
        <f t="shared" si="104"/>
        <v>0</v>
      </c>
      <c r="AF292" s="131">
        <f t="shared" si="104"/>
        <v>0</v>
      </c>
      <c r="AG292" s="131">
        <f t="shared" si="104"/>
        <v>0</v>
      </c>
      <c r="AH292" s="131">
        <f t="shared" si="104"/>
        <v>0</v>
      </c>
      <c r="AI292" s="131">
        <f t="shared" si="104"/>
        <v>0</v>
      </c>
      <c r="AJ292" s="131">
        <f t="shared" si="104"/>
        <v>0</v>
      </c>
      <c r="AK292" s="131">
        <f t="shared" si="104"/>
        <v>0</v>
      </c>
      <c r="AL292" s="131">
        <f t="shared" si="104"/>
        <v>0</v>
      </c>
    </row>
    <row r="293" ht="14.5" spans="1:38">
      <c r="A293" s="131">
        <v>2020</v>
      </c>
      <c r="B293" s="131" t="s">
        <v>276</v>
      </c>
      <c r="C293" s="131" t="s">
        <v>140</v>
      </c>
      <c r="D293" s="132" t="s">
        <v>286</v>
      </c>
      <c r="E293" s="131">
        <f>E290</f>
        <v>1.62028294107487</v>
      </c>
      <c r="F293" s="131">
        <f t="shared" ref="F293:AL293" si="105">F290</f>
        <v>0</v>
      </c>
      <c r="G293" s="131">
        <f t="shared" si="105"/>
        <v>1.82047536720718</v>
      </c>
      <c r="H293" s="131">
        <f t="shared" si="105"/>
        <v>0.286177642765099</v>
      </c>
      <c r="I293" s="131">
        <f t="shared" si="105"/>
        <v>0.00245438984541387</v>
      </c>
      <c r="J293" s="131">
        <f t="shared" si="105"/>
        <v>2.77806810463812</v>
      </c>
      <c r="K293" s="131">
        <f t="shared" si="105"/>
        <v>1.14398025262639</v>
      </c>
      <c r="L293" s="131">
        <f t="shared" si="105"/>
        <v>100.531498849296</v>
      </c>
      <c r="M293" s="131">
        <f t="shared" si="105"/>
        <v>0.347667249224917</v>
      </c>
      <c r="N293" s="131">
        <f t="shared" si="105"/>
        <v>1.58629251212944</v>
      </c>
      <c r="O293" s="131">
        <f t="shared" si="105"/>
        <v>6.75232773332572</v>
      </c>
      <c r="P293" s="131">
        <f t="shared" si="105"/>
        <v>3.9854143514463</v>
      </c>
      <c r="Q293" s="131">
        <f t="shared" si="105"/>
        <v>0.13486818602033</v>
      </c>
      <c r="R293" s="131">
        <f t="shared" si="105"/>
        <v>1.81053443926338</v>
      </c>
      <c r="S293" s="131">
        <f t="shared" si="105"/>
        <v>0.0504342170036979</v>
      </c>
      <c r="T293" s="131">
        <f t="shared" si="105"/>
        <v>13.5998504657627</v>
      </c>
      <c r="U293" s="131">
        <f t="shared" si="105"/>
        <v>0.0147924117071142</v>
      </c>
      <c r="V293" s="131">
        <f t="shared" si="105"/>
        <v>4.25727630982957</v>
      </c>
      <c r="W293" s="131">
        <f t="shared" si="105"/>
        <v>13.3076899473446</v>
      </c>
      <c r="X293" s="131">
        <f t="shared" si="105"/>
        <v>1.11306211526004</v>
      </c>
      <c r="Y293" s="131">
        <f t="shared" si="105"/>
        <v>0.0883750036797145</v>
      </c>
      <c r="Z293" s="131">
        <f t="shared" si="105"/>
        <v>6.44204920931559</v>
      </c>
      <c r="AA293" s="131">
        <f t="shared" si="105"/>
        <v>1.39744137478287</v>
      </c>
      <c r="AB293" s="131">
        <f t="shared" si="105"/>
        <v>2.4212977345951</v>
      </c>
      <c r="AC293" s="131">
        <f t="shared" si="105"/>
        <v>9.98002251149592</v>
      </c>
      <c r="AD293" s="131">
        <f t="shared" si="105"/>
        <v>39.6285971256695</v>
      </c>
      <c r="AE293" s="131">
        <f t="shared" si="105"/>
        <v>0</v>
      </c>
      <c r="AF293" s="131">
        <f t="shared" si="105"/>
        <v>1.90413695915824</v>
      </c>
      <c r="AG293" s="131">
        <f t="shared" si="105"/>
        <v>4.6981984423752</v>
      </c>
      <c r="AH293" s="131">
        <f t="shared" si="105"/>
        <v>3.1584853052322</v>
      </c>
      <c r="AI293" s="131">
        <f t="shared" si="105"/>
        <v>0</v>
      </c>
      <c r="AJ293" s="131">
        <f t="shared" si="105"/>
        <v>0</v>
      </c>
      <c r="AK293" s="131">
        <f t="shared" si="105"/>
        <v>0</v>
      </c>
      <c r="AL293" s="131">
        <f t="shared" si="105"/>
        <v>0</v>
      </c>
    </row>
    <row r="305" spans="5:39">
      <c r="F305" t="s">
        <v>287</v>
      </c>
    </row>
    <row r="307" ht="15.5" spans="5:39">
      <c r="E307" s="133"/>
      <c r="F307" s="133" t="s">
        <v>3</v>
      </c>
      <c r="G307" s="133" t="s">
        <v>5</v>
      </c>
      <c r="H307" s="133" t="s">
        <v>6</v>
      </c>
      <c r="I307" s="133" t="s">
        <v>7</v>
      </c>
      <c r="J307" s="133" t="s">
        <v>8</v>
      </c>
      <c r="K307" s="133" t="s">
        <v>9</v>
      </c>
      <c r="L307" s="133" t="s">
        <v>10</v>
      </c>
      <c r="M307" s="133" t="s">
        <v>11</v>
      </c>
      <c r="N307" s="133" t="s">
        <v>12</v>
      </c>
      <c r="O307" s="133" t="s">
        <v>13</v>
      </c>
      <c r="P307" s="133" t="s">
        <v>14</v>
      </c>
      <c r="Q307" s="133" t="s">
        <v>15</v>
      </c>
      <c r="R307" s="133" t="s">
        <v>16</v>
      </c>
      <c r="S307" s="133" t="s">
        <v>17</v>
      </c>
      <c r="T307" s="133" t="s">
        <v>18</v>
      </c>
      <c r="U307" s="133" t="s">
        <v>19</v>
      </c>
      <c r="V307" s="133" t="s">
        <v>20</v>
      </c>
      <c r="W307" s="133" t="s">
        <v>21</v>
      </c>
      <c r="X307" s="133" t="s">
        <v>22</v>
      </c>
      <c r="Y307" s="133" t="s">
        <v>23</v>
      </c>
      <c r="Z307" s="133" t="s">
        <v>24</v>
      </c>
      <c r="AA307" s="133" t="s">
        <v>25</v>
      </c>
      <c r="AB307" s="133" t="s">
        <v>26</v>
      </c>
      <c r="AC307" s="133" t="s">
        <v>27</v>
      </c>
      <c r="AD307" s="133" t="s">
        <v>28</v>
      </c>
      <c r="AE307" s="133" t="s">
        <v>29</v>
      </c>
      <c r="AF307" s="133" t="s">
        <v>30</v>
      </c>
      <c r="AG307" s="133" t="s">
        <v>31</v>
      </c>
      <c r="AH307" s="133" t="s">
        <v>32</v>
      </c>
      <c r="AI307" s="133" t="s">
        <v>33</v>
      </c>
      <c r="AJ307" s="132" t="s">
        <v>34</v>
      </c>
      <c r="AK307" s="132" t="s">
        <v>35</v>
      </c>
      <c r="AL307" s="132" t="s">
        <v>36</v>
      </c>
      <c r="AM307" s="132" t="s">
        <v>37</v>
      </c>
    </row>
    <row r="308" ht="15.5" spans="5:39">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c r="AH308" s="133"/>
      <c r="AI308" s="133"/>
    </row>
    <row r="309" ht="15.5" spans="5:39">
      <c r="E309" s="133"/>
      <c r="F309" s="133">
        <v>10.8018862738325</v>
      </c>
      <c r="G309" s="133">
        <v>0</v>
      </c>
      <c r="H309" s="133">
        <v>12.1365024480479</v>
      </c>
      <c r="I309" s="133">
        <v>1.90785095176733</v>
      </c>
      <c r="J309" s="133">
        <v>0.0163625989694258</v>
      </c>
      <c r="K309" s="133">
        <v>18.5204540309208</v>
      </c>
      <c r="L309" s="133">
        <v>7.62653501750928</v>
      </c>
      <c r="M309" s="133">
        <v>670.209992328637</v>
      </c>
      <c r="N309" s="133">
        <v>2.31778166149945</v>
      </c>
      <c r="O309" s="133">
        <v>10.5752834141963</v>
      </c>
      <c r="P309" s="133">
        <v>45.0155182221715</v>
      </c>
      <c r="Q309" s="133">
        <v>26.569429009642</v>
      </c>
      <c r="R309" s="133">
        <v>0.899121240135531</v>
      </c>
      <c r="S309" s="133">
        <v>12.0702295950892</v>
      </c>
      <c r="T309" s="133">
        <v>0.336228113357986</v>
      </c>
      <c r="U309" s="133">
        <v>90.6656697717516</v>
      </c>
      <c r="V309" s="133">
        <v>0.0986160780474282</v>
      </c>
      <c r="W309" s="133">
        <v>28.3818420655305</v>
      </c>
      <c r="X309" s="133">
        <v>88.7179329822972</v>
      </c>
      <c r="Y309" s="133">
        <v>7.42041410173359</v>
      </c>
      <c r="Z309" s="133">
        <v>0.589166691198097</v>
      </c>
      <c r="AA309" s="133">
        <v>42.9469947287706</v>
      </c>
      <c r="AB309" s="133">
        <v>9.31627583188582</v>
      </c>
      <c r="AC309" s="133">
        <v>16.1419848973007</v>
      </c>
      <c r="AD309" s="133">
        <v>66.5334834099728</v>
      </c>
      <c r="AE309" s="133">
        <v>264.190647504463</v>
      </c>
      <c r="AF309" s="133">
        <v>0</v>
      </c>
      <c r="AG309" s="133">
        <v>12.6942463943883</v>
      </c>
      <c r="AH309" s="133">
        <v>31.321322949168</v>
      </c>
      <c r="AI309" s="13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39" workbookViewId="0">
      <selection activeCell="AE143" sqref="AE14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3"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3"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3"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3"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3"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3"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3"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3"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3"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3"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3"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3"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3"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3"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3"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3"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3"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3"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3"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3"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3"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3"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3"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3"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3"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3"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3"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3"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3"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3"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3"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3"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3"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3"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3"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3"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3"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3"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3"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3"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3"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3"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3"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3"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3"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3"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3"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3"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3"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3"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3"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3"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3"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3"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3"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3"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3"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3"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3"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3"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3"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3"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3"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3"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3"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3"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3"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3"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3"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3"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3"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3"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3"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3"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3"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3"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3"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3"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3"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3"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3"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3"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3"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3"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4"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3"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3"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3"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3"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3"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3"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3"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3"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3"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3"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3"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3"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3"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3"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3"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3"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3"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3"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3"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3"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3"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3"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3"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3"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3"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3"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3"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3"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3"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3"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3"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3"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3"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3"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3"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3"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3"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3"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3"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3"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3"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3"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3"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3"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3"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3"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3"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3"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3"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3"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3"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3"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3"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3"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3"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3"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3"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3"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3"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3"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3"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3"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3"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3"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3"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3"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3"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3"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3"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3"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3"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3"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3"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3"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3"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3"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3"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3"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3"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3"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3"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3"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3"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3"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3"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3"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3"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3"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3"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3"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3"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3"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3"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3"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3"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3"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3"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3"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3"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3"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3"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3"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3"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3"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3"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3"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3"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3"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3"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3"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3"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3"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3"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3"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3"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3"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3"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3"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3"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3"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3"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3"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3"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3"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3"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3"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3"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3"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3"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3"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3"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3"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3"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3"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3"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3"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3"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3"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3"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3"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3"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3"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3"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3"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3"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3"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3"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3"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3"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3"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3"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3"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3"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3"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3"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3"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3"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3"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3"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3"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3"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3"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3"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3"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3"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3"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3"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3"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3"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3"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3"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3"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3"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3"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3"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3"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3"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3"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3"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3"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3"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3"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3"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3"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3"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3"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3"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3"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3"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3"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3"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3"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3"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3"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3"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3"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3"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3"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3"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3"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3"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3"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3"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3"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3"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3"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3"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3"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3"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3"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3"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3"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3"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3"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3"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3"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3"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3"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3"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3"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3"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3"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3"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3"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3"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3"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3"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3"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3"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3"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3"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3"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3"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3"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3"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3"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3"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3"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3"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3"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3"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3"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3"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3"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3"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3"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3"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3"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3"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3"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3"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3"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3"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3"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3"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3"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3"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3"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3"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3"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3"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3"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3"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3"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3"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3"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3"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3"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3"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3"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3"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3"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3"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3"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3"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3"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3"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3"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3"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3"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3"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3"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3"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3"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3"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3"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3"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3"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3"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3"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3"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3"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3"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3"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3"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3"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3"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3"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3"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3"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3"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3"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3"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3"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3"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3"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3"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3"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3"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3"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3"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3"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3"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3"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3"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3"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3"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3"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3"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3"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3"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3"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3"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3"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3"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3"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3"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3"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3"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3"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3"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3"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3"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3"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3"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11" t="s">
        <v>385</v>
      </c>
      <c r="G11" s="10" t="s">
        <v>386</v>
      </c>
      <c r="H11" s="10" t="s">
        <v>387</v>
      </c>
      <c r="M11" s="11" t="s">
        <v>388</v>
      </c>
      <c r="N11" s="11" t="s">
        <v>389</v>
      </c>
      <c r="O11" s="11" t="s">
        <v>390</v>
      </c>
      <c r="P11" s="11" t="s">
        <v>391</v>
      </c>
    </row>
    <row r="12" ht="37.5" spans="6:16">
      <c r="F12" s="7" t="s">
        <v>392</v>
      </c>
      <c r="G12" s="12">
        <v>720</v>
      </c>
      <c r="H12" s="10">
        <v>381</v>
      </c>
      <c r="M12" s="7" t="s">
        <v>3</v>
      </c>
      <c r="N12" s="7" t="s">
        <v>393</v>
      </c>
      <c r="O12" s="7">
        <v>0</v>
      </c>
      <c r="P12" s="13">
        <v>0</v>
      </c>
    </row>
    <row r="13" ht="87.5" spans="6:16">
      <c r="F13" s="7" t="s">
        <v>6</v>
      </c>
      <c r="G13" s="14">
        <v>18000</v>
      </c>
      <c r="H13" s="15">
        <v>9522</v>
      </c>
      <c r="M13" s="7" t="s">
        <v>5</v>
      </c>
      <c r="N13" s="7" t="s">
        <v>394</v>
      </c>
      <c r="O13" s="7">
        <v>300</v>
      </c>
      <c r="P13" s="13">
        <v>159</v>
      </c>
    </row>
    <row r="14" ht="13" spans="6:16">
      <c r="F14" s="7" t="s">
        <v>10</v>
      </c>
      <c r="G14" s="14">
        <v>11000</v>
      </c>
      <c r="H14" s="15">
        <v>5819</v>
      </c>
      <c r="M14" s="7" t="s">
        <v>6</v>
      </c>
      <c r="N14" s="7" t="s">
        <v>6</v>
      </c>
      <c r="O14" s="16">
        <v>18000</v>
      </c>
      <c r="P14" s="17">
        <v>9522</v>
      </c>
    </row>
    <row r="15" ht="13" spans="6:16">
      <c r="F15" s="7" t="s">
        <v>395</v>
      </c>
      <c r="G15" s="14">
        <v>1500</v>
      </c>
      <c r="H15" s="10">
        <v>794</v>
      </c>
      <c r="M15" s="7" t="s">
        <v>7</v>
      </c>
      <c r="N15" s="7" t="s">
        <v>7</v>
      </c>
      <c r="O15" s="7">
        <v>0</v>
      </c>
      <c r="P15" s="13">
        <v>0</v>
      </c>
    </row>
    <row r="16" ht="37.5" spans="6:16">
      <c r="F16" s="7" t="s">
        <v>11</v>
      </c>
      <c r="G16" s="14">
        <v>84000</v>
      </c>
      <c r="H16" s="15">
        <v>44436</v>
      </c>
      <c r="M16" s="7" t="s">
        <v>8</v>
      </c>
      <c r="N16" s="7" t="s">
        <v>396</v>
      </c>
      <c r="O16" s="7">
        <v>0</v>
      </c>
      <c r="P16" s="13">
        <v>0</v>
      </c>
    </row>
    <row r="17" ht="62.5" spans="6:16">
      <c r="F17" s="7" t="s">
        <v>15</v>
      </c>
      <c r="G17" s="12">
        <v>960</v>
      </c>
      <c r="H17" s="10">
        <v>508</v>
      </c>
      <c r="M17" s="7" t="s">
        <v>9</v>
      </c>
      <c r="N17" s="7" t="s">
        <v>397</v>
      </c>
      <c r="O17" s="7">
        <v>0</v>
      </c>
      <c r="P17" s="13">
        <v>0</v>
      </c>
    </row>
    <row r="18" ht="13" spans="6:16">
      <c r="F18" s="7" t="s">
        <v>398</v>
      </c>
      <c r="G18" s="12">
        <v>860</v>
      </c>
      <c r="H18" s="10">
        <v>455</v>
      </c>
      <c r="M18" s="7" t="s">
        <v>10</v>
      </c>
      <c r="N18" s="7" t="s">
        <v>10</v>
      </c>
      <c r="O18" s="16">
        <v>11000</v>
      </c>
      <c r="P18" s="17">
        <v>5819</v>
      </c>
    </row>
    <row r="19" ht="13" spans="6:16">
      <c r="F19" s="7" t="s">
        <v>399</v>
      </c>
      <c r="G19" s="12">
        <v>300</v>
      </c>
      <c r="H19" s="10">
        <v>159</v>
      </c>
      <c r="M19" s="7" t="s">
        <v>11</v>
      </c>
      <c r="N19" s="7" t="s">
        <v>11</v>
      </c>
      <c r="O19" s="16">
        <v>84000</v>
      </c>
      <c r="P19" s="17">
        <v>44436</v>
      </c>
    </row>
    <row r="20" ht="25" spans="6:16">
      <c r="F20" s="7" t="s">
        <v>19</v>
      </c>
      <c r="G20" s="14">
        <v>7600</v>
      </c>
      <c r="H20" s="15">
        <v>4020</v>
      </c>
      <c r="M20" s="7" t="s">
        <v>12</v>
      </c>
      <c r="N20" s="7" t="s">
        <v>400</v>
      </c>
      <c r="O20" s="7">
        <v>0</v>
      </c>
      <c r="P20" s="13">
        <v>0</v>
      </c>
    </row>
    <row r="21" ht="25" spans="6:16">
      <c r="F21" s="7" t="s">
        <v>401</v>
      </c>
      <c r="G21" s="14">
        <v>1300</v>
      </c>
      <c r="H21" s="10">
        <v>688</v>
      </c>
      <c r="M21" s="7" t="s">
        <v>13</v>
      </c>
      <c r="N21" s="7" t="s">
        <v>402</v>
      </c>
      <c r="O21" s="7">
        <v>0</v>
      </c>
      <c r="P21" s="13">
        <v>0</v>
      </c>
    </row>
    <row r="22" ht="13" spans="6:16">
      <c r="F22" s="7" t="s">
        <v>20</v>
      </c>
      <c r="G22" s="14">
        <v>1600</v>
      </c>
      <c r="H22" s="10">
        <v>846</v>
      </c>
      <c r="M22" s="7" t="s">
        <v>14</v>
      </c>
      <c r="N22" s="7" t="s">
        <v>14</v>
      </c>
      <c r="O22" s="7">
        <v>0</v>
      </c>
      <c r="P22" s="13">
        <v>0</v>
      </c>
    </row>
    <row r="23" ht="13" spans="6:16">
      <c r="F23" s="7" t="s">
        <v>403</v>
      </c>
      <c r="G23" s="14">
        <v>1500</v>
      </c>
      <c r="H23" s="10">
        <v>794</v>
      </c>
      <c r="M23" s="7" t="s">
        <v>15</v>
      </c>
      <c r="N23" s="7" t="s">
        <v>15</v>
      </c>
      <c r="O23" s="7">
        <v>960</v>
      </c>
      <c r="P23" s="13">
        <v>508</v>
      </c>
    </row>
    <row r="24" ht="25" spans="6:16">
      <c r="F24" s="7" t="s">
        <v>404</v>
      </c>
      <c r="G24" s="14">
        <v>1400</v>
      </c>
      <c r="H24" s="10">
        <v>741</v>
      </c>
      <c r="M24" s="7" t="s">
        <v>16</v>
      </c>
      <c r="N24" s="7" t="s">
        <v>405</v>
      </c>
      <c r="O24" s="7">
        <v>860</v>
      </c>
      <c r="P24" s="13">
        <v>455</v>
      </c>
    </row>
    <row r="25" ht="37.5" spans="6:16">
      <c r="F25" s="7" t="s">
        <v>29</v>
      </c>
      <c r="G25" s="14">
        <v>2900</v>
      </c>
      <c r="H25" s="15">
        <v>1534</v>
      </c>
      <c r="M25" s="7" t="s">
        <v>17</v>
      </c>
      <c r="N25" s="7" t="s">
        <v>406</v>
      </c>
      <c r="O25" s="7">
        <v>0</v>
      </c>
      <c r="P25" s="13">
        <v>0</v>
      </c>
    </row>
    <row r="26" ht="25" spans="6:16">
      <c r="F26" s="7" t="s">
        <v>407</v>
      </c>
      <c r="G26" s="14">
        <v>1800</v>
      </c>
      <c r="H26" s="10">
        <v>952</v>
      </c>
      <c r="M26" s="7" t="s">
        <v>18</v>
      </c>
      <c r="N26" s="7" t="s">
        <v>18</v>
      </c>
      <c r="O26" s="7">
        <v>0</v>
      </c>
      <c r="P26" s="13">
        <v>0</v>
      </c>
    </row>
    <row r="27" ht="13" spans="6:16">
      <c r="F27" s="7" t="s">
        <v>408</v>
      </c>
      <c r="G27" s="12">
        <v>820</v>
      </c>
      <c r="H27" s="10">
        <v>434</v>
      </c>
      <c r="M27" s="7" t="s">
        <v>19</v>
      </c>
      <c r="N27" s="7" t="s">
        <v>19</v>
      </c>
      <c r="O27" s="16">
        <v>7600</v>
      </c>
      <c r="P27" s="17">
        <v>4020</v>
      </c>
    </row>
    <row r="28" ht="13" spans="6:16">
      <c r="F28" s="7" t="s">
        <v>35</v>
      </c>
      <c r="G28" s="12">
        <v>320</v>
      </c>
      <c r="H28" s="10">
        <v>169</v>
      </c>
      <c r="M28" s="7" t="s">
        <v>20</v>
      </c>
      <c r="N28" s="7" t="s">
        <v>20</v>
      </c>
      <c r="O28" s="16">
        <v>1600</v>
      </c>
      <c r="P28" s="13">
        <v>846</v>
      </c>
    </row>
    <row r="29" ht="37.5" spans="6:16">
      <c r="F29" s="7" t="s">
        <v>409</v>
      </c>
      <c r="G29" s="14">
        <v>2400</v>
      </c>
      <c r="H29" s="15">
        <v>1270</v>
      </c>
      <c r="M29" s="7" t="s">
        <v>21</v>
      </c>
      <c r="N29" s="7" t="s">
        <v>410</v>
      </c>
      <c r="O29" s="7">
        <v>0</v>
      </c>
      <c r="P29" s="13">
        <v>0</v>
      </c>
    </row>
    <row r="30" ht="13" spans="6:16">
      <c r="F30" s="7" t="s">
        <v>411</v>
      </c>
      <c r="G30" s="14">
        <v>1500</v>
      </c>
      <c r="H30" s="10">
        <v>794</v>
      </c>
      <c r="M30" s="7" t="s">
        <v>22</v>
      </c>
      <c r="N30" s="7" t="s">
        <v>22</v>
      </c>
      <c r="O30" s="7">
        <v>0</v>
      </c>
      <c r="P30" s="13">
        <v>0</v>
      </c>
    </row>
    <row r="31" ht="100" spans="6:16">
      <c r="F31" s="7" t="s">
        <v>343</v>
      </c>
      <c r="G31" s="14">
        <v>1500</v>
      </c>
      <c r="H31" s="10">
        <v>794</v>
      </c>
      <c r="M31" s="7" t="s">
        <v>23</v>
      </c>
      <c r="N31" s="7" t="s">
        <v>412</v>
      </c>
      <c r="O31" s="7">
        <v>0</v>
      </c>
      <c r="P31" s="13">
        <v>0</v>
      </c>
    </row>
    <row r="32" ht="13" spans="6:16">
      <c r="F32" s="13" t="s">
        <v>217</v>
      </c>
      <c r="G32" s="15">
        <v>142000</v>
      </c>
      <c r="H32" s="15">
        <v>75118</v>
      </c>
      <c r="M32" s="7" t="s">
        <v>24</v>
      </c>
      <c r="N32" s="7" t="s">
        <v>413</v>
      </c>
      <c r="O32" s="16">
        <v>2400</v>
      </c>
      <c r="P32" s="17">
        <v>1270</v>
      </c>
    </row>
    <row r="33" ht="25" spans="13:16">
      <c r="M33" s="7" t="s">
        <v>25</v>
      </c>
      <c r="N33" s="7" t="s">
        <v>414</v>
      </c>
      <c r="O33" s="16">
        <v>2220</v>
      </c>
      <c r="P33" s="17">
        <v>1175</v>
      </c>
    </row>
    <row r="34" ht="13" spans="13:16">
      <c r="M34" s="7" t="s">
        <v>26</v>
      </c>
      <c r="N34" s="7" t="s">
        <v>26</v>
      </c>
      <c r="O34" s="7">
        <v>0</v>
      </c>
      <c r="P34" s="13">
        <v>0</v>
      </c>
    </row>
    <row r="35" ht="13" spans="13:16">
      <c r="M35" s="7" t="s">
        <v>27</v>
      </c>
      <c r="N35" s="7" t="s">
        <v>27</v>
      </c>
      <c r="O35" s="7">
        <v>0</v>
      </c>
      <c r="P35" s="13">
        <v>0</v>
      </c>
    </row>
    <row r="36" ht="112.5" spans="13:16">
      <c r="M36" s="7" t="s">
        <v>28</v>
      </c>
      <c r="N36" s="7" t="s">
        <v>415</v>
      </c>
      <c r="O36" s="16">
        <v>5700</v>
      </c>
      <c r="P36" s="17">
        <v>3015</v>
      </c>
    </row>
    <row r="37" ht="13" spans="13:16">
      <c r="M37" s="7" t="s">
        <v>29</v>
      </c>
      <c r="N37" s="7" t="s">
        <v>29</v>
      </c>
      <c r="O37" s="16">
        <v>2900</v>
      </c>
      <c r="P37" s="17">
        <v>1534</v>
      </c>
    </row>
    <row r="38" ht="25" spans="13:16">
      <c r="M38" s="7" t="s">
        <v>30</v>
      </c>
      <c r="N38" s="7" t="s">
        <v>407</v>
      </c>
      <c r="O38" s="16">
        <v>1800</v>
      </c>
      <c r="P38" s="13">
        <v>952</v>
      </c>
    </row>
    <row r="39" ht="25" spans="13:16">
      <c r="M39" s="7" t="s">
        <v>31</v>
      </c>
      <c r="N39" s="7" t="s">
        <v>416</v>
      </c>
      <c r="O39" s="7">
        <v>0</v>
      </c>
      <c r="P39" s="13">
        <v>0</v>
      </c>
    </row>
    <row r="40" ht="25" spans="13:16">
      <c r="M40" s="7" t="s">
        <v>32</v>
      </c>
      <c r="N40" s="7" t="s">
        <v>417</v>
      </c>
      <c r="O40" s="7">
        <v>820</v>
      </c>
      <c r="P40" s="13">
        <v>434</v>
      </c>
    </row>
    <row r="41" ht="37.5" spans="13:16">
      <c r="M41" s="7" t="s">
        <v>33</v>
      </c>
      <c r="N41" s="7" t="s">
        <v>418</v>
      </c>
      <c r="O41" s="7">
        <v>0</v>
      </c>
      <c r="P41" s="13">
        <v>0</v>
      </c>
    </row>
    <row r="42" ht="25" spans="13:16">
      <c r="M42" s="7" t="s">
        <v>34</v>
      </c>
      <c r="N42" s="7" t="s">
        <v>34</v>
      </c>
      <c r="O42" s="7">
        <v>0</v>
      </c>
      <c r="P42" s="13">
        <v>0</v>
      </c>
    </row>
    <row r="43" ht="13" spans="13:16">
      <c r="M43" s="7" t="s">
        <v>35</v>
      </c>
      <c r="N43" s="7" t="s">
        <v>35</v>
      </c>
      <c r="O43" s="7">
        <v>320</v>
      </c>
      <c r="P43" s="13">
        <v>169</v>
      </c>
    </row>
    <row r="44" ht="25" spans="13:16">
      <c r="M44" s="7" t="s">
        <v>36</v>
      </c>
      <c r="N44" s="7" t="s">
        <v>419</v>
      </c>
      <c r="O44" s="7">
        <v>0</v>
      </c>
      <c r="P44" s="13">
        <v>0</v>
      </c>
    </row>
    <row r="45" ht="13" spans="13:16">
      <c r="M45" s="7" t="s">
        <v>37</v>
      </c>
      <c r="N45" s="7" t="s">
        <v>37</v>
      </c>
      <c r="O45" s="7">
        <v>0</v>
      </c>
      <c r="P45" s="13">
        <v>0</v>
      </c>
    </row>
    <row r="46" ht="13" spans="13:16">
      <c r="M46" s="13" t="s">
        <v>217</v>
      </c>
      <c r="N46" s="7"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tabSelected="1" zoomScale="43" zoomScaleNormal="43" workbookViewId="0">
      <selection activeCell="AC18" sqref="AC18"/>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25" spans="5:58">
      <c r="E9" s="2"/>
      <c r="F9" s="2"/>
      <c r="M9" s="2"/>
      <c r="N9" s="2"/>
      <c r="O9" s="2"/>
      <c r="P9" s="2"/>
      <c r="W9" s="2" t="s">
        <v>2</v>
      </c>
      <c r="X9" s="7" t="s">
        <v>3</v>
      </c>
      <c r="Y9" s="7" t="s">
        <v>5</v>
      </c>
      <c r="Z9" s="7" t="s">
        <v>6</v>
      </c>
      <c r="AA9" s="7" t="s">
        <v>7</v>
      </c>
      <c r="AB9" s="7" t="s">
        <v>8</v>
      </c>
      <c r="AC9" s="7" t="s">
        <v>9</v>
      </c>
      <c r="AD9" s="7" t="s">
        <v>10</v>
      </c>
      <c r="AE9" s="7" t="s">
        <v>11</v>
      </c>
      <c r="AF9" s="7" t="s">
        <v>12</v>
      </c>
      <c r="AG9" s="7" t="s">
        <v>13</v>
      </c>
      <c r="AH9" s="7" t="s">
        <v>14</v>
      </c>
      <c r="AI9" s="7" t="s">
        <v>15</v>
      </c>
      <c r="AJ9" s="7" t="s">
        <v>16</v>
      </c>
      <c r="AK9" s="7" t="s">
        <v>17</v>
      </c>
      <c r="AL9" s="7" t="s">
        <v>18</v>
      </c>
      <c r="AM9" s="7" t="s">
        <v>19</v>
      </c>
      <c r="AN9" s="7" t="s">
        <v>20</v>
      </c>
      <c r="AO9" s="7" t="s">
        <v>21</v>
      </c>
      <c r="AP9" s="7" t="s">
        <v>22</v>
      </c>
      <c r="AQ9" s="7" t="s">
        <v>23</v>
      </c>
      <c r="AR9" s="7" t="s">
        <v>24</v>
      </c>
      <c r="AS9" s="7" t="s">
        <v>25</v>
      </c>
      <c r="AT9" s="7" t="s">
        <v>26</v>
      </c>
      <c r="AU9" s="7" t="s">
        <v>27</v>
      </c>
      <c r="AV9" s="7" t="s">
        <v>28</v>
      </c>
      <c r="AW9" s="7" t="s">
        <v>29</v>
      </c>
      <c r="AX9" s="7" t="s">
        <v>30</v>
      </c>
      <c r="AY9" s="7" t="s">
        <v>31</v>
      </c>
      <c r="AZ9" s="7" t="s">
        <v>32</v>
      </c>
      <c r="BA9" s="7" t="s">
        <v>33</v>
      </c>
      <c r="BB9" s="7" t="s">
        <v>34</v>
      </c>
      <c r="BC9" s="7" t="s">
        <v>35</v>
      </c>
      <c r="BD9" s="7" t="s">
        <v>36</v>
      </c>
      <c r="BE9" s="7" t="s">
        <v>37</v>
      </c>
      <c r="BF9" s="7" t="s">
        <v>38</v>
      </c>
    </row>
    <row r="10" ht="14.5" spans="5:58">
      <c r="E10" s="8"/>
      <c r="F10" s="2"/>
      <c r="M10" s="9"/>
      <c r="N10" s="9"/>
      <c r="O10" s="9"/>
      <c r="P10" s="9"/>
      <c r="W10" s="2" t="s">
        <v>421</v>
      </c>
      <c r="X10" s="10" t="s">
        <v>422</v>
      </c>
      <c r="Y10" s="10" t="s">
        <v>423</v>
      </c>
      <c r="Z10" s="10" t="s">
        <v>424</v>
      </c>
      <c r="AA10" s="10" t="s">
        <v>424</v>
      </c>
      <c r="AB10" s="10" t="s">
        <v>425</v>
      </c>
      <c r="AC10" s="10" t="s">
        <v>424</v>
      </c>
      <c r="AD10" s="10" t="s">
        <v>426</v>
      </c>
      <c r="AE10" s="10" t="s">
        <v>422</v>
      </c>
      <c r="AF10" s="10" t="s">
        <v>427</v>
      </c>
      <c r="AG10" s="10" t="s">
        <v>427</v>
      </c>
      <c r="AH10" s="10" t="s">
        <v>428</v>
      </c>
      <c r="AI10" s="10" t="s">
        <v>424</v>
      </c>
      <c r="AJ10" s="10" t="s">
        <v>427</v>
      </c>
      <c r="AK10" s="10" t="s">
        <v>426</v>
      </c>
      <c r="AL10" s="10" t="s">
        <v>429</v>
      </c>
      <c r="AM10" s="10" t="s">
        <v>430</v>
      </c>
      <c r="AN10" s="10" t="s">
        <v>428</v>
      </c>
      <c r="AO10" s="10" t="s">
        <v>425</v>
      </c>
      <c r="AP10" s="10" t="s">
        <v>428</v>
      </c>
      <c r="AQ10" s="10" t="s">
        <v>426</v>
      </c>
      <c r="AR10" s="10" t="s">
        <v>427</v>
      </c>
      <c r="AS10" s="10" t="s">
        <v>428</v>
      </c>
      <c r="AT10" s="10" t="s">
        <v>429</v>
      </c>
      <c r="AU10" s="10" t="s">
        <v>427</v>
      </c>
      <c r="AV10" s="10" t="s">
        <v>427</v>
      </c>
      <c r="AW10" s="10" t="s">
        <v>426</v>
      </c>
      <c r="AX10" s="10" t="s">
        <v>425</v>
      </c>
      <c r="AY10" s="10" t="s">
        <v>426</v>
      </c>
      <c r="AZ10" s="10" t="s">
        <v>425</v>
      </c>
      <c r="BA10" s="10" t="s">
        <v>424</v>
      </c>
      <c r="BB10" s="10" t="s">
        <v>429</v>
      </c>
      <c r="BC10" s="10" t="s">
        <v>426</v>
      </c>
      <c r="BD10" s="10" t="s">
        <v>428</v>
      </c>
      <c r="BE10" s="10" t="s">
        <v>422</v>
      </c>
      <c r="BF10" s="10" t="s">
        <v>422</v>
      </c>
    </row>
    <row r="11" ht="14.5" spans="5:58">
      <c r="E11" s="8"/>
      <c r="F11" s="2"/>
      <c r="G11" s="2"/>
      <c r="M11" s="9"/>
      <c r="N11" s="9"/>
      <c r="O11" s="9"/>
      <c r="P11" s="9"/>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8"/>
      <c r="F12" s="2"/>
      <c r="G12" s="2"/>
      <c r="M12" s="9"/>
      <c r="N12" s="9"/>
      <c r="O12" s="9"/>
      <c r="P12" s="9"/>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8"/>
      <c r="F13" s="2"/>
      <c r="G13" s="2"/>
      <c r="M13" s="9"/>
      <c r="N13" s="9"/>
      <c r="O13" s="9"/>
      <c r="P13" s="9"/>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8"/>
      <c r="F14" s="2"/>
      <c r="G14" s="2"/>
      <c r="M14" s="9"/>
      <c r="N14" s="9"/>
      <c r="O14" s="9"/>
      <c r="P14" s="9"/>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8"/>
      <c r="F15" s="2"/>
      <c r="G15" s="2"/>
      <c r="M15" s="9"/>
      <c r="N15" s="9"/>
      <c r="O15" s="9"/>
      <c r="P15" s="9"/>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8"/>
      <c r="F16" s="2"/>
      <c r="G16" s="2"/>
      <c r="M16" s="9"/>
      <c r="N16" s="9"/>
      <c r="O16" s="9"/>
      <c r="P16" s="9"/>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8"/>
      <c r="F17" s="2"/>
      <c r="G17" s="2"/>
      <c r="M17" s="9"/>
      <c r="N17" s="9"/>
      <c r="O17" s="9"/>
      <c r="P17" s="9"/>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11" t="s">
        <v>1</v>
      </c>
      <c r="H28" s="10"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7" t="s">
        <v>3</v>
      </c>
      <c r="H29" s="10"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7" t="s">
        <v>5</v>
      </c>
      <c r="H30" s="10"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7" t="s">
        <v>6</v>
      </c>
      <c r="H31" s="10"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7" t="s">
        <v>7</v>
      </c>
      <c r="H32" s="10"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7" t="s">
        <v>8</v>
      </c>
      <c r="H33" s="10"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7" t="s">
        <v>9</v>
      </c>
      <c r="H34" s="10"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7" t="s">
        <v>10</v>
      </c>
      <c r="H35" s="10"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7" t="s">
        <v>11</v>
      </c>
      <c r="H36" s="10"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7" t="s">
        <v>12</v>
      </c>
      <c r="H37" s="10"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7" t="s">
        <v>13</v>
      </c>
      <c r="H38" s="10"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7" t="s">
        <v>14</v>
      </c>
      <c r="H39" s="10"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7" t="s">
        <v>15</v>
      </c>
      <c r="H40" s="10"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7" t="s">
        <v>16</v>
      </c>
      <c r="H41" s="10"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7" t="s">
        <v>17</v>
      </c>
      <c r="H42" s="10"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7" t="s">
        <v>18</v>
      </c>
      <c r="H43" s="10"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7" t="s">
        <v>19</v>
      </c>
      <c r="H44" s="10"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7" t="s">
        <v>20</v>
      </c>
      <c r="H45" s="10"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7" t="s">
        <v>21</v>
      </c>
      <c r="H46" s="10"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7" t="s">
        <v>22</v>
      </c>
      <c r="H47" s="10"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7" t="s">
        <v>23</v>
      </c>
      <c r="H48" s="10"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7" t="s">
        <v>24</v>
      </c>
      <c r="H49" s="10"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7" t="s">
        <v>25</v>
      </c>
      <c r="H50" s="10"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7" t="s">
        <v>26</v>
      </c>
      <c r="H51" s="10"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7" t="s">
        <v>27</v>
      </c>
      <c r="H52" s="10"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7" t="s">
        <v>28</v>
      </c>
      <c r="H53" s="10"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7" t="s">
        <v>29</v>
      </c>
      <c r="H54" s="10"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7" t="s">
        <v>30</v>
      </c>
      <c r="H55" s="10"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7" t="s">
        <v>31</v>
      </c>
      <c r="H56" s="10"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7" t="s">
        <v>32</v>
      </c>
      <c r="H57" s="10"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7" t="s">
        <v>33</v>
      </c>
      <c r="H58" s="10"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7" t="s">
        <v>34</v>
      </c>
      <c r="H59" s="10"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7" t="s">
        <v>35</v>
      </c>
      <c r="H60" s="10"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7" t="s">
        <v>36</v>
      </c>
      <c r="H61" s="10"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7" t="s">
        <v>37</v>
      </c>
      <c r="H62" s="10"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7" t="s">
        <v>38</v>
      </c>
      <c r="H63" s="10"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zoomScale="117" zoomScaleNormal="117" topLeftCell="D246"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2026-08-05T05:38:16Z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