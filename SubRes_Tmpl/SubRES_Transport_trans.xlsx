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8340" windowHeight="872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10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<sst xmlns="http://schemas.openxmlformats.org/spreadsheetml/2006/main" count="1178" uniqueCount="194">
  <si>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</si>
  <si>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</si>
  <si>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</si>
  <si>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</si>
  <si>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</si>
  <si>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</si>
  <si>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</si>
  <si>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</si>
  <si>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</si>
  <si>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</si>
  <si>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</si>
  <si>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</si>
  <si>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</si>
  <si>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</si>
  <si>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</si>
  <si>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</si>
  <si>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</si>
  <si>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</si>
  <si>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</si>
  <si>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</si>
  <si>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</si>
  <si>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</si>
  <si>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</si>
  <si>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</si>
  <si>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</si>
  <si>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</si>
  <si>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</si>
  <si>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</si>
  <si>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</si>
  <si>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</si>
  <si>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</si>
  <si>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</si>
  <si>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</si>
  <si>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</si>
  <si>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</si>
  <si>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</si>
  <si>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</si>
  <si>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</si>
  <si>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</si>
  <si>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</si>
  <si>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</si>
  <si>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</si>
  <si>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</si>
  <si>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</si>
  <si>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</si>
  <si>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</si>
  <si>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</si>
  <si>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</si>
  <si>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</si>
  <si>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</si>
  <si>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</si>
  <si>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</si>
  <si>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</si>
  <si>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</si>
  <si>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</si>
  <si>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</si>
  <si>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</si>
  <si>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</si>
  <si>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</si>
  <si>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</si>
  <si>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</si>
  <si>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</si>
  <si>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</si>
  <si>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</si>
  <si>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</si>
  <si>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</si>
  <si>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</si>
  <si>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</si>
  <si>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</si>
  <si>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</si>
  <si>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</si>
  <si>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</si>
  <si>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</si>
  <si>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</si>
  <si>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</si>
  <si>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</si>
  <si>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</si>
  <si>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</si>
  <si>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</si>
  <si>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</si>
  <si>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</si>
  <si>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</si>
  <si>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</si>
  <si>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</si>
  <si>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</si>
  <si>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</si>
  <si>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</si>
  <si>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</si>
  <si>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</si>
  <si>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</si>
  <si>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</si>
  <si>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</si>
  <si>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</si>
  <si>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</si>
  <si>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</si>
  <si>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</si>
  <si>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</si>
  <si>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</si>
  <si>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</si>
  <si>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</si>
  <si>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</si>
  <si>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</si>
  <si>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</si>
  <si>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</si>
  <si>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</si>
  <si>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</si>
  <si>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</si>
  <si>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</si>
  <si>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</si>
  <si>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</si>
  <si>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</si>
  <si>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</si>
  <si>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</si>
  <si>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</si>
  <si>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</si>
  <si>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</si>
  <si>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</si>
  <si>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</si>
  <si>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</si>
  <si>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</si>
  <si>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</si>
  <si>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</si>
  <si>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</si>
  <si>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</si>
  <si>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</si>
  <si>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</si>
  <si>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</si>
  <si>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</si>
  <si>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</si>
  <si>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</si>
  <si>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Saudi Arabia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</si>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</sst>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29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b/>
      <sz val="10"/>
      <color rgb="FFFF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7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9" fillId="10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36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0" fillId="3" borderId="0" xfId="0" applyFill="1"/>
    <xf numFmtId="0" fontId="0" fillId="3" borderId="0" xfId="51" applyFill="1"/>
    <xf numFmtId="0" fontId="0" fillId="3" borderId="0" xfId="0" applyFont="1" applyFill="1" applyAlignment="1"/>
    <xf numFmtId="0" fontId="0" fillId="4" borderId="0" xfId="0" applyFill="1"/>
    <xf numFmtId="0" fontId="3" fillId="3" borderId="0" xfId="0" applyFont="1" applyFill="1" applyBorder="1" applyAlignment="1"/>
    <xf numFmtId="0" fontId="4" fillId="3" borderId="0" xfId="51" applyFont="1" applyFill="1"/>
    <xf numFmtId="0" fontId="4" fillId="2" borderId="0" xfId="0" applyFont="1" applyFill="1" applyAlignment="1"/>
    <xf numFmtId="0" fontId="0" fillId="5" borderId="0" xfId="0" applyFont="1" applyFill="1" applyAlignment="1"/>
    <xf numFmtId="0" fontId="0" fillId="0" borderId="0" xfId="0" applyFont="1" applyFill="1" applyBorder="1" applyAlignment="1"/>
    <xf numFmtId="0" fontId="0" fillId="0" borderId="0" xfId="51" applyFill="1" applyBorder="1"/>
    <xf numFmtId="0" fontId="0" fillId="6" borderId="1" xfId="51" applyFont="1" applyFill="1" applyBorder="1"/>
    <xf numFmtId="179" fontId="0" fillId="6" borderId="1" xfId="51" applyNumberFormat="1" applyFont="1" applyFill="1" applyBorder="1"/>
    <xf numFmtId="0" fontId="0" fillId="6" borderId="2" xfId="51" applyFont="1" applyFill="1" applyBorder="1"/>
    <xf numFmtId="0" fontId="5" fillId="2" borderId="0" xfId="0" applyFont="1" applyFill="1" applyAlignment="1"/>
    <xf numFmtId="0" fontId="6" fillId="2" borderId="0" xfId="0" applyFont="1" applyFill="1" applyAlignment="1"/>
    <xf numFmtId="0" fontId="0" fillId="2" borderId="1" xfId="51" applyFill="1" applyBorder="1"/>
    <xf numFmtId="0" fontId="0" fillId="2" borderId="1" xfId="0" applyFont="1" applyFill="1" applyBorder="1" applyAlignment="1"/>
    <xf numFmtId="0" fontId="0" fillId="0" borderId="0" xfId="51" applyFill="1"/>
    <xf numFmtId="0" fontId="0" fillId="0" borderId="1" xfId="51" applyFill="1" applyBorder="1"/>
    <xf numFmtId="0" fontId="0" fillId="0" borderId="0" xfId="0" applyFont="1" applyFill="1" applyAlignment="1"/>
    <xf numFmtId="0" fontId="0" fillId="0" borderId="0" xfId="0" applyFill="1"/>
    <xf numFmtId="0" fontId="3" fillId="0" borderId="0" xfId="0" applyFont="1" applyFill="1" applyBorder="1" applyAlignment="1"/>
    <xf numFmtId="0" fontId="4" fillId="0" borderId="0" xfId="51" applyFont="1" applyFill="1"/>
    <xf numFmtId="0" fontId="0" fillId="0" borderId="1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35" customWidth="1"/>
    <col min="2" max="2" width="8.85454545454546" style="35" customWidth="1"/>
    <col min="3" max="3" width="4.70909090909091" style="35" customWidth="1"/>
    <col min="4" max="4" width="8.85454545454546" style="35" customWidth="1"/>
    <col min="5" max="5" width="4.42727272727273" style="35" customWidth="1"/>
    <col min="6" max="6" width="4.28181818181818" style="35" customWidth="1"/>
    <col min="7" max="7" width="4.42727272727273" style="35" customWidth="1"/>
    <col min="8" max="8" width="4.57272727272727" style="35" customWidth="1"/>
    <col min="9" max="9" width="4" style="35" customWidth="1"/>
    <col min="10" max="10" width="4.42727272727273" style="35" customWidth="1"/>
    <col min="11" max="11" width="4.57272727272727" style="35" customWidth="1"/>
    <col min="12" max="12" width="4.42727272727273" style="35" customWidth="1"/>
    <col min="13" max="13" width="4" style="35" customWidth="1"/>
    <col min="14" max="14" width="4.28181818181818" style="35" customWidth="1"/>
    <col min="15" max="16" width="4.42727272727273" style="35" customWidth="1"/>
    <col min="17" max="18" width="4.57272727272727" style="35" customWidth="1"/>
    <col min="19" max="19" width="4.42727272727273" style="35" customWidth="1"/>
    <col min="20" max="20" width="5" style="35" customWidth="1"/>
    <col min="21" max="21" width="11.7090909090909" style="35" customWidth="1"/>
    <col min="22" max="22" width="10.7090909090909" style="35" customWidth="1"/>
    <col min="23" max="23" width="13.1363636363636" style="35" customWidth="1"/>
    <col min="24" max="259" width="11.4272727272727" style="35" customWidth="1"/>
    <col min="260" max="16384" width="9.13636363636364" style="35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35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35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35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35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35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B124"/>
  <sheetViews>
    <sheetView tabSelected="1" zoomScale="43" zoomScaleNormal="43" topLeftCell="CI11" workbookViewId="0">
      <selection activeCell="DA59" sqref="DA59"/>
    </sheetView>
  </sheetViews>
  <sheetFormatPr defaultColWidth="9" defaultRowHeight="12.5"/>
  <cols>
    <col min="2" max="2" width="21.3727272727273" customWidth="1"/>
    <col min="3" max="3" width="12.7272727272727" customWidth="1"/>
    <col min="4" max="5" width="22.0909090909091" customWidth="1"/>
    <col min="6" max="6" width="12" customWidth="1"/>
    <col min="7" max="7" width="13" customWidth="1"/>
    <col min="8" max="9" width="7.13636363636364" customWidth="1"/>
    <col min="10" max="10" width="10.6363636363636" customWidth="1"/>
    <col min="11" max="11" width="11.2818181818182" customWidth="1"/>
    <col min="12" max="12" width="15.5454545454545" customWidth="1"/>
    <col min="13" max="18" width="7.13636363636364" customWidth="1"/>
    <col min="19" max="19" width="12.7272727272727" customWidth="1"/>
    <col min="20" max="20" width="8.63636363636364" customWidth="1"/>
    <col min="21" max="21" width="7.81818181818182" customWidth="1"/>
    <col min="22" max="24" width="7.13636363636364" customWidth="1"/>
    <col min="25" max="25" width="9.54545454545454" customWidth="1"/>
    <col min="26" max="26" width="17.9090909090909" customWidth="1"/>
    <col min="27" max="27" width="9.90909090909091" customWidth="1"/>
    <col min="28" max="33" width="7.13636363636364" customWidth="1"/>
    <col min="34" max="37" width="6" customWidth="1"/>
    <col min="38" max="39" width="15.5454545454545" customWidth="1"/>
    <col min="40" max="40" width="22.6363636363636" customWidth="1"/>
    <col min="41" max="41" width="13.6363636363636" customWidth="1"/>
    <col min="42" max="43" width="6" customWidth="1"/>
    <col min="44" max="44" width="8.45454545454546" customWidth="1"/>
    <col min="45" max="45" width="10.3636363636364" customWidth="1"/>
    <col min="46" max="49" width="6" customWidth="1"/>
    <col min="50" max="50" width="12.2818181818182" customWidth="1"/>
    <col min="51" max="51" width="13.6363636363636" customWidth="1"/>
  </cols>
  <sheetData>
    <row r="2" spans="2:11">
      <c r="B2" s="5" t="s">
        <v>39</v>
      </c>
      <c r="C2" s="5"/>
      <c r="D2" s="5"/>
      <c r="E2" s="5"/>
      <c r="K2" t="s">
        <v>40</v>
      </c>
    </row>
    <row r="3" spans="2:18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36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36" t="s">
        <v>92</v>
      </c>
      <c r="C18">
        <v>0.2</v>
      </c>
      <c r="D18">
        <v>3</v>
      </c>
      <c r="E18" s="36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37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36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U60" s="9"/>
      <c r="V60" s="9"/>
      <c r="W60" s="9"/>
      <c r="X60" s="9"/>
      <c r="Y60" s="9"/>
      <c r="Z60" s="9"/>
    </row>
    <row r="61" spans="2:26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U61" s="9"/>
      <c r="V61" s="9"/>
      <c r="W61" s="9"/>
      <c r="X61" s="9"/>
      <c r="Y61" s="9"/>
      <c r="Z61" s="9"/>
    </row>
    <row r="62" spans="2:26">
      <c r="B62" s="9"/>
      <c r="C62" s="9"/>
      <c r="D62" s="9"/>
      <c r="E62" s="9"/>
      <c r="F62" s="9"/>
      <c r="G62" s="9"/>
      <c r="H62" s="10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3:53">
      <c r="C63" s="9"/>
      <c r="D63" s="9"/>
      <c r="E63" s="9"/>
      <c r="F63" s="9"/>
      <c r="G63" s="9"/>
      <c r="H63" s="10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BA63" s="2"/>
    </row>
    <row r="65" s="1" customFormat="1" spans="1:106">
      <c r="A65" s="2"/>
      <c r="B65" s="11" t="s">
        <v>108</v>
      </c>
      <c r="C65" s="12"/>
      <c r="D65" s="13"/>
      <c r="E65" s="13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26"/>
      <c r="CP65" s="26"/>
      <c r="CR65" s="26"/>
      <c r="CS65" s="26"/>
      <c r="CT65" s="26"/>
      <c r="CU65" s="26"/>
      <c r="CW65" s="28"/>
      <c r="CX65" s="29" t="s">
        <v>73</v>
      </c>
      <c r="CY65" s="28"/>
      <c r="CZ65" s="28"/>
      <c r="DA65" s="28"/>
      <c r="DB65" s="28"/>
    </row>
    <row r="66" s="2" customFormat="1" spans="2:106">
      <c r="B66" s="13" t="s">
        <v>56</v>
      </c>
      <c r="C66" s="13" t="s">
        <v>60</v>
      </c>
      <c r="D66" s="11" t="s">
        <v>45</v>
      </c>
      <c r="E66" s="14" t="s">
        <v>59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130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CQ66" s="27"/>
      <c r="CR66" s="27"/>
      <c r="CT66" s="27"/>
      <c r="CU66" s="27"/>
      <c r="CW66" s="30" t="s">
        <v>56</v>
      </c>
      <c r="CX66" s="30" t="s">
        <v>60</v>
      </c>
      <c r="CY66" s="31" t="s">
        <v>45</v>
      </c>
      <c r="CZ66" s="31" t="s">
        <v>59</v>
      </c>
      <c r="DA66" s="34" t="s">
        <v>79</v>
      </c>
      <c r="DB66" s="34" t="s">
        <v>44</v>
      </c>
    </row>
    <row r="67" s="2" customFormat="1" ht="14.5" spans="2:106">
      <c r="B67" s="15" t="s">
        <v>131</v>
      </c>
      <c r="C67" s="13" t="s">
        <v>68</v>
      </c>
      <c r="D67" s="12" t="s">
        <v>132</v>
      </c>
      <c r="E67" s="12" t="s">
        <v>133</v>
      </c>
      <c r="F67" s="2">
        <f t="shared" ref="F67:L67" si="2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ref="N67:AM67" si="3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0</v>
      </c>
      <c r="Y67" s="2">
        <f t="shared" si="3"/>
        <v>12250</v>
      </c>
      <c r="Z67" s="2">
        <f t="shared" si="3"/>
        <v>0</v>
      </c>
      <c r="AA67" s="2">
        <f t="shared" si="3"/>
        <v>1930</v>
      </c>
      <c r="AB67" s="2">
        <f t="shared" si="3"/>
        <v>0</v>
      </c>
      <c r="AC67" s="2">
        <f t="shared" si="3"/>
        <v>0</v>
      </c>
      <c r="AD67" s="2">
        <f t="shared" si="3"/>
        <v>3300</v>
      </c>
      <c r="AE67" s="2">
        <f t="shared" si="3"/>
        <v>0</v>
      </c>
      <c r="AF67" s="2">
        <f t="shared" si="3"/>
        <v>0</v>
      </c>
      <c r="AG67" s="2">
        <f t="shared" si="3"/>
        <v>0</v>
      </c>
      <c r="AH67" s="2">
        <f t="shared" si="3"/>
        <v>60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2">
        <f t="shared" si="3"/>
        <v>0</v>
      </c>
      <c r="CQ67" s="27"/>
      <c r="CR67" s="27"/>
      <c r="CT67" s="27"/>
      <c r="CU67" s="27"/>
      <c r="CW67" s="32" t="s">
        <v>131</v>
      </c>
      <c r="CX67" s="30" t="s">
        <v>68</v>
      </c>
      <c r="CY67" s="28" t="s">
        <v>132</v>
      </c>
      <c r="CZ67" s="28" t="s">
        <v>133</v>
      </c>
      <c r="DA67" s="34">
        <v>0</v>
      </c>
      <c r="DB67" s="34">
        <v>5</v>
      </c>
    </row>
    <row r="68" s="2" customFormat="1" ht="14.5" spans="2:106">
      <c r="B68" s="15" t="s">
        <v>131</v>
      </c>
      <c r="C68" s="13" t="s">
        <v>68</v>
      </c>
      <c r="D68" s="12" t="s">
        <v>132</v>
      </c>
      <c r="E68" s="12" t="s">
        <v>134</v>
      </c>
      <c r="F68" s="2">
        <f t="shared" ref="F68:M68" si="4">D78/1000</f>
        <v>0</v>
      </c>
      <c r="G68" s="2">
        <f t="shared" si="4"/>
        <v>0</v>
      </c>
      <c r="H68" s="2">
        <f t="shared" si="4"/>
        <v>21000</v>
      </c>
      <c r="I68" s="2">
        <f t="shared" si="4"/>
        <v>0</v>
      </c>
      <c r="J68" s="2">
        <f t="shared" si="4"/>
        <v>0</v>
      </c>
      <c r="K68" s="2">
        <f t="shared" si="4"/>
        <v>0</v>
      </c>
      <c r="L68" s="2">
        <f t="shared" si="4"/>
        <v>16000</v>
      </c>
      <c r="M68" s="2">
        <f t="shared" si="4"/>
        <v>2100</v>
      </c>
      <c r="N68" s="2">
        <f t="shared" ref="N68:AM68" si="5">L78/1000</f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0</v>
      </c>
      <c r="Y68" s="2">
        <f t="shared" si="5"/>
        <v>16000</v>
      </c>
      <c r="Z68" s="2">
        <f t="shared" si="5"/>
        <v>0</v>
      </c>
      <c r="AA68" s="2">
        <f t="shared" si="5"/>
        <v>2570</v>
      </c>
      <c r="AB68" s="2">
        <f t="shared" si="5"/>
        <v>0</v>
      </c>
      <c r="AC68" s="2">
        <f t="shared" si="5"/>
        <v>0</v>
      </c>
      <c r="AD68" s="2">
        <f t="shared" si="5"/>
        <v>52900</v>
      </c>
      <c r="AE68" s="2">
        <f t="shared" si="5"/>
        <v>7500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CQ68" s="27"/>
      <c r="CR68" s="27"/>
      <c r="CT68" s="27"/>
      <c r="CU68" s="27"/>
      <c r="CW68" s="32" t="s">
        <v>131</v>
      </c>
      <c r="CX68" s="30" t="s">
        <v>68</v>
      </c>
      <c r="CY68" s="28" t="s">
        <v>132</v>
      </c>
      <c r="CZ68" s="28" t="s">
        <v>134</v>
      </c>
      <c r="DA68" s="34">
        <v>0</v>
      </c>
      <c r="DB68" s="34">
        <v>5</v>
      </c>
    </row>
    <row r="69" s="2" customFormat="1" ht="14.5" spans="2:106">
      <c r="B69" s="15" t="s">
        <v>131</v>
      </c>
      <c r="C69" s="13" t="s">
        <v>68</v>
      </c>
      <c r="D69" s="12" t="s">
        <v>132</v>
      </c>
      <c r="E69" s="12" t="s">
        <v>135</v>
      </c>
      <c r="F69" s="2">
        <f t="shared" ref="F69:M69" si="6">D79/1000</f>
        <v>13</v>
      </c>
      <c r="G69" s="2">
        <f t="shared" si="6"/>
        <v>4100</v>
      </c>
      <c r="H69" s="2">
        <f t="shared" si="6"/>
        <v>1500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0</v>
      </c>
      <c r="M69" s="2">
        <f t="shared" si="6"/>
        <v>140</v>
      </c>
      <c r="N69" s="2">
        <f t="shared" ref="N69:AM69" si="7">L79/1000</f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0</v>
      </c>
      <c r="Y69" s="2">
        <f t="shared" si="7"/>
        <v>500</v>
      </c>
      <c r="Z69" s="2">
        <f t="shared" si="7"/>
        <v>36</v>
      </c>
      <c r="AA69" s="2">
        <f t="shared" si="7"/>
        <v>289</v>
      </c>
      <c r="AB69" s="2">
        <f t="shared" si="7"/>
        <v>0</v>
      </c>
      <c r="AC69" s="2">
        <f t="shared" si="7"/>
        <v>0</v>
      </c>
      <c r="AD69" s="2">
        <f t="shared" si="7"/>
        <v>1517</v>
      </c>
      <c r="AE69" s="2">
        <f t="shared" si="7"/>
        <v>250</v>
      </c>
      <c r="AF69" s="2">
        <f t="shared" si="7"/>
        <v>0</v>
      </c>
      <c r="AG69" s="2">
        <f t="shared" si="7"/>
        <v>0</v>
      </c>
      <c r="AH69" s="2">
        <f t="shared" si="7"/>
        <v>0</v>
      </c>
      <c r="AI69" s="2">
        <f t="shared" si="7"/>
        <v>0</v>
      </c>
      <c r="AJ69" s="2">
        <f t="shared" si="7"/>
        <v>0</v>
      </c>
      <c r="AK69" s="2">
        <f t="shared" si="7"/>
        <v>36</v>
      </c>
      <c r="AL69" s="2">
        <f t="shared" si="7"/>
        <v>0</v>
      </c>
      <c r="AM69" s="2">
        <f t="shared" si="7"/>
        <v>0</v>
      </c>
      <c r="CQ69" s="27"/>
      <c r="CR69" s="27"/>
      <c r="CT69" s="27"/>
      <c r="CU69" s="27"/>
      <c r="CW69" s="32" t="s">
        <v>131</v>
      </c>
      <c r="CX69" s="30" t="s">
        <v>68</v>
      </c>
      <c r="CY69" s="28" t="s">
        <v>132</v>
      </c>
      <c r="CZ69" s="28" t="s">
        <v>135</v>
      </c>
      <c r="DA69" s="34">
        <v>0</v>
      </c>
      <c r="DB69" s="34">
        <v>5</v>
      </c>
    </row>
    <row r="70" s="2" customFormat="1" ht="14.5" spans="2:106">
      <c r="B70" s="15" t="s">
        <v>131</v>
      </c>
      <c r="C70" s="13" t="s">
        <v>68</v>
      </c>
      <c r="D70" s="12" t="s">
        <v>132</v>
      </c>
      <c r="E70" s="16" t="s">
        <v>136</v>
      </c>
      <c r="F70" s="17">
        <f t="shared" ref="F70:M70" si="8">D80/1000</f>
        <v>0</v>
      </c>
      <c r="G70" s="17">
        <f t="shared" si="8"/>
        <v>74000</v>
      </c>
      <c r="H70" s="17">
        <f t="shared" si="8"/>
        <v>270000</v>
      </c>
      <c r="I70" s="17">
        <f t="shared" si="8"/>
        <v>0</v>
      </c>
      <c r="J70" s="17">
        <f t="shared" si="8"/>
        <v>0</v>
      </c>
      <c r="K70" s="17">
        <f t="shared" si="8"/>
        <v>0</v>
      </c>
      <c r="L70" s="17">
        <f t="shared" si="8"/>
        <v>270000</v>
      </c>
      <c r="M70" s="17">
        <f t="shared" si="8"/>
        <v>280000</v>
      </c>
      <c r="N70" s="17">
        <f t="shared" ref="N70:AM70" si="9">L80/1000</f>
        <v>0</v>
      </c>
      <c r="O70" s="17">
        <f t="shared" si="9"/>
        <v>0</v>
      </c>
      <c r="P70" s="17">
        <f t="shared" si="9"/>
        <v>0</v>
      </c>
      <c r="Q70" s="17">
        <f t="shared" si="9"/>
        <v>0</v>
      </c>
      <c r="R70" s="17">
        <f t="shared" si="9"/>
        <v>0</v>
      </c>
      <c r="S70" s="17">
        <f t="shared" si="9"/>
        <v>0</v>
      </c>
      <c r="T70" s="17">
        <f t="shared" si="9"/>
        <v>0</v>
      </c>
      <c r="U70" s="17">
        <f t="shared" si="9"/>
        <v>34000</v>
      </c>
      <c r="V70" s="17">
        <f t="shared" si="9"/>
        <v>0</v>
      </c>
      <c r="W70" s="17">
        <f t="shared" si="9"/>
        <v>0</v>
      </c>
      <c r="X70" s="17">
        <f t="shared" si="9"/>
        <v>0</v>
      </c>
      <c r="Y70" s="17">
        <f t="shared" si="9"/>
        <v>275000</v>
      </c>
      <c r="Z70" s="17">
        <f t="shared" si="9"/>
        <v>0</v>
      </c>
      <c r="AA70" s="25">
        <v>100</v>
      </c>
      <c r="AB70" s="2">
        <f t="shared" si="9"/>
        <v>0</v>
      </c>
      <c r="AC70" s="2">
        <f t="shared" si="9"/>
        <v>0</v>
      </c>
      <c r="AD70" s="2">
        <f t="shared" si="9"/>
        <v>5000</v>
      </c>
      <c r="AE70" s="2">
        <f t="shared" si="9"/>
        <v>0</v>
      </c>
      <c r="AF70" s="2">
        <f t="shared" si="9"/>
        <v>0</v>
      </c>
      <c r="AG70" s="2">
        <f t="shared" si="9"/>
        <v>640000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0</v>
      </c>
      <c r="AM70" s="2">
        <f t="shared" si="9"/>
        <v>140000</v>
      </c>
      <c r="CQ70" s="27"/>
      <c r="CR70" s="27"/>
      <c r="CT70" s="27"/>
      <c r="CU70" s="27"/>
      <c r="CW70" s="32" t="s">
        <v>131</v>
      </c>
      <c r="CX70" s="30" t="s">
        <v>68</v>
      </c>
      <c r="CY70" s="28" t="s">
        <v>132</v>
      </c>
      <c r="CZ70" s="33" t="s">
        <v>136</v>
      </c>
      <c r="DA70" s="34">
        <v>0</v>
      </c>
      <c r="DB70" s="34">
        <v>5</v>
      </c>
    </row>
    <row r="71" s="2" customFormat="1" ht="14.5" spans="2:106">
      <c r="B71" s="15" t="s">
        <v>131</v>
      </c>
      <c r="C71" s="13" t="s">
        <v>68</v>
      </c>
      <c r="D71" s="12" t="s">
        <v>132</v>
      </c>
      <c r="E71" s="12" t="s">
        <v>137</v>
      </c>
      <c r="F71" s="2">
        <f t="shared" ref="F71:M71" si="10">D81/1000</f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4">
        <v>100</v>
      </c>
      <c r="N71" s="2">
        <f t="shared" ref="N71:AM71" si="11">L81/1000</f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4">
        <v>100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2">
        <f t="shared" si="11"/>
        <v>0</v>
      </c>
      <c r="CQ71" s="27"/>
      <c r="CR71" s="27"/>
      <c r="CT71" s="27"/>
      <c r="CU71" s="27"/>
      <c r="CW71" s="32" t="s">
        <v>131</v>
      </c>
      <c r="CX71" s="30" t="s">
        <v>68</v>
      </c>
      <c r="CY71" s="28" t="s">
        <v>132</v>
      </c>
      <c r="CZ71" s="28" t="s">
        <v>137</v>
      </c>
      <c r="DA71" s="34">
        <v>0</v>
      </c>
      <c r="DB71" s="34">
        <v>5</v>
      </c>
    </row>
    <row r="72" s="2" customFormat="1" ht="14.5" spans="2:106">
      <c r="B72" s="15" t="s">
        <v>131</v>
      </c>
      <c r="C72" s="13" t="s">
        <v>68</v>
      </c>
      <c r="D72" s="12" t="s">
        <v>132</v>
      </c>
      <c r="E72" s="12" t="s">
        <v>138</v>
      </c>
      <c r="F72" s="2">
        <f t="shared" ref="F72:M72" si="12">D82/1000</f>
        <v>0</v>
      </c>
      <c r="G72" s="2">
        <f t="shared" si="12"/>
        <v>50000</v>
      </c>
      <c r="H72" s="2">
        <f t="shared" si="12"/>
        <v>97000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0</v>
      </c>
      <c r="M72" s="2">
        <f t="shared" si="12"/>
        <v>27000</v>
      </c>
      <c r="N72" s="2">
        <f t="shared" ref="N72:AM72" si="13">L82/1000</f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0</v>
      </c>
      <c r="Y72" s="2">
        <f t="shared" si="13"/>
        <v>324000</v>
      </c>
      <c r="Z72" s="2">
        <f t="shared" si="13"/>
        <v>0</v>
      </c>
      <c r="AA72" s="2">
        <f t="shared" si="13"/>
        <v>51600</v>
      </c>
      <c r="AB72" s="2">
        <f t="shared" si="13"/>
        <v>0</v>
      </c>
      <c r="AC72" s="2">
        <f t="shared" si="13"/>
        <v>30000</v>
      </c>
      <c r="AD72" s="2">
        <f t="shared" si="13"/>
        <v>244000</v>
      </c>
      <c r="AE72" s="2">
        <f t="shared" si="13"/>
        <v>62000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2">
        <f t="shared" si="13"/>
        <v>0</v>
      </c>
      <c r="CQ72" s="27"/>
      <c r="CR72" s="27"/>
      <c r="CT72" s="27"/>
      <c r="CU72" s="27"/>
      <c r="CW72" s="32" t="s">
        <v>131</v>
      </c>
      <c r="CX72" s="30" t="s">
        <v>68</v>
      </c>
      <c r="CY72" s="28" t="s">
        <v>132</v>
      </c>
      <c r="CZ72" s="28" t="s">
        <v>138</v>
      </c>
      <c r="DA72" s="34">
        <v>0</v>
      </c>
      <c r="DB72" s="34">
        <v>5</v>
      </c>
    </row>
    <row r="73" s="1" customFormat="1" ht="14.5" spans="1:106">
      <c r="A73" s="2"/>
      <c r="B73" s="15" t="s">
        <v>131</v>
      </c>
      <c r="C73" s="13" t="s">
        <v>68</v>
      </c>
      <c r="D73" s="12" t="s">
        <v>132</v>
      </c>
      <c r="E73" s="12" t="s">
        <v>139</v>
      </c>
      <c r="F73" s="2">
        <f t="shared" ref="F73:M73" si="14">D83/1000</f>
        <v>0</v>
      </c>
      <c r="G73" s="2">
        <f t="shared" si="14"/>
        <v>69000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0</v>
      </c>
      <c r="L73" s="2">
        <f t="shared" si="14"/>
        <v>74000</v>
      </c>
      <c r="M73" s="2">
        <f t="shared" si="14"/>
        <v>52000</v>
      </c>
      <c r="N73" s="2">
        <f t="shared" ref="N73:AM73" si="15">L83/1000</f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0</v>
      </c>
      <c r="U73" s="2">
        <f t="shared" si="15"/>
        <v>8000</v>
      </c>
      <c r="V73" s="2">
        <f t="shared" si="15"/>
        <v>0</v>
      </c>
      <c r="W73" s="2">
        <f t="shared" si="15"/>
        <v>0</v>
      </c>
      <c r="X73" s="2">
        <f t="shared" si="15"/>
        <v>0</v>
      </c>
      <c r="Y73" s="2">
        <f t="shared" si="15"/>
        <v>77100</v>
      </c>
      <c r="Z73" s="2">
        <f t="shared" si="15"/>
        <v>90000</v>
      </c>
      <c r="AA73" s="2">
        <f t="shared" si="15"/>
        <v>5700</v>
      </c>
      <c r="AB73" s="2">
        <f t="shared" si="15"/>
        <v>600</v>
      </c>
      <c r="AC73" s="2">
        <f t="shared" si="15"/>
        <v>0</v>
      </c>
      <c r="AD73" s="2">
        <f t="shared" si="15"/>
        <v>12900</v>
      </c>
      <c r="AE73" s="2">
        <f t="shared" si="15"/>
        <v>14000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0</v>
      </c>
      <c r="AK73" s="2">
        <f t="shared" si="15"/>
        <v>90000</v>
      </c>
      <c r="AL73" s="2">
        <f t="shared" si="15"/>
        <v>0</v>
      </c>
      <c r="AM73" s="2">
        <f t="shared" si="15"/>
        <v>0</v>
      </c>
      <c r="AY73" s="2"/>
      <c r="AZ73" s="1"/>
      <c r="BA73" s="1"/>
      <c r="BB73" s="2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Q73" s="26"/>
      <c r="CR73" s="27"/>
      <c r="CT73" s="26"/>
      <c r="CU73" s="26"/>
      <c r="CW73" s="32" t="s">
        <v>131</v>
      </c>
      <c r="CX73" s="30" t="s">
        <v>68</v>
      </c>
      <c r="CY73" s="28" t="s">
        <v>132</v>
      </c>
      <c r="CZ73" s="28" t="s">
        <v>139</v>
      </c>
      <c r="DA73" s="34">
        <v>0</v>
      </c>
      <c r="DB73" s="34">
        <v>5</v>
      </c>
    </row>
    <row r="74" s="3" customFormat="1"/>
    <row r="75" s="3" customFormat="1" spans="5:5">
      <c r="E75" s="3" t="s">
        <v>140</v>
      </c>
    </row>
    <row r="76" s="3" customFormat="1"/>
    <row r="77" s="3" customFormat="1" spans="4:37">
      <c r="D77" s="18">
        <v>0</v>
      </c>
      <c r="E77" s="18">
        <v>310000</v>
      </c>
      <c r="F77" s="18">
        <v>6200000</v>
      </c>
      <c r="G77" s="18">
        <v>0</v>
      </c>
      <c r="H77" s="18"/>
      <c r="I77" s="18"/>
      <c r="J77" s="18">
        <v>250000</v>
      </c>
      <c r="K77" s="18">
        <v>2000000</v>
      </c>
      <c r="L77" s="18"/>
      <c r="M77" s="18">
        <v>0</v>
      </c>
      <c r="N77" s="18">
        <v>0</v>
      </c>
      <c r="O77" s="18">
        <v>0</v>
      </c>
      <c r="P77" s="18">
        <v>0</v>
      </c>
      <c r="Q77" s="18"/>
      <c r="R77" s="18"/>
      <c r="S77" s="18">
        <v>0</v>
      </c>
      <c r="T77" s="18"/>
      <c r="U77" s="18"/>
      <c r="V77" s="18">
        <v>0</v>
      </c>
      <c r="W77" s="18">
        <v>12250000</v>
      </c>
      <c r="X77" s="18">
        <v>0</v>
      </c>
      <c r="Y77" s="18">
        <v>1930000</v>
      </c>
      <c r="Z77" s="18">
        <v>0</v>
      </c>
      <c r="AA77" s="18">
        <v>0</v>
      </c>
      <c r="AB77" s="18">
        <v>3300000</v>
      </c>
      <c r="AC77" s="18">
        <v>0</v>
      </c>
      <c r="AD77" s="18">
        <v>0</v>
      </c>
      <c r="AE77" s="18">
        <v>0</v>
      </c>
      <c r="AF77" s="18">
        <v>60000</v>
      </c>
      <c r="AG77" s="18">
        <v>0</v>
      </c>
      <c r="AH77" s="18"/>
      <c r="AI77" s="18">
        <v>0</v>
      </c>
      <c r="AJ77" s="18">
        <v>0</v>
      </c>
      <c r="AK77" s="18">
        <v>0</v>
      </c>
    </row>
    <row r="78" s="3" customFormat="1" spans="4:37">
      <c r="D78" s="18">
        <v>0</v>
      </c>
      <c r="E78" s="18">
        <v>0</v>
      </c>
      <c r="F78" s="18">
        <v>21000000</v>
      </c>
      <c r="G78" s="18">
        <v>0</v>
      </c>
      <c r="H78" s="18"/>
      <c r="I78" s="18"/>
      <c r="J78" s="18">
        <v>16000000</v>
      </c>
      <c r="K78" s="18">
        <v>2100000</v>
      </c>
      <c r="L78" s="18"/>
      <c r="M78" s="18">
        <v>0</v>
      </c>
      <c r="N78" s="18">
        <v>0</v>
      </c>
      <c r="O78" s="18">
        <v>0</v>
      </c>
      <c r="P78" s="18">
        <v>0</v>
      </c>
      <c r="Q78" s="18"/>
      <c r="R78" s="18"/>
      <c r="S78" s="18">
        <v>0</v>
      </c>
      <c r="T78" s="18"/>
      <c r="U78" s="18"/>
      <c r="V78" s="18">
        <v>0</v>
      </c>
      <c r="W78" s="18">
        <v>16000000</v>
      </c>
      <c r="X78" s="18">
        <v>0</v>
      </c>
      <c r="Y78" s="18">
        <v>2570000</v>
      </c>
      <c r="Z78" s="18">
        <v>0</v>
      </c>
      <c r="AA78" s="18">
        <v>0</v>
      </c>
      <c r="AB78" s="18">
        <v>52900000</v>
      </c>
      <c r="AC78" s="18">
        <v>7500000</v>
      </c>
      <c r="AD78" s="18">
        <v>0</v>
      </c>
      <c r="AE78" s="18">
        <v>0</v>
      </c>
      <c r="AF78" s="18">
        <v>0</v>
      </c>
      <c r="AG78" s="18">
        <v>0</v>
      </c>
      <c r="AH78" s="18"/>
      <c r="AI78" s="18">
        <v>0</v>
      </c>
      <c r="AJ78" s="18">
        <v>0</v>
      </c>
      <c r="AK78" s="18">
        <v>0</v>
      </c>
    </row>
    <row r="79" s="3" customFormat="1" spans="4:37">
      <c r="D79" s="18">
        <v>13000</v>
      </c>
      <c r="E79" s="18">
        <v>4100000</v>
      </c>
      <c r="F79" s="18">
        <v>1500000</v>
      </c>
      <c r="G79" s="18">
        <v>0</v>
      </c>
      <c r="H79" s="18"/>
      <c r="I79" s="18"/>
      <c r="J79" s="18">
        <v>0</v>
      </c>
      <c r="K79" s="18">
        <v>140000</v>
      </c>
      <c r="L79" s="18"/>
      <c r="M79" s="18">
        <v>0</v>
      </c>
      <c r="N79" s="18">
        <v>0</v>
      </c>
      <c r="O79" s="18">
        <v>0</v>
      </c>
      <c r="P79" s="18">
        <v>0</v>
      </c>
      <c r="Q79" s="18"/>
      <c r="R79" s="18"/>
      <c r="S79" s="18">
        <v>0</v>
      </c>
      <c r="T79" s="18"/>
      <c r="U79" s="18"/>
      <c r="V79" s="18">
        <v>0</v>
      </c>
      <c r="W79" s="18">
        <v>500000</v>
      </c>
      <c r="X79" s="18">
        <v>36000</v>
      </c>
      <c r="Y79" s="18">
        <v>289000</v>
      </c>
      <c r="Z79" s="18">
        <v>0</v>
      </c>
      <c r="AA79" s="18">
        <v>0</v>
      </c>
      <c r="AB79" s="18">
        <v>1517000</v>
      </c>
      <c r="AC79" s="18">
        <v>250000</v>
      </c>
      <c r="AD79" s="18">
        <v>0</v>
      </c>
      <c r="AE79" s="18">
        <v>0</v>
      </c>
      <c r="AF79" s="18">
        <v>0</v>
      </c>
      <c r="AG79" s="18">
        <v>0</v>
      </c>
      <c r="AH79" s="18"/>
      <c r="AI79" s="18">
        <v>36000</v>
      </c>
      <c r="AJ79" s="18">
        <v>0</v>
      </c>
      <c r="AK79" s="18">
        <v>0</v>
      </c>
    </row>
    <row r="80" s="3" customFormat="1" spans="4:37">
      <c r="D80" s="18">
        <v>0</v>
      </c>
      <c r="E80" s="18">
        <v>74000000</v>
      </c>
      <c r="F80" s="18">
        <v>270000000</v>
      </c>
      <c r="G80" s="18">
        <v>0</v>
      </c>
      <c r="H80" s="18"/>
      <c r="I80" s="18"/>
      <c r="J80" s="18">
        <v>270000000</v>
      </c>
      <c r="K80" s="18">
        <v>280000000</v>
      </c>
      <c r="L80" s="18"/>
      <c r="M80" s="18">
        <v>0</v>
      </c>
      <c r="N80" s="18">
        <v>0</v>
      </c>
      <c r="O80" s="18">
        <v>0</v>
      </c>
      <c r="P80" s="18">
        <v>0</v>
      </c>
      <c r="Q80" s="18"/>
      <c r="R80" s="18"/>
      <c r="S80" s="18">
        <v>34000000</v>
      </c>
      <c r="T80" s="18"/>
      <c r="U80" s="18"/>
      <c r="V80" s="18">
        <v>0</v>
      </c>
      <c r="W80" s="18">
        <v>275000000</v>
      </c>
      <c r="X80" s="18">
        <v>0</v>
      </c>
      <c r="Y80" s="18">
        <v>0</v>
      </c>
      <c r="Z80" s="18">
        <v>0</v>
      </c>
      <c r="AA80" s="18">
        <v>0</v>
      </c>
      <c r="AB80" s="18">
        <v>5000000</v>
      </c>
      <c r="AC80" s="18">
        <v>0</v>
      </c>
      <c r="AD80" s="18">
        <v>0</v>
      </c>
      <c r="AE80" s="18">
        <v>640000000</v>
      </c>
      <c r="AF80" s="18">
        <v>0</v>
      </c>
      <c r="AG80" s="18">
        <v>0</v>
      </c>
      <c r="AH80" s="18"/>
      <c r="AI80" s="18">
        <v>0</v>
      </c>
      <c r="AJ80" s="18">
        <v>0</v>
      </c>
      <c r="AK80" s="18">
        <v>140000000</v>
      </c>
    </row>
    <row r="81" s="3" customFormat="1" spans="4:37"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>
        <v>0</v>
      </c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</row>
    <row r="82" s="3" customFormat="1" spans="4:37">
      <c r="D82" s="18">
        <v>0</v>
      </c>
      <c r="E82" s="18">
        <v>50000000</v>
      </c>
      <c r="F82" s="18">
        <v>97000000</v>
      </c>
      <c r="G82" s="18">
        <v>0</v>
      </c>
      <c r="H82" s="18"/>
      <c r="I82" s="18"/>
      <c r="J82" s="18">
        <v>0</v>
      </c>
      <c r="K82" s="18">
        <v>27000000</v>
      </c>
      <c r="L82" s="18"/>
      <c r="M82" s="18">
        <v>0</v>
      </c>
      <c r="N82" s="18">
        <v>0</v>
      </c>
      <c r="O82" s="18">
        <v>0</v>
      </c>
      <c r="P82" s="18">
        <v>0</v>
      </c>
      <c r="Q82" s="18"/>
      <c r="R82" s="18"/>
      <c r="S82" s="18">
        <v>0</v>
      </c>
      <c r="T82" s="18"/>
      <c r="U82" s="18"/>
      <c r="V82" s="18">
        <v>0</v>
      </c>
      <c r="W82" s="18">
        <v>324000000</v>
      </c>
      <c r="X82" s="18">
        <v>0</v>
      </c>
      <c r="Y82" s="18">
        <v>51600000</v>
      </c>
      <c r="Z82" s="18">
        <v>0</v>
      </c>
      <c r="AA82" s="18">
        <v>30000000</v>
      </c>
      <c r="AB82" s="18">
        <v>244000000</v>
      </c>
      <c r="AC82" s="18">
        <v>62000000</v>
      </c>
      <c r="AD82" s="18">
        <v>0</v>
      </c>
      <c r="AE82" s="18">
        <v>0</v>
      </c>
      <c r="AF82" s="18">
        <v>0</v>
      </c>
      <c r="AG82" s="18">
        <v>0</v>
      </c>
      <c r="AH82" s="18"/>
      <c r="AI82" s="18">
        <v>0</v>
      </c>
      <c r="AJ82" s="18">
        <v>0</v>
      </c>
      <c r="AK82" s="18">
        <v>0</v>
      </c>
    </row>
    <row r="83" s="3" customFormat="1" spans="4:37">
      <c r="D83" s="18">
        <v>0</v>
      </c>
      <c r="E83" s="18">
        <v>69000000</v>
      </c>
      <c r="F83" s="18">
        <v>0</v>
      </c>
      <c r="G83" s="18">
        <v>0</v>
      </c>
      <c r="H83" s="18"/>
      <c r="I83" s="18"/>
      <c r="J83" s="18">
        <v>74000000</v>
      </c>
      <c r="K83" s="18">
        <v>52000000</v>
      </c>
      <c r="L83" s="18"/>
      <c r="M83" s="18">
        <v>0</v>
      </c>
      <c r="N83" s="18">
        <v>0</v>
      </c>
      <c r="O83" s="18">
        <v>0</v>
      </c>
      <c r="P83" s="18">
        <v>0</v>
      </c>
      <c r="Q83" s="18"/>
      <c r="R83" s="18"/>
      <c r="S83" s="18">
        <v>8000000</v>
      </c>
      <c r="T83" s="18"/>
      <c r="U83" s="18"/>
      <c r="V83" s="18">
        <v>0</v>
      </c>
      <c r="W83" s="18">
        <v>77100000</v>
      </c>
      <c r="X83" s="18">
        <v>90000000</v>
      </c>
      <c r="Y83" s="18">
        <v>5700000</v>
      </c>
      <c r="Z83" s="18">
        <v>600000</v>
      </c>
      <c r="AA83" s="18">
        <v>0</v>
      </c>
      <c r="AB83" s="18">
        <v>12900000</v>
      </c>
      <c r="AC83" s="18">
        <v>14000000</v>
      </c>
      <c r="AD83" s="18">
        <v>0</v>
      </c>
      <c r="AE83" s="18">
        <v>0</v>
      </c>
      <c r="AF83" s="18">
        <v>0</v>
      </c>
      <c r="AG83" s="18">
        <v>0</v>
      </c>
      <c r="AH83" s="18"/>
      <c r="AI83" s="18">
        <v>90000000</v>
      </c>
      <c r="AJ83" s="18">
        <v>0</v>
      </c>
      <c r="AK83" s="18">
        <v>0</v>
      </c>
    </row>
    <row r="84" s="3" customFormat="1"/>
    <row r="85" spans="2:26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2:26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2:26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2:26">
      <c r="B88" s="9" t="s">
        <v>141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2:26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="4" customFormat="1"/>
    <row r="91" s="4" customFormat="1" spans="5:12">
      <c r="E91" s="19"/>
      <c r="H91" s="20"/>
      <c r="I91" s="20"/>
      <c r="J91" s="20"/>
      <c r="K91" s="20"/>
      <c r="L91" s="20"/>
    </row>
    <row r="92" s="4" customFormat="1" spans="4:12">
      <c r="D92" s="20"/>
      <c r="H92" s="20"/>
      <c r="I92" s="20"/>
      <c r="J92" s="20"/>
      <c r="K92" s="20"/>
      <c r="L92" s="20"/>
    </row>
    <row r="93" s="4" customFormat="1" spans="3:12">
      <c r="C93" s="20"/>
      <c r="D93" s="20"/>
      <c r="F93" s="20"/>
      <c r="H93" s="20"/>
      <c r="I93" s="20"/>
      <c r="J93" s="20"/>
      <c r="K93" s="20"/>
      <c r="L93" s="20"/>
    </row>
    <row r="94" s="4" customFormat="1" spans="3:12">
      <c r="C94" s="20"/>
      <c r="D94" s="20"/>
      <c r="H94" s="20"/>
      <c r="I94" s="20"/>
      <c r="J94" s="20"/>
      <c r="K94" s="20"/>
      <c r="L94" s="20"/>
    </row>
    <row r="95" s="4" customFormat="1" spans="3:12">
      <c r="C95" s="20"/>
      <c r="D95" s="20"/>
      <c r="F95" s="20"/>
      <c r="H95" s="20"/>
      <c r="I95" s="20"/>
      <c r="J95" s="20"/>
      <c r="K95" s="20"/>
      <c r="L95" s="20"/>
    </row>
    <row r="96" s="4" customFormat="1" spans="3:12">
      <c r="C96" s="20"/>
      <c r="D96" s="20"/>
      <c r="H96" s="20"/>
      <c r="I96" s="20"/>
      <c r="J96" s="20"/>
      <c r="K96" s="20"/>
      <c r="L96" s="20"/>
    </row>
    <row r="97" s="4" customFormat="1" spans="3:12">
      <c r="C97" s="20"/>
      <c r="D97" s="20"/>
      <c r="F97" s="20"/>
      <c r="H97" s="20"/>
      <c r="I97" s="20"/>
      <c r="J97" s="20"/>
      <c r="K97" s="20"/>
      <c r="L97" s="20"/>
    </row>
    <row r="98" s="4" customFormat="1" spans="3:12">
      <c r="C98" s="20"/>
      <c r="D98" s="20"/>
      <c r="H98" s="20"/>
      <c r="I98" s="20"/>
      <c r="J98" s="20"/>
      <c r="K98" s="20"/>
      <c r="L98" s="20"/>
    </row>
    <row r="99" s="4" customFormat="1" spans="3:6">
      <c r="C99" s="20"/>
      <c r="F99" s="20"/>
    </row>
    <row r="100" s="4" customFormat="1" spans="3:4">
      <c r="C100" s="20"/>
      <c r="D100" s="20"/>
    </row>
    <row r="101" s="4" customFormat="1" spans="3:7">
      <c r="C101" s="20"/>
      <c r="D101" s="21"/>
      <c r="E101" s="21"/>
      <c r="F101" s="21"/>
      <c r="G101" s="21"/>
    </row>
    <row r="102" s="4" customFormat="1" spans="3:26">
      <c r="C102" s="20"/>
      <c r="D102" t="s">
        <v>73</v>
      </c>
      <c r="M102" s="20"/>
      <c r="N102" t="s">
        <v>73</v>
      </c>
      <c r="Y102" s="20"/>
      <c r="Z102" t="s">
        <v>73</v>
      </c>
    </row>
    <row r="103" s="4" customFormat="1" spans="3:29">
      <c r="C103" s="20" t="s">
        <v>56</v>
      </c>
      <c r="D103" s="21" t="s">
        <v>45</v>
      </c>
      <c r="E103" s="21" t="s">
        <v>44</v>
      </c>
      <c r="F103" s="21" t="s">
        <v>11</v>
      </c>
      <c r="G103" s="21" t="s">
        <v>25</v>
      </c>
      <c r="L103" s="4" t="s">
        <v>79</v>
      </c>
      <c r="M103" s="20" t="s">
        <v>56</v>
      </c>
      <c r="N103" s="21" t="s">
        <v>45</v>
      </c>
      <c r="O103" s="21" t="s">
        <v>44</v>
      </c>
      <c r="P103" s="21" t="s">
        <v>11</v>
      </c>
      <c r="Q103" s="21" t="s">
        <v>25</v>
      </c>
      <c r="X103" s="4" t="s">
        <v>79</v>
      </c>
      <c r="Y103" s="20" t="s">
        <v>56</v>
      </c>
      <c r="Z103" s="21" t="s">
        <v>45</v>
      </c>
      <c r="AA103" s="21" t="s">
        <v>44</v>
      </c>
      <c r="AB103" s="21" t="s">
        <v>11</v>
      </c>
      <c r="AC103" s="21" t="s">
        <v>25</v>
      </c>
    </row>
    <row r="104" s="4" customFormat="1" spans="3:29">
      <c r="C104" s="20" t="s">
        <v>118</v>
      </c>
      <c r="D104" s="21" t="s">
        <v>142</v>
      </c>
      <c r="E104" s="21">
        <v>7.11384396954065</v>
      </c>
      <c r="F104" s="22">
        <v>5.40179852616065</v>
      </c>
      <c r="G104" s="22">
        <v>8.85540744288872</v>
      </c>
      <c r="L104" s="4">
        <v>2050</v>
      </c>
      <c r="M104" s="20" t="s">
        <v>118</v>
      </c>
      <c r="N104" s="21" t="s">
        <v>142</v>
      </c>
      <c r="O104" s="21">
        <f>E104*0.313</f>
        <v>2.22663316246622</v>
      </c>
      <c r="P104" s="21">
        <f>F104*0.313</f>
        <v>1.69076293868828</v>
      </c>
      <c r="Q104" s="21">
        <f>G104*0.313</f>
        <v>2.77174252962417</v>
      </c>
      <c r="X104" s="4">
        <v>0</v>
      </c>
      <c r="Y104" s="20" t="s">
        <v>118</v>
      </c>
      <c r="Z104" s="21" t="s">
        <v>142</v>
      </c>
      <c r="AA104" s="21">
        <v>5</v>
      </c>
      <c r="AB104" s="21">
        <v>5</v>
      </c>
      <c r="AC104" s="21">
        <v>5</v>
      </c>
    </row>
    <row r="105" s="4" customFormat="1" spans="3:29">
      <c r="C105" s="20" t="s">
        <v>118</v>
      </c>
      <c r="D105" s="21" t="s">
        <v>143</v>
      </c>
      <c r="E105" s="21">
        <v>7.11384396954065</v>
      </c>
      <c r="F105" s="22">
        <v>5.40179852616065</v>
      </c>
      <c r="G105" s="22">
        <v>8.85540744288872</v>
      </c>
      <c r="L105" s="4">
        <v>2050</v>
      </c>
      <c r="M105" s="20" t="s">
        <v>118</v>
      </c>
      <c r="N105" s="21" t="s">
        <v>143</v>
      </c>
      <c r="O105" s="21">
        <f t="shared" ref="O105:O124" si="16">E105*0.313</f>
        <v>2.22663316246622</v>
      </c>
      <c r="P105" s="21">
        <f t="shared" ref="P105:P124" si="17">F105*0.313</f>
        <v>1.69076293868828</v>
      </c>
      <c r="Q105" s="21">
        <f t="shared" ref="Q105:Q124" si="18">G105*0.313</f>
        <v>2.77174252962417</v>
      </c>
      <c r="X105" s="4">
        <v>0</v>
      </c>
      <c r="Y105" s="20" t="s">
        <v>118</v>
      </c>
      <c r="Z105" s="21" t="s">
        <v>143</v>
      </c>
      <c r="AA105" s="21">
        <v>5</v>
      </c>
      <c r="AB105" s="21">
        <v>5</v>
      </c>
      <c r="AC105" s="21">
        <v>5</v>
      </c>
    </row>
    <row r="106" spans="3:29">
      <c r="C106" s="20" t="s">
        <v>118</v>
      </c>
      <c r="D106" s="21" t="s">
        <v>144</v>
      </c>
      <c r="E106" s="21">
        <v>7.62975445836404</v>
      </c>
      <c r="F106" s="22">
        <v>5.79354797347089</v>
      </c>
      <c r="G106" s="22">
        <v>9.49761967575534</v>
      </c>
      <c r="L106" s="4">
        <v>2050</v>
      </c>
      <c r="M106" s="20" t="s">
        <v>118</v>
      </c>
      <c r="N106" s="21" t="s">
        <v>144</v>
      </c>
      <c r="O106" s="21">
        <f t="shared" si="16"/>
        <v>2.38811314546794</v>
      </c>
      <c r="P106" s="21">
        <f t="shared" si="17"/>
        <v>1.81338051569639</v>
      </c>
      <c r="Q106" s="21">
        <f t="shared" si="18"/>
        <v>2.97275495851142</v>
      </c>
      <c r="X106" s="4">
        <v>0</v>
      </c>
      <c r="Y106" s="20" t="s">
        <v>118</v>
      </c>
      <c r="Z106" s="21" t="s">
        <v>144</v>
      </c>
      <c r="AA106" s="21">
        <v>5</v>
      </c>
      <c r="AB106" s="21">
        <v>5</v>
      </c>
      <c r="AC106" s="21">
        <v>5</v>
      </c>
    </row>
    <row r="107" spans="3:29">
      <c r="C107" s="20" t="s">
        <v>118</v>
      </c>
      <c r="D107" s="21" t="s">
        <v>145</v>
      </c>
      <c r="E107" s="21">
        <v>7.47097081798084</v>
      </c>
      <c r="F107" s="22">
        <v>5.67297781871776</v>
      </c>
      <c r="G107" s="22">
        <v>9.29996366985999</v>
      </c>
      <c r="L107" s="4">
        <v>2050</v>
      </c>
      <c r="M107" s="20" t="s">
        <v>118</v>
      </c>
      <c r="N107" s="21" t="s">
        <v>145</v>
      </c>
      <c r="O107" s="21">
        <f t="shared" si="16"/>
        <v>2.338413866028</v>
      </c>
      <c r="P107" s="21">
        <f t="shared" si="17"/>
        <v>1.77564205725866</v>
      </c>
      <c r="Q107" s="21">
        <f t="shared" si="18"/>
        <v>2.91088862866618</v>
      </c>
      <c r="X107" s="4">
        <v>0</v>
      </c>
      <c r="Y107" s="20" t="s">
        <v>118</v>
      </c>
      <c r="Z107" s="21" t="s">
        <v>145</v>
      </c>
      <c r="AA107" s="21">
        <v>5</v>
      </c>
      <c r="AB107" s="21">
        <v>5</v>
      </c>
      <c r="AC107" s="21">
        <v>5</v>
      </c>
    </row>
    <row r="108" spans="3:29">
      <c r="C108" s="20" t="s">
        <v>118</v>
      </c>
      <c r="D108" s="21" t="s">
        <v>146</v>
      </c>
      <c r="E108" s="21">
        <v>7.51643520019651</v>
      </c>
      <c r="F108" s="22">
        <v>5.70750058953574</v>
      </c>
      <c r="G108" s="22">
        <v>9.35655836403832</v>
      </c>
      <c r="L108" s="4">
        <v>2050</v>
      </c>
      <c r="M108" s="20" t="s">
        <v>118</v>
      </c>
      <c r="N108" s="21" t="s">
        <v>146</v>
      </c>
      <c r="O108" s="21">
        <f t="shared" si="16"/>
        <v>2.35264421766151</v>
      </c>
      <c r="P108" s="21">
        <f t="shared" si="17"/>
        <v>1.78644768452469</v>
      </c>
      <c r="Q108" s="21">
        <f t="shared" si="18"/>
        <v>2.92860276794399</v>
      </c>
      <c r="X108" s="4">
        <v>0</v>
      </c>
      <c r="Y108" s="20" t="s">
        <v>118</v>
      </c>
      <c r="Z108" s="21" t="s">
        <v>146</v>
      </c>
      <c r="AA108" s="21">
        <v>5</v>
      </c>
      <c r="AB108" s="21">
        <v>5</v>
      </c>
      <c r="AC108" s="21">
        <v>5</v>
      </c>
    </row>
    <row r="109" spans="3:29">
      <c r="C109" s="20" t="s">
        <v>118</v>
      </c>
      <c r="D109" s="21" t="s">
        <v>147</v>
      </c>
      <c r="E109" s="21">
        <v>7.55036263817244</v>
      </c>
      <c r="F109" s="22">
        <v>5.73326293294031</v>
      </c>
      <c r="G109" s="22">
        <v>9.39879167280766</v>
      </c>
      <c r="L109" s="4">
        <v>2050</v>
      </c>
      <c r="M109" s="20" t="s">
        <v>118</v>
      </c>
      <c r="N109" s="21" t="s">
        <v>147</v>
      </c>
      <c r="O109" s="21">
        <f t="shared" si="16"/>
        <v>2.36326350574797</v>
      </c>
      <c r="P109" s="21">
        <f t="shared" si="17"/>
        <v>1.79451129801032</v>
      </c>
      <c r="Q109" s="21">
        <f t="shared" si="18"/>
        <v>2.9418217935888</v>
      </c>
      <c r="X109" s="4">
        <v>0</v>
      </c>
      <c r="Y109" s="20" t="s">
        <v>118</v>
      </c>
      <c r="Z109" s="21" t="s">
        <v>147</v>
      </c>
      <c r="AA109" s="21">
        <v>5</v>
      </c>
      <c r="AB109" s="21">
        <v>5</v>
      </c>
      <c r="AC109" s="21">
        <v>5</v>
      </c>
    </row>
    <row r="110" spans="3:29">
      <c r="C110" s="20" t="s">
        <v>118</v>
      </c>
      <c r="D110" s="21" t="s">
        <v>148</v>
      </c>
      <c r="E110" s="21">
        <v>7.62975445836404</v>
      </c>
      <c r="F110" s="22">
        <v>5.79354797347089</v>
      </c>
      <c r="G110" s="22">
        <v>9.49761967575534</v>
      </c>
      <c r="L110" s="4">
        <v>2050</v>
      </c>
      <c r="M110" s="20" t="s">
        <v>118</v>
      </c>
      <c r="N110" s="21" t="s">
        <v>148</v>
      </c>
      <c r="O110" s="21">
        <f t="shared" si="16"/>
        <v>2.38811314546794</v>
      </c>
      <c r="P110" s="21">
        <f t="shared" si="17"/>
        <v>1.81338051569639</v>
      </c>
      <c r="Q110" s="21">
        <f t="shared" si="18"/>
        <v>2.97275495851142</v>
      </c>
      <c r="X110" s="4">
        <v>0</v>
      </c>
      <c r="Y110" s="20" t="s">
        <v>118</v>
      </c>
      <c r="Z110" s="21" t="s">
        <v>148</v>
      </c>
      <c r="AA110" s="21">
        <v>5</v>
      </c>
      <c r="AB110" s="21">
        <v>5</v>
      </c>
      <c r="AC110" s="21">
        <v>5</v>
      </c>
    </row>
    <row r="111" spans="3:29">
      <c r="C111" s="20" t="s">
        <v>118</v>
      </c>
      <c r="D111" s="21" t="s">
        <v>149</v>
      </c>
      <c r="E111" s="21">
        <v>4.18384600835176</v>
      </c>
      <c r="F111" s="22">
        <v>3.17694532056006</v>
      </c>
      <c r="G111" s="22">
        <v>5.20810707442889</v>
      </c>
      <c r="L111" s="4">
        <v>2050</v>
      </c>
      <c r="M111" s="20" t="s">
        <v>118</v>
      </c>
      <c r="N111" s="21" t="s">
        <v>149</v>
      </c>
      <c r="O111" s="21">
        <f t="shared" si="16"/>
        <v>1.3095438006141</v>
      </c>
      <c r="P111" s="21">
        <f t="shared" si="17"/>
        <v>0.994383885335299</v>
      </c>
      <c r="Q111" s="21">
        <f t="shared" si="18"/>
        <v>1.63013751429624</v>
      </c>
      <c r="X111" s="4">
        <v>0</v>
      </c>
      <c r="Y111" s="20" t="s">
        <v>118</v>
      </c>
      <c r="Z111" s="21" t="s">
        <v>149</v>
      </c>
      <c r="AA111" s="21">
        <v>5</v>
      </c>
      <c r="AB111" s="21">
        <v>5</v>
      </c>
      <c r="AC111" s="21">
        <v>5</v>
      </c>
    </row>
    <row r="112" spans="3:29">
      <c r="C112" s="20" t="s">
        <v>118</v>
      </c>
      <c r="D112" s="21" t="s">
        <v>150</v>
      </c>
      <c r="E112" s="21">
        <v>4.18384600835176</v>
      </c>
      <c r="F112" s="22">
        <v>3.17694532056006</v>
      </c>
      <c r="G112" s="22">
        <v>5.20810707442889</v>
      </c>
      <c r="L112" s="4">
        <v>2050</v>
      </c>
      <c r="M112" s="20" t="s">
        <v>118</v>
      </c>
      <c r="N112" s="21" t="s">
        <v>150</v>
      </c>
      <c r="O112" s="21">
        <f t="shared" si="16"/>
        <v>1.3095438006141</v>
      </c>
      <c r="P112" s="21">
        <f t="shared" si="17"/>
        <v>0.994383885335299</v>
      </c>
      <c r="Q112" s="21">
        <f t="shared" si="18"/>
        <v>1.63013751429624</v>
      </c>
      <c r="X112" s="4">
        <v>0</v>
      </c>
      <c r="Y112" s="20" t="s">
        <v>118</v>
      </c>
      <c r="Z112" s="21" t="s">
        <v>150</v>
      </c>
      <c r="AA112" s="21">
        <v>5</v>
      </c>
      <c r="AB112" s="21">
        <v>5</v>
      </c>
      <c r="AC112" s="21">
        <v>5</v>
      </c>
    </row>
    <row r="113" spans="3:29">
      <c r="C113" s="20" t="s">
        <v>118</v>
      </c>
      <c r="D113" s="21" t="s">
        <v>151</v>
      </c>
      <c r="E113" s="21">
        <v>4.18384600835176</v>
      </c>
      <c r="F113" s="22">
        <v>3.17694532056006</v>
      </c>
      <c r="G113" s="22">
        <v>5.20810707442889</v>
      </c>
      <c r="L113" s="4">
        <v>2050</v>
      </c>
      <c r="M113" s="20" t="s">
        <v>118</v>
      </c>
      <c r="N113" s="21" t="s">
        <v>151</v>
      </c>
      <c r="O113" s="21">
        <f t="shared" si="16"/>
        <v>1.3095438006141</v>
      </c>
      <c r="P113" s="21">
        <f t="shared" si="17"/>
        <v>0.994383885335299</v>
      </c>
      <c r="Q113" s="21">
        <f t="shared" si="18"/>
        <v>1.63013751429624</v>
      </c>
      <c r="X113" s="4">
        <v>0</v>
      </c>
      <c r="Y113" s="20" t="s">
        <v>118</v>
      </c>
      <c r="Z113" s="21" t="s">
        <v>151</v>
      </c>
      <c r="AA113" s="21">
        <v>5</v>
      </c>
      <c r="AB113" s="21">
        <v>5</v>
      </c>
      <c r="AC113" s="21">
        <v>5</v>
      </c>
    </row>
    <row r="114" spans="3:29">
      <c r="C114" s="20" t="s">
        <v>118</v>
      </c>
      <c r="D114" s="21" t="s">
        <v>152</v>
      </c>
      <c r="E114" s="21">
        <v>4.18384600835176</v>
      </c>
      <c r="F114" s="22">
        <v>3.17694532056006</v>
      </c>
      <c r="G114" s="22">
        <v>5.20810707442889</v>
      </c>
      <c r="L114" s="4">
        <v>2050</v>
      </c>
      <c r="M114" s="20" t="s">
        <v>118</v>
      </c>
      <c r="N114" s="21" t="s">
        <v>152</v>
      </c>
      <c r="O114" s="21">
        <f t="shared" si="16"/>
        <v>1.3095438006141</v>
      </c>
      <c r="P114" s="21">
        <f t="shared" si="17"/>
        <v>0.994383885335299</v>
      </c>
      <c r="Q114" s="21">
        <f t="shared" si="18"/>
        <v>1.63013751429624</v>
      </c>
      <c r="X114" s="4">
        <v>0</v>
      </c>
      <c r="Y114" s="20" t="s">
        <v>118</v>
      </c>
      <c r="Z114" s="21" t="s">
        <v>152</v>
      </c>
      <c r="AA114" s="21">
        <v>5</v>
      </c>
      <c r="AB114" s="21">
        <v>5</v>
      </c>
      <c r="AC114" s="21">
        <v>5</v>
      </c>
    </row>
    <row r="115" spans="3:29">
      <c r="C115" s="20" t="s">
        <v>118</v>
      </c>
      <c r="D115" s="21" t="s">
        <v>153</v>
      </c>
      <c r="E115" s="21">
        <v>4.18384600835176</v>
      </c>
      <c r="F115" s="22">
        <v>3.17694532056006</v>
      </c>
      <c r="G115" s="22">
        <v>5.20810707442889</v>
      </c>
      <c r="L115" s="4">
        <v>2050</v>
      </c>
      <c r="M115" s="20" t="s">
        <v>118</v>
      </c>
      <c r="N115" s="21" t="s">
        <v>153</v>
      </c>
      <c r="O115" s="21">
        <f t="shared" si="16"/>
        <v>1.3095438006141</v>
      </c>
      <c r="P115" s="21">
        <f t="shared" si="17"/>
        <v>0.994383885335299</v>
      </c>
      <c r="Q115" s="21">
        <f t="shared" si="18"/>
        <v>1.63013751429624</v>
      </c>
      <c r="X115" s="4">
        <v>0</v>
      </c>
      <c r="Y115" s="20" t="s">
        <v>118</v>
      </c>
      <c r="Z115" s="21" t="s">
        <v>153</v>
      </c>
      <c r="AA115" s="21">
        <v>5</v>
      </c>
      <c r="AB115" s="21">
        <v>5</v>
      </c>
      <c r="AC115" s="21">
        <v>5</v>
      </c>
    </row>
    <row r="116" spans="3:29">
      <c r="C116" s="20" t="s">
        <v>118</v>
      </c>
      <c r="D116" s="21" t="s">
        <v>154</v>
      </c>
      <c r="E116" s="21">
        <v>4.18384600835176</v>
      </c>
      <c r="F116" s="22">
        <v>3.17694532056006</v>
      </c>
      <c r="G116" s="22">
        <v>5.20810707442889</v>
      </c>
      <c r="L116" s="4">
        <v>2050</v>
      </c>
      <c r="M116" s="20" t="s">
        <v>118</v>
      </c>
      <c r="N116" s="21" t="s">
        <v>154</v>
      </c>
      <c r="O116" s="21">
        <f t="shared" si="16"/>
        <v>1.3095438006141</v>
      </c>
      <c r="P116" s="21">
        <f t="shared" si="17"/>
        <v>0.994383885335299</v>
      </c>
      <c r="Q116" s="21">
        <f t="shared" si="18"/>
        <v>1.63013751429624</v>
      </c>
      <c r="X116" s="4">
        <v>0</v>
      </c>
      <c r="Y116" s="20" t="s">
        <v>118</v>
      </c>
      <c r="Z116" s="21" t="s">
        <v>154</v>
      </c>
      <c r="AA116" s="21">
        <v>5</v>
      </c>
      <c r="AB116" s="21">
        <v>5</v>
      </c>
      <c r="AC116" s="21">
        <v>5</v>
      </c>
    </row>
    <row r="117" spans="3:29">
      <c r="C117" s="20" t="s">
        <v>118</v>
      </c>
      <c r="D117" s="21" t="s">
        <v>155</v>
      </c>
      <c r="E117" s="21">
        <v>4.18384600835176</v>
      </c>
      <c r="F117" s="22">
        <v>3.17694532056006</v>
      </c>
      <c r="G117" s="22">
        <v>5.20810707442889</v>
      </c>
      <c r="L117" s="4">
        <v>2050</v>
      </c>
      <c r="M117" s="20" t="s">
        <v>118</v>
      </c>
      <c r="N117" s="21" t="s">
        <v>155</v>
      </c>
      <c r="O117" s="21">
        <f t="shared" si="16"/>
        <v>1.3095438006141</v>
      </c>
      <c r="P117" s="21">
        <f t="shared" si="17"/>
        <v>0.994383885335299</v>
      </c>
      <c r="Q117" s="21">
        <f t="shared" si="18"/>
        <v>1.63013751429624</v>
      </c>
      <c r="X117" s="4">
        <v>0</v>
      </c>
      <c r="Y117" s="20" t="s">
        <v>118</v>
      </c>
      <c r="Z117" s="21" t="s">
        <v>155</v>
      </c>
      <c r="AA117" s="21">
        <v>5</v>
      </c>
      <c r="AB117" s="21">
        <v>5</v>
      </c>
      <c r="AC117" s="21">
        <v>5</v>
      </c>
    </row>
    <row r="118" spans="3:29">
      <c r="C118" s="20" t="s">
        <v>118</v>
      </c>
      <c r="D118" s="21" t="s">
        <v>156</v>
      </c>
      <c r="E118" s="21">
        <v>3.56556266273643</v>
      </c>
      <c r="F118" s="22">
        <v>2.70746042741341</v>
      </c>
      <c r="G118" s="22">
        <v>4.4384597641857</v>
      </c>
      <c r="L118" s="4">
        <v>2050</v>
      </c>
      <c r="M118" s="20" t="s">
        <v>118</v>
      </c>
      <c r="N118" s="21" t="s">
        <v>156</v>
      </c>
      <c r="O118" s="21">
        <f t="shared" si="16"/>
        <v>1.1160211134365</v>
      </c>
      <c r="P118" s="21">
        <f t="shared" si="17"/>
        <v>0.847435113780397</v>
      </c>
      <c r="Q118" s="21">
        <f t="shared" si="18"/>
        <v>1.38923790619012</v>
      </c>
      <c r="X118" s="4">
        <v>0</v>
      </c>
      <c r="Y118" s="20" t="s">
        <v>118</v>
      </c>
      <c r="Z118" s="21" t="s">
        <v>156</v>
      </c>
      <c r="AA118" s="21">
        <v>5</v>
      </c>
      <c r="AB118" s="21">
        <v>5</v>
      </c>
      <c r="AC118" s="21">
        <v>5</v>
      </c>
    </row>
    <row r="119" spans="3:29">
      <c r="C119" s="20" t="s">
        <v>118</v>
      </c>
      <c r="D119" s="21" t="s">
        <v>157</v>
      </c>
      <c r="E119" s="21">
        <v>3.60087708179809</v>
      </c>
      <c r="F119" s="22">
        <v>2.73427597641857</v>
      </c>
      <c r="G119" s="22">
        <v>4.48241960206338</v>
      </c>
      <c r="L119" s="4">
        <v>2050</v>
      </c>
      <c r="M119" s="20" t="s">
        <v>118</v>
      </c>
      <c r="N119" s="21" t="s">
        <v>157</v>
      </c>
      <c r="O119" s="21">
        <f t="shared" si="16"/>
        <v>1.1270745266028</v>
      </c>
      <c r="P119" s="21">
        <f t="shared" si="17"/>
        <v>0.855828380619012</v>
      </c>
      <c r="Q119" s="21">
        <f t="shared" si="18"/>
        <v>1.40299733544584</v>
      </c>
      <c r="X119" s="4">
        <v>0</v>
      </c>
      <c r="Y119" s="20" t="s">
        <v>118</v>
      </c>
      <c r="Z119" s="21" t="s">
        <v>157</v>
      </c>
      <c r="AA119" s="21">
        <v>5</v>
      </c>
      <c r="AB119" s="21">
        <v>5</v>
      </c>
      <c r="AC119" s="21">
        <v>5</v>
      </c>
    </row>
    <row r="120" spans="3:29">
      <c r="C120" s="20" t="s">
        <v>118</v>
      </c>
      <c r="D120" s="21" t="s">
        <v>158</v>
      </c>
      <c r="E120" s="21">
        <v>3.56556266273643</v>
      </c>
      <c r="F120" s="22">
        <v>2.70746042741341</v>
      </c>
      <c r="G120" s="22">
        <v>4.4384597641857</v>
      </c>
      <c r="L120" s="4">
        <v>2050</v>
      </c>
      <c r="M120" s="20" t="s">
        <v>118</v>
      </c>
      <c r="N120" s="21" t="s">
        <v>158</v>
      </c>
      <c r="O120" s="21">
        <f t="shared" si="16"/>
        <v>1.1160211134365</v>
      </c>
      <c r="P120" s="21">
        <f t="shared" si="17"/>
        <v>0.847435113780397</v>
      </c>
      <c r="Q120" s="21">
        <f t="shared" si="18"/>
        <v>1.38923790619012</v>
      </c>
      <c r="X120" s="4">
        <v>0</v>
      </c>
      <c r="Y120" s="20" t="s">
        <v>118</v>
      </c>
      <c r="Z120" s="21" t="s">
        <v>158</v>
      </c>
      <c r="AA120" s="21">
        <v>5</v>
      </c>
      <c r="AB120" s="21">
        <v>5</v>
      </c>
      <c r="AC120" s="21">
        <v>5</v>
      </c>
    </row>
    <row r="121" spans="3:29">
      <c r="C121" s="20" t="s">
        <v>118</v>
      </c>
      <c r="D121" s="21" t="s">
        <v>159</v>
      </c>
      <c r="E121" s="21">
        <v>3.56645369688037</v>
      </c>
      <c r="F121" s="22">
        <v>2.70813706705969</v>
      </c>
      <c r="G121" s="22">
        <v>4.43956890198968</v>
      </c>
      <c r="L121" s="4">
        <v>2050</v>
      </c>
      <c r="M121" s="20" t="s">
        <v>118</v>
      </c>
      <c r="N121" s="21" t="s">
        <v>159</v>
      </c>
      <c r="O121" s="21">
        <f t="shared" si="16"/>
        <v>1.11630000712356</v>
      </c>
      <c r="P121" s="21">
        <f t="shared" si="17"/>
        <v>0.847646901989683</v>
      </c>
      <c r="Q121" s="21">
        <f t="shared" si="18"/>
        <v>1.38958506632277</v>
      </c>
      <c r="X121" s="4">
        <v>0</v>
      </c>
      <c r="Y121" s="20" t="s">
        <v>118</v>
      </c>
      <c r="Z121" s="21" t="s">
        <v>159</v>
      </c>
      <c r="AA121" s="21">
        <v>5</v>
      </c>
      <c r="AB121" s="21">
        <v>5</v>
      </c>
      <c r="AC121" s="21">
        <v>5</v>
      </c>
    </row>
    <row r="122" spans="3:29">
      <c r="C122" s="20" t="s">
        <v>118</v>
      </c>
      <c r="D122" s="21" t="s">
        <v>160</v>
      </c>
      <c r="E122" s="21">
        <v>3.56585961680177</v>
      </c>
      <c r="F122" s="22">
        <v>2.70768592483419</v>
      </c>
      <c r="G122" s="22">
        <v>4.43882940309506</v>
      </c>
      <c r="L122" s="4">
        <v>2050</v>
      </c>
      <c r="M122" s="20" t="s">
        <v>118</v>
      </c>
      <c r="N122" s="21" t="s">
        <v>160</v>
      </c>
      <c r="O122" s="21">
        <f t="shared" si="16"/>
        <v>1.11611406005895</v>
      </c>
      <c r="P122" s="21">
        <f t="shared" si="17"/>
        <v>0.847505694473101</v>
      </c>
      <c r="Q122" s="21">
        <f t="shared" si="18"/>
        <v>1.38935360316875</v>
      </c>
      <c r="X122" s="4">
        <v>0</v>
      </c>
      <c r="Y122" s="20" t="s">
        <v>118</v>
      </c>
      <c r="Z122" s="21" t="s">
        <v>160</v>
      </c>
      <c r="AA122" s="21">
        <v>5</v>
      </c>
      <c r="AB122" s="21">
        <v>5</v>
      </c>
      <c r="AC122" s="21">
        <v>5</v>
      </c>
    </row>
    <row r="123" spans="3:29">
      <c r="C123" s="20" t="s">
        <v>118</v>
      </c>
      <c r="D123" s="21" t="s">
        <v>161</v>
      </c>
      <c r="E123" s="21">
        <v>3.56556266273643</v>
      </c>
      <c r="F123" s="22">
        <v>2.70746042741341</v>
      </c>
      <c r="G123" s="22">
        <v>4.4384597641857</v>
      </c>
      <c r="L123" s="4">
        <v>2050</v>
      </c>
      <c r="M123" s="20" t="s">
        <v>118</v>
      </c>
      <c r="N123" s="21" t="s">
        <v>161</v>
      </c>
      <c r="O123" s="21">
        <f t="shared" si="16"/>
        <v>1.1160211134365</v>
      </c>
      <c r="P123" s="21">
        <f t="shared" si="17"/>
        <v>0.847435113780397</v>
      </c>
      <c r="Q123" s="21">
        <f t="shared" si="18"/>
        <v>1.38923790619012</v>
      </c>
      <c r="X123" s="4">
        <v>0</v>
      </c>
      <c r="Y123" s="20" t="s">
        <v>118</v>
      </c>
      <c r="Z123" s="21" t="s">
        <v>161</v>
      </c>
      <c r="AA123" s="21">
        <v>5</v>
      </c>
      <c r="AB123" s="21">
        <v>5</v>
      </c>
      <c r="AC123" s="21">
        <v>5</v>
      </c>
    </row>
    <row r="124" spans="3:29">
      <c r="C124" s="20" t="s">
        <v>118</v>
      </c>
      <c r="D124" s="23" t="s">
        <v>162</v>
      </c>
      <c r="E124" s="21">
        <v>3.56496890198968</v>
      </c>
      <c r="F124" s="22">
        <v>2.70700957995578</v>
      </c>
      <c r="G124" s="22">
        <v>4.43772063375092</v>
      </c>
      <c r="L124" s="4">
        <v>2050</v>
      </c>
      <c r="M124" s="20" t="s">
        <v>118</v>
      </c>
      <c r="N124" s="23" t="s">
        <v>162</v>
      </c>
      <c r="O124" s="21">
        <f t="shared" si="16"/>
        <v>1.11583526632277</v>
      </c>
      <c r="P124" s="21">
        <f t="shared" si="17"/>
        <v>0.847293998526159</v>
      </c>
      <c r="Q124" s="21">
        <f t="shared" si="18"/>
        <v>1.38900655836404</v>
      </c>
      <c r="X124" s="4">
        <v>0</v>
      </c>
      <c r="Y124" s="20" t="s">
        <v>118</v>
      </c>
      <c r="Z124" s="21" t="s">
        <v>162</v>
      </c>
      <c r="AA124" s="21">
        <v>5</v>
      </c>
      <c r="AB124" s="21">
        <v>5</v>
      </c>
      <c r="AC124" s="21">
        <v>5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163</v>
      </c>
      <c r="B1" t="s">
        <v>56</v>
      </c>
      <c r="C1" t="s">
        <v>45</v>
      </c>
      <c r="D1" t="s">
        <v>47</v>
      </c>
      <c r="E1" t="s">
        <v>164</v>
      </c>
      <c r="F1" t="s">
        <v>165</v>
      </c>
      <c r="G1" t="s">
        <v>79</v>
      </c>
      <c r="H1" t="s">
        <v>166</v>
      </c>
      <c r="I1" t="s">
        <v>167</v>
      </c>
      <c r="J1" t="s">
        <v>168</v>
      </c>
      <c r="K1" t="s">
        <v>169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170</v>
      </c>
      <c r="E2" t="s">
        <v>68</v>
      </c>
      <c r="F2" t="s">
        <v>171</v>
      </c>
      <c r="G2" t="s">
        <v>172</v>
      </c>
      <c r="H2" t="s">
        <v>170</v>
      </c>
      <c r="I2" t="s">
        <v>170</v>
      </c>
      <c r="J2" t="s">
        <v>170</v>
      </c>
      <c r="K2" t="s">
        <v>170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170</v>
      </c>
    </row>
    <row r="3" spans="1:47">
      <c r="A3" t="s">
        <v>49</v>
      </c>
      <c r="B3" t="s">
        <v>50</v>
      </c>
      <c r="C3" t="s">
        <v>173</v>
      </c>
      <c r="D3" t="s">
        <v>170</v>
      </c>
      <c r="E3" t="s">
        <v>68</v>
      </c>
      <c r="F3" t="s">
        <v>171</v>
      </c>
      <c r="G3" t="s">
        <v>172</v>
      </c>
      <c r="H3" t="s">
        <v>170</v>
      </c>
      <c r="I3" t="s">
        <v>170</v>
      </c>
      <c r="J3" t="s">
        <v>170</v>
      </c>
      <c r="K3" t="s">
        <v>170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170</v>
      </c>
    </row>
    <row r="4" spans="1:47">
      <c r="A4" t="s">
        <v>49</v>
      </c>
      <c r="B4" t="s">
        <v>50</v>
      </c>
      <c r="C4" t="s">
        <v>174</v>
      </c>
      <c r="D4" t="s">
        <v>170</v>
      </c>
      <c r="E4" t="s">
        <v>68</v>
      </c>
      <c r="F4" t="s">
        <v>171</v>
      </c>
      <c r="G4" t="s">
        <v>172</v>
      </c>
      <c r="H4" t="s">
        <v>170</v>
      </c>
      <c r="I4" t="s">
        <v>170</v>
      </c>
      <c r="J4" t="s">
        <v>170</v>
      </c>
      <c r="K4" t="s">
        <v>170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170</v>
      </c>
    </row>
    <row r="5" spans="1:47">
      <c r="A5" t="s">
        <v>49</v>
      </c>
      <c r="B5" t="s">
        <v>50</v>
      </c>
      <c r="C5" t="s">
        <v>110</v>
      </c>
      <c r="D5" t="s">
        <v>170</v>
      </c>
      <c r="E5" t="s">
        <v>68</v>
      </c>
      <c r="F5" t="s">
        <v>171</v>
      </c>
      <c r="G5" t="s">
        <v>172</v>
      </c>
      <c r="H5" t="s">
        <v>170</v>
      </c>
      <c r="I5" t="s">
        <v>170</v>
      </c>
      <c r="J5" t="s">
        <v>170</v>
      </c>
      <c r="K5" t="s">
        <v>170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170</v>
      </c>
    </row>
    <row r="6" spans="1:47">
      <c r="A6" t="s">
        <v>49</v>
      </c>
      <c r="B6" t="s">
        <v>50</v>
      </c>
      <c r="C6" t="s">
        <v>175</v>
      </c>
      <c r="D6" t="s">
        <v>170</v>
      </c>
      <c r="E6" t="s">
        <v>68</v>
      </c>
      <c r="F6" t="s">
        <v>171</v>
      </c>
      <c r="G6" t="s">
        <v>172</v>
      </c>
      <c r="H6" t="s">
        <v>170</v>
      </c>
      <c r="I6" t="s">
        <v>170</v>
      </c>
      <c r="J6" t="s">
        <v>170</v>
      </c>
      <c r="K6" t="s">
        <v>170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170</v>
      </c>
    </row>
    <row r="7" spans="1:47">
      <c r="A7" t="s">
        <v>49</v>
      </c>
      <c r="B7" t="s">
        <v>50</v>
      </c>
      <c r="C7" t="s">
        <v>111</v>
      </c>
      <c r="D7" t="s">
        <v>170</v>
      </c>
      <c r="E7" t="s">
        <v>68</v>
      </c>
      <c r="F7" t="s">
        <v>171</v>
      </c>
      <c r="G7" t="s">
        <v>172</v>
      </c>
      <c r="H7" t="s">
        <v>170</v>
      </c>
      <c r="I7" t="s">
        <v>170</v>
      </c>
      <c r="J7" t="s">
        <v>170</v>
      </c>
      <c r="K7" t="s">
        <v>170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170</v>
      </c>
    </row>
    <row r="8" spans="1:47">
      <c r="A8" t="s">
        <v>49</v>
      </c>
      <c r="B8" t="s">
        <v>50</v>
      </c>
      <c r="C8" t="s">
        <v>176</v>
      </c>
      <c r="D8" t="s">
        <v>170</v>
      </c>
      <c r="E8" t="s">
        <v>68</v>
      </c>
      <c r="F8" t="s">
        <v>171</v>
      </c>
      <c r="G8" t="s">
        <v>172</v>
      </c>
      <c r="H8" t="s">
        <v>170</v>
      </c>
      <c r="I8" t="s">
        <v>170</v>
      </c>
      <c r="J8" t="s">
        <v>170</v>
      </c>
      <c r="K8" t="s">
        <v>170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170</v>
      </c>
    </row>
    <row r="9" spans="1:47">
      <c r="A9" t="s">
        <v>49</v>
      </c>
      <c r="B9" t="s">
        <v>50</v>
      </c>
      <c r="C9" t="s">
        <v>177</v>
      </c>
      <c r="D9" t="s">
        <v>170</v>
      </c>
      <c r="E9" t="s">
        <v>68</v>
      </c>
      <c r="F9" t="s">
        <v>171</v>
      </c>
      <c r="G9" t="s">
        <v>172</v>
      </c>
      <c r="H9" t="s">
        <v>170</v>
      </c>
      <c r="I9" t="s">
        <v>170</v>
      </c>
      <c r="J9" t="s">
        <v>170</v>
      </c>
      <c r="K9" t="s">
        <v>170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170</v>
      </c>
    </row>
    <row r="10" spans="1:47">
      <c r="A10" t="s">
        <v>49</v>
      </c>
      <c r="B10" t="s">
        <v>50</v>
      </c>
      <c r="C10" t="s">
        <v>178</v>
      </c>
      <c r="D10" t="s">
        <v>170</v>
      </c>
      <c r="E10" t="s">
        <v>68</v>
      </c>
      <c r="F10" t="s">
        <v>171</v>
      </c>
      <c r="G10" t="s">
        <v>172</v>
      </c>
      <c r="H10" t="s">
        <v>170</v>
      </c>
      <c r="I10" t="s">
        <v>170</v>
      </c>
      <c r="J10" t="s">
        <v>170</v>
      </c>
      <c r="K10" t="s">
        <v>170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170</v>
      </c>
    </row>
    <row r="11" spans="1:47">
      <c r="A11" t="s">
        <v>49</v>
      </c>
      <c r="B11" t="s">
        <v>50</v>
      </c>
      <c r="C11" t="s">
        <v>179</v>
      </c>
      <c r="D11" t="s">
        <v>170</v>
      </c>
      <c r="E11" t="s">
        <v>68</v>
      </c>
      <c r="F11" t="s">
        <v>171</v>
      </c>
      <c r="G11" t="s">
        <v>172</v>
      </c>
      <c r="H11" t="s">
        <v>170</v>
      </c>
      <c r="I11" t="s">
        <v>170</v>
      </c>
      <c r="J11" t="s">
        <v>170</v>
      </c>
      <c r="K11" t="s">
        <v>170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170</v>
      </c>
    </row>
    <row r="12" spans="1:47">
      <c r="A12" t="s">
        <v>49</v>
      </c>
      <c r="B12" t="s">
        <v>50</v>
      </c>
      <c r="C12" t="s">
        <v>180</v>
      </c>
      <c r="D12" t="s">
        <v>170</v>
      </c>
      <c r="E12" t="s">
        <v>68</v>
      </c>
      <c r="F12" t="s">
        <v>171</v>
      </c>
      <c r="G12" t="s">
        <v>172</v>
      </c>
      <c r="H12" t="s">
        <v>170</v>
      </c>
      <c r="I12" t="s">
        <v>170</v>
      </c>
      <c r="J12" t="s">
        <v>170</v>
      </c>
      <c r="K12" t="s">
        <v>170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170</v>
      </c>
    </row>
    <row r="13" spans="1:47">
      <c r="A13" t="s">
        <v>49</v>
      </c>
      <c r="B13" t="s">
        <v>50</v>
      </c>
      <c r="C13" t="s">
        <v>181</v>
      </c>
      <c r="D13" t="s">
        <v>170</v>
      </c>
      <c r="E13" t="s">
        <v>68</v>
      </c>
      <c r="F13" t="s">
        <v>171</v>
      </c>
      <c r="G13" t="s">
        <v>172</v>
      </c>
      <c r="H13" t="s">
        <v>170</v>
      </c>
      <c r="I13" t="s">
        <v>170</v>
      </c>
      <c r="J13" t="s">
        <v>170</v>
      </c>
      <c r="K13" t="s">
        <v>170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170</v>
      </c>
    </row>
    <row r="14" spans="1:47">
      <c r="A14" t="s">
        <v>49</v>
      </c>
      <c r="B14" t="s">
        <v>50</v>
      </c>
      <c r="C14" t="s">
        <v>182</v>
      </c>
      <c r="D14" t="s">
        <v>170</v>
      </c>
      <c r="E14" t="s">
        <v>68</v>
      </c>
      <c r="F14" t="s">
        <v>171</v>
      </c>
      <c r="G14" t="s">
        <v>172</v>
      </c>
      <c r="H14" t="s">
        <v>170</v>
      </c>
      <c r="I14" t="s">
        <v>170</v>
      </c>
      <c r="J14" t="s">
        <v>170</v>
      </c>
      <c r="K14" t="s">
        <v>170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170</v>
      </c>
    </row>
    <row r="15" spans="1:47">
      <c r="A15" t="s">
        <v>49</v>
      </c>
      <c r="B15" t="s">
        <v>50</v>
      </c>
      <c r="C15" t="s">
        <v>183</v>
      </c>
      <c r="D15" t="s">
        <v>170</v>
      </c>
      <c r="E15" t="s">
        <v>68</v>
      </c>
      <c r="F15" t="s">
        <v>171</v>
      </c>
      <c r="G15" t="s">
        <v>172</v>
      </c>
      <c r="H15" t="s">
        <v>170</v>
      </c>
      <c r="I15" t="s">
        <v>170</v>
      </c>
      <c r="J15" t="s">
        <v>170</v>
      </c>
      <c r="K15" t="s">
        <v>170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170</v>
      </c>
    </row>
    <row r="16" spans="1:47">
      <c r="A16" t="s">
        <v>49</v>
      </c>
      <c r="B16" t="s">
        <v>50</v>
      </c>
      <c r="C16" t="s">
        <v>184</v>
      </c>
      <c r="D16" t="s">
        <v>170</v>
      </c>
      <c r="E16" t="s">
        <v>68</v>
      </c>
      <c r="F16" t="s">
        <v>171</v>
      </c>
      <c r="G16" t="s">
        <v>172</v>
      </c>
      <c r="H16" t="s">
        <v>170</v>
      </c>
      <c r="I16" t="s">
        <v>170</v>
      </c>
      <c r="J16" t="s">
        <v>170</v>
      </c>
      <c r="K16" t="s">
        <v>170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170</v>
      </c>
    </row>
    <row r="17" spans="1:47">
      <c r="A17" t="s">
        <v>49</v>
      </c>
      <c r="B17" t="s">
        <v>50</v>
      </c>
      <c r="C17" t="s">
        <v>112</v>
      </c>
      <c r="D17" t="s">
        <v>170</v>
      </c>
      <c r="E17" t="s">
        <v>68</v>
      </c>
      <c r="F17" t="s">
        <v>171</v>
      </c>
      <c r="G17" t="s">
        <v>172</v>
      </c>
      <c r="H17" t="s">
        <v>170</v>
      </c>
      <c r="I17" t="s">
        <v>170</v>
      </c>
      <c r="J17" t="s">
        <v>170</v>
      </c>
      <c r="K17" t="s">
        <v>170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170</v>
      </c>
    </row>
    <row r="18" spans="1:47">
      <c r="A18" t="s">
        <v>49</v>
      </c>
      <c r="B18" t="s">
        <v>50</v>
      </c>
      <c r="C18" t="s">
        <v>185</v>
      </c>
      <c r="D18" t="s">
        <v>170</v>
      </c>
      <c r="E18" t="s">
        <v>68</v>
      </c>
      <c r="F18" t="s">
        <v>171</v>
      </c>
      <c r="G18" t="s">
        <v>172</v>
      </c>
      <c r="H18" t="s">
        <v>170</v>
      </c>
      <c r="I18" t="s">
        <v>170</v>
      </c>
      <c r="J18" t="s">
        <v>170</v>
      </c>
      <c r="K18" t="s">
        <v>170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170</v>
      </c>
    </row>
    <row r="19" spans="1:47">
      <c r="A19" t="s">
        <v>49</v>
      </c>
      <c r="B19" t="s">
        <v>50</v>
      </c>
      <c r="C19" t="s">
        <v>186</v>
      </c>
      <c r="D19" t="s">
        <v>170</v>
      </c>
      <c r="E19" t="s">
        <v>68</v>
      </c>
      <c r="F19" t="s">
        <v>171</v>
      </c>
      <c r="G19" t="s">
        <v>172</v>
      </c>
      <c r="H19" t="s">
        <v>170</v>
      </c>
      <c r="I19" t="s">
        <v>170</v>
      </c>
      <c r="J19" t="s">
        <v>170</v>
      </c>
      <c r="K19" t="s">
        <v>170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170</v>
      </c>
    </row>
    <row r="20" spans="1:47">
      <c r="A20" t="s">
        <v>49</v>
      </c>
      <c r="B20" t="s">
        <v>50</v>
      </c>
      <c r="C20" t="s">
        <v>187</v>
      </c>
      <c r="D20" t="s">
        <v>170</v>
      </c>
      <c r="E20" t="s">
        <v>68</v>
      </c>
      <c r="F20" t="s">
        <v>171</v>
      </c>
      <c r="G20" t="s">
        <v>172</v>
      </c>
      <c r="H20" t="s">
        <v>170</v>
      </c>
      <c r="I20" t="s">
        <v>170</v>
      </c>
      <c r="J20" t="s">
        <v>170</v>
      </c>
      <c r="K20" t="s">
        <v>170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170</v>
      </c>
    </row>
    <row r="21" spans="1:47">
      <c r="A21" t="s">
        <v>49</v>
      </c>
      <c r="B21" t="s">
        <v>50</v>
      </c>
      <c r="C21" t="s">
        <v>113</v>
      </c>
      <c r="D21" t="s">
        <v>170</v>
      </c>
      <c r="E21" t="s">
        <v>68</v>
      </c>
      <c r="F21" t="s">
        <v>171</v>
      </c>
      <c r="G21" t="s">
        <v>172</v>
      </c>
      <c r="H21" t="s">
        <v>170</v>
      </c>
      <c r="I21" t="s">
        <v>170</v>
      </c>
      <c r="J21" t="s">
        <v>170</v>
      </c>
      <c r="K21" t="s">
        <v>170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170</v>
      </c>
    </row>
    <row r="22" spans="1:47">
      <c r="A22" t="s">
        <v>49</v>
      </c>
      <c r="B22" t="s">
        <v>50</v>
      </c>
      <c r="C22" t="s">
        <v>188</v>
      </c>
      <c r="D22" t="s">
        <v>170</v>
      </c>
      <c r="E22" t="s">
        <v>68</v>
      </c>
      <c r="F22" t="s">
        <v>171</v>
      </c>
      <c r="G22" t="s">
        <v>172</v>
      </c>
      <c r="H22" t="s">
        <v>170</v>
      </c>
      <c r="I22" t="s">
        <v>170</v>
      </c>
      <c r="J22" t="s">
        <v>170</v>
      </c>
      <c r="K22" t="s">
        <v>170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170</v>
      </c>
    </row>
    <row r="23" spans="1:47">
      <c r="A23" t="s">
        <v>49</v>
      </c>
      <c r="B23" t="s">
        <v>50</v>
      </c>
      <c r="C23" t="s">
        <v>189</v>
      </c>
      <c r="D23" t="s">
        <v>170</v>
      </c>
      <c r="E23" t="s">
        <v>68</v>
      </c>
      <c r="F23" t="s">
        <v>171</v>
      </c>
      <c r="G23" t="s">
        <v>172</v>
      </c>
      <c r="H23" t="s">
        <v>170</v>
      </c>
      <c r="I23" t="s">
        <v>170</v>
      </c>
      <c r="J23" t="s">
        <v>170</v>
      </c>
      <c r="K23" t="s">
        <v>170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170</v>
      </c>
    </row>
    <row r="24" spans="1:47">
      <c r="A24" t="s">
        <v>49</v>
      </c>
      <c r="B24" t="s">
        <v>50</v>
      </c>
      <c r="C24" t="s">
        <v>114</v>
      </c>
      <c r="D24" t="s">
        <v>170</v>
      </c>
      <c r="E24" t="s">
        <v>68</v>
      </c>
      <c r="F24" t="s">
        <v>171</v>
      </c>
      <c r="G24" t="s">
        <v>172</v>
      </c>
      <c r="H24" t="s">
        <v>170</v>
      </c>
      <c r="I24" t="s">
        <v>170</v>
      </c>
      <c r="J24" t="s">
        <v>170</v>
      </c>
      <c r="K24" t="s">
        <v>170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170</v>
      </c>
    </row>
    <row r="25" spans="1:47">
      <c r="A25" t="s">
        <v>49</v>
      </c>
      <c r="B25" t="s">
        <v>50</v>
      </c>
      <c r="C25" t="s">
        <v>190</v>
      </c>
      <c r="D25" t="s">
        <v>170</v>
      </c>
      <c r="E25" t="s">
        <v>68</v>
      </c>
      <c r="F25" t="s">
        <v>171</v>
      </c>
      <c r="G25" t="s">
        <v>172</v>
      </c>
      <c r="H25" t="s">
        <v>170</v>
      </c>
      <c r="I25" t="s">
        <v>170</v>
      </c>
      <c r="J25" t="s">
        <v>170</v>
      </c>
      <c r="K25" t="s">
        <v>170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170</v>
      </c>
    </row>
    <row r="26" spans="1:47">
      <c r="A26" t="s">
        <v>49</v>
      </c>
      <c r="B26" t="s">
        <v>50</v>
      </c>
      <c r="C26" t="s">
        <v>191</v>
      </c>
      <c r="D26" t="s">
        <v>170</v>
      </c>
      <c r="E26" t="s">
        <v>68</v>
      </c>
      <c r="F26" t="s">
        <v>171</v>
      </c>
      <c r="G26" t="s">
        <v>172</v>
      </c>
      <c r="H26" t="s">
        <v>170</v>
      </c>
      <c r="I26" t="s">
        <v>170</v>
      </c>
      <c r="J26" t="s">
        <v>170</v>
      </c>
      <c r="K26" t="s">
        <v>170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170</v>
      </c>
    </row>
    <row r="27" spans="1:47">
      <c r="A27" t="s">
        <v>49</v>
      </c>
      <c r="B27" t="s">
        <v>50</v>
      </c>
      <c r="C27" t="s">
        <v>192</v>
      </c>
      <c r="D27" t="s">
        <v>170</v>
      </c>
      <c r="E27" t="s">
        <v>68</v>
      </c>
      <c r="F27" t="s">
        <v>171</v>
      </c>
      <c r="G27" t="s">
        <v>172</v>
      </c>
      <c r="H27" t="s">
        <v>170</v>
      </c>
      <c r="I27" t="s">
        <v>170</v>
      </c>
      <c r="J27" t="s">
        <v>170</v>
      </c>
      <c r="K27" t="s">
        <v>170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170</v>
      </c>
    </row>
    <row r="28" spans="1:47">
      <c r="A28" t="s">
        <v>49</v>
      </c>
      <c r="B28" t="s">
        <v>50</v>
      </c>
      <c r="C28" t="s">
        <v>193</v>
      </c>
      <c r="D28" t="s">
        <v>170</v>
      </c>
      <c r="E28" t="s">
        <v>68</v>
      </c>
      <c r="F28" t="s">
        <v>171</v>
      </c>
      <c r="G28" t="s">
        <v>172</v>
      </c>
      <c r="H28" t="s">
        <v>170</v>
      </c>
      <c r="I28" t="s">
        <v>170</v>
      </c>
      <c r="J28" t="s">
        <v>170</v>
      </c>
      <c r="K28" t="s">
        <v>170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170</v>
      </c>
    </row>
    <row r="29" spans="1:47">
      <c r="A29" t="s">
        <v>49</v>
      </c>
      <c r="B29" t="s">
        <v>61</v>
      </c>
      <c r="C29" t="s">
        <v>109</v>
      </c>
      <c r="D29" t="s">
        <v>170</v>
      </c>
      <c r="E29" t="s">
        <v>170</v>
      </c>
      <c r="F29" t="s">
        <v>171</v>
      </c>
      <c r="G29" t="s">
        <v>172</v>
      </c>
      <c r="H29" t="s">
        <v>170</v>
      </c>
      <c r="I29" t="s">
        <v>170</v>
      </c>
      <c r="J29" t="s">
        <v>170</v>
      </c>
      <c r="K29" t="s">
        <v>170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170</v>
      </c>
    </row>
    <row r="30" spans="1:47">
      <c r="A30" t="s">
        <v>49</v>
      </c>
      <c r="B30" t="s">
        <v>61</v>
      </c>
      <c r="C30" t="s">
        <v>173</v>
      </c>
      <c r="D30" t="s">
        <v>170</v>
      </c>
      <c r="E30" t="s">
        <v>170</v>
      </c>
      <c r="F30" t="s">
        <v>171</v>
      </c>
      <c r="G30" t="s">
        <v>172</v>
      </c>
      <c r="H30" t="s">
        <v>170</v>
      </c>
      <c r="I30" t="s">
        <v>170</v>
      </c>
      <c r="J30" t="s">
        <v>170</v>
      </c>
      <c r="K30" t="s">
        <v>170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170</v>
      </c>
    </row>
    <row r="31" spans="1:47">
      <c r="A31" t="s">
        <v>49</v>
      </c>
      <c r="B31" t="s">
        <v>61</v>
      </c>
      <c r="C31" t="s">
        <v>174</v>
      </c>
      <c r="D31" t="s">
        <v>170</v>
      </c>
      <c r="E31" t="s">
        <v>170</v>
      </c>
      <c r="F31" t="s">
        <v>171</v>
      </c>
      <c r="G31" t="s">
        <v>172</v>
      </c>
      <c r="H31" t="s">
        <v>170</v>
      </c>
      <c r="I31" t="s">
        <v>170</v>
      </c>
      <c r="J31" t="s">
        <v>170</v>
      </c>
      <c r="K31" t="s">
        <v>170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170</v>
      </c>
    </row>
    <row r="32" spans="1:47">
      <c r="A32" t="s">
        <v>49</v>
      </c>
      <c r="B32" t="s">
        <v>61</v>
      </c>
      <c r="C32" t="s">
        <v>110</v>
      </c>
      <c r="D32" t="s">
        <v>170</v>
      </c>
      <c r="E32" t="s">
        <v>170</v>
      </c>
      <c r="F32" t="s">
        <v>171</v>
      </c>
      <c r="G32" t="s">
        <v>172</v>
      </c>
      <c r="H32" t="s">
        <v>170</v>
      </c>
      <c r="I32" t="s">
        <v>170</v>
      </c>
      <c r="J32" t="s">
        <v>170</v>
      </c>
      <c r="K32" t="s">
        <v>170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170</v>
      </c>
    </row>
    <row r="33" spans="1:47">
      <c r="A33" t="s">
        <v>49</v>
      </c>
      <c r="B33" t="s">
        <v>61</v>
      </c>
      <c r="C33" t="s">
        <v>175</v>
      </c>
      <c r="D33" t="s">
        <v>170</v>
      </c>
      <c r="E33" t="s">
        <v>170</v>
      </c>
      <c r="F33" t="s">
        <v>171</v>
      </c>
      <c r="G33" t="s">
        <v>172</v>
      </c>
      <c r="H33" t="s">
        <v>170</v>
      </c>
      <c r="I33" t="s">
        <v>170</v>
      </c>
      <c r="J33" t="s">
        <v>170</v>
      </c>
      <c r="K33" t="s">
        <v>170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170</v>
      </c>
    </row>
    <row r="34" spans="1:47">
      <c r="A34" t="s">
        <v>49</v>
      </c>
      <c r="B34" t="s">
        <v>61</v>
      </c>
      <c r="C34" t="s">
        <v>111</v>
      </c>
      <c r="D34" t="s">
        <v>170</v>
      </c>
      <c r="E34" t="s">
        <v>170</v>
      </c>
      <c r="F34" t="s">
        <v>171</v>
      </c>
      <c r="G34" t="s">
        <v>172</v>
      </c>
      <c r="H34" t="s">
        <v>170</v>
      </c>
      <c r="I34" t="s">
        <v>170</v>
      </c>
      <c r="J34" t="s">
        <v>170</v>
      </c>
      <c r="K34" t="s">
        <v>170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170</v>
      </c>
    </row>
    <row r="35" spans="1:47">
      <c r="A35" t="s">
        <v>49</v>
      </c>
      <c r="B35" t="s">
        <v>61</v>
      </c>
      <c r="C35" t="s">
        <v>176</v>
      </c>
      <c r="D35" t="s">
        <v>170</v>
      </c>
      <c r="E35" t="s">
        <v>170</v>
      </c>
      <c r="F35" t="s">
        <v>171</v>
      </c>
      <c r="G35" t="s">
        <v>172</v>
      </c>
      <c r="H35" t="s">
        <v>170</v>
      </c>
      <c r="I35" t="s">
        <v>170</v>
      </c>
      <c r="J35" t="s">
        <v>170</v>
      </c>
      <c r="K35" t="s">
        <v>170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170</v>
      </c>
    </row>
    <row r="36" spans="1:47">
      <c r="A36" t="s">
        <v>49</v>
      </c>
      <c r="B36" t="s">
        <v>61</v>
      </c>
      <c r="C36" t="s">
        <v>177</v>
      </c>
      <c r="D36" t="s">
        <v>170</v>
      </c>
      <c r="E36" t="s">
        <v>170</v>
      </c>
      <c r="F36" t="s">
        <v>171</v>
      </c>
      <c r="G36" t="s">
        <v>172</v>
      </c>
      <c r="H36" t="s">
        <v>170</v>
      </c>
      <c r="I36" t="s">
        <v>170</v>
      </c>
      <c r="J36" t="s">
        <v>170</v>
      </c>
      <c r="K36" t="s">
        <v>170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170</v>
      </c>
    </row>
    <row r="37" spans="1:47">
      <c r="A37" t="s">
        <v>49</v>
      </c>
      <c r="B37" t="s">
        <v>61</v>
      </c>
      <c r="C37" t="s">
        <v>178</v>
      </c>
      <c r="D37" t="s">
        <v>170</v>
      </c>
      <c r="E37" t="s">
        <v>170</v>
      </c>
      <c r="F37" t="s">
        <v>171</v>
      </c>
      <c r="G37" t="s">
        <v>172</v>
      </c>
      <c r="H37" t="s">
        <v>170</v>
      </c>
      <c r="I37" t="s">
        <v>170</v>
      </c>
      <c r="J37" t="s">
        <v>170</v>
      </c>
      <c r="K37" t="s">
        <v>170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170</v>
      </c>
    </row>
    <row r="38" spans="1:47">
      <c r="A38" t="s">
        <v>49</v>
      </c>
      <c r="B38" t="s">
        <v>61</v>
      </c>
      <c r="C38" t="s">
        <v>179</v>
      </c>
      <c r="D38" t="s">
        <v>170</v>
      </c>
      <c r="E38" t="s">
        <v>170</v>
      </c>
      <c r="F38" t="s">
        <v>171</v>
      </c>
      <c r="G38" t="s">
        <v>172</v>
      </c>
      <c r="H38" t="s">
        <v>170</v>
      </c>
      <c r="I38" t="s">
        <v>170</v>
      </c>
      <c r="J38" t="s">
        <v>170</v>
      </c>
      <c r="K38" t="s">
        <v>170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170</v>
      </c>
    </row>
    <row r="39" spans="1:47">
      <c r="A39" t="s">
        <v>49</v>
      </c>
      <c r="B39" t="s">
        <v>61</v>
      </c>
      <c r="C39" t="s">
        <v>180</v>
      </c>
      <c r="D39" t="s">
        <v>170</v>
      </c>
      <c r="E39" t="s">
        <v>170</v>
      </c>
      <c r="F39" t="s">
        <v>171</v>
      </c>
      <c r="G39" t="s">
        <v>172</v>
      </c>
      <c r="H39" t="s">
        <v>170</v>
      </c>
      <c r="I39" t="s">
        <v>170</v>
      </c>
      <c r="J39" t="s">
        <v>170</v>
      </c>
      <c r="K39" t="s">
        <v>170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170</v>
      </c>
    </row>
    <row r="40" spans="1:47">
      <c r="A40" t="s">
        <v>49</v>
      </c>
      <c r="B40" t="s">
        <v>61</v>
      </c>
      <c r="C40" t="s">
        <v>181</v>
      </c>
      <c r="D40" t="s">
        <v>170</v>
      </c>
      <c r="E40" t="s">
        <v>170</v>
      </c>
      <c r="F40" t="s">
        <v>171</v>
      </c>
      <c r="G40" t="s">
        <v>172</v>
      </c>
      <c r="H40" t="s">
        <v>170</v>
      </c>
      <c r="I40" t="s">
        <v>170</v>
      </c>
      <c r="J40" t="s">
        <v>170</v>
      </c>
      <c r="K40" t="s">
        <v>170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170</v>
      </c>
    </row>
    <row r="41" spans="1:47">
      <c r="A41" t="s">
        <v>49</v>
      </c>
      <c r="B41" t="s">
        <v>61</v>
      </c>
      <c r="C41" t="s">
        <v>182</v>
      </c>
      <c r="D41" t="s">
        <v>170</v>
      </c>
      <c r="E41" t="s">
        <v>170</v>
      </c>
      <c r="F41" t="s">
        <v>171</v>
      </c>
      <c r="G41" t="s">
        <v>172</v>
      </c>
      <c r="H41" t="s">
        <v>170</v>
      </c>
      <c r="I41" t="s">
        <v>170</v>
      </c>
      <c r="J41" t="s">
        <v>170</v>
      </c>
      <c r="K41" t="s">
        <v>170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170</v>
      </c>
    </row>
    <row r="42" spans="1:47">
      <c r="A42" t="s">
        <v>49</v>
      </c>
      <c r="B42" t="s">
        <v>61</v>
      </c>
      <c r="C42" t="s">
        <v>183</v>
      </c>
      <c r="D42" t="s">
        <v>170</v>
      </c>
      <c r="E42" t="s">
        <v>170</v>
      </c>
      <c r="F42" t="s">
        <v>171</v>
      </c>
      <c r="G42" t="s">
        <v>172</v>
      </c>
      <c r="H42" t="s">
        <v>170</v>
      </c>
      <c r="I42" t="s">
        <v>170</v>
      </c>
      <c r="J42" t="s">
        <v>170</v>
      </c>
      <c r="K42" t="s">
        <v>170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170</v>
      </c>
    </row>
    <row r="43" spans="1:47">
      <c r="A43" t="s">
        <v>49</v>
      </c>
      <c r="B43" t="s">
        <v>61</v>
      </c>
      <c r="C43" t="s">
        <v>184</v>
      </c>
      <c r="D43" t="s">
        <v>170</v>
      </c>
      <c r="E43" t="s">
        <v>170</v>
      </c>
      <c r="F43" t="s">
        <v>171</v>
      </c>
      <c r="G43" t="s">
        <v>172</v>
      </c>
      <c r="H43" t="s">
        <v>170</v>
      </c>
      <c r="I43" t="s">
        <v>170</v>
      </c>
      <c r="J43" t="s">
        <v>170</v>
      </c>
      <c r="K43" t="s">
        <v>170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170</v>
      </c>
    </row>
    <row r="44" spans="1:47">
      <c r="A44" t="s">
        <v>49</v>
      </c>
      <c r="B44" t="s">
        <v>61</v>
      </c>
      <c r="C44" t="s">
        <v>112</v>
      </c>
      <c r="D44" t="s">
        <v>170</v>
      </c>
      <c r="E44" t="s">
        <v>170</v>
      </c>
      <c r="F44" t="s">
        <v>171</v>
      </c>
      <c r="G44" t="s">
        <v>172</v>
      </c>
      <c r="H44" t="s">
        <v>170</v>
      </c>
      <c r="I44" t="s">
        <v>170</v>
      </c>
      <c r="J44" t="s">
        <v>170</v>
      </c>
      <c r="K44" t="s">
        <v>170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170</v>
      </c>
    </row>
    <row r="45" spans="1:47">
      <c r="A45" t="s">
        <v>49</v>
      </c>
      <c r="B45" t="s">
        <v>61</v>
      </c>
      <c r="C45" t="s">
        <v>185</v>
      </c>
      <c r="D45" t="s">
        <v>170</v>
      </c>
      <c r="E45" t="s">
        <v>170</v>
      </c>
      <c r="F45" t="s">
        <v>171</v>
      </c>
      <c r="G45" t="s">
        <v>172</v>
      </c>
      <c r="H45" t="s">
        <v>170</v>
      </c>
      <c r="I45" t="s">
        <v>170</v>
      </c>
      <c r="J45" t="s">
        <v>170</v>
      </c>
      <c r="K45" t="s">
        <v>170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170</v>
      </c>
    </row>
    <row r="46" spans="1:47">
      <c r="A46" t="s">
        <v>49</v>
      </c>
      <c r="B46" t="s">
        <v>61</v>
      </c>
      <c r="C46" t="s">
        <v>186</v>
      </c>
      <c r="D46" t="s">
        <v>170</v>
      </c>
      <c r="E46" t="s">
        <v>170</v>
      </c>
      <c r="F46" t="s">
        <v>171</v>
      </c>
      <c r="G46" t="s">
        <v>172</v>
      </c>
      <c r="H46" t="s">
        <v>170</v>
      </c>
      <c r="I46" t="s">
        <v>170</v>
      </c>
      <c r="J46" t="s">
        <v>170</v>
      </c>
      <c r="K46" t="s">
        <v>170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170</v>
      </c>
    </row>
    <row r="47" spans="1:47">
      <c r="A47" t="s">
        <v>49</v>
      </c>
      <c r="B47" t="s">
        <v>61</v>
      </c>
      <c r="C47" t="s">
        <v>187</v>
      </c>
      <c r="D47" t="s">
        <v>170</v>
      </c>
      <c r="E47" t="s">
        <v>170</v>
      </c>
      <c r="F47" t="s">
        <v>171</v>
      </c>
      <c r="G47" t="s">
        <v>172</v>
      </c>
      <c r="H47" t="s">
        <v>170</v>
      </c>
      <c r="I47" t="s">
        <v>170</v>
      </c>
      <c r="J47" t="s">
        <v>170</v>
      </c>
      <c r="K47" t="s">
        <v>170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170</v>
      </c>
    </row>
    <row r="48" spans="1:47">
      <c r="A48" t="s">
        <v>49</v>
      </c>
      <c r="B48" t="s">
        <v>61</v>
      </c>
      <c r="C48" t="s">
        <v>113</v>
      </c>
      <c r="D48" t="s">
        <v>170</v>
      </c>
      <c r="E48" t="s">
        <v>170</v>
      </c>
      <c r="F48" t="s">
        <v>171</v>
      </c>
      <c r="G48" t="s">
        <v>172</v>
      </c>
      <c r="H48" t="s">
        <v>170</v>
      </c>
      <c r="I48" t="s">
        <v>170</v>
      </c>
      <c r="J48" t="s">
        <v>170</v>
      </c>
      <c r="K48" t="s">
        <v>170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170</v>
      </c>
    </row>
    <row r="49" spans="1:47">
      <c r="A49" t="s">
        <v>49</v>
      </c>
      <c r="B49" t="s">
        <v>61</v>
      </c>
      <c r="C49" t="s">
        <v>188</v>
      </c>
      <c r="D49" t="s">
        <v>170</v>
      </c>
      <c r="E49" t="s">
        <v>170</v>
      </c>
      <c r="F49" t="s">
        <v>171</v>
      </c>
      <c r="G49" t="s">
        <v>172</v>
      </c>
      <c r="H49" t="s">
        <v>170</v>
      </c>
      <c r="I49" t="s">
        <v>170</v>
      </c>
      <c r="J49" t="s">
        <v>170</v>
      </c>
      <c r="K49" t="s">
        <v>170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170</v>
      </c>
    </row>
    <row r="50" spans="1:47">
      <c r="A50" t="s">
        <v>49</v>
      </c>
      <c r="B50" t="s">
        <v>61</v>
      </c>
      <c r="C50" t="s">
        <v>189</v>
      </c>
      <c r="D50" t="s">
        <v>170</v>
      </c>
      <c r="E50" t="s">
        <v>170</v>
      </c>
      <c r="F50" t="s">
        <v>171</v>
      </c>
      <c r="G50" t="s">
        <v>172</v>
      </c>
      <c r="H50" t="s">
        <v>170</v>
      </c>
      <c r="I50" t="s">
        <v>170</v>
      </c>
      <c r="J50" t="s">
        <v>170</v>
      </c>
      <c r="K50" t="s">
        <v>170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170</v>
      </c>
    </row>
    <row r="51" spans="1:47">
      <c r="A51" t="s">
        <v>49</v>
      </c>
      <c r="B51" t="s">
        <v>61</v>
      </c>
      <c r="C51" t="s">
        <v>114</v>
      </c>
      <c r="D51" t="s">
        <v>170</v>
      </c>
      <c r="E51" t="s">
        <v>170</v>
      </c>
      <c r="F51" t="s">
        <v>171</v>
      </c>
      <c r="G51" t="s">
        <v>172</v>
      </c>
      <c r="H51" t="s">
        <v>170</v>
      </c>
      <c r="I51" t="s">
        <v>170</v>
      </c>
      <c r="J51" t="s">
        <v>170</v>
      </c>
      <c r="K51" t="s">
        <v>170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170</v>
      </c>
    </row>
    <row r="52" spans="1:47">
      <c r="A52" t="s">
        <v>49</v>
      </c>
      <c r="B52" t="s">
        <v>61</v>
      </c>
      <c r="C52" t="s">
        <v>190</v>
      </c>
      <c r="D52" t="s">
        <v>170</v>
      </c>
      <c r="E52" t="s">
        <v>170</v>
      </c>
      <c r="F52" t="s">
        <v>171</v>
      </c>
      <c r="G52" t="s">
        <v>172</v>
      </c>
      <c r="H52" t="s">
        <v>170</v>
      </c>
      <c r="I52" t="s">
        <v>170</v>
      </c>
      <c r="J52" t="s">
        <v>170</v>
      </c>
      <c r="K52" t="s">
        <v>170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170</v>
      </c>
    </row>
    <row r="53" spans="1:47">
      <c r="A53" t="s">
        <v>49</v>
      </c>
      <c r="B53" t="s">
        <v>61</v>
      </c>
      <c r="C53" t="s">
        <v>191</v>
      </c>
      <c r="D53" t="s">
        <v>170</v>
      </c>
      <c r="E53" t="s">
        <v>170</v>
      </c>
      <c r="F53" t="s">
        <v>171</v>
      </c>
      <c r="G53" t="s">
        <v>172</v>
      </c>
      <c r="H53" t="s">
        <v>170</v>
      </c>
      <c r="I53" t="s">
        <v>170</v>
      </c>
      <c r="J53" t="s">
        <v>170</v>
      </c>
      <c r="K53" t="s">
        <v>170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170</v>
      </c>
    </row>
    <row r="54" spans="1:47">
      <c r="A54" t="s">
        <v>49</v>
      </c>
      <c r="B54" t="s">
        <v>61</v>
      </c>
      <c r="C54" t="s">
        <v>192</v>
      </c>
      <c r="D54" t="s">
        <v>170</v>
      </c>
      <c r="E54" t="s">
        <v>170</v>
      </c>
      <c r="F54" t="s">
        <v>171</v>
      </c>
      <c r="G54" t="s">
        <v>172</v>
      </c>
      <c r="H54" t="s">
        <v>170</v>
      </c>
      <c r="I54" t="s">
        <v>170</v>
      </c>
      <c r="J54" t="s">
        <v>170</v>
      </c>
      <c r="K54" t="s">
        <v>170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170</v>
      </c>
    </row>
    <row r="55" spans="1:47">
      <c r="A55" t="s">
        <v>49</v>
      </c>
      <c r="B55" t="s">
        <v>61</v>
      </c>
      <c r="C55" t="s">
        <v>193</v>
      </c>
      <c r="D55" t="s">
        <v>170</v>
      </c>
      <c r="E55" t="s">
        <v>170</v>
      </c>
      <c r="F55" t="s">
        <v>171</v>
      </c>
      <c r="G55" t="s">
        <v>172</v>
      </c>
      <c r="H55" t="s">
        <v>170</v>
      </c>
      <c r="I55" t="s">
        <v>170</v>
      </c>
      <c r="J55" t="s">
        <v>170</v>
      </c>
      <c r="K55" t="s">
        <v>170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2025-04-01T16:34:08Z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