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Height="75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<sst xmlns="http://schemas.openxmlformats.org/spreadsheetml/2006/main" count="1272" uniqueCount="196">
  <si>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</si>
  <si>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</si>
  <si>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</si>
  <si>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</si>
  <si>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</si>
  <si>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</si>
  <si>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</si>
  <si>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</si>
  <si>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</si>
  <si>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</si>
  <si>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</si>
  <si>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</si>
  <si>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</si>
  <si>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</si>
  <si>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</si>
  <si>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</si>
  <si>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</si>
  <si>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</si>
  <si>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</si>
  <si>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</si>
  <si>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</si>
  <si>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</si>
  <si>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</si>
  <si>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</si>
  <si>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</si>
  <si>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</si>
  <si>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</si>
  <si>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</si>
  <si>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</si>
  <si>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</si>
  <si>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</si>
  <si>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</si>
  <si>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</si>
  <si>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</si>
  <si>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</si>
  <si>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</si>
  <si>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</si>
  <si>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</si>
  <si>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</si>
  <si>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</si>
  <si>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</si>
  <si>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</si>
  <si>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</si>
  <si>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</si>
  <si>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</si>
  <si>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</si>
  <si>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</si>
  <si>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</si>
  <si>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</si>
  <si>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</si>
  <si>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</si>
  <si>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</si>
  <si>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</si>
  <si>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</si>
  <si>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</si>
  <si>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</si>
  <si>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</si>
  <si>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</si>
  <si>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</si>
  <si>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</si>
  <si>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</si>
  <si>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</si>
  <si>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</si>
  <si>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</si>
  <si>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</si>
  <si>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</si>
  <si>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</si>
  <si>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</si>
  <si>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</si>
  <si>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</si>
  <si>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</si>
  <si>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</si>
  <si>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</si>
  <si>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</si>
  <si>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</si>
  <si>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</si>
  <si>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</si>
  <si>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</si>
  <si>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</si>
  <si>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</si>
  <si>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</si>
  <si>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</si>
  <si>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</si>
  <si>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</si>
  <si>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</si>
  <si>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</si>
  <si>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</si>
  <si>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</si>
  <si>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</si>
  <si>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</si>
  <si>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</si>
  <si>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</si>
  <si>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</si>
  <si>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</si>
  <si>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</si>
  <si>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</si>
  <si>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</si>
  <si>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</si>
  <si>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</si>
  <si>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</si>
  <si>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</si>
  <si>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</si>
  <si>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</si>
  <si>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</si>
  <si>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</si>
  <si>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</si>
  <si>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</si>
  <si>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</si>
  <si>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</si>
  <si>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</si>
  <si>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</si>
  <si>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</si>
  <si>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</si>
  <si>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</si>
  <si>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</si>
  <si>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</si>
  <si>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</si>
  <si>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</si>
  <si>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</si>
  <si>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</si>
  <si>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</si>
  <si>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</si>
  <si>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</si>
  <si>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</si>
  <si>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</si>
  <si>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</si>
  <si>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</si>
  <si>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</si>
  <si>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</si>
  <si>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</si>
  <si>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timeslice</t>
  </si>
  <si>
    <t>Saudi Arabia</t>
  </si>
  <si>
    <t>annual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</si>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</sst>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b/>
      <sz val="22"/>
      <color theme="1"/>
      <name val="Arial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3" fillId="2" borderId="0" xfId="51" applyFont="1" applyFill="1"/>
    <xf numFmtId="0" fontId="0" fillId="2" borderId="0" xfId="0" applyFill="1"/>
    <xf numFmtId="0" fontId="4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0" fillId="2" borderId="1" xfId="51" applyFill="1" applyBorder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2" customWidth="1"/>
    <col min="2" max="2" width="8.85454545454546" style="22" customWidth="1"/>
    <col min="3" max="3" width="4.70909090909091" style="22" customWidth="1"/>
    <col min="4" max="4" width="8.85454545454546" style="22" customWidth="1"/>
    <col min="5" max="5" width="4.42727272727273" style="22" customWidth="1"/>
    <col min="6" max="6" width="4.28181818181818" style="22" customWidth="1"/>
    <col min="7" max="7" width="4.42727272727273" style="22" customWidth="1"/>
    <col min="8" max="8" width="4.57272727272727" style="22" customWidth="1"/>
    <col min="9" max="9" width="4" style="22" customWidth="1"/>
    <col min="10" max="10" width="4.42727272727273" style="22" customWidth="1"/>
    <col min="11" max="11" width="4.57272727272727" style="22" customWidth="1"/>
    <col min="12" max="12" width="4.42727272727273" style="22" customWidth="1"/>
    <col min="13" max="13" width="4" style="22" customWidth="1"/>
    <col min="14" max="14" width="4.28181818181818" style="22" customWidth="1"/>
    <col min="15" max="16" width="4.42727272727273" style="22" customWidth="1"/>
    <col min="17" max="18" width="4.57272727272727" style="22" customWidth="1"/>
    <col min="19" max="19" width="4.42727272727273" style="22" customWidth="1"/>
    <col min="20" max="20" width="5" style="22" customWidth="1"/>
    <col min="21" max="21" width="11.7090909090909" style="22" customWidth="1"/>
    <col min="22" max="22" width="10.7090909090909" style="22" customWidth="1"/>
    <col min="23" max="23" width="13.1363636363636" style="22" customWidth="1"/>
    <col min="24" max="259" width="11.4272727272727" style="22" customWidth="1"/>
    <col min="260" max="16384" width="9.13636363636364" style="2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M124"/>
  <sheetViews>
    <sheetView tabSelected="1" zoomScale="50" zoomScaleNormal="50" topLeftCell="A77" workbookViewId="0">
      <selection activeCell="AD115" sqref="AD115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7.13636363636364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4" width="7.13636363636364" customWidth="1"/>
    <col min="25" max="25" width="9.54545454545454" customWidth="1"/>
    <col min="26" max="33" width="7.13636363636364" customWidth="1"/>
    <col min="34" max="37" width="6" customWidth="1"/>
    <col min="38" max="38" width="15.5454545454545" customWidth="1"/>
    <col min="39" max="39" width="13.6363636363636" customWidth="1"/>
    <col min="40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3" t="s">
        <v>92</v>
      </c>
      <c r="C18">
        <v>0.2</v>
      </c>
      <c r="D18">
        <v>3</v>
      </c>
      <c r="E18" s="2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4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3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2:26">
      <c r="B63" s="9"/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="1" customFormat="1" ht="28" spans="1:1">
      <c r="A64" s="11"/>
    </row>
    <row r="65" s="1" customFormat="1" spans="1:91">
      <c r="A65" s="2"/>
      <c r="B65" s="12" t="s">
        <v>73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 t="s">
        <v>73</v>
      </c>
      <c r="AT65" s="2"/>
      <c r="AU65" s="2"/>
      <c r="AV65" s="2"/>
      <c r="AW65" s="2"/>
      <c r="AX65" s="2"/>
      <c r="AY65" s="2"/>
      <c r="AZ65" s="2"/>
      <c r="BA65" s="2"/>
      <c r="CG65" s="20"/>
      <c r="CH65" s="20"/>
      <c r="CI65" s="20" t="s">
        <v>73</v>
      </c>
      <c r="CJ65" s="20"/>
      <c r="CK65" s="20"/>
      <c r="CL65" s="20"/>
      <c r="CM65" s="20"/>
    </row>
    <row r="66" s="2" customFormat="1" spans="1:91">
      <c r="A66" s="2" t="s">
        <v>130</v>
      </c>
      <c r="B66" s="2" t="s">
        <v>56</v>
      </c>
      <c r="C66" s="2" t="s">
        <v>60</v>
      </c>
      <c r="D66" s="2" t="s">
        <v>44</v>
      </c>
      <c r="E66" s="2" t="s">
        <v>3</v>
      </c>
      <c r="F66" s="2" t="s">
        <v>5</v>
      </c>
      <c r="G66" s="2" t="s">
        <v>6</v>
      </c>
      <c r="H66" s="2" t="s">
        <v>7</v>
      </c>
      <c r="I66" s="2" t="s">
        <v>8</v>
      </c>
      <c r="J66" s="2" t="s">
        <v>9</v>
      </c>
      <c r="K66" s="2" t="s">
        <v>10</v>
      </c>
      <c r="L66" s="2" t="s">
        <v>11</v>
      </c>
      <c r="M66" s="2" t="s">
        <v>12</v>
      </c>
      <c r="N66" s="2" t="s">
        <v>13</v>
      </c>
      <c r="O66" s="2" t="s">
        <v>14</v>
      </c>
      <c r="P66" s="2" t="s">
        <v>15</v>
      </c>
      <c r="Q66" s="2" t="s">
        <v>16</v>
      </c>
      <c r="R66" s="2" t="s">
        <v>17</v>
      </c>
      <c r="S66" s="2" t="s">
        <v>18</v>
      </c>
      <c r="T66" s="2" t="s">
        <v>19</v>
      </c>
      <c r="U66" s="2" t="s">
        <v>20</v>
      </c>
      <c r="V66" s="2" t="s">
        <v>21</v>
      </c>
      <c r="W66" s="2" t="s">
        <v>22</v>
      </c>
      <c r="X66" s="2" t="s">
        <v>23</v>
      </c>
      <c r="Y66" s="2" t="s">
        <v>24</v>
      </c>
      <c r="Z66" s="2" t="s">
        <v>25</v>
      </c>
      <c r="AA66" s="2" t="s">
        <v>26</v>
      </c>
      <c r="AB66" s="2" t="s">
        <v>27</v>
      </c>
      <c r="AC66" s="2" t="s">
        <v>28</v>
      </c>
      <c r="AD66" s="2" t="s">
        <v>29</v>
      </c>
      <c r="AE66" s="2" t="s">
        <v>131</v>
      </c>
      <c r="AF66" s="2" t="s">
        <v>31</v>
      </c>
      <c r="AG66" s="2" t="s">
        <v>32</v>
      </c>
      <c r="AH66" s="2" t="s">
        <v>33</v>
      </c>
      <c r="AI66" s="2" t="s">
        <v>34</v>
      </c>
      <c r="AJ66" s="2" t="s">
        <v>35</v>
      </c>
      <c r="AK66" s="2" t="s">
        <v>36</v>
      </c>
      <c r="AL66" s="2" t="s">
        <v>37</v>
      </c>
      <c r="AM66" s="12" t="s">
        <v>45</v>
      </c>
      <c r="AN66" s="12" t="s">
        <v>59</v>
      </c>
      <c r="AQ66" s="2" t="s">
        <v>79</v>
      </c>
      <c r="AR66" s="2" t="s">
        <v>130</v>
      </c>
      <c r="AS66" s="2" t="s">
        <v>56</v>
      </c>
      <c r="AT66" s="2" t="s">
        <v>60</v>
      </c>
      <c r="AU66" s="2" t="s">
        <v>44</v>
      </c>
      <c r="AV66" s="2" t="s">
        <v>3</v>
      </c>
      <c r="AW66" s="2" t="s">
        <v>5</v>
      </c>
      <c r="AX66" s="2" t="s">
        <v>6</v>
      </c>
      <c r="AY66" s="2" t="s">
        <v>7</v>
      </c>
      <c r="AZ66" s="2" t="s">
        <v>8</v>
      </c>
      <c r="BA66" s="2" t="s">
        <v>9</v>
      </c>
      <c r="BB66" s="2" t="s">
        <v>10</v>
      </c>
      <c r="BC66" s="2" t="s">
        <v>11</v>
      </c>
      <c r="BD66" s="2" t="s">
        <v>12</v>
      </c>
      <c r="BE66" s="2" t="s">
        <v>13</v>
      </c>
      <c r="BF66" s="2" t="s">
        <v>14</v>
      </c>
      <c r="BG66" s="2" t="s">
        <v>15</v>
      </c>
      <c r="BH66" s="2" t="s">
        <v>16</v>
      </c>
      <c r="BI66" s="2" t="s">
        <v>17</v>
      </c>
      <c r="BJ66" s="2" t="s">
        <v>18</v>
      </c>
      <c r="BK66" s="2" t="s">
        <v>19</v>
      </c>
      <c r="BL66" s="2" t="s">
        <v>20</v>
      </c>
      <c r="BM66" s="2" t="s">
        <v>21</v>
      </c>
      <c r="BN66" s="2" t="s">
        <v>22</v>
      </c>
      <c r="BO66" s="2" t="s">
        <v>23</v>
      </c>
      <c r="BP66" s="2" t="s">
        <v>24</v>
      </c>
      <c r="BQ66" s="2" t="s">
        <v>25</v>
      </c>
      <c r="BR66" s="2" t="s">
        <v>26</v>
      </c>
      <c r="BS66" s="2" t="s">
        <v>27</v>
      </c>
      <c r="BT66" s="2" t="s">
        <v>28</v>
      </c>
      <c r="BU66" s="2" t="s">
        <v>29</v>
      </c>
      <c r="BV66" s="2" t="s">
        <v>131</v>
      </c>
      <c r="BW66" s="2" t="s">
        <v>31</v>
      </c>
      <c r="BX66" s="2" t="s">
        <v>32</v>
      </c>
      <c r="BY66" s="2" t="s">
        <v>33</v>
      </c>
      <c r="BZ66" s="2" t="s">
        <v>34</v>
      </c>
      <c r="CA66" s="2" t="s">
        <v>35</v>
      </c>
      <c r="CB66" s="2" t="s">
        <v>36</v>
      </c>
      <c r="CC66" s="2" t="s">
        <v>37</v>
      </c>
      <c r="CD66" s="2" t="s">
        <v>45</v>
      </c>
      <c r="CE66" s="2" t="s">
        <v>59</v>
      </c>
      <c r="CG66" s="21" t="s">
        <v>79</v>
      </c>
      <c r="CH66" s="21" t="s">
        <v>130</v>
      </c>
      <c r="CI66" s="21" t="s">
        <v>56</v>
      </c>
      <c r="CJ66" s="21" t="s">
        <v>60</v>
      </c>
      <c r="CK66" s="21" t="s">
        <v>44</v>
      </c>
      <c r="CL66" s="21" t="s">
        <v>45</v>
      </c>
      <c r="CM66" s="21" t="s">
        <v>59</v>
      </c>
    </row>
    <row r="67" s="2" customFormat="1" ht="14.5" spans="1:91">
      <c r="A67" s="2" t="s">
        <v>132</v>
      </c>
      <c r="B67" s="13" t="s">
        <v>133</v>
      </c>
      <c r="C67" s="2" t="s">
        <v>83</v>
      </c>
      <c r="D67" s="2">
        <v>0</v>
      </c>
      <c r="E67" s="2">
        <f t="shared" ref="E67:K67" si="2">D77/1000</f>
        <v>0</v>
      </c>
      <c r="F67" s="2">
        <f t="shared" si="2"/>
        <v>310</v>
      </c>
      <c r="G67" s="2">
        <f t="shared" si="2"/>
        <v>6200</v>
      </c>
      <c r="H67" s="2">
        <f t="shared" si="2"/>
        <v>0</v>
      </c>
      <c r="I67" s="2">
        <f t="shared" si="2"/>
        <v>0</v>
      </c>
      <c r="J67" s="2">
        <f t="shared" si="2"/>
        <v>0</v>
      </c>
      <c r="K67" s="2">
        <f t="shared" si="2"/>
        <v>250</v>
      </c>
      <c r="L67" s="2">
        <v>2000</v>
      </c>
      <c r="M67" s="2">
        <f t="shared" ref="M67:AL67" si="3">L77/1000</f>
        <v>0</v>
      </c>
      <c r="N67" s="2">
        <f t="shared" si="3"/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12250</v>
      </c>
      <c r="Y67" s="2">
        <f t="shared" si="3"/>
        <v>0</v>
      </c>
      <c r="Z67" s="2">
        <f t="shared" si="3"/>
        <v>1930</v>
      </c>
      <c r="AA67" s="2">
        <f t="shared" si="3"/>
        <v>0</v>
      </c>
      <c r="AB67" s="2">
        <f t="shared" si="3"/>
        <v>0</v>
      </c>
      <c r="AC67" s="2">
        <f t="shared" si="3"/>
        <v>3300</v>
      </c>
      <c r="AD67" s="2">
        <f t="shared" si="3"/>
        <v>0</v>
      </c>
      <c r="AE67" s="2">
        <f t="shared" si="3"/>
        <v>0</v>
      </c>
      <c r="AF67" s="2">
        <f t="shared" si="3"/>
        <v>0</v>
      </c>
      <c r="AG67" s="2">
        <f t="shared" si="3"/>
        <v>60</v>
      </c>
      <c r="AH67" s="2">
        <f t="shared" si="3"/>
        <v>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1" t="s">
        <v>134</v>
      </c>
      <c r="AN67" s="1" t="s">
        <v>135</v>
      </c>
      <c r="AQ67" s="2">
        <v>2050</v>
      </c>
      <c r="AR67" s="2" t="s">
        <v>132</v>
      </c>
      <c r="AS67" s="2" t="s">
        <v>133</v>
      </c>
      <c r="AT67" s="2" t="s">
        <v>83</v>
      </c>
      <c r="AU67" s="2">
        <v>0</v>
      </c>
      <c r="AV67" s="2">
        <v>0</v>
      </c>
      <c r="AW67" s="2">
        <v>310</v>
      </c>
      <c r="AX67" s="2">
        <v>6200</v>
      </c>
      <c r="AY67" s="2">
        <v>0</v>
      </c>
      <c r="AZ67" s="2">
        <v>0</v>
      </c>
      <c r="BA67" s="2">
        <v>0</v>
      </c>
      <c r="BB67" s="2">
        <v>250</v>
      </c>
      <c r="BC67" s="2">
        <v>2000</v>
      </c>
      <c r="BD67" s="2">
        <v>0</v>
      </c>
      <c r="BE67" s="2">
        <v>0</v>
      </c>
      <c r="BF67" s="2">
        <v>0</v>
      </c>
      <c r="BG67" s="2">
        <v>0</v>
      </c>
      <c r="BH67" s="2">
        <v>0</v>
      </c>
      <c r="BI67" s="2">
        <v>0</v>
      </c>
      <c r="BJ67" s="2">
        <v>0</v>
      </c>
      <c r="BK67" s="2">
        <v>0</v>
      </c>
      <c r="BL67" s="2">
        <v>0</v>
      </c>
      <c r="BM67" s="2">
        <v>0</v>
      </c>
      <c r="BN67" s="2">
        <v>0</v>
      </c>
      <c r="BO67" s="2">
        <v>12250</v>
      </c>
      <c r="BP67" s="2">
        <v>0</v>
      </c>
      <c r="BQ67" s="2">
        <v>1930</v>
      </c>
      <c r="BR67" s="2">
        <v>0</v>
      </c>
      <c r="BS67" s="2">
        <v>0</v>
      </c>
      <c r="BT67" s="2">
        <v>3300</v>
      </c>
      <c r="BU67" s="2">
        <v>0</v>
      </c>
      <c r="BV67" s="2">
        <v>0</v>
      </c>
      <c r="BW67" s="2">
        <v>0</v>
      </c>
      <c r="BX67" s="2">
        <v>60</v>
      </c>
      <c r="BY67" s="2">
        <v>0</v>
      </c>
      <c r="BZ67" s="2">
        <v>0</v>
      </c>
      <c r="CA67" s="2">
        <v>0</v>
      </c>
      <c r="CB67" s="2">
        <v>0</v>
      </c>
      <c r="CC67" s="2">
        <v>0</v>
      </c>
      <c r="CD67" s="2" t="s">
        <v>134</v>
      </c>
      <c r="CE67" s="2" t="s">
        <v>135</v>
      </c>
      <c r="CG67" s="21">
        <v>0</v>
      </c>
      <c r="CH67" s="21" t="s">
        <v>132</v>
      </c>
      <c r="CI67" s="21" t="s">
        <v>133</v>
      </c>
      <c r="CJ67" s="21" t="s">
        <v>83</v>
      </c>
      <c r="CK67" s="21">
        <v>5</v>
      </c>
      <c r="CL67" s="21" t="s">
        <v>134</v>
      </c>
      <c r="CM67" s="21" t="s">
        <v>135</v>
      </c>
    </row>
    <row r="68" s="2" customFormat="1" ht="14.5" spans="1:91">
      <c r="A68" s="2" t="s">
        <v>132</v>
      </c>
      <c r="B68" s="13" t="s">
        <v>133</v>
      </c>
      <c r="C68" s="2" t="s">
        <v>83</v>
      </c>
      <c r="D68" s="2">
        <v>0</v>
      </c>
      <c r="E68" s="2">
        <f t="shared" ref="E68:L68" si="4">D78/1000</f>
        <v>0</v>
      </c>
      <c r="F68" s="2">
        <f t="shared" si="4"/>
        <v>0</v>
      </c>
      <c r="G68" s="2">
        <f t="shared" si="4"/>
        <v>21000</v>
      </c>
      <c r="H68" s="2">
        <f t="shared" si="4"/>
        <v>0</v>
      </c>
      <c r="I68" s="2">
        <f t="shared" si="4"/>
        <v>0</v>
      </c>
      <c r="J68" s="2">
        <f t="shared" si="4"/>
        <v>0</v>
      </c>
      <c r="K68" s="2">
        <f t="shared" si="4"/>
        <v>16000</v>
      </c>
      <c r="L68" s="2">
        <f t="shared" si="4"/>
        <v>2100</v>
      </c>
      <c r="M68" s="2">
        <f t="shared" ref="M68:AL68" si="5">L78/1000</f>
        <v>0</v>
      </c>
      <c r="N68" s="2">
        <f t="shared" si="5"/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16000</v>
      </c>
      <c r="Y68" s="2">
        <f t="shared" si="5"/>
        <v>0</v>
      </c>
      <c r="Z68" s="2">
        <f t="shared" si="5"/>
        <v>2570</v>
      </c>
      <c r="AA68" s="2">
        <f t="shared" si="5"/>
        <v>0</v>
      </c>
      <c r="AB68" s="2">
        <f t="shared" si="5"/>
        <v>0</v>
      </c>
      <c r="AC68" s="2">
        <f t="shared" si="5"/>
        <v>52900</v>
      </c>
      <c r="AD68" s="2">
        <f t="shared" si="5"/>
        <v>7500</v>
      </c>
      <c r="AE68" s="2">
        <f t="shared" si="5"/>
        <v>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1" t="s">
        <v>134</v>
      </c>
      <c r="AN68" s="1" t="s">
        <v>136</v>
      </c>
      <c r="AQ68" s="2">
        <v>2050</v>
      </c>
      <c r="AR68" s="2" t="s">
        <v>132</v>
      </c>
      <c r="AS68" s="2" t="s">
        <v>133</v>
      </c>
      <c r="AT68" s="2" t="s">
        <v>83</v>
      </c>
      <c r="AU68" s="2">
        <v>0</v>
      </c>
      <c r="AV68" s="2">
        <v>0</v>
      </c>
      <c r="AW68" s="2">
        <v>0</v>
      </c>
      <c r="AX68" s="2">
        <v>21000</v>
      </c>
      <c r="AY68" s="2">
        <v>0</v>
      </c>
      <c r="AZ68" s="2">
        <v>0</v>
      </c>
      <c r="BA68" s="2">
        <v>0</v>
      </c>
      <c r="BB68" s="2">
        <v>16000</v>
      </c>
      <c r="BC68" s="2">
        <v>2100</v>
      </c>
      <c r="BD68" s="2">
        <v>0</v>
      </c>
      <c r="BE68" s="2">
        <v>0</v>
      </c>
      <c r="BF68" s="2">
        <v>0</v>
      </c>
      <c r="BG68" s="2">
        <v>0</v>
      </c>
      <c r="BH68" s="2">
        <v>0</v>
      </c>
      <c r="BI68" s="2">
        <v>0</v>
      </c>
      <c r="BJ68" s="2">
        <v>0</v>
      </c>
      <c r="BK68" s="2">
        <v>0</v>
      </c>
      <c r="BL68" s="2">
        <v>0</v>
      </c>
      <c r="BM68" s="2">
        <v>0</v>
      </c>
      <c r="BN68" s="2">
        <v>0</v>
      </c>
      <c r="BO68" s="2">
        <v>16000</v>
      </c>
      <c r="BP68" s="2">
        <v>0</v>
      </c>
      <c r="BQ68" s="2">
        <v>2570</v>
      </c>
      <c r="BR68" s="2">
        <v>0</v>
      </c>
      <c r="BS68" s="2">
        <v>0</v>
      </c>
      <c r="BT68" s="2">
        <v>52900</v>
      </c>
      <c r="BU68" s="2">
        <v>7500</v>
      </c>
      <c r="BV68" s="2">
        <v>0</v>
      </c>
      <c r="BW68" s="2">
        <v>0</v>
      </c>
      <c r="BX68" s="2">
        <v>0</v>
      </c>
      <c r="BY68" s="2">
        <v>0</v>
      </c>
      <c r="BZ68" s="2">
        <v>0</v>
      </c>
      <c r="CA68" s="2">
        <v>0</v>
      </c>
      <c r="CB68" s="2">
        <v>0</v>
      </c>
      <c r="CC68" s="2">
        <v>0</v>
      </c>
      <c r="CD68" s="2" t="s">
        <v>134</v>
      </c>
      <c r="CE68" s="2" t="s">
        <v>136</v>
      </c>
      <c r="CG68" s="21">
        <v>0</v>
      </c>
      <c r="CH68" s="21" t="s">
        <v>132</v>
      </c>
      <c r="CI68" s="21" t="s">
        <v>133</v>
      </c>
      <c r="CJ68" s="21" t="s">
        <v>83</v>
      </c>
      <c r="CK68" s="21">
        <v>5</v>
      </c>
      <c r="CL68" s="21" t="s">
        <v>134</v>
      </c>
      <c r="CM68" s="21" t="s">
        <v>136</v>
      </c>
    </row>
    <row r="69" s="2" customFormat="1" ht="14.5" spans="1:91">
      <c r="A69" s="2" t="s">
        <v>132</v>
      </c>
      <c r="B69" s="13" t="s">
        <v>133</v>
      </c>
      <c r="C69" s="2" t="s">
        <v>83</v>
      </c>
      <c r="D69" s="2">
        <v>0</v>
      </c>
      <c r="E69" s="2">
        <f t="shared" ref="E69:L69" si="6">D79/1000</f>
        <v>13</v>
      </c>
      <c r="F69" s="2">
        <f t="shared" si="6"/>
        <v>4100</v>
      </c>
      <c r="G69" s="2">
        <f t="shared" si="6"/>
        <v>1500</v>
      </c>
      <c r="H69" s="2">
        <f t="shared" si="6"/>
        <v>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140</v>
      </c>
      <c r="M69" s="2">
        <f t="shared" ref="M69:AL69" si="7">L79/1000</f>
        <v>0</v>
      </c>
      <c r="N69" s="2">
        <f t="shared" si="7"/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500</v>
      </c>
      <c r="Y69" s="2">
        <f t="shared" si="7"/>
        <v>36</v>
      </c>
      <c r="Z69" s="2">
        <f t="shared" si="7"/>
        <v>289</v>
      </c>
      <c r="AA69" s="2">
        <f t="shared" si="7"/>
        <v>0</v>
      </c>
      <c r="AB69" s="2">
        <f t="shared" si="7"/>
        <v>0</v>
      </c>
      <c r="AC69" s="2">
        <f t="shared" si="7"/>
        <v>1517</v>
      </c>
      <c r="AD69" s="2">
        <f t="shared" si="7"/>
        <v>250</v>
      </c>
      <c r="AE69" s="2">
        <f t="shared" si="7"/>
        <v>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36</v>
      </c>
      <c r="AK69" s="2">
        <f t="shared" si="7"/>
        <v>0</v>
      </c>
      <c r="AL69" s="2">
        <f t="shared" si="7"/>
        <v>0</v>
      </c>
      <c r="AM69" s="1" t="s">
        <v>134</v>
      </c>
      <c r="AN69" s="1" t="s">
        <v>137</v>
      </c>
      <c r="AQ69" s="2">
        <v>2050</v>
      </c>
      <c r="AR69" s="2" t="s">
        <v>132</v>
      </c>
      <c r="AS69" s="2" t="s">
        <v>133</v>
      </c>
      <c r="AT69" s="2" t="s">
        <v>83</v>
      </c>
      <c r="AU69" s="2">
        <v>0</v>
      </c>
      <c r="AV69" s="2">
        <v>13</v>
      </c>
      <c r="AW69" s="2">
        <v>4100</v>
      </c>
      <c r="AX69" s="2">
        <v>1500</v>
      </c>
      <c r="AY69" s="2">
        <v>0</v>
      </c>
      <c r="AZ69" s="2">
        <v>0</v>
      </c>
      <c r="BA69" s="2">
        <v>0</v>
      </c>
      <c r="BB69" s="2">
        <v>0</v>
      </c>
      <c r="BC69" s="2">
        <v>140</v>
      </c>
      <c r="BD69" s="2">
        <v>0</v>
      </c>
      <c r="BE69" s="2">
        <v>0</v>
      </c>
      <c r="BF69" s="2">
        <v>0</v>
      </c>
      <c r="BG69" s="2">
        <v>0</v>
      </c>
      <c r="BH69" s="2">
        <v>0</v>
      </c>
      <c r="BI69" s="2">
        <v>0</v>
      </c>
      <c r="BJ69" s="2">
        <v>0</v>
      </c>
      <c r="BK69" s="2">
        <v>0</v>
      </c>
      <c r="BL69" s="2">
        <v>0</v>
      </c>
      <c r="BM69" s="2">
        <v>0</v>
      </c>
      <c r="BN69" s="2">
        <v>0</v>
      </c>
      <c r="BO69" s="2">
        <v>500</v>
      </c>
      <c r="BP69" s="2">
        <v>36</v>
      </c>
      <c r="BQ69" s="2">
        <v>289</v>
      </c>
      <c r="BR69" s="2">
        <v>0</v>
      </c>
      <c r="BS69" s="2">
        <v>0</v>
      </c>
      <c r="BT69" s="2">
        <v>1517</v>
      </c>
      <c r="BU69" s="2">
        <v>250</v>
      </c>
      <c r="BV69" s="2">
        <v>0</v>
      </c>
      <c r="BW69" s="2">
        <v>0</v>
      </c>
      <c r="BX69" s="2">
        <v>0</v>
      </c>
      <c r="BY69" s="2">
        <v>0</v>
      </c>
      <c r="BZ69" s="2">
        <v>0</v>
      </c>
      <c r="CA69" s="2">
        <v>36</v>
      </c>
      <c r="CB69" s="2">
        <v>0</v>
      </c>
      <c r="CC69" s="2">
        <v>0</v>
      </c>
      <c r="CD69" s="2" t="s">
        <v>134</v>
      </c>
      <c r="CE69" s="2" t="s">
        <v>137</v>
      </c>
      <c r="CG69" s="21">
        <v>0</v>
      </c>
      <c r="CH69" s="21" t="s">
        <v>132</v>
      </c>
      <c r="CI69" s="21" t="s">
        <v>133</v>
      </c>
      <c r="CJ69" s="21" t="s">
        <v>83</v>
      </c>
      <c r="CK69" s="21">
        <v>5</v>
      </c>
      <c r="CL69" s="21" t="s">
        <v>134</v>
      </c>
      <c r="CM69" s="21" t="s">
        <v>137</v>
      </c>
    </row>
    <row r="70" s="2" customFormat="1" ht="14.5" spans="1:91">
      <c r="A70" s="2" t="s">
        <v>132</v>
      </c>
      <c r="B70" s="13" t="s">
        <v>133</v>
      </c>
      <c r="C70" s="2" t="s">
        <v>83</v>
      </c>
      <c r="D70" s="2">
        <v>0</v>
      </c>
      <c r="E70" s="2">
        <f t="shared" ref="E70:L70" si="8">D80/1000</f>
        <v>0</v>
      </c>
      <c r="F70" s="2">
        <f t="shared" si="8"/>
        <v>74000</v>
      </c>
      <c r="G70" s="2">
        <f t="shared" si="8"/>
        <v>270000</v>
      </c>
      <c r="H70" s="2">
        <f t="shared" si="8"/>
        <v>0</v>
      </c>
      <c r="I70" s="2">
        <f t="shared" si="8"/>
        <v>0</v>
      </c>
      <c r="J70" s="2">
        <f t="shared" si="8"/>
        <v>0</v>
      </c>
      <c r="K70" s="2">
        <f t="shared" si="8"/>
        <v>270000</v>
      </c>
      <c r="L70" s="2">
        <f t="shared" si="8"/>
        <v>280000</v>
      </c>
      <c r="M70" s="2">
        <f t="shared" ref="M70:AL70" si="9">L80/1000</f>
        <v>0</v>
      </c>
      <c r="N70" s="2">
        <f t="shared" si="9"/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34000</v>
      </c>
      <c r="U70" s="2">
        <f t="shared" si="9"/>
        <v>0</v>
      </c>
      <c r="V70" s="2">
        <f t="shared" si="9"/>
        <v>0</v>
      </c>
      <c r="W70" s="2">
        <f t="shared" si="9"/>
        <v>0</v>
      </c>
      <c r="X70" s="2">
        <f t="shared" si="9"/>
        <v>275000</v>
      </c>
      <c r="Y70" s="2">
        <f t="shared" si="9"/>
        <v>0</v>
      </c>
      <c r="Z70" s="2">
        <f t="shared" si="9"/>
        <v>0</v>
      </c>
      <c r="AA70" s="2">
        <f t="shared" si="9"/>
        <v>0</v>
      </c>
      <c r="AB70" s="2">
        <f t="shared" si="9"/>
        <v>0</v>
      </c>
      <c r="AC70" s="2">
        <f t="shared" si="9"/>
        <v>5000</v>
      </c>
      <c r="AD70" s="2">
        <f t="shared" si="9"/>
        <v>0</v>
      </c>
      <c r="AE70" s="2">
        <f t="shared" si="9"/>
        <v>0</v>
      </c>
      <c r="AF70" s="2">
        <f t="shared" si="9"/>
        <v>640000</v>
      </c>
      <c r="AG70" s="2">
        <f t="shared" si="9"/>
        <v>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140000</v>
      </c>
      <c r="AM70" s="1" t="s">
        <v>134</v>
      </c>
      <c r="AN70" s="1" t="s">
        <v>138</v>
      </c>
      <c r="AQ70" s="2">
        <v>2050</v>
      </c>
      <c r="AR70" s="2" t="s">
        <v>132</v>
      </c>
      <c r="AS70" s="2" t="s">
        <v>133</v>
      </c>
      <c r="AT70" s="2" t="s">
        <v>83</v>
      </c>
      <c r="AU70" s="2">
        <v>0</v>
      </c>
      <c r="AV70" s="2">
        <v>0</v>
      </c>
      <c r="AW70" s="2">
        <v>74000</v>
      </c>
      <c r="AX70" s="2">
        <v>270000</v>
      </c>
      <c r="AY70" s="2">
        <v>0</v>
      </c>
      <c r="AZ70" s="2">
        <v>0</v>
      </c>
      <c r="BA70" s="2">
        <v>0</v>
      </c>
      <c r="BB70" s="2">
        <v>270000</v>
      </c>
      <c r="BC70" s="2">
        <v>280000</v>
      </c>
      <c r="BD70" s="2">
        <v>0</v>
      </c>
      <c r="BE70" s="2">
        <v>0</v>
      </c>
      <c r="BF70" s="2">
        <v>0</v>
      </c>
      <c r="BG70" s="2">
        <v>0</v>
      </c>
      <c r="BH70" s="2">
        <v>0</v>
      </c>
      <c r="BI70" s="2">
        <v>0</v>
      </c>
      <c r="BJ70" s="2">
        <v>0</v>
      </c>
      <c r="BK70" s="2">
        <v>34000</v>
      </c>
      <c r="BL70" s="2">
        <v>0</v>
      </c>
      <c r="BM70" s="2">
        <v>0</v>
      </c>
      <c r="BN70" s="2">
        <v>0</v>
      </c>
      <c r="BO70" s="2">
        <v>275000</v>
      </c>
      <c r="BP70" s="2">
        <v>0</v>
      </c>
      <c r="BQ70" s="2">
        <v>0</v>
      </c>
      <c r="BR70" s="2">
        <v>0</v>
      </c>
      <c r="BS70" s="2">
        <v>0</v>
      </c>
      <c r="BT70" s="2">
        <v>5000</v>
      </c>
      <c r="BU70" s="2">
        <v>0</v>
      </c>
      <c r="BV70" s="2">
        <v>0</v>
      </c>
      <c r="BW70" s="2">
        <v>640000</v>
      </c>
      <c r="BX70" s="2">
        <v>0</v>
      </c>
      <c r="BY70" s="2">
        <v>0</v>
      </c>
      <c r="BZ70" s="2">
        <v>0</v>
      </c>
      <c r="CA70" s="2">
        <v>0</v>
      </c>
      <c r="CB70" s="2">
        <v>0</v>
      </c>
      <c r="CC70" s="2">
        <v>140000</v>
      </c>
      <c r="CD70" s="2" t="s">
        <v>134</v>
      </c>
      <c r="CE70" s="2" t="s">
        <v>138</v>
      </c>
      <c r="CG70" s="21">
        <v>0</v>
      </c>
      <c r="CH70" s="21" t="s">
        <v>132</v>
      </c>
      <c r="CI70" s="21" t="s">
        <v>133</v>
      </c>
      <c r="CJ70" s="21" t="s">
        <v>83</v>
      </c>
      <c r="CK70" s="21">
        <v>5</v>
      </c>
      <c r="CL70" s="21" t="s">
        <v>134</v>
      </c>
      <c r="CM70" s="21" t="s">
        <v>138</v>
      </c>
    </row>
    <row r="71" s="2" customFormat="1" ht="14.5" spans="1:91">
      <c r="A71" s="2" t="s">
        <v>132</v>
      </c>
      <c r="B71" s="13" t="s">
        <v>133</v>
      </c>
      <c r="C71" s="2" t="s">
        <v>83</v>
      </c>
      <c r="D71" s="2">
        <v>0</v>
      </c>
      <c r="E71" s="2">
        <f t="shared" ref="E71:L71" si="10">D81/1000</f>
        <v>0</v>
      </c>
      <c r="F71" s="2">
        <f t="shared" si="10"/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">
        <f t="shared" ref="M71:AL71" si="11">L81/1000</f>
        <v>0</v>
      </c>
      <c r="N71" s="2">
        <f t="shared" si="11"/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">
        <f t="shared" si="11"/>
        <v>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1" t="s">
        <v>134</v>
      </c>
      <c r="AN71" s="1" t="s">
        <v>139</v>
      </c>
      <c r="AQ71" s="2">
        <v>2050</v>
      </c>
      <c r="AR71" s="2" t="s">
        <v>132</v>
      </c>
      <c r="AS71" s="2" t="s">
        <v>133</v>
      </c>
      <c r="AT71" s="2" t="s">
        <v>83</v>
      </c>
      <c r="AU71" s="2">
        <v>0</v>
      </c>
      <c r="AV71" s="2">
        <v>0</v>
      </c>
      <c r="AW71" s="2">
        <v>0</v>
      </c>
      <c r="AX71" s="2">
        <v>0</v>
      </c>
      <c r="AY71" s="2">
        <v>0</v>
      </c>
      <c r="AZ71" s="2">
        <v>0</v>
      </c>
      <c r="BA71" s="2">
        <v>0</v>
      </c>
      <c r="BB71" s="2">
        <v>0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 t="s">
        <v>134</v>
      </c>
      <c r="CE71" s="2" t="s">
        <v>139</v>
      </c>
      <c r="CG71" s="21">
        <v>0</v>
      </c>
      <c r="CH71" s="21" t="s">
        <v>132</v>
      </c>
      <c r="CI71" s="21" t="s">
        <v>133</v>
      </c>
      <c r="CJ71" s="21" t="s">
        <v>83</v>
      </c>
      <c r="CK71" s="21">
        <v>5</v>
      </c>
      <c r="CL71" s="21" t="s">
        <v>134</v>
      </c>
      <c r="CM71" s="21" t="s">
        <v>139</v>
      </c>
    </row>
    <row r="72" s="2" customFormat="1" ht="14.5" spans="1:91">
      <c r="A72" s="2" t="s">
        <v>132</v>
      </c>
      <c r="B72" s="13" t="s">
        <v>133</v>
      </c>
      <c r="C72" s="2" t="s">
        <v>83</v>
      </c>
      <c r="D72" s="2">
        <v>0</v>
      </c>
      <c r="E72" s="2">
        <f t="shared" ref="E72:L72" si="12">D82/1000</f>
        <v>0</v>
      </c>
      <c r="F72" s="2">
        <f t="shared" si="12"/>
        <v>50000</v>
      </c>
      <c r="G72" s="2">
        <f t="shared" si="12"/>
        <v>97000</v>
      </c>
      <c r="H72" s="2">
        <f t="shared" si="12"/>
        <v>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27000</v>
      </c>
      <c r="M72" s="2">
        <f t="shared" ref="M72:AL72" si="13">L82/1000</f>
        <v>0</v>
      </c>
      <c r="N72" s="2">
        <f t="shared" si="13"/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324000</v>
      </c>
      <c r="Y72" s="2">
        <f t="shared" si="13"/>
        <v>0</v>
      </c>
      <c r="Z72" s="2">
        <f t="shared" si="13"/>
        <v>51600</v>
      </c>
      <c r="AA72" s="2">
        <f t="shared" si="13"/>
        <v>0</v>
      </c>
      <c r="AB72" s="2">
        <f t="shared" si="13"/>
        <v>30000</v>
      </c>
      <c r="AC72" s="2">
        <f t="shared" si="13"/>
        <v>244000</v>
      </c>
      <c r="AD72" s="2">
        <f t="shared" si="13"/>
        <v>62000</v>
      </c>
      <c r="AE72" s="2">
        <f t="shared" si="13"/>
        <v>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1" t="s">
        <v>134</v>
      </c>
      <c r="AN72" s="1" t="s">
        <v>140</v>
      </c>
      <c r="AQ72" s="2">
        <v>2050</v>
      </c>
      <c r="AR72" s="2" t="s">
        <v>132</v>
      </c>
      <c r="AS72" s="2" t="s">
        <v>133</v>
      </c>
      <c r="AT72" s="2" t="s">
        <v>83</v>
      </c>
      <c r="AU72" s="2">
        <v>0</v>
      </c>
      <c r="AV72" s="2">
        <v>0</v>
      </c>
      <c r="AW72" s="2">
        <v>50000</v>
      </c>
      <c r="AX72" s="2">
        <v>97000</v>
      </c>
      <c r="AY72" s="2">
        <v>0</v>
      </c>
      <c r="AZ72" s="2">
        <v>0</v>
      </c>
      <c r="BA72" s="2">
        <v>0</v>
      </c>
      <c r="BB72" s="2">
        <v>0</v>
      </c>
      <c r="BC72" s="2">
        <v>27000</v>
      </c>
      <c r="BD72" s="2">
        <v>0</v>
      </c>
      <c r="BE72" s="2">
        <v>0</v>
      </c>
      <c r="BF72" s="2">
        <v>0</v>
      </c>
      <c r="BG72" s="2">
        <v>0</v>
      </c>
      <c r="BH72" s="2">
        <v>0</v>
      </c>
      <c r="BI72" s="2">
        <v>0</v>
      </c>
      <c r="BJ72" s="2">
        <v>0</v>
      </c>
      <c r="BK72" s="2">
        <v>0</v>
      </c>
      <c r="BL72" s="2">
        <v>0</v>
      </c>
      <c r="BM72" s="2">
        <v>0</v>
      </c>
      <c r="BN72" s="2">
        <v>0</v>
      </c>
      <c r="BO72" s="2">
        <v>324000</v>
      </c>
      <c r="BP72" s="2">
        <v>0</v>
      </c>
      <c r="BQ72" s="2">
        <v>51600</v>
      </c>
      <c r="BR72" s="2">
        <v>0</v>
      </c>
      <c r="BS72" s="2">
        <v>30000</v>
      </c>
      <c r="BT72" s="2">
        <v>244000</v>
      </c>
      <c r="BU72" s="2">
        <v>62000</v>
      </c>
      <c r="BV72" s="2">
        <v>0</v>
      </c>
      <c r="BW72" s="2">
        <v>0</v>
      </c>
      <c r="BX72" s="2">
        <v>0</v>
      </c>
      <c r="BY72" s="2">
        <v>0</v>
      </c>
      <c r="BZ72" s="2">
        <v>0</v>
      </c>
      <c r="CA72" s="2">
        <v>0</v>
      </c>
      <c r="CB72" s="2">
        <v>0</v>
      </c>
      <c r="CC72" s="2">
        <v>0</v>
      </c>
      <c r="CD72" s="2" t="s">
        <v>134</v>
      </c>
      <c r="CE72" s="2" t="s">
        <v>140</v>
      </c>
      <c r="CG72" s="21">
        <v>0</v>
      </c>
      <c r="CH72" s="21" t="s">
        <v>132</v>
      </c>
      <c r="CI72" s="21" t="s">
        <v>133</v>
      </c>
      <c r="CJ72" s="21" t="s">
        <v>83</v>
      </c>
      <c r="CK72" s="21">
        <v>5</v>
      </c>
      <c r="CL72" s="21" t="s">
        <v>134</v>
      </c>
      <c r="CM72" s="21" t="s">
        <v>140</v>
      </c>
    </row>
    <row r="73" s="1" customFormat="1" ht="14.5" spans="1:91">
      <c r="A73" s="2" t="s">
        <v>132</v>
      </c>
      <c r="B73" s="13" t="s">
        <v>133</v>
      </c>
      <c r="C73" s="2" t="s">
        <v>83</v>
      </c>
      <c r="D73" s="2">
        <v>0</v>
      </c>
      <c r="E73" s="2">
        <f t="shared" ref="E73:L73" si="14">D83/1000</f>
        <v>0</v>
      </c>
      <c r="F73" s="2">
        <f t="shared" si="14"/>
        <v>69000</v>
      </c>
      <c r="G73" s="2">
        <f t="shared" si="14"/>
        <v>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74000</v>
      </c>
      <c r="L73" s="2">
        <f t="shared" si="14"/>
        <v>52000</v>
      </c>
      <c r="M73" s="2">
        <f t="shared" ref="M73:AL73" si="15">L83/1000</f>
        <v>0</v>
      </c>
      <c r="N73" s="2">
        <f t="shared" si="15"/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8000</v>
      </c>
      <c r="U73" s="2">
        <f t="shared" si="15"/>
        <v>0</v>
      </c>
      <c r="V73" s="2">
        <f t="shared" si="15"/>
        <v>0</v>
      </c>
      <c r="W73" s="2">
        <f t="shared" si="15"/>
        <v>0</v>
      </c>
      <c r="X73" s="2">
        <f t="shared" si="15"/>
        <v>77100</v>
      </c>
      <c r="Y73" s="2">
        <f t="shared" si="15"/>
        <v>90000</v>
      </c>
      <c r="Z73" s="2">
        <f t="shared" si="15"/>
        <v>5700</v>
      </c>
      <c r="AA73" s="2">
        <f t="shared" si="15"/>
        <v>600</v>
      </c>
      <c r="AB73" s="2">
        <f t="shared" si="15"/>
        <v>0</v>
      </c>
      <c r="AC73" s="2">
        <f t="shared" si="15"/>
        <v>12900</v>
      </c>
      <c r="AD73" s="2">
        <f t="shared" si="15"/>
        <v>14000</v>
      </c>
      <c r="AE73" s="2">
        <f t="shared" si="15"/>
        <v>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90000</v>
      </c>
      <c r="AK73" s="2">
        <f t="shared" si="15"/>
        <v>0</v>
      </c>
      <c r="AL73" s="2">
        <f t="shared" si="15"/>
        <v>0</v>
      </c>
      <c r="AM73" s="1" t="s">
        <v>134</v>
      </c>
      <c r="AN73" s="1" t="s">
        <v>141</v>
      </c>
      <c r="AQ73" s="2">
        <v>2050</v>
      </c>
      <c r="AR73" s="1" t="s">
        <v>132</v>
      </c>
      <c r="AS73" s="1" t="s">
        <v>133</v>
      </c>
      <c r="AT73" s="1" t="s">
        <v>83</v>
      </c>
      <c r="AU73" s="1">
        <v>0</v>
      </c>
      <c r="AV73" s="1">
        <v>0</v>
      </c>
      <c r="AW73" s="1">
        <v>69000</v>
      </c>
      <c r="AX73" s="1">
        <v>0</v>
      </c>
      <c r="AY73" s="1">
        <v>0</v>
      </c>
      <c r="AZ73" s="1">
        <v>0</v>
      </c>
      <c r="BA73" s="1">
        <v>0</v>
      </c>
      <c r="BB73" s="1">
        <v>74000</v>
      </c>
      <c r="BC73" s="1">
        <v>52000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8000</v>
      </c>
      <c r="BL73" s="1">
        <v>0</v>
      </c>
      <c r="BM73" s="1">
        <v>0</v>
      </c>
      <c r="BN73" s="1">
        <v>0</v>
      </c>
      <c r="BO73" s="1">
        <v>77100</v>
      </c>
      <c r="BP73" s="1">
        <v>90000</v>
      </c>
      <c r="BQ73" s="1">
        <v>5700</v>
      </c>
      <c r="BR73" s="1">
        <v>600</v>
      </c>
      <c r="BS73" s="1">
        <v>0</v>
      </c>
      <c r="BT73" s="1">
        <v>12900</v>
      </c>
      <c r="BU73" s="1">
        <v>14000</v>
      </c>
      <c r="BV73" s="1">
        <v>0</v>
      </c>
      <c r="BW73" s="1">
        <v>0</v>
      </c>
      <c r="BX73" s="1">
        <v>0</v>
      </c>
      <c r="BY73" s="1">
        <v>0</v>
      </c>
      <c r="BZ73" s="1">
        <v>0</v>
      </c>
      <c r="CA73" s="1">
        <v>90000</v>
      </c>
      <c r="CB73" s="1">
        <v>0</v>
      </c>
      <c r="CC73" s="1">
        <v>0</v>
      </c>
      <c r="CD73" s="1" t="s">
        <v>134</v>
      </c>
      <c r="CE73" s="1" t="s">
        <v>141</v>
      </c>
      <c r="CG73" s="21">
        <v>0</v>
      </c>
      <c r="CH73" s="20" t="s">
        <v>132</v>
      </c>
      <c r="CI73" s="20" t="s">
        <v>133</v>
      </c>
      <c r="CJ73" s="20" t="s">
        <v>83</v>
      </c>
      <c r="CK73" s="21">
        <v>5</v>
      </c>
      <c r="CL73" s="20" t="s">
        <v>134</v>
      </c>
      <c r="CM73" s="20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0">
      <c r="C102" s="16"/>
      <c r="D102" t="s">
        <v>73</v>
      </c>
      <c r="K102" s="16"/>
      <c r="L102" t="s">
        <v>73</v>
      </c>
      <c r="S102" s="16"/>
      <c r="T102" t="s">
        <v>73</v>
      </c>
    </row>
    <row r="103" s="4" customFormat="1" spans="3:23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J103" s="4" t="s">
        <v>79</v>
      </c>
      <c r="K103" s="16" t="s">
        <v>56</v>
      </c>
      <c r="L103" s="17" t="s">
        <v>45</v>
      </c>
      <c r="M103" s="17" t="s">
        <v>44</v>
      </c>
      <c r="N103" s="17" t="s">
        <v>11</v>
      </c>
      <c r="O103" s="17" t="s">
        <v>25</v>
      </c>
      <c r="R103" s="4" t="s">
        <v>79</v>
      </c>
      <c r="S103" s="16" t="s">
        <v>56</v>
      </c>
      <c r="T103" s="17" t="s">
        <v>45</v>
      </c>
      <c r="U103" s="17" t="s">
        <v>44</v>
      </c>
      <c r="V103" s="17" t="s">
        <v>11</v>
      </c>
      <c r="W103" s="17" t="s">
        <v>25</v>
      </c>
    </row>
    <row r="104" s="4" customFormat="1" spans="3:23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J104" s="4">
        <v>2050</v>
      </c>
      <c r="K104" s="16" t="s">
        <v>118</v>
      </c>
      <c r="L104" s="17" t="s">
        <v>144</v>
      </c>
      <c r="M104" s="17">
        <f>E104*0.313</f>
        <v>2.22663316246622</v>
      </c>
      <c r="N104" s="17">
        <f>F104*0.313</f>
        <v>1.69076293868828</v>
      </c>
      <c r="O104" s="17">
        <f>G104*0.313</f>
        <v>2.77174252962417</v>
      </c>
      <c r="R104" s="4">
        <v>0</v>
      </c>
      <c r="S104" s="16" t="s">
        <v>118</v>
      </c>
      <c r="T104" s="17" t="s">
        <v>144</v>
      </c>
      <c r="U104" s="17">
        <v>5</v>
      </c>
      <c r="V104" s="17">
        <v>5</v>
      </c>
      <c r="W104" s="17">
        <v>5</v>
      </c>
    </row>
    <row r="105" s="4" customFormat="1" spans="3:23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J105" s="4">
        <v>2050</v>
      </c>
      <c r="K105" s="16" t="s">
        <v>118</v>
      </c>
      <c r="L105" s="17" t="s">
        <v>145</v>
      </c>
      <c r="M105" s="17">
        <f t="shared" ref="M105:M124" si="16">E105*0.313</f>
        <v>2.22663316246622</v>
      </c>
      <c r="N105" s="17">
        <f t="shared" ref="N105:N124" si="17">F105*0.313</f>
        <v>1.69076293868828</v>
      </c>
      <c r="O105" s="17">
        <f t="shared" ref="O105:O124" si="18">G105*0.313</f>
        <v>2.77174252962417</v>
      </c>
      <c r="R105" s="4">
        <v>0</v>
      </c>
      <c r="S105" s="16" t="s">
        <v>118</v>
      </c>
      <c r="T105" s="17" t="s">
        <v>145</v>
      </c>
      <c r="U105" s="17">
        <v>5</v>
      </c>
      <c r="V105" s="17">
        <v>5</v>
      </c>
      <c r="W105" s="17">
        <v>5</v>
      </c>
    </row>
    <row r="106" spans="3:23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J106" s="4">
        <v>2050</v>
      </c>
      <c r="K106" s="16" t="s">
        <v>118</v>
      </c>
      <c r="L106" s="17" t="s">
        <v>146</v>
      </c>
      <c r="M106" s="17">
        <f t="shared" si="16"/>
        <v>2.38811314546794</v>
      </c>
      <c r="N106" s="17">
        <f t="shared" si="17"/>
        <v>1.81338051569639</v>
      </c>
      <c r="O106" s="17">
        <f t="shared" si="18"/>
        <v>2.97275495851142</v>
      </c>
      <c r="R106" s="4">
        <v>0</v>
      </c>
      <c r="S106" s="16" t="s">
        <v>118</v>
      </c>
      <c r="T106" s="17" t="s">
        <v>146</v>
      </c>
      <c r="U106" s="17">
        <v>5</v>
      </c>
      <c r="V106" s="17">
        <v>5</v>
      </c>
      <c r="W106" s="17">
        <v>5</v>
      </c>
    </row>
    <row r="107" spans="3:23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J107" s="4">
        <v>2050</v>
      </c>
      <c r="K107" s="16" t="s">
        <v>118</v>
      </c>
      <c r="L107" s="17" t="s">
        <v>147</v>
      </c>
      <c r="M107" s="17">
        <f t="shared" si="16"/>
        <v>2.338413866028</v>
      </c>
      <c r="N107" s="17">
        <f t="shared" si="17"/>
        <v>1.77564205725866</v>
      </c>
      <c r="O107" s="17">
        <f t="shared" si="18"/>
        <v>2.91088862866618</v>
      </c>
      <c r="R107" s="4">
        <v>0</v>
      </c>
      <c r="S107" s="16" t="s">
        <v>118</v>
      </c>
      <c r="T107" s="17" t="s">
        <v>147</v>
      </c>
      <c r="U107" s="17">
        <v>5</v>
      </c>
      <c r="V107" s="17">
        <v>5</v>
      </c>
      <c r="W107" s="17">
        <v>5</v>
      </c>
    </row>
    <row r="108" spans="3:23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J108" s="4">
        <v>2050</v>
      </c>
      <c r="K108" s="16" t="s">
        <v>118</v>
      </c>
      <c r="L108" s="17" t="s">
        <v>148</v>
      </c>
      <c r="M108" s="17">
        <f t="shared" si="16"/>
        <v>2.35264421766151</v>
      </c>
      <c r="N108" s="17">
        <f t="shared" si="17"/>
        <v>1.78644768452469</v>
      </c>
      <c r="O108" s="17">
        <f t="shared" si="18"/>
        <v>2.92860276794399</v>
      </c>
      <c r="R108" s="4">
        <v>0</v>
      </c>
      <c r="S108" s="16" t="s">
        <v>118</v>
      </c>
      <c r="T108" s="17" t="s">
        <v>148</v>
      </c>
      <c r="U108" s="17">
        <v>5</v>
      </c>
      <c r="V108" s="17">
        <v>5</v>
      </c>
      <c r="W108" s="17">
        <v>5</v>
      </c>
    </row>
    <row r="109" spans="3:23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J109" s="4">
        <v>2050</v>
      </c>
      <c r="K109" s="16" t="s">
        <v>118</v>
      </c>
      <c r="L109" s="17" t="s">
        <v>149</v>
      </c>
      <c r="M109" s="17">
        <f t="shared" si="16"/>
        <v>2.36326350574797</v>
      </c>
      <c r="N109" s="17">
        <f t="shared" si="17"/>
        <v>1.79451129801032</v>
      </c>
      <c r="O109" s="17">
        <f t="shared" si="18"/>
        <v>2.9418217935888</v>
      </c>
      <c r="R109" s="4">
        <v>0</v>
      </c>
      <c r="S109" s="16" t="s">
        <v>118</v>
      </c>
      <c r="T109" s="17" t="s">
        <v>149</v>
      </c>
      <c r="U109" s="17">
        <v>5</v>
      </c>
      <c r="V109" s="17">
        <v>5</v>
      </c>
      <c r="W109" s="17">
        <v>5</v>
      </c>
    </row>
    <row r="110" spans="3:23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J110" s="4">
        <v>2050</v>
      </c>
      <c r="K110" s="16" t="s">
        <v>118</v>
      </c>
      <c r="L110" s="17" t="s">
        <v>150</v>
      </c>
      <c r="M110" s="17">
        <f t="shared" si="16"/>
        <v>2.38811314546794</v>
      </c>
      <c r="N110" s="17">
        <f t="shared" si="17"/>
        <v>1.81338051569639</v>
      </c>
      <c r="O110" s="17">
        <f t="shared" si="18"/>
        <v>2.97275495851142</v>
      </c>
      <c r="R110" s="4">
        <v>0</v>
      </c>
      <c r="S110" s="16" t="s">
        <v>118</v>
      </c>
      <c r="T110" s="17" t="s">
        <v>150</v>
      </c>
      <c r="U110" s="17">
        <v>5</v>
      </c>
      <c r="V110" s="17">
        <v>5</v>
      </c>
      <c r="W110" s="17">
        <v>5</v>
      </c>
    </row>
    <row r="111" spans="3:23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J111" s="4">
        <v>2050</v>
      </c>
      <c r="K111" s="16" t="s">
        <v>118</v>
      </c>
      <c r="L111" s="17" t="s">
        <v>151</v>
      </c>
      <c r="M111" s="17">
        <f t="shared" si="16"/>
        <v>1.3095438006141</v>
      </c>
      <c r="N111" s="17">
        <f t="shared" si="17"/>
        <v>0.994383885335299</v>
      </c>
      <c r="O111" s="17">
        <f t="shared" si="18"/>
        <v>1.63013751429624</v>
      </c>
      <c r="R111" s="4">
        <v>0</v>
      </c>
      <c r="S111" s="16" t="s">
        <v>118</v>
      </c>
      <c r="T111" s="17" t="s">
        <v>151</v>
      </c>
      <c r="U111" s="17">
        <v>5</v>
      </c>
      <c r="V111" s="17">
        <v>5</v>
      </c>
      <c r="W111" s="17">
        <v>5</v>
      </c>
    </row>
    <row r="112" spans="3:23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J112" s="4">
        <v>2050</v>
      </c>
      <c r="K112" s="16" t="s">
        <v>118</v>
      </c>
      <c r="L112" s="17" t="s">
        <v>152</v>
      </c>
      <c r="M112" s="17">
        <f t="shared" si="16"/>
        <v>1.3095438006141</v>
      </c>
      <c r="N112" s="17">
        <f t="shared" si="17"/>
        <v>0.994383885335299</v>
      </c>
      <c r="O112" s="17">
        <f t="shared" si="18"/>
        <v>1.63013751429624</v>
      </c>
      <c r="R112" s="4">
        <v>0</v>
      </c>
      <c r="S112" s="16" t="s">
        <v>118</v>
      </c>
      <c r="T112" s="17" t="s">
        <v>152</v>
      </c>
      <c r="U112" s="17">
        <v>5</v>
      </c>
      <c r="V112" s="17">
        <v>5</v>
      </c>
      <c r="W112" s="17">
        <v>5</v>
      </c>
    </row>
    <row r="113" spans="3:23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J113" s="4">
        <v>2050</v>
      </c>
      <c r="K113" s="16" t="s">
        <v>118</v>
      </c>
      <c r="L113" s="17" t="s">
        <v>153</v>
      </c>
      <c r="M113" s="17">
        <f t="shared" si="16"/>
        <v>1.3095438006141</v>
      </c>
      <c r="N113" s="17">
        <f t="shared" si="17"/>
        <v>0.994383885335299</v>
      </c>
      <c r="O113" s="17">
        <f t="shared" si="18"/>
        <v>1.63013751429624</v>
      </c>
      <c r="R113" s="4">
        <v>0</v>
      </c>
      <c r="S113" s="16" t="s">
        <v>118</v>
      </c>
      <c r="T113" s="17" t="s">
        <v>153</v>
      </c>
      <c r="U113" s="17">
        <v>5</v>
      </c>
      <c r="V113" s="17">
        <v>5</v>
      </c>
      <c r="W113" s="17">
        <v>5</v>
      </c>
    </row>
    <row r="114" spans="3:23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J114" s="4">
        <v>2050</v>
      </c>
      <c r="K114" s="16" t="s">
        <v>118</v>
      </c>
      <c r="L114" s="17" t="s">
        <v>154</v>
      </c>
      <c r="M114" s="17">
        <f t="shared" si="16"/>
        <v>1.3095438006141</v>
      </c>
      <c r="N114" s="17">
        <f t="shared" si="17"/>
        <v>0.994383885335299</v>
      </c>
      <c r="O114" s="17">
        <f t="shared" si="18"/>
        <v>1.63013751429624</v>
      </c>
      <c r="R114" s="4">
        <v>0</v>
      </c>
      <c r="S114" s="16" t="s">
        <v>118</v>
      </c>
      <c r="T114" s="17" t="s">
        <v>154</v>
      </c>
      <c r="U114" s="17">
        <v>5</v>
      </c>
      <c r="V114" s="17">
        <v>5</v>
      </c>
      <c r="W114" s="17">
        <v>5</v>
      </c>
    </row>
    <row r="115" spans="3:23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J115" s="4">
        <v>2050</v>
      </c>
      <c r="K115" s="16" t="s">
        <v>118</v>
      </c>
      <c r="L115" s="17" t="s">
        <v>155</v>
      </c>
      <c r="M115" s="17">
        <f t="shared" si="16"/>
        <v>1.3095438006141</v>
      </c>
      <c r="N115" s="17">
        <f t="shared" si="17"/>
        <v>0.994383885335299</v>
      </c>
      <c r="O115" s="17">
        <f t="shared" si="18"/>
        <v>1.63013751429624</v>
      </c>
      <c r="R115" s="4">
        <v>0</v>
      </c>
      <c r="S115" s="16" t="s">
        <v>118</v>
      </c>
      <c r="T115" s="17" t="s">
        <v>155</v>
      </c>
      <c r="U115" s="17">
        <v>5</v>
      </c>
      <c r="V115" s="17">
        <v>5</v>
      </c>
      <c r="W115" s="17">
        <v>5</v>
      </c>
    </row>
    <row r="116" spans="3:23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J116" s="4">
        <v>2050</v>
      </c>
      <c r="K116" s="16" t="s">
        <v>118</v>
      </c>
      <c r="L116" s="17" t="s">
        <v>156</v>
      </c>
      <c r="M116" s="17">
        <f t="shared" si="16"/>
        <v>1.3095438006141</v>
      </c>
      <c r="N116" s="17">
        <f t="shared" si="17"/>
        <v>0.994383885335299</v>
      </c>
      <c r="O116" s="17">
        <f t="shared" si="18"/>
        <v>1.63013751429624</v>
      </c>
      <c r="R116" s="4">
        <v>0</v>
      </c>
      <c r="S116" s="16" t="s">
        <v>118</v>
      </c>
      <c r="T116" s="17" t="s">
        <v>156</v>
      </c>
      <c r="U116" s="17">
        <v>5</v>
      </c>
      <c r="V116" s="17">
        <v>5</v>
      </c>
      <c r="W116" s="17">
        <v>5</v>
      </c>
    </row>
    <row r="117" spans="3:23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J117" s="4">
        <v>2050</v>
      </c>
      <c r="K117" s="16" t="s">
        <v>118</v>
      </c>
      <c r="L117" s="17" t="s">
        <v>157</v>
      </c>
      <c r="M117" s="17">
        <f t="shared" si="16"/>
        <v>1.3095438006141</v>
      </c>
      <c r="N117" s="17">
        <f t="shared" si="17"/>
        <v>0.994383885335299</v>
      </c>
      <c r="O117" s="17">
        <f t="shared" si="18"/>
        <v>1.63013751429624</v>
      </c>
      <c r="R117" s="4">
        <v>0</v>
      </c>
      <c r="S117" s="16" t="s">
        <v>118</v>
      </c>
      <c r="T117" s="17" t="s">
        <v>157</v>
      </c>
      <c r="U117" s="17">
        <v>5</v>
      </c>
      <c r="V117" s="17">
        <v>5</v>
      </c>
      <c r="W117" s="17">
        <v>5</v>
      </c>
    </row>
    <row r="118" spans="3:23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J118" s="4">
        <v>2050</v>
      </c>
      <c r="K118" s="16" t="s">
        <v>118</v>
      </c>
      <c r="L118" s="17" t="s">
        <v>158</v>
      </c>
      <c r="M118" s="17">
        <f t="shared" si="16"/>
        <v>1.1160211134365</v>
      </c>
      <c r="N118" s="17">
        <f t="shared" si="17"/>
        <v>0.847435113780397</v>
      </c>
      <c r="O118" s="17">
        <f t="shared" si="18"/>
        <v>1.38923790619012</v>
      </c>
      <c r="R118" s="4">
        <v>0</v>
      </c>
      <c r="S118" s="16" t="s">
        <v>118</v>
      </c>
      <c r="T118" s="17" t="s">
        <v>158</v>
      </c>
      <c r="U118" s="17">
        <v>5</v>
      </c>
      <c r="V118" s="17">
        <v>5</v>
      </c>
      <c r="W118" s="17">
        <v>5</v>
      </c>
    </row>
    <row r="119" spans="3:23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J119" s="4">
        <v>2050</v>
      </c>
      <c r="K119" s="16" t="s">
        <v>118</v>
      </c>
      <c r="L119" s="17" t="s">
        <v>159</v>
      </c>
      <c r="M119" s="17">
        <f t="shared" si="16"/>
        <v>1.1270745266028</v>
      </c>
      <c r="N119" s="17">
        <f t="shared" si="17"/>
        <v>0.855828380619012</v>
      </c>
      <c r="O119" s="17">
        <f t="shared" si="18"/>
        <v>1.40299733544584</v>
      </c>
      <c r="R119" s="4">
        <v>0</v>
      </c>
      <c r="S119" s="16" t="s">
        <v>118</v>
      </c>
      <c r="T119" s="17" t="s">
        <v>159</v>
      </c>
      <c r="U119" s="17">
        <v>5</v>
      </c>
      <c r="V119" s="17">
        <v>5</v>
      </c>
      <c r="W119" s="17">
        <v>5</v>
      </c>
    </row>
    <row r="120" spans="3:23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J120" s="4">
        <v>2050</v>
      </c>
      <c r="K120" s="16" t="s">
        <v>118</v>
      </c>
      <c r="L120" s="17" t="s">
        <v>160</v>
      </c>
      <c r="M120" s="17">
        <f t="shared" si="16"/>
        <v>1.1160211134365</v>
      </c>
      <c r="N120" s="17">
        <f t="shared" si="17"/>
        <v>0.847435113780397</v>
      </c>
      <c r="O120" s="17">
        <f t="shared" si="18"/>
        <v>1.38923790619012</v>
      </c>
      <c r="R120" s="4">
        <v>0</v>
      </c>
      <c r="S120" s="16" t="s">
        <v>118</v>
      </c>
      <c r="T120" s="17" t="s">
        <v>160</v>
      </c>
      <c r="U120" s="17">
        <v>5</v>
      </c>
      <c r="V120" s="17">
        <v>5</v>
      </c>
      <c r="W120" s="17">
        <v>5</v>
      </c>
    </row>
    <row r="121" spans="3:23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J121" s="4">
        <v>2050</v>
      </c>
      <c r="K121" s="16" t="s">
        <v>118</v>
      </c>
      <c r="L121" s="17" t="s">
        <v>161</v>
      </c>
      <c r="M121" s="17">
        <f t="shared" si="16"/>
        <v>1.11630000712356</v>
      </c>
      <c r="N121" s="17">
        <f t="shared" si="17"/>
        <v>0.847646901989683</v>
      </c>
      <c r="O121" s="17">
        <f t="shared" si="18"/>
        <v>1.38958506632277</v>
      </c>
      <c r="R121" s="4">
        <v>0</v>
      </c>
      <c r="S121" s="16" t="s">
        <v>118</v>
      </c>
      <c r="T121" s="17" t="s">
        <v>161</v>
      </c>
      <c r="U121" s="17">
        <v>5</v>
      </c>
      <c r="V121" s="17">
        <v>5</v>
      </c>
      <c r="W121" s="17">
        <v>5</v>
      </c>
    </row>
    <row r="122" spans="3:23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J122" s="4">
        <v>2050</v>
      </c>
      <c r="K122" s="16" t="s">
        <v>118</v>
      </c>
      <c r="L122" s="17" t="s">
        <v>162</v>
      </c>
      <c r="M122" s="17">
        <f t="shared" si="16"/>
        <v>1.11611406005895</v>
      </c>
      <c r="N122" s="17">
        <f t="shared" si="17"/>
        <v>0.847505694473101</v>
      </c>
      <c r="O122" s="17">
        <f t="shared" si="18"/>
        <v>1.38935360316875</v>
      </c>
      <c r="R122" s="4">
        <v>0</v>
      </c>
      <c r="S122" s="16" t="s">
        <v>118</v>
      </c>
      <c r="T122" s="17" t="s">
        <v>162</v>
      </c>
      <c r="U122" s="17">
        <v>5</v>
      </c>
      <c r="V122" s="17">
        <v>5</v>
      </c>
      <c r="W122" s="17">
        <v>5</v>
      </c>
    </row>
    <row r="123" spans="3:23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J123" s="4">
        <v>2050</v>
      </c>
      <c r="K123" s="16" t="s">
        <v>118</v>
      </c>
      <c r="L123" s="17" t="s">
        <v>163</v>
      </c>
      <c r="M123" s="17">
        <f t="shared" si="16"/>
        <v>1.1160211134365</v>
      </c>
      <c r="N123" s="17">
        <f t="shared" si="17"/>
        <v>0.847435113780397</v>
      </c>
      <c r="O123" s="17">
        <f t="shared" si="18"/>
        <v>1.38923790619012</v>
      </c>
      <c r="R123" s="4">
        <v>0</v>
      </c>
      <c r="S123" s="16" t="s">
        <v>118</v>
      </c>
      <c r="T123" s="17" t="s">
        <v>163</v>
      </c>
      <c r="U123" s="17">
        <v>5</v>
      </c>
      <c r="V123" s="17">
        <v>5</v>
      </c>
      <c r="W123" s="17">
        <v>5</v>
      </c>
    </row>
    <row r="124" spans="3:23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J124" s="4">
        <v>2050</v>
      </c>
      <c r="K124" s="16" t="s">
        <v>118</v>
      </c>
      <c r="L124" s="19" t="s">
        <v>164</v>
      </c>
      <c r="M124" s="17">
        <f t="shared" si="16"/>
        <v>1.11583526632277</v>
      </c>
      <c r="N124" s="17">
        <f t="shared" si="17"/>
        <v>0.847293998526159</v>
      </c>
      <c r="O124" s="17">
        <f t="shared" si="18"/>
        <v>1.38900655836404</v>
      </c>
      <c r="R124" s="4">
        <v>0</v>
      </c>
      <c r="S124" s="16" t="s">
        <v>118</v>
      </c>
      <c r="T124" s="17" t="s">
        <v>164</v>
      </c>
      <c r="U124" s="17">
        <v>5</v>
      </c>
      <c r="V124" s="17">
        <v>5</v>
      </c>
      <c r="W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2025-03-31T01:30:11Z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