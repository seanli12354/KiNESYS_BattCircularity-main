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3920" windowHeight="827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9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Total refurbishment cost ~5times of direct recycling costs [https://www.nature.com/articles/s41467-024-52030-0]</t>
        </r>
      </text>
    </comment>
  </commentList>
</comments>
</file>

<file path=xl/sharedStrings.xml><?xml version="1.0" encoding="utf-8"?>
<sst xmlns="http://schemas.openxmlformats.org/spreadsheetml/2006/main" count="1039" uniqueCount="196">
  <si>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</si>
  <si>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</si>
  <si>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</si>
  <si>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</si>
  <si>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</si>
  <si>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</si>
  <si>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</si>
  <si>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</si>
  <si>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</si>
  <si>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</si>
  <si>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</si>
  <si>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</si>
  <si>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</si>
  <si>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</si>
  <si>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</si>
  <si>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</si>
  <si>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</si>
  <si>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</si>
  <si>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</si>
  <si>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</si>
  <si>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</si>
  <si>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</si>
  <si>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</si>
  <si>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</si>
  <si>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</si>
  <si>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</si>
  <si>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</si>
  <si>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</si>
  <si>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</si>
  <si>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</si>
  <si>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</si>
  <si>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</si>
  <si>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</si>
  <si>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</si>
  <si>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</si>
  <si>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</si>
  <si>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</si>
  <si>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</si>
  <si>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</si>
  <si>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</si>
  <si>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</si>
  <si>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</si>
  <si>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</si>
  <si>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</si>
  <si>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</si>
  <si>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</si>
  <si>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</si>
  <si>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</si>
  <si>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</si>
  <si>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</si>
  <si>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</si>
  <si>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</si>
  <si>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</si>
  <si>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</si>
  <si>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</si>
  <si>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</si>
  <si>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</si>
  <si>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</si>
  <si>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</si>
  <si>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</si>
  <si>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</si>
  <si>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</si>
  <si>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</si>
  <si>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</si>
  <si>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</si>
  <si>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</si>
  <si>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</si>
  <si>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</si>
  <si>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</si>
  <si>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</si>
  <si>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</si>
  <si>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</si>
  <si>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</si>
  <si>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</si>
  <si>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</si>
  <si>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</si>
  <si>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</si>
  <si>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</si>
  <si>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</si>
  <si>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</si>
  <si>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</si>
  <si>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</si>
  <si>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</si>
  <si>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</si>
  <si>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</si>
  <si>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</si>
  <si>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</si>
  <si>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</si>
  <si>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</si>
  <si>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</si>
  <si>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</si>
  <si>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</si>
  <si>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</si>
  <si>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</si>
  <si>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</si>
  <si>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</si>
  <si>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</si>
  <si>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</si>
  <si>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</si>
  <si>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</si>
  <si>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</si>
  <si>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</si>
  <si>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</si>
  <si>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</si>
  <si>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</si>
  <si>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</si>
  <si>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</si>
  <si>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</si>
  <si>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</si>
  <si>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</si>
  <si>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</si>
  <si>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</si>
  <si>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</si>
  <si>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</si>
  <si>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</si>
  <si>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</si>
  <si>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</si>
  <si>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</si>
  <si>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</si>
  <si>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</si>
  <si>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</si>
  <si>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</si>
  <si>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</si>
  <si>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</si>
  <si>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</si>
  <si>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</si>
  <si>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</si>
  <si>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</si>
  <si>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</si>
  <si>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</si>
  <si>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</si>
  <si>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Limtype</t>
  </si>
  <si>
    <t>Saudi Arabia</t>
  </si>
  <si>
    <t>\I:</t>
  </si>
  <si>
    <t>Pset_PN</t>
  </si>
  <si>
    <t>C_out</t>
  </si>
  <si>
    <t>PCG</t>
  </si>
  <si>
    <t>Flow_BND</t>
  </si>
  <si>
    <t xml:space="preserve"> 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</si>
  <si>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</si>
  <si>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</si>
  <si>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</si>
  <si>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</si>
  <si>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</si>
  <si>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</si>
  <si>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</si>
  <si>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</si>
  <si>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</si>
  <si>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</si>
  <si>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</si>
  <si>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*0.313</t>
  </si>
  <si>
    <t>Tra_EV_Batt-LFP</t>
  </si>
  <si>
    <t>Tra_EV_Batt-LMO</t>
  </si>
  <si>
    <t>Tra_EV_Batt-NCA</t>
  </si>
  <si>
    <t>Tra_EV_Batt-NMC 111</t>
  </si>
  <si>
    <t>Tra_EV_Batt-NMC532</t>
  </si>
  <si>
    <t>Tra_EV_Batt-NMC 622</t>
  </si>
  <si>
    <t>Tra_EV_Batt-NMC 811</t>
  </si>
  <si>
    <t>Util_Rep_Batt-LFP</t>
  </si>
  <si>
    <t>Util_Rep_Batt-LMO</t>
  </si>
  <si>
    <t>Util_Rep_Batt-NCA</t>
  </si>
  <si>
    <t>Util_Rep_Batt-NMC 111</t>
  </si>
  <si>
    <t>Util_Rep_Batt-NMC532</t>
  </si>
  <si>
    <t>Util_Rep_Batt-NMC 622</t>
  </si>
  <si>
    <t>Util_Rep_Batt-NMC 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</si>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</sst>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8" fillId="0" borderId="0" applyFont="0" applyFill="0" applyBorder="0" applyAlignment="0" applyProtection="0">
      <alignment vertical="center"/>
    </xf>
    <xf numFmtId="176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4" borderId="0" xfId="0" applyFill="1"/>
    <xf numFmtId="0" fontId="0" fillId="4" borderId="1" xfId="51" applyFill="1" applyBorder="1"/>
    <xf numFmtId="0" fontId="0" fillId="4" borderId="0" xfId="51" applyFill="1"/>
    <xf numFmtId="0" fontId="0" fillId="5" borderId="0" xfId="0" applyFont="1" applyFill="1" applyAlignment="1"/>
    <xf numFmtId="0" fontId="5" fillId="2" borderId="0" xfId="0" applyFont="1" applyFill="1"/>
    <xf numFmtId="0" fontId="6" fillId="2" borderId="0" xfId="0" applyFont="1" applyFill="1" applyBorder="1" applyAlignment="1"/>
    <xf numFmtId="0" fontId="7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0" customWidth="1"/>
    <col min="2" max="2" width="8.85454545454546" style="20" customWidth="1"/>
    <col min="3" max="3" width="4.70909090909091" style="20" customWidth="1"/>
    <col min="4" max="4" width="8.85454545454546" style="20" customWidth="1"/>
    <col min="5" max="5" width="4.42727272727273" style="20" customWidth="1"/>
    <col min="6" max="6" width="4.28181818181818" style="20" customWidth="1"/>
    <col min="7" max="7" width="4.42727272727273" style="20" customWidth="1"/>
    <col min="8" max="8" width="4.57272727272727" style="20" customWidth="1"/>
    <col min="9" max="9" width="4" style="20" customWidth="1"/>
    <col min="10" max="10" width="4.42727272727273" style="20" customWidth="1"/>
    <col min="11" max="11" width="4.57272727272727" style="20" customWidth="1"/>
    <col min="12" max="12" width="4.42727272727273" style="20" customWidth="1"/>
    <col min="13" max="13" width="4" style="20" customWidth="1"/>
    <col min="14" max="14" width="4.28181818181818" style="20" customWidth="1"/>
    <col min="15" max="16" width="4.42727272727273" style="20" customWidth="1"/>
    <col min="17" max="18" width="4.57272727272727" style="20" customWidth="1"/>
    <col min="19" max="19" width="4.42727272727273" style="20" customWidth="1"/>
    <col min="20" max="20" width="5" style="20" customWidth="1"/>
    <col min="21" max="21" width="11.7090909090909" style="20" customWidth="1"/>
    <col min="22" max="22" width="10.7090909090909" style="20" customWidth="1"/>
    <col min="23" max="23" width="13.1363636363636" style="20" customWidth="1"/>
    <col min="24" max="259" width="11.4272727272727" style="20" customWidth="1"/>
    <col min="260" max="16384" width="9.13636363636364" style="2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20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20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20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20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20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105"/>
  <sheetViews>
    <sheetView tabSelected="1" zoomScale="31" zoomScaleNormal="31" topLeftCell="A28" workbookViewId="0">
      <selection activeCell="B76" sqref="B76"/>
    </sheetView>
  </sheetViews>
  <sheetFormatPr defaultColWidth="9" defaultRowHeight="12.5"/>
  <cols>
    <col min="2" max="2" width="255.636363636364" customWidth="1"/>
    <col min="4" max="4" width="11.6363636363636" customWidth="1"/>
    <col min="5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24" width="7.13636363636364" customWidth="1"/>
    <col min="25" max="25" width="9.54545454545454" customWidth="1"/>
    <col min="26" max="33" width="7.13636363636364" customWidth="1"/>
    <col min="34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1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1" t="s">
        <v>92</v>
      </c>
      <c r="C18">
        <v>0.2</v>
      </c>
      <c r="D18">
        <v>3</v>
      </c>
      <c r="E18" s="21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2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1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6" spans="2:64">
      <c r="B66" s="2" t="s">
        <v>131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132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2" t="s">
        <v>38</v>
      </c>
      <c r="AM66" s="2" t="s">
        <v>116</v>
      </c>
      <c r="AN66" s="2" t="s">
        <v>133</v>
      </c>
      <c r="AO66" s="2" t="s">
        <v>133</v>
      </c>
      <c r="AP66" s="2" t="s">
        <v>133</v>
      </c>
      <c r="AQ66" s="2" t="s">
        <v>133</v>
      </c>
      <c r="AR66" s="2" t="s">
        <v>133</v>
      </c>
      <c r="AS66" s="2" t="s">
        <v>133</v>
      </c>
      <c r="AT66" s="2" t="s">
        <v>133</v>
      </c>
      <c r="AU66" s="2" t="s">
        <v>133</v>
      </c>
      <c r="AV66" s="2" t="s">
        <v>133</v>
      </c>
      <c r="AW66" s="2" t="s">
        <v>133</v>
      </c>
      <c r="AX66" s="11" t="s">
        <v>134</v>
      </c>
      <c r="AY66" s="2" t="s">
        <v>135</v>
      </c>
      <c r="AZ66" s="17" t="s">
        <v>136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137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2" t="s">
        <v>138</v>
      </c>
      <c r="AN67" s="16"/>
      <c r="AX67" s="1" t="s">
        <v>139</v>
      </c>
      <c r="AY67" s="1" t="s">
        <v>140</v>
      </c>
      <c r="AZ67" s="17" t="s">
        <v>141</v>
      </c>
      <c r="BD67" s="18"/>
      <c r="BE67" s="11"/>
      <c r="BF67" s="11"/>
      <c r="BG67" s="19"/>
      <c r="BH67" s="11"/>
      <c r="BI67" s="11"/>
      <c r="BJ67" s="11"/>
      <c r="BK67" s="11"/>
      <c r="BL67" s="11"/>
    </row>
    <row r="68" s="2" customFormat="1" ht="16" spans="3:52">
      <c r="C68" s="11"/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2" t="s">
        <v>138</v>
      </c>
      <c r="AN68" s="16"/>
      <c r="AX68" s="1"/>
      <c r="AY68" s="1" t="s">
        <v>142</v>
      </c>
      <c r="AZ68" s="17" t="s">
        <v>141</v>
      </c>
    </row>
    <row r="69" s="2" customFormat="1" ht="16" spans="3:52">
      <c r="C69" s="11"/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2" t="s">
        <v>138</v>
      </c>
      <c r="AN69" s="16"/>
      <c r="AX69" s="1"/>
      <c r="AY69" s="1" t="s">
        <v>143</v>
      </c>
      <c r="AZ69" s="17" t="s">
        <v>141</v>
      </c>
    </row>
    <row r="70" s="2" customFormat="1" ht="16" spans="3:52">
      <c r="C70" s="11"/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2" t="s">
        <v>138</v>
      </c>
      <c r="AN70" s="16"/>
      <c r="AX70" s="1"/>
      <c r="AY70" s="1" t="s">
        <v>144</v>
      </c>
      <c r="AZ70" s="17" t="s">
        <v>141</v>
      </c>
    </row>
    <row r="71" s="2" customFormat="1" ht="16" spans="3:52">
      <c r="C71" s="11"/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2" t="s">
        <v>138</v>
      </c>
      <c r="AN71" s="16"/>
      <c r="AX71" s="1"/>
      <c r="AY71" s="1" t="s">
        <v>145</v>
      </c>
      <c r="AZ71" s="17" t="s">
        <v>141</v>
      </c>
    </row>
    <row r="72" s="2" customFormat="1" ht="16" spans="3:52">
      <c r="C72" s="11"/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2" t="s">
        <v>138</v>
      </c>
      <c r="AN72" s="16"/>
      <c r="AX72" s="1"/>
      <c r="AY72" s="1" t="s">
        <v>146</v>
      </c>
      <c r="AZ72" s="17" t="s">
        <v>141</v>
      </c>
    </row>
    <row r="73" s="1" customFormat="1" ht="16" spans="2:52">
      <c r="B73" s="2"/>
      <c r="C73" s="11"/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2" t="s">
        <v>138</v>
      </c>
      <c r="AM73" s="2"/>
      <c r="AN73" s="16"/>
      <c r="AO73" s="2"/>
      <c r="AP73" s="2"/>
      <c r="AQ73" s="2"/>
      <c r="AR73" s="2"/>
      <c r="AS73" s="2"/>
      <c r="AT73" s="2"/>
      <c r="AU73" s="2"/>
      <c r="AV73" s="2"/>
      <c r="AW73" s="2"/>
      <c r="AY73" s="1" t="s">
        <v>147</v>
      </c>
      <c r="AZ73" s="17" t="s">
        <v>141</v>
      </c>
    </row>
    <row r="74" s="3" customFormat="1"/>
    <row r="75" s="3" customFormat="1" spans="5:5">
      <c r="E75" s="3" t="s">
        <v>148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 t="s">
        <v>149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2:26">
      <c r="B90" s="13" t="s">
        <v>73</v>
      </c>
      <c r="C90" s="13"/>
      <c r="D90" s="13"/>
      <c r="E90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2:26">
      <c r="B91" s="13" t="s">
        <v>56</v>
      </c>
      <c r="C91" s="13">
        <v>2050</v>
      </c>
      <c r="D91" s="13" t="s">
        <v>90</v>
      </c>
      <c r="E91"/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2:26">
      <c r="B92" s="13" t="s">
        <v>118</v>
      </c>
      <c r="C92" s="13" t="s">
        <v>150</v>
      </c>
      <c r="D92" s="14" t="s">
        <v>151</v>
      </c>
      <c r="E92"/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2:26">
      <c r="B93" s="13" t="s">
        <v>118</v>
      </c>
      <c r="C93" s="15" t="str">
        <f>C92</f>
        <v>*0.313</v>
      </c>
      <c r="D93" s="14" t="s">
        <v>152</v>
      </c>
      <c r="E93" s="9"/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2:26">
      <c r="B94" s="13" t="s">
        <v>118</v>
      </c>
      <c r="C94" s="15" t="str">
        <f t="shared" ref="C94:C105" si="9">C93</f>
        <v>*0.313</v>
      </c>
      <c r="D94" s="14" t="s">
        <v>153</v>
      </c>
      <c r="E94" s="9"/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2:26">
      <c r="B95" s="13" t="s">
        <v>118</v>
      </c>
      <c r="C95" s="15" t="str">
        <f t="shared" si="9"/>
        <v>*0.313</v>
      </c>
      <c r="D95" s="14" t="s">
        <v>154</v>
      </c>
      <c r="E95" s="9"/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2:26">
      <c r="B96" s="13" t="s">
        <v>118</v>
      </c>
      <c r="C96" s="15" t="str">
        <f t="shared" si="9"/>
        <v>*0.313</v>
      </c>
      <c r="D96" s="14" t="s">
        <v>155</v>
      </c>
      <c r="E96" s="9"/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2:26">
      <c r="B97" s="13" t="s">
        <v>118</v>
      </c>
      <c r="C97" s="15" t="str">
        <f t="shared" si="9"/>
        <v>*0.313</v>
      </c>
      <c r="D97" s="14" t="s">
        <v>156</v>
      </c>
      <c r="E97" s="9"/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2:26">
      <c r="B98" s="13" t="s">
        <v>118</v>
      </c>
      <c r="C98" s="15" t="str">
        <f t="shared" si="9"/>
        <v>*0.313</v>
      </c>
      <c r="D98" s="14" t="s">
        <v>157</v>
      </c>
      <c r="E98" s="9"/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2:26">
      <c r="B99" s="13" t="s">
        <v>118</v>
      </c>
      <c r="C99" s="15" t="str">
        <f t="shared" si="9"/>
        <v>*0.313</v>
      </c>
      <c r="D99" s="15" t="s">
        <v>158</v>
      </c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2:4">
      <c r="B100" s="13" t="s">
        <v>118</v>
      </c>
      <c r="C100" s="15" t="str">
        <f t="shared" si="9"/>
        <v>*0.313</v>
      </c>
      <c r="D100" s="15" t="s">
        <v>159</v>
      </c>
    </row>
    <row r="101" spans="2:4">
      <c r="B101" s="13" t="s">
        <v>118</v>
      </c>
      <c r="C101" s="15" t="str">
        <f t="shared" si="9"/>
        <v>*0.313</v>
      </c>
      <c r="D101" s="15" t="s">
        <v>160</v>
      </c>
    </row>
    <row r="102" spans="2:4">
      <c r="B102" s="13" t="s">
        <v>118</v>
      </c>
      <c r="C102" s="15" t="str">
        <f t="shared" si="9"/>
        <v>*0.313</v>
      </c>
      <c r="D102" s="15" t="s">
        <v>161</v>
      </c>
    </row>
    <row r="103" spans="2:4">
      <c r="B103" s="13" t="s">
        <v>118</v>
      </c>
      <c r="C103" s="15" t="str">
        <f t="shared" si="9"/>
        <v>*0.313</v>
      </c>
      <c r="D103" s="15" t="s">
        <v>162</v>
      </c>
    </row>
    <row r="104" spans="2:4">
      <c r="B104" s="13" t="s">
        <v>118</v>
      </c>
      <c r="C104" s="15" t="str">
        <f t="shared" si="9"/>
        <v>*0.313</v>
      </c>
      <c r="D104" s="15" t="s">
        <v>163</v>
      </c>
    </row>
    <row r="105" spans="2:4">
      <c r="B105" s="13" t="s">
        <v>118</v>
      </c>
      <c r="C105" s="15" t="str">
        <f t="shared" si="9"/>
        <v>*0.313</v>
      </c>
      <c r="D105" s="15" t="s">
        <v>164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2025-03-29T19:58:27Z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