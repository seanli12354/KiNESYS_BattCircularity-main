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38D58239-69D1-4F32-8429-F9552F1E6DD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25" l="1"/>
  <c r="E154" i="25"/>
  <c r="E153" i="25"/>
  <c r="E152" i="25"/>
  <c r="E151" i="25"/>
  <c r="E150" i="25"/>
  <c r="E149" i="25"/>
  <c r="E148" i="25"/>
  <c r="E147" i="25"/>
  <c r="E146" i="25"/>
  <c r="E145" i="25"/>
  <c r="E144" i="25"/>
  <c r="E143" i="25"/>
  <c r="E142" i="25"/>
  <c r="E141" i="25"/>
  <c r="E140" i="25"/>
  <c r="E139" i="25"/>
  <c r="E138" i="25"/>
  <c r="E137" i="25"/>
  <c r="E136" i="25"/>
  <c r="E135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family val="2"/>
            <charset val="134"/>
          </rPr>
          <t>xli9:</t>
        </r>
        <r>
          <rPr>
            <sz val="9"/>
            <rFont val="Times New Roman"/>
            <family val="2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00000000-0006-0000-0100-000004000000}">
      <text>
        <r>
          <rPr>
            <b/>
            <sz val="9"/>
            <rFont val="Tahoma"/>
            <family val="2"/>
            <charset val="1"/>
          </rPr>
          <t>Xiao Li:</t>
        </r>
        <r>
          <rPr>
            <sz val="9"/>
            <rFont val="Tahoma"/>
            <family val="2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<sst xmlns="http://schemas.openxmlformats.org/spreadsheetml/2006/main" count="1212" uniqueCount="190">
  <si>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</si>
  <si>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</si>
  <si>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</si>
  <si>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</si>
  <si>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</si>
  <si>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</si>
  <si>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</si>
  <si>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</si>
  <si>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</si>
  <si>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</si>
  <si>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</si>
  <si>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</si>
  <si>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</si>
  <si>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</si>
  <si>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</si>
  <si>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</si>
  <si>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</si>
  <si>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</si>
  <si>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</si>
  <si>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</si>
  <si>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</si>
  <si>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</si>
  <si>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</si>
  <si>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</si>
  <si>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</si>
  <si>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</si>
  <si>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</si>
  <si>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</si>
  <si>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</si>
  <si>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</si>
  <si>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</si>
  <si>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</si>
  <si>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</si>
  <si>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</si>
  <si>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</si>
  <si>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</si>
  <si>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</si>
  <si>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</si>
  <si>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</si>
  <si>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</si>
  <si>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</si>
  <si>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</si>
  <si>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</si>
  <si>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</si>
  <si>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</si>
  <si>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</si>
  <si>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</si>
  <si>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</si>
  <si>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</si>
  <si>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</si>
  <si>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</si>
  <si>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</si>
  <si>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</si>
  <si>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</si>
  <si>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</si>
  <si>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</si>
  <si>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</si>
  <si>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</si>
  <si>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</si>
  <si>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</si>
  <si>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</si>
  <si>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</si>
  <si>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</si>
  <si>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</si>
  <si>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</si>
  <si>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</si>
  <si>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</si>
  <si>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</si>
  <si>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</si>
  <si>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</si>
  <si>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</si>
  <si>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</si>
  <si>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</si>
  <si>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</si>
  <si>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</si>
  <si>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</si>
  <si>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</si>
  <si>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</si>
  <si>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</si>
  <si>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</si>
  <si>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</si>
  <si>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</si>
  <si>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</si>
  <si>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</si>
  <si>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</si>
  <si>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</si>
  <si>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</si>
  <si>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</si>
  <si>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</si>
  <si>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</si>
  <si>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</si>
  <si>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</si>
  <si>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</si>
  <si>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</si>
  <si>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</si>
  <si>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</si>
  <si>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</si>
  <si>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</si>
  <si>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</si>
  <si>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</si>
  <si>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</si>
  <si>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</si>
  <si>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</si>
  <si>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</si>
  <si>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</si>
  <si>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</si>
  <si>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</si>
  <si>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</si>
  <si>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</si>
  <si>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</si>
  <si>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</si>
  <si>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</si>
  <si>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</si>
  <si>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</si>
  <si>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</si>
  <si>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</si>
  <si>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</si>
  <si>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</si>
  <si>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</si>
  <si>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</si>
  <si>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</si>
  <si>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</si>
  <si>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</si>
  <si>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</si>
  <si>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</si>
  <si>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</si>
  <si>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</si>
  <si>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</si>
  <si>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</si>
  <si>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</si>
  <si>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</si>
  <si>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</si>
  <si>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</si>
  <si>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</si>
  <si>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</si>
  <si>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</si>
  <si>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</si>
  <si>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</si>
  <si>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</si>
  <si>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</si>
  <si>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</si>
  <si>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</si>
  <si>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</si>
  <si>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</si>
  <si>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</si>
  <si>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</si>
  <si>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</si>
  <si>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</si>
  <si>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</si>
  <si>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</si>
  <si>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</si>
  <si>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</si>
  <si>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</si>
  <si>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</si>
  <si>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</si>
  <si>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</si>
  <si>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</si>
  <si>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</si>
  <si>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</si>
  <si>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</si>
  <si>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</si>
  <si>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</si>
  <si>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</si>
  <si>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</si>
  <si>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</si>
  <si>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Trd_lcv_nga</t>
  </si>
  <si>
    <t>Trd_lcv_gsl</t>
  </si>
  <si>
    <t>Trd_lcv_lpg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</si>
  <si>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</si>
  <si>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</si>
  <si>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</si>
  <si>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</si>
  <si>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</si>
  <si>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</si>
  <si>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</si>
  <si>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</si>
  <si>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</si>
  <si>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</si>
  <si>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</si>
  <si>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</si>
  <si>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</si>
  <si>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lim_type</t>
  </si>
  <si>
    <t>time_slice</t>
  </si>
  <si>
    <t>scenario</t>
  </si>
  <si>
    <t>Trd_car_nga</t>
  </si>
  <si>
    <t>Trd_hdt_bdl</t>
  </si>
  <si>
    <t>Trd_hdt_gsl</t>
  </si>
  <si>
    <t>Trd_lcv_bdl</t>
  </si>
  <si>
    <t>Trd_lcv_elc</t>
  </si>
  <si>
    <t>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</si>
</sst>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"/>
    <numFmt numFmtId="169" formatCode="0.000"/>
  </numFmts>
  <fonts count="12">
    <font>
      <sz val="10"/>
      <name val="Arial"/>
      <family val="2"/>
      <charset val="134"/>
    </font>
    <font>
      <sz val="9"/>
      <name val="Arial"/>
      <family val="2"/>
      <charset val="134"/>
    </font>
    <font>
      <b/>
      <sz val="9"/>
      <name val="Arial"/>
      <family val="2"/>
      <charset val="134"/>
    </font>
    <font>
      <sz val="11"/>
      <color rgb="FF000000"/>
      <name val="Calibri"/>
      <family val="2"/>
      <charset val="134"/>
    </font>
    <font>
      <b/>
      <sz val="10"/>
      <color rgb="FFFF0000"/>
      <name val="Arial"/>
      <family val="2"/>
      <charset val="134"/>
    </font>
    <font>
      <b/>
      <sz val="10"/>
      <name val="Arial"/>
      <family val="2"/>
      <charset val="134"/>
    </font>
    <font>
      <sz val="10"/>
      <color rgb="FFFF0000"/>
      <name val="Arial"/>
      <family val="2"/>
      <charset val="134"/>
    </font>
    <font>
      <b/>
      <sz val="9"/>
      <name val="Times New Roman"/>
      <family val="2"/>
      <charset val="134"/>
    </font>
    <font>
      <sz val="9"/>
      <name val="Times New Roman"/>
      <family val="2"/>
      <charset val="134"/>
    </font>
    <font>
      <sz val="9"/>
      <name val="Tahoma"/>
      <family val="2"/>
      <charset val="1"/>
    </font>
    <font>
      <b/>
      <sz val="9"/>
      <name val="Tahoma"/>
      <family val="2"/>
      <charset val="1"/>
    </font>
    <font>
      <sz val="10"/>
      <name val="Arial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3" tint="0.799890133365886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0" fillId="3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8" fontId="0" fillId="0" borderId="0" xfId="0" applyNumberFormat="1"/>
    <xf numFmtId="3" fontId="0" fillId="0" borderId="0" xfId="0" applyNumberFormat="1"/>
    <xf numFmtId="0" fontId="0" fillId="4" borderId="0" xfId="0" applyFill="1"/>
    <xf numFmtId="0" fontId="11" fillId="4" borderId="0" xfId="1" applyFill="1"/>
    <xf numFmtId="0" fontId="3" fillId="4" borderId="0" xfId="0" applyFont="1" applyFill="1"/>
    <xf numFmtId="0" fontId="3" fillId="3" borderId="0" xfId="0" applyFont="1" applyFill="1"/>
    <xf numFmtId="0" fontId="11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1" fillId="6" borderId="1" xfId="1" applyFill="1" applyBorder="1"/>
    <xf numFmtId="169" fontId="11" fillId="6" borderId="1" xfId="1" applyNumberFormat="1" applyFill="1" applyBorder="1"/>
    <xf numFmtId="0" fontId="11" fillId="6" borderId="2" xfId="1" applyFill="1" applyBorder="1"/>
    <xf numFmtId="0" fontId="6" fillId="2" borderId="0" xfId="0" applyFont="1" applyFill="1"/>
    <xf numFmtId="0" fontId="4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1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workbookViewId="0"/>
  </sheetViews>
  <sheetFormatPr defaultColWidth="9.1328125" defaultRowHeight="11.65"/>
  <cols>
    <col min="1" max="1" width="15" style="30" customWidth="1"/>
    <col min="2" max="2" width="8.86328125" style="30" customWidth="1"/>
    <col min="3" max="3" width="4.73046875" style="30" customWidth="1"/>
    <col min="4" max="4" width="8.86328125" style="30" customWidth="1"/>
    <col min="5" max="5" width="4.3984375" style="30" customWidth="1"/>
    <col min="6" max="6" width="4.265625" style="30" customWidth="1"/>
    <col min="7" max="7" width="4.3984375" style="30" customWidth="1"/>
    <col min="8" max="8" width="4.59765625" style="30" customWidth="1"/>
    <col min="9" max="9" width="4" style="30" customWidth="1"/>
    <col min="10" max="10" width="4.3984375" style="30" customWidth="1"/>
    <col min="11" max="11" width="4.59765625" style="30" customWidth="1"/>
    <col min="12" max="12" width="4.3984375" style="30" customWidth="1"/>
    <col min="13" max="13" width="4" style="30" customWidth="1"/>
    <col min="14" max="14" width="4.265625" style="30" customWidth="1"/>
    <col min="15" max="16" width="4.3984375" style="30" customWidth="1"/>
    <col min="17" max="18" width="4.59765625" style="30" customWidth="1"/>
    <col min="19" max="19" width="4.3984375" style="30" customWidth="1"/>
    <col min="20" max="20" width="5" style="30" customWidth="1"/>
    <col min="21" max="21" width="11.73046875" style="30" customWidth="1"/>
    <col min="22" max="22" width="10.73046875" style="30" customWidth="1"/>
    <col min="23" max="23" width="13.1328125" style="30" customWidth="1"/>
    <col min="24" max="259" width="11.3984375" style="30" customWidth="1"/>
    <col min="260" max="16384" width="9.1328125" style="30"/>
  </cols>
  <sheetData>
    <row r="1" spans="1:27" ht="12.7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7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7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7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7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7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7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7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7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7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7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7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7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7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7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7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7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7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7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7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7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7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7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7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7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7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7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7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7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7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7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7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7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7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75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75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75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75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75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54"/>
  <sheetViews>
    <sheetView tabSelected="1" topLeftCell="E1" zoomScaleNormal="100" workbookViewId="0">
      <selection activeCell="P2" sqref="P2"/>
    </sheetView>
  </sheetViews>
  <sheetFormatPr defaultColWidth="9" defaultRowHeight="12.75"/>
  <cols>
    <col min="2" max="2" width="21.3984375" customWidth="1"/>
    <col min="3" max="3" width="12.73046875" customWidth="1"/>
    <col min="4" max="5" width="22.1328125" customWidth="1"/>
    <col min="6" max="6" width="12" customWidth="1"/>
    <col min="7" max="7" width="13" customWidth="1"/>
    <col min="8" max="9" width="7.1328125" customWidth="1"/>
    <col min="10" max="10" width="10.59765625" customWidth="1"/>
    <col min="11" max="11" width="11.265625" customWidth="1"/>
    <col min="12" max="12" width="15.59765625" customWidth="1"/>
    <col min="13" max="13" width="7.1328125" customWidth="1"/>
    <col min="14" max="14" width="17.86328125" customWidth="1"/>
    <col min="15" max="16" width="12.86328125" customWidth="1"/>
    <col min="17" max="18" width="7.1328125" customWidth="1"/>
    <col min="19" max="19" width="12.73046875" customWidth="1"/>
    <col min="20" max="20" width="8.59765625" customWidth="1"/>
    <col min="21" max="21" width="7.86328125" customWidth="1"/>
    <col min="22" max="24" width="7.1328125" customWidth="1"/>
    <col min="25" max="25" width="9.59765625" customWidth="1"/>
    <col min="26" max="26" width="17.86328125" customWidth="1"/>
    <col min="27" max="27" width="9.86328125" customWidth="1"/>
    <col min="28" max="32" width="7.1328125" customWidth="1"/>
    <col min="33" max="33" width="10.86328125" customWidth="1"/>
    <col min="34" max="34" width="11.1328125" customWidth="1"/>
    <col min="35" max="37" width="6" customWidth="1"/>
    <col min="38" max="39" width="15.59765625" customWidth="1"/>
    <col min="40" max="40" width="22.59765625" customWidth="1"/>
    <col min="41" max="41" width="13.59765625" customWidth="1"/>
    <col min="42" max="43" width="6" customWidth="1"/>
    <col min="44" max="44" width="8.3984375" customWidth="1"/>
    <col min="45" max="45" width="10.3984375" customWidth="1"/>
    <col min="46" max="49" width="6" customWidth="1"/>
    <col min="50" max="50" width="12.265625" customWidth="1"/>
    <col min="51" max="51" width="13.59765625" customWidth="1"/>
  </cols>
  <sheetData>
    <row r="2" spans="2:19">
      <c r="B2" s="5" t="s">
        <v>39</v>
      </c>
      <c r="C2" s="5"/>
      <c r="D2" s="5"/>
      <c r="E2" s="5"/>
      <c r="K2" t="s">
        <v>40</v>
      </c>
      <c r="P2" t="s">
        <v>40</v>
      </c>
    </row>
    <row r="3" spans="2:19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P3" t="s">
        <v>56</v>
      </c>
      <c r="Q3" t="s">
        <v>57</v>
      </c>
      <c r="R3" t="s">
        <v>58</v>
      </c>
      <c r="S3" t="s">
        <v>46</v>
      </c>
    </row>
    <row r="4" spans="2:19">
      <c r="B4" s="5" t="s">
        <v>48</v>
      </c>
      <c r="C4" s="5" t="s">
        <v>49</v>
      </c>
      <c r="D4" s="5" t="s">
        <v>50</v>
      </c>
      <c r="E4" s="5" t="s">
        <v>51</v>
      </c>
      <c r="K4" t="s">
        <v>52</v>
      </c>
      <c r="L4" t="s">
        <v>53</v>
      </c>
      <c r="M4" t="s">
        <v>54</v>
      </c>
      <c r="P4" t="s">
        <v>63</v>
      </c>
      <c r="Q4" t="s">
        <v>64</v>
      </c>
      <c r="R4" t="s">
        <v>65</v>
      </c>
      <c r="S4" t="s">
        <v>189</v>
      </c>
    </row>
    <row r="5" spans="2:19">
      <c r="B5" s="5" t="s">
        <v>48</v>
      </c>
      <c r="C5" s="5" t="s">
        <v>60</v>
      </c>
      <c r="D5" s="5" t="s">
        <v>50</v>
      </c>
      <c r="E5" s="5" t="s">
        <v>51</v>
      </c>
      <c r="K5" t="s">
        <v>61</v>
      </c>
      <c r="L5" t="s">
        <v>53</v>
      </c>
      <c r="M5" t="s">
        <v>62</v>
      </c>
    </row>
    <row r="6" spans="2:19">
      <c r="K6" t="s">
        <v>67</v>
      </c>
      <c r="L6" t="s">
        <v>53</v>
      </c>
      <c r="M6" t="s">
        <v>68</v>
      </c>
    </row>
    <row r="7" spans="2:19">
      <c r="K7" t="s">
        <v>69</v>
      </c>
      <c r="L7" t="s">
        <v>53</v>
      </c>
      <c r="M7" t="s">
        <v>70</v>
      </c>
    </row>
    <row r="8" spans="2:19">
      <c r="B8" t="s">
        <v>71</v>
      </c>
      <c r="K8" t="s">
        <v>72</v>
      </c>
      <c r="L8" t="s">
        <v>53</v>
      </c>
      <c r="M8" t="s">
        <v>64</v>
      </c>
    </row>
    <row r="9" spans="2:19">
      <c r="B9" t="s">
        <v>55</v>
      </c>
      <c r="C9" t="s">
        <v>73</v>
      </c>
      <c r="D9" t="s">
        <v>74</v>
      </c>
      <c r="E9" t="s">
        <v>75</v>
      </c>
      <c r="F9" t="s">
        <v>76</v>
      </c>
      <c r="G9" t="s">
        <v>59</v>
      </c>
      <c r="H9" t="s">
        <v>77</v>
      </c>
      <c r="K9" t="s">
        <v>78</v>
      </c>
      <c r="L9" t="s">
        <v>53</v>
      </c>
      <c r="M9" t="s">
        <v>70</v>
      </c>
    </row>
    <row r="10" spans="2:19">
      <c r="B10" t="s">
        <v>79</v>
      </c>
      <c r="C10" t="s">
        <v>80</v>
      </c>
      <c r="E10" t="s">
        <v>64</v>
      </c>
      <c r="F10">
        <v>0.25</v>
      </c>
      <c r="G10" t="s">
        <v>81</v>
      </c>
      <c r="K10" t="s">
        <v>80</v>
      </c>
      <c r="L10" t="s">
        <v>53</v>
      </c>
      <c r="M10" t="s">
        <v>64</v>
      </c>
    </row>
    <row r="11" spans="2:19">
      <c r="B11" t="s">
        <v>79</v>
      </c>
      <c r="C11" t="s">
        <v>80</v>
      </c>
      <c r="E11" t="s">
        <v>64</v>
      </c>
      <c r="F11">
        <v>3</v>
      </c>
      <c r="G11" t="s">
        <v>81</v>
      </c>
      <c r="H11">
        <v>0</v>
      </c>
    </row>
    <row r="12" spans="2:19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9">
      <c r="B13" t="s">
        <v>86</v>
      </c>
      <c r="C13" t="s">
        <v>50</v>
      </c>
      <c r="F13">
        <v>25</v>
      </c>
      <c r="K13" t="s">
        <v>55</v>
      </c>
      <c r="L13" t="s">
        <v>76</v>
      </c>
      <c r="M13" t="s">
        <v>87</v>
      </c>
      <c r="N13" t="s">
        <v>88</v>
      </c>
    </row>
    <row r="14" spans="2:19">
      <c r="B14" t="s">
        <v>89</v>
      </c>
      <c r="C14" t="s">
        <v>50</v>
      </c>
      <c r="E14" s="3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50</v>
      </c>
    </row>
    <row r="15" spans="2:19">
      <c r="K15" t="s">
        <v>91</v>
      </c>
      <c r="L15" t="s">
        <v>94</v>
      </c>
      <c r="M15" t="s">
        <v>93</v>
      </c>
      <c r="N15" t="s">
        <v>72</v>
      </c>
    </row>
    <row r="16" spans="2:19">
      <c r="B16" t="s">
        <v>95</v>
      </c>
    </row>
    <row r="17" spans="2:50">
      <c r="B17" t="s">
        <v>56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50">
      <c r="B18" s="31" t="s">
        <v>90</v>
      </c>
      <c r="C18">
        <v>0.2</v>
      </c>
      <c r="D18">
        <v>3</v>
      </c>
      <c r="E18" s="31" t="s">
        <v>98</v>
      </c>
      <c r="F18" t="s">
        <v>50</v>
      </c>
      <c r="G18" t="s">
        <v>99</v>
      </c>
    </row>
    <row r="21" spans="2:50">
      <c r="C21" t="s">
        <v>71</v>
      </c>
    </row>
    <row r="22" spans="2:50">
      <c r="C22" t="s">
        <v>55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49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 ca="1">AVERAGEIFS(RoadTra_BY!AV$2:AV$999,RoadTra_BY!$B$2:$B$999,'Road transport'!$C23,RoadTra_BY!$C$2:$C$999,'Road transport'!$AX23)</f>
        <v>#DIV/0!</v>
      </c>
      <c r="AO23" s="7" t="e">
        <f ca="1">AVERAGEIFS(RoadTra_BY!AW$2:AW$999,RoadTra_BY!$B$2:$B$999,'Road transport'!$C23,RoadTra_BY!$C$2:$C$999,'Road transport'!$AX23)</f>
        <v>#DIV/0!</v>
      </c>
      <c r="AP23" s="7" t="e">
        <f ca="1">AVERAGEIFS(RoadTra_BY!AX$2:AX$999,RoadTra_BY!$B$2:$B$999,'Road transport'!$C23,RoadTra_BY!$C$2:$C$999,'Road transport'!$AX23)</f>
        <v>#DIV/0!</v>
      </c>
      <c r="AQ23" s="7" t="e">
        <f ca="1">AVERAGEIFS(RoadTra_BY!AY$2:AY$999,RoadTra_BY!$B$2:$B$999,'Road transport'!$C23,RoadTra_BY!$C$2:$C$999,'Road transport'!$AX23)</f>
        <v>#DIV/0!</v>
      </c>
      <c r="AR23" s="7" t="e">
        <f ca="1">AVERAGEIFS(RoadTra_BY!AZ$2:AZ$999,RoadTra_BY!$B$2:$B$999,'Road transport'!$C23,RoadTra_BY!$C$2:$C$999,'Road transport'!$AX23)</f>
        <v>#DIV/0!</v>
      </c>
      <c r="AS23" s="7" t="e">
        <f ca="1">AVERAGEIFS(RoadTra_BY!BA$2:BA$999,RoadTra_BY!$B$2:$B$999,'Road transport'!$C23,RoadTra_BY!$C$2:$C$999,'Road transport'!$AX23)</f>
        <v>#DIV/0!</v>
      </c>
      <c r="AT23" s="7" t="e">
        <f ca="1">AVERAGEIFS(RoadTra_BY!BB$2:BB$999,RoadTra_BY!$B$2:$B$999,'Road transport'!$C23,RoadTra_BY!$C$2:$C$999,'Road transport'!$AX23)</f>
        <v>#DIV/0!</v>
      </c>
      <c r="AU23" s="7" t="e">
        <f ca="1">AVERAGEIFS(RoadTra_BY!BC$2:BC$999,RoadTra_BY!$B$2:$B$999,'Road transport'!$C23,RoadTra_BY!$C$2:$C$999,'Road transport'!$AX23)</f>
        <v>#DIV/0!</v>
      </c>
      <c r="AV23" s="7" t="e">
        <f ca="1">AVERAGEIFS(RoadTra_BY!BD$2:BD$999,RoadTra_BY!$B$2:$B$999,'Road transport'!$C23,RoadTra_BY!$C$2:$C$999,'Road transport'!$AX23)</f>
        <v>#DIV/0!</v>
      </c>
      <c r="AW23" s="7" t="e">
        <f ca="1">AVERAGEIFS(RoadTra_BY!BE$2:BE$999,RoadTra_BY!$B$2:$B$999,'Road transport'!$C23,RoadTra_BY!$C$2:$C$999,'Road transport'!$AX23)</f>
        <v>#DIV/0!</v>
      </c>
      <c r="AX23" t="s">
        <v>100</v>
      </c>
    </row>
    <row r="24" spans="2:50">
      <c r="C24" t="s">
        <v>49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 ca="1">AVERAGEIFS(RoadTra_BY!AV$2:AV$999,RoadTra_BY!$B$2:$B$999,'Road transport'!$C24,RoadTra_BY!$C$2:$C$999,'Road transport'!$AX24)</f>
        <v>#DIV/0!</v>
      </c>
      <c r="AO24" s="7" t="e">
        <f ca="1">AVERAGEIFS(RoadTra_BY!AW$2:AW$999,RoadTra_BY!$B$2:$B$999,'Road transport'!$C24,RoadTra_BY!$C$2:$C$999,'Road transport'!$AX24)</f>
        <v>#DIV/0!</v>
      </c>
      <c r="AP24" s="7" t="e">
        <f ca="1">AVERAGEIFS(RoadTra_BY!AX$2:AX$999,RoadTra_BY!$B$2:$B$999,'Road transport'!$C24,RoadTra_BY!$C$2:$C$999,'Road transport'!$AX24)</f>
        <v>#DIV/0!</v>
      </c>
      <c r="AQ24" s="7" t="e">
        <f ca="1">AVERAGEIFS(RoadTra_BY!AY$2:AY$999,RoadTra_BY!$B$2:$B$999,'Road transport'!$C24,RoadTra_BY!$C$2:$C$999,'Road transport'!$AX24)</f>
        <v>#DIV/0!</v>
      </c>
      <c r="AR24" s="7" t="e">
        <f ca="1">AVERAGEIFS(RoadTra_BY!AZ$2:AZ$999,RoadTra_BY!$B$2:$B$999,'Road transport'!$C24,RoadTra_BY!$C$2:$C$999,'Road transport'!$AX24)</f>
        <v>#DIV/0!</v>
      </c>
      <c r="AS24" s="7" t="e">
        <f ca="1">AVERAGEIFS(RoadTra_BY!BA$2:BA$999,RoadTra_BY!$B$2:$B$999,'Road transport'!$C24,RoadTra_BY!$C$2:$C$999,'Road transport'!$AX24)</f>
        <v>#DIV/0!</v>
      </c>
      <c r="AT24" s="7" t="e">
        <f ca="1">AVERAGEIFS(RoadTra_BY!BB$2:BB$999,RoadTra_BY!$B$2:$B$999,'Road transport'!$C24,RoadTra_BY!$C$2:$C$999,'Road transport'!$AX24)</f>
        <v>#DIV/0!</v>
      </c>
      <c r="AU24" s="7" t="e">
        <f ca="1">AVERAGEIFS(RoadTra_BY!BC$2:BC$999,RoadTra_BY!$B$2:$B$999,'Road transport'!$C24,RoadTra_BY!$C$2:$C$999,'Road transport'!$AX24)</f>
        <v>#DIV/0!</v>
      </c>
      <c r="AV24" s="7" t="e">
        <f ca="1">AVERAGEIFS(RoadTra_BY!BD$2:BD$999,RoadTra_BY!$B$2:$B$999,'Road transport'!$C24,RoadTra_BY!$C$2:$C$999,'Road transport'!$AX24)</f>
        <v>#DIV/0!</v>
      </c>
      <c r="AW24" s="7" t="e">
        <f ca="1">AVERAGEIFS(RoadTra_BY!BE$2:BE$999,RoadTra_BY!$B$2:$B$999,'Road transport'!$C24,RoadTra_BY!$C$2:$C$999,'Road transport'!$AX24)</f>
        <v>#DIV/0!</v>
      </c>
      <c r="AX24" t="s">
        <v>101</v>
      </c>
    </row>
    <row r="25" spans="2:50">
      <c r="C25" t="s">
        <v>49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 ca="1">AVERAGEIFS(RoadTra_BY!AV$2:AV$999,RoadTra_BY!$B$2:$B$999,'Road transport'!$C25,RoadTra_BY!$C$2:$C$999,'Road transport'!$AX25)</f>
        <v>#DIV/0!</v>
      </c>
      <c r="AO25" s="7" t="e">
        <f ca="1">AVERAGEIFS(RoadTra_BY!AW$2:AW$999,RoadTra_BY!$B$2:$B$999,'Road transport'!$C25,RoadTra_BY!$C$2:$C$999,'Road transport'!$AX25)</f>
        <v>#DIV/0!</v>
      </c>
      <c r="AP25" s="7" t="e">
        <f ca="1">AVERAGEIFS(RoadTra_BY!AX$2:AX$999,RoadTra_BY!$B$2:$B$999,'Road transport'!$C25,RoadTra_BY!$C$2:$C$999,'Road transport'!$AX25)</f>
        <v>#DIV/0!</v>
      </c>
      <c r="AQ25" s="7" t="e">
        <f ca="1">AVERAGEIFS(RoadTra_BY!AY$2:AY$999,RoadTra_BY!$B$2:$B$999,'Road transport'!$C25,RoadTra_BY!$C$2:$C$999,'Road transport'!$AX25)</f>
        <v>#DIV/0!</v>
      </c>
      <c r="AR25" s="7" t="e">
        <f ca="1">AVERAGEIFS(RoadTra_BY!AZ$2:AZ$999,RoadTra_BY!$B$2:$B$999,'Road transport'!$C25,RoadTra_BY!$C$2:$C$999,'Road transport'!$AX25)</f>
        <v>#DIV/0!</v>
      </c>
      <c r="AS25" s="7" t="e">
        <f ca="1">AVERAGEIFS(RoadTra_BY!BA$2:BA$999,RoadTra_BY!$B$2:$B$999,'Road transport'!$C25,RoadTra_BY!$C$2:$C$999,'Road transport'!$AX25)</f>
        <v>#DIV/0!</v>
      </c>
      <c r="AT25" s="7" t="e">
        <f ca="1">AVERAGEIFS(RoadTra_BY!BB$2:BB$999,RoadTra_BY!$B$2:$B$999,'Road transport'!$C25,RoadTra_BY!$C$2:$C$999,'Road transport'!$AX25)</f>
        <v>#DIV/0!</v>
      </c>
      <c r="AU25" s="7" t="e">
        <f ca="1">AVERAGEIFS(RoadTra_BY!BC$2:BC$999,RoadTra_BY!$B$2:$B$999,'Road transport'!$C25,RoadTra_BY!$C$2:$C$999,'Road transport'!$AX25)</f>
        <v>#DIV/0!</v>
      </c>
      <c r="AV25" s="7" t="e">
        <f ca="1">AVERAGEIFS(RoadTra_BY!BD$2:BD$999,RoadTra_BY!$B$2:$B$999,'Road transport'!$C25,RoadTra_BY!$C$2:$C$999,'Road transport'!$AX25)</f>
        <v>#DIV/0!</v>
      </c>
      <c r="AW25" s="7" t="e">
        <f ca="1">AVERAGEIFS(RoadTra_BY!BE$2:BE$999,RoadTra_BY!$B$2:$B$999,'Road transport'!$C25,RoadTra_BY!$C$2:$C$999,'Road transport'!$AX25)</f>
        <v>#DIV/0!</v>
      </c>
      <c r="AX25" t="s">
        <v>102</v>
      </c>
    </row>
    <row r="26" spans="2:50">
      <c r="C26" t="s">
        <v>49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8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18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 ca="1">AVERAGEIFS(RoadTra_BY!AV$2:AV$999,RoadTra_BY!$B$2:$B$999,'Road transport'!$C26,RoadTra_BY!$C$2:$C$999,'Road transport'!$AX26)</f>
        <v>#DIV/0!</v>
      </c>
      <c r="AO26" s="7" t="e">
        <f ca="1">AVERAGEIFS(RoadTra_BY!AW$2:AW$999,RoadTra_BY!$B$2:$B$999,'Road transport'!$C26,RoadTra_BY!$C$2:$C$999,'Road transport'!$AX26)</f>
        <v>#DIV/0!</v>
      </c>
      <c r="AP26" s="7" t="e">
        <f ca="1">AVERAGEIFS(RoadTra_BY!AX$2:AX$999,RoadTra_BY!$B$2:$B$999,'Road transport'!$C26,RoadTra_BY!$C$2:$C$999,'Road transport'!$AX26)</f>
        <v>#DIV/0!</v>
      </c>
      <c r="AQ26" s="7" t="e">
        <f ca="1">AVERAGEIFS(RoadTra_BY!AY$2:AY$999,RoadTra_BY!$B$2:$B$999,'Road transport'!$C26,RoadTra_BY!$C$2:$C$999,'Road transport'!$AX26)</f>
        <v>#DIV/0!</v>
      </c>
      <c r="AR26" s="7" t="e">
        <f ca="1">AVERAGEIFS(RoadTra_BY!AZ$2:AZ$999,RoadTra_BY!$B$2:$B$999,'Road transport'!$C26,RoadTra_BY!$C$2:$C$999,'Road transport'!$AX26)</f>
        <v>#DIV/0!</v>
      </c>
      <c r="AS26" s="7" t="e">
        <f ca="1">AVERAGEIFS(RoadTra_BY!BA$2:BA$999,RoadTra_BY!$B$2:$B$999,'Road transport'!$C26,RoadTra_BY!$C$2:$C$999,'Road transport'!$AX26)</f>
        <v>#DIV/0!</v>
      </c>
      <c r="AT26" s="7" t="e">
        <f ca="1">AVERAGEIFS(RoadTra_BY!BB$2:BB$999,RoadTra_BY!$B$2:$B$999,'Road transport'!$C26,RoadTra_BY!$C$2:$C$999,'Road transport'!$AX26)</f>
        <v>#DIV/0!</v>
      </c>
      <c r="AU26" s="7" t="e">
        <f ca="1">AVERAGEIFS(RoadTra_BY!BC$2:BC$999,RoadTra_BY!$B$2:$B$999,'Road transport'!$C26,RoadTra_BY!$C$2:$C$999,'Road transport'!$AX26)</f>
        <v>#DIV/0!</v>
      </c>
      <c r="AV26" s="7" t="e">
        <f ca="1">AVERAGEIFS(RoadTra_BY!BD$2:BD$999,RoadTra_BY!$B$2:$B$999,'Road transport'!$C26,RoadTra_BY!$C$2:$C$999,'Road transport'!$AX26)</f>
        <v>#DIV/0!</v>
      </c>
      <c r="AW26" s="7" t="e">
        <f ca="1">AVERAGEIFS(RoadTra_BY!BE$2:BE$999,RoadTra_BY!$B$2:$B$999,'Road transport'!$C26,RoadTra_BY!$C$2:$C$999,'Road transport'!$AX26)</f>
        <v>#DIV/0!</v>
      </c>
      <c r="AX26" t="s">
        <v>103</v>
      </c>
    </row>
    <row r="27" spans="2:50">
      <c r="C27" t="s">
        <v>49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 ca="1">AVERAGEIFS(RoadTra_BY!AV$2:AV$999,RoadTra_BY!$B$2:$B$999,'Road transport'!$C27,RoadTra_BY!$C$2:$C$999,'Road transport'!$AX27)</f>
        <v>#DIV/0!</v>
      </c>
      <c r="AO27" s="7" t="e">
        <f ca="1">AVERAGEIFS(RoadTra_BY!AW$2:AW$999,RoadTra_BY!$B$2:$B$999,'Road transport'!$C27,RoadTra_BY!$C$2:$C$999,'Road transport'!$AX27)</f>
        <v>#DIV/0!</v>
      </c>
      <c r="AP27" s="7" t="e">
        <f ca="1">AVERAGEIFS(RoadTra_BY!AX$2:AX$999,RoadTra_BY!$B$2:$B$999,'Road transport'!$C27,RoadTra_BY!$C$2:$C$999,'Road transport'!$AX27)</f>
        <v>#DIV/0!</v>
      </c>
      <c r="AQ27" s="7" t="e">
        <f ca="1">AVERAGEIFS(RoadTra_BY!AY$2:AY$999,RoadTra_BY!$B$2:$B$999,'Road transport'!$C27,RoadTra_BY!$C$2:$C$999,'Road transport'!$AX27)</f>
        <v>#DIV/0!</v>
      </c>
      <c r="AR27" s="7" t="e">
        <f ca="1">AVERAGEIFS(RoadTra_BY!AZ$2:AZ$999,RoadTra_BY!$B$2:$B$999,'Road transport'!$C27,RoadTra_BY!$C$2:$C$999,'Road transport'!$AX27)</f>
        <v>#DIV/0!</v>
      </c>
      <c r="AS27" s="7" t="e">
        <f ca="1">AVERAGEIFS(RoadTra_BY!BA$2:BA$999,RoadTra_BY!$B$2:$B$999,'Road transport'!$C27,RoadTra_BY!$C$2:$C$999,'Road transport'!$AX27)</f>
        <v>#DIV/0!</v>
      </c>
      <c r="AT27" s="7" t="e">
        <f ca="1">AVERAGEIFS(RoadTra_BY!BB$2:BB$999,RoadTra_BY!$B$2:$B$999,'Road transport'!$C27,RoadTra_BY!$C$2:$C$999,'Road transport'!$AX27)</f>
        <v>#DIV/0!</v>
      </c>
      <c r="AU27" s="7" t="e">
        <f ca="1">AVERAGEIFS(RoadTra_BY!BC$2:BC$999,RoadTra_BY!$B$2:$B$999,'Road transport'!$C27,RoadTra_BY!$C$2:$C$999,'Road transport'!$AX27)</f>
        <v>#DIV/0!</v>
      </c>
      <c r="AV27" s="7" t="e">
        <f ca="1">AVERAGEIFS(RoadTra_BY!BD$2:BD$999,RoadTra_BY!$B$2:$B$999,'Road transport'!$C27,RoadTra_BY!$C$2:$C$999,'Road transport'!$AX27)</f>
        <v>#DIV/0!</v>
      </c>
      <c r="AW27" s="7" t="e">
        <f ca="1">AVERAGEIFS(RoadTra_BY!BE$2:BE$999,RoadTra_BY!$B$2:$B$999,'Road transport'!$C27,RoadTra_BY!$C$2:$C$999,'Road transport'!$AX27)</f>
        <v>#DIV/0!</v>
      </c>
      <c r="AX27" t="s">
        <v>104</v>
      </c>
    </row>
    <row r="28" spans="2:50">
      <c r="C28" t="s">
        <v>49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 ca="1">AVERAGEIFS(RoadTra_BY!AV$2:AV$999,RoadTra_BY!$B$2:$B$999,'Road transport'!$C28,RoadTra_BY!$C$2:$C$999,'Road transport'!$AX28)</f>
        <v>#DIV/0!</v>
      </c>
      <c r="AO28" s="7" t="e">
        <f ca="1">AVERAGEIFS(RoadTra_BY!AW$2:AW$999,RoadTra_BY!$B$2:$B$999,'Road transport'!$C28,RoadTra_BY!$C$2:$C$999,'Road transport'!$AX28)</f>
        <v>#DIV/0!</v>
      </c>
      <c r="AP28" s="7" t="e">
        <f ca="1">AVERAGEIFS(RoadTra_BY!AX$2:AX$999,RoadTra_BY!$B$2:$B$999,'Road transport'!$C28,RoadTra_BY!$C$2:$C$999,'Road transport'!$AX28)</f>
        <v>#DIV/0!</v>
      </c>
      <c r="AQ28" s="7" t="e">
        <f ca="1">AVERAGEIFS(RoadTra_BY!AY$2:AY$999,RoadTra_BY!$B$2:$B$999,'Road transport'!$C28,RoadTra_BY!$C$2:$C$999,'Road transport'!$AX28)</f>
        <v>#DIV/0!</v>
      </c>
      <c r="AR28" s="7" t="e">
        <f ca="1">AVERAGEIFS(RoadTra_BY!AZ$2:AZ$999,RoadTra_BY!$B$2:$B$999,'Road transport'!$C28,RoadTra_BY!$C$2:$C$999,'Road transport'!$AX28)</f>
        <v>#DIV/0!</v>
      </c>
      <c r="AS28" s="7" t="e">
        <f ca="1">AVERAGEIFS(RoadTra_BY!BA$2:BA$999,RoadTra_BY!$B$2:$B$999,'Road transport'!$C28,RoadTra_BY!$C$2:$C$999,'Road transport'!$AX28)</f>
        <v>#DIV/0!</v>
      </c>
      <c r="AT28" s="7" t="e">
        <f ca="1">AVERAGEIFS(RoadTra_BY!BB$2:BB$999,RoadTra_BY!$B$2:$B$999,'Road transport'!$C28,RoadTra_BY!$C$2:$C$999,'Road transport'!$AX28)</f>
        <v>#DIV/0!</v>
      </c>
      <c r="AU28" s="7" t="e">
        <f ca="1">AVERAGEIFS(RoadTra_BY!BC$2:BC$999,RoadTra_BY!$B$2:$B$999,'Road transport'!$C28,RoadTra_BY!$C$2:$C$999,'Road transport'!$AX28)</f>
        <v>#DIV/0!</v>
      </c>
      <c r="AV28" s="7" t="e">
        <f ca="1">AVERAGEIFS(RoadTra_BY!BD$2:BD$999,RoadTra_BY!$B$2:$B$999,'Road transport'!$C28,RoadTra_BY!$C$2:$C$999,'Road transport'!$AX28)</f>
        <v>#DIV/0!</v>
      </c>
      <c r="AW28" s="7" t="e">
        <f ca="1">AVERAGEIFS(RoadTra_BY!BE$2:BE$999,RoadTra_BY!$B$2:$B$999,'Road transport'!$C28,RoadTra_BY!$C$2:$C$999,'Road transport'!$AX28)</f>
        <v>#DIV/0!</v>
      </c>
      <c r="AX28" t="s">
        <v>105</v>
      </c>
    </row>
    <row r="31" spans="2:50">
      <c r="C31" t="s">
        <v>106</v>
      </c>
    </row>
    <row r="32" spans="2:50">
      <c r="C32" t="s">
        <v>55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60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 ca="1">"*"&amp;ROUND(SUMIFS(RoadTra_BY!AV$2:AV$79,RoadTra_BY!$B$2:$B$79,'Road transport'!$C33,RoadTra_BY!$C$2:$C$79,'Road transport'!$BA33),3)</f>
        <v>*0</v>
      </c>
      <c r="AO33" t="str">
        <f ca="1">"*"&amp;ROUND(SUMIFS(RoadTra_BY!AW$2:AW$79,RoadTra_BY!$B$2:$B$79,'Road transport'!$C33,RoadTra_BY!$C$2:$C$79,'Road transport'!$BA33),3)</f>
        <v>*0</v>
      </c>
      <c r="AP33" t="str">
        <f ca="1">"*"&amp;ROUND(SUMIFS(RoadTra_BY!AX$2:AX$79,RoadTra_BY!$B$2:$B$79,'Road transport'!$C33,RoadTra_BY!$C$2:$C$79,'Road transport'!$BA33),3)</f>
        <v>*0</v>
      </c>
      <c r="AQ33" t="str">
        <f ca="1">"*"&amp;ROUND(SUMIFS(RoadTra_BY!AY$2:AY$79,RoadTra_BY!$B$2:$B$79,'Road transport'!$C33,RoadTra_BY!$C$2:$C$79,'Road transport'!$BA33),3)</f>
        <v>*0</v>
      </c>
      <c r="AR33" t="str">
        <f ca="1">"*"&amp;ROUND(SUMIFS(RoadTra_BY!AZ$2:AZ$79,RoadTra_BY!$B$2:$B$79,'Road transport'!$C33,RoadTra_BY!$C$2:$C$79,'Road transport'!$BA33),3)</f>
        <v>*0</v>
      </c>
      <c r="AS33" t="str">
        <f ca="1">"*"&amp;ROUND(SUMIFS(RoadTra_BY!BA$2:BA$79,RoadTra_BY!$B$2:$B$79,'Road transport'!$C33,RoadTra_BY!$C$2:$C$79,'Road transport'!$BA33),3)</f>
        <v>*0</v>
      </c>
      <c r="AT33" t="str">
        <f ca="1">"*"&amp;ROUND(SUMIFS(RoadTra_BY!BB$2:BB$79,RoadTra_BY!$B$2:$B$79,'Road transport'!$C33,RoadTra_BY!$C$2:$C$79,'Road transport'!$BA33),3)</f>
        <v>*0</v>
      </c>
      <c r="AU33" t="str">
        <f ca="1">"*"&amp;ROUND(SUMIFS(RoadTra_BY!BC$2:BC$79,RoadTra_BY!$B$2:$B$79,'Road transport'!$C33,RoadTra_BY!$C$2:$C$79,'Road transport'!$BA33),3)</f>
        <v>*0</v>
      </c>
      <c r="AV33" t="str">
        <f ca="1">"*"&amp;ROUND(SUMIFS(RoadTra_BY!BD$2:BD$79,RoadTra_BY!$B$2:$B$79,'Road transport'!$C33,RoadTra_BY!$C$2:$C$79,'Road transport'!$BA33),3)</f>
        <v>*0</v>
      </c>
      <c r="AW33" t="str">
        <f ca="1"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2:53">
      <c r="C34" t="s">
        <v>60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 ca="1">"*"&amp;ROUND(SUMIFS(RoadTra_BY!AV$2:AV$79,RoadTra_BY!$B$2:$B$79,'Road transport'!$C34,RoadTra_BY!$C$2:$C$79,'Road transport'!$BA34),3)</f>
        <v>*0</v>
      </c>
      <c r="AO34" t="str">
        <f ca="1">"*"&amp;ROUND(SUMIFS(RoadTra_BY!AW$2:AW$79,RoadTra_BY!$B$2:$B$79,'Road transport'!$C34,RoadTra_BY!$C$2:$C$79,'Road transport'!$BA34),3)</f>
        <v>*0</v>
      </c>
      <c r="AP34" t="str">
        <f ca="1">"*"&amp;ROUND(SUMIFS(RoadTra_BY!AX$2:AX$79,RoadTra_BY!$B$2:$B$79,'Road transport'!$C34,RoadTra_BY!$C$2:$C$79,'Road transport'!$BA34),3)</f>
        <v>*0</v>
      </c>
      <c r="AQ34" t="str">
        <f ca="1">"*"&amp;ROUND(SUMIFS(RoadTra_BY!AY$2:AY$79,RoadTra_BY!$B$2:$B$79,'Road transport'!$C34,RoadTra_BY!$C$2:$C$79,'Road transport'!$BA34),3)</f>
        <v>*0</v>
      </c>
      <c r="AR34" t="str">
        <f ca="1">"*"&amp;ROUND(SUMIFS(RoadTra_BY!AZ$2:AZ$79,RoadTra_BY!$B$2:$B$79,'Road transport'!$C34,RoadTra_BY!$C$2:$C$79,'Road transport'!$BA34),3)</f>
        <v>*0</v>
      </c>
      <c r="AS34" t="str">
        <f ca="1">"*"&amp;ROUND(SUMIFS(RoadTra_BY!BA$2:BA$79,RoadTra_BY!$B$2:$B$79,'Road transport'!$C34,RoadTra_BY!$C$2:$C$79,'Road transport'!$BA34),3)</f>
        <v>*0</v>
      </c>
      <c r="AT34" t="str">
        <f ca="1">"*"&amp;ROUND(SUMIFS(RoadTra_BY!BB$2:BB$79,RoadTra_BY!$B$2:$B$79,'Road transport'!$C34,RoadTra_BY!$C$2:$C$79,'Road transport'!$BA34),3)</f>
        <v>*0</v>
      </c>
      <c r="AU34" t="str">
        <f ca="1">"*"&amp;ROUND(SUMIFS(RoadTra_BY!BC$2:BC$79,RoadTra_BY!$B$2:$B$79,'Road transport'!$C34,RoadTra_BY!$C$2:$C$79,'Road transport'!$BA34),3)</f>
        <v>*0</v>
      </c>
      <c r="AV34" t="str">
        <f ca="1">"*"&amp;ROUND(SUMIFS(RoadTra_BY!BD$2:BD$79,RoadTra_BY!$B$2:$B$79,'Road transport'!$C34,RoadTra_BY!$C$2:$C$79,'Road transport'!$BA34),3)</f>
        <v>*0</v>
      </c>
      <c r="AW34" t="str">
        <f ca="1"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2:53">
      <c r="C35" t="s">
        <v>60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 ca="1">"*"&amp;ROUND(SUMIFS(RoadTra_BY!AV$2:AV$79,RoadTra_BY!$B$2:$B$79,'Road transport'!$C35,RoadTra_BY!$C$2:$C$79,'Road transport'!$BA35),3)</f>
        <v>*0</v>
      </c>
      <c r="AO35" t="str">
        <f ca="1">"*"&amp;ROUND(SUMIFS(RoadTra_BY!AW$2:AW$79,RoadTra_BY!$B$2:$B$79,'Road transport'!$C35,RoadTra_BY!$C$2:$C$79,'Road transport'!$BA35),3)</f>
        <v>*0</v>
      </c>
      <c r="AP35" t="str">
        <f ca="1">"*"&amp;ROUND(SUMIFS(RoadTra_BY!AX$2:AX$79,RoadTra_BY!$B$2:$B$79,'Road transport'!$C35,RoadTra_BY!$C$2:$C$79,'Road transport'!$BA35),3)</f>
        <v>*0</v>
      </c>
      <c r="AQ35" t="str">
        <f ca="1">"*"&amp;ROUND(SUMIFS(RoadTra_BY!AY$2:AY$79,RoadTra_BY!$B$2:$B$79,'Road transport'!$C35,RoadTra_BY!$C$2:$C$79,'Road transport'!$BA35),3)</f>
        <v>*0</v>
      </c>
      <c r="AR35" t="str">
        <f ca="1">"*"&amp;ROUND(SUMIFS(RoadTra_BY!AZ$2:AZ$79,RoadTra_BY!$B$2:$B$79,'Road transport'!$C35,RoadTra_BY!$C$2:$C$79,'Road transport'!$BA35),3)</f>
        <v>*0</v>
      </c>
      <c r="AS35" t="str">
        <f ca="1">"*"&amp;ROUND(SUMIFS(RoadTra_BY!BA$2:BA$79,RoadTra_BY!$B$2:$B$79,'Road transport'!$C35,RoadTra_BY!$C$2:$C$79,'Road transport'!$BA35),3)</f>
        <v>*0</v>
      </c>
      <c r="AT35" t="str">
        <f ca="1">"*"&amp;ROUND(SUMIFS(RoadTra_BY!BB$2:BB$79,RoadTra_BY!$B$2:$B$79,'Road transport'!$C35,RoadTra_BY!$C$2:$C$79,'Road transport'!$BA35),3)</f>
        <v>*0</v>
      </c>
      <c r="AU35" t="str">
        <f ca="1">"*"&amp;ROUND(SUMIFS(RoadTra_BY!BC$2:BC$79,RoadTra_BY!$B$2:$B$79,'Road transport'!$C35,RoadTra_BY!$C$2:$C$79,'Road transport'!$BA35),3)</f>
        <v>*0</v>
      </c>
      <c r="AV35" t="str">
        <f ca="1">"*"&amp;ROUND(SUMIFS(RoadTra_BY!BD$2:BD$79,RoadTra_BY!$B$2:$B$79,'Road transport'!$C35,RoadTra_BY!$C$2:$C$79,'Road transport'!$BA35),3)</f>
        <v>*0</v>
      </c>
      <c r="AW35" t="str">
        <f ca="1"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2:53">
      <c r="C36" t="s">
        <v>60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 ca="1">"*"&amp;ROUND(SUMIFS(RoadTra_BY!AV$2:AV$79,RoadTra_BY!$B$2:$B$79,'Road transport'!$C36,RoadTra_BY!$C$2:$C$79,'Road transport'!$BA36),3)</f>
        <v>*0</v>
      </c>
      <c r="AO36" t="str">
        <f ca="1">"*"&amp;ROUND(SUMIFS(RoadTra_BY!AW$2:AW$79,RoadTra_BY!$B$2:$B$79,'Road transport'!$C36,RoadTra_BY!$C$2:$C$79,'Road transport'!$BA36),3)</f>
        <v>*0</v>
      </c>
      <c r="AP36" t="str">
        <f ca="1">"*"&amp;ROUND(SUMIFS(RoadTra_BY!AX$2:AX$79,RoadTra_BY!$B$2:$B$79,'Road transport'!$C36,RoadTra_BY!$C$2:$C$79,'Road transport'!$BA36),3)</f>
        <v>*0</v>
      </c>
      <c r="AQ36" t="str">
        <f ca="1">"*"&amp;ROUND(SUMIFS(RoadTra_BY!AY$2:AY$79,RoadTra_BY!$B$2:$B$79,'Road transport'!$C36,RoadTra_BY!$C$2:$C$79,'Road transport'!$BA36),3)</f>
        <v>*0</v>
      </c>
      <c r="AR36" t="str">
        <f ca="1">"*"&amp;ROUND(SUMIFS(RoadTra_BY!AZ$2:AZ$79,RoadTra_BY!$B$2:$B$79,'Road transport'!$C36,RoadTra_BY!$C$2:$C$79,'Road transport'!$BA36),3)</f>
        <v>*0</v>
      </c>
      <c r="AS36" t="str">
        <f ca="1">"*"&amp;ROUND(SUMIFS(RoadTra_BY!BA$2:BA$79,RoadTra_BY!$B$2:$B$79,'Road transport'!$C36,RoadTra_BY!$C$2:$C$79,'Road transport'!$BA36),3)</f>
        <v>*0</v>
      </c>
      <c r="AT36" t="str">
        <f ca="1">"*"&amp;ROUND(SUMIFS(RoadTra_BY!BB$2:BB$79,RoadTra_BY!$B$2:$B$79,'Road transport'!$C36,RoadTra_BY!$C$2:$C$79,'Road transport'!$BA36),3)</f>
        <v>*0</v>
      </c>
      <c r="AU36" t="str">
        <f ca="1">"*"&amp;ROUND(SUMIFS(RoadTra_BY!BC$2:BC$79,RoadTra_BY!$B$2:$B$79,'Road transport'!$C36,RoadTra_BY!$C$2:$C$79,'Road transport'!$BA36),3)</f>
        <v>*0</v>
      </c>
      <c r="AV36" t="str">
        <f ca="1">"*"&amp;ROUND(SUMIFS(RoadTra_BY!BD$2:BD$79,RoadTra_BY!$B$2:$B$79,'Road transport'!$C36,RoadTra_BY!$C$2:$C$79,'Road transport'!$BA36),3)</f>
        <v>*0</v>
      </c>
      <c r="AW36" t="str">
        <f ca="1"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2:53">
      <c r="C37" t="s">
        <v>60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 ca="1">"*"&amp;ROUND(SUMIFS(RoadTra_BY!AV$2:AV$79,RoadTra_BY!$B$2:$B$79,'Road transport'!$C37,RoadTra_BY!$C$2:$C$79,'Road transport'!$BA37),3)</f>
        <v>*0</v>
      </c>
      <c r="AO37" t="str">
        <f ca="1">"*"&amp;ROUND(SUMIFS(RoadTra_BY!AW$2:AW$79,RoadTra_BY!$B$2:$B$79,'Road transport'!$C37,RoadTra_BY!$C$2:$C$79,'Road transport'!$BA37),3)</f>
        <v>*0</v>
      </c>
      <c r="AP37" t="str">
        <f ca="1">"*"&amp;ROUND(SUMIFS(RoadTra_BY!AX$2:AX$79,RoadTra_BY!$B$2:$B$79,'Road transport'!$C37,RoadTra_BY!$C$2:$C$79,'Road transport'!$BA37),3)</f>
        <v>*0</v>
      </c>
      <c r="AQ37" t="str">
        <f ca="1">"*"&amp;ROUND(SUMIFS(RoadTra_BY!AY$2:AY$79,RoadTra_BY!$B$2:$B$79,'Road transport'!$C37,RoadTra_BY!$C$2:$C$79,'Road transport'!$BA37),3)</f>
        <v>*0</v>
      </c>
      <c r="AR37" t="str">
        <f ca="1">"*"&amp;ROUND(SUMIFS(RoadTra_BY!AZ$2:AZ$79,RoadTra_BY!$B$2:$B$79,'Road transport'!$C37,RoadTra_BY!$C$2:$C$79,'Road transport'!$BA37),3)</f>
        <v>*0</v>
      </c>
      <c r="AS37" t="str">
        <f ca="1">"*"&amp;ROUND(SUMIFS(RoadTra_BY!BA$2:BA$79,RoadTra_BY!$B$2:$B$79,'Road transport'!$C37,RoadTra_BY!$C$2:$C$79,'Road transport'!$BA37),3)</f>
        <v>*0</v>
      </c>
      <c r="AT37" t="str">
        <f ca="1">"*"&amp;ROUND(SUMIFS(RoadTra_BY!BB$2:BB$79,RoadTra_BY!$B$2:$B$79,'Road transport'!$C37,RoadTra_BY!$C$2:$C$79,'Road transport'!$BA37),3)</f>
        <v>*0</v>
      </c>
      <c r="AU37" t="str">
        <f ca="1">"*"&amp;ROUND(SUMIFS(RoadTra_BY!BC$2:BC$79,RoadTra_BY!$B$2:$B$79,'Road transport'!$C37,RoadTra_BY!$C$2:$C$79,'Road transport'!$BA37),3)</f>
        <v>*0</v>
      </c>
      <c r="AV37" t="str">
        <f ca="1">"*"&amp;ROUND(SUMIFS(RoadTra_BY!BD$2:BD$79,RoadTra_BY!$B$2:$B$79,'Road transport'!$C37,RoadTra_BY!$C$2:$C$79,'Road transport'!$BA37),3)</f>
        <v>*0</v>
      </c>
      <c r="AW37" t="str">
        <f ca="1"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2:53">
      <c r="C38" t="s">
        <v>60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 ca="1">"*"&amp;ROUND(SUMIFS(RoadTra_BY!AV$2:AV$79,RoadTra_BY!$B$2:$B$79,'Road transport'!$C38,RoadTra_BY!$C$2:$C$79,'Road transport'!$BA38),3)</f>
        <v>*0</v>
      </c>
      <c r="AO38" t="str">
        <f ca="1">"*"&amp;ROUND(SUMIFS(RoadTra_BY!AW$2:AW$79,RoadTra_BY!$B$2:$B$79,'Road transport'!$C38,RoadTra_BY!$C$2:$C$79,'Road transport'!$BA38),3)</f>
        <v>*0</v>
      </c>
      <c r="AP38" t="str">
        <f ca="1">"*"&amp;ROUND(SUMIFS(RoadTra_BY!AX$2:AX$79,RoadTra_BY!$B$2:$B$79,'Road transport'!$C38,RoadTra_BY!$C$2:$C$79,'Road transport'!$BA38),3)</f>
        <v>*0</v>
      </c>
      <c r="AQ38" t="str">
        <f ca="1">"*"&amp;ROUND(SUMIFS(RoadTra_BY!AY$2:AY$79,RoadTra_BY!$B$2:$B$79,'Road transport'!$C38,RoadTra_BY!$C$2:$C$79,'Road transport'!$BA38),3)</f>
        <v>*0</v>
      </c>
      <c r="AR38" t="str">
        <f ca="1">"*"&amp;ROUND(SUMIFS(RoadTra_BY!AZ$2:AZ$79,RoadTra_BY!$B$2:$B$79,'Road transport'!$C38,RoadTra_BY!$C$2:$C$79,'Road transport'!$BA38),3)</f>
        <v>*0</v>
      </c>
      <c r="AS38" t="str">
        <f ca="1">"*"&amp;ROUND(SUMIFS(RoadTra_BY!BA$2:BA$79,RoadTra_BY!$B$2:$B$79,'Road transport'!$C38,RoadTra_BY!$C$2:$C$79,'Road transport'!$BA38),3)</f>
        <v>*0</v>
      </c>
      <c r="AT38" t="str">
        <f ca="1">"*"&amp;ROUND(SUMIFS(RoadTra_BY!BB$2:BB$79,RoadTra_BY!$B$2:$B$79,'Road transport'!$C38,RoadTra_BY!$C$2:$C$79,'Road transport'!$BA38),3)</f>
        <v>*0</v>
      </c>
      <c r="AU38" t="str">
        <f ca="1">"*"&amp;ROUND(SUMIFS(RoadTra_BY!BC$2:BC$79,RoadTra_BY!$B$2:$B$79,'Road transport'!$C38,RoadTra_BY!$C$2:$C$79,'Road transport'!$BA38),3)</f>
        <v>*0</v>
      </c>
      <c r="AV38" t="str">
        <f ca="1">"*"&amp;ROUND(SUMIFS(RoadTra_BY!BD$2:BD$79,RoadTra_BY!$B$2:$B$79,'Road transport'!$C38,RoadTra_BY!$C$2:$C$79,'Road transport'!$BA38),3)</f>
        <v>*0</v>
      </c>
      <c r="AW38" t="str">
        <f ca="1"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2:53">
      <c r="E45" s="8"/>
    </row>
    <row r="48" spans="2:53">
      <c r="B48" t="s">
        <v>106</v>
      </c>
    </row>
    <row r="49" spans="2:53">
      <c r="B49" t="s">
        <v>55</v>
      </c>
      <c r="C49" t="s">
        <v>76</v>
      </c>
      <c r="D49" t="s">
        <v>56</v>
      </c>
      <c r="E49" t="s">
        <v>57</v>
      </c>
      <c r="I49" t="s">
        <v>113</v>
      </c>
    </row>
    <row r="50" spans="2:53">
      <c r="B50" t="s">
        <v>60</v>
      </c>
      <c r="C50" t="s">
        <v>114</v>
      </c>
      <c r="D50" t="s">
        <v>64</v>
      </c>
      <c r="E50" t="s">
        <v>115</v>
      </c>
    </row>
    <row r="53" spans="2:53">
      <c r="B53" t="s">
        <v>71</v>
      </c>
    </row>
    <row r="54" spans="2:53">
      <c r="B54" t="s">
        <v>55</v>
      </c>
      <c r="C54" t="s">
        <v>76</v>
      </c>
      <c r="D54" t="s">
        <v>116</v>
      </c>
      <c r="E54" t="s">
        <v>96</v>
      </c>
      <c r="F54" t="s">
        <v>58</v>
      </c>
      <c r="G54" t="s">
        <v>117</v>
      </c>
      <c r="H54" t="s">
        <v>57</v>
      </c>
    </row>
    <row r="55" spans="2:53">
      <c r="B55" t="s">
        <v>91</v>
      </c>
      <c r="C55">
        <v>10</v>
      </c>
      <c r="D55" t="s">
        <v>118</v>
      </c>
      <c r="E55" s="31" t="s">
        <v>119</v>
      </c>
    </row>
    <row r="56" spans="2:53">
      <c r="B56" t="s">
        <v>120</v>
      </c>
      <c r="C56">
        <v>1</v>
      </c>
      <c r="F56" t="s">
        <v>121</v>
      </c>
      <c r="G56" t="s">
        <v>63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71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71</v>
      </c>
      <c r="CY65" s="4"/>
      <c r="CZ65" s="4"/>
      <c r="DA65" s="4"/>
      <c r="DB65" s="4"/>
    </row>
    <row r="66" spans="1:106" s="2" customFormat="1">
      <c r="B66" s="9" t="s">
        <v>55</v>
      </c>
      <c r="C66" s="9" t="s">
        <v>59</v>
      </c>
      <c r="D66" s="9" t="s">
        <v>45</v>
      </c>
      <c r="E66" s="9" t="s">
        <v>58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122</v>
      </c>
      <c r="CQ66" s="24"/>
      <c r="CR66" s="24"/>
      <c r="CT66" s="24"/>
      <c r="CU66" s="24"/>
      <c r="CW66" t="s">
        <v>55</v>
      </c>
      <c r="CX66" t="s">
        <v>59</v>
      </c>
      <c r="CY66" t="s">
        <v>45</v>
      </c>
      <c r="CZ66" t="s">
        <v>58</v>
      </c>
      <c r="DA66" s="29" t="s">
        <v>77</v>
      </c>
      <c r="DB66" s="29" t="s">
        <v>44</v>
      </c>
    </row>
    <row r="67" spans="1:106" s="2" customFormat="1" ht="14.25">
      <c r="B67" s="11" t="s">
        <v>123</v>
      </c>
      <c r="C67" s="9" t="s">
        <v>66</v>
      </c>
      <c r="D67" s="10" t="s">
        <v>124</v>
      </c>
      <c r="E67" s="10" t="s">
        <v>125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123</v>
      </c>
      <c r="CX67" t="s">
        <v>66</v>
      </c>
      <c r="CY67" s="4" t="s">
        <v>124</v>
      </c>
      <c r="CZ67" s="4" t="s">
        <v>125</v>
      </c>
      <c r="DA67" s="29">
        <v>0</v>
      </c>
      <c r="DB67" s="29">
        <v>5</v>
      </c>
    </row>
    <row r="68" spans="1:106" s="2" customFormat="1" ht="14.25">
      <c r="B68" s="11" t="s">
        <v>123</v>
      </c>
      <c r="C68" s="9" t="s">
        <v>66</v>
      </c>
      <c r="D68" s="10" t="s">
        <v>124</v>
      </c>
      <c r="E68" s="10" t="s">
        <v>126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123</v>
      </c>
      <c r="CX68" t="s">
        <v>66</v>
      </c>
      <c r="CY68" s="4" t="s">
        <v>124</v>
      </c>
      <c r="CZ68" s="4" t="s">
        <v>126</v>
      </c>
      <c r="DA68" s="29">
        <v>0</v>
      </c>
      <c r="DB68" s="29">
        <v>5</v>
      </c>
    </row>
    <row r="69" spans="1:106" s="3" customFormat="1" ht="14.25">
      <c r="B69" s="12" t="s">
        <v>123</v>
      </c>
      <c r="C69" s="3" t="s">
        <v>66</v>
      </c>
      <c r="D69" s="13" t="s">
        <v>124</v>
      </c>
      <c r="E69" s="13" t="s">
        <v>127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123</v>
      </c>
      <c r="CX69" s="3" t="s">
        <v>66</v>
      </c>
      <c r="CY69" s="13" t="s">
        <v>124</v>
      </c>
      <c r="CZ69" s="13" t="s">
        <v>127</v>
      </c>
      <c r="DA69" s="25">
        <v>0</v>
      </c>
      <c r="DB69" s="25">
        <v>5</v>
      </c>
    </row>
    <row r="70" spans="1:106" s="2" customFormat="1" ht="14.25">
      <c r="B70" s="11" t="s">
        <v>123</v>
      </c>
      <c r="C70" s="9" t="s">
        <v>66</v>
      </c>
      <c r="D70" s="10" t="s">
        <v>124</v>
      </c>
      <c r="E70" s="15" t="s">
        <v>128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123</v>
      </c>
      <c r="CX70" t="s">
        <v>66</v>
      </c>
      <c r="CY70" s="4" t="s">
        <v>124</v>
      </c>
      <c r="CZ70" s="28" t="s">
        <v>128</v>
      </c>
      <c r="DA70" s="29">
        <v>0</v>
      </c>
      <c r="DB70" s="29">
        <v>5</v>
      </c>
    </row>
    <row r="71" spans="1:106" s="2" customFormat="1" ht="14.25">
      <c r="B71" s="11" t="s">
        <v>123</v>
      </c>
      <c r="C71" s="9" t="s">
        <v>66</v>
      </c>
      <c r="D71" s="10" t="s">
        <v>124</v>
      </c>
      <c r="E71" s="10" t="s">
        <v>129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123</v>
      </c>
      <c r="CX71" t="s">
        <v>66</v>
      </c>
      <c r="CY71" s="4" t="s">
        <v>124</v>
      </c>
      <c r="CZ71" s="4" t="s">
        <v>129</v>
      </c>
      <c r="DA71" s="29">
        <v>0</v>
      </c>
      <c r="DB71" s="29">
        <v>5</v>
      </c>
    </row>
    <row r="72" spans="1:106" s="2" customFormat="1" ht="14.25">
      <c r="B72" s="11" t="s">
        <v>123</v>
      </c>
      <c r="C72" s="9" t="s">
        <v>66</v>
      </c>
      <c r="D72" s="10" t="s">
        <v>124</v>
      </c>
      <c r="E72" s="10" t="s">
        <v>130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123</v>
      </c>
      <c r="CX72" t="s">
        <v>66</v>
      </c>
      <c r="CY72" s="4" t="s">
        <v>124</v>
      </c>
      <c r="CZ72" s="4" t="s">
        <v>130</v>
      </c>
      <c r="DA72" s="29">
        <v>0</v>
      </c>
      <c r="DB72" s="29">
        <v>5</v>
      </c>
    </row>
    <row r="73" spans="1:106" s="1" customFormat="1" ht="14.25">
      <c r="A73" s="2"/>
      <c r="B73" s="11" t="s">
        <v>123</v>
      </c>
      <c r="C73" s="9" t="s">
        <v>66</v>
      </c>
      <c r="D73" s="10" t="s">
        <v>124</v>
      </c>
      <c r="E73" s="10" t="s">
        <v>131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123</v>
      </c>
      <c r="CX73" t="s">
        <v>66</v>
      </c>
      <c r="CY73" s="4" t="s">
        <v>124</v>
      </c>
      <c r="CZ73" s="4" t="s">
        <v>131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132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133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71</v>
      </c>
      <c r="M102" s="4"/>
      <c r="N102" t="s">
        <v>71</v>
      </c>
      <c r="Y102" s="4"/>
      <c r="Z102" t="s">
        <v>71</v>
      </c>
    </row>
    <row r="103" spans="3:29">
      <c r="C103" s="4" t="s">
        <v>55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77</v>
      </c>
      <c r="M103" s="4" t="s">
        <v>55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77</v>
      </c>
      <c r="Y103" s="4" t="s">
        <v>55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134</v>
      </c>
      <c r="D104" s="18" t="s">
        <v>135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134</v>
      </c>
      <c r="N104" s="18" t="s">
        <v>135</v>
      </c>
      <c r="O104" s="18">
        <f>E104*0.313</f>
        <v>2.2266331624662232</v>
      </c>
      <c r="P104" s="18">
        <f>F104*0.313</f>
        <v>1.6907629386882834</v>
      </c>
      <c r="Q104" s="18">
        <f>G104*0.313</f>
        <v>2.7717425296241696</v>
      </c>
      <c r="X104">
        <v>0</v>
      </c>
      <c r="Y104" s="4" t="s">
        <v>134</v>
      </c>
      <c r="Z104" s="18" t="s">
        <v>135</v>
      </c>
      <c r="AA104" s="18">
        <v>5</v>
      </c>
      <c r="AB104" s="18">
        <v>5</v>
      </c>
      <c r="AC104" s="18">
        <v>5</v>
      </c>
    </row>
    <row r="105" spans="3:29">
      <c r="C105" s="4" t="s">
        <v>134</v>
      </c>
      <c r="D105" s="18" t="s">
        <v>136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134</v>
      </c>
      <c r="N105" s="18" t="s">
        <v>136</v>
      </c>
      <c r="O105" s="18">
        <f t="shared" ref="O105:O124" si="12">E105*0.313</f>
        <v>2.2266331624662232</v>
      </c>
      <c r="P105" s="18">
        <f t="shared" ref="P105:P124" si="13">F105*0.313</f>
        <v>1.6907629386882834</v>
      </c>
      <c r="Q105" s="18">
        <f t="shared" ref="Q105:Q124" si="14">G105*0.313</f>
        <v>2.7717425296241696</v>
      </c>
      <c r="X105">
        <v>0</v>
      </c>
      <c r="Y105" s="4" t="s">
        <v>134</v>
      </c>
      <c r="Z105" s="18" t="s">
        <v>136</v>
      </c>
      <c r="AA105" s="18">
        <v>5</v>
      </c>
      <c r="AB105" s="18">
        <v>5</v>
      </c>
      <c r="AC105" s="18">
        <v>5</v>
      </c>
    </row>
    <row r="106" spans="3:29">
      <c r="C106" s="4" t="s">
        <v>134</v>
      </c>
      <c r="D106" s="18" t="s">
        <v>137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134</v>
      </c>
      <c r="N106" s="18" t="s">
        <v>137</v>
      </c>
      <c r="O106" s="18">
        <f t="shared" si="12"/>
        <v>2.3881131454679445</v>
      </c>
      <c r="P106" s="18">
        <f t="shared" si="13"/>
        <v>1.8133805156963885</v>
      </c>
      <c r="Q106" s="18">
        <f t="shared" si="14"/>
        <v>2.9727549585114215</v>
      </c>
      <c r="X106">
        <v>0</v>
      </c>
      <c r="Y106" s="4" t="s">
        <v>134</v>
      </c>
      <c r="Z106" s="18" t="s">
        <v>137</v>
      </c>
      <c r="AA106" s="18">
        <v>5</v>
      </c>
      <c r="AB106" s="18">
        <v>5</v>
      </c>
      <c r="AC106" s="18">
        <v>5</v>
      </c>
    </row>
    <row r="107" spans="3:29">
      <c r="C107" s="4" t="s">
        <v>134</v>
      </c>
      <c r="D107" s="18" t="s">
        <v>138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134</v>
      </c>
      <c r="N107" s="18" t="s">
        <v>138</v>
      </c>
      <c r="O107" s="18">
        <f t="shared" si="12"/>
        <v>2.3384138660280027</v>
      </c>
      <c r="P107" s="18">
        <f t="shared" si="13"/>
        <v>1.7756420572586589</v>
      </c>
      <c r="Q107" s="18">
        <f t="shared" si="14"/>
        <v>2.9108886286661768</v>
      </c>
      <c r="X107">
        <v>0</v>
      </c>
      <c r="Y107" s="4" t="s">
        <v>134</v>
      </c>
      <c r="Z107" s="18" t="s">
        <v>138</v>
      </c>
      <c r="AA107" s="18">
        <v>5</v>
      </c>
      <c r="AB107" s="18">
        <v>5</v>
      </c>
      <c r="AC107" s="18">
        <v>5</v>
      </c>
    </row>
    <row r="108" spans="3:29">
      <c r="C108" s="4" t="s">
        <v>134</v>
      </c>
      <c r="D108" s="18" t="s">
        <v>139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134</v>
      </c>
      <c r="N108" s="18" t="s">
        <v>139</v>
      </c>
      <c r="O108" s="18">
        <f t="shared" si="12"/>
        <v>2.3526442176615077</v>
      </c>
      <c r="P108" s="18">
        <f t="shared" si="13"/>
        <v>1.7864476845246866</v>
      </c>
      <c r="Q108" s="18">
        <f t="shared" si="14"/>
        <v>2.9286027679439939</v>
      </c>
      <c r="X108">
        <v>0</v>
      </c>
      <c r="Y108" s="4" t="s">
        <v>134</v>
      </c>
      <c r="Z108" s="18" t="s">
        <v>139</v>
      </c>
      <c r="AA108" s="18">
        <v>5</v>
      </c>
      <c r="AB108" s="18">
        <v>5</v>
      </c>
      <c r="AC108" s="18">
        <v>5</v>
      </c>
    </row>
    <row r="109" spans="3:29">
      <c r="C109" s="4" t="s">
        <v>134</v>
      </c>
      <c r="D109" s="18" t="s">
        <v>140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134</v>
      </c>
      <c r="N109" s="18" t="s">
        <v>140</v>
      </c>
      <c r="O109" s="18">
        <f t="shared" si="12"/>
        <v>2.3632635057479736</v>
      </c>
      <c r="P109" s="18">
        <f t="shared" si="13"/>
        <v>1.7945112980103171</v>
      </c>
      <c r="Q109" s="18">
        <f t="shared" si="14"/>
        <v>2.9418217935887974</v>
      </c>
      <c r="X109">
        <v>0</v>
      </c>
      <c r="Y109" s="4" t="s">
        <v>134</v>
      </c>
      <c r="Z109" s="18" t="s">
        <v>140</v>
      </c>
      <c r="AA109" s="18">
        <v>5</v>
      </c>
      <c r="AB109" s="18">
        <v>5</v>
      </c>
      <c r="AC109" s="18">
        <v>5</v>
      </c>
    </row>
    <row r="110" spans="3:29">
      <c r="C110" s="4" t="s">
        <v>134</v>
      </c>
      <c r="D110" s="18" t="s">
        <v>141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134</v>
      </c>
      <c r="N110" s="18" t="s">
        <v>141</v>
      </c>
      <c r="O110" s="18">
        <f t="shared" si="12"/>
        <v>2.3881131454679445</v>
      </c>
      <c r="P110" s="18">
        <f t="shared" si="13"/>
        <v>1.8133805156963885</v>
      </c>
      <c r="Q110" s="18">
        <f t="shared" si="14"/>
        <v>2.9727549585114215</v>
      </c>
      <c r="X110">
        <v>0</v>
      </c>
      <c r="Y110" s="4" t="s">
        <v>134</v>
      </c>
      <c r="Z110" s="18" t="s">
        <v>141</v>
      </c>
      <c r="AA110" s="18">
        <v>5</v>
      </c>
      <c r="AB110" s="18">
        <v>5</v>
      </c>
      <c r="AC110" s="18">
        <v>5</v>
      </c>
    </row>
    <row r="111" spans="3:29">
      <c r="C111" s="4" t="s">
        <v>134</v>
      </c>
      <c r="D111" s="18" t="s">
        <v>142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134</v>
      </c>
      <c r="N111" s="18" t="s">
        <v>142</v>
      </c>
      <c r="O111" s="18">
        <f t="shared" si="12"/>
        <v>1.3095438006141009</v>
      </c>
      <c r="P111" s="18">
        <f t="shared" si="13"/>
        <v>0.99438388533529887</v>
      </c>
      <c r="Q111" s="18">
        <f t="shared" si="14"/>
        <v>1.6301375142962424</v>
      </c>
      <c r="X111">
        <v>0</v>
      </c>
      <c r="Y111" s="4" t="s">
        <v>134</v>
      </c>
      <c r="Z111" s="18" t="s">
        <v>142</v>
      </c>
      <c r="AA111" s="18">
        <v>5</v>
      </c>
      <c r="AB111" s="18">
        <v>5</v>
      </c>
      <c r="AC111" s="18">
        <v>5</v>
      </c>
    </row>
    <row r="112" spans="3:29">
      <c r="C112" s="4" t="s">
        <v>134</v>
      </c>
      <c r="D112" s="18" t="s">
        <v>143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134</v>
      </c>
      <c r="N112" s="18" t="s">
        <v>143</v>
      </c>
      <c r="O112" s="18">
        <f t="shared" si="12"/>
        <v>1.3095438006141009</v>
      </c>
      <c r="P112" s="18">
        <f t="shared" si="13"/>
        <v>0.99438388533529887</v>
      </c>
      <c r="Q112" s="18">
        <f t="shared" si="14"/>
        <v>1.6301375142962424</v>
      </c>
      <c r="X112">
        <v>0</v>
      </c>
      <c r="Y112" s="4" t="s">
        <v>134</v>
      </c>
      <c r="Z112" s="18" t="s">
        <v>143</v>
      </c>
      <c r="AA112" s="18">
        <v>5</v>
      </c>
      <c r="AB112" s="18">
        <v>5</v>
      </c>
      <c r="AC112" s="18">
        <v>5</v>
      </c>
    </row>
    <row r="113" spans="3:29">
      <c r="C113" s="4" t="s">
        <v>134</v>
      </c>
      <c r="D113" s="18" t="s">
        <v>144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134</v>
      </c>
      <c r="N113" s="18" t="s">
        <v>144</v>
      </c>
      <c r="O113" s="18">
        <f t="shared" si="12"/>
        <v>1.3095438006141009</v>
      </c>
      <c r="P113" s="18">
        <f t="shared" si="13"/>
        <v>0.99438388533529887</v>
      </c>
      <c r="Q113" s="18">
        <f t="shared" si="14"/>
        <v>1.6301375142962424</v>
      </c>
      <c r="X113">
        <v>0</v>
      </c>
      <c r="Y113" s="4" t="s">
        <v>134</v>
      </c>
      <c r="Z113" s="18" t="s">
        <v>144</v>
      </c>
      <c r="AA113" s="18">
        <v>5</v>
      </c>
      <c r="AB113" s="18">
        <v>5</v>
      </c>
      <c r="AC113" s="18">
        <v>5</v>
      </c>
    </row>
    <row r="114" spans="3:29">
      <c r="C114" s="4" t="s">
        <v>134</v>
      </c>
      <c r="D114" s="18" t="s">
        <v>145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134</v>
      </c>
      <c r="N114" s="18" t="s">
        <v>145</v>
      </c>
      <c r="O114" s="18">
        <f t="shared" si="12"/>
        <v>1.3095438006141009</v>
      </c>
      <c r="P114" s="18">
        <f t="shared" si="13"/>
        <v>0.99438388533529887</v>
      </c>
      <c r="Q114" s="18">
        <f t="shared" si="14"/>
        <v>1.6301375142962424</v>
      </c>
      <c r="X114">
        <v>0</v>
      </c>
      <c r="Y114" s="4" t="s">
        <v>134</v>
      </c>
      <c r="Z114" s="18" t="s">
        <v>145</v>
      </c>
      <c r="AA114" s="18">
        <v>5</v>
      </c>
      <c r="AB114" s="18">
        <v>5</v>
      </c>
      <c r="AC114" s="18">
        <v>5</v>
      </c>
    </row>
    <row r="115" spans="3:29">
      <c r="C115" s="4" t="s">
        <v>134</v>
      </c>
      <c r="D115" s="18" t="s">
        <v>146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134</v>
      </c>
      <c r="N115" s="18" t="s">
        <v>146</v>
      </c>
      <c r="O115" s="18">
        <f t="shared" si="12"/>
        <v>1.3095438006141009</v>
      </c>
      <c r="P115" s="18">
        <f t="shared" si="13"/>
        <v>0.99438388533529887</v>
      </c>
      <c r="Q115" s="18">
        <f t="shared" si="14"/>
        <v>1.6301375142962424</v>
      </c>
      <c r="X115">
        <v>0</v>
      </c>
      <c r="Y115" s="4" t="s">
        <v>134</v>
      </c>
      <c r="Z115" s="18" t="s">
        <v>146</v>
      </c>
      <c r="AA115" s="18">
        <v>5</v>
      </c>
      <c r="AB115" s="18">
        <v>5</v>
      </c>
      <c r="AC115" s="18">
        <v>5</v>
      </c>
    </row>
    <row r="116" spans="3:29">
      <c r="C116" s="4" t="s">
        <v>134</v>
      </c>
      <c r="D116" s="18" t="s">
        <v>147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134</v>
      </c>
      <c r="N116" s="18" t="s">
        <v>147</v>
      </c>
      <c r="O116" s="18">
        <f t="shared" si="12"/>
        <v>1.3095438006141009</v>
      </c>
      <c r="P116" s="18">
        <f t="shared" si="13"/>
        <v>0.99438388533529887</v>
      </c>
      <c r="Q116" s="18">
        <f t="shared" si="14"/>
        <v>1.6301375142962424</v>
      </c>
      <c r="X116">
        <v>0</v>
      </c>
      <c r="Y116" s="4" t="s">
        <v>134</v>
      </c>
      <c r="Z116" s="18" t="s">
        <v>147</v>
      </c>
      <c r="AA116" s="18">
        <v>5</v>
      </c>
      <c r="AB116" s="18">
        <v>5</v>
      </c>
      <c r="AC116" s="18">
        <v>5</v>
      </c>
    </row>
    <row r="117" spans="3:29">
      <c r="C117" s="4" t="s">
        <v>134</v>
      </c>
      <c r="D117" s="18" t="s">
        <v>148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134</v>
      </c>
      <c r="N117" s="18" t="s">
        <v>148</v>
      </c>
      <c r="O117" s="18">
        <f t="shared" si="12"/>
        <v>1.3095438006141009</v>
      </c>
      <c r="P117" s="18">
        <f t="shared" si="13"/>
        <v>0.99438388533529887</v>
      </c>
      <c r="Q117" s="18">
        <f t="shared" si="14"/>
        <v>1.6301375142962424</v>
      </c>
      <c r="X117">
        <v>0</v>
      </c>
      <c r="Y117" s="4" t="s">
        <v>134</v>
      </c>
      <c r="Z117" s="18" t="s">
        <v>148</v>
      </c>
      <c r="AA117" s="18">
        <v>5</v>
      </c>
      <c r="AB117" s="18">
        <v>5</v>
      </c>
      <c r="AC117" s="18">
        <v>5</v>
      </c>
    </row>
    <row r="118" spans="3:29">
      <c r="C118" s="4" t="s">
        <v>134</v>
      </c>
      <c r="D118" s="18" t="s">
        <v>149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134</v>
      </c>
      <c r="N118" s="18" t="s">
        <v>149</v>
      </c>
      <c r="O118" s="18">
        <f t="shared" si="12"/>
        <v>1.1160211134365026</v>
      </c>
      <c r="P118" s="18">
        <f t="shared" si="13"/>
        <v>0.84743511378039738</v>
      </c>
      <c r="Q118" s="18">
        <f t="shared" si="14"/>
        <v>1.3892379061901243</v>
      </c>
      <c r="X118">
        <v>0</v>
      </c>
      <c r="Y118" s="4" t="s">
        <v>134</v>
      </c>
      <c r="Z118" s="18" t="s">
        <v>149</v>
      </c>
      <c r="AA118" s="18">
        <v>5</v>
      </c>
      <c r="AB118" s="18">
        <v>5</v>
      </c>
      <c r="AC118" s="18">
        <v>5</v>
      </c>
    </row>
    <row r="119" spans="3:29">
      <c r="C119" s="4" t="s">
        <v>134</v>
      </c>
      <c r="D119" s="18" t="s">
        <v>150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134</v>
      </c>
      <c r="N119" s="18" t="s">
        <v>150</v>
      </c>
      <c r="O119" s="18">
        <f t="shared" si="12"/>
        <v>1.1270745266028022</v>
      </c>
      <c r="P119" s="18">
        <f t="shared" si="13"/>
        <v>0.85582838061901234</v>
      </c>
      <c r="Q119" s="18">
        <f t="shared" si="14"/>
        <v>1.4029973354458378</v>
      </c>
      <c r="X119">
        <v>0</v>
      </c>
      <c r="Y119" s="4" t="s">
        <v>134</v>
      </c>
      <c r="Z119" s="18" t="s">
        <v>150</v>
      </c>
      <c r="AA119" s="18">
        <v>5</v>
      </c>
      <c r="AB119" s="18">
        <v>5</v>
      </c>
      <c r="AC119" s="18">
        <v>5</v>
      </c>
    </row>
    <row r="120" spans="3:29">
      <c r="C120" s="4" t="s">
        <v>134</v>
      </c>
      <c r="D120" s="18" t="s">
        <v>151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134</v>
      </c>
      <c r="N120" s="18" t="s">
        <v>151</v>
      </c>
      <c r="O120" s="18">
        <f t="shared" si="12"/>
        <v>1.1160211134365026</v>
      </c>
      <c r="P120" s="18">
        <f t="shared" si="13"/>
        <v>0.84743511378039738</v>
      </c>
      <c r="Q120" s="18">
        <f t="shared" si="14"/>
        <v>1.3892379061901243</v>
      </c>
      <c r="X120">
        <v>0</v>
      </c>
      <c r="Y120" s="4" t="s">
        <v>134</v>
      </c>
      <c r="Z120" s="18" t="s">
        <v>151</v>
      </c>
      <c r="AA120" s="18">
        <v>5</v>
      </c>
      <c r="AB120" s="18">
        <v>5</v>
      </c>
      <c r="AC120" s="18">
        <v>5</v>
      </c>
    </row>
    <row r="121" spans="3:29">
      <c r="C121" s="4" t="s">
        <v>134</v>
      </c>
      <c r="D121" s="18" t="s">
        <v>152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134</v>
      </c>
      <c r="N121" s="18" t="s">
        <v>152</v>
      </c>
      <c r="O121" s="18">
        <f t="shared" si="12"/>
        <v>1.1163000071235558</v>
      </c>
      <c r="P121" s="18">
        <f t="shared" si="13"/>
        <v>0.84764690198968295</v>
      </c>
      <c r="Q121" s="18">
        <f t="shared" si="14"/>
        <v>1.3895850663227698</v>
      </c>
      <c r="X121">
        <v>0</v>
      </c>
      <c r="Y121" s="4" t="s">
        <v>134</v>
      </c>
      <c r="Z121" s="18" t="s">
        <v>152</v>
      </c>
      <c r="AA121" s="18">
        <v>5</v>
      </c>
      <c r="AB121" s="18">
        <v>5</v>
      </c>
      <c r="AC121" s="18">
        <v>5</v>
      </c>
    </row>
    <row r="122" spans="3:29">
      <c r="C122" s="4" t="s">
        <v>134</v>
      </c>
      <c r="D122" s="18" t="s">
        <v>153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134</v>
      </c>
      <c r="N122" s="18" t="s">
        <v>153</v>
      </c>
      <c r="O122" s="18">
        <f t="shared" si="12"/>
        <v>1.1161140600589541</v>
      </c>
      <c r="P122" s="18">
        <f t="shared" si="13"/>
        <v>0.84750569447310142</v>
      </c>
      <c r="Q122" s="18">
        <f t="shared" si="14"/>
        <v>1.3893536031687537</v>
      </c>
      <c r="X122">
        <v>0</v>
      </c>
      <c r="Y122" s="4" t="s">
        <v>134</v>
      </c>
      <c r="Z122" s="18" t="s">
        <v>153</v>
      </c>
      <c r="AA122" s="18">
        <v>5</v>
      </c>
      <c r="AB122" s="18">
        <v>5</v>
      </c>
      <c r="AC122" s="18">
        <v>5</v>
      </c>
    </row>
    <row r="123" spans="3:29">
      <c r="C123" s="4" t="s">
        <v>134</v>
      </c>
      <c r="D123" s="18" t="s">
        <v>154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134</v>
      </c>
      <c r="N123" s="18" t="s">
        <v>154</v>
      </c>
      <c r="O123" s="18">
        <f t="shared" si="12"/>
        <v>1.1160211134365026</v>
      </c>
      <c r="P123" s="18">
        <f t="shared" si="13"/>
        <v>0.84743511378039738</v>
      </c>
      <c r="Q123" s="18">
        <f t="shared" si="14"/>
        <v>1.3892379061901243</v>
      </c>
      <c r="X123">
        <v>0</v>
      </c>
      <c r="Y123" s="4" t="s">
        <v>134</v>
      </c>
      <c r="Z123" s="18" t="s">
        <v>154</v>
      </c>
      <c r="AA123" s="18">
        <v>5</v>
      </c>
      <c r="AB123" s="18">
        <v>5</v>
      </c>
      <c r="AC123" s="18">
        <v>5</v>
      </c>
    </row>
    <row r="124" spans="3:29">
      <c r="C124" s="4" t="s">
        <v>134</v>
      </c>
      <c r="D124" s="20" t="s">
        <v>155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134</v>
      </c>
      <c r="N124" s="20" t="s">
        <v>155</v>
      </c>
      <c r="O124" s="18">
        <f t="shared" si="12"/>
        <v>1.11583526632277</v>
      </c>
      <c r="P124" s="18">
        <f t="shared" si="13"/>
        <v>0.84729399852615916</v>
      </c>
      <c r="Q124" s="18">
        <f t="shared" si="14"/>
        <v>1.3890065583640379</v>
      </c>
      <c r="X124">
        <v>0</v>
      </c>
      <c r="Y124" s="4" t="s">
        <v>134</v>
      </c>
      <c r="Z124" s="18" t="s">
        <v>155</v>
      </c>
      <c r="AA124" s="18">
        <v>5</v>
      </c>
      <c r="AB124" s="18">
        <v>5</v>
      </c>
      <c r="AC124" s="18">
        <v>5</v>
      </c>
    </row>
    <row r="132" spans="3:29">
      <c r="C132" s="4"/>
      <c r="D132" t="s">
        <v>71</v>
      </c>
      <c r="M132" s="4"/>
      <c r="Y132" s="4"/>
    </row>
    <row r="133" spans="3:29">
      <c r="C133" s="4" t="s">
        <v>55</v>
      </c>
      <c r="D133" s="18" t="s">
        <v>45</v>
      </c>
      <c r="E133" s="18" t="s">
        <v>44</v>
      </c>
      <c r="F133" s="18"/>
      <c r="G133" s="18"/>
      <c r="M133" s="4"/>
      <c r="N133" s="4"/>
      <c r="O133" s="4"/>
      <c r="P133" s="4"/>
      <c r="Q133" s="4"/>
      <c r="Y133" s="4"/>
      <c r="Z133" s="4"/>
      <c r="AA133" s="4"/>
      <c r="AB133" s="4"/>
      <c r="AC133" s="4"/>
    </row>
    <row r="134" spans="3:29">
      <c r="C134" s="4" t="s">
        <v>156</v>
      </c>
      <c r="D134" s="18" t="s">
        <v>135</v>
      </c>
      <c r="E134" s="18">
        <v>1E-3</v>
      </c>
      <c r="F134" s="19"/>
      <c r="G134" s="19"/>
      <c r="M134" s="4"/>
      <c r="N134" s="4"/>
      <c r="O134" s="4"/>
      <c r="P134" s="4"/>
      <c r="Q134" s="4"/>
      <c r="Y134" s="4"/>
      <c r="Z134" s="4"/>
      <c r="AA134" s="4"/>
      <c r="AB134" s="4"/>
      <c r="AC134" s="4"/>
    </row>
    <row r="135" spans="3:29">
      <c r="C135" s="4" t="s">
        <v>156</v>
      </c>
      <c r="D135" s="18" t="s">
        <v>136</v>
      </c>
      <c r="E135" s="18">
        <f>E134</f>
        <v>1E-3</v>
      </c>
      <c r="F135" s="19"/>
      <c r="G135" s="19"/>
      <c r="M135" s="4"/>
      <c r="N135" s="4"/>
      <c r="O135" s="4"/>
      <c r="P135" s="4"/>
      <c r="Q135" s="4"/>
      <c r="Y135" s="4"/>
      <c r="Z135" s="4"/>
      <c r="AA135" s="4"/>
      <c r="AB135" s="4"/>
      <c r="AC135" s="4"/>
    </row>
    <row r="136" spans="3:29">
      <c r="C136" s="4" t="s">
        <v>156</v>
      </c>
      <c r="D136" s="18" t="s">
        <v>137</v>
      </c>
      <c r="E136" s="18">
        <f t="shared" ref="E136:E154" si="15">E135</f>
        <v>1E-3</v>
      </c>
      <c r="F136" s="19"/>
      <c r="G136" s="19"/>
      <c r="M136" s="4"/>
      <c r="N136" s="4"/>
      <c r="O136" s="4"/>
      <c r="P136" s="4"/>
      <c r="Q136" s="4"/>
      <c r="Y136" s="4"/>
      <c r="Z136" s="4"/>
      <c r="AA136" s="4"/>
      <c r="AB136" s="4"/>
      <c r="AC136" s="4"/>
    </row>
    <row r="137" spans="3:29">
      <c r="C137" s="4" t="s">
        <v>156</v>
      </c>
      <c r="D137" s="18" t="s">
        <v>138</v>
      </c>
      <c r="E137" s="18">
        <f t="shared" si="15"/>
        <v>1E-3</v>
      </c>
      <c r="F137" s="19"/>
      <c r="G137" s="19"/>
      <c r="M137" s="4"/>
      <c r="N137" s="4"/>
      <c r="O137" s="4"/>
      <c r="P137" s="4"/>
      <c r="Q137" s="4"/>
      <c r="Y137" s="4"/>
      <c r="Z137" s="4"/>
      <c r="AA137" s="4"/>
      <c r="AB137" s="4"/>
      <c r="AC137" s="4"/>
    </row>
    <row r="138" spans="3:29">
      <c r="C138" s="4" t="s">
        <v>156</v>
      </c>
      <c r="D138" s="18" t="s">
        <v>139</v>
      </c>
      <c r="E138" s="18">
        <f t="shared" si="15"/>
        <v>1E-3</v>
      </c>
      <c r="F138" s="19"/>
      <c r="G138" s="19"/>
      <c r="M138" s="4"/>
      <c r="N138" s="4"/>
      <c r="O138" s="4"/>
      <c r="P138" s="4"/>
      <c r="Q138" s="4"/>
      <c r="Y138" s="4"/>
      <c r="Z138" s="4"/>
      <c r="AA138" s="4"/>
      <c r="AB138" s="4"/>
      <c r="AC138" s="4"/>
    </row>
    <row r="139" spans="3:29">
      <c r="C139" s="4" t="s">
        <v>156</v>
      </c>
      <c r="D139" s="18" t="s">
        <v>140</v>
      </c>
      <c r="E139" s="18">
        <f t="shared" si="15"/>
        <v>1E-3</v>
      </c>
      <c r="F139" s="19"/>
      <c r="G139" s="19"/>
      <c r="M139" s="4"/>
      <c r="N139" s="4"/>
      <c r="O139" s="4"/>
      <c r="P139" s="4"/>
      <c r="Q139" s="4"/>
      <c r="Y139" s="4"/>
      <c r="Z139" s="4"/>
      <c r="AA139" s="4"/>
      <c r="AB139" s="4"/>
      <c r="AC139" s="4"/>
    </row>
    <row r="140" spans="3:29">
      <c r="C140" s="4" t="s">
        <v>156</v>
      </c>
      <c r="D140" s="18" t="s">
        <v>141</v>
      </c>
      <c r="E140" s="18">
        <f t="shared" si="15"/>
        <v>1E-3</v>
      </c>
      <c r="F140" s="19"/>
      <c r="G140" s="19"/>
      <c r="M140" s="4"/>
      <c r="N140" s="4"/>
      <c r="O140" s="4"/>
      <c r="P140" s="4"/>
      <c r="Q140" s="4"/>
      <c r="Y140" s="4"/>
      <c r="Z140" s="4"/>
      <c r="AA140" s="4"/>
      <c r="AB140" s="4"/>
      <c r="AC140" s="4"/>
    </row>
    <row r="141" spans="3:29">
      <c r="C141" s="4" t="s">
        <v>156</v>
      </c>
      <c r="D141" s="18" t="s">
        <v>142</v>
      </c>
      <c r="E141" s="18">
        <f t="shared" si="15"/>
        <v>1E-3</v>
      </c>
      <c r="F141" s="19"/>
      <c r="G141" s="19"/>
      <c r="M141" s="4"/>
      <c r="N141" s="4"/>
      <c r="O141" s="4"/>
      <c r="P141" s="4"/>
      <c r="Q141" s="4"/>
      <c r="Y141" s="4"/>
      <c r="Z141" s="4"/>
      <c r="AA141" s="4"/>
      <c r="AB141" s="4"/>
      <c r="AC141" s="4"/>
    </row>
    <row r="142" spans="3:29">
      <c r="C142" s="4" t="s">
        <v>156</v>
      </c>
      <c r="D142" s="18" t="s">
        <v>143</v>
      </c>
      <c r="E142" s="18">
        <f t="shared" si="15"/>
        <v>1E-3</v>
      </c>
      <c r="F142" s="19"/>
      <c r="G142" s="19"/>
      <c r="M142" s="4"/>
      <c r="N142" s="4"/>
      <c r="O142" s="4"/>
      <c r="P142" s="4"/>
      <c r="Q142" s="4"/>
      <c r="Y142" s="4"/>
      <c r="Z142" s="4"/>
      <c r="AA142" s="4"/>
      <c r="AB142" s="4"/>
      <c r="AC142" s="4"/>
    </row>
    <row r="143" spans="3:29">
      <c r="C143" s="4" t="s">
        <v>156</v>
      </c>
      <c r="D143" s="18" t="s">
        <v>144</v>
      </c>
      <c r="E143" s="18">
        <f t="shared" si="15"/>
        <v>1E-3</v>
      </c>
      <c r="F143" s="19"/>
      <c r="G143" s="19"/>
      <c r="M143" s="4"/>
      <c r="N143" s="4"/>
      <c r="O143" s="4"/>
      <c r="P143" s="4"/>
      <c r="Q143" s="4"/>
      <c r="Y143" s="4"/>
      <c r="Z143" s="4"/>
      <c r="AA143" s="4"/>
      <c r="AB143" s="4"/>
      <c r="AC143" s="4"/>
    </row>
    <row r="144" spans="3:29">
      <c r="C144" s="4" t="s">
        <v>156</v>
      </c>
      <c r="D144" s="18" t="s">
        <v>145</v>
      </c>
      <c r="E144" s="18">
        <f t="shared" si="15"/>
        <v>1E-3</v>
      </c>
      <c r="F144" s="19"/>
      <c r="G144" s="19"/>
      <c r="M144" s="4"/>
      <c r="N144" s="4"/>
      <c r="O144" s="4"/>
      <c r="P144" s="4"/>
      <c r="Q144" s="4"/>
      <c r="Y144" s="4"/>
      <c r="Z144" s="4"/>
      <c r="AA144" s="4"/>
      <c r="AB144" s="4"/>
      <c r="AC144" s="4"/>
    </row>
    <row r="145" spans="3:29">
      <c r="C145" s="4" t="s">
        <v>156</v>
      </c>
      <c r="D145" s="18" t="s">
        <v>146</v>
      </c>
      <c r="E145" s="18">
        <f t="shared" si="15"/>
        <v>1E-3</v>
      </c>
      <c r="F145" s="19"/>
      <c r="G145" s="19"/>
      <c r="M145" s="4"/>
      <c r="N145" s="4"/>
      <c r="O145" s="4"/>
      <c r="P145" s="4"/>
      <c r="Q145" s="4"/>
      <c r="Y145" s="4"/>
      <c r="Z145" s="4"/>
      <c r="AA145" s="4"/>
      <c r="AB145" s="4"/>
      <c r="AC145" s="4"/>
    </row>
    <row r="146" spans="3:29">
      <c r="C146" s="4" t="s">
        <v>156</v>
      </c>
      <c r="D146" s="18" t="s">
        <v>147</v>
      </c>
      <c r="E146" s="18">
        <f t="shared" si="15"/>
        <v>1E-3</v>
      </c>
      <c r="F146" s="19"/>
      <c r="G146" s="19"/>
      <c r="M146" s="4"/>
      <c r="N146" s="4"/>
      <c r="O146" s="4"/>
      <c r="P146" s="4"/>
      <c r="Q146" s="4"/>
      <c r="Y146" s="4"/>
      <c r="Z146" s="4"/>
      <c r="AA146" s="4"/>
      <c r="AB146" s="4"/>
      <c r="AC146" s="4"/>
    </row>
    <row r="147" spans="3:29">
      <c r="C147" s="4" t="s">
        <v>156</v>
      </c>
      <c r="D147" s="18" t="s">
        <v>148</v>
      </c>
      <c r="E147" s="18">
        <f t="shared" si="15"/>
        <v>1E-3</v>
      </c>
      <c r="F147" s="19"/>
      <c r="G147" s="19"/>
      <c r="M147" s="4"/>
      <c r="N147" s="4"/>
      <c r="O147" s="4"/>
      <c r="P147" s="4"/>
      <c r="Q147" s="4"/>
      <c r="Y147" s="4"/>
      <c r="Z147" s="4"/>
      <c r="AA147" s="4"/>
      <c r="AB147" s="4"/>
      <c r="AC147" s="4"/>
    </row>
    <row r="148" spans="3:29">
      <c r="C148" s="4" t="s">
        <v>156</v>
      </c>
      <c r="D148" s="18" t="s">
        <v>149</v>
      </c>
      <c r="E148" s="18">
        <f t="shared" si="15"/>
        <v>1E-3</v>
      </c>
      <c r="F148" s="19"/>
      <c r="G148" s="19"/>
      <c r="M148" s="4"/>
      <c r="N148" s="4"/>
      <c r="O148" s="4"/>
      <c r="P148" s="4"/>
      <c r="Q148" s="4"/>
      <c r="Y148" s="4"/>
      <c r="Z148" s="4"/>
      <c r="AA148" s="4"/>
      <c r="AB148" s="4"/>
      <c r="AC148" s="4"/>
    </row>
    <row r="149" spans="3:29">
      <c r="C149" s="4" t="s">
        <v>156</v>
      </c>
      <c r="D149" s="18" t="s">
        <v>150</v>
      </c>
      <c r="E149" s="18">
        <f t="shared" si="15"/>
        <v>1E-3</v>
      </c>
      <c r="F149" s="19"/>
      <c r="G149" s="19"/>
      <c r="M149" s="4"/>
      <c r="N149" s="4"/>
      <c r="O149" s="4"/>
      <c r="P149" s="4"/>
      <c r="Q149" s="4"/>
      <c r="Y149" s="4"/>
      <c r="Z149" s="4"/>
      <c r="AA149" s="4"/>
      <c r="AB149" s="4"/>
      <c r="AC149" s="4"/>
    </row>
    <row r="150" spans="3:29">
      <c r="C150" s="4" t="s">
        <v>156</v>
      </c>
      <c r="D150" s="18" t="s">
        <v>151</v>
      </c>
      <c r="E150" s="18">
        <f t="shared" si="15"/>
        <v>1E-3</v>
      </c>
      <c r="F150" s="19"/>
      <c r="G150" s="19"/>
      <c r="M150" s="4"/>
      <c r="N150" s="4"/>
      <c r="O150" s="4"/>
      <c r="P150" s="4"/>
      <c r="Q150" s="4"/>
      <c r="Y150" s="4"/>
      <c r="Z150" s="4"/>
      <c r="AA150" s="4"/>
      <c r="AB150" s="4"/>
      <c r="AC150" s="4"/>
    </row>
    <row r="151" spans="3:29">
      <c r="C151" s="4" t="s">
        <v>156</v>
      </c>
      <c r="D151" s="18" t="s">
        <v>152</v>
      </c>
      <c r="E151" s="18">
        <f t="shared" si="15"/>
        <v>1E-3</v>
      </c>
      <c r="F151" s="19"/>
      <c r="G151" s="19"/>
      <c r="M151" s="4"/>
      <c r="N151" s="4"/>
      <c r="O151" s="4"/>
      <c r="P151" s="4"/>
      <c r="Q151" s="4"/>
      <c r="Y151" s="4"/>
      <c r="Z151" s="4"/>
      <c r="AA151" s="4"/>
      <c r="AB151" s="4"/>
      <c r="AC151" s="4"/>
    </row>
    <row r="152" spans="3:29">
      <c r="C152" s="4" t="s">
        <v>156</v>
      </c>
      <c r="D152" s="18" t="s">
        <v>153</v>
      </c>
      <c r="E152" s="18">
        <f t="shared" si="15"/>
        <v>1E-3</v>
      </c>
      <c r="F152" s="19"/>
      <c r="G152" s="19"/>
      <c r="M152" s="4"/>
      <c r="N152" s="4"/>
      <c r="O152" s="4"/>
      <c r="P152" s="4"/>
      <c r="Q152" s="4"/>
      <c r="Y152" s="4"/>
      <c r="Z152" s="4"/>
      <c r="AA152" s="4"/>
      <c r="AB152" s="4"/>
      <c r="AC152" s="4"/>
    </row>
    <row r="153" spans="3:29">
      <c r="C153" s="4" t="s">
        <v>156</v>
      </c>
      <c r="D153" s="18" t="s">
        <v>154</v>
      </c>
      <c r="E153" s="18">
        <f t="shared" si="15"/>
        <v>1E-3</v>
      </c>
      <c r="F153" s="19"/>
      <c r="G153" s="19"/>
      <c r="M153" s="4"/>
      <c r="N153" s="4"/>
      <c r="O153" s="4"/>
      <c r="P153" s="4"/>
      <c r="Q153" s="4"/>
      <c r="Y153" s="4"/>
      <c r="Z153" s="4"/>
      <c r="AA153" s="4"/>
      <c r="AB153" s="4"/>
      <c r="AC153" s="4"/>
    </row>
    <row r="154" spans="3:29">
      <c r="C154" s="4" t="s">
        <v>156</v>
      </c>
      <c r="D154" s="20" t="s">
        <v>155</v>
      </c>
      <c r="E154" s="18">
        <f t="shared" si="15"/>
        <v>1E-3</v>
      </c>
      <c r="F154" s="19"/>
      <c r="G154" s="19"/>
      <c r="M154" s="4"/>
      <c r="N154" s="4"/>
      <c r="O154" s="4"/>
      <c r="P154" s="4"/>
      <c r="Q154" s="4"/>
      <c r="Y154" s="4"/>
      <c r="Z154" s="4"/>
      <c r="AA154" s="4"/>
      <c r="AB154" s="4"/>
      <c r="AC154" s="4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75"/>
  <cols>
    <col min="3" max="3" width="11.59765625" customWidth="1"/>
    <col min="12" max="28" width="5.265625" customWidth="1"/>
  </cols>
  <sheetData>
    <row r="1" spans="1:47">
      <c r="A1" t="s">
        <v>183</v>
      </c>
      <c r="B1" t="s">
        <v>55</v>
      </c>
      <c r="C1" t="s">
        <v>45</v>
      </c>
      <c r="D1" t="s">
        <v>47</v>
      </c>
      <c r="E1" t="s">
        <v>181</v>
      </c>
      <c r="F1" t="s">
        <v>182</v>
      </c>
      <c r="G1" t="s">
        <v>77</v>
      </c>
      <c r="H1" t="s">
        <v>157</v>
      </c>
      <c r="I1" t="s">
        <v>158</v>
      </c>
      <c r="J1" t="s">
        <v>159</v>
      </c>
      <c r="K1" t="s">
        <v>160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161</v>
      </c>
    </row>
    <row r="2" spans="1:47">
      <c r="A2" t="s">
        <v>48</v>
      </c>
      <c r="B2" t="s">
        <v>49</v>
      </c>
      <c r="C2" t="s">
        <v>107</v>
      </c>
      <c r="D2" t="s">
        <v>162</v>
      </c>
      <c r="E2" t="s">
        <v>66</v>
      </c>
      <c r="F2" t="s">
        <v>163</v>
      </c>
      <c r="G2" t="s">
        <v>164</v>
      </c>
      <c r="H2" t="s">
        <v>162</v>
      </c>
      <c r="I2" t="s">
        <v>162</v>
      </c>
      <c r="J2" t="s">
        <v>162</v>
      </c>
      <c r="K2" t="s">
        <v>162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162</v>
      </c>
    </row>
    <row r="3" spans="1:47">
      <c r="A3" t="s">
        <v>48</v>
      </c>
      <c r="B3" t="s">
        <v>49</v>
      </c>
      <c r="C3" t="s">
        <v>168</v>
      </c>
      <c r="D3" t="s">
        <v>162</v>
      </c>
      <c r="E3" t="s">
        <v>66</v>
      </c>
      <c r="F3" t="s">
        <v>163</v>
      </c>
      <c r="G3" t="s">
        <v>164</v>
      </c>
      <c r="H3" t="s">
        <v>162</v>
      </c>
      <c r="I3" t="s">
        <v>162</v>
      </c>
      <c r="J3" t="s">
        <v>162</v>
      </c>
      <c r="K3" t="s">
        <v>162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162</v>
      </c>
    </row>
    <row r="4" spans="1:47">
      <c r="A4" t="s">
        <v>48</v>
      </c>
      <c r="B4" t="s">
        <v>49</v>
      </c>
      <c r="C4" t="s">
        <v>169</v>
      </c>
      <c r="D4" t="s">
        <v>162</v>
      </c>
      <c r="E4" t="s">
        <v>66</v>
      </c>
      <c r="F4" t="s">
        <v>163</v>
      </c>
      <c r="G4" t="s">
        <v>164</v>
      </c>
      <c r="H4" t="s">
        <v>162</v>
      </c>
      <c r="I4" t="s">
        <v>162</v>
      </c>
      <c r="J4" t="s">
        <v>162</v>
      </c>
      <c r="K4" t="s">
        <v>162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162</v>
      </c>
    </row>
    <row r="5" spans="1:47">
      <c r="A5" t="s">
        <v>48</v>
      </c>
      <c r="B5" t="s">
        <v>49</v>
      </c>
      <c r="C5" t="s">
        <v>108</v>
      </c>
      <c r="D5" t="s">
        <v>162</v>
      </c>
      <c r="E5" t="s">
        <v>66</v>
      </c>
      <c r="F5" t="s">
        <v>163</v>
      </c>
      <c r="G5" t="s">
        <v>164</v>
      </c>
      <c r="H5" t="s">
        <v>162</v>
      </c>
      <c r="I5" t="s">
        <v>162</v>
      </c>
      <c r="J5" t="s">
        <v>162</v>
      </c>
      <c r="K5" t="s">
        <v>162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162</v>
      </c>
    </row>
    <row r="6" spans="1:47">
      <c r="A6" t="s">
        <v>48</v>
      </c>
      <c r="B6" t="s">
        <v>49</v>
      </c>
      <c r="C6" t="s">
        <v>170</v>
      </c>
      <c r="D6" t="s">
        <v>162</v>
      </c>
      <c r="E6" t="s">
        <v>66</v>
      </c>
      <c r="F6" t="s">
        <v>163</v>
      </c>
      <c r="G6" t="s">
        <v>164</v>
      </c>
      <c r="H6" t="s">
        <v>162</v>
      </c>
      <c r="I6" t="s">
        <v>162</v>
      </c>
      <c r="J6" t="s">
        <v>162</v>
      </c>
      <c r="K6" t="s">
        <v>162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162</v>
      </c>
    </row>
    <row r="7" spans="1:47">
      <c r="A7" t="s">
        <v>48</v>
      </c>
      <c r="B7" t="s">
        <v>49</v>
      </c>
      <c r="C7" t="s">
        <v>109</v>
      </c>
      <c r="D7" t="s">
        <v>162</v>
      </c>
      <c r="E7" t="s">
        <v>66</v>
      </c>
      <c r="F7" t="s">
        <v>163</v>
      </c>
      <c r="G7" t="s">
        <v>164</v>
      </c>
      <c r="H7" t="s">
        <v>162</v>
      </c>
      <c r="I7" t="s">
        <v>162</v>
      </c>
      <c r="J7" t="s">
        <v>162</v>
      </c>
      <c r="K7" t="s">
        <v>162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162</v>
      </c>
    </row>
    <row r="8" spans="1:47">
      <c r="A8" t="s">
        <v>48</v>
      </c>
      <c r="B8" t="s">
        <v>49</v>
      </c>
      <c r="C8" t="s">
        <v>171</v>
      </c>
      <c r="D8" t="s">
        <v>162</v>
      </c>
      <c r="E8" t="s">
        <v>66</v>
      </c>
      <c r="F8" t="s">
        <v>163</v>
      </c>
      <c r="G8" t="s">
        <v>164</v>
      </c>
      <c r="H8" t="s">
        <v>162</v>
      </c>
      <c r="I8" t="s">
        <v>162</v>
      </c>
      <c r="J8" t="s">
        <v>162</v>
      </c>
      <c r="K8" t="s">
        <v>162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162</v>
      </c>
    </row>
    <row r="9" spans="1:47">
      <c r="A9" t="s">
        <v>48</v>
      </c>
      <c r="B9" t="s">
        <v>49</v>
      </c>
      <c r="C9" t="s">
        <v>172</v>
      </c>
      <c r="D9" t="s">
        <v>162</v>
      </c>
      <c r="E9" t="s">
        <v>66</v>
      </c>
      <c r="F9" t="s">
        <v>163</v>
      </c>
      <c r="G9" t="s">
        <v>164</v>
      </c>
      <c r="H9" t="s">
        <v>162</v>
      </c>
      <c r="I9" t="s">
        <v>162</v>
      </c>
      <c r="J9" t="s">
        <v>162</v>
      </c>
      <c r="K9" t="s">
        <v>162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162</v>
      </c>
    </row>
    <row r="10" spans="1:47">
      <c r="A10" t="s">
        <v>48</v>
      </c>
      <c r="B10" t="s">
        <v>49</v>
      </c>
      <c r="C10" t="s">
        <v>173</v>
      </c>
      <c r="D10" t="s">
        <v>162</v>
      </c>
      <c r="E10" t="s">
        <v>66</v>
      </c>
      <c r="F10" t="s">
        <v>163</v>
      </c>
      <c r="G10" t="s">
        <v>164</v>
      </c>
      <c r="H10" t="s">
        <v>162</v>
      </c>
      <c r="I10" t="s">
        <v>162</v>
      </c>
      <c r="J10" t="s">
        <v>162</v>
      </c>
      <c r="K10" t="s">
        <v>162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162</v>
      </c>
    </row>
    <row r="11" spans="1:47">
      <c r="A11" t="s">
        <v>48</v>
      </c>
      <c r="B11" t="s">
        <v>49</v>
      </c>
      <c r="C11" t="s">
        <v>174</v>
      </c>
      <c r="D11" t="s">
        <v>162</v>
      </c>
      <c r="E11" t="s">
        <v>66</v>
      </c>
      <c r="F11" t="s">
        <v>163</v>
      </c>
      <c r="G11" t="s">
        <v>164</v>
      </c>
      <c r="H11" t="s">
        <v>162</v>
      </c>
      <c r="I11" t="s">
        <v>162</v>
      </c>
      <c r="J11" t="s">
        <v>162</v>
      </c>
      <c r="K11" t="s">
        <v>162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162</v>
      </c>
    </row>
    <row r="12" spans="1:47">
      <c r="A12" t="s">
        <v>48</v>
      </c>
      <c r="B12" t="s">
        <v>49</v>
      </c>
      <c r="C12" t="s">
        <v>175</v>
      </c>
      <c r="D12" t="s">
        <v>162</v>
      </c>
      <c r="E12" t="s">
        <v>66</v>
      </c>
      <c r="F12" t="s">
        <v>163</v>
      </c>
      <c r="G12" t="s">
        <v>164</v>
      </c>
      <c r="H12" t="s">
        <v>162</v>
      </c>
      <c r="I12" t="s">
        <v>162</v>
      </c>
      <c r="J12" t="s">
        <v>162</v>
      </c>
      <c r="K12" t="s">
        <v>162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162</v>
      </c>
    </row>
    <row r="13" spans="1:47">
      <c r="A13" t="s">
        <v>48</v>
      </c>
      <c r="B13" t="s">
        <v>49</v>
      </c>
      <c r="C13" t="s">
        <v>176</v>
      </c>
      <c r="D13" t="s">
        <v>162</v>
      </c>
      <c r="E13" t="s">
        <v>66</v>
      </c>
      <c r="F13" t="s">
        <v>163</v>
      </c>
      <c r="G13" t="s">
        <v>164</v>
      </c>
      <c r="H13" t="s">
        <v>162</v>
      </c>
      <c r="I13" t="s">
        <v>162</v>
      </c>
      <c r="J13" t="s">
        <v>162</v>
      </c>
      <c r="K13" t="s">
        <v>162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162</v>
      </c>
    </row>
    <row r="14" spans="1:47">
      <c r="A14" t="s">
        <v>48</v>
      </c>
      <c r="B14" t="s">
        <v>49</v>
      </c>
      <c r="C14" t="s">
        <v>177</v>
      </c>
      <c r="D14" t="s">
        <v>162</v>
      </c>
      <c r="E14" t="s">
        <v>66</v>
      </c>
      <c r="F14" t="s">
        <v>163</v>
      </c>
      <c r="G14" t="s">
        <v>164</v>
      </c>
      <c r="H14" t="s">
        <v>162</v>
      </c>
      <c r="I14" t="s">
        <v>162</v>
      </c>
      <c r="J14" t="s">
        <v>162</v>
      </c>
      <c r="K14" t="s">
        <v>162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162</v>
      </c>
    </row>
    <row r="15" spans="1:47">
      <c r="A15" t="s">
        <v>48</v>
      </c>
      <c r="B15" t="s">
        <v>49</v>
      </c>
      <c r="C15" t="s">
        <v>178</v>
      </c>
      <c r="D15" t="s">
        <v>162</v>
      </c>
      <c r="E15" t="s">
        <v>66</v>
      </c>
      <c r="F15" t="s">
        <v>163</v>
      </c>
      <c r="G15" t="s">
        <v>164</v>
      </c>
      <c r="H15" t="s">
        <v>162</v>
      </c>
      <c r="I15" t="s">
        <v>162</v>
      </c>
      <c r="J15" t="s">
        <v>162</v>
      </c>
      <c r="K15" t="s">
        <v>162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162</v>
      </c>
    </row>
    <row r="16" spans="1:47">
      <c r="A16" t="s">
        <v>48</v>
      </c>
      <c r="B16" t="s">
        <v>49</v>
      </c>
      <c r="C16" t="s">
        <v>179</v>
      </c>
      <c r="D16" t="s">
        <v>162</v>
      </c>
      <c r="E16" t="s">
        <v>66</v>
      </c>
      <c r="F16" t="s">
        <v>163</v>
      </c>
      <c r="G16" t="s">
        <v>164</v>
      </c>
      <c r="H16" t="s">
        <v>162</v>
      </c>
      <c r="I16" t="s">
        <v>162</v>
      </c>
      <c r="J16" t="s">
        <v>162</v>
      </c>
      <c r="K16" t="s">
        <v>162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162</v>
      </c>
    </row>
    <row r="17" spans="1:47">
      <c r="A17" t="s">
        <v>48</v>
      </c>
      <c r="B17" t="s">
        <v>49</v>
      </c>
      <c r="C17" t="s">
        <v>110</v>
      </c>
      <c r="D17" t="s">
        <v>162</v>
      </c>
      <c r="E17" t="s">
        <v>66</v>
      </c>
      <c r="F17" t="s">
        <v>163</v>
      </c>
      <c r="G17" t="s">
        <v>164</v>
      </c>
      <c r="H17" t="s">
        <v>162</v>
      </c>
      <c r="I17" t="s">
        <v>162</v>
      </c>
      <c r="J17" t="s">
        <v>162</v>
      </c>
      <c r="K17" t="s">
        <v>162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162</v>
      </c>
    </row>
    <row r="18" spans="1:47">
      <c r="A18" t="s">
        <v>48</v>
      </c>
      <c r="B18" t="s">
        <v>49</v>
      </c>
      <c r="C18" t="s">
        <v>180</v>
      </c>
      <c r="D18" t="s">
        <v>162</v>
      </c>
      <c r="E18" t="s">
        <v>66</v>
      </c>
      <c r="F18" t="s">
        <v>163</v>
      </c>
      <c r="G18" t="s">
        <v>164</v>
      </c>
      <c r="H18" t="s">
        <v>162</v>
      </c>
      <c r="I18" t="s">
        <v>162</v>
      </c>
      <c r="J18" t="s">
        <v>162</v>
      </c>
      <c r="K18" t="s">
        <v>162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162</v>
      </c>
    </row>
    <row r="19" spans="1:47">
      <c r="A19" t="s">
        <v>48</v>
      </c>
      <c r="B19" t="s">
        <v>49</v>
      </c>
      <c r="C19" t="s">
        <v>184</v>
      </c>
      <c r="D19" t="s">
        <v>162</v>
      </c>
      <c r="E19" t="s">
        <v>66</v>
      </c>
      <c r="F19" t="s">
        <v>163</v>
      </c>
      <c r="G19" t="s">
        <v>164</v>
      </c>
      <c r="H19" t="s">
        <v>162</v>
      </c>
      <c r="I19" t="s">
        <v>162</v>
      </c>
      <c r="J19" t="s">
        <v>162</v>
      </c>
      <c r="K19" t="s">
        <v>162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162</v>
      </c>
    </row>
    <row r="20" spans="1:47">
      <c r="A20" t="s">
        <v>48</v>
      </c>
      <c r="B20" t="s">
        <v>49</v>
      </c>
      <c r="C20" t="s">
        <v>185</v>
      </c>
      <c r="D20" t="s">
        <v>162</v>
      </c>
      <c r="E20" t="s">
        <v>66</v>
      </c>
      <c r="F20" t="s">
        <v>163</v>
      </c>
      <c r="G20" t="s">
        <v>164</v>
      </c>
      <c r="H20" t="s">
        <v>162</v>
      </c>
      <c r="I20" t="s">
        <v>162</v>
      </c>
      <c r="J20" t="s">
        <v>162</v>
      </c>
      <c r="K20" t="s">
        <v>162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162</v>
      </c>
    </row>
    <row r="21" spans="1:47">
      <c r="A21" t="s">
        <v>48</v>
      </c>
      <c r="B21" t="s">
        <v>49</v>
      </c>
      <c r="C21" t="s">
        <v>111</v>
      </c>
      <c r="D21" t="s">
        <v>162</v>
      </c>
      <c r="E21" t="s">
        <v>66</v>
      </c>
      <c r="F21" t="s">
        <v>163</v>
      </c>
      <c r="G21" t="s">
        <v>164</v>
      </c>
      <c r="H21" t="s">
        <v>162</v>
      </c>
      <c r="I21" t="s">
        <v>162</v>
      </c>
      <c r="J21" t="s">
        <v>162</v>
      </c>
      <c r="K21" t="s">
        <v>162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162</v>
      </c>
    </row>
    <row r="22" spans="1:47">
      <c r="A22" t="s">
        <v>48</v>
      </c>
      <c r="B22" t="s">
        <v>49</v>
      </c>
      <c r="C22" t="s">
        <v>186</v>
      </c>
      <c r="D22" t="s">
        <v>162</v>
      </c>
      <c r="E22" t="s">
        <v>66</v>
      </c>
      <c r="F22" t="s">
        <v>163</v>
      </c>
      <c r="G22" t="s">
        <v>164</v>
      </c>
      <c r="H22" t="s">
        <v>162</v>
      </c>
      <c r="I22" t="s">
        <v>162</v>
      </c>
      <c r="J22" t="s">
        <v>162</v>
      </c>
      <c r="K22" t="s">
        <v>162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162</v>
      </c>
    </row>
    <row r="23" spans="1:47">
      <c r="A23" t="s">
        <v>48</v>
      </c>
      <c r="B23" t="s">
        <v>49</v>
      </c>
      <c r="C23" t="s">
        <v>187</v>
      </c>
      <c r="D23" t="s">
        <v>162</v>
      </c>
      <c r="E23" t="s">
        <v>66</v>
      </c>
      <c r="F23" t="s">
        <v>163</v>
      </c>
      <c r="G23" t="s">
        <v>164</v>
      </c>
      <c r="H23" t="s">
        <v>162</v>
      </c>
      <c r="I23" t="s">
        <v>162</v>
      </c>
      <c r="J23" t="s">
        <v>162</v>
      </c>
      <c r="K23" t="s">
        <v>162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162</v>
      </c>
    </row>
    <row r="24" spans="1:47">
      <c r="A24" t="s">
        <v>48</v>
      </c>
      <c r="B24" t="s">
        <v>49</v>
      </c>
      <c r="C24" t="s">
        <v>112</v>
      </c>
      <c r="D24" t="s">
        <v>162</v>
      </c>
      <c r="E24" t="s">
        <v>66</v>
      </c>
      <c r="F24" t="s">
        <v>163</v>
      </c>
      <c r="G24" t="s">
        <v>164</v>
      </c>
      <c r="H24" t="s">
        <v>162</v>
      </c>
      <c r="I24" t="s">
        <v>162</v>
      </c>
      <c r="J24" t="s">
        <v>162</v>
      </c>
      <c r="K24" t="s">
        <v>162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162</v>
      </c>
    </row>
    <row r="25" spans="1:47">
      <c r="A25" t="s">
        <v>48</v>
      </c>
      <c r="B25" t="s">
        <v>49</v>
      </c>
      <c r="C25" t="s">
        <v>188</v>
      </c>
      <c r="D25" t="s">
        <v>162</v>
      </c>
      <c r="E25" t="s">
        <v>66</v>
      </c>
      <c r="F25" t="s">
        <v>163</v>
      </c>
      <c r="G25" t="s">
        <v>164</v>
      </c>
      <c r="H25" t="s">
        <v>162</v>
      </c>
      <c r="I25" t="s">
        <v>162</v>
      </c>
      <c r="J25" t="s">
        <v>162</v>
      </c>
      <c r="K25" t="s">
        <v>162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162</v>
      </c>
    </row>
    <row r="26" spans="1:47">
      <c r="A26" t="s">
        <v>48</v>
      </c>
      <c r="B26" t="s">
        <v>49</v>
      </c>
      <c r="C26" t="s">
        <v>166</v>
      </c>
      <c r="D26" t="s">
        <v>162</v>
      </c>
      <c r="E26" t="s">
        <v>66</v>
      </c>
      <c r="F26" t="s">
        <v>163</v>
      </c>
      <c r="G26" t="s">
        <v>164</v>
      </c>
      <c r="H26" t="s">
        <v>162</v>
      </c>
      <c r="I26" t="s">
        <v>162</v>
      </c>
      <c r="J26" t="s">
        <v>162</v>
      </c>
      <c r="K26" t="s">
        <v>162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162</v>
      </c>
    </row>
    <row r="27" spans="1:47">
      <c r="A27" t="s">
        <v>48</v>
      </c>
      <c r="B27" t="s">
        <v>49</v>
      </c>
      <c r="C27" t="s">
        <v>167</v>
      </c>
      <c r="D27" t="s">
        <v>162</v>
      </c>
      <c r="E27" t="s">
        <v>66</v>
      </c>
      <c r="F27" t="s">
        <v>163</v>
      </c>
      <c r="G27" t="s">
        <v>164</v>
      </c>
      <c r="H27" t="s">
        <v>162</v>
      </c>
      <c r="I27" t="s">
        <v>162</v>
      </c>
      <c r="J27" t="s">
        <v>162</v>
      </c>
      <c r="K27" t="s">
        <v>162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162</v>
      </c>
    </row>
    <row r="28" spans="1:47">
      <c r="A28" t="s">
        <v>48</v>
      </c>
      <c r="B28" t="s">
        <v>49</v>
      </c>
      <c r="C28" t="s">
        <v>165</v>
      </c>
      <c r="D28" t="s">
        <v>162</v>
      </c>
      <c r="E28" t="s">
        <v>66</v>
      </c>
      <c r="F28" t="s">
        <v>163</v>
      </c>
      <c r="G28" t="s">
        <v>164</v>
      </c>
      <c r="H28" t="s">
        <v>162</v>
      </c>
      <c r="I28" t="s">
        <v>162</v>
      </c>
      <c r="J28" t="s">
        <v>162</v>
      </c>
      <c r="K28" t="s">
        <v>162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162</v>
      </c>
    </row>
    <row r="29" spans="1:47">
      <c r="A29" t="s">
        <v>48</v>
      </c>
      <c r="B29" t="s">
        <v>60</v>
      </c>
      <c r="C29" t="s">
        <v>107</v>
      </c>
      <c r="D29" t="s">
        <v>162</v>
      </c>
      <c r="E29" t="s">
        <v>162</v>
      </c>
      <c r="F29" t="s">
        <v>163</v>
      </c>
      <c r="G29" t="s">
        <v>164</v>
      </c>
      <c r="H29" t="s">
        <v>162</v>
      </c>
      <c r="I29" t="s">
        <v>162</v>
      </c>
      <c r="J29" t="s">
        <v>162</v>
      </c>
      <c r="K29" t="s">
        <v>162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162</v>
      </c>
    </row>
    <row r="30" spans="1:47">
      <c r="A30" t="s">
        <v>48</v>
      </c>
      <c r="B30" t="s">
        <v>60</v>
      </c>
      <c r="C30" t="s">
        <v>168</v>
      </c>
      <c r="D30" t="s">
        <v>162</v>
      </c>
      <c r="E30" t="s">
        <v>162</v>
      </c>
      <c r="F30" t="s">
        <v>163</v>
      </c>
      <c r="G30" t="s">
        <v>164</v>
      </c>
      <c r="H30" t="s">
        <v>162</v>
      </c>
      <c r="I30" t="s">
        <v>162</v>
      </c>
      <c r="J30" t="s">
        <v>162</v>
      </c>
      <c r="K30" t="s">
        <v>162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162</v>
      </c>
    </row>
    <row r="31" spans="1:47">
      <c r="A31" t="s">
        <v>48</v>
      </c>
      <c r="B31" t="s">
        <v>60</v>
      </c>
      <c r="C31" t="s">
        <v>169</v>
      </c>
      <c r="D31" t="s">
        <v>162</v>
      </c>
      <c r="E31" t="s">
        <v>162</v>
      </c>
      <c r="F31" t="s">
        <v>163</v>
      </c>
      <c r="G31" t="s">
        <v>164</v>
      </c>
      <c r="H31" t="s">
        <v>162</v>
      </c>
      <c r="I31" t="s">
        <v>162</v>
      </c>
      <c r="J31" t="s">
        <v>162</v>
      </c>
      <c r="K31" t="s">
        <v>162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162</v>
      </c>
    </row>
    <row r="32" spans="1:47">
      <c r="A32" t="s">
        <v>48</v>
      </c>
      <c r="B32" t="s">
        <v>60</v>
      </c>
      <c r="C32" t="s">
        <v>108</v>
      </c>
      <c r="D32" t="s">
        <v>162</v>
      </c>
      <c r="E32" t="s">
        <v>162</v>
      </c>
      <c r="F32" t="s">
        <v>163</v>
      </c>
      <c r="G32" t="s">
        <v>164</v>
      </c>
      <c r="H32" t="s">
        <v>162</v>
      </c>
      <c r="I32" t="s">
        <v>162</v>
      </c>
      <c r="J32" t="s">
        <v>162</v>
      </c>
      <c r="K32" t="s">
        <v>162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162</v>
      </c>
    </row>
    <row r="33" spans="1:47">
      <c r="A33" t="s">
        <v>48</v>
      </c>
      <c r="B33" t="s">
        <v>60</v>
      </c>
      <c r="C33" t="s">
        <v>170</v>
      </c>
      <c r="D33" t="s">
        <v>162</v>
      </c>
      <c r="E33" t="s">
        <v>162</v>
      </c>
      <c r="F33" t="s">
        <v>163</v>
      </c>
      <c r="G33" t="s">
        <v>164</v>
      </c>
      <c r="H33" t="s">
        <v>162</v>
      </c>
      <c r="I33" t="s">
        <v>162</v>
      </c>
      <c r="J33" t="s">
        <v>162</v>
      </c>
      <c r="K33" t="s">
        <v>162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162</v>
      </c>
    </row>
    <row r="34" spans="1:47">
      <c r="A34" t="s">
        <v>48</v>
      </c>
      <c r="B34" t="s">
        <v>60</v>
      </c>
      <c r="C34" t="s">
        <v>109</v>
      </c>
      <c r="D34" t="s">
        <v>162</v>
      </c>
      <c r="E34" t="s">
        <v>162</v>
      </c>
      <c r="F34" t="s">
        <v>163</v>
      </c>
      <c r="G34" t="s">
        <v>164</v>
      </c>
      <c r="H34" t="s">
        <v>162</v>
      </c>
      <c r="I34" t="s">
        <v>162</v>
      </c>
      <c r="J34" t="s">
        <v>162</v>
      </c>
      <c r="K34" t="s">
        <v>162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162</v>
      </c>
    </row>
    <row r="35" spans="1:47">
      <c r="A35" t="s">
        <v>48</v>
      </c>
      <c r="B35" t="s">
        <v>60</v>
      </c>
      <c r="C35" t="s">
        <v>171</v>
      </c>
      <c r="D35" t="s">
        <v>162</v>
      </c>
      <c r="E35" t="s">
        <v>162</v>
      </c>
      <c r="F35" t="s">
        <v>163</v>
      </c>
      <c r="G35" t="s">
        <v>164</v>
      </c>
      <c r="H35" t="s">
        <v>162</v>
      </c>
      <c r="I35" t="s">
        <v>162</v>
      </c>
      <c r="J35" t="s">
        <v>162</v>
      </c>
      <c r="K35" t="s">
        <v>162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162</v>
      </c>
    </row>
    <row r="36" spans="1:47">
      <c r="A36" t="s">
        <v>48</v>
      </c>
      <c r="B36" t="s">
        <v>60</v>
      </c>
      <c r="C36" t="s">
        <v>172</v>
      </c>
      <c r="D36" t="s">
        <v>162</v>
      </c>
      <c r="E36" t="s">
        <v>162</v>
      </c>
      <c r="F36" t="s">
        <v>163</v>
      </c>
      <c r="G36" t="s">
        <v>164</v>
      </c>
      <c r="H36" t="s">
        <v>162</v>
      </c>
      <c r="I36" t="s">
        <v>162</v>
      </c>
      <c r="J36" t="s">
        <v>162</v>
      </c>
      <c r="K36" t="s">
        <v>162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162</v>
      </c>
    </row>
    <row r="37" spans="1:47">
      <c r="A37" t="s">
        <v>48</v>
      </c>
      <c r="B37" t="s">
        <v>60</v>
      </c>
      <c r="C37" t="s">
        <v>173</v>
      </c>
      <c r="D37" t="s">
        <v>162</v>
      </c>
      <c r="E37" t="s">
        <v>162</v>
      </c>
      <c r="F37" t="s">
        <v>163</v>
      </c>
      <c r="G37" t="s">
        <v>164</v>
      </c>
      <c r="H37" t="s">
        <v>162</v>
      </c>
      <c r="I37" t="s">
        <v>162</v>
      </c>
      <c r="J37" t="s">
        <v>162</v>
      </c>
      <c r="K37" t="s">
        <v>162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162</v>
      </c>
    </row>
    <row r="38" spans="1:47">
      <c r="A38" t="s">
        <v>48</v>
      </c>
      <c r="B38" t="s">
        <v>60</v>
      </c>
      <c r="C38" t="s">
        <v>174</v>
      </c>
      <c r="D38" t="s">
        <v>162</v>
      </c>
      <c r="E38" t="s">
        <v>162</v>
      </c>
      <c r="F38" t="s">
        <v>163</v>
      </c>
      <c r="G38" t="s">
        <v>164</v>
      </c>
      <c r="H38" t="s">
        <v>162</v>
      </c>
      <c r="I38" t="s">
        <v>162</v>
      </c>
      <c r="J38" t="s">
        <v>162</v>
      </c>
      <c r="K38" t="s">
        <v>162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162</v>
      </c>
    </row>
    <row r="39" spans="1:47">
      <c r="A39" t="s">
        <v>48</v>
      </c>
      <c r="B39" t="s">
        <v>60</v>
      </c>
      <c r="C39" t="s">
        <v>175</v>
      </c>
      <c r="D39" t="s">
        <v>162</v>
      </c>
      <c r="E39" t="s">
        <v>162</v>
      </c>
      <c r="F39" t="s">
        <v>163</v>
      </c>
      <c r="G39" t="s">
        <v>164</v>
      </c>
      <c r="H39" t="s">
        <v>162</v>
      </c>
      <c r="I39" t="s">
        <v>162</v>
      </c>
      <c r="J39" t="s">
        <v>162</v>
      </c>
      <c r="K39" t="s">
        <v>162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162</v>
      </c>
    </row>
    <row r="40" spans="1:47">
      <c r="A40" t="s">
        <v>48</v>
      </c>
      <c r="B40" t="s">
        <v>60</v>
      </c>
      <c r="C40" t="s">
        <v>176</v>
      </c>
      <c r="D40" t="s">
        <v>162</v>
      </c>
      <c r="E40" t="s">
        <v>162</v>
      </c>
      <c r="F40" t="s">
        <v>163</v>
      </c>
      <c r="G40" t="s">
        <v>164</v>
      </c>
      <c r="H40" t="s">
        <v>162</v>
      </c>
      <c r="I40" t="s">
        <v>162</v>
      </c>
      <c r="J40" t="s">
        <v>162</v>
      </c>
      <c r="K40" t="s">
        <v>162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0.31663368413227699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162</v>
      </c>
    </row>
    <row r="41" spans="1:47">
      <c r="A41" t="s">
        <v>48</v>
      </c>
      <c r="B41" t="s">
        <v>60</v>
      </c>
      <c r="C41" t="s">
        <v>177</v>
      </c>
      <c r="D41" t="s">
        <v>162</v>
      </c>
      <c r="E41" t="s">
        <v>162</v>
      </c>
      <c r="F41" t="s">
        <v>163</v>
      </c>
      <c r="G41" t="s">
        <v>164</v>
      </c>
      <c r="H41" t="s">
        <v>162</v>
      </c>
      <c r="I41" t="s">
        <v>162</v>
      </c>
      <c r="J41" t="s">
        <v>162</v>
      </c>
      <c r="K41" t="s">
        <v>162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0.31663368413227699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162</v>
      </c>
    </row>
    <row r="42" spans="1:47">
      <c r="A42" t="s">
        <v>48</v>
      </c>
      <c r="B42" t="s">
        <v>60</v>
      </c>
      <c r="C42" t="s">
        <v>178</v>
      </c>
      <c r="D42" t="s">
        <v>162</v>
      </c>
      <c r="E42" t="s">
        <v>162</v>
      </c>
      <c r="F42" t="s">
        <v>163</v>
      </c>
      <c r="G42" t="s">
        <v>164</v>
      </c>
      <c r="H42" t="s">
        <v>162</v>
      </c>
      <c r="I42" t="s">
        <v>162</v>
      </c>
      <c r="J42" t="s">
        <v>162</v>
      </c>
      <c r="K42" t="s">
        <v>162</v>
      </c>
      <c r="L42">
        <v>0.93210573602311098</v>
      </c>
      <c r="M42">
        <v>0.93210573602311098</v>
      </c>
      <c r="N42">
        <v>0.93210573602311098</v>
      </c>
      <c r="O42">
        <v>0.93210573602311098</v>
      </c>
      <c r="P42">
        <v>0.93210573602311098</v>
      </c>
      <c r="Q42">
        <v>0.93210573602311098</v>
      </c>
      <c r="R42">
        <v>0.93210573602311098</v>
      </c>
      <c r="S42">
        <v>0.93210573602311098</v>
      </c>
      <c r="T42">
        <v>0.93210573602311098</v>
      </c>
      <c r="U42">
        <v>0.93210573602311098</v>
      </c>
      <c r="V42">
        <v>0.93210573602311098</v>
      </c>
      <c r="W42">
        <v>0.93210573602311098</v>
      </c>
      <c r="X42">
        <v>0.93210573602311098</v>
      </c>
      <c r="Y42">
        <v>0.93210573602311098</v>
      </c>
      <c r="Z42">
        <v>0.93210573602311098</v>
      </c>
      <c r="AA42">
        <v>0.93210573602311098</v>
      </c>
      <c r="AB42">
        <v>0.93210573602311098</v>
      </c>
      <c r="AC42">
        <v>0.93210573602311098</v>
      </c>
      <c r="AD42">
        <v>0.93210573602311098</v>
      </c>
      <c r="AE42">
        <v>0.93210573602311098</v>
      </c>
      <c r="AF42">
        <v>0.93210573602311098</v>
      </c>
      <c r="AG42">
        <v>0.55926344161386699</v>
      </c>
      <c r="AH42">
        <v>0.93210573602311098</v>
      </c>
      <c r="AI42">
        <v>0.93210573602311098</v>
      </c>
      <c r="AJ42">
        <v>0.93210573602311098</v>
      </c>
      <c r="AK42">
        <v>0.93210573602311098</v>
      </c>
      <c r="AL42">
        <v>0.93210573602311098</v>
      </c>
      <c r="AM42">
        <v>0.93210573602311098</v>
      </c>
      <c r="AN42">
        <v>0.93210573602311098</v>
      </c>
      <c r="AO42">
        <v>0.93210573602311098</v>
      </c>
      <c r="AP42">
        <v>0.93210573602311098</v>
      </c>
      <c r="AQ42">
        <v>0.93210573602311098</v>
      </c>
      <c r="AR42">
        <v>0.93210573602311098</v>
      </c>
      <c r="AS42">
        <v>0.93210573602311098</v>
      </c>
      <c r="AT42">
        <v>0.93210573602311098</v>
      </c>
      <c r="AU42" t="s">
        <v>162</v>
      </c>
    </row>
    <row r="43" spans="1:47">
      <c r="A43" t="s">
        <v>48</v>
      </c>
      <c r="B43" t="s">
        <v>60</v>
      </c>
      <c r="C43" t="s">
        <v>179</v>
      </c>
      <c r="D43" t="s">
        <v>162</v>
      </c>
      <c r="E43" t="s">
        <v>162</v>
      </c>
      <c r="F43" t="s">
        <v>163</v>
      </c>
      <c r="G43" t="s">
        <v>164</v>
      </c>
      <c r="H43" t="s">
        <v>162</v>
      </c>
      <c r="I43" t="s">
        <v>162</v>
      </c>
      <c r="J43" t="s">
        <v>162</v>
      </c>
      <c r="K43" t="s">
        <v>162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0.27963172080693299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162</v>
      </c>
    </row>
    <row r="44" spans="1:47">
      <c r="A44" t="s">
        <v>48</v>
      </c>
      <c r="B44" t="s">
        <v>60</v>
      </c>
      <c r="C44" t="s">
        <v>110</v>
      </c>
      <c r="D44" t="s">
        <v>162</v>
      </c>
      <c r="E44" t="s">
        <v>162</v>
      </c>
      <c r="F44" t="s">
        <v>163</v>
      </c>
      <c r="G44" t="s">
        <v>164</v>
      </c>
      <c r="H44" t="s">
        <v>162</v>
      </c>
      <c r="I44" t="s">
        <v>162</v>
      </c>
      <c r="J44" t="s">
        <v>162</v>
      </c>
      <c r="K44" t="s">
        <v>162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0.27963172080693299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162</v>
      </c>
    </row>
    <row r="45" spans="1:47">
      <c r="A45" t="s">
        <v>48</v>
      </c>
      <c r="B45" t="s">
        <v>60</v>
      </c>
      <c r="C45" t="s">
        <v>180</v>
      </c>
      <c r="D45" t="s">
        <v>162</v>
      </c>
      <c r="E45" t="s">
        <v>162</v>
      </c>
      <c r="F45" t="s">
        <v>163</v>
      </c>
      <c r="G45" t="s">
        <v>164</v>
      </c>
      <c r="H45" t="s">
        <v>162</v>
      </c>
      <c r="I45" t="s">
        <v>162</v>
      </c>
      <c r="J45" t="s">
        <v>162</v>
      </c>
      <c r="K45" t="s">
        <v>162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0.28531889470739702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162</v>
      </c>
    </row>
    <row r="46" spans="1:47">
      <c r="A46" t="s">
        <v>48</v>
      </c>
      <c r="B46" t="s">
        <v>60</v>
      </c>
      <c r="C46" t="s">
        <v>184</v>
      </c>
      <c r="D46" t="s">
        <v>162</v>
      </c>
      <c r="E46" t="s">
        <v>162</v>
      </c>
      <c r="F46" t="s">
        <v>163</v>
      </c>
      <c r="G46" t="s">
        <v>164</v>
      </c>
      <c r="H46" t="s">
        <v>162</v>
      </c>
      <c r="I46" t="s">
        <v>162</v>
      </c>
      <c r="J46" t="s">
        <v>162</v>
      </c>
      <c r="K46" t="s">
        <v>162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0.25760726367910702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162</v>
      </c>
    </row>
    <row r="47" spans="1:47">
      <c r="A47" t="s">
        <v>48</v>
      </c>
      <c r="B47" t="s">
        <v>60</v>
      </c>
      <c r="C47" t="s">
        <v>185</v>
      </c>
      <c r="D47" t="s">
        <v>162</v>
      </c>
      <c r="E47" t="s">
        <v>162</v>
      </c>
      <c r="F47" t="s">
        <v>163</v>
      </c>
      <c r="G47" t="s">
        <v>164</v>
      </c>
      <c r="H47" t="s">
        <v>162</v>
      </c>
      <c r="I47" t="s">
        <v>162</v>
      </c>
      <c r="J47" t="s">
        <v>162</v>
      </c>
      <c r="K47" t="s">
        <v>162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162</v>
      </c>
    </row>
    <row r="48" spans="1:47">
      <c r="A48" t="s">
        <v>48</v>
      </c>
      <c r="B48" t="s">
        <v>60</v>
      </c>
      <c r="C48" t="s">
        <v>111</v>
      </c>
      <c r="D48" t="s">
        <v>162</v>
      </c>
      <c r="E48" t="s">
        <v>162</v>
      </c>
      <c r="F48" t="s">
        <v>163</v>
      </c>
      <c r="G48" t="s">
        <v>164</v>
      </c>
      <c r="H48" t="s">
        <v>162</v>
      </c>
      <c r="I48" t="s">
        <v>162</v>
      </c>
      <c r="J48" t="s">
        <v>162</v>
      </c>
      <c r="K48" t="s">
        <v>162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162</v>
      </c>
    </row>
    <row r="49" spans="1:47">
      <c r="A49" t="s">
        <v>48</v>
      </c>
      <c r="B49" t="s">
        <v>60</v>
      </c>
      <c r="C49" t="s">
        <v>186</v>
      </c>
      <c r="D49" t="s">
        <v>162</v>
      </c>
      <c r="E49" t="s">
        <v>162</v>
      </c>
      <c r="F49" t="s">
        <v>163</v>
      </c>
      <c r="G49" t="s">
        <v>164</v>
      </c>
      <c r="H49" t="s">
        <v>162</v>
      </c>
      <c r="I49" t="s">
        <v>162</v>
      </c>
      <c r="J49" t="s">
        <v>162</v>
      </c>
      <c r="K49" t="s">
        <v>162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162</v>
      </c>
    </row>
    <row r="50" spans="1:47">
      <c r="A50" t="s">
        <v>48</v>
      </c>
      <c r="B50" t="s">
        <v>60</v>
      </c>
      <c r="C50" t="s">
        <v>187</v>
      </c>
      <c r="D50" t="s">
        <v>162</v>
      </c>
      <c r="E50" t="s">
        <v>162</v>
      </c>
      <c r="F50" t="s">
        <v>163</v>
      </c>
      <c r="G50" t="s">
        <v>164</v>
      </c>
      <c r="H50" t="s">
        <v>162</v>
      </c>
      <c r="I50" t="s">
        <v>162</v>
      </c>
      <c r="J50" t="s">
        <v>162</v>
      </c>
      <c r="K50" t="s">
        <v>162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162</v>
      </c>
    </row>
    <row r="51" spans="1:47">
      <c r="A51" t="s">
        <v>48</v>
      </c>
      <c r="B51" t="s">
        <v>60</v>
      </c>
      <c r="C51" t="s">
        <v>112</v>
      </c>
      <c r="D51" t="s">
        <v>162</v>
      </c>
      <c r="E51" t="s">
        <v>162</v>
      </c>
      <c r="F51" t="s">
        <v>163</v>
      </c>
      <c r="G51" t="s">
        <v>164</v>
      </c>
      <c r="H51" t="s">
        <v>162</v>
      </c>
      <c r="I51" t="s">
        <v>162</v>
      </c>
      <c r="J51" t="s">
        <v>162</v>
      </c>
      <c r="K51" t="s">
        <v>162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162</v>
      </c>
    </row>
    <row r="52" spans="1:47">
      <c r="A52" t="s">
        <v>48</v>
      </c>
      <c r="B52" t="s">
        <v>60</v>
      </c>
      <c r="C52" t="s">
        <v>188</v>
      </c>
      <c r="D52" t="s">
        <v>162</v>
      </c>
      <c r="E52" t="s">
        <v>162</v>
      </c>
      <c r="F52" t="s">
        <v>163</v>
      </c>
      <c r="G52" t="s">
        <v>164</v>
      </c>
      <c r="H52" t="s">
        <v>162</v>
      </c>
      <c r="I52" t="s">
        <v>162</v>
      </c>
      <c r="J52" t="s">
        <v>162</v>
      </c>
      <c r="K52" t="s">
        <v>162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162</v>
      </c>
    </row>
    <row r="53" spans="1:47">
      <c r="A53" t="s">
        <v>48</v>
      </c>
      <c r="B53" t="s">
        <v>60</v>
      </c>
      <c r="C53" t="s">
        <v>166</v>
      </c>
      <c r="D53" t="s">
        <v>162</v>
      </c>
      <c r="E53" t="s">
        <v>162</v>
      </c>
      <c r="F53" t="s">
        <v>163</v>
      </c>
      <c r="G53" t="s">
        <v>164</v>
      </c>
      <c r="H53" t="s">
        <v>162</v>
      </c>
      <c r="I53" t="s">
        <v>162</v>
      </c>
      <c r="J53" t="s">
        <v>162</v>
      </c>
      <c r="K53" t="s">
        <v>162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162</v>
      </c>
    </row>
    <row r="54" spans="1:47">
      <c r="A54" t="s">
        <v>48</v>
      </c>
      <c r="B54" t="s">
        <v>60</v>
      </c>
      <c r="C54" t="s">
        <v>167</v>
      </c>
      <c r="D54" t="s">
        <v>162</v>
      </c>
      <c r="E54" t="s">
        <v>162</v>
      </c>
      <c r="F54" t="s">
        <v>163</v>
      </c>
      <c r="G54" t="s">
        <v>164</v>
      </c>
      <c r="H54" t="s">
        <v>162</v>
      </c>
      <c r="I54" t="s">
        <v>162</v>
      </c>
      <c r="J54" t="s">
        <v>162</v>
      </c>
      <c r="K54" t="s">
        <v>162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162</v>
      </c>
    </row>
    <row r="55" spans="1:47">
      <c r="A55" t="s">
        <v>48</v>
      </c>
      <c r="B55" t="s">
        <v>60</v>
      </c>
      <c r="C55" t="s">
        <v>165</v>
      </c>
      <c r="D55" t="s">
        <v>162</v>
      </c>
      <c r="E55" t="s">
        <v>162</v>
      </c>
      <c r="F55" t="s">
        <v>163</v>
      </c>
      <c r="G55" t="s">
        <v>164</v>
      </c>
      <c r="H55" t="s">
        <v>162</v>
      </c>
      <c r="I55" t="s">
        <v>162</v>
      </c>
      <c r="J55" t="s">
        <v>162</v>
      </c>
      <c r="K55" t="s">
        <v>162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Manager/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lastPrinted>2001-09-28T20:39:00Z</cp:lastPrinted>
  <dcterms:created xsi:type="dcterms:W3CDTF">2001-09-28T18:48:00Z</dcterms:created>
  <dcterms:modified xsi:type="dcterms:W3CDTF">2025-06-23T09:23:01Z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