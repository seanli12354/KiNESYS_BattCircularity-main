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_xlnm._FilterDatabase" localSheetId="10"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<sst xmlns="http://schemas.openxmlformats.org/spreadsheetml/2006/main" count="9891" uniqueCount="597">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</sst>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0"/>
    </font>
    <font>
      <b/>
      <sz val="9"/>
      <name val="Times New Roman"/>
      <charset val="134"/>
    </font>
    <font>
      <b/>
      <sz val="9"/>
      <name val="Times New Roman"/>
      <charset val="0"/>
    </font>
    <font>
      <sz val="9"/>
      <name val="Times New Roman"/>
      <charset val="134"/>
    </font>
    <font>
      <sz val="10"/>
      <name val="SimSun"/>
      <charset val="134"/>
    </font>
    <font>
      <sz val="9"/>
      <name val="Tahoma"/>
      <charset val="1"/>
    </font>
    <font>
      <b/>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4"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5" applyNumberFormat="0" applyFill="0" applyProtection="0"/>
    <xf numFmtId="0" fontId="37" fillId="0" borderId="5" applyNumberFormat="0" applyFill="0" applyProtection="0"/>
    <xf numFmtId="0" fontId="4" fillId="0" borderId="6" applyNumberFormat="0" applyFill="0" applyProtection="0"/>
    <xf numFmtId="0" fontId="4"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3"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9">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5"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8" customWidth="1"/>
    <col min="2" max="2" width="8.85454545454546" style="168" customWidth="1"/>
    <col min="3" max="3" width="4.71818181818182" style="168" customWidth="1"/>
    <col min="4" max="4" width="8.85454545454546" style="168" customWidth="1"/>
    <col min="5" max="5" width="4.42727272727273" style="168" customWidth="1"/>
    <col min="6" max="6" width="4.28181818181818" style="168" customWidth="1"/>
    <col min="7" max="7" width="4.42727272727273" style="168" customWidth="1"/>
    <col min="8" max="8" width="4.57272727272727" style="168" customWidth="1"/>
    <col min="9" max="9" width="4" style="168" customWidth="1"/>
    <col min="10" max="10" width="4.42727272727273" style="168" customWidth="1"/>
    <col min="11" max="11" width="4.57272727272727" style="168" customWidth="1"/>
    <col min="12" max="12" width="4.42727272727273" style="168" customWidth="1"/>
    <col min="13" max="13" width="4" style="168" customWidth="1"/>
    <col min="14" max="14" width="4.28181818181818" style="168" customWidth="1"/>
    <col min="15" max="16" width="4.42727272727273" style="168" customWidth="1"/>
    <col min="17" max="18" width="4.57272727272727" style="168" customWidth="1"/>
    <col min="19" max="19" width="4.42727272727273" style="168" customWidth="1"/>
    <col min="20" max="20" width="5" style="168" customWidth="1"/>
    <col min="21" max="21" width="11.7181818181818" style="168" customWidth="1"/>
    <col min="22" max="22" width="10.7181818181818" style="168" customWidth="1"/>
    <col min="23" max="23" width="13.1454545454545" style="168" customWidth="1"/>
    <col min="24" max="259" width="11.4272727272727" style="168" customWidth="1"/>
    <col min="260" max="16384" width="9.14545454545454" style="168"/>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168"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168"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168"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168"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168"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50"/>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51">
        <v>2023</v>
      </c>
      <c r="AJ1" s="151">
        <v>2025</v>
      </c>
      <c r="AK1" s="151">
        <v>2030</v>
      </c>
      <c r="AL1" s="151">
        <v>2035</v>
      </c>
      <c r="AM1" s="151">
        <v>2040</v>
      </c>
      <c r="AN1" s="151">
        <v>2045</v>
      </c>
      <c r="AO1" s="151">
        <v>2050</v>
      </c>
      <c r="BS1" s="150"/>
      <c r="BT1" s="150"/>
      <c r="BU1" s="150"/>
    </row>
    <row r="2" s="1" customFormat="1" spans="2:73">
      <c r="B2" s="152" t="s">
        <v>52</v>
      </c>
      <c r="S2" s="153">
        <v>2023</v>
      </c>
      <c r="T2" s="153" t="s">
        <v>53</v>
      </c>
      <c r="U2" s="153" t="s">
        <v>54</v>
      </c>
      <c r="V2" s="153" t="s">
        <v>55</v>
      </c>
      <c r="W2" s="153" t="s">
        <v>56</v>
      </c>
      <c r="X2" s="153" t="s">
        <v>57</v>
      </c>
      <c r="Y2" s="153" t="s">
        <v>58</v>
      </c>
      <c r="Z2" s="153"/>
      <c r="AA2" s="153" t="s">
        <v>59</v>
      </c>
      <c r="AB2" s="154">
        <v>132.92732205738</v>
      </c>
      <c r="AC2" s="153" t="s">
        <v>60</v>
      </c>
      <c r="AH2" s="1" t="s">
        <v>61</v>
      </c>
      <c r="AI2" s="155">
        <v>132.92732205738</v>
      </c>
      <c r="AJ2" s="155">
        <v>120.58407072348</v>
      </c>
      <c r="AK2" s="155">
        <v>104.442895902227</v>
      </c>
      <c r="AL2" s="155">
        <v>94.9480871838431</v>
      </c>
      <c r="AM2" s="155">
        <v>92.1084750593323</v>
      </c>
      <c r="AN2" s="155">
        <v>88.9611647549709</v>
      </c>
      <c r="AO2" s="155">
        <v>85.4532784654588</v>
      </c>
      <c r="AX2" t="s">
        <v>62</v>
      </c>
      <c r="AY2"/>
      <c r="AZ2" s="156"/>
      <c r="BE2" s="56" t="s">
        <v>63</v>
      </c>
      <c r="BL2" s="157" t="s">
        <v>62</v>
      </c>
      <c r="BS2" s="150"/>
      <c r="BT2" s="150"/>
      <c r="BU2" s="150"/>
    </row>
    <row r="3" s="1" customFormat="1" spans="2:73">
      <c r="F3" s="158" t="s">
        <v>64</v>
      </c>
      <c r="G3" s="159"/>
      <c r="H3" s="159"/>
      <c r="I3" s="159"/>
      <c r="S3" s="153">
        <v>2025</v>
      </c>
      <c r="T3" s="153" t="s">
        <v>53</v>
      </c>
      <c r="U3" s="153" t="s">
        <v>54</v>
      </c>
      <c r="V3" s="153" t="s">
        <v>55</v>
      </c>
      <c r="W3" s="153" t="s">
        <v>56</v>
      </c>
      <c r="X3" s="153" t="s">
        <v>57</v>
      </c>
      <c r="Y3" s="153" t="s">
        <v>58</v>
      </c>
      <c r="Z3" s="153"/>
      <c r="AA3" s="153" t="s">
        <v>59</v>
      </c>
      <c r="AB3" s="154">
        <v>120.58407072348</v>
      </c>
      <c r="AC3" s="153"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6" t="s">
        <v>65</v>
      </c>
      <c r="AY3" s="156" t="s">
        <v>41</v>
      </c>
      <c r="AZ3" s="160" t="s">
        <v>66</v>
      </c>
      <c r="BA3" s="160" t="s">
        <v>11</v>
      </c>
      <c r="BB3" s="160" t="s">
        <v>25</v>
      </c>
      <c r="BE3" s="1" t="s">
        <v>65</v>
      </c>
      <c r="BF3" s="1" t="s">
        <v>41</v>
      </c>
      <c r="BG3" s="1" t="s">
        <v>66</v>
      </c>
      <c r="BH3" s="1" t="s">
        <v>11</v>
      </c>
      <c r="BI3" s="1" t="s">
        <v>25</v>
      </c>
      <c r="BL3" s="1" t="s">
        <v>65</v>
      </c>
      <c r="BM3" s="1" t="s">
        <v>41</v>
      </c>
      <c r="BN3" s="1" t="s">
        <v>66</v>
      </c>
      <c r="BO3" s="1" t="s">
        <v>11</v>
      </c>
      <c r="BP3" s="1" t="s">
        <v>25</v>
      </c>
      <c r="BS3" s="150" t="s">
        <v>66</v>
      </c>
      <c r="BT3" s="150" t="s">
        <v>11</v>
      </c>
      <c r="BU3" s="150" t="s">
        <v>25</v>
      </c>
    </row>
    <row r="4" s="1" customFormat="1" spans="2:73">
      <c r="F4" s="158" t="s">
        <v>65</v>
      </c>
      <c r="G4" s="158" t="s">
        <v>66</v>
      </c>
      <c r="H4" s="158" t="s">
        <v>11</v>
      </c>
      <c r="I4" s="158" t="s">
        <v>25</v>
      </c>
      <c r="S4" s="153">
        <v>2030</v>
      </c>
      <c r="T4" s="153" t="s">
        <v>53</v>
      </c>
      <c r="U4" s="153" t="s">
        <v>54</v>
      </c>
      <c r="V4" s="153" t="s">
        <v>55</v>
      </c>
      <c r="W4" s="153" t="s">
        <v>56</v>
      </c>
      <c r="X4" s="153" t="s">
        <v>57</v>
      </c>
      <c r="Y4" s="153" t="s">
        <v>58</v>
      </c>
      <c r="Z4" s="153"/>
      <c r="AA4" s="153" t="s">
        <v>59</v>
      </c>
      <c r="AB4" s="154">
        <v>104.442895902227</v>
      </c>
      <c r="AC4" s="153"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6" t="s">
        <v>67</v>
      </c>
      <c r="AY4" s="156">
        <v>2023</v>
      </c>
      <c r="AZ4" s="156">
        <f>G5</f>
        <v>80.3831766666667</v>
      </c>
      <c r="BA4" s="156">
        <f>H5</f>
        <v>55.48673</v>
      </c>
      <c r="BB4" s="156">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50">
        <v>80.3831766666667</v>
      </c>
      <c r="BT4" s="150">
        <v>55.48673</v>
      </c>
      <c r="BU4" s="150">
        <v>106.82505</v>
      </c>
    </row>
    <row r="5" s="1" customFormat="1" ht="152" customHeight="1" spans="2:73">
      <c r="B5" s="161" t="s">
        <v>70</v>
      </c>
      <c r="F5" s="158" t="s">
        <v>71</v>
      </c>
      <c r="G5" s="159">
        <f>[3]R_strategies_n_GridBattery!$D$131</f>
        <v>80.3831766666667</v>
      </c>
      <c r="H5" s="159">
        <f>[3]R_strategies_n_GridBattery!$E$131</f>
        <v>55.48673</v>
      </c>
      <c r="I5" s="159">
        <f>[3]R_strategies_n_GridBattery!$F$131</f>
        <v>106.82505</v>
      </c>
      <c r="S5" s="153">
        <v>2035</v>
      </c>
      <c r="T5" s="153" t="s">
        <v>53</v>
      </c>
      <c r="U5" s="153" t="s">
        <v>54</v>
      </c>
      <c r="V5" s="153" t="s">
        <v>55</v>
      </c>
      <c r="W5" s="153" t="s">
        <v>56</v>
      </c>
      <c r="X5" s="153" t="s">
        <v>57</v>
      </c>
      <c r="Y5" s="153" t="s">
        <v>58</v>
      </c>
      <c r="Z5" s="153"/>
      <c r="AA5" s="153" t="s">
        <v>59</v>
      </c>
      <c r="AB5" s="154">
        <v>94.9480871838431</v>
      </c>
      <c r="AC5" s="153"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6" t="s">
        <v>72</v>
      </c>
      <c r="AY5" s="156">
        <f>AY4</f>
        <v>2023</v>
      </c>
      <c r="AZ5" s="156">
        <f t="shared" ref="AZ5:AZ10" si="14">G6</f>
        <v>95.4086</v>
      </c>
      <c r="BA5" s="156">
        <f t="shared" ref="BA5:BA10" si="15">H6</f>
        <v>66.32565</v>
      </c>
      <c r="BB5" s="156">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50">
        <v>95.4086</v>
      </c>
      <c r="BT5" s="150">
        <v>66.32565</v>
      </c>
      <c r="BU5" s="150">
        <v>126.26355</v>
      </c>
    </row>
    <row r="6" s="1" customFormat="1" spans="2:73">
      <c r="F6" s="158" t="s">
        <v>75</v>
      </c>
      <c r="G6" s="159">
        <f>[3]R_strategies_n_GridBattery!$D$132</f>
        <v>95.4086</v>
      </c>
      <c r="H6" s="159">
        <f>[3]R_strategies_n_GridBattery!$E$132</f>
        <v>66.32565</v>
      </c>
      <c r="I6" s="159">
        <f>[3]R_strategies_n_GridBattery!$F$132</f>
        <v>126.26355</v>
      </c>
      <c r="S6" s="153">
        <v>2040</v>
      </c>
      <c r="T6" s="153" t="s">
        <v>53</v>
      </c>
      <c r="U6" s="153" t="s">
        <v>54</v>
      </c>
      <c r="V6" s="153" t="s">
        <v>55</v>
      </c>
      <c r="W6" s="153" t="s">
        <v>56</v>
      </c>
      <c r="X6" s="153" t="s">
        <v>57</v>
      </c>
      <c r="Y6" s="153" t="s">
        <v>58</v>
      </c>
      <c r="Z6" s="153"/>
      <c r="AA6" s="153" t="s">
        <v>59</v>
      </c>
      <c r="AB6" s="154">
        <v>92.1084750593323</v>
      </c>
      <c r="AC6" s="153"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6" t="s">
        <v>76</v>
      </c>
      <c r="AY6" s="156">
        <f t="shared" ref="AY6:AY11" si="17">AY5</f>
        <v>2023</v>
      </c>
      <c r="AZ6" s="156">
        <f t="shared" si="14"/>
        <v>85.3476966666666</v>
      </c>
      <c r="BA6" s="156">
        <f t="shared" si="15"/>
        <v>56.10147</v>
      </c>
      <c r="BB6" s="156">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50">
        <v>85.3476966666666</v>
      </c>
      <c r="BT6" s="150">
        <v>56.10147</v>
      </c>
      <c r="BU6" s="150">
        <v>116.32796</v>
      </c>
    </row>
    <row r="7" s="1" customFormat="1" spans="2:73">
      <c r="F7" s="158" t="s">
        <v>79</v>
      </c>
      <c r="G7" s="159">
        <f>[3]R_strategies_n_GridBattery!$D$133</f>
        <v>85.3476966666666</v>
      </c>
      <c r="H7" s="159">
        <f>[3]R_strategies_n_GridBattery!$E$133</f>
        <v>56.10147</v>
      </c>
      <c r="I7" s="159">
        <f>[3]R_strategies_n_GridBattery!$F$133</f>
        <v>116.32796</v>
      </c>
      <c r="S7" s="153">
        <v>2045</v>
      </c>
      <c r="T7" s="153" t="s">
        <v>53</v>
      </c>
      <c r="U7" s="153" t="s">
        <v>54</v>
      </c>
      <c r="V7" s="153" t="s">
        <v>55</v>
      </c>
      <c r="W7" s="153" t="s">
        <v>56</v>
      </c>
      <c r="X7" s="153" t="s">
        <v>57</v>
      </c>
      <c r="Y7" s="153" t="s">
        <v>58</v>
      </c>
      <c r="Z7" s="153"/>
      <c r="AA7" s="153" t="s">
        <v>59</v>
      </c>
      <c r="AB7" s="154">
        <v>88.9611647549709</v>
      </c>
      <c r="AC7" s="153"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6" t="s">
        <v>80</v>
      </c>
      <c r="AY7" s="156">
        <f t="shared" si="17"/>
        <v>2023</v>
      </c>
      <c r="AZ7" s="156">
        <f t="shared" si="14"/>
        <v>85.52157</v>
      </c>
      <c r="BA7" s="156">
        <f t="shared" si="15"/>
        <v>55.55951</v>
      </c>
      <c r="BB7" s="156">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50">
        <v>85.52157</v>
      </c>
      <c r="BT7" s="150">
        <v>55.55951</v>
      </c>
      <c r="BU7" s="150">
        <v>117.30431</v>
      </c>
    </row>
    <row r="8" s="1" customFormat="1" ht="29" spans="2:73">
      <c r="B8" s="161" t="s">
        <v>83</v>
      </c>
      <c r="F8" s="158" t="s">
        <v>84</v>
      </c>
      <c r="G8" s="159">
        <f>[3]R_strategies_n_GridBattery!$D$134</f>
        <v>85.52157</v>
      </c>
      <c r="H8" s="159">
        <f>[3]R_strategies_n_GridBattery!$E$134</f>
        <v>55.55951</v>
      </c>
      <c r="I8" s="159">
        <f>[3]R_strategies_n_GridBattery!$F$134</f>
        <v>117.30431</v>
      </c>
      <c r="S8" s="153">
        <v>2050</v>
      </c>
      <c r="T8" s="153" t="s">
        <v>53</v>
      </c>
      <c r="U8" s="153" t="s">
        <v>54</v>
      </c>
      <c r="V8" s="153" t="s">
        <v>55</v>
      </c>
      <c r="W8" s="153" t="s">
        <v>56</v>
      </c>
      <c r="X8" s="153" t="s">
        <v>57</v>
      </c>
      <c r="Y8" s="153" t="s">
        <v>58</v>
      </c>
      <c r="Z8" s="153"/>
      <c r="AA8" s="153" t="s">
        <v>59</v>
      </c>
      <c r="AB8" s="154">
        <v>85.4532784654588</v>
      </c>
      <c r="AC8" s="153"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6" t="s">
        <v>85</v>
      </c>
      <c r="AY8" s="156">
        <f t="shared" si="17"/>
        <v>2023</v>
      </c>
      <c r="AZ8" s="156">
        <f t="shared" si="14"/>
        <v>90.0929166666666</v>
      </c>
      <c r="BA8" s="156">
        <f t="shared" si="15"/>
        <v>59.3677</v>
      </c>
      <c r="BB8" s="156">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50">
        <v>90.0929166666666</v>
      </c>
      <c r="BT8" s="150">
        <v>59.3677</v>
      </c>
      <c r="BU8" s="150">
        <v>122.66905</v>
      </c>
    </row>
    <row r="9" s="1" customFormat="1" spans="2:73">
      <c r="F9" s="158" t="s">
        <v>88</v>
      </c>
      <c r="G9" s="159">
        <f>[3]R_strategies_n_GridBattery!$D$135</f>
        <v>90.0929166666666</v>
      </c>
      <c r="H9" s="159">
        <f>[3]R_strategies_n_GridBattery!$E$135</f>
        <v>59.3677</v>
      </c>
      <c r="I9" s="159">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6" t="s">
        <v>89</v>
      </c>
      <c r="AY9" s="156">
        <f t="shared" si="17"/>
        <v>2023</v>
      </c>
      <c r="AZ9" s="156">
        <f t="shared" si="14"/>
        <v>86.9222166666667</v>
      </c>
      <c r="BA9" s="156">
        <f t="shared" si="15"/>
        <v>57.33755</v>
      </c>
      <c r="BB9" s="156">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50">
        <v>86.9222166666667</v>
      </c>
      <c r="BT9" s="150">
        <v>57.33755</v>
      </c>
      <c r="BU9" s="150">
        <v>118.2723</v>
      </c>
    </row>
    <row r="10" s="1" customFormat="1" spans="2:73">
      <c r="F10" s="158" t="s">
        <v>92</v>
      </c>
      <c r="G10" s="159">
        <f>[3]R_strategies_n_GridBattery!$D$136</f>
        <v>86.9222166666667</v>
      </c>
      <c r="H10" s="159">
        <f>[3]R_strategies_n_GridBattery!$E$136</f>
        <v>57.33755</v>
      </c>
      <c r="I10" s="159">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6" t="s">
        <v>93</v>
      </c>
      <c r="AY10" s="156">
        <f t="shared" si="17"/>
        <v>2023</v>
      </c>
      <c r="AZ10" s="156">
        <f t="shared" si="14"/>
        <v>89.5526666666667</v>
      </c>
      <c r="BA10" s="156">
        <f t="shared" si="15"/>
        <v>59.98948</v>
      </c>
      <c r="BB10" s="156">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50">
        <v>89.5526666666667</v>
      </c>
      <c r="BT10" s="150">
        <v>59.98948</v>
      </c>
      <c r="BU10" s="150">
        <v>120.87452</v>
      </c>
    </row>
    <row r="11" s="1" customFormat="1" spans="2:73">
      <c r="F11" s="158" t="s">
        <v>96</v>
      </c>
      <c r="G11" s="159">
        <f>[3]R_strategies_n_GridBattery!$D$137</f>
        <v>89.5526666666667</v>
      </c>
      <c r="H11" s="159">
        <f>[3]R_strategies_n_GridBattery!$E$137</f>
        <v>59.98948</v>
      </c>
      <c r="I11" s="159">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9"/>
      <c r="AW11" s="149"/>
      <c r="AX11" s="162"/>
      <c r="AY11" s="156"/>
      <c r="AZ11" s="162"/>
      <c r="BA11" s="162"/>
      <c r="BB11" s="162"/>
      <c r="BC11" s="149"/>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50">
        <v>162.093333333333</v>
      </c>
      <c r="BT11" s="150">
        <v>162.093333333333</v>
      </c>
      <c r="BU11" s="150">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50"/>
      <c r="BT12" s="150"/>
      <c r="BU12" s="150"/>
    </row>
    <row r="14" s="1" customFormat="1" spans="2:73">
      <c r="AM14" s="1">
        <f>AM2/AL2</f>
        <v>0.97009300335864</v>
      </c>
      <c r="AN14" s="1">
        <f>AN2/AM2</f>
        <v>0.965830393974778</v>
      </c>
      <c r="AO14" s="1">
        <f>AO2/AN2</f>
        <v>0.96056834126246</v>
      </c>
      <c r="BS14" s="150"/>
      <c r="BT14" s="150"/>
      <c r="BU14" s="150"/>
    </row>
    <row r="15" spans="2:73">
      <c r="AX15" t="s">
        <v>62</v>
      </c>
      <c r="AY15"/>
      <c r="AZ15" s="156"/>
      <c r="BE15" s="1" t="s">
        <v>63</v>
      </c>
      <c r="BL15" s="1" t="s">
        <v>62</v>
      </c>
    </row>
    <row r="16" s="1" customFormat="1" spans="2:73">
      <c r="AX16" s="156" t="s">
        <v>65</v>
      </c>
      <c r="AY16" s="156" t="s">
        <v>41</v>
      </c>
      <c r="AZ16" s="160" t="s">
        <v>66</v>
      </c>
      <c r="BA16" s="160" t="s">
        <v>11</v>
      </c>
      <c r="BB16" s="160" t="s">
        <v>25</v>
      </c>
      <c r="BE16" s="1" t="s">
        <v>65</v>
      </c>
      <c r="BF16" s="1" t="s">
        <v>41</v>
      </c>
      <c r="BG16" s="1" t="s">
        <v>66</v>
      </c>
      <c r="BH16" s="1" t="s">
        <v>11</v>
      </c>
      <c r="BI16" s="1" t="s">
        <v>25</v>
      </c>
      <c r="BL16" s="1" t="s">
        <v>65</v>
      </c>
      <c r="BM16" s="1" t="s">
        <v>41</v>
      </c>
      <c r="BN16" s="1" t="s">
        <v>66</v>
      </c>
      <c r="BO16" s="1" t="s">
        <v>11</v>
      </c>
      <c r="BP16" s="1" t="s">
        <v>25</v>
      </c>
      <c r="BS16" s="150" t="s">
        <v>66</v>
      </c>
      <c r="BT16" s="150" t="s">
        <v>11</v>
      </c>
      <c r="BU16" s="150" t="s">
        <v>25</v>
      </c>
    </row>
    <row r="17" s="1" customFormat="1" spans="2:73">
      <c r="AX17" s="156" t="s">
        <v>67</v>
      </c>
      <c r="AY17" s="156">
        <v>2025</v>
      </c>
      <c r="AZ17" s="156">
        <f t="shared" ref="AZ17:AZ24" si="18">AZ4*AJ2/AI2</f>
        <v>72.9190245476188</v>
      </c>
      <c r="BA17" s="156">
        <f>BA4*AJ2/AI2</f>
        <v>50.3343907857141</v>
      </c>
      <c r="BB17" s="156">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50">
        <v>72.9190245476188</v>
      </c>
      <c r="BT17" s="150">
        <v>50.3343907857141</v>
      </c>
      <c r="BU17" s="150">
        <v>96.9055810714282</v>
      </c>
    </row>
    <row r="18" s="1" customFormat="1" spans="2:73">
      <c r="AX18" s="156" t="s">
        <v>72</v>
      </c>
      <c r="AY18" s="156">
        <f t="shared" ref="AY18:AY24" si="25">AY17</f>
        <v>2025</v>
      </c>
      <c r="AZ18" s="156">
        <f t="shared" si="18"/>
        <v>86.5492299999997</v>
      </c>
      <c r="BA18" s="156">
        <f t="shared" ref="BA18:BA24" si="26">BA5*AJ3/AI3</f>
        <v>60.1668396428569</v>
      </c>
      <c r="BB18" s="156">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50">
        <v>86.5492299999997</v>
      </c>
      <c r="BT18" s="150">
        <v>60.1668396428569</v>
      </c>
      <c r="BU18" s="150">
        <v>114.5390775</v>
      </c>
    </row>
    <row r="19" s="1" customFormat="1" spans="2:73">
      <c r="AX19" s="156" t="s">
        <v>76</v>
      </c>
      <c r="AY19" s="156">
        <f t="shared" si="25"/>
        <v>2025</v>
      </c>
      <c r="AZ19" s="156">
        <f t="shared" si="18"/>
        <v>77.4225534047616</v>
      </c>
      <c r="BA19" s="156">
        <f t="shared" si="26"/>
        <v>50.8920477857141</v>
      </c>
      <c r="BB19" s="156">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50">
        <v>77.4225534047616</v>
      </c>
      <c r="BT19" s="150">
        <v>50.8920477857141</v>
      </c>
      <c r="BU19" s="150">
        <v>105.526078</v>
      </c>
    </row>
    <row r="20" s="1" customFormat="1" spans="2:73">
      <c r="AX20" s="156" t="s">
        <v>80</v>
      </c>
      <c r="AY20" s="156">
        <f t="shared" si="25"/>
        <v>2025</v>
      </c>
      <c r="AZ20" s="156">
        <f t="shared" si="18"/>
        <v>77.5802813571426</v>
      </c>
      <c r="BA20" s="156">
        <f t="shared" si="26"/>
        <v>50.400412642857</v>
      </c>
      <c r="BB20" s="156">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50">
        <v>77.5802813571426</v>
      </c>
      <c r="BT20" s="150">
        <v>50.400412642857</v>
      </c>
      <c r="BU20" s="150">
        <v>106.411766928571</v>
      </c>
    </row>
    <row r="21" s="1" customFormat="1" spans="2:73">
      <c r="AX21" s="156" t="s">
        <v>85</v>
      </c>
      <c r="AY21" s="156">
        <f t="shared" si="25"/>
        <v>2025</v>
      </c>
      <c r="AZ21" s="156">
        <f t="shared" si="18"/>
        <v>81.727145833333</v>
      </c>
      <c r="BA21" s="156">
        <f t="shared" si="26"/>
        <v>53.8549849999998</v>
      </c>
      <c r="BB21" s="156">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50">
        <v>81.727145833333</v>
      </c>
      <c r="BT21" s="150">
        <v>53.8549849999998</v>
      </c>
      <c r="BU21" s="150">
        <v>111.2783525</v>
      </c>
    </row>
    <row r="22" s="1" customFormat="1" spans="2:73">
      <c r="AX22" s="156" t="s">
        <v>89</v>
      </c>
      <c r="AY22" s="156">
        <f t="shared" si="25"/>
        <v>2025</v>
      </c>
      <c r="AZ22" s="156">
        <f t="shared" si="18"/>
        <v>78.8508679761902</v>
      </c>
      <c r="BA22" s="156">
        <f t="shared" si="26"/>
        <v>52.0133489285712</v>
      </c>
      <c r="BB22" s="156">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50">
        <v>78.8508679761902</v>
      </c>
      <c r="BT22" s="150">
        <v>52.0133489285712</v>
      </c>
      <c r="BU22" s="150">
        <v>107.289872142857</v>
      </c>
    </row>
    <row r="23" s="1" customFormat="1" spans="2:73">
      <c r="AX23" s="156" t="s">
        <v>93</v>
      </c>
      <c r="AY23" s="156">
        <f t="shared" si="25"/>
        <v>2025</v>
      </c>
      <c r="AZ23" s="156">
        <f t="shared" si="18"/>
        <v>81.2370619047616</v>
      </c>
      <c r="BA23" s="156">
        <f t="shared" si="26"/>
        <v>54.4190282857141</v>
      </c>
      <c r="BB23" s="156">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50">
        <v>81.2370619047616</v>
      </c>
      <c r="BT23" s="150">
        <v>54.4190282857141</v>
      </c>
      <c r="BU23" s="150">
        <v>109.650457428571</v>
      </c>
    </row>
    <row r="24" s="1" customFormat="1" spans="2:73">
      <c r="AW24" s="149"/>
      <c r="AX24" s="162"/>
      <c r="AY24" s="156"/>
      <c r="AZ24" s="156"/>
      <c r="BA24" s="156"/>
      <c r="BB24" s="156"/>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50">
        <v>147.041809523809</v>
      </c>
      <c r="BT24" s="150">
        <v>147.041809523809</v>
      </c>
      <c r="BU24" s="150">
        <v>147.041809523809</v>
      </c>
    </row>
    <row r="25" s="149" customFormat="1" spans="2:73">
      <c r="AV25" s="1"/>
      <c r="AW25" s="1"/>
      <c r="AX25" s="1"/>
      <c r="AY25" s="1"/>
      <c r="AZ25" s="1"/>
      <c r="BA25" s="1"/>
      <c r="BB25" s="1"/>
      <c r="BC25" s="1"/>
      <c r="BS25" s="163"/>
      <c r="BT25" s="163"/>
      <c r="BU25" s="163"/>
    </row>
    <row r="27" spans="2:73">
      <c r="F27" s="1" t="s">
        <v>99</v>
      </c>
    </row>
    <row r="28" spans="2:73">
      <c r="G28" s="158" t="s">
        <v>66</v>
      </c>
      <c r="H28" s="158" t="s">
        <v>11</v>
      </c>
      <c r="I28" s="158" t="s">
        <v>25</v>
      </c>
    </row>
    <row r="29" spans="2:73">
      <c r="F29" s="158" t="s">
        <v>71</v>
      </c>
      <c r="G29" s="1">
        <v>99.0769266666667</v>
      </c>
      <c r="H29" s="1">
        <v>74.18048</v>
      </c>
      <c r="I29" s="1">
        <v>125.5188</v>
      </c>
    </row>
    <row r="30" spans="2:73">
      <c r="F30" s="158" t="s">
        <v>75</v>
      </c>
      <c r="G30" s="1">
        <v>115.8002</v>
      </c>
      <c r="H30" s="1">
        <v>86.71725</v>
      </c>
      <c r="I30" s="1">
        <v>146.65515</v>
      </c>
      <c r="AX30" t="s">
        <v>62</v>
      </c>
      <c r="AY30"/>
      <c r="AZ30" s="156"/>
      <c r="BE30" s="1" t="s">
        <v>63</v>
      </c>
      <c r="BL30" s="1" t="s">
        <v>62</v>
      </c>
    </row>
    <row r="31" spans="2:73">
      <c r="F31" s="158" t="s">
        <v>79</v>
      </c>
      <c r="G31" s="1">
        <v>116.609496666667</v>
      </c>
      <c r="H31" s="1">
        <v>87.36327</v>
      </c>
      <c r="I31" s="1">
        <v>147.58976</v>
      </c>
      <c r="AW31" s="164"/>
      <c r="AX31" s="156" t="s">
        <v>65</v>
      </c>
      <c r="AY31" s="156" t="s">
        <v>41</v>
      </c>
      <c r="AZ31" s="160" t="s">
        <v>66</v>
      </c>
      <c r="BA31" s="160" t="s">
        <v>11</v>
      </c>
      <c r="BB31" s="160" t="s">
        <v>25</v>
      </c>
      <c r="BE31" s="1" t="s">
        <v>65</v>
      </c>
      <c r="BF31" s="1" t="s">
        <v>41</v>
      </c>
      <c r="BG31" s="1" t="s">
        <v>66</v>
      </c>
      <c r="BH31" s="1" t="s">
        <v>11</v>
      </c>
      <c r="BI31" s="1" t="s">
        <v>25</v>
      </c>
      <c r="BL31" s="1" t="s">
        <v>65</v>
      </c>
      <c r="BM31" s="1" t="s">
        <v>41</v>
      </c>
      <c r="BN31" s="1" t="s">
        <v>66</v>
      </c>
      <c r="BO31" s="1" t="s">
        <v>11</v>
      </c>
      <c r="BP31" s="1" t="s">
        <v>25</v>
      </c>
      <c r="BS31" s="150" t="s">
        <v>66</v>
      </c>
      <c r="BT31" s="150" t="s">
        <v>11</v>
      </c>
      <c r="BU31" s="150" t="s">
        <v>25</v>
      </c>
    </row>
    <row r="32" spans="2:73">
      <c r="B32" s="65" t="s">
        <v>100</v>
      </c>
      <c r="C32" s="65" t="s">
        <v>101</v>
      </c>
      <c r="F32" s="158" t="s">
        <v>84</v>
      </c>
      <c r="G32" s="1">
        <v>119.49202</v>
      </c>
      <c r="H32" s="1">
        <v>89.52996</v>
      </c>
      <c r="I32" s="1">
        <v>151.27476</v>
      </c>
      <c r="AW32" s="156"/>
      <c r="AX32" s="156" t="s">
        <v>67</v>
      </c>
      <c r="AY32" s="156">
        <v>2030</v>
      </c>
      <c r="AZ32" s="156">
        <f>AZ17*AK2/AJ2</f>
        <v>63.1582102380952</v>
      </c>
      <c r="BA32" s="156">
        <f>BA17*AK2/AJ2</f>
        <v>43.5967164285714</v>
      </c>
      <c r="BB32" s="156">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50">
        <v>63.1582102380952</v>
      </c>
      <c r="BT32" s="150">
        <v>43.5967164285714</v>
      </c>
      <c r="BU32" s="150">
        <v>83.9339678571427</v>
      </c>
    </row>
    <row r="33" spans="2:73">
      <c r="B33" s="65">
        <v>121.57</v>
      </c>
      <c r="C33" s="65">
        <f>B33/0.75</f>
        <v>162.093333333333</v>
      </c>
      <c r="F33" s="158" t="s">
        <v>88</v>
      </c>
      <c r="G33" s="1">
        <v>122.491716666667</v>
      </c>
      <c r="H33" s="1">
        <v>91.7665</v>
      </c>
      <c r="I33" s="1">
        <v>155.06785</v>
      </c>
      <c r="AW33" s="156"/>
      <c r="AX33" s="156" t="s">
        <v>72</v>
      </c>
      <c r="AY33" s="156">
        <f t="shared" ref="AY33:AY39" si="34">AY32</f>
        <v>2030</v>
      </c>
      <c r="AZ33" s="156">
        <f t="shared" ref="AZ33:AZ39" si="35">AZ18*AK3/AJ3</f>
        <v>74.9638999999999</v>
      </c>
      <c r="BA33" s="156">
        <f t="shared" ref="BA33:BA39" si="36">BA18*AK3/AJ3</f>
        <v>52.1130107142856</v>
      </c>
      <c r="BB33" s="156">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50">
        <v>74.9638999999999</v>
      </c>
      <c r="BT33" s="150">
        <v>52.1130107142856</v>
      </c>
      <c r="BU33" s="150">
        <v>99.2070749999999</v>
      </c>
    </row>
    <row r="34" spans="2:73">
      <c r="F34" s="158" t="s">
        <v>92</v>
      </c>
      <c r="G34" s="1">
        <v>117.948416666667</v>
      </c>
      <c r="H34" s="1">
        <v>88.36375</v>
      </c>
      <c r="I34" s="1">
        <v>149.2985</v>
      </c>
      <c r="AW34" s="156"/>
      <c r="AX34" s="156" t="s">
        <v>76</v>
      </c>
      <c r="AY34" s="156">
        <f t="shared" si="34"/>
        <v>2030</v>
      </c>
      <c r="AZ34" s="156">
        <f t="shared" si="35"/>
        <v>67.0589045238094</v>
      </c>
      <c r="BA34" s="156">
        <f t="shared" si="36"/>
        <v>44.0797264285714</v>
      </c>
      <c r="BB34" s="156">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50">
        <v>67.0589045238094</v>
      </c>
      <c r="BT34" s="150">
        <v>44.0797264285714</v>
      </c>
      <c r="BU34" s="150">
        <v>91.4005399999999</v>
      </c>
    </row>
    <row r="35" spans="2:73">
      <c r="F35" s="158" t="s">
        <v>96</v>
      </c>
      <c r="G35" s="1">
        <v>117.830666666667</v>
      </c>
      <c r="H35" s="1">
        <v>88.26748</v>
      </c>
      <c r="I35" s="1">
        <v>149.15252</v>
      </c>
      <c r="AW35" s="156"/>
      <c r="AX35" s="156" t="s">
        <v>80</v>
      </c>
      <c r="AY35" s="156">
        <f t="shared" si="34"/>
        <v>2030</v>
      </c>
      <c r="AZ35" s="156">
        <f t="shared" si="35"/>
        <v>67.1955192857142</v>
      </c>
      <c r="BA35" s="156">
        <f t="shared" si="36"/>
        <v>43.6539007142857</v>
      </c>
      <c r="BB35" s="156">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50">
        <v>67.1955192857142</v>
      </c>
      <c r="BT35" s="150">
        <v>43.6539007142857</v>
      </c>
      <c r="BU35" s="150">
        <v>92.167672142857</v>
      </c>
    </row>
    <row r="36" spans="2:73">
      <c r="AW36" s="156"/>
      <c r="AX36" s="156" t="s">
        <v>85</v>
      </c>
      <c r="AY36" s="156">
        <f t="shared" si="34"/>
        <v>2030</v>
      </c>
      <c r="AZ36" s="156">
        <f t="shared" si="35"/>
        <v>70.7872916666665</v>
      </c>
      <c r="BA36" s="156">
        <f t="shared" si="36"/>
        <v>46.6460499999999</v>
      </c>
      <c r="BB36" s="156">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50">
        <v>70.7872916666665</v>
      </c>
      <c r="BT36" s="150">
        <v>46.6460499999999</v>
      </c>
      <c r="BU36" s="150">
        <v>96.3828249999999</v>
      </c>
    </row>
    <row r="37" spans="2:73">
      <c r="AW37" s="156"/>
      <c r="AX37" s="156" t="s">
        <v>89</v>
      </c>
      <c r="AY37" s="156">
        <f t="shared" si="34"/>
        <v>2030</v>
      </c>
      <c r="AZ37" s="156">
        <f t="shared" si="35"/>
        <v>68.2960273809523</v>
      </c>
      <c r="BA37" s="156">
        <f t="shared" si="36"/>
        <v>45.0509321428571</v>
      </c>
      <c r="BB37" s="156">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50">
        <v>68.2960273809523</v>
      </c>
      <c r="BT37" s="150">
        <v>45.0509321428571</v>
      </c>
      <c r="BU37" s="150">
        <v>92.9282357142856</v>
      </c>
    </row>
    <row r="38" spans="2:73">
      <c r="AW38" s="156"/>
      <c r="AX38" s="156" t="s">
        <v>93</v>
      </c>
      <c r="AY38" s="156">
        <f t="shared" si="34"/>
        <v>2030</v>
      </c>
      <c r="AZ38" s="156">
        <f t="shared" si="35"/>
        <v>70.3628095238094</v>
      </c>
      <c r="BA38" s="156">
        <f t="shared" si="36"/>
        <v>47.1345914285714</v>
      </c>
      <c r="BB38" s="156">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50">
        <v>70.3628095238094</v>
      </c>
      <c r="BT38" s="150">
        <v>47.1345914285714</v>
      </c>
      <c r="BU38" s="150">
        <v>94.972837142857</v>
      </c>
    </row>
    <row r="39" spans="2:73">
      <c r="AW39" s="162"/>
      <c r="AX39" s="162"/>
      <c r="AY39" s="156"/>
      <c r="AZ39" s="156"/>
      <c r="BA39" s="156"/>
      <c r="BB39" s="156"/>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50">
        <v>127.359047619047</v>
      </c>
      <c r="BT39" s="150">
        <v>127.359047619047</v>
      </c>
      <c r="BU39" s="150">
        <v>127.359047619047</v>
      </c>
    </row>
    <row r="44" spans="2:73">
      <c r="AX44" t="s">
        <v>62</v>
      </c>
      <c r="AY44"/>
      <c r="AZ44" s="156"/>
      <c r="BE44" s="1" t="s">
        <v>63</v>
      </c>
      <c r="BL44" s="1" t="s">
        <v>62</v>
      </c>
    </row>
    <row r="45" spans="2:73">
      <c r="AX45" s="156" t="s">
        <v>65</v>
      </c>
      <c r="AY45" s="156" t="s">
        <v>41</v>
      </c>
      <c r="AZ45" s="160" t="s">
        <v>66</v>
      </c>
      <c r="BA45" s="160" t="s">
        <v>11</v>
      </c>
      <c r="BB45" s="160" t="s">
        <v>25</v>
      </c>
      <c r="BE45" s="1" t="s">
        <v>65</v>
      </c>
      <c r="BF45" s="1" t="s">
        <v>41</v>
      </c>
      <c r="BG45" s="1" t="s">
        <v>66</v>
      </c>
      <c r="BH45" s="1" t="s">
        <v>11</v>
      </c>
      <c r="BI45" s="1" t="s">
        <v>25</v>
      </c>
      <c r="BL45" s="1" t="s">
        <v>65</v>
      </c>
      <c r="BM45" s="1" t="s">
        <v>41</v>
      </c>
      <c r="BN45" s="1" t="s">
        <v>66</v>
      </c>
      <c r="BO45" s="1" t="s">
        <v>11</v>
      </c>
      <c r="BP45" s="1" t="s">
        <v>25</v>
      </c>
      <c r="BS45" s="150" t="s">
        <v>66</v>
      </c>
      <c r="BT45" s="150" t="s">
        <v>11</v>
      </c>
      <c r="BU45" s="150" t="s">
        <v>25</v>
      </c>
    </row>
    <row r="46" spans="2:73">
      <c r="B46"/>
      <c r="C46" s="156"/>
      <c r="AX46" s="156" t="s">
        <v>67</v>
      </c>
      <c r="AY46" s="156">
        <v>2035</v>
      </c>
      <c r="AZ46" s="156">
        <f>AZ32*AL2/AK2</f>
        <v>57.4165547619049</v>
      </c>
      <c r="BA46" s="156">
        <f>BA32*AL2/AK2</f>
        <v>39.6333785714287</v>
      </c>
      <c r="BB46" s="156">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50">
        <v>57.4165547619049</v>
      </c>
      <c r="BT46" s="150">
        <v>39.6333785714287</v>
      </c>
      <c r="BU46" s="150">
        <v>76.3036071428573</v>
      </c>
    </row>
    <row r="47" spans="2:73">
      <c r="B47" s="156"/>
      <c r="C47" s="160"/>
      <c r="D47" s="160"/>
      <c r="E47" s="160"/>
      <c r="AX47" s="156" t="s">
        <v>72</v>
      </c>
      <c r="AY47" s="156">
        <f t="shared" ref="AY47:AY53" si="44">AY46</f>
        <v>2035</v>
      </c>
      <c r="AZ47" s="156">
        <f t="shared" ref="AZ47:AZ53" si="45">AZ33*AL3/AK3</f>
        <v>68.1490000000002</v>
      </c>
      <c r="BA47" s="156">
        <f t="shared" ref="BA47:BA53" si="46">BA33*AL3/AK3</f>
        <v>47.3754642857144</v>
      </c>
      <c r="BB47" s="156">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50">
        <v>68.1490000000002</v>
      </c>
      <c r="BT47" s="150">
        <v>47.3754642857144</v>
      </c>
      <c r="BU47" s="150">
        <v>90.1882500000002</v>
      </c>
    </row>
    <row r="48" spans="2:73">
      <c r="B48" s="156"/>
      <c r="C48" s="156"/>
      <c r="D48" s="156"/>
      <c r="E48" s="156"/>
      <c r="AX48" s="156" t="s">
        <v>76</v>
      </c>
      <c r="AY48" s="156">
        <f t="shared" si="44"/>
        <v>2035</v>
      </c>
      <c r="AZ48" s="156">
        <f t="shared" si="45"/>
        <v>60.9626404761906</v>
      </c>
      <c r="BA48" s="156">
        <f t="shared" si="46"/>
        <v>40.0724785714287</v>
      </c>
      <c r="BB48" s="156">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50">
        <v>60.9626404761906</v>
      </c>
      <c r="BT48" s="150">
        <v>40.0724785714287</v>
      </c>
      <c r="BU48" s="150">
        <v>83.0914000000002</v>
      </c>
    </row>
    <row r="49" spans="2:73">
      <c r="B49" s="156"/>
      <c r="C49" s="156"/>
      <c r="D49" s="156"/>
      <c r="E49" s="156"/>
      <c r="AX49" s="156" t="s">
        <v>80</v>
      </c>
      <c r="AY49" s="156">
        <f t="shared" si="44"/>
        <v>2035</v>
      </c>
      <c r="AZ49" s="156">
        <f t="shared" si="45"/>
        <v>61.0868357142859</v>
      </c>
      <c r="BA49" s="156">
        <f t="shared" si="46"/>
        <v>39.6853642857144</v>
      </c>
      <c r="BB49" s="156">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50">
        <v>61.0868357142859</v>
      </c>
      <c r="BT49" s="150">
        <v>39.6853642857144</v>
      </c>
      <c r="BU49" s="150">
        <v>83.7887928571431</v>
      </c>
    </row>
    <row r="50" spans="2:73">
      <c r="B50" s="156"/>
      <c r="C50" s="156"/>
      <c r="D50" s="156"/>
      <c r="E50" s="156"/>
      <c r="AX50" s="156" t="s">
        <v>85</v>
      </c>
      <c r="AY50" s="156">
        <f t="shared" si="44"/>
        <v>2035</v>
      </c>
      <c r="AZ50" s="156">
        <f t="shared" si="45"/>
        <v>64.3520833333335</v>
      </c>
      <c r="BA50" s="156">
        <f t="shared" si="46"/>
        <v>42.4055000000001</v>
      </c>
      <c r="BB50" s="156">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50">
        <v>64.3520833333335</v>
      </c>
      <c r="BT50" s="150">
        <v>42.4055000000001</v>
      </c>
      <c r="BU50" s="150">
        <v>87.6207500000002</v>
      </c>
    </row>
    <row r="51" spans="2:73">
      <c r="B51" s="156"/>
      <c r="C51" s="156"/>
      <c r="D51" s="156"/>
      <c r="E51" s="156"/>
      <c r="AX51" s="156" t="s">
        <v>89</v>
      </c>
      <c r="AY51" s="156">
        <f t="shared" si="44"/>
        <v>2035</v>
      </c>
      <c r="AZ51" s="156">
        <f t="shared" si="45"/>
        <v>62.0872976190478</v>
      </c>
      <c r="BA51" s="156">
        <f t="shared" si="46"/>
        <v>40.955392857143</v>
      </c>
      <c r="BB51" s="156">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50">
        <v>62.0872976190478</v>
      </c>
      <c r="BT51" s="150">
        <v>40.955392857143</v>
      </c>
      <c r="BU51" s="150">
        <v>84.4802142857145</v>
      </c>
    </row>
    <row r="52" spans="2:73">
      <c r="B52" s="156"/>
      <c r="C52" s="156"/>
      <c r="D52" s="156"/>
      <c r="E52" s="156"/>
      <c r="AX52" s="156" t="s">
        <v>93</v>
      </c>
      <c r="AY52" s="156">
        <f t="shared" si="44"/>
        <v>2035</v>
      </c>
      <c r="AZ52" s="156">
        <f t="shared" si="45"/>
        <v>63.9661904761907</v>
      </c>
      <c r="BA52" s="156">
        <f t="shared" si="46"/>
        <v>42.8496285714287</v>
      </c>
      <c r="BB52" s="156">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50">
        <v>63.9661904761907</v>
      </c>
      <c r="BT52" s="150">
        <v>42.8496285714287</v>
      </c>
      <c r="BU52" s="150">
        <v>86.3389428571431</v>
      </c>
    </row>
    <row r="53" spans="2:73">
      <c r="B53" s="156"/>
      <c r="C53" s="156"/>
      <c r="D53" s="156"/>
      <c r="E53" s="156"/>
      <c r="AW53" s="149"/>
      <c r="AX53" s="162"/>
      <c r="AY53" s="156"/>
      <c r="AZ53" s="156"/>
      <c r="BA53" s="156"/>
      <c r="BB53" s="156"/>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50">
        <v>115.780952380953</v>
      </c>
      <c r="BT53" s="150">
        <v>115.780952380953</v>
      </c>
      <c r="BU53" s="150">
        <v>115.780952380953</v>
      </c>
    </row>
    <row r="54" spans="2:73">
      <c r="B54" s="156"/>
      <c r="C54" s="156"/>
      <c r="D54" s="156"/>
      <c r="E54" s="156"/>
    </row>
    <row r="55" spans="2:73">
      <c r="B55" s="165"/>
      <c r="C55" s="166"/>
      <c r="D55" s="166"/>
      <c r="E55" s="166"/>
    </row>
    <row r="58" spans="2:73">
      <c r="AX58" t="s">
        <v>62</v>
      </c>
      <c r="AY58"/>
      <c r="AZ58" s="156"/>
      <c r="BE58" s="1" t="s">
        <v>63</v>
      </c>
      <c r="BL58" s="1" t="s">
        <v>62</v>
      </c>
    </row>
    <row r="59" spans="2:73">
      <c r="AX59" s="156" t="s">
        <v>65</v>
      </c>
      <c r="AY59" s="156" t="s">
        <v>41</v>
      </c>
      <c r="AZ59" s="160" t="s">
        <v>66</v>
      </c>
      <c r="BA59" s="160" t="s">
        <v>11</v>
      </c>
      <c r="BB59" s="160" t="s">
        <v>25</v>
      </c>
      <c r="BE59" s="1" t="s">
        <v>65</v>
      </c>
      <c r="BF59" s="1" t="s">
        <v>41</v>
      </c>
      <c r="BG59" s="1" t="s">
        <v>66</v>
      </c>
      <c r="BH59" s="1" t="s">
        <v>11</v>
      </c>
      <c r="BI59" s="1" t="s">
        <v>25</v>
      </c>
      <c r="BL59" s="1" t="s">
        <v>65</v>
      </c>
      <c r="BM59" s="1" t="s">
        <v>41</v>
      </c>
      <c r="BN59" s="1" t="s">
        <v>66</v>
      </c>
      <c r="BO59" s="1" t="s">
        <v>11</v>
      </c>
      <c r="BP59" s="1" t="s">
        <v>25</v>
      </c>
      <c r="BS59" s="150" t="s">
        <v>66</v>
      </c>
      <c r="BT59" s="150" t="s">
        <v>11</v>
      </c>
      <c r="BU59" s="150" t="s">
        <v>25</v>
      </c>
    </row>
    <row r="60" spans="2:73">
      <c r="AX60" s="156" t="s">
        <v>67</v>
      </c>
      <c r="AY60" s="156">
        <v>2040</v>
      </c>
      <c r="AZ60" s="156">
        <f>AZ46*0.97</f>
        <v>55.6940581190478</v>
      </c>
      <c r="BA60" s="156">
        <f>BA46*0.97</f>
        <v>38.4443772142858</v>
      </c>
      <c r="BB60" s="156">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50">
        <v>55.6940581190478</v>
      </c>
      <c r="BT60" s="150">
        <v>38.4443772142858</v>
      </c>
      <c r="BU60" s="150">
        <v>74.0144989285716</v>
      </c>
    </row>
    <row r="61" spans="2:73">
      <c r="AX61" s="156" t="s">
        <v>72</v>
      </c>
      <c r="AY61" s="156">
        <f t="shared" ref="AY61:AY67" si="54">AY60</f>
        <v>2040</v>
      </c>
      <c r="AZ61" s="156">
        <f t="shared" ref="AZ61:AZ67" si="55">AZ47*0.97</f>
        <v>66.1045300000002</v>
      </c>
      <c r="BA61" s="156">
        <f t="shared" ref="BA61:BA67" si="56">BA47*0.97</f>
        <v>45.954200357143</v>
      </c>
      <c r="BB61" s="156">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50">
        <v>66.1045300000002</v>
      </c>
      <c r="BT61" s="150">
        <v>45.954200357143</v>
      </c>
      <c r="BU61" s="150">
        <v>87.4826025000002</v>
      </c>
    </row>
    <row r="62" spans="2:73">
      <c r="AX62" s="156" t="s">
        <v>76</v>
      </c>
      <c r="AY62" s="156">
        <f t="shared" si="54"/>
        <v>2040</v>
      </c>
      <c r="AZ62" s="156">
        <f t="shared" si="55"/>
        <v>59.1337612619049</v>
      </c>
      <c r="BA62" s="156">
        <f t="shared" si="56"/>
        <v>38.8703042142858</v>
      </c>
      <c r="BB62" s="156">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50">
        <v>59.1337612619049</v>
      </c>
      <c r="BT62" s="150">
        <v>38.8703042142858</v>
      </c>
      <c r="BU62" s="150">
        <v>80.5986580000002</v>
      </c>
    </row>
    <row r="63" spans="2:73">
      <c r="AX63" s="156" t="s">
        <v>80</v>
      </c>
      <c r="AY63" s="156">
        <f t="shared" si="54"/>
        <v>2040</v>
      </c>
      <c r="AZ63" s="156">
        <f t="shared" si="55"/>
        <v>59.2542306428573</v>
      </c>
      <c r="BA63" s="156">
        <f t="shared" si="56"/>
        <v>38.494803357143</v>
      </c>
      <c r="BB63" s="156">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50">
        <v>59.2542306428573</v>
      </c>
      <c r="BT63" s="150">
        <v>38.494803357143</v>
      </c>
      <c r="BU63" s="150">
        <v>81.2751290714288</v>
      </c>
    </row>
    <row r="64" spans="2:73">
      <c r="AX64" s="156" t="s">
        <v>85</v>
      </c>
      <c r="AY64" s="156">
        <f t="shared" si="54"/>
        <v>2040</v>
      </c>
      <c r="AZ64" s="156">
        <f t="shared" si="55"/>
        <v>62.4215208333334</v>
      </c>
      <c r="BA64" s="156">
        <f t="shared" si="56"/>
        <v>41.1333350000001</v>
      </c>
      <c r="BB64" s="156">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50">
        <v>62.4215208333334</v>
      </c>
      <c r="BT64" s="150">
        <v>41.1333350000001</v>
      </c>
      <c r="BU64" s="150">
        <v>84.9921275000002</v>
      </c>
    </row>
    <row r="65" spans="49:73">
      <c r="AX65" s="156" t="s">
        <v>89</v>
      </c>
      <c r="AY65" s="156">
        <f t="shared" si="54"/>
        <v>2040</v>
      </c>
      <c r="AZ65" s="156">
        <f t="shared" si="55"/>
        <v>60.2246786904764</v>
      </c>
      <c r="BA65" s="156">
        <f t="shared" si="56"/>
        <v>39.7267310714287</v>
      </c>
      <c r="BB65" s="156">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50">
        <v>60.2246786904764</v>
      </c>
      <c r="BT65" s="150">
        <v>39.7267310714287</v>
      </c>
      <c r="BU65" s="150">
        <v>81.9458078571431</v>
      </c>
    </row>
    <row r="66" spans="49:73">
      <c r="AX66" s="156" t="s">
        <v>93</v>
      </c>
      <c r="AY66" s="156">
        <f t="shared" si="54"/>
        <v>2040</v>
      </c>
      <c r="AZ66" s="156">
        <f t="shared" si="55"/>
        <v>62.0472047619049</v>
      </c>
      <c r="BA66" s="156">
        <f t="shared" si="56"/>
        <v>41.5641397142858</v>
      </c>
      <c r="BB66" s="156">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50">
        <v>62.0472047619049</v>
      </c>
      <c r="BT66" s="150">
        <v>41.5641397142858</v>
      </c>
      <c r="BU66" s="150">
        <v>83.7487745714288</v>
      </c>
    </row>
    <row r="67" spans="49:73">
      <c r="AW67" s="149"/>
      <c r="AX67" s="162"/>
      <c r="AY67" s="156"/>
      <c r="AZ67" s="156"/>
      <c r="BA67" s="156"/>
      <c r="BB67" s="156"/>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50">
        <v>112.307523809524</v>
      </c>
      <c r="BT67" s="150">
        <v>112.307523809524</v>
      </c>
      <c r="BU67" s="150">
        <v>112.307523809524</v>
      </c>
    </row>
    <row r="74" spans="49:73">
      <c r="AX74" t="s">
        <v>62</v>
      </c>
      <c r="AY74"/>
      <c r="AZ74" s="156"/>
      <c r="BE74" s="1" t="s">
        <v>63</v>
      </c>
      <c r="BL74" s="1" t="s">
        <v>62</v>
      </c>
    </row>
    <row r="75" spans="49:73">
      <c r="AX75" s="156" t="s">
        <v>65</v>
      </c>
      <c r="AY75" s="156" t="s">
        <v>41</v>
      </c>
      <c r="AZ75" s="160" t="s">
        <v>66</v>
      </c>
      <c r="BA75" s="160" t="s">
        <v>11</v>
      </c>
      <c r="BB75" s="160" t="s">
        <v>25</v>
      </c>
      <c r="BE75" s="1" t="s">
        <v>65</v>
      </c>
      <c r="BF75" s="1" t="s">
        <v>41</v>
      </c>
      <c r="BG75" s="1" t="s">
        <v>66</v>
      </c>
      <c r="BH75" s="1" t="s">
        <v>11</v>
      </c>
      <c r="BI75" s="1" t="s">
        <v>25</v>
      </c>
      <c r="BL75" s="1" t="s">
        <v>65</v>
      </c>
      <c r="BM75" s="1" t="s">
        <v>41</v>
      </c>
      <c r="BN75" s="1" t="s">
        <v>66</v>
      </c>
      <c r="BO75" s="1" t="s">
        <v>11</v>
      </c>
      <c r="BP75" s="1" t="s">
        <v>25</v>
      </c>
      <c r="BS75" s="150" t="s">
        <v>66</v>
      </c>
      <c r="BT75" s="150" t="s">
        <v>11</v>
      </c>
      <c r="BU75" s="150" t="s">
        <v>25</v>
      </c>
    </row>
    <row r="76" spans="49:73">
      <c r="AX76" s="156" t="s">
        <v>67</v>
      </c>
      <c r="AY76" s="156">
        <v>2045</v>
      </c>
      <c r="AZ76" s="156">
        <f>AZ60*0.96</f>
        <v>53.4662957942859</v>
      </c>
      <c r="BA76" s="156">
        <f>BA60*0.96</f>
        <v>36.9066021257144</v>
      </c>
      <c r="BB76" s="156">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50">
        <v>53.4662957942859</v>
      </c>
      <c r="BT76" s="150">
        <v>36.9066021257144</v>
      </c>
      <c r="BU76" s="150">
        <v>71.0539189714287</v>
      </c>
    </row>
    <row r="77" spans="49:73">
      <c r="AX77" s="156" t="s">
        <v>72</v>
      </c>
      <c r="AY77" s="156">
        <f t="shared" ref="AY77:AY83" si="64">AY76</f>
        <v>2045</v>
      </c>
      <c r="AZ77" s="156">
        <f t="shared" ref="AZ77:AZ83" si="65">AZ61*0.96</f>
        <v>63.4603488000002</v>
      </c>
      <c r="BA77" s="156">
        <f t="shared" ref="BA77:BA83" si="66">BA61*0.96</f>
        <v>44.1160323428573</v>
      </c>
      <c r="BB77" s="156">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50">
        <v>63.4603488000002</v>
      </c>
      <c r="BT77" s="150">
        <v>44.1160323428573</v>
      </c>
      <c r="BU77" s="150">
        <v>83.9832984000002</v>
      </c>
    </row>
    <row r="78" spans="49:73">
      <c r="AX78" s="156" t="s">
        <v>76</v>
      </c>
      <c r="AY78" s="156">
        <f t="shared" si="64"/>
        <v>2045</v>
      </c>
      <c r="AZ78" s="156">
        <f t="shared" si="65"/>
        <v>56.7684108114287</v>
      </c>
      <c r="BA78" s="156">
        <f t="shared" si="66"/>
        <v>37.3154920457144</v>
      </c>
      <c r="BB78" s="156">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50">
        <v>56.7684108114287</v>
      </c>
      <c r="BT78" s="150">
        <v>37.3154920457144</v>
      </c>
      <c r="BU78" s="150">
        <v>77.3747116800002</v>
      </c>
    </row>
    <row r="79" spans="49:73">
      <c r="AX79" s="156" t="s">
        <v>80</v>
      </c>
      <c r="AY79" s="156">
        <f t="shared" si="64"/>
        <v>2045</v>
      </c>
      <c r="AZ79" s="156">
        <f t="shared" si="65"/>
        <v>56.884061417143</v>
      </c>
      <c r="BA79" s="156">
        <f t="shared" si="66"/>
        <v>36.9550112228572</v>
      </c>
      <c r="BB79" s="156">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50">
        <v>56.884061417143</v>
      </c>
      <c r="BT79" s="150">
        <v>36.9550112228572</v>
      </c>
      <c r="BU79" s="150">
        <v>78.0241239085716</v>
      </c>
    </row>
    <row r="80" spans="49:73">
      <c r="AX80" s="156" t="s">
        <v>85</v>
      </c>
      <c r="AY80" s="156">
        <f t="shared" si="64"/>
        <v>2045</v>
      </c>
      <c r="AZ80" s="156">
        <f t="shared" si="65"/>
        <v>59.9246600000001</v>
      </c>
      <c r="BA80" s="156">
        <f t="shared" si="66"/>
        <v>39.4880016000001</v>
      </c>
      <c r="BB80" s="156">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50">
        <v>59.9246600000001</v>
      </c>
      <c r="BT80" s="150">
        <v>39.4880016000001</v>
      </c>
      <c r="BU80" s="150">
        <v>81.5924424000002</v>
      </c>
    </row>
    <row r="81" spans="49:73">
      <c r="AX81" s="156" t="s">
        <v>89</v>
      </c>
      <c r="AY81" s="156">
        <f t="shared" si="64"/>
        <v>2045</v>
      </c>
      <c r="AZ81" s="156">
        <f t="shared" si="65"/>
        <v>57.8156915428573</v>
      </c>
      <c r="BA81" s="156">
        <f t="shared" si="66"/>
        <v>38.1376618285715</v>
      </c>
      <c r="BB81" s="156">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50">
        <v>57.8156915428573</v>
      </c>
      <c r="BT81" s="150">
        <v>38.1376618285715</v>
      </c>
      <c r="BU81" s="150">
        <v>78.6679755428573</v>
      </c>
    </row>
    <row r="82" spans="49:73">
      <c r="AX82" s="156" t="s">
        <v>93</v>
      </c>
      <c r="AY82" s="156">
        <f t="shared" si="64"/>
        <v>2045</v>
      </c>
      <c r="AZ82" s="156">
        <f t="shared" si="65"/>
        <v>59.5653165714287</v>
      </c>
      <c r="BA82" s="156">
        <f t="shared" si="66"/>
        <v>39.9015741257144</v>
      </c>
      <c r="BB82" s="156">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50">
        <v>59.5653165714287</v>
      </c>
      <c r="BT82" s="150">
        <v>39.9015741257144</v>
      </c>
      <c r="BU82" s="150">
        <v>80.3988235885716</v>
      </c>
    </row>
    <row r="83" spans="49:73">
      <c r="AW83" s="149"/>
      <c r="AX83" s="162"/>
      <c r="AY83" s="156"/>
      <c r="AZ83" s="156"/>
      <c r="BA83" s="156"/>
      <c r="BB83" s="156"/>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50">
        <v>107.815222857143</v>
      </c>
      <c r="BT83" s="150">
        <v>107.815222857143</v>
      </c>
      <c r="BU83" s="150">
        <v>107.815222857143</v>
      </c>
    </row>
    <row r="87" spans="49:73">
      <c r="AX87" t="s">
        <v>62</v>
      </c>
      <c r="AY87"/>
      <c r="AZ87" s="156"/>
      <c r="BE87" s="1" t="s">
        <v>63</v>
      </c>
      <c r="BL87" s="1" t="s">
        <v>62</v>
      </c>
    </row>
    <row r="88" spans="49:73">
      <c r="AX88" s="156" t="s">
        <v>65</v>
      </c>
      <c r="AY88" s="156" t="s">
        <v>41</v>
      </c>
      <c r="AZ88" s="160" t="s">
        <v>66</v>
      </c>
      <c r="BA88" s="160" t="s">
        <v>11</v>
      </c>
      <c r="BB88" s="160" t="s">
        <v>25</v>
      </c>
      <c r="BE88" s="1" t="s">
        <v>65</v>
      </c>
      <c r="BF88" s="1" t="s">
        <v>41</v>
      </c>
      <c r="BG88" s="1" t="s">
        <v>66</v>
      </c>
      <c r="BH88" s="1" t="s">
        <v>11</v>
      </c>
      <c r="BI88" s="1" t="s">
        <v>25</v>
      </c>
      <c r="BL88" s="1" t="s">
        <v>65</v>
      </c>
      <c r="BM88" s="1" t="s">
        <v>41</v>
      </c>
      <c r="BN88" s="1" t="s">
        <v>66</v>
      </c>
      <c r="BO88" s="1" t="s">
        <v>11</v>
      </c>
      <c r="BP88" s="1" t="s">
        <v>25</v>
      </c>
      <c r="BS88" s="150" t="s">
        <v>66</v>
      </c>
      <c r="BT88" s="150" t="s">
        <v>11</v>
      </c>
      <c r="BU88" s="150" t="s">
        <v>25</v>
      </c>
    </row>
    <row r="89" spans="49:73">
      <c r="AX89" s="156" t="s">
        <v>67</v>
      </c>
      <c r="AY89" s="156">
        <v>2050</v>
      </c>
      <c r="AZ89" s="156">
        <f>AZ76*0.96</f>
        <v>51.3276439625144</v>
      </c>
      <c r="BA89" s="156">
        <f>BA76*0.96</f>
        <v>35.4303380406858</v>
      </c>
      <c r="BB89" s="156">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50">
        <v>51.3276439625144</v>
      </c>
      <c r="BT89" s="150">
        <v>35.4303380406858</v>
      </c>
      <c r="BU89" s="150">
        <v>68.2117622125716</v>
      </c>
    </row>
    <row r="90" spans="49:73">
      <c r="AX90" s="156" t="s">
        <v>72</v>
      </c>
      <c r="AY90" s="156">
        <f t="shared" ref="AY90:AY96" si="74">AY89</f>
        <v>2050</v>
      </c>
      <c r="AZ90" s="156">
        <f t="shared" ref="AZ90:BB90" si="75">AZ77*0.96</f>
        <v>60.9219348480002</v>
      </c>
      <c r="BA90" s="156">
        <f t="shared" si="75"/>
        <v>42.351391049143</v>
      </c>
      <c r="BB90" s="156">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50">
        <v>60.9219348480002</v>
      </c>
      <c r="BT90" s="150">
        <v>42.351391049143</v>
      </c>
      <c r="BU90" s="150">
        <v>80.6239664640002</v>
      </c>
    </row>
    <row r="91" spans="49:73">
      <c r="AX91" s="156" t="s">
        <v>76</v>
      </c>
      <c r="AY91" s="156">
        <f t="shared" si="74"/>
        <v>2050</v>
      </c>
      <c r="AZ91" s="156">
        <f t="shared" ref="AZ91:BB91" si="76">AZ78*0.96</f>
        <v>54.4976743789715</v>
      </c>
      <c r="BA91" s="156">
        <f t="shared" si="76"/>
        <v>35.8228723638858</v>
      </c>
      <c r="BB91" s="156">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50">
        <v>54.4976743789715</v>
      </c>
      <c r="BT91" s="150">
        <v>35.8228723638858</v>
      </c>
      <c r="BU91" s="150">
        <v>74.2797232128002</v>
      </c>
    </row>
    <row r="92" spans="49:73">
      <c r="AX92" s="156" t="s">
        <v>80</v>
      </c>
      <c r="AY92" s="156">
        <f t="shared" si="74"/>
        <v>2050</v>
      </c>
      <c r="AZ92" s="156">
        <f t="shared" ref="AZ92:BB92" si="77">AZ79*0.96</f>
        <v>54.6086989604573</v>
      </c>
      <c r="BA92" s="156">
        <f t="shared" si="77"/>
        <v>35.4768107739429</v>
      </c>
      <c r="BB92" s="156">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50">
        <v>54.6086989604573</v>
      </c>
      <c r="BT92" s="150">
        <v>35.4768107739429</v>
      </c>
      <c r="BU92" s="150">
        <v>74.9031589522287</v>
      </c>
    </row>
    <row r="93" spans="49:73">
      <c r="AX93" s="156" t="s">
        <v>85</v>
      </c>
      <c r="AY93" s="156">
        <f t="shared" si="74"/>
        <v>2050</v>
      </c>
      <c r="AZ93" s="156">
        <f t="shared" ref="AZ93:BB93" si="78">AZ80*0.96</f>
        <v>57.5276736000001</v>
      </c>
      <c r="BA93" s="156">
        <f t="shared" si="78"/>
        <v>37.9084815360001</v>
      </c>
      <c r="BB93" s="156">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50">
        <v>57.5276736000001</v>
      </c>
      <c r="BT93" s="150">
        <v>37.9084815360001</v>
      </c>
      <c r="BU93" s="150">
        <v>78.3287447040002</v>
      </c>
    </row>
    <row r="94" spans="49:73">
      <c r="AX94" s="156" t="s">
        <v>89</v>
      </c>
      <c r="AY94" s="156">
        <f t="shared" si="74"/>
        <v>2050</v>
      </c>
      <c r="AZ94" s="156">
        <f t="shared" ref="AZ94:BB94" si="79">AZ81*0.96</f>
        <v>55.503063881143</v>
      </c>
      <c r="BA94" s="156">
        <f t="shared" si="79"/>
        <v>36.6121553554287</v>
      </c>
      <c r="BB94" s="156">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50">
        <v>55.503063881143</v>
      </c>
      <c r="BT94" s="150">
        <v>36.6121553554287</v>
      </c>
      <c r="BU94" s="150">
        <v>75.521256521143</v>
      </c>
    </row>
    <row r="95" spans="49:73">
      <c r="AX95" s="156" t="s">
        <v>93</v>
      </c>
      <c r="AY95" s="156">
        <f t="shared" si="74"/>
        <v>2050</v>
      </c>
      <c r="AZ95" s="156">
        <f t="shared" ref="AZ95:BB95" si="80">AZ82*0.96</f>
        <v>57.1827039085716</v>
      </c>
      <c r="BA95" s="156">
        <f t="shared" si="80"/>
        <v>38.3055111606858</v>
      </c>
      <c r="BB95" s="156">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50">
        <v>57.1827039085716</v>
      </c>
      <c r="BT95" s="150">
        <v>38.3055111606858</v>
      </c>
      <c r="BU95" s="150">
        <v>77.1828706450288</v>
      </c>
    </row>
    <row r="96" spans="49:73">
      <c r="AW96" s="149"/>
      <c r="AX96" s="162"/>
      <c r="AY96" s="156"/>
      <c r="AZ96" s="156"/>
      <c r="BA96" s="156"/>
      <c r="BB96" s="156"/>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50">
        <v>103.502613942857</v>
      </c>
      <c r="BT96" s="150">
        <v>103.502613942857</v>
      </c>
      <c r="BU96" s="150">
        <v>103.502613942857</v>
      </c>
    </row>
    <row r="104" spans="50:73">
      <c r="AX104" t="s">
        <v>62</v>
      </c>
      <c r="AY104"/>
      <c r="AZ104" s="156"/>
      <c r="BE104" s="1" t="s">
        <v>63</v>
      </c>
      <c r="BL104" s="1" t="s">
        <v>62</v>
      </c>
    </row>
    <row r="105" spans="50:73">
      <c r="AX105" s="156" t="s">
        <v>65</v>
      </c>
      <c r="AY105" s="156" t="s">
        <v>41</v>
      </c>
      <c r="AZ105" s="160" t="s">
        <v>66</v>
      </c>
      <c r="BA105" s="160" t="s">
        <v>11</v>
      </c>
      <c r="BB105" s="160" t="s">
        <v>25</v>
      </c>
      <c r="BE105" s="1" t="s">
        <v>65</v>
      </c>
      <c r="BF105" s="1" t="s">
        <v>41</v>
      </c>
      <c r="BG105" s="1" t="s">
        <v>66</v>
      </c>
      <c r="BH105" s="1" t="s">
        <v>11</v>
      </c>
      <c r="BI105" s="1" t="s">
        <v>25</v>
      </c>
      <c r="BL105" s="1" t="s">
        <v>65</v>
      </c>
      <c r="BM105" s="1" t="s">
        <v>41</v>
      </c>
      <c r="BN105" s="1" t="s">
        <v>66</v>
      </c>
      <c r="BO105" s="1" t="s">
        <v>11</v>
      </c>
      <c r="BP105" s="1" t="s">
        <v>25</v>
      </c>
      <c r="BS105" s="150" t="s">
        <v>66</v>
      </c>
      <c r="BT105" s="150" t="s">
        <v>11</v>
      </c>
      <c r="BU105" s="150" t="s">
        <v>25</v>
      </c>
    </row>
    <row r="106" spans="50:73">
      <c r="AX106" s="156" t="s">
        <v>67</v>
      </c>
      <c r="AY106" s="156">
        <v>2100</v>
      </c>
      <c r="AZ106" s="156">
        <f>AZ89</f>
        <v>51.3276439625144</v>
      </c>
      <c r="BA106" s="156">
        <f t="shared" ref="BA106:BA113" si="81">BA89</f>
        <v>35.4303380406858</v>
      </c>
      <c r="BB106" s="156">
        <f t="shared" ref="BB106:BB113" si="82">BB89</f>
        <v>68.2117622125716</v>
      </c>
      <c r="BE106" s="1" t="s">
        <v>68</v>
      </c>
      <c r="BF106" s="1">
        <v>2100</v>
      </c>
      <c r="BG106" s="1">
        <f t="shared" ref="BG106:BG113" si="83">BS106*70%</f>
        <v>35.9293507737601</v>
      </c>
      <c r="BH106" s="1">
        <f t="shared" ref="BH106:BH113" si="84">BT106*70%</f>
        <v>24.8012366284801</v>
      </c>
      <c r="BI106" s="1">
        <f t="shared" ref="BI106:BI113" si="85">BU106*70%</f>
        <v>47.7482335488001</v>
      </c>
      <c r="BL106" s="1" t="s">
        <v>69</v>
      </c>
      <c r="BM106" s="1">
        <v>2100</v>
      </c>
      <c r="BN106" s="1">
        <f t="shared" ref="BN106:BN113" si="86">BS106*30%</f>
        <v>15.3982931887543</v>
      </c>
      <c r="BO106" s="1">
        <f t="shared" ref="BO106:BO113" si="87">BT106*30%</f>
        <v>10.6291014122057</v>
      </c>
      <c r="BP106" s="1">
        <f t="shared" ref="BP106:BP113" si="88">BU106*30%</f>
        <v>20.4635286637715</v>
      </c>
      <c r="BS106" s="150">
        <v>51.3276439625144</v>
      </c>
      <c r="BT106" s="150">
        <v>35.4303380406858</v>
      </c>
      <c r="BU106" s="150">
        <v>68.2117622125716</v>
      </c>
    </row>
    <row r="107" spans="50:73">
      <c r="AX107" s="156" t="s">
        <v>72</v>
      </c>
      <c r="AY107" s="156">
        <f t="shared" ref="AY107:AY113" si="89">AY106</f>
        <v>2100</v>
      </c>
      <c r="AZ107" s="156">
        <f t="shared" ref="AZ107:AZ113" si="90">AZ90</f>
        <v>60.9219348480002</v>
      </c>
      <c r="BA107" s="156">
        <f t="shared" si="81"/>
        <v>42.351391049143</v>
      </c>
      <c r="BB107" s="156">
        <f t="shared" si="82"/>
        <v>80.6239664640002</v>
      </c>
      <c r="BE107" s="1" t="s">
        <v>73</v>
      </c>
      <c r="BF107" s="1">
        <v>2100</v>
      </c>
      <c r="BG107" s="1">
        <f t="shared" si="83"/>
        <v>42.6453543936001</v>
      </c>
      <c r="BH107" s="1">
        <f t="shared" si="84"/>
        <v>29.6459737344001</v>
      </c>
      <c r="BI107" s="1">
        <f t="shared" si="85"/>
        <v>56.4367765248001</v>
      </c>
      <c r="BL107" s="1" t="s">
        <v>74</v>
      </c>
      <c r="BM107" s="1">
        <v>2100</v>
      </c>
      <c r="BN107" s="1">
        <f t="shared" si="86"/>
        <v>18.2765804544001</v>
      </c>
      <c r="BO107" s="1">
        <f t="shared" si="87"/>
        <v>12.7054173147429</v>
      </c>
      <c r="BP107" s="1">
        <f t="shared" si="88"/>
        <v>24.1871899392001</v>
      </c>
      <c r="BS107" s="150">
        <v>60.9219348480002</v>
      </c>
      <c r="BT107" s="150">
        <v>42.351391049143</v>
      </c>
      <c r="BU107" s="150">
        <v>80.6239664640002</v>
      </c>
    </row>
    <row r="108" spans="50:73">
      <c r="AX108" s="156" t="s">
        <v>76</v>
      </c>
      <c r="AY108" s="156">
        <f t="shared" si="89"/>
        <v>2100</v>
      </c>
      <c r="AZ108" s="156">
        <f t="shared" si="90"/>
        <v>54.4976743789715</v>
      </c>
      <c r="BA108" s="156">
        <f t="shared" si="81"/>
        <v>35.8228723638858</v>
      </c>
      <c r="BB108" s="156">
        <f t="shared" si="82"/>
        <v>74.2797232128002</v>
      </c>
      <c r="BE108" s="1" t="s">
        <v>77</v>
      </c>
      <c r="BF108" s="1">
        <v>2100</v>
      </c>
      <c r="BG108" s="1">
        <f t="shared" si="83"/>
        <v>38.14837206528</v>
      </c>
      <c r="BH108" s="1">
        <f t="shared" si="84"/>
        <v>25.0760106547201</v>
      </c>
      <c r="BI108" s="1">
        <f t="shared" si="85"/>
        <v>51.9958062489601</v>
      </c>
      <c r="BL108" s="1" t="s">
        <v>78</v>
      </c>
      <c r="BM108" s="1">
        <v>2100</v>
      </c>
      <c r="BN108" s="1">
        <f t="shared" si="86"/>
        <v>16.3493023136914</v>
      </c>
      <c r="BO108" s="1">
        <f t="shared" si="87"/>
        <v>10.7468617091657</v>
      </c>
      <c r="BP108" s="1">
        <f t="shared" si="88"/>
        <v>22.2839169638401</v>
      </c>
      <c r="BS108" s="150">
        <v>54.4976743789715</v>
      </c>
      <c r="BT108" s="150">
        <v>35.8228723638858</v>
      </c>
      <c r="BU108" s="150">
        <v>74.2797232128002</v>
      </c>
    </row>
    <row r="109" spans="50:73">
      <c r="AX109" s="156" t="s">
        <v>80</v>
      </c>
      <c r="AY109" s="156">
        <f t="shared" si="89"/>
        <v>2100</v>
      </c>
      <c r="AZ109" s="156">
        <f t="shared" si="90"/>
        <v>54.6086989604573</v>
      </c>
      <c r="BA109" s="156">
        <f t="shared" si="81"/>
        <v>35.4768107739429</v>
      </c>
      <c r="BB109" s="156">
        <f t="shared" si="82"/>
        <v>74.9031589522287</v>
      </c>
      <c r="BE109" s="1" t="s">
        <v>81</v>
      </c>
      <c r="BF109" s="1">
        <v>2100</v>
      </c>
      <c r="BG109" s="1">
        <f t="shared" si="83"/>
        <v>38.2260892723201</v>
      </c>
      <c r="BH109" s="1">
        <f t="shared" si="84"/>
        <v>24.83376754176</v>
      </c>
      <c r="BI109" s="1">
        <f t="shared" si="85"/>
        <v>52.4322112665601</v>
      </c>
      <c r="BL109" s="1" t="s">
        <v>82</v>
      </c>
      <c r="BM109" s="1">
        <v>2100</v>
      </c>
      <c r="BN109" s="1">
        <f t="shared" si="86"/>
        <v>16.3826096881372</v>
      </c>
      <c r="BO109" s="1">
        <f t="shared" si="87"/>
        <v>10.6430432321829</v>
      </c>
      <c r="BP109" s="1">
        <f t="shared" si="88"/>
        <v>22.4709476856686</v>
      </c>
      <c r="BS109" s="150">
        <v>54.6086989604573</v>
      </c>
      <c r="BT109" s="150">
        <v>35.4768107739429</v>
      </c>
      <c r="BU109" s="150">
        <v>74.9031589522287</v>
      </c>
    </row>
    <row r="110" spans="50:73">
      <c r="AX110" s="156" t="s">
        <v>85</v>
      </c>
      <c r="AY110" s="156">
        <f t="shared" si="89"/>
        <v>2100</v>
      </c>
      <c r="AZ110" s="156">
        <f t="shared" si="90"/>
        <v>57.5276736000001</v>
      </c>
      <c r="BA110" s="156">
        <f t="shared" si="81"/>
        <v>37.9084815360001</v>
      </c>
      <c r="BB110" s="156">
        <f t="shared" si="82"/>
        <v>78.3287447040002</v>
      </c>
      <c r="BE110" s="1" t="s">
        <v>86</v>
      </c>
      <c r="BF110" s="1">
        <v>2100</v>
      </c>
      <c r="BG110" s="1">
        <f t="shared" si="83"/>
        <v>40.2693715200001</v>
      </c>
      <c r="BH110" s="1">
        <f t="shared" si="84"/>
        <v>26.5359370752001</v>
      </c>
      <c r="BI110" s="1">
        <f t="shared" si="85"/>
        <v>54.8301212928001</v>
      </c>
      <c r="BL110" s="1" t="s">
        <v>87</v>
      </c>
      <c r="BM110" s="1">
        <v>2100</v>
      </c>
      <c r="BN110" s="1">
        <f t="shared" si="86"/>
        <v>17.25830208</v>
      </c>
      <c r="BO110" s="1">
        <f t="shared" si="87"/>
        <v>11.3725444608</v>
      </c>
      <c r="BP110" s="1">
        <f t="shared" si="88"/>
        <v>23.4986234112001</v>
      </c>
      <c r="BS110" s="150">
        <v>57.5276736000001</v>
      </c>
      <c r="BT110" s="150">
        <v>37.9084815360001</v>
      </c>
      <c r="BU110" s="150">
        <v>78.3287447040002</v>
      </c>
    </row>
    <row r="111" spans="50:73">
      <c r="AX111" s="156" t="s">
        <v>89</v>
      </c>
      <c r="AY111" s="156">
        <f t="shared" si="89"/>
        <v>2100</v>
      </c>
      <c r="AZ111" s="156">
        <f t="shared" si="90"/>
        <v>55.503063881143</v>
      </c>
      <c r="BA111" s="156">
        <f t="shared" si="81"/>
        <v>36.6121553554287</v>
      </c>
      <c r="BB111" s="156">
        <f t="shared" si="82"/>
        <v>75.521256521143</v>
      </c>
      <c r="BE111" s="1" t="s">
        <v>90</v>
      </c>
      <c r="BF111" s="1">
        <v>2100</v>
      </c>
      <c r="BG111" s="1">
        <f t="shared" si="83"/>
        <v>38.8521447168001</v>
      </c>
      <c r="BH111" s="1">
        <f t="shared" si="84"/>
        <v>25.6285087488001</v>
      </c>
      <c r="BI111" s="1">
        <f t="shared" si="85"/>
        <v>52.8648795648001</v>
      </c>
      <c r="BL111" s="1" t="s">
        <v>91</v>
      </c>
      <c r="BM111" s="1">
        <v>2100</v>
      </c>
      <c r="BN111" s="1">
        <f t="shared" si="86"/>
        <v>16.6509191643429</v>
      </c>
      <c r="BO111" s="1">
        <f t="shared" si="87"/>
        <v>10.9836466066286</v>
      </c>
      <c r="BP111" s="1">
        <f t="shared" si="88"/>
        <v>22.6563769563429</v>
      </c>
      <c r="BS111" s="150">
        <v>55.503063881143</v>
      </c>
      <c r="BT111" s="150">
        <v>36.6121553554287</v>
      </c>
      <c r="BU111" s="150">
        <v>75.521256521143</v>
      </c>
    </row>
    <row r="112" spans="50:73">
      <c r="AX112" s="156" t="s">
        <v>93</v>
      </c>
      <c r="AY112" s="156">
        <f t="shared" si="89"/>
        <v>2100</v>
      </c>
      <c r="AZ112" s="156">
        <f t="shared" si="90"/>
        <v>57.1827039085716</v>
      </c>
      <c r="BA112" s="156">
        <f t="shared" si="81"/>
        <v>38.3055111606858</v>
      </c>
      <c r="BB112" s="156">
        <f t="shared" si="82"/>
        <v>77.1828706450288</v>
      </c>
      <c r="BE112" s="1" t="s">
        <v>94</v>
      </c>
      <c r="BF112" s="1">
        <v>2100</v>
      </c>
      <c r="BG112" s="1">
        <f t="shared" si="83"/>
        <v>40.0278927360001</v>
      </c>
      <c r="BH112" s="1">
        <f t="shared" si="84"/>
        <v>26.8138578124801</v>
      </c>
      <c r="BI112" s="1">
        <f t="shared" si="85"/>
        <v>54.0280094515202</v>
      </c>
      <c r="BL112" s="1" t="s">
        <v>95</v>
      </c>
      <c r="BM112" s="1">
        <v>2100</v>
      </c>
      <c r="BN112" s="1">
        <f t="shared" si="86"/>
        <v>17.1548111725715</v>
      </c>
      <c r="BO112" s="1">
        <f t="shared" si="87"/>
        <v>11.4916533482057</v>
      </c>
      <c r="BP112" s="1">
        <f t="shared" si="88"/>
        <v>23.1548611935086</v>
      </c>
      <c r="BS112" s="150">
        <v>57.1827039085716</v>
      </c>
      <c r="BT112" s="150">
        <v>38.3055111606858</v>
      </c>
      <c r="BU112" s="150">
        <v>77.1828706450288</v>
      </c>
    </row>
    <row r="113" spans="49:73">
      <c r="AW113" s="149"/>
      <c r="AX113" s="162"/>
      <c r="AY113" s="156"/>
      <c r="AZ113" s="156"/>
      <c r="BA113" s="156"/>
      <c r="BB113" s="156"/>
      <c r="BE113" s="1" t="s">
        <v>97</v>
      </c>
      <c r="BF113" s="1">
        <v>2100</v>
      </c>
      <c r="BG113" s="1">
        <f t="shared" si="83"/>
        <v>72.4518297599999</v>
      </c>
      <c r="BH113" s="1">
        <f t="shared" si="84"/>
        <v>72.4518297599999</v>
      </c>
      <c r="BI113" s="1">
        <f t="shared" si="85"/>
        <v>72.4518297599999</v>
      </c>
      <c r="BL113" s="1" t="s">
        <v>98</v>
      </c>
      <c r="BM113" s="1">
        <v>2100</v>
      </c>
      <c r="BN113" s="1">
        <f t="shared" si="86"/>
        <v>31.0507841828571</v>
      </c>
      <c r="BO113" s="1">
        <f t="shared" si="87"/>
        <v>31.0507841828571</v>
      </c>
      <c r="BP113" s="1">
        <f t="shared" si="88"/>
        <v>31.0507841828571</v>
      </c>
      <c r="BS113" s="150">
        <v>103.502613942857</v>
      </c>
      <c r="BT113" s="150">
        <v>103.502613942857</v>
      </c>
      <c r="BU113" s="150">
        <v>103.502613942857</v>
      </c>
    </row>
    <row r="118" spans="49:73">
      <c r="AX118" t="s">
        <v>62</v>
      </c>
      <c r="AY118"/>
      <c r="AZ118" s="156"/>
      <c r="BE118" s="1" t="s">
        <v>63</v>
      </c>
      <c r="BL118" s="1" t="s">
        <v>62</v>
      </c>
    </row>
    <row r="119" spans="49:73">
      <c r="AX119" s="156" t="s">
        <v>65</v>
      </c>
      <c r="AY119" s="156" t="s">
        <v>41</v>
      </c>
      <c r="AZ119" s="160" t="s">
        <v>66</v>
      </c>
      <c r="BA119" s="160" t="s">
        <v>11</v>
      </c>
      <c r="BB119" s="160" t="s">
        <v>25</v>
      </c>
      <c r="BE119" s="1" t="s">
        <v>65</v>
      </c>
      <c r="BF119" s="1" t="s">
        <v>41</v>
      </c>
      <c r="BG119" s="1" t="s">
        <v>66</v>
      </c>
      <c r="BH119" s="1" t="s">
        <v>11</v>
      </c>
      <c r="BI119" s="1" t="s">
        <v>25</v>
      </c>
      <c r="BL119" s="1" t="s">
        <v>65</v>
      </c>
      <c r="BM119" s="1" t="s">
        <v>41</v>
      </c>
      <c r="BN119" s="1" t="s">
        <v>66</v>
      </c>
      <c r="BO119" s="1" t="s">
        <v>11</v>
      </c>
      <c r="BP119" s="1" t="s">
        <v>25</v>
      </c>
      <c r="BS119" s="150" t="s">
        <v>66</v>
      </c>
      <c r="BT119" s="150" t="s">
        <v>11</v>
      </c>
      <c r="BU119" s="150" t="s">
        <v>25</v>
      </c>
    </row>
    <row r="120" spans="49:73">
      <c r="AX120" s="156" t="s">
        <v>67</v>
      </c>
      <c r="AY120" s="156">
        <v>0</v>
      </c>
      <c r="AZ120" s="156">
        <v>3</v>
      </c>
      <c r="BA120" s="156">
        <v>3</v>
      </c>
      <c r="BB120" s="156">
        <v>3</v>
      </c>
      <c r="BE120" s="1" t="s">
        <v>68</v>
      </c>
      <c r="BF120" s="1">
        <v>0</v>
      </c>
      <c r="BG120" s="1">
        <v>3</v>
      </c>
      <c r="BH120" s="1">
        <v>3</v>
      </c>
      <c r="BI120" s="1">
        <v>3</v>
      </c>
      <c r="BL120" s="1" t="s">
        <v>69</v>
      </c>
      <c r="BM120" s="1">
        <v>0</v>
      </c>
      <c r="BN120" s="1">
        <v>3</v>
      </c>
      <c r="BO120" s="1">
        <v>3</v>
      </c>
      <c r="BP120" s="1">
        <v>3</v>
      </c>
      <c r="BS120" s="150">
        <v>3</v>
      </c>
      <c r="BT120" s="150">
        <v>3</v>
      </c>
      <c r="BU120" s="150">
        <v>3</v>
      </c>
    </row>
    <row r="121" spans="49:73">
      <c r="AX121" s="156" t="s">
        <v>72</v>
      </c>
      <c r="AY121" s="156">
        <f t="shared" ref="AY121:AY127" si="91">AY120</f>
        <v>0</v>
      </c>
      <c r="AZ121" s="156">
        <v>3</v>
      </c>
      <c r="BA121" s="156">
        <v>3</v>
      </c>
      <c r="BB121" s="156">
        <v>3</v>
      </c>
      <c r="BE121" s="1" t="s">
        <v>73</v>
      </c>
      <c r="BF121" s="1">
        <v>0</v>
      </c>
      <c r="BG121" s="1">
        <v>3</v>
      </c>
      <c r="BH121" s="1">
        <v>3</v>
      </c>
      <c r="BI121" s="1">
        <v>3</v>
      </c>
      <c r="BL121" s="1" t="s">
        <v>74</v>
      </c>
      <c r="BM121" s="1">
        <v>0</v>
      </c>
      <c r="BN121" s="1">
        <v>3</v>
      </c>
      <c r="BO121" s="1">
        <v>3</v>
      </c>
      <c r="BP121" s="1">
        <v>3</v>
      </c>
      <c r="BS121" s="150">
        <v>3</v>
      </c>
      <c r="BT121" s="150">
        <v>3</v>
      </c>
      <c r="BU121" s="150">
        <v>3</v>
      </c>
    </row>
    <row r="122" spans="49:73">
      <c r="AX122" s="156" t="s">
        <v>76</v>
      </c>
      <c r="AY122" s="156">
        <f t="shared" si="91"/>
        <v>0</v>
      </c>
      <c r="AZ122" s="156">
        <v>3</v>
      </c>
      <c r="BA122" s="156">
        <v>3</v>
      </c>
      <c r="BB122" s="156">
        <v>3</v>
      </c>
      <c r="BE122" s="1" t="s">
        <v>77</v>
      </c>
      <c r="BF122" s="1">
        <v>0</v>
      </c>
      <c r="BG122" s="1">
        <v>3</v>
      </c>
      <c r="BH122" s="1">
        <v>3</v>
      </c>
      <c r="BI122" s="1">
        <v>3</v>
      </c>
      <c r="BL122" s="1" t="s">
        <v>78</v>
      </c>
      <c r="BM122" s="1">
        <v>0</v>
      </c>
      <c r="BN122" s="1">
        <v>3</v>
      </c>
      <c r="BO122" s="1">
        <v>3</v>
      </c>
      <c r="BP122" s="1">
        <v>3</v>
      </c>
      <c r="BS122" s="150">
        <v>3</v>
      </c>
      <c r="BT122" s="150">
        <v>3</v>
      </c>
      <c r="BU122" s="150">
        <v>3</v>
      </c>
    </row>
    <row r="123" spans="49:73">
      <c r="AX123" s="156" t="s">
        <v>80</v>
      </c>
      <c r="AY123" s="156">
        <f t="shared" si="91"/>
        <v>0</v>
      </c>
      <c r="AZ123" s="156">
        <v>3</v>
      </c>
      <c r="BA123" s="156">
        <v>3</v>
      </c>
      <c r="BB123" s="156">
        <v>3</v>
      </c>
      <c r="BE123" s="1" t="s">
        <v>81</v>
      </c>
      <c r="BF123" s="1">
        <v>0</v>
      </c>
      <c r="BG123" s="1">
        <v>3</v>
      </c>
      <c r="BH123" s="1">
        <v>3</v>
      </c>
      <c r="BI123" s="1">
        <v>3</v>
      </c>
      <c r="BL123" s="1" t="s">
        <v>82</v>
      </c>
      <c r="BM123" s="1">
        <v>0</v>
      </c>
      <c r="BN123" s="1">
        <v>3</v>
      </c>
      <c r="BO123" s="1">
        <v>3</v>
      </c>
      <c r="BP123" s="1">
        <v>3</v>
      </c>
      <c r="BS123" s="150">
        <v>3</v>
      </c>
      <c r="BT123" s="150">
        <v>3</v>
      </c>
      <c r="BU123" s="150">
        <v>3</v>
      </c>
    </row>
    <row r="124" spans="49:73">
      <c r="AX124" s="156" t="s">
        <v>85</v>
      </c>
      <c r="AY124" s="156">
        <f t="shared" si="91"/>
        <v>0</v>
      </c>
      <c r="AZ124" s="156">
        <v>3</v>
      </c>
      <c r="BA124" s="156">
        <v>3</v>
      </c>
      <c r="BB124" s="156">
        <v>3</v>
      </c>
      <c r="BE124" s="1" t="s">
        <v>86</v>
      </c>
      <c r="BF124" s="1">
        <v>0</v>
      </c>
      <c r="BG124" s="1">
        <v>3</v>
      </c>
      <c r="BH124" s="1">
        <v>3</v>
      </c>
      <c r="BI124" s="1">
        <v>3</v>
      </c>
      <c r="BL124" s="1" t="s">
        <v>87</v>
      </c>
      <c r="BM124" s="1">
        <v>0</v>
      </c>
      <c r="BN124" s="1">
        <v>3</v>
      </c>
      <c r="BO124" s="1">
        <v>3</v>
      </c>
      <c r="BP124" s="1">
        <v>3</v>
      </c>
      <c r="BS124" s="150">
        <v>3</v>
      </c>
      <c r="BT124" s="150">
        <v>3</v>
      </c>
      <c r="BU124" s="150">
        <v>3</v>
      </c>
    </row>
    <row r="125" spans="49:73">
      <c r="AX125" s="156" t="s">
        <v>89</v>
      </c>
      <c r="AY125" s="156">
        <f t="shared" si="91"/>
        <v>0</v>
      </c>
      <c r="AZ125" s="156">
        <v>3</v>
      </c>
      <c r="BA125" s="156">
        <v>3</v>
      </c>
      <c r="BB125" s="156">
        <v>3</v>
      </c>
      <c r="BE125" s="1" t="s">
        <v>90</v>
      </c>
      <c r="BF125" s="1">
        <v>0</v>
      </c>
      <c r="BG125" s="1">
        <v>3</v>
      </c>
      <c r="BH125" s="1">
        <v>3</v>
      </c>
      <c r="BI125" s="1">
        <v>3</v>
      </c>
      <c r="BL125" s="1" t="s">
        <v>91</v>
      </c>
      <c r="BM125" s="1">
        <v>0</v>
      </c>
      <c r="BN125" s="1">
        <v>3</v>
      </c>
      <c r="BO125" s="1">
        <v>3</v>
      </c>
      <c r="BP125" s="1">
        <v>3</v>
      </c>
      <c r="BS125" s="150">
        <v>3</v>
      </c>
      <c r="BT125" s="150">
        <v>3</v>
      </c>
      <c r="BU125" s="150">
        <v>3</v>
      </c>
    </row>
    <row r="126" spans="49:73">
      <c r="AX126" s="156" t="s">
        <v>93</v>
      </c>
      <c r="AY126" s="156">
        <f t="shared" si="91"/>
        <v>0</v>
      </c>
      <c r="AZ126" s="156">
        <v>3</v>
      </c>
      <c r="BA126" s="156">
        <v>3</v>
      </c>
      <c r="BB126" s="156">
        <v>3</v>
      </c>
      <c r="BE126" s="1" t="s">
        <v>94</v>
      </c>
      <c r="BF126" s="1">
        <v>0</v>
      </c>
      <c r="BG126" s="1">
        <v>3</v>
      </c>
      <c r="BH126" s="1">
        <v>3</v>
      </c>
      <c r="BI126" s="1">
        <v>3</v>
      </c>
      <c r="BL126" s="1" t="s">
        <v>95</v>
      </c>
      <c r="BM126" s="1">
        <v>0</v>
      </c>
      <c r="BN126" s="1">
        <v>3</v>
      </c>
      <c r="BO126" s="1">
        <v>3</v>
      </c>
      <c r="BP126" s="1">
        <v>3</v>
      </c>
      <c r="BS126" s="150">
        <v>3</v>
      </c>
      <c r="BT126" s="150">
        <v>3</v>
      </c>
      <c r="BU126" s="150">
        <v>3</v>
      </c>
    </row>
    <row r="127" spans="49:73">
      <c r="AW127" s="149"/>
      <c r="AX127" s="162"/>
      <c r="AY127" s="156"/>
      <c r="AZ127" s="156"/>
      <c r="BA127" s="156"/>
      <c r="BB127" s="156"/>
      <c r="BE127" s="1" t="s">
        <v>97</v>
      </c>
      <c r="BF127" s="1">
        <v>0</v>
      </c>
      <c r="BG127" s="1">
        <v>3</v>
      </c>
      <c r="BH127" s="1">
        <v>3</v>
      </c>
      <c r="BI127" s="1">
        <v>3</v>
      </c>
      <c r="BL127" s="1" t="s">
        <v>98</v>
      </c>
      <c r="BM127" s="1">
        <v>0</v>
      </c>
      <c r="BN127" s="1">
        <v>3</v>
      </c>
      <c r="BO127" s="1">
        <v>3</v>
      </c>
      <c r="BP127" s="1">
        <v>3</v>
      </c>
      <c r="BS127" s="150">
        <v>3</v>
      </c>
      <c r="BT127" s="150">
        <v>3</v>
      </c>
      <c r="BU127" s="150">
        <v>3</v>
      </c>
    </row>
    <row r="140" spans="57:61">
      <c r="BE140" s="167" t="s">
        <v>62</v>
      </c>
      <c r="BF140" s="167"/>
      <c r="BG140" s="167"/>
      <c r="BH140" s="167"/>
      <c r="BI140" s="167"/>
    </row>
    <row r="141" spans="57:61">
      <c r="BE141" s="167"/>
      <c r="BF141" s="167"/>
      <c r="BG141" s="167"/>
      <c r="BH141" s="167"/>
      <c r="BI141" s="167"/>
    </row>
    <row r="142" spans="57:61">
      <c r="BE142" s="167"/>
      <c r="BF142" s="167"/>
      <c r="BG142" s="167"/>
      <c r="BH142" s="167"/>
      <c r="BI142" s="167"/>
    </row>
    <row r="143" spans="57:61">
      <c r="BE143" s="167"/>
      <c r="BF143" s="167"/>
      <c r="BG143" s="167"/>
      <c r="BH143" s="167"/>
      <c r="BI143" s="167"/>
    </row>
    <row r="144" spans="57:61">
      <c r="BE144" s="167" t="s">
        <v>65</v>
      </c>
      <c r="BF144" s="167" t="s">
        <v>41</v>
      </c>
      <c r="BG144" s="167" t="s">
        <v>66</v>
      </c>
      <c r="BH144" s="167" t="s">
        <v>11</v>
      </c>
      <c r="BI144" s="167" t="s">
        <v>25</v>
      </c>
    </row>
    <row r="145" spans="57:61">
      <c r="BE145" s="167" t="s">
        <v>68</v>
      </c>
      <c r="BF145" s="167">
        <v>2023</v>
      </c>
      <c r="BG145" s="167">
        <v>0.1</v>
      </c>
      <c r="BH145" s="167">
        <f>BG145</f>
        <v>0.1</v>
      </c>
      <c r="BI145" s="167">
        <f>BH145</f>
        <v>0.1</v>
      </c>
    </row>
    <row r="146" spans="57:61">
      <c r="BE146" s="167" t="s">
        <v>73</v>
      </c>
      <c r="BF146" s="167">
        <v>2023</v>
      </c>
      <c r="BG146" s="167">
        <v>0.1</v>
      </c>
      <c r="BH146" s="167">
        <f>BH145</f>
        <v>0.1</v>
      </c>
      <c r="BI146" s="167">
        <f>BI145</f>
        <v>0.1</v>
      </c>
    </row>
    <row r="147" spans="57:61">
      <c r="BE147" s="167" t="s">
        <v>77</v>
      </c>
      <c r="BF147" s="167">
        <v>2023</v>
      </c>
      <c r="BG147" s="167">
        <f t="shared" ref="BG147:BG152" si="92">BG146</f>
        <v>0.1</v>
      </c>
      <c r="BH147" s="167">
        <f t="shared" ref="BH147:BH152" si="93">BH146</f>
        <v>0.1</v>
      </c>
      <c r="BI147" s="167">
        <f t="shared" ref="BI147:BI152" si="94">BI146</f>
        <v>0.1</v>
      </c>
    </row>
    <row r="148" spans="57:61">
      <c r="BE148" s="167" t="s">
        <v>81</v>
      </c>
      <c r="BF148" s="167">
        <v>2023</v>
      </c>
      <c r="BG148" s="167">
        <f t="shared" si="92"/>
        <v>0.1</v>
      </c>
      <c r="BH148" s="167">
        <f t="shared" si="93"/>
        <v>0.1</v>
      </c>
      <c r="BI148" s="167">
        <f t="shared" si="94"/>
        <v>0.1</v>
      </c>
    </row>
    <row r="149" spans="57:61">
      <c r="BE149" s="167" t="s">
        <v>86</v>
      </c>
      <c r="BF149" s="167">
        <v>2023</v>
      </c>
      <c r="BG149" s="167">
        <f t="shared" si="92"/>
        <v>0.1</v>
      </c>
      <c r="BH149" s="167">
        <f t="shared" si="93"/>
        <v>0.1</v>
      </c>
      <c r="BI149" s="167">
        <f t="shared" si="94"/>
        <v>0.1</v>
      </c>
    </row>
    <row r="150" spans="57:61">
      <c r="BE150" s="167" t="s">
        <v>90</v>
      </c>
      <c r="BF150" s="167">
        <v>2023</v>
      </c>
      <c r="BG150" s="167">
        <f t="shared" si="92"/>
        <v>0.1</v>
      </c>
      <c r="BH150" s="167">
        <f t="shared" si="93"/>
        <v>0.1</v>
      </c>
      <c r="BI150" s="167">
        <f t="shared" si="94"/>
        <v>0.1</v>
      </c>
    </row>
    <row r="151" spans="57:61">
      <c r="BE151" s="167" t="s">
        <v>94</v>
      </c>
      <c r="BF151" s="167">
        <v>2023</v>
      </c>
      <c r="BG151" s="167">
        <f t="shared" si="92"/>
        <v>0.1</v>
      </c>
      <c r="BH151" s="167">
        <f t="shared" si="93"/>
        <v>0.1</v>
      </c>
      <c r="BI151" s="167">
        <f t="shared" si="94"/>
        <v>0.1</v>
      </c>
    </row>
    <row r="152" spans="57:61">
      <c r="BE152" s="167" t="s">
        <v>97</v>
      </c>
      <c r="BF152" s="167">
        <v>2023</v>
      </c>
      <c r="BG152" s="167">
        <f t="shared" si="92"/>
        <v>0.1</v>
      </c>
      <c r="BH152" s="167">
        <f t="shared" si="93"/>
        <v>0.1</v>
      </c>
      <c r="BI152" s="167">
        <f t="shared" si="94"/>
        <v>0.1</v>
      </c>
    </row>
    <row r="153" spans="57:61">
      <c r="BE153" s="167"/>
      <c r="BF153" s="167"/>
      <c r="BG153" s="167"/>
      <c r="BH153" s="167"/>
      <c r="BI153" s="167"/>
    </row>
    <row r="154" spans="57:61">
      <c r="BE154" s="167"/>
      <c r="BF154" s="167"/>
      <c r="BG154" s="167"/>
      <c r="BH154" s="167"/>
      <c r="BI154" s="167"/>
    </row>
    <row r="155" spans="57:61">
      <c r="BE155" s="167"/>
      <c r="BF155" s="167"/>
      <c r="BG155" s="167"/>
      <c r="BH155" s="167"/>
      <c r="BI155" s="167"/>
    </row>
    <row r="156" spans="57:61">
      <c r="BE156" s="167"/>
      <c r="BF156" s="167"/>
      <c r="BG156" s="167"/>
      <c r="BH156" s="167"/>
      <c r="BI156" s="167"/>
    </row>
    <row r="157" spans="57:61">
      <c r="BE157" s="167"/>
      <c r="BF157" s="167"/>
      <c r="BG157" s="167"/>
      <c r="BH157" s="167"/>
      <c r="BI157" s="167"/>
    </row>
    <row r="158" spans="57:61">
      <c r="BE158" s="167"/>
      <c r="BF158" s="167"/>
      <c r="BG158" s="167"/>
      <c r="BH158" s="167"/>
      <c r="BI158" s="167"/>
    </row>
    <row r="159" spans="57:61">
      <c r="BE159" s="167"/>
      <c r="BF159" s="167"/>
      <c r="BG159" s="167"/>
      <c r="BH159" s="167"/>
      <c r="BI159" s="167"/>
    </row>
    <row r="160" spans="57:61">
      <c r="BE160" s="167"/>
      <c r="BF160" s="167"/>
      <c r="BG160" s="167"/>
      <c r="BH160" s="167"/>
      <c r="BI160" s="167"/>
    </row>
    <row r="161" spans="57:61">
      <c r="BE161" s="167"/>
      <c r="BF161" s="167"/>
      <c r="BG161" s="167"/>
      <c r="BH161" s="167"/>
      <c r="BI161" s="167"/>
    </row>
    <row r="162" spans="57:61">
      <c r="BE162" s="167"/>
      <c r="BF162" s="167"/>
      <c r="BG162" s="167"/>
      <c r="BH162" s="167"/>
      <c r="BI162" s="167"/>
    </row>
    <row r="163" spans="57:61">
      <c r="BE163" s="167"/>
      <c r="BF163" s="167"/>
      <c r="BG163" s="167"/>
      <c r="BH163" s="167"/>
      <c r="BI163" s="167"/>
    </row>
    <row r="164" spans="57:61">
      <c r="BE164" s="167"/>
      <c r="BF164" s="167"/>
      <c r="BG164" s="167"/>
      <c r="BH164" s="167"/>
      <c r="BI164" s="167"/>
    </row>
    <row r="165" spans="57:61">
      <c r="BE165" s="167"/>
      <c r="BF165" s="167"/>
      <c r="BG165" s="167"/>
      <c r="BH165" s="167"/>
      <c r="BI165" s="167"/>
    </row>
    <row r="166" spans="57:61">
      <c r="BE166" s="167"/>
      <c r="BF166" s="167"/>
      <c r="BG166" s="167"/>
      <c r="BH166" s="167"/>
      <c r="BI166" s="167"/>
    </row>
    <row r="167" spans="57:61">
      <c r="BE167" s="167"/>
      <c r="BF167" s="167"/>
      <c r="BG167" s="167"/>
      <c r="BH167" s="167"/>
      <c r="BI167" s="167"/>
    </row>
    <row r="168" spans="57:61">
      <c r="BE168" s="167"/>
      <c r="BF168" s="167"/>
      <c r="BG168" s="167"/>
      <c r="BH168" s="167"/>
      <c r="BI168" s="167"/>
    </row>
    <row r="169" spans="57:61">
      <c r="BE169" s="167"/>
      <c r="BF169" s="167"/>
      <c r="BG169" s="167"/>
      <c r="BH169" s="167"/>
      <c r="BI169" s="167"/>
    </row>
    <row r="170" spans="57:61">
      <c r="BE170" s="167" t="s">
        <v>62</v>
      </c>
      <c r="BF170" s="167"/>
      <c r="BG170" s="167"/>
      <c r="BH170" s="167"/>
      <c r="BI170" s="167"/>
    </row>
    <row r="171" spans="57:61">
      <c r="BE171" s="167"/>
      <c r="BF171" s="167"/>
      <c r="BG171" s="167"/>
      <c r="BH171" s="167"/>
      <c r="BI171" s="167"/>
    </row>
    <row r="172" spans="57:61">
      <c r="BE172" s="167"/>
      <c r="BF172" s="167"/>
      <c r="BG172" s="167"/>
      <c r="BH172" s="167"/>
      <c r="BI172" s="167"/>
    </row>
    <row r="173" spans="57:61">
      <c r="BE173" s="167"/>
      <c r="BF173" s="167"/>
      <c r="BG173" s="167"/>
      <c r="BH173" s="167"/>
      <c r="BI173" s="167"/>
    </row>
    <row r="174" spans="57:61">
      <c r="BE174" s="167"/>
      <c r="BF174" s="167"/>
      <c r="BG174" s="167"/>
      <c r="BH174" s="167"/>
      <c r="BI174" s="167"/>
    </row>
    <row r="175" spans="57:61">
      <c r="BE175" s="167"/>
      <c r="BF175" s="167"/>
      <c r="BG175" s="167"/>
      <c r="BH175" s="167"/>
      <c r="BI175" s="167"/>
    </row>
    <row r="176" spans="57:61">
      <c r="BE176" s="167"/>
      <c r="BF176" s="167"/>
      <c r="BG176" s="167"/>
      <c r="BH176" s="167"/>
      <c r="BI176" s="167"/>
    </row>
    <row r="177" spans="57:61">
      <c r="BE177" s="167" t="s">
        <v>65</v>
      </c>
      <c r="BF177" s="167" t="s">
        <v>41</v>
      </c>
      <c r="BG177" s="167" t="s">
        <v>66</v>
      </c>
      <c r="BH177" s="167" t="s">
        <v>11</v>
      </c>
      <c r="BI177" s="167" t="s">
        <v>25</v>
      </c>
    </row>
    <row r="178" spans="57:61">
      <c r="BE178" s="167" t="s">
        <v>68</v>
      </c>
      <c r="BF178" s="167">
        <v>0</v>
      </c>
      <c r="BG178" s="167">
        <v>3</v>
      </c>
      <c r="BH178" s="167">
        <v>3</v>
      </c>
      <c r="BI178" s="167">
        <v>3</v>
      </c>
    </row>
    <row r="179" spans="57:61">
      <c r="BE179" s="167" t="s">
        <v>73</v>
      </c>
      <c r="BF179" s="167">
        <v>0</v>
      </c>
      <c r="BG179" s="167">
        <v>3</v>
      </c>
      <c r="BH179" s="167">
        <v>3</v>
      </c>
      <c r="BI179" s="167">
        <v>3</v>
      </c>
    </row>
    <row r="180" spans="57:61">
      <c r="BE180" s="167" t="s">
        <v>77</v>
      </c>
      <c r="BF180" s="167">
        <v>0</v>
      </c>
      <c r="BG180" s="167">
        <v>3</v>
      </c>
      <c r="BH180" s="167">
        <v>3</v>
      </c>
      <c r="BI180" s="167">
        <v>3</v>
      </c>
    </row>
    <row r="181" spans="57:61">
      <c r="BE181" s="167" t="s">
        <v>81</v>
      </c>
      <c r="BF181" s="167">
        <v>0</v>
      </c>
      <c r="BG181" s="167">
        <v>3</v>
      </c>
      <c r="BH181" s="167">
        <v>3</v>
      </c>
      <c r="BI181" s="167">
        <v>3</v>
      </c>
    </row>
    <row r="182" spans="57:61">
      <c r="BE182" s="167" t="s">
        <v>86</v>
      </c>
      <c r="BF182" s="167">
        <v>0</v>
      </c>
      <c r="BG182" s="167">
        <v>3</v>
      </c>
      <c r="BH182" s="167">
        <v>3</v>
      </c>
      <c r="BI182" s="167">
        <v>3</v>
      </c>
    </row>
    <row r="183" spans="57:61">
      <c r="BE183" s="167" t="s">
        <v>90</v>
      </c>
      <c r="BF183" s="167">
        <v>0</v>
      </c>
      <c r="BG183" s="167">
        <v>3</v>
      </c>
      <c r="BH183" s="167">
        <v>3</v>
      </c>
      <c r="BI183" s="167">
        <v>3</v>
      </c>
    </row>
    <row r="184" spans="57:61">
      <c r="BE184" s="167" t="s">
        <v>94</v>
      </c>
      <c r="BF184" s="167">
        <v>0</v>
      </c>
      <c r="BG184" s="167">
        <v>3</v>
      </c>
      <c r="BH184" s="167">
        <v>3</v>
      </c>
      <c r="BI184" s="167">
        <v>3</v>
      </c>
    </row>
    <row r="185" spans="57:61">
      <c r="BE185" s="167" t="s">
        <v>97</v>
      </c>
      <c r="BF185" s="167">
        <v>0</v>
      </c>
      <c r="BG185" s="167">
        <v>3</v>
      </c>
      <c r="BH185" s="167">
        <v>3</v>
      </c>
      <c r="BI185" s="167">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82" zoomScaleNormal="82" topLeftCell="E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102</v>
      </c>
      <c r="C2" s="85"/>
      <c r="D2" s="85"/>
      <c r="E2" s="85"/>
      <c r="K2" t="s">
        <v>103</v>
      </c>
      <c r="P2" s="86" t="s">
        <v>104</v>
      </c>
      <c r="Q2" s="86"/>
      <c r="R2" s="86"/>
      <c r="S2" s="86"/>
    </row>
    <row r="3" spans="2:19">
      <c r="B3" s="87" t="s">
        <v>105</v>
      </c>
      <c r="C3" s="87" t="s">
        <v>106</v>
      </c>
      <c r="D3" s="87" t="s">
        <v>107</v>
      </c>
      <c r="E3" s="87" t="s">
        <v>66</v>
      </c>
      <c r="K3" t="s">
        <v>65</v>
      </c>
      <c r="L3" t="s">
        <v>108</v>
      </c>
      <c r="M3" t="s">
        <v>109</v>
      </c>
      <c r="P3" s="86" t="s">
        <v>110</v>
      </c>
      <c r="Q3" s="86" t="s">
        <v>111</v>
      </c>
      <c r="R3" s="86" t="s">
        <v>112</v>
      </c>
      <c r="S3" s="86" t="s">
        <v>108</v>
      </c>
    </row>
    <row r="4" spans="2:19">
      <c r="B4" s="85" t="s">
        <v>113</v>
      </c>
      <c r="C4" s="85" t="s">
        <v>114</v>
      </c>
      <c r="D4" s="85" t="s">
        <v>115</v>
      </c>
      <c r="E4" s="85" t="s">
        <v>116</v>
      </c>
      <c r="K4" t="s">
        <v>117</v>
      </c>
      <c r="L4" t="s">
        <v>118</v>
      </c>
      <c r="M4" t="s">
        <v>119</v>
      </c>
      <c r="P4" s="86" t="s">
        <v>120</v>
      </c>
      <c r="Q4" s="86" t="s">
        <v>121</v>
      </c>
      <c r="R4" s="86" t="s">
        <v>122</v>
      </c>
      <c r="S4" s="86" t="s">
        <v>123</v>
      </c>
    </row>
    <row r="5" spans="2:19">
      <c r="B5" s="85" t="s">
        <v>113</v>
      </c>
      <c r="C5" s="85" t="s">
        <v>124</v>
      </c>
      <c r="D5" s="85" t="s">
        <v>115</v>
      </c>
      <c r="E5" s="85"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9">
        <v>15</v>
      </c>
      <c r="K12" t="s">
        <v>143</v>
      </c>
    </row>
    <row r="13" spans="2:19">
      <c r="B13" t="s">
        <v>144</v>
      </c>
      <c r="C13" t="s">
        <v>115</v>
      </c>
      <c r="E13" s="169" t="s">
        <v>145</v>
      </c>
      <c r="F13">
        <v>2019</v>
      </c>
      <c r="K13" t="s">
        <v>133</v>
      </c>
      <c r="L13" t="s">
        <v>50</v>
      </c>
      <c r="M13" t="s">
        <v>146</v>
      </c>
      <c r="N13" t="s">
        <v>147</v>
      </c>
    </row>
    <row r="14" spans="2:19">
      <c r="K14" t="s">
        <v>148</v>
      </c>
      <c r="L14" t="s">
        <v>149</v>
      </c>
      <c r="M14" t="s">
        <v>150</v>
      </c>
      <c r="N14" t="s">
        <v>115</v>
      </c>
    </row>
    <row r="15" spans="2:19">
      <c r="B15" s="30" t="s">
        <v>151</v>
      </c>
      <c r="C15" s="30"/>
      <c r="D15" s="30" t="s">
        <v>152</v>
      </c>
      <c r="E15" s="30" t="s">
        <v>153</v>
      </c>
      <c r="F15" s="30">
        <v>0.93</v>
      </c>
      <c r="G15" s="30"/>
      <c r="H15" s="30"/>
      <c r="K15" t="s">
        <v>148</v>
      </c>
      <c r="L15" t="s">
        <v>154</v>
      </c>
      <c r="M15" t="s">
        <v>150</v>
      </c>
      <c r="N15" t="s">
        <v>132</v>
      </c>
    </row>
    <row r="16" spans="2:19">
      <c r="B16" s="88" t="s">
        <v>155</v>
      </c>
    </row>
    <row r="18" spans="2:50">
      <c r="B18" t="s">
        <v>110</v>
      </c>
      <c r="C18">
        <v>2019</v>
      </c>
      <c r="D18">
        <v>0</v>
      </c>
      <c r="E18" t="s">
        <v>156</v>
      </c>
      <c r="F18" t="s">
        <v>109</v>
      </c>
      <c r="G18" t="s">
        <v>157</v>
      </c>
    </row>
    <row r="19" spans="2:50">
      <c r="B19" s="169" t="s">
        <v>145</v>
      </c>
      <c r="C19">
        <v>0.2</v>
      </c>
      <c r="D19">
        <v>3</v>
      </c>
      <c r="E19" s="169"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160</v>
      </c>
    </row>
    <row r="24" spans="2:50">
      <c r="C24" t="s">
        <v>114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161</v>
      </c>
    </row>
    <row r="25" spans="2:50">
      <c r="C25" t="s">
        <v>114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162</v>
      </c>
    </row>
    <row r="26" spans="2:50">
      <c r="C26" t="s">
        <v>114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163</v>
      </c>
    </row>
    <row r="27" spans="2:50">
      <c r="C27" t="s">
        <v>114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164</v>
      </c>
    </row>
    <row r="28" spans="2:50">
      <c r="C28" t="s">
        <v>114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9" customFormat="1" spans="2:53">
      <c r="C36" s="79" t="s">
        <v>124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90"/>
    </row>
    <row r="48" spans="2:53">
      <c r="B48" t="s">
        <v>166</v>
      </c>
    </row>
    <row r="49" spans="1:106">
      <c r="B49" t="s">
        <v>133</v>
      </c>
      <c r="C49" t="s">
        <v>50</v>
      </c>
      <c r="D49" t="s">
        <v>110</v>
      </c>
      <c r="E49" t="s">
        <v>111</v>
      </c>
      <c r="I49" t="s">
        <v>173</v>
      </c>
    </row>
    <row r="50" spans="1:106">
      <c r="B50" t="s">
        <v>124</v>
      </c>
      <c r="C50" t="s">
        <v>174</v>
      </c>
      <c r="D50" t="s">
        <v>121</v>
      </c>
      <c r="E50" t="s">
        <v>175</v>
      </c>
    </row>
    <row r="53" spans="1:106">
      <c r="B53" t="s">
        <v>131</v>
      </c>
    </row>
    <row r="54" spans="1:106">
      <c r="B54" t="s">
        <v>133</v>
      </c>
      <c r="C54" t="s">
        <v>50</v>
      </c>
      <c r="D54" t="s">
        <v>176</v>
      </c>
      <c r="E54" t="s">
        <v>156</v>
      </c>
      <c r="F54" t="s">
        <v>112</v>
      </c>
      <c r="G54" t="s">
        <v>177</v>
      </c>
      <c r="H54" t="s">
        <v>111</v>
      </c>
      <c r="I54" t="s">
        <v>147</v>
      </c>
    </row>
    <row r="55" spans="1:106">
      <c r="B55" t="s">
        <v>148</v>
      </c>
      <c r="C55">
        <v>10</v>
      </c>
      <c r="D55" t="s">
        <v>178</v>
      </c>
      <c r="E55" s="169" t="s">
        <v>179</v>
      </c>
      <c r="I55" s="169" t="s">
        <v>180</v>
      </c>
    </row>
    <row r="56" spans="1:106">
      <c r="B56" t="s">
        <v>181</v>
      </c>
      <c r="C56">
        <v>1</v>
      </c>
      <c r="F56" t="s">
        <v>182</v>
      </c>
      <c r="G56" t="s">
        <v>120</v>
      </c>
      <c r="H56" t="str">
        <f>F56</f>
        <v>AuxStoIN</v>
      </c>
      <c r="I56" t="s">
        <v>183</v>
      </c>
    </row>
    <row r="62" spans="1:106">
      <c r="H62" s="2"/>
    </row>
    <row r="63" spans="1:106">
      <c r="H63" s="2"/>
      <c r="BA63" s="81"/>
      <c r="CW63" s="14"/>
      <c r="CX63" s="91" t="s">
        <v>131</v>
      </c>
      <c r="CY63" s="14"/>
      <c r="CZ63" s="14"/>
      <c r="DA63" s="14"/>
      <c r="DB63" s="14"/>
    </row>
    <row r="64" spans="1:106">
      <c r="A64" t="s">
        <v>184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133</v>
      </c>
      <c r="C66" s="84" t="s">
        <v>137</v>
      </c>
      <c r="D66" s="84" t="s">
        <v>65</v>
      </c>
      <c r="E66" s="84" t="s">
        <v>112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185</v>
      </c>
      <c r="CQ66" s="95"/>
      <c r="CR66" s="95"/>
      <c r="CT66" s="95"/>
      <c r="CU66" s="95"/>
      <c r="CW66" s="14" t="s">
        <v>133</v>
      </c>
      <c r="CX66" s="14" t="s">
        <v>137</v>
      </c>
      <c r="CY66" s="14" t="s">
        <v>65</v>
      </c>
      <c r="CZ66" s="14" t="s">
        <v>112</v>
      </c>
      <c r="DA66" s="96" t="s">
        <v>41</v>
      </c>
      <c r="DB66" s="96" t="s">
        <v>66</v>
      </c>
    </row>
    <row r="67" s="81" customFormat="1" ht="14.5" spans="1:106">
      <c r="A67" s="81" t="s">
        <v>186</v>
      </c>
      <c r="B67" s="97" t="s">
        <v>187</v>
      </c>
      <c r="C67" s="84" t="s">
        <v>188</v>
      </c>
      <c r="D67" s="98" t="s">
        <v>189</v>
      </c>
      <c r="E67" s="92" t="s">
        <v>190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187</v>
      </c>
      <c r="CX67" s="14" t="s">
        <v>188</v>
      </c>
      <c r="CY67" s="94" t="str">
        <f>D67</f>
        <v>MINBatMaterials_LI</v>
      </c>
      <c r="CZ67" s="94" t="s">
        <v>190</v>
      </c>
      <c r="DA67" s="96">
        <v>0</v>
      </c>
      <c r="DB67" s="96">
        <v>1</v>
      </c>
    </row>
    <row r="68" s="81" customFormat="1" ht="16" spans="1:106">
      <c r="A68" s="81" t="s">
        <v>186</v>
      </c>
      <c r="B68" s="97" t="s">
        <v>187</v>
      </c>
      <c r="C68" s="84" t="s">
        <v>188</v>
      </c>
      <c r="D68" s="17" t="s">
        <v>191</v>
      </c>
      <c r="E68" s="92" t="s">
        <v>192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187</v>
      </c>
      <c r="CX68" s="14" t="s">
        <v>188</v>
      </c>
      <c r="CY68" s="94" t="str">
        <f t="shared" ref="CY68:CY73" si="7">D68</f>
        <v>MINBatMaterials_NI</v>
      </c>
      <c r="CZ68" s="94" t="s">
        <v>192</v>
      </c>
      <c r="DA68" s="96">
        <v>0</v>
      </c>
      <c r="DB68" s="96">
        <v>1</v>
      </c>
    </row>
    <row r="69" s="82" customFormat="1" ht="16" spans="1:106">
      <c r="A69" s="81" t="s">
        <v>186</v>
      </c>
      <c r="B69" s="100" t="s">
        <v>187</v>
      </c>
      <c r="C69" s="82" t="s">
        <v>188</v>
      </c>
      <c r="D69" s="17" t="s">
        <v>193</v>
      </c>
      <c r="E69" s="101" t="s">
        <v>194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187</v>
      </c>
      <c r="CX69" s="14" t="s">
        <v>188</v>
      </c>
      <c r="CY69" s="104" t="s">
        <v>195</v>
      </c>
      <c r="CZ69" s="94" t="s">
        <v>194</v>
      </c>
      <c r="DA69" s="96">
        <v>0</v>
      </c>
      <c r="DB69" s="96">
        <v>1</v>
      </c>
    </row>
    <row r="70" s="81" customFormat="1" ht="16" spans="1:106">
      <c r="A70" s="81" t="s">
        <v>186</v>
      </c>
      <c r="B70" s="97" t="s">
        <v>187</v>
      </c>
      <c r="C70" s="84" t="s">
        <v>188</v>
      </c>
      <c r="D70" s="17" t="s">
        <v>196</v>
      </c>
      <c r="E70" s="105" t="s">
        <v>197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187</v>
      </c>
      <c r="CX70" s="14" t="s">
        <v>188</v>
      </c>
      <c r="CY70" s="94" t="str">
        <f t="shared" si="7"/>
        <v>MINBatMaterials_MN</v>
      </c>
      <c r="CZ70" s="108" t="s">
        <v>197</v>
      </c>
      <c r="DA70" s="96">
        <v>0</v>
      </c>
      <c r="DB70" s="96">
        <v>1</v>
      </c>
    </row>
    <row r="71" s="83" customFormat="1" ht="16" spans="1:106">
      <c r="A71" s="83" t="s">
        <v>186</v>
      </c>
      <c r="B71" s="109" t="s">
        <v>187</v>
      </c>
      <c r="C71" s="83" t="s">
        <v>188</v>
      </c>
      <c r="D71" s="110" t="s">
        <v>198</v>
      </c>
      <c r="E71" s="111" t="s">
        <v>199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187</v>
      </c>
      <c r="CX71" s="14" t="s">
        <v>188</v>
      </c>
      <c r="CY71" s="94" t="str">
        <f t="shared" si="7"/>
        <v>MINBatMaterials_AL</v>
      </c>
      <c r="CZ71" s="94" t="s">
        <v>199</v>
      </c>
      <c r="DA71" s="96">
        <v>0</v>
      </c>
      <c r="DB71" s="96">
        <v>1</v>
      </c>
    </row>
    <row r="72" s="81" customFormat="1" ht="16" spans="1:106">
      <c r="A72" s="81" t="s">
        <v>186</v>
      </c>
      <c r="B72" s="97" t="s">
        <v>187</v>
      </c>
      <c r="C72" s="84" t="s">
        <v>188</v>
      </c>
      <c r="D72" s="17" t="s">
        <v>200</v>
      </c>
      <c r="E72" s="92" t="s">
        <v>201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187</v>
      </c>
      <c r="CX72" s="14" t="s">
        <v>188</v>
      </c>
      <c r="CY72" s="94" t="str">
        <f t="shared" si="7"/>
        <v>MINBatMaterials_COP</v>
      </c>
      <c r="CZ72" s="94" t="s">
        <v>201</v>
      </c>
      <c r="DA72" s="96">
        <v>0</v>
      </c>
      <c r="DB72" s="96">
        <v>1</v>
      </c>
    </row>
    <row r="73" s="80" customFormat="1" ht="16" spans="1:106">
      <c r="A73" s="81" t="s">
        <v>186</v>
      </c>
      <c r="B73" s="97" t="s">
        <v>187</v>
      </c>
      <c r="C73" s="84" t="s">
        <v>188</v>
      </c>
      <c r="D73" s="17" t="s">
        <v>202</v>
      </c>
      <c r="E73" s="92" t="s">
        <v>203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187</v>
      </c>
      <c r="CX73" s="14" t="s">
        <v>188</v>
      </c>
      <c r="CY73" s="94" t="str">
        <f t="shared" si="7"/>
        <v>MINBatMaterials_GR</v>
      </c>
      <c r="CZ73" s="94" t="s">
        <v>203</v>
      </c>
      <c r="DA73" s="96">
        <v>0</v>
      </c>
      <c r="DB73" s="96">
        <v>1</v>
      </c>
    </row>
    <row r="74" s="2" customFormat="1"/>
    <row r="75" s="2" customFormat="1" spans="1:106">
      <c r="E75" s="2" t="s">
        <v>204</v>
      </c>
    </row>
    <row r="76" s="2" customFormat="1"/>
    <row r="77" s="2" customFormat="1" spans="1:106">
      <c r="B77" t="s">
        <v>205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131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206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133</v>
      </c>
      <c r="C87" s="14" t="s">
        <v>137</v>
      </c>
      <c r="D87" s="14" t="s">
        <v>65</v>
      </c>
      <c r="E87" s="14" t="s">
        <v>112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185</v>
      </c>
      <c r="AW87" s="115" t="s">
        <v>1</v>
      </c>
      <c r="AX87" s="116" t="s">
        <v>207</v>
      </c>
      <c r="AY87" s="116" t="s">
        <v>208</v>
      </c>
      <c r="AZ87" s="116" t="s">
        <v>209</v>
      </c>
      <c r="BA87" s="116" t="s">
        <v>210</v>
      </c>
      <c r="BB87" s="116" t="s">
        <v>211</v>
      </c>
      <c r="BC87" s="116" t="s">
        <v>212</v>
      </c>
      <c r="BD87" s="116" t="s">
        <v>213</v>
      </c>
      <c r="BH87" s="117" t="s">
        <v>1</v>
      </c>
      <c r="BI87" s="118" t="s">
        <v>214</v>
      </c>
      <c r="BJ87" s="118" t="s">
        <v>215</v>
      </c>
      <c r="BK87" s="118" t="s">
        <v>216</v>
      </c>
      <c r="BL87" s="118" t="s">
        <v>217</v>
      </c>
      <c r="BM87" s="118" t="s">
        <v>218</v>
      </c>
      <c r="BN87" s="118" t="s">
        <v>219</v>
      </c>
      <c r="BO87" s="118" t="s">
        <v>220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221</v>
      </c>
    </row>
    <row r="88" spans="1:104">
      <c r="A88" s="14">
        <v>2019</v>
      </c>
      <c r="B88" s="14" t="s">
        <v>187</v>
      </c>
      <c r="C88" s="14" t="s">
        <v>188</v>
      </c>
      <c r="D88" s="14" t="s">
        <v>189</v>
      </c>
      <c r="E88" s="14" t="s">
        <v>190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190</v>
      </c>
      <c r="AW88" s="120" t="s">
        <v>222</v>
      </c>
      <c r="AX88" s="121" t="s">
        <v>223</v>
      </c>
      <c r="AY88" s="121" t="s">
        <v>223</v>
      </c>
      <c r="AZ88" s="121" t="s">
        <v>223</v>
      </c>
      <c r="BA88" s="121" t="s">
        <v>223</v>
      </c>
      <c r="BB88" s="121" t="s">
        <v>223</v>
      </c>
      <c r="BC88" s="121" t="s">
        <v>223</v>
      </c>
      <c r="BD88" s="121" t="s">
        <v>223</v>
      </c>
      <c r="BH88" s="119" t="s">
        <v>3</v>
      </c>
      <c r="BI88" s="122">
        <v>0</v>
      </c>
      <c r="BJ88" s="122">
        <v>0</v>
      </c>
      <c r="BK88" s="122">
        <v>0</v>
      </c>
      <c r="BL88" s="122">
        <v>0</v>
      </c>
      <c r="BM88" s="123">
        <f>Attached_sourcedAlumina_and!P12</f>
        <v>0</v>
      </c>
      <c r="BN88" s="122">
        <v>0</v>
      </c>
      <c r="BO88" s="122">
        <v>0</v>
      </c>
      <c r="BQ88" s="118" t="s">
        <v>214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187</v>
      </c>
      <c r="C89" s="14" t="s">
        <v>188</v>
      </c>
      <c r="D89" s="14" t="s">
        <v>191</v>
      </c>
      <c r="E89" s="14" t="s">
        <v>192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192</v>
      </c>
      <c r="AW89" s="120" t="s">
        <v>224</v>
      </c>
      <c r="AX89" s="126">
        <v>24.7</v>
      </c>
      <c r="AY89" s="126">
        <v>223</v>
      </c>
      <c r="AZ89" s="121" t="s">
        <v>223</v>
      </c>
      <c r="BA89" s="127">
        <v>5780</v>
      </c>
      <c r="BB89" s="127">
        <v>3980</v>
      </c>
      <c r="BC89" s="121" t="s">
        <v>223</v>
      </c>
      <c r="BD89" s="126">
        <v>189</v>
      </c>
      <c r="BH89" s="119" t="s">
        <v>5</v>
      </c>
      <c r="BI89" s="122">
        <v>24.7</v>
      </c>
      <c r="BJ89" s="122">
        <v>0</v>
      </c>
      <c r="BK89" s="122">
        <v>222.6</v>
      </c>
      <c r="BL89" s="128">
        <v>5780</v>
      </c>
      <c r="BM89" s="123">
        <f>Attached_sourcedAlumina_and!P13</f>
        <v>159</v>
      </c>
      <c r="BN89" s="128">
        <v>3980</v>
      </c>
      <c r="BO89" s="122">
        <v>189</v>
      </c>
      <c r="BQ89" s="118" t="s">
        <v>215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187</v>
      </c>
      <c r="C90" s="14" t="s">
        <v>188</v>
      </c>
      <c r="D90" s="104" t="s">
        <v>195</v>
      </c>
      <c r="E90" s="14" t="s">
        <v>194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194</v>
      </c>
      <c r="AW90" s="120" t="s">
        <v>225</v>
      </c>
      <c r="AX90" s="126">
        <v>88</v>
      </c>
      <c r="AY90" s="126">
        <v>3.6</v>
      </c>
      <c r="AZ90" s="126">
        <v>110</v>
      </c>
      <c r="BA90" s="127">
        <v>2800</v>
      </c>
      <c r="BB90" s="126">
        <v>800</v>
      </c>
      <c r="BC90" s="127">
        <v>1500</v>
      </c>
      <c r="BD90" s="121" t="s">
        <v>223</v>
      </c>
      <c r="BH90" s="119" t="s">
        <v>6</v>
      </c>
      <c r="BI90" s="122">
        <v>88</v>
      </c>
      <c r="BJ90" s="122">
        <v>110</v>
      </c>
      <c r="BK90" s="122">
        <v>3.6</v>
      </c>
      <c r="BL90" s="128">
        <v>2800</v>
      </c>
      <c r="BM90" s="123">
        <f>Attached_sourcedAlumina_and!P14</f>
        <v>9522</v>
      </c>
      <c r="BN90" s="122">
        <v>800</v>
      </c>
      <c r="BO90" s="122">
        <v>0</v>
      </c>
      <c r="BQ90" s="118" t="s">
        <v>216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187</v>
      </c>
      <c r="C91" s="14" t="s">
        <v>188</v>
      </c>
      <c r="D91" s="14" t="s">
        <v>196</v>
      </c>
      <c r="E91" s="14" t="s">
        <v>197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197</v>
      </c>
      <c r="AW91" s="120" t="s">
        <v>226</v>
      </c>
      <c r="AX91" s="121" t="s">
        <v>223</v>
      </c>
      <c r="AY91" s="121" t="s">
        <v>223</v>
      </c>
      <c r="AZ91" s="121" t="s">
        <v>223</v>
      </c>
      <c r="BA91" s="121" t="s">
        <v>223</v>
      </c>
      <c r="BB91" s="121" t="s">
        <v>223</v>
      </c>
      <c r="BC91" s="121" t="s">
        <v>223</v>
      </c>
      <c r="BD91" s="126">
        <v>0.5</v>
      </c>
      <c r="BH91" s="119" t="s">
        <v>7</v>
      </c>
      <c r="BI91" s="122">
        <v>0</v>
      </c>
      <c r="BJ91" s="122">
        <v>0</v>
      </c>
      <c r="BK91" s="122">
        <v>0</v>
      </c>
      <c r="BL91" s="122">
        <v>0</v>
      </c>
      <c r="BM91" s="123">
        <f>Attached_sourcedAlumina_and!P15</f>
        <v>0</v>
      </c>
      <c r="BN91" s="122">
        <v>0</v>
      </c>
      <c r="BO91" s="122">
        <v>0.5</v>
      </c>
      <c r="BQ91" s="118" t="s">
        <v>217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187</v>
      </c>
      <c r="C92" s="14" t="s">
        <v>188</v>
      </c>
      <c r="D92" s="94" t="s">
        <v>198</v>
      </c>
      <c r="E92" s="14" t="s">
        <v>199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199</v>
      </c>
      <c r="AW92" s="120" t="s">
        <v>227</v>
      </c>
      <c r="AX92" s="121" t="s">
        <v>223</v>
      </c>
      <c r="AY92" s="121" t="s">
        <v>223</v>
      </c>
      <c r="AZ92" s="121" t="s">
        <v>223</v>
      </c>
      <c r="BA92" s="121" t="s">
        <v>223</v>
      </c>
      <c r="BB92" s="121" t="s">
        <v>223</v>
      </c>
      <c r="BC92" s="121" t="s">
        <v>223</v>
      </c>
      <c r="BD92" s="121" t="s">
        <v>223</v>
      </c>
      <c r="BH92" s="119" t="s">
        <v>8</v>
      </c>
      <c r="BI92" s="122">
        <v>0</v>
      </c>
      <c r="BJ92" s="122">
        <v>0</v>
      </c>
      <c r="BK92" s="122">
        <v>0</v>
      </c>
      <c r="BL92" s="122">
        <v>0</v>
      </c>
      <c r="BM92" s="123">
        <f>Attached_sourcedAlumina_and!P16</f>
        <v>0</v>
      </c>
      <c r="BN92" s="122">
        <v>0</v>
      </c>
      <c r="BO92" s="122">
        <v>0</v>
      </c>
      <c r="BQ92" s="118" t="s">
        <v>218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187</v>
      </c>
      <c r="C93" s="94" t="s">
        <v>188</v>
      </c>
      <c r="D93" s="94" t="s">
        <v>200</v>
      </c>
      <c r="E93" s="14" t="s">
        <v>201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201</v>
      </c>
      <c r="AW93" s="120" t="s">
        <v>228</v>
      </c>
      <c r="AX93" s="121" t="s">
        <v>223</v>
      </c>
      <c r="AY93" s="121" t="s">
        <v>223</v>
      </c>
      <c r="AZ93" s="121" t="s">
        <v>223</v>
      </c>
      <c r="BA93" s="121" t="s">
        <v>223</v>
      </c>
      <c r="BB93" s="121" t="s">
        <v>223</v>
      </c>
      <c r="BC93" s="121" t="s">
        <v>223</v>
      </c>
      <c r="BD93" s="121" t="s">
        <v>223</v>
      </c>
      <c r="BH93" s="119" t="s">
        <v>9</v>
      </c>
      <c r="BI93" s="122">
        <v>0</v>
      </c>
      <c r="BJ93" s="122">
        <v>0</v>
      </c>
      <c r="BK93" s="122">
        <v>0</v>
      </c>
      <c r="BL93" s="122">
        <v>0</v>
      </c>
      <c r="BM93" s="123">
        <f>Attached_sourcedAlumina_and!P17</f>
        <v>0</v>
      </c>
      <c r="BN93" s="122">
        <v>0</v>
      </c>
      <c r="BO93" s="122">
        <v>0</v>
      </c>
      <c r="BQ93" s="118" t="s">
        <v>219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187</v>
      </c>
      <c r="C94" s="94" t="s">
        <v>188</v>
      </c>
      <c r="D94" s="94" t="s">
        <v>202</v>
      </c>
      <c r="E94" s="14" t="s">
        <v>203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203</v>
      </c>
      <c r="AW94" s="120" t="s">
        <v>229</v>
      </c>
      <c r="AX94" s="126">
        <v>10</v>
      </c>
      <c r="AY94" s="121" t="s">
        <v>223</v>
      </c>
      <c r="AZ94" s="126">
        <v>77</v>
      </c>
      <c r="BA94" s="126">
        <v>590</v>
      </c>
      <c r="BB94" s="121" t="s">
        <v>223</v>
      </c>
      <c r="BC94" s="127">
        <v>1100</v>
      </c>
      <c r="BD94" s="126">
        <v>68</v>
      </c>
      <c r="BH94" s="119" t="s">
        <v>10</v>
      </c>
      <c r="BI94" s="122">
        <v>10</v>
      </c>
      <c r="BJ94" s="122">
        <v>77</v>
      </c>
      <c r="BK94" s="122">
        <v>0</v>
      </c>
      <c r="BL94" s="122">
        <v>590</v>
      </c>
      <c r="BM94" s="123">
        <f>Attached_sourcedAlumina_and!P18</f>
        <v>5819</v>
      </c>
      <c r="BN94" s="122">
        <v>0</v>
      </c>
      <c r="BO94" s="122">
        <v>68</v>
      </c>
      <c r="BQ94" s="118" t="s">
        <v>220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230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231</v>
      </c>
      <c r="AX95" s="126">
        <v>41</v>
      </c>
      <c r="AY95" s="121" t="s">
        <v>223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232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233</v>
      </c>
      <c r="AX96" s="121" t="s">
        <v>223</v>
      </c>
      <c r="AY96" s="121" t="s">
        <v>223</v>
      </c>
      <c r="AZ96" s="121" t="s">
        <v>223</v>
      </c>
      <c r="BA96" s="121" t="s">
        <v>223</v>
      </c>
      <c r="BB96" s="121" t="s">
        <v>223</v>
      </c>
      <c r="BC96" s="121" t="s">
        <v>223</v>
      </c>
      <c r="BD96" s="121" t="s">
        <v>223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234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235</v>
      </c>
      <c r="AX97" s="121" t="s">
        <v>223</v>
      </c>
      <c r="AY97" s="121" t="s">
        <v>223</v>
      </c>
      <c r="AZ97" s="121" t="s">
        <v>223</v>
      </c>
      <c r="BA97" s="121" t="s">
        <v>223</v>
      </c>
      <c r="BB97" s="121" t="s">
        <v>223</v>
      </c>
      <c r="BC97" s="121" t="s">
        <v>223</v>
      </c>
      <c r="BD97" s="121" t="s">
        <v>223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236</v>
      </c>
      <c r="AX98" s="121" t="s">
        <v>223</v>
      </c>
      <c r="AY98" s="121" t="s">
        <v>223</v>
      </c>
      <c r="AZ98" s="121" t="s">
        <v>223</v>
      </c>
      <c r="BA98" s="121" t="s">
        <v>223</v>
      </c>
      <c r="BB98" s="121" t="s">
        <v>223</v>
      </c>
      <c r="BC98" s="121" t="s">
        <v>223</v>
      </c>
      <c r="BD98" s="121" t="s">
        <v>223</v>
      </c>
      <c r="BH98" s="119" t="s">
        <v>14</v>
      </c>
      <c r="BI98" s="122">
        <v>0</v>
      </c>
      <c r="BJ98" s="122">
        <v>0</v>
      </c>
      <c r="BK98" s="122">
        <v>0</v>
      </c>
      <c r="BL98" s="122">
        <v>0</v>
      </c>
      <c r="BM98" s="123">
        <f>Attached_sourcedAlumina_and!P22</f>
        <v>0</v>
      </c>
      <c r="BN98" s="122">
        <v>0</v>
      </c>
      <c r="BO98" s="122">
        <v>0</v>
      </c>
    </row>
    <row r="99" spans="1:119">
      <c r="C99" s="2"/>
      <c r="F99" s="2"/>
      <c r="AW99" s="120" t="s">
        <v>237</v>
      </c>
      <c r="AX99" s="121" t="s">
        <v>223</v>
      </c>
      <c r="AY99" s="121" t="s">
        <v>223</v>
      </c>
      <c r="AZ99" s="121" t="s">
        <v>223</v>
      </c>
      <c r="BA99" s="121" t="s">
        <v>223</v>
      </c>
      <c r="BB99" s="121" t="s">
        <v>223</v>
      </c>
      <c r="BC99" s="121" t="s">
        <v>223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238</v>
      </c>
      <c r="AX100" s="121" t="s">
        <v>223</v>
      </c>
      <c r="AY100" s="121" t="s">
        <v>223</v>
      </c>
      <c r="AZ100" s="121" t="s">
        <v>223</v>
      </c>
      <c r="BA100" s="121" t="s">
        <v>223</v>
      </c>
      <c r="BB100" s="121" t="s">
        <v>223</v>
      </c>
      <c r="BC100" s="121" t="s">
        <v>223</v>
      </c>
      <c r="BD100" s="121" t="s">
        <v>223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239</v>
      </c>
      <c r="AX101" s="121" t="s">
        <v>223</v>
      </c>
      <c r="AY101" s="121" t="s">
        <v>223</v>
      </c>
      <c r="AZ101" s="121" t="s">
        <v>223</v>
      </c>
      <c r="BA101" s="121" t="s">
        <v>223</v>
      </c>
      <c r="BB101" s="121" t="s">
        <v>223</v>
      </c>
      <c r="BC101" s="121" t="s">
        <v>223</v>
      </c>
      <c r="BD101" s="121" t="s">
        <v>223</v>
      </c>
      <c r="BH101" s="119" t="s">
        <v>17</v>
      </c>
      <c r="BI101" s="122">
        <v>0</v>
      </c>
      <c r="BJ101" s="122">
        <v>0</v>
      </c>
      <c r="BK101" s="122">
        <v>0</v>
      </c>
      <c r="BL101" s="122">
        <v>0</v>
      </c>
      <c r="BM101" s="123">
        <f>Attached_sourcedAlumina_and!P25</f>
        <v>0</v>
      </c>
      <c r="BN101" s="122">
        <v>0</v>
      </c>
      <c r="BO101" s="122">
        <v>0</v>
      </c>
    </row>
    <row r="102" spans="1:119">
      <c r="C102" s="2"/>
      <c r="D102" t="s">
        <v>131</v>
      </c>
      <c r="M102" s="132"/>
      <c r="N102" s="132"/>
      <c r="O102" s="132" t="s">
        <v>131</v>
      </c>
      <c r="P102" s="132"/>
      <c r="Q102" s="132"/>
      <c r="R102" s="132"/>
      <c r="AB102" s="131"/>
      <c r="AC102" s="131"/>
      <c r="AD102" s="131"/>
      <c r="AW102" s="120" t="s">
        <v>240</v>
      </c>
      <c r="AX102" s="121" t="s">
        <v>223</v>
      </c>
      <c r="AY102" s="121" t="s">
        <v>223</v>
      </c>
      <c r="AZ102" s="121" t="s">
        <v>223</v>
      </c>
      <c r="BA102" s="121" t="s">
        <v>223</v>
      </c>
      <c r="BB102" s="121" t="s">
        <v>223</v>
      </c>
      <c r="BC102" s="126">
        <v>780</v>
      </c>
      <c r="BD102" s="121" t="s">
        <v>223</v>
      </c>
      <c r="BH102" s="119" t="s">
        <v>18</v>
      </c>
      <c r="BI102" s="122">
        <v>0</v>
      </c>
      <c r="BJ102" s="122">
        <v>0</v>
      </c>
      <c r="BK102" s="122">
        <v>0</v>
      </c>
      <c r="BL102" s="122">
        <v>0</v>
      </c>
      <c r="BM102" s="123">
        <f>Attached_sourcedAlumina_and!P26</f>
        <v>0</v>
      </c>
      <c r="BN102" s="122">
        <v>0</v>
      </c>
      <c r="BO102" s="122">
        <v>0</v>
      </c>
    </row>
    <row r="103" spans="1:119">
      <c r="C103" s="2" t="s">
        <v>133</v>
      </c>
      <c r="D103" s="130" t="s">
        <v>65</v>
      </c>
      <c r="E103" s="130" t="s">
        <v>66</v>
      </c>
      <c r="F103" s="130" t="s">
        <v>11</v>
      </c>
      <c r="G103" s="130" t="s">
        <v>25</v>
      </c>
      <c r="K103" t="s">
        <v>241</v>
      </c>
      <c r="M103" s="132" t="s">
        <v>41</v>
      </c>
      <c r="N103" s="132" t="s">
        <v>133</v>
      </c>
      <c r="O103" s="132" t="s">
        <v>65</v>
      </c>
      <c r="P103" s="132" t="s">
        <v>66</v>
      </c>
      <c r="Q103" s="132" t="s">
        <v>11</v>
      </c>
      <c r="R103" s="132" t="s">
        <v>25</v>
      </c>
      <c r="AB103" s="133"/>
      <c r="AC103" s="133"/>
      <c r="AD103" s="131"/>
      <c r="AW103" s="120" t="s">
        <v>242</v>
      </c>
      <c r="AX103" s="121" t="s">
        <v>223</v>
      </c>
      <c r="AY103" s="121" t="s">
        <v>223</v>
      </c>
      <c r="AZ103" s="121" t="s">
        <v>223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243</v>
      </c>
      <c r="D104" s="130" t="s">
        <v>244</v>
      </c>
      <c r="E104" s="130">
        <v>7.11384396954065</v>
      </c>
      <c r="F104" s="134">
        <v>5.40179852616065</v>
      </c>
      <c r="G104" s="134">
        <v>8.85540744288872</v>
      </c>
      <c r="K104">
        <f>E104*3-F104-G104</f>
        <v>7.08432593957258</v>
      </c>
      <c r="M104" s="132">
        <v>2020</v>
      </c>
      <c r="N104" s="132" t="s">
        <v>243</v>
      </c>
      <c r="O104" s="132" t="s">
        <v>244</v>
      </c>
      <c r="P104" s="132">
        <f>E104</f>
        <v>7.11384396954065</v>
      </c>
      <c r="Q104" s="132">
        <f>F104</f>
        <v>5.40179852616065</v>
      </c>
      <c r="R104" s="132">
        <f>G104</f>
        <v>8.85540744288872</v>
      </c>
      <c r="AB104" s="133"/>
      <c r="AC104" s="133"/>
      <c r="AD104" s="131"/>
      <c r="AW104" s="120" t="s">
        <v>245</v>
      </c>
      <c r="AX104" s="121" t="s">
        <v>223</v>
      </c>
      <c r="AY104" s="121" t="s">
        <v>223</v>
      </c>
      <c r="AZ104" s="121" t="s">
        <v>223</v>
      </c>
      <c r="BA104" s="121" t="s">
        <v>223</v>
      </c>
      <c r="BB104" s="121" t="s">
        <v>223</v>
      </c>
      <c r="BC104" s="121" t="s">
        <v>223</v>
      </c>
      <c r="BD104" s="121" t="s">
        <v>223</v>
      </c>
      <c r="BH104" s="119" t="s">
        <v>20</v>
      </c>
      <c r="BI104" s="122">
        <v>0</v>
      </c>
      <c r="BJ104" s="122">
        <v>0</v>
      </c>
      <c r="BK104" s="122">
        <v>0</v>
      </c>
      <c r="BL104" s="122">
        <v>0</v>
      </c>
      <c r="BM104" s="123">
        <f>Attached_sourcedAlumina_and!P28</f>
        <v>846</v>
      </c>
      <c r="BN104" s="122">
        <v>0</v>
      </c>
      <c r="BO104" s="122">
        <v>0</v>
      </c>
    </row>
    <row r="105" spans="1:119">
      <c r="C105" s="2" t="s">
        <v>243</v>
      </c>
      <c r="D105" s="130" t="s">
        <v>246</v>
      </c>
      <c r="E105" s="130">
        <v>7.11384396954065</v>
      </c>
      <c r="F105" s="134">
        <v>5.40179852616065</v>
      </c>
      <c r="G105" s="134">
        <v>8.85540744288872</v>
      </c>
      <c r="K105">
        <f t="shared" ref="K105:K124" si="20">E105*3-F105-G105</f>
        <v>7.08432593957258</v>
      </c>
      <c r="M105" s="132">
        <v>2020</v>
      </c>
      <c r="N105" s="132" t="s">
        <v>243</v>
      </c>
      <c r="O105" s="132" t="s">
        <v>246</v>
      </c>
      <c r="P105" s="132">
        <f t="shared" ref="P105:P124" si="21">E105</f>
        <v>7.11384396954065</v>
      </c>
      <c r="Q105" s="132">
        <f>F105</f>
        <v>5.40179852616065</v>
      </c>
      <c r="R105" s="132">
        <f>G105</f>
        <v>8.85540744288872</v>
      </c>
      <c r="AB105" s="133"/>
      <c r="AC105" s="133"/>
      <c r="AD105" s="131"/>
      <c r="AW105" s="120" t="s">
        <v>247</v>
      </c>
      <c r="AX105" s="121" t="s">
        <v>223</v>
      </c>
      <c r="AY105" s="121" t="s">
        <v>223</v>
      </c>
      <c r="AZ105" s="121" t="s">
        <v>223</v>
      </c>
      <c r="BA105" s="121" t="s">
        <v>223</v>
      </c>
      <c r="BB105" s="121" t="s">
        <v>223</v>
      </c>
      <c r="BC105" s="121" t="s">
        <v>223</v>
      </c>
      <c r="BD105" s="121" t="s">
        <v>223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243</v>
      </c>
      <c r="D106" s="130" t="s">
        <v>248</v>
      </c>
      <c r="E106" s="130">
        <v>7.62975445836404</v>
      </c>
      <c r="F106" s="134">
        <v>5.79354797347089</v>
      </c>
      <c r="G106" s="134">
        <v>9.49761967575534</v>
      </c>
      <c r="K106">
        <f t="shared" si="20"/>
        <v>7.59809572586589</v>
      </c>
      <c r="M106" s="132">
        <v>2020</v>
      </c>
      <c r="N106" s="132" t="s">
        <v>243</v>
      </c>
      <c r="O106" s="132" t="s">
        <v>248</v>
      </c>
      <c r="P106" s="132">
        <f t="shared" si="21"/>
        <v>7.62975445836404</v>
      </c>
      <c r="Q106" s="132">
        <f>F106</f>
        <v>5.79354797347089</v>
      </c>
      <c r="R106" s="132">
        <f>G106</f>
        <v>9.49761967575534</v>
      </c>
      <c r="AB106" s="133"/>
      <c r="AC106" s="133"/>
      <c r="AD106" s="131"/>
      <c r="AW106" s="120" t="s">
        <v>249</v>
      </c>
      <c r="AX106" s="121" t="s">
        <v>223</v>
      </c>
      <c r="AY106" s="121" t="s">
        <v>223</v>
      </c>
      <c r="AZ106" s="121" t="s">
        <v>223</v>
      </c>
      <c r="BA106" s="121" t="s">
        <v>223</v>
      </c>
      <c r="BB106" s="121" t="s">
        <v>223</v>
      </c>
      <c r="BC106" s="121" t="s">
        <v>223</v>
      </c>
      <c r="BD106" s="121" t="s">
        <v>223</v>
      </c>
      <c r="BH106" s="119" t="s">
        <v>22</v>
      </c>
      <c r="BI106" s="122">
        <v>0</v>
      </c>
      <c r="BJ106" s="122">
        <v>0</v>
      </c>
      <c r="BK106" s="122">
        <v>0</v>
      </c>
      <c r="BL106" s="122">
        <v>0</v>
      </c>
      <c r="BM106" s="123">
        <f>Attached_sourcedAlumina_and!P30</f>
        <v>0</v>
      </c>
      <c r="BN106" s="122">
        <v>0</v>
      </c>
      <c r="BO106" s="122">
        <v>0</v>
      </c>
    </row>
    <row r="107" spans="1:119">
      <c r="C107" s="2" t="s">
        <v>243</v>
      </c>
      <c r="D107" s="130" t="s">
        <v>250</v>
      </c>
      <c r="E107" s="130">
        <v>7.47097081798084</v>
      </c>
      <c r="F107" s="134">
        <v>5.67297781871776</v>
      </c>
      <c r="G107" s="134">
        <v>9.29996366985999</v>
      </c>
      <c r="K107">
        <f t="shared" si="20"/>
        <v>7.43997096536477</v>
      </c>
      <c r="M107" s="132">
        <v>2020</v>
      </c>
      <c r="N107" s="132" t="s">
        <v>243</v>
      </c>
      <c r="O107" s="132" t="s">
        <v>250</v>
      </c>
      <c r="P107" s="132">
        <f t="shared" si="21"/>
        <v>7.47097081798084</v>
      </c>
      <c r="Q107" s="132">
        <f>F107</f>
        <v>5.67297781871776</v>
      </c>
      <c r="R107" s="132">
        <f>G107</f>
        <v>9.29996366985999</v>
      </c>
      <c r="AB107" s="133"/>
      <c r="AC107" s="133"/>
      <c r="AD107" s="131"/>
      <c r="AW107" s="120" t="s">
        <v>251</v>
      </c>
      <c r="AX107" s="126">
        <v>67</v>
      </c>
      <c r="AY107" s="126">
        <v>3.5</v>
      </c>
      <c r="AZ107" s="121" t="s">
        <v>223</v>
      </c>
      <c r="BA107" s="121" t="s">
        <v>223</v>
      </c>
      <c r="BB107" s="127">
        <v>7900</v>
      </c>
      <c r="BC107" s="121" t="s">
        <v>223</v>
      </c>
      <c r="BD107" s="121" t="s">
        <v>223</v>
      </c>
      <c r="BH107" s="119" t="s">
        <v>23</v>
      </c>
      <c r="BI107" s="122">
        <v>67</v>
      </c>
      <c r="BJ107" s="122">
        <v>0</v>
      </c>
      <c r="BK107" s="122">
        <v>3.5</v>
      </c>
      <c r="BL107" s="122">
        <v>0</v>
      </c>
      <c r="BM107" s="123">
        <f>Attached_sourcedAlumina_and!P31</f>
        <v>0</v>
      </c>
      <c r="BN107" s="128">
        <v>7900</v>
      </c>
      <c r="BO107" s="122">
        <v>0</v>
      </c>
    </row>
    <row r="108" spans="1:119">
      <c r="C108" s="2" t="s">
        <v>243</v>
      </c>
      <c r="D108" s="130" t="s">
        <v>252</v>
      </c>
      <c r="E108" s="130">
        <v>7.51643520019651</v>
      </c>
      <c r="F108" s="134">
        <v>5.70750058953574</v>
      </c>
      <c r="G108" s="134">
        <v>9.35655836403832</v>
      </c>
      <c r="K108">
        <f t="shared" si="20"/>
        <v>7.48524664701547</v>
      </c>
      <c r="M108" s="132">
        <v>2020</v>
      </c>
      <c r="N108" s="132" t="s">
        <v>243</v>
      </c>
      <c r="O108" s="132" t="s">
        <v>252</v>
      </c>
      <c r="P108" s="132">
        <f t="shared" si="21"/>
        <v>7.51643520019651</v>
      </c>
      <c r="Q108" s="132">
        <f>F108</f>
        <v>5.70750058953574</v>
      </c>
      <c r="R108" s="132">
        <f>G108</f>
        <v>9.35655836403832</v>
      </c>
      <c r="AB108" s="133"/>
      <c r="AC108" s="133"/>
      <c r="AD108" s="131"/>
      <c r="AW108" s="120" t="s">
        <v>253</v>
      </c>
      <c r="AX108" s="121" t="s">
        <v>223</v>
      </c>
      <c r="AY108" s="121" t="s">
        <v>223</v>
      </c>
      <c r="AZ108" s="121" t="s">
        <v>223</v>
      </c>
      <c r="BA108" s="121" t="s">
        <v>223</v>
      </c>
      <c r="BB108" s="121" t="s">
        <v>223</v>
      </c>
      <c r="BC108" s="127">
        <v>4300</v>
      </c>
      <c r="BD108" s="121" t="s">
        <v>223</v>
      </c>
      <c r="BH108" s="119" t="s">
        <v>24</v>
      </c>
      <c r="BI108" s="122">
        <v>0</v>
      </c>
      <c r="BJ108" s="122">
        <v>0</v>
      </c>
      <c r="BK108" s="122">
        <v>0</v>
      </c>
      <c r="BL108" s="122">
        <v>0</v>
      </c>
      <c r="BM108" s="123">
        <f>Attached_sourcedAlumina_and!P32</f>
        <v>1270</v>
      </c>
      <c r="BN108" s="122">
        <v>0</v>
      </c>
      <c r="BO108" s="122">
        <v>0</v>
      </c>
    </row>
    <row r="109" spans="1:119">
      <c r="C109" s="2" t="s">
        <v>243</v>
      </c>
      <c r="D109" s="130" t="s">
        <v>254</v>
      </c>
      <c r="E109" s="130">
        <v>7.55036263817244</v>
      </c>
      <c r="F109" s="134">
        <v>5.73326293294031</v>
      </c>
      <c r="G109" s="134">
        <v>9.39879167280766</v>
      </c>
      <c r="K109">
        <f t="shared" si="20"/>
        <v>7.51903330876935</v>
      </c>
      <c r="M109" s="132">
        <v>2020</v>
      </c>
      <c r="N109" s="132" t="s">
        <v>243</v>
      </c>
      <c r="O109" s="132" t="s">
        <v>254</v>
      </c>
      <c r="P109" s="132">
        <f t="shared" si="21"/>
        <v>7.55036263817244</v>
      </c>
      <c r="Q109" s="132">
        <f>F109</f>
        <v>5.73326293294031</v>
      </c>
      <c r="R109" s="132">
        <f>G109</f>
        <v>9.39879167280766</v>
      </c>
      <c r="AB109" s="133"/>
      <c r="AC109" s="133"/>
      <c r="AD109" s="131"/>
      <c r="AW109" s="120" t="s">
        <v>255</v>
      </c>
      <c r="AX109" s="126">
        <v>4.3</v>
      </c>
      <c r="AY109" s="126">
        <v>4.8</v>
      </c>
      <c r="AZ109" s="126">
        <v>198</v>
      </c>
      <c r="BA109" s="121" t="s">
        <v>223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243</v>
      </c>
      <c r="D110" s="130" t="s">
        <v>256</v>
      </c>
      <c r="E110" s="130">
        <v>7.62975445836404</v>
      </c>
      <c r="F110" s="134">
        <v>5.79354797347089</v>
      </c>
      <c r="G110" s="134">
        <v>9.49761967575534</v>
      </c>
      <c r="K110">
        <f t="shared" si="20"/>
        <v>7.59809572586589</v>
      </c>
      <c r="M110" s="132">
        <v>2020</v>
      </c>
      <c r="N110" s="132" t="s">
        <v>243</v>
      </c>
      <c r="O110" s="132" t="s">
        <v>256</v>
      </c>
      <c r="P110" s="132">
        <f t="shared" si="21"/>
        <v>7.62975445836404</v>
      </c>
      <c r="Q110" s="132">
        <f>F110</f>
        <v>5.79354797347089</v>
      </c>
      <c r="R110" s="132">
        <f>G110</f>
        <v>9.49761967575534</v>
      </c>
      <c r="AB110" s="133"/>
      <c r="AC110" s="133"/>
      <c r="AD110" s="131"/>
      <c r="AW110" s="120" t="s">
        <v>257</v>
      </c>
      <c r="AX110" s="121" t="s">
        <v>223</v>
      </c>
      <c r="AY110" s="121" t="s">
        <v>223</v>
      </c>
      <c r="AZ110" s="121" t="s">
        <v>223</v>
      </c>
      <c r="BA110" s="121" t="s">
        <v>223</v>
      </c>
      <c r="BB110" s="121" t="s">
        <v>223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243</v>
      </c>
      <c r="D111" s="130" t="s">
        <v>258</v>
      </c>
      <c r="E111" s="130">
        <v>4.18384600835176</v>
      </c>
      <c r="F111" s="134">
        <v>3.17694532056006</v>
      </c>
      <c r="G111" s="134">
        <v>5.20810707442889</v>
      </c>
      <c r="K111">
        <f t="shared" si="20"/>
        <v>4.16648563006633</v>
      </c>
      <c r="M111" s="132">
        <v>2020</v>
      </c>
      <c r="N111" s="132" t="s">
        <v>243</v>
      </c>
      <c r="O111" s="132" t="s">
        <v>258</v>
      </c>
      <c r="P111" s="132">
        <f t="shared" si="21"/>
        <v>4.18384600835176</v>
      </c>
      <c r="Q111" s="132">
        <f>F111</f>
        <v>3.17694532056006</v>
      </c>
      <c r="R111" s="132">
        <f>G111</f>
        <v>5.20810707442889</v>
      </c>
      <c r="AB111" s="133"/>
      <c r="AC111" s="133"/>
      <c r="AD111" s="131"/>
      <c r="AW111" s="120" t="s">
        <v>259</v>
      </c>
      <c r="AX111" s="121" t="s">
        <v>223</v>
      </c>
      <c r="AY111" s="121" t="s">
        <v>223</v>
      </c>
      <c r="AZ111" s="121" t="s">
        <v>223</v>
      </c>
      <c r="BA111" s="121" t="s">
        <v>223</v>
      </c>
      <c r="BB111" s="126">
        <v>410</v>
      </c>
      <c r="BC111" s="121" t="s">
        <v>223</v>
      </c>
      <c r="BD111" s="121" t="s">
        <v>223</v>
      </c>
      <c r="BH111" s="119" t="s">
        <v>27</v>
      </c>
      <c r="BI111" s="122">
        <v>0</v>
      </c>
      <c r="BJ111" s="122">
        <v>0</v>
      </c>
      <c r="BK111" s="122">
        <v>0</v>
      </c>
      <c r="BL111" s="122">
        <v>0</v>
      </c>
      <c r="BM111" s="123">
        <f>Attached_sourcedAlumina_and!P35</f>
        <v>0</v>
      </c>
      <c r="BN111" s="122">
        <v>410</v>
      </c>
      <c r="BO111" s="122">
        <v>0</v>
      </c>
    </row>
    <row r="112" spans="1:119">
      <c r="C112" s="2" t="s">
        <v>243</v>
      </c>
      <c r="D112" s="130" t="s">
        <v>260</v>
      </c>
      <c r="E112" s="130">
        <v>4.18384600835176</v>
      </c>
      <c r="F112" s="134">
        <v>3.17694532056006</v>
      </c>
      <c r="G112" s="134">
        <v>5.20810707442889</v>
      </c>
      <c r="K112">
        <f t="shared" si="20"/>
        <v>4.16648563006633</v>
      </c>
      <c r="M112" s="132">
        <v>2020</v>
      </c>
      <c r="N112" s="132" t="s">
        <v>243</v>
      </c>
      <c r="O112" s="132" t="s">
        <v>260</v>
      </c>
      <c r="P112" s="132">
        <f t="shared" si="21"/>
        <v>4.18384600835176</v>
      </c>
      <c r="Q112" s="132">
        <f>F112</f>
        <v>3.17694532056006</v>
      </c>
      <c r="R112" s="132">
        <f>G112</f>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243</v>
      </c>
      <c r="D113" s="130" t="s">
        <v>261</v>
      </c>
      <c r="E113" s="130">
        <v>4.18384600835176</v>
      </c>
      <c r="F113" s="134">
        <v>3.17694532056006</v>
      </c>
      <c r="G113" s="134">
        <v>5.20810707442889</v>
      </c>
      <c r="K113">
        <f t="shared" si="20"/>
        <v>4.16648563006633</v>
      </c>
      <c r="M113" s="132">
        <v>2020</v>
      </c>
      <c r="N113" s="132" t="s">
        <v>243</v>
      </c>
      <c r="O113" s="132" t="s">
        <v>261</v>
      </c>
      <c r="P113" s="132">
        <f t="shared" si="21"/>
        <v>4.18384600835176</v>
      </c>
      <c r="Q113" s="132">
        <f>F113</f>
        <v>3.17694532056006</v>
      </c>
      <c r="R113" s="132">
        <f>G113</f>
        <v>5.20810707442889</v>
      </c>
      <c r="AB113" s="133"/>
      <c r="AC113" s="133"/>
      <c r="AD113" s="131"/>
      <c r="AW113" s="120" t="s">
        <v>262</v>
      </c>
      <c r="AX113" s="121" t="s">
        <v>223</v>
      </c>
      <c r="AY113" s="126">
        <v>8.7</v>
      </c>
      <c r="AZ113" s="126">
        <v>210</v>
      </c>
      <c r="BA113" s="121" t="s">
        <v>223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243</v>
      </c>
      <c r="D114" s="130" t="s">
        <v>263</v>
      </c>
      <c r="E114" s="130">
        <v>4.18384600835176</v>
      </c>
      <c r="F114" s="134">
        <v>3.17694532056006</v>
      </c>
      <c r="G114" s="134">
        <v>5.20810707442889</v>
      </c>
      <c r="K114">
        <f t="shared" si="20"/>
        <v>4.16648563006633</v>
      </c>
      <c r="M114" s="132">
        <v>2020</v>
      </c>
      <c r="N114" s="132" t="s">
        <v>243</v>
      </c>
      <c r="O114" s="132" t="s">
        <v>263</v>
      </c>
      <c r="P114" s="132">
        <f t="shared" si="21"/>
        <v>4.18384600835176</v>
      </c>
      <c r="Q114" s="132">
        <f>F114</f>
        <v>3.17694532056006</v>
      </c>
      <c r="R114" s="132">
        <f>G114</f>
        <v>5.20810707442889</v>
      </c>
      <c r="AB114" s="133"/>
      <c r="AC114" s="133"/>
      <c r="AD114" s="131"/>
      <c r="AW114" s="120" t="s">
        <v>264</v>
      </c>
      <c r="AX114" s="121" t="s">
        <v>223</v>
      </c>
      <c r="AY114" s="121" t="s">
        <v>223</v>
      </c>
      <c r="AZ114" s="121" t="s">
        <v>223</v>
      </c>
      <c r="BA114" s="121" t="s">
        <v>223</v>
      </c>
      <c r="BB114" s="121" t="s">
        <v>223</v>
      </c>
      <c r="BC114" s="121" t="s">
        <v>223</v>
      </c>
      <c r="BD114" s="121" t="s">
        <v>223</v>
      </c>
      <c r="BH114" s="119" t="s">
        <v>30</v>
      </c>
      <c r="BI114" s="122">
        <v>0</v>
      </c>
      <c r="BJ114" s="122">
        <v>0</v>
      </c>
      <c r="BK114" s="122">
        <v>0</v>
      </c>
      <c r="BL114" s="122">
        <v>0</v>
      </c>
      <c r="BM114" s="123">
        <f>Attached_sourcedAlumina_and!P38</f>
        <v>952</v>
      </c>
      <c r="BN114" s="122">
        <v>0</v>
      </c>
      <c r="BO114" s="122">
        <v>0</v>
      </c>
    </row>
    <row r="115" spans="3:67">
      <c r="C115" s="2" t="s">
        <v>243</v>
      </c>
      <c r="D115" s="130" t="s">
        <v>265</v>
      </c>
      <c r="E115" s="130">
        <v>4.18384600835176</v>
      </c>
      <c r="F115" s="134">
        <v>3.17694532056006</v>
      </c>
      <c r="G115" s="134">
        <v>5.20810707442889</v>
      </c>
      <c r="K115">
        <f t="shared" si="20"/>
        <v>4.16648563006633</v>
      </c>
      <c r="M115" s="132">
        <v>2020</v>
      </c>
      <c r="N115" s="132" t="s">
        <v>243</v>
      </c>
      <c r="O115" s="132" t="s">
        <v>265</v>
      </c>
      <c r="P115" s="132">
        <f t="shared" si="21"/>
        <v>4.18384600835176</v>
      </c>
      <c r="Q115" s="132">
        <f>F115</f>
        <v>3.17694532056006</v>
      </c>
      <c r="R115" s="132">
        <f>G115</f>
        <v>5.20810707442889</v>
      </c>
      <c r="AB115" s="133"/>
      <c r="AC115" s="133"/>
      <c r="AD115" s="131"/>
      <c r="AW115" s="120" t="s">
        <v>266</v>
      </c>
      <c r="AX115" s="121" t="s">
        <v>223</v>
      </c>
      <c r="AY115" s="121" t="s">
        <v>223</v>
      </c>
      <c r="AZ115" s="121" t="s">
        <v>223</v>
      </c>
      <c r="BA115" s="127">
        <v>7400</v>
      </c>
      <c r="BB115" s="121" t="s">
        <v>223</v>
      </c>
      <c r="BC115" s="121" t="s">
        <v>223</v>
      </c>
      <c r="BD115" s="121" t="s">
        <v>223</v>
      </c>
      <c r="BH115" s="119" t="s">
        <v>31</v>
      </c>
      <c r="BI115" s="122">
        <v>0</v>
      </c>
      <c r="BJ115" s="122">
        <v>0</v>
      </c>
      <c r="BK115" s="122">
        <v>0</v>
      </c>
      <c r="BL115" s="128">
        <v>7400</v>
      </c>
      <c r="BM115" s="123">
        <f>Attached_sourcedAlumina_and!P39</f>
        <v>0</v>
      </c>
      <c r="BN115" s="122">
        <v>0</v>
      </c>
      <c r="BO115" s="122">
        <v>0</v>
      </c>
    </row>
    <row r="116" spans="3:67">
      <c r="C116" s="2" t="s">
        <v>243</v>
      </c>
      <c r="D116" s="130" t="s">
        <v>267</v>
      </c>
      <c r="E116" s="130">
        <v>4.18384600835176</v>
      </c>
      <c r="F116" s="134">
        <v>3.17694532056006</v>
      </c>
      <c r="G116" s="134">
        <v>5.20810707442889</v>
      </c>
      <c r="K116">
        <f t="shared" si="20"/>
        <v>4.16648563006633</v>
      </c>
      <c r="M116" s="132">
        <v>2020</v>
      </c>
      <c r="N116" s="132" t="s">
        <v>243</v>
      </c>
      <c r="O116" s="132" t="s">
        <v>267</v>
      </c>
      <c r="P116" s="132">
        <f t="shared" si="21"/>
        <v>4.18384600835176</v>
      </c>
      <c r="Q116" s="132">
        <f>F116</f>
        <v>3.17694532056006</v>
      </c>
      <c r="R116" s="132">
        <f>G116</f>
        <v>5.20810707442889</v>
      </c>
      <c r="AB116" s="133"/>
      <c r="AC116" s="133"/>
      <c r="AD116" s="131"/>
      <c r="AW116" s="120" t="s">
        <v>268</v>
      </c>
      <c r="AX116" s="126">
        <v>0.4</v>
      </c>
      <c r="AY116" s="121" t="s">
        <v>223</v>
      </c>
      <c r="AZ116" s="121" t="s">
        <v>223</v>
      </c>
      <c r="BA116" s="121" t="s">
        <v>223</v>
      </c>
      <c r="BB116" s="121" t="s">
        <v>223</v>
      </c>
      <c r="BC116" s="121" t="s">
        <v>223</v>
      </c>
      <c r="BD116" s="121" t="s">
        <v>223</v>
      </c>
      <c r="BH116" s="119" t="s">
        <v>32</v>
      </c>
      <c r="BI116" s="122">
        <v>0.4</v>
      </c>
      <c r="BJ116" s="122">
        <v>0</v>
      </c>
      <c r="BK116" s="122">
        <v>0</v>
      </c>
      <c r="BL116" s="122">
        <v>0</v>
      </c>
      <c r="BM116" s="123">
        <f>Attached_sourcedAlumina_and!P40</f>
        <v>434</v>
      </c>
      <c r="BN116" s="122">
        <v>0</v>
      </c>
      <c r="BO116" s="122">
        <v>0</v>
      </c>
    </row>
    <row r="117" spans="3:67">
      <c r="C117" s="2" t="s">
        <v>243</v>
      </c>
      <c r="D117" s="130" t="s">
        <v>269</v>
      </c>
      <c r="E117" s="130">
        <v>4.18384600835176</v>
      </c>
      <c r="F117" s="134">
        <v>3.17694532056006</v>
      </c>
      <c r="G117" s="134">
        <v>5.20810707442889</v>
      </c>
      <c r="K117">
        <f t="shared" si="20"/>
        <v>4.16648563006633</v>
      </c>
      <c r="M117" s="132">
        <v>2020</v>
      </c>
      <c r="N117" s="132" t="s">
        <v>243</v>
      </c>
      <c r="O117" s="132" t="s">
        <v>269</v>
      </c>
      <c r="P117" s="132">
        <f t="shared" si="21"/>
        <v>4.18384600835176</v>
      </c>
      <c r="Q117" s="132">
        <f>F117</f>
        <v>3.17694532056006</v>
      </c>
      <c r="R117" s="132">
        <f>G117</f>
        <v>5.20810707442889</v>
      </c>
      <c r="AB117" s="133"/>
      <c r="AC117" s="133"/>
      <c r="AD117" s="131"/>
      <c r="AW117" s="120" t="s">
        <v>270</v>
      </c>
      <c r="AX117" s="121" t="s">
        <v>223</v>
      </c>
      <c r="AY117" s="121" t="s">
        <v>223</v>
      </c>
      <c r="AZ117" s="121" t="s">
        <v>223</v>
      </c>
      <c r="BA117" s="121" t="s">
        <v>223</v>
      </c>
      <c r="BB117" s="121" t="s">
        <v>223</v>
      </c>
      <c r="BC117" s="121" t="s">
        <v>223</v>
      </c>
      <c r="BD117" s="121" t="s">
        <v>223</v>
      </c>
      <c r="BH117" s="119" t="s">
        <v>33</v>
      </c>
      <c r="BI117" s="122">
        <v>0</v>
      </c>
      <c r="BJ117" s="122">
        <v>0</v>
      </c>
      <c r="BK117" s="122">
        <v>0</v>
      </c>
      <c r="BL117" s="122">
        <v>0</v>
      </c>
      <c r="BM117" s="123">
        <f>Attached_sourcedAlumina_and!P41</f>
        <v>0</v>
      </c>
      <c r="BN117" s="122">
        <v>0</v>
      </c>
      <c r="BO117" s="122">
        <v>0</v>
      </c>
    </row>
    <row r="118" spans="3:67">
      <c r="C118" s="2" t="s">
        <v>243</v>
      </c>
      <c r="D118" s="130" t="s">
        <v>271</v>
      </c>
      <c r="E118" s="130">
        <v>3.56556266273643</v>
      </c>
      <c r="F118" s="134">
        <v>2.70746042741341</v>
      </c>
      <c r="G118" s="134">
        <v>4.4384597641857</v>
      </c>
      <c r="K118">
        <f t="shared" si="20"/>
        <v>3.55076779661018</v>
      </c>
      <c r="M118" s="132">
        <v>2020</v>
      </c>
      <c r="N118" s="132" t="s">
        <v>243</v>
      </c>
      <c r="O118" s="132" t="s">
        <v>271</v>
      </c>
      <c r="P118" s="132">
        <f t="shared" si="21"/>
        <v>3.56556266273643</v>
      </c>
      <c r="Q118" s="132">
        <f>F118</f>
        <v>2.70746042741341</v>
      </c>
      <c r="R118" s="132">
        <f>G118</f>
        <v>4.4384597641857</v>
      </c>
      <c r="AB118" s="133"/>
      <c r="AC118" s="133"/>
      <c r="AD118" s="131"/>
      <c r="AW118" s="120" t="s">
        <v>272</v>
      </c>
      <c r="AX118" s="121" t="s">
        <v>223</v>
      </c>
      <c r="AY118" s="121" t="s">
        <v>223</v>
      </c>
      <c r="AZ118" s="121" t="s">
        <v>223</v>
      </c>
      <c r="BA118" s="121" t="s">
        <v>223</v>
      </c>
      <c r="BB118" s="121" t="s">
        <v>223</v>
      </c>
      <c r="BC118" s="121" t="s">
        <v>223</v>
      </c>
      <c r="BD118" s="121" t="s">
        <v>223</v>
      </c>
      <c r="BH118" s="119" t="s">
        <v>34</v>
      </c>
      <c r="BI118" s="122">
        <v>0</v>
      </c>
      <c r="BJ118" s="122">
        <v>0</v>
      </c>
      <c r="BK118" s="122">
        <v>0</v>
      </c>
      <c r="BL118" s="122">
        <v>0</v>
      </c>
      <c r="BM118" s="123">
        <f>Attached_sourcedAlumina_and!P42</f>
        <v>0</v>
      </c>
      <c r="BN118" s="122">
        <v>0</v>
      </c>
      <c r="BO118" s="122">
        <v>0</v>
      </c>
    </row>
    <row r="119" spans="3:67">
      <c r="C119" s="2" t="s">
        <v>243</v>
      </c>
      <c r="D119" s="130" t="s">
        <v>273</v>
      </c>
      <c r="E119" s="130">
        <v>3.60087708179809</v>
      </c>
      <c r="F119" s="134">
        <v>2.73427597641857</v>
      </c>
      <c r="G119" s="134">
        <v>4.48241960206338</v>
      </c>
      <c r="K119">
        <f t="shared" si="20"/>
        <v>3.58593566691232</v>
      </c>
      <c r="M119" s="132">
        <v>2020</v>
      </c>
      <c r="N119" s="132" t="s">
        <v>243</v>
      </c>
      <c r="O119" s="132" t="s">
        <v>273</v>
      </c>
      <c r="P119" s="132">
        <f t="shared" si="21"/>
        <v>3.60087708179809</v>
      </c>
      <c r="Q119" s="132">
        <f>F119</f>
        <v>2.73427597641857</v>
      </c>
      <c r="R119" s="132">
        <f>G119</f>
        <v>4.48241960206338</v>
      </c>
      <c r="AB119" s="133"/>
      <c r="AC119" s="133"/>
      <c r="AD119" s="131"/>
      <c r="AW119" s="120" t="s">
        <v>274</v>
      </c>
      <c r="AX119" s="121" t="s">
        <v>223</v>
      </c>
      <c r="AY119" s="126">
        <v>2.7</v>
      </c>
      <c r="AZ119" s="121" t="s">
        <v>223</v>
      </c>
      <c r="BA119" s="121" t="s">
        <v>223</v>
      </c>
      <c r="BB119" s="121" t="s">
        <v>223</v>
      </c>
      <c r="BC119" s="121" t="s">
        <v>223</v>
      </c>
      <c r="BD119" s="126">
        <v>3</v>
      </c>
      <c r="BH119" s="119" t="s">
        <v>35</v>
      </c>
      <c r="BI119" s="122">
        <v>0</v>
      </c>
      <c r="BJ119" s="122">
        <v>0</v>
      </c>
      <c r="BK119" s="122">
        <v>2.7</v>
      </c>
      <c r="BL119" s="122">
        <v>0</v>
      </c>
      <c r="BM119" s="123">
        <f>Attached_sourcedAlumina_and!P43</f>
        <v>169</v>
      </c>
      <c r="BN119" s="122">
        <v>0</v>
      </c>
      <c r="BO119" s="122">
        <v>3</v>
      </c>
    </row>
    <row r="120" spans="3:67">
      <c r="C120" s="2" t="s">
        <v>243</v>
      </c>
      <c r="D120" s="130" t="s">
        <v>275</v>
      </c>
      <c r="E120" s="130">
        <v>3.56556266273643</v>
      </c>
      <c r="F120" s="134">
        <v>2.70746042741341</v>
      </c>
      <c r="G120" s="134">
        <v>4.4384597641857</v>
      </c>
      <c r="K120">
        <f t="shared" si="20"/>
        <v>3.55076779661018</v>
      </c>
      <c r="M120" s="132">
        <v>2020</v>
      </c>
      <c r="N120" s="132" t="s">
        <v>243</v>
      </c>
      <c r="O120" s="132" t="s">
        <v>275</v>
      </c>
      <c r="P120" s="132">
        <f t="shared" si="21"/>
        <v>3.56556266273643</v>
      </c>
      <c r="Q120" s="132">
        <f>F120</f>
        <v>2.70746042741341</v>
      </c>
      <c r="R120" s="132">
        <f>G120</f>
        <v>4.4384597641857</v>
      </c>
      <c r="AB120" s="133"/>
      <c r="AC120" s="133"/>
      <c r="AD120" s="131"/>
      <c r="AW120" s="120" t="s">
        <v>36</v>
      </c>
      <c r="AX120" s="121" t="s">
        <v>223</v>
      </c>
      <c r="AY120" s="121" t="s">
        <v>223</v>
      </c>
      <c r="AZ120" s="121" t="s">
        <v>223</v>
      </c>
      <c r="BA120" s="121" t="s">
        <v>223</v>
      </c>
      <c r="BB120" s="121" t="s">
        <v>223</v>
      </c>
      <c r="BC120" s="121" t="s">
        <v>223</v>
      </c>
      <c r="BD120" s="121" t="s">
        <v>223</v>
      </c>
      <c r="BH120" s="119" t="s">
        <v>36</v>
      </c>
      <c r="BI120" s="122">
        <v>0</v>
      </c>
      <c r="BJ120" s="122">
        <v>0</v>
      </c>
      <c r="BK120" s="122">
        <v>0</v>
      </c>
      <c r="BL120" s="122">
        <v>0</v>
      </c>
      <c r="BM120" s="123">
        <f>Attached_sourcedAlumina_and!P44</f>
        <v>0</v>
      </c>
      <c r="BN120" s="122">
        <v>0</v>
      </c>
      <c r="BO120" s="122">
        <v>0</v>
      </c>
    </row>
    <row r="121" spans="3:67">
      <c r="C121" s="2" t="s">
        <v>243</v>
      </c>
      <c r="D121" s="130" t="s">
        <v>276</v>
      </c>
      <c r="E121" s="130">
        <v>3.56645369688037</v>
      </c>
      <c r="F121" s="134">
        <v>2.70813706705969</v>
      </c>
      <c r="G121" s="134">
        <v>4.43956890198968</v>
      </c>
      <c r="K121">
        <f t="shared" si="20"/>
        <v>3.55165512159174</v>
      </c>
      <c r="M121" s="132">
        <v>2020</v>
      </c>
      <c r="N121" s="132" t="s">
        <v>243</v>
      </c>
      <c r="O121" s="132" t="s">
        <v>276</v>
      </c>
      <c r="P121" s="132">
        <f t="shared" si="21"/>
        <v>3.56645369688037</v>
      </c>
      <c r="Q121" s="132">
        <f>F121</f>
        <v>2.70813706705969</v>
      </c>
      <c r="R121" s="132">
        <f>G121</f>
        <v>4.43956890198968</v>
      </c>
      <c r="AB121" s="133"/>
      <c r="AC121" s="133"/>
      <c r="AD121" s="131"/>
      <c r="AW121" s="120" t="s">
        <v>277</v>
      </c>
      <c r="AX121" s="121" t="s">
        <v>223</v>
      </c>
      <c r="AY121" s="121" t="s">
        <v>223</v>
      </c>
      <c r="AZ121" s="121" t="s">
        <v>223</v>
      </c>
      <c r="BA121" s="121" t="s">
        <v>223</v>
      </c>
      <c r="BB121" s="121" t="s">
        <v>223</v>
      </c>
      <c r="BC121" s="121" t="s">
        <v>223</v>
      </c>
      <c r="BD121" s="126">
        <v>1.2</v>
      </c>
      <c r="BH121" s="119" t="s">
        <v>37</v>
      </c>
      <c r="BI121" s="122">
        <v>0</v>
      </c>
      <c r="BJ121" s="122">
        <v>0</v>
      </c>
      <c r="BK121" s="122">
        <v>0</v>
      </c>
      <c r="BL121" s="122">
        <v>0</v>
      </c>
      <c r="BM121" s="123">
        <f>Attached_sourcedAlumina_and!P45</f>
        <v>0</v>
      </c>
      <c r="BN121" s="122">
        <v>0</v>
      </c>
      <c r="BO121" s="122">
        <v>1.2</v>
      </c>
    </row>
    <row r="122" spans="3:67">
      <c r="C122" s="2" t="s">
        <v>243</v>
      </c>
      <c r="D122" s="130" t="s">
        <v>278</v>
      </c>
      <c r="E122" s="130">
        <v>3.56585961680177</v>
      </c>
      <c r="F122" s="134">
        <v>2.70768592483419</v>
      </c>
      <c r="G122" s="134">
        <v>4.43882940309506</v>
      </c>
      <c r="K122">
        <f t="shared" si="20"/>
        <v>3.55106352247606</v>
      </c>
      <c r="M122" s="132">
        <v>2020</v>
      </c>
      <c r="N122" s="132" t="s">
        <v>243</v>
      </c>
      <c r="O122" s="132" t="s">
        <v>278</v>
      </c>
      <c r="P122" s="132">
        <f t="shared" si="21"/>
        <v>3.56585961680177</v>
      </c>
      <c r="Q122" s="132">
        <f>F122</f>
        <v>2.70768592483419</v>
      </c>
      <c r="R122" s="132">
        <f>G122</f>
        <v>4.43882940309506</v>
      </c>
      <c r="AB122" s="133"/>
      <c r="AC122" s="133"/>
      <c r="AD122" s="131"/>
      <c r="AW122" s="120" t="s">
        <v>279</v>
      </c>
      <c r="AX122" s="121" t="s">
        <v>223</v>
      </c>
      <c r="AY122" s="121" t="s">
        <v>223</v>
      </c>
      <c r="AZ122" s="121" t="s">
        <v>223</v>
      </c>
      <c r="BA122" s="121" t="s">
        <v>223</v>
      </c>
      <c r="BB122" s="121" t="s">
        <v>223</v>
      </c>
      <c r="BC122" s="121" t="s">
        <v>223</v>
      </c>
      <c r="BD122" s="121" t="s">
        <v>223</v>
      </c>
      <c r="BH122" s="115" t="s">
        <v>221</v>
      </c>
      <c r="BI122" s="116">
        <v>240</v>
      </c>
      <c r="BJ122" s="135">
        <v>3700</v>
      </c>
      <c r="BK122" s="116">
        <v>290</v>
      </c>
      <c r="BL122" s="135">
        <v>20200</v>
      </c>
      <c r="BM122" s="123">
        <f>Attached_sourcedAlumina_and!P46</f>
        <v>75118</v>
      </c>
      <c r="BN122" s="135">
        <v>22000</v>
      </c>
      <c r="BO122" s="135">
        <v>1631</v>
      </c>
    </row>
    <row r="123" spans="3:67">
      <c r="C123" s="2" t="s">
        <v>243</v>
      </c>
      <c r="D123" s="130" t="s">
        <v>280</v>
      </c>
      <c r="E123" s="130">
        <v>3.56556266273643</v>
      </c>
      <c r="F123" s="134">
        <v>2.70746042741341</v>
      </c>
      <c r="G123" s="134">
        <v>4.4384597641857</v>
      </c>
      <c r="K123">
        <f t="shared" si="20"/>
        <v>3.55076779661018</v>
      </c>
      <c r="M123" s="132">
        <v>2020</v>
      </c>
      <c r="N123" s="132" t="s">
        <v>243</v>
      </c>
      <c r="O123" s="132" t="s">
        <v>280</v>
      </c>
      <c r="P123" s="132">
        <f t="shared" si="21"/>
        <v>3.56556266273643</v>
      </c>
      <c r="Q123" s="132">
        <f>F123</f>
        <v>2.70746042741341</v>
      </c>
      <c r="R123" s="132">
        <f>G123</f>
        <v>4.4384597641857</v>
      </c>
      <c r="AB123" s="133"/>
      <c r="AC123" s="133"/>
      <c r="AD123" s="131"/>
      <c r="AW123" s="136" t="s">
        <v>221</v>
      </c>
      <c r="AX123" s="137">
        <v>240</v>
      </c>
      <c r="AY123" s="137">
        <v>290</v>
      </c>
      <c r="AZ123" s="138">
        <v>3700</v>
      </c>
      <c r="BA123" s="138">
        <v>20200</v>
      </c>
      <c r="BB123" s="138">
        <v>22000</v>
      </c>
      <c r="BC123" s="138">
        <v>72000</v>
      </c>
      <c r="BD123" s="138">
        <v>1631</v>
      </c>
    </row>
    <row r="124" spans="3:67">
      <c r="C124" s="2" t="s">
        <v>243</v>
      </c>
      <c r="D124" s="139" t="s">
        <v>281</v>
      </c>
      <c r="E124" s="130">
        <v>3.56496890198968</v>
      </c>
      <c r="F124" s="134">
        <v>2.70700957995578</v>
      </c>
      <c r="G124" s="134">
        <v>4.43772063375092</v>
      </c>
      <c r="K124">
        <f t="shared" si="20"/>
        <v>3.55017649226234</v>
      </c>
      <c r="M124" s="132">
        <v>2020</v>
      </c>
      <c r="N124" s="132" t="s">
        <v>243</v>
      </c>
      <c r="O124" s="132" t="s">
        <v>281</v>
      </c>
      <c r="P124" s="132">
        <f t="shared" si="21"/>
        <v>3.56496890198968</v>
      </c>
      <c r="Q124" s="132">
        <f>F124</f>
        <v>2.70700957995578</v>
      </c>
      <c r="R124" s="132">
        <f>G124</f>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131</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131</v>
      </c>
    </row>
    <row r="133" spans="3:35">
      <c r="C133" s="94" t="s">
        <v>133</v>
      </c>
      <c r="D133" s="91" t="s">
        <v>65</v>
      </c>
      <c r="E133" s="91" t="s">
        <v>66</v>
      </c>
      <c r="F133" s="91"/>
      <c r="G133" s="91"/>
      <c r="M133" s="2"/>
      <c r="N133" s="2"/>
      <c r="O133" s="2"/>
      <c r="P133" s="2"/>
      <c r="Q133" s="2"/>
      <c r="X133" s="140"/>
      <c r="Y133" s="141"/>
      <c r="Z133" s="142"/>
      <c r="AA133" s="142"/>
      <c r="AB133" s="2"/>
      <c r="AC133" s="2"/>
      <c r="AD133" t="s">
        <v>41</v>
      </c>
      <c r="AE133" s="2" t="s">
        <v>133</v>
      </c>
      <c r="AF133" s="130" t="s">
        <v>65</v>
      </c>
      <c r="AG133" s="130" t="s">
        <v>66</v>
      </c>
      <c r="AH133" s="130" t="s">
        <v>11</v>
      </c>
      <c r="AI133" s="130" t="s">
        <v>25</v>
      </c>
    </row>
    <row r="134" spans="3:35">
      <c r="C134" s="94" t="s">
        <v>282</v>
      </c>
      <c r="D134" s="91" t="s">
        <v>244</v>
      </c>
      <c r="E134" s="91">
        <v>0.1</v>
      </c>
      <c r="F134" s="143"/>
      <c r="G134" s="143"/>
      <c r="M134" s="2"/>
      <c r="N134" s="2"/>
      <c r="O134" s="2"/>
      <c r="P134" s="2"/>
      <c r="Q134" s="2"/>
      <c r="X134" s="140"/>
      <c r="Y134" s="141"/>
      <c r="Z134" s="142"/>
      <c r="AA134" s="142"/>
      <c r="AB134" s="2"/>
      <c r="AC134" s="2"/>
      <c r="AD134">
        <v>2050</v>
      </c>
      <c r="AE134" s="2" t="s">
        <v>243</v>
      </c>
      <c r="AF134" s="130" t="s">
        <v>244</v>
      </c>
      <c r="AG134" s="130">
        <f>E104*0.313</f>
        <v>2.22663316246622</v>
      </c>
      <c r="AH134" s="130">
        <f>F104*0.313</f>
        <v>1.69076293868828</v>
      </c>
      <c r="AI134" s="130">
        <f>G104*0.313</f>
        <v>2.77174252962417</v>
      </c>
    </row>
    <row r="135" spans="3:35">
      <c r="C135" s="94" t="s">
        <v>282</v>
      </c>
      <c r="D135" s="91" t="s">
        <v>246</v>
      </c>
      <c r="E135" s="91">
        <f>E134</f>
        <v>0.1</v>
      </c>
      <c r="F135" s="143"/>
      <c r="G135" s="143"/>
      <c r="M135" s="2"/>
      <c r="N135" s="2"/>
      <c r="O135" s="2"/>
      <c r="P135" s="2"/>
      <c r="Q135" s="2"/>
      <c r="X135" s="140"/>
      <c r="Y135" s="141"/>
      <c r="Z135" s="142"/>
      <c r="AA135" s="142"/>
      <c r="AB135" s="2"/>
      <c r="AC135" s="2"/>
      <c r="AD135">
        <v>2050</v>
      </c>
      <c r="AE135" s="2" t="s">
        <v>243</v>
      </c>
      <c r="AF135" s="130" t="s">
        <v>246</v>
      </c>
      <c r="AG135" s="130">
        <f t="shared" ref="AG135:AG154" si="22">E105*0.313</f>
        <v>2.22663316246622</v>
      </c>
      <c r="AH135" s="130">
        <f t="shared" ref="AH135:AH154" si="23">F105*0.313</f>
        <v>1.69076293868828</v>
      </c>
      <c r="AI135" s="130">
        <f t="shared" ref="AI135:AI154" si="24">G105*0.313</f>
        <v>2.77174252962417</v>
      </c>
    </row>
    <row r="136" spans="3:35">
      <c r="C136" s="94" t="s">
        <v>282</v>
      </c>
      <c r="D136" s="91" t="s">
        <v>248</v>
      </c>
      <c r="E136" s="91">
        <f t="shared" ref="E136:E154" si="25">E135</f>
        <v>0.1</v>
      </c>
      <c r="F136" s="143"/>
      <c r="G136" s="143"/>
      <c r="M136" s="2"/>
      <c r="N136" s="2"/>
      <c r="O136" s="2"/>
      <c r="P136" s="2"/>
      <c r="Q136" s="2"/>
      <c r="X136" s="140"/>
      <c r="Y136" s="141"/>
      <c r="Z136" s="142"/>
      <c r="AA136" s="142"/>
      <c r="AB136" s="2"/>
      <c r="AC136" s="2"/>
      <c r="AD136">
        <v>2050</v>
      </c>
      <c r="AE136" s="2" t="s">
        <v>243</v>
      </c>
      <c r="AF136" s="130" t="s">
        <v>248</v>
      </c>
      <c r="AG136" s="130">
        <f t="shared" si="22"/>
        <v>2.38811314546794</v>
      </c>
      <c r="AH136" s="130">
        <f t="shared" si="23"/>
        <v>1.81338051569639</v>
      </c>
      <c r="AI136" s="130">
        <f t="shared" si="24"/>
        <v>2.97275495851142</v>
      </c>
    </row>
    <row r="137" spans="3:35">
      <c r="C137" s="94" t="s">
        <v>282</v>
      </c>
      <c r="D137" s="91" t="s">
        <v>250</v>
      </c>
      <c r="E137" s="91">
        <f t="shared" si="25"/>
        <v>0.1</v>
      </c>
      <c r="F137" s="143"/>
      <c r="G137" s="143"/>
      <c r="M137" s="2"/>
      <c r="N137" s="2"/>
      <c r="O137" s="2"/>
      <c r="P137" s="2"/>
      <c r="Q137" s="2"/>
      <c r="X137" s="140"/>
      <c r="Y137" s="141"/>
      <c r="Z137" s="142"/>
      <c r="AA137" s="142"/>
      <c r="AB137" s="2"/>
      <c r="AC137" s="2"/>
      <c r="AD137">
        <v>2050</v>
      </c>
      <c r="AE137" s="2" t="s">
        <v>243</v>
      </c>
      <c r="AF137" s="130" t="s">
        <v>250</v>
      </c>
      <c r="AG137" s="130">
        <f t="shared" si="22"/>
        <v>2.338413866028</v>
      </c>
      <c r="AH137" s="130">
        <f t="shared" si="23"/>
        <v>1.77564205725866</v>
      </c>
      <c r="AI137" s="130">
        <f t="shared" si="24"/>
        <v>2.91088862866618</v>
      </c>
    </row>
    <row r="138" spans="3:35">
      <c r="C138" s="94" t="s">
        <v>282</v>
      </c>
      <c r="D138" s="91" t="s">
        <v>252</v>
      </c>
      <c r="E138" s="91">
        <f t="shared" si="25"/>
        <v>0.1</v>
      </c>
      <c r="F138" s="143"/>
      <c r="G138" s="143"/>
      <c r="M138" s="2"/>
      <c r="N138" s="2"/>
      <c r="O138" s="2"/>
      <c r="P138" s="2"/>
      <c r="Q138" s="2"/>
      <c r="X138" s="140"/>
      <c r="Y138" s="141"/>
      <c r="Z138" s="142"/>
      <c r="AA138" s="142"/>
      <c r="AB138" s="2"/>
      <c r="AC138" s="2"/>
      <c r="AD138">
        <v>2050</v>
      </c>
      <c r="AE138" s="2" t="s">
        <v>243</v>
      </c>
      <c r="AF138" s="130" t="s">
        <v>252</v>
      </c>
      <c r="AG138" s="130">
        <f t="shared" si="22"/>
        <v>2.35264421766151</v>
      </c>
      <c r="AH138" s="130">
        <f t="shared" si="23"/>
        <v>1.78644768452469</v>
      </c>
      <c r="AI138" s="130">
        <f t="shared" si="24"/>
        <v>2.92860276794399</v>
      </c>
    </row>
    <row r="139" spans="3:35">
      <c r="C139" s="94" t="s">
        <v>282</v>
      </c>
      <c r="D139" s="91" t="s">
        <v>254</v>
      </c>
      <c r="E139" s="91">
        <f t="shared" si="25"/>
        <v>0.1</v>
      </c>
      <c r="F139" s="143"/>
      <c r="G139" s="143"/>
      <c r="M139" s="2"/>
      <c r="N139" s="2"/>
      <c r="O139" s="2"/>
      <c r="P139" s="2"/>
      <c r="Q139" s="2"/>
      <c r="X139" s="140"/>
      <c r="Y139" s="141"/>
      <c r="Z139" s="142"/>
      <c r="AA139" s="142"/>
      <c r="AB139" s="2"/>
      <c r="AC139" s="2"/>
      <c r="AD139">
        <v>2050</v>
      </c>
      <c r="AE139" s="2" t="s">
        <v>243</v>
      </c>
      <c r="AF139" s="130" t="s">
        <v>254</v>
      </c>
      <c r="AG139" s="130">
        <f t="shared" si="22"/>
        <v>2.36326350574797</v>
      </c>
      <c r="AH139" s="130">
        <f t="shared" si="23"/>
        <v>1.79451129801032</v>
      </c>
      <c r="AI139" s="130">
        <f t="shared" si="24"/>
        <v>2.9418217935888</v>
      </c>
    </row>
    <row r="140" spans="3:35">
      <c r="C140" s="94" t="s">
        <v>282</v>
      </c>
      <c r="D140" s="91" t="s">
        <v>256</v>
      </c>
      <c r="E140" s="91">
        <f t="shared" si="25"/>
        <v>0.1</v>
      </c>
      <c r="F140" s="143"/>
      <c r="G140" s="143"/>
      <c r="M140" s="2"/>
      <c r="N140" s="2"/>
      <c r="O140" s="2"/>
      <c r="P140" s="2"/>
      <c r="Q140" s="2"/>
      <c r="X140" s="140"/>
      <c r="Y140" s="141"/>
      <c r="Z140" s="142"/>
      <c r="AA140" s="142"/>
      <c r="AB140" s="2"/>
      <c r="AC140" s="2"/>
      <c r="AD140">
        <v>2050</v>
      </c>
      <c r="AE140" s="2" t="s">
        <v>243</v>
      </c>
      <c r="AF140" s="130" t="s">
        <v>256</v>
      </c>
      <c r="AG140" s="130">
        <f t="shared" si="22"/>
        <v>2.38811314546794</v>
      </c>
      <c r="AH140" s="130">
        <f t="shared" si="23"/>
        <v>1.81338051569639</v>
      </c>
      <c r="AI140" s="130">
        <f t="shared" si="24"/>
        <v>2.97275495851142</v>
      </c>
    </row>
    <row r="141" spans="3:35">
      <c r="C141" s="94" t="s">
        <v>282</v>
      </c>
      <c r="D141" s="91" t="s">
        <v>258</v>
      </c>
      <c r="E141" s="91">
        <f t="shared" si="25"/>
        <v>0.1</v>
      </c>
      <c r="F141" s="143"/>
      <c r="G141" s="143"/>
      <c r="M141" s="2"/>
      <c r="N141" s="2"/>
      <c r="O141" s="2"/>
      <c r="P141" s="2"/>
      <c r="Q141" s="2"/>
      <c r="X141" s="140"/>
      <c r="Y141" s="141"/>
      <c r="Z141" s="142"/>
      <c r="AA141" s="142"/>
      <c r="AB141" s="2"/>
      <c r="AC141" s="2"/>
      <c r="AD141">
        <v>2050</v>
      </c>
      <c r="AE141" s="2" t="s">
        <v>243</v>
      </c>
      <c r="AF141" s="130" t="s">
        <v>258</v>
      </c>
      <c r="AG141" s="130">
        <f t="shared" si="22"/>
        <v>1.3095438006141</v>
      </c>
      <c r="AH141" s="130">
        <f t="shared" si="23"/>
        <v>0.994383885335299</v>
      </c>
      <c r="AI141" s="130">
        <f t="shared" si="24"/>
        <v>1.63013751429624</v>
      </c>
    </row>
    <row r="142" spans="3:35">
      <c r="C142" s="94" t="s">
        <v>282</v>
      </c>
      <c r="D142" s="91" t="s">
        <v>260</v>
      </c>
      <c r="E142" s="91">
        <f t="shared" si="25"/>
        <v>0.1</v>
      </c>
      <c r="F142" s="143"/>
      <c r="G142" s="143"/>
      <c r="M142" s="2"/>
      <c r="N142" s="2"/>
      <c r="O142" s="2"/>
      <c r="P142" s="2"/>
      <c r="Q142" s="2"/>
      <c r="X142" s="140"/>
      <c r="Y142" s="141"/>
      <c r="Z142" s="142"/>
      <c r="AA142" s="142"/>
      <c r="AB142" s="2"/>
      <c r="AC142" s="2"/>
      <c r="AD142">
        <v>2050</v>
      </c>
      <c r="AE142" s="2" t="s">
        <v>243</v>
      </c>
      <c r="AF142" s="130" t="s">
        <v>260</v>
      </c>
      <c r="AG142" s="130">
        <f t="shared" si="22"/>
        <v>1.3095438006141</v>
      </c>
      <c r="AH142" s="130">
        <f t="shared" si="23"/>
        <v>0.994383885335299</v>
      </c>
      <c r="AI142" s="130">
        <f t="shared" si="24"/>
        <v>1.63013751429624</v>
      </c>
    </row>
    <row r="143" spans="3:35">
      <c r="C143" s="94" t="s">
        <v>282</v>
      </c>
      <c r="D143" s="91" t="s">
        <v>261</v>
      </c>
      <c r="E143" s="91">
        <f t="shared" si="25"/>
        <v>0.1</v>
      </c>
      <c r="F143" s="143"/>
      <c r="G143" s="143"/>
      <c r="M143" s="2"/>
      <c r="N143" s="2"/>
      <c r="O143" s="2"/>
      <c r="P143" s="2"/>
      <c r="Q143" s="2"/>
      <c r="X143" s="140"/>
      <c r="Y143" s="141"/>
      <c r="Z143" s="142"/>
      <c r="AA143" s="142"/>
      <c r="AB143" s="2"/>
      <c r="AC143" s="2"/>
      <c r="AD143">
        <v>2050</v>
      </c>
      <c r="AE143" s="2" t="s">
        <v>243</v>
      </c>
      <c r="AF143" s="130" t="s">
        <v>261</v>
      </c>
      <c r="AG143" s="130">
        <f t="shared" si="22"/>
        <v>1.3095438006141</v>
      </c>
      <c r="AH143" s="130">
        <f t="shared" si="23"/>
        <v>0.994383885335299</v>
      </c>
      <c r="AI143" s="130">
        <f t="shared" si="24"/>
        <v>1.63013751429624</v>
      </c>
    </row>
    <row r="144" spans="3:35">
      <c r="C144" s="94" t="s">
        <v>282</v>
      </c>
      <c r="D144" s="91" t="s">
        <v>263</v>
      </c>
      <c r="E144" s="91">
        <f t="shared" si="25"/>
        <v>0.1</v>
      </c>
      <c r="F144" s="143"/>
      <c r="G144" s="143"/>
      <c r="M144" s="2"/>
      <c r="N144" s="2"/>
      <c r="O144" s="2"/>
      <c r="P144" s="2"/>
      <c r="Q144" s="2"/>
      <c r="X144" s="140"/>
      <c r="Y144" s="141"/>
      <c r="Z144" s="142"/>
      <c r="AA144" s="142"/>
      <c r="AB144" s="2"/>
      <c r="AC144" s="2"/>
      <c r="AD144">
        <v>2050</v>
      </c>
      <c r="AE144" s="2" t="s">
        <v>243</v>
      </c>
      <c r="AF144" s="130" t="s">
        <v>263</v>
      </c>
      <c r="AG144" s="130">
        <f t="shared" si="22"/>
        <v>1.3095438006141</v>
      </c>
      <c r="AH144" s="130">
        <f t="shared" si="23"/>
        <v>0.994383885335299</v>
      </c>
      <c r="AI144" s="130">
        <f t="shared" si="24"/>
        <v>1.63013751429624</v>
      </c>
    </row>
    <row r="145" spans="3:35">
      <c r="C145" s="94" t="s">
        <v>282</v>
      </c>
      <c r="D145" s="91" t="s">
        <v>265</v>
      </c>
      <c r="E145" s="91">
        <f t="shared" si="25"/>
        <v>0.1</v>
      </c>
      <c r="F145" s="143"/>
      <c r="G145" s="143"/>
      <c r="M145" s="2"/>
      <c r="N145" s="2"/>
      <c r="O145" s="2"/>
      <c r="P145" s="2"/>
      <c r="Q145" s="2"/>
      <c r="X145" s="140"/>
      <c r="Y145" s="141"/>
      <c r="Z145" s="142"/>
      <c r="AA145" s="142"/>
      <c r="AB145" s="2"/>
      <c r="AC145" s="2"/>
      <c r="AD145">
        <v>2050</v>
      </c>
      <c r="AE145" s="2" t="s">
        <v>243</v>
      </c>
      <c r="AF145" s="130" t="s">
        <v>265</v>
      </c>
      <c r="AG145" s="130">
        <f t="shared" si="22"/>
        <v>1.3095438006141</v>
      </c>
      <c r="AH145" s="130">
        <f t="shared" si="23"/>
        <v>0.994383885335299</v>
      </c>
      <c r="AI145" s="130">
        <f t="shared" si="24"/>
        <v>1.63013751429624</v>
      </c>
    </row>
    <row r="146" spans="3:35">
      <c r="C146" s="94" t="s">
        <v>282</v>
      </c>
      <c r="D146" s="91" t="s">
        <v>267</v>
      </c>
      <c r="E146" s="91">
        <f t="shared" si="25"/>
        <v>0.1</v>
      </c>
      <c r="F146" s="143"/>
      <c r="G146" s="143"/>
      <c r="M146" s="2"/>
      <c r="N146" s="2"/>
      <c r="O146" s="2"/>
      <c r="P146" s="2"/>
      <c r="Q146" s="2"/>
      <c r="X146" s="140"/>
      <c r="Y146" s="141"/>
      <c r="Z146" s="142"/>
      <c r="AA146" s="142"/>
      <c r="AB146" s="2"/>
      <c r="AC146" s="2"/>
      <c r="AD146">
        <v>2050</v>
      </c>
      <c r="AE146" s="2" t="s">
        <v>243</v>
      </c>
      <c r="AF146" s="130" t="s">
        <v>267</v>
      </c>
      <c r="AG146" s="130">
        <f t="shared" si="22"/>
        <v>1.3095438006141</v>
      </c>
      <c r="AH146" s="130">
        <f t="shared" si="23"/>
        <v>0.994383885335299</v>
      </c>
      <c r="AI146" s="130">
        <f t="shared" si="24"/>
        <v>1.63013751429624</v>
      </c>
    </row>
    <row r="147" spans="3:35">
      <c r="C147" s="94" t="s">
        <v>282</v>
      </c>
      <c r="D147" s="91" t="s">
        <v>269</v>
      </c>
      <c r="E147" s="91">
        <f t="shared" si="25"/>
        <v>0.1</v>
      </c>
      <c r="F147" s="143"/>
      <c r="G147" s="143"/>
      <c r="M147" s="2"/>
      <c r="N147" s="2"/>
      <c r="O147" s="2"/>
      <c r="P147" s="2"/>
      <c r="Q147" s="2"/>
      <c r="X147" s="140"/>
      <c r="Y147" s="141"/>
      <c r="Z147" s="142"/>
      <c r="AA147" s="142"/>
      <c r="AB147" s="2"/>
      <c r="AC147" s="2"/>
      <c r="AD147">
        <v>2050</v>
      </c>
      <c r="AE147" s="2" t="s">
        <v>243</v>
      </c>
      <c r="AF147" s="130" t="s">
        <v>269</v>
      </c>
      <c r="AG147" s="130">
        <f t="shared" si="22"/>
        <v>1.3095438006141</v>
      </c>
      <c r="AH147" s="130">
        <f t="shared" si="23"/>
        <v>0.994383885335299</v>
      </c>
      <c r="AI147" s="130">
        <f t="shared" si="24"/>
        <v>1.63013751429624</v>
      </c>
    </row>
    <row r="148" spans="3:35">
      <c r="C148" s="94" t="s">
        <v>282</v>
      </c>
      <c r="D148" s="91" t="s">
        <v>271</v>
      </c>
      <c r="E148" s="91">
        <f t="shared" si="25"/>
        <v>0.1</v>
      </c>
      <c r="F148" s="143"/>
      <c r="G148" s="143"/>
      <c r="M148" s="2"/>
      <c r="N148" s="2"/>
      <c r="O148" s="2"/>
      <c r="P148" s="2"/>
      <c r="Q148" s="2"/>
      <c r="X148" s="140"/>
      <c r="Y148" s="141"/>
      <c r="Z148" s="142"/>
      <c r="AA148" s="142"/>
      <c r="AB148" s="2"/>
      <c r="AC148" s="2"/>
      <c r="AD148">
        <v>2050</v>
      </c>
      <c r="AE148" s="2" t="s">
        <v>243</v>
      </c>
      <c r="AF148" s="130" t="s">
        <v>271</v>
      </c>
      <c r="AG148" s="130">
        <f t="shared" si="22"/>
        <v>1.1160211134365</v>
      </c>
      <c r="AH148" s="130">
        <f t="shared" si="23"/>
        <v>0.847435113780397</v>
      </c>
      <c r="AI148" s="130">
        <f t="shared" si="24"/>
        <v>1.38923790619012</v>
      </c>
    </row>
    <row r="149" spans="3:35">
      <c r="C149" s="94" t="s">
        <v>282</v>
      </c>
      <c r="D149" s="91" t="s">
        <v>273</v>
      </c>
      <c r="E149" s="91">
        <f t="shared" si="25"/>
        <v>0.1</v>
      </c>
      <c r="F149" s="143"/>
      <c r="G149" s="143"/>
      <c r="M149" s="2"/>
      <c r="N149" s="2"/>
      <c r="O149" s="2"/>
      <c r="P149" s="2"/>
      <c r="Q149" s="2"/>
      <c r="X149" s="140"/>
      <c r="Y149" s="141"/>
      <c r="Z149" s="142"/>
      <c r="AA149" s="142"/>
      <c r="AB149" s="2"/>
      <c r="AC149" s="2"/>
      <c r="AD149">
        <v>2050</v>
      </c>
      <c r="AE149" s="2" t="s">
        <v>243</v>
      </c>
      <c r="AF149" s="130" t="s">
        <v>273</v>
      </c>
      <c r="AG149" s="130">
        <f t="shared" si="22"/>
        <v>1.1270745266028</v>
      </c>
      <c r="AH149" s="130">
        <f t="shared" si="23"/>
        <v>0.855828380619012</v>
      </c>
      <c r="AI149" s="130">
        <f t="shared" si="24"/>
        <v>1.40299733544584</v>
      </c>
    </row>
    <row r="150" spans="3:35">
      <c r="C150" s="94" t="s">
        <v>282</v>
      </c>
      <c r="D150" s="91" t="s">
        <v>275</v>
      </c>
      <c r="E150" s="91">
        <f t="shared" si="25"/>
        <v>0.1</v>
      </c>
      <c r="F150" s="143"/>
      <c r="G150" s="143"/>
      <c r="M150" s="2"/>
      <c r="N150" s="2"/>
      <c r="O150" s="2"/>
      <c r="P150" s="2"/>
      <c r="Q150" s="2"/>
      <c r="X150" s="140"/>
      <c r="Y150" s="141"/>
      <c r="Z150" s="142"/>
      <c r="AA150" s="142"/>
      <c r="AB150" s="2"/>
      <c r="AC150" s="2"/>
      <c r="AD150">
        <v>2050</v>
      </c>
      <c r="AE150" s="2" t="s">
        <v>243</v>
      </c>
      <c r="AF150" s="130" t="s">
        <v>275</v>
      </c>
      <c r="AG150" s="130">
        <f t="shared" si="22"/>
        <v>1.1160211134365</v>
      </c>
      <c r="AH150" s="130">
        <f t="shared" si="23"/>
        <v>0.847435113780397</v>
      </c>
      <c r="AI150" s="130">
        <f t="shared" si="24"/>
        <v>1.38923790619012</v>
      </c>
    </row>
    <row r="151" spans="3:35">
      <c r="C151" s="94" t="s">
        <v>282</v>
      </c>
      <c r="D151" s="91" t="s">
        <v>276</v>
      </c>
      <c r="E151" s="91">
        <f t="shared" si="25"/>
        <v>0.1</v>
      </c>
      <c r="F151" s="143"/>
      <c r="G151" s="143"/>
      <c r="M151" s="2"/>
      <c r="N151" s="2"/>
      <c r="O151" s="2"/>
      <c r="P151" s="2"/>
      <c r="Q151" s="2"/>
      <c r="X151" s="140"/>
      <c r="Y151" s="141"/>
      <c r="Z151" s="142"/>
      <c r="AA151" s="142"/>
      <c r="AB151" s="2"/>
      <c r="AC151" s="2"/>
      <c r="AD151">
        <v>2050</v>
      </c>
      <c r="AE151" s="2" t="s">
        <v>243</v>
      </c>
      <c r="AF151" s="130" t="s">
        <v>276</v>
      </c>
      <c r="AG151" s="130">
        <f t="shared" si="22"/>
        <v>1.11630000712356</v>
      </c>
      <c r="AH151" s="130">
        <f t="shared" si="23"/>
        <v>0.847646901989683</v>
      </c>
      <c r="AI151" s="130">
        <f t="shared" si="24"/>
        <v>1.38958506632277</v>
      </c>
    </row>
    <row r="152" spans="3:35">
      <c r="C152" s="94" t="s">
        <v>282</v>
      </c>
      <c r="D152" s="91" t="s">
        <v>278</v>
      </c>
      <c r="E152" s="91">
        <f t="shared" si="25"/>
        <v>0.1</v>
      </c>
      <c r="F152" s="143"/>
      <c r="G152" s="143"/>
      <c r="M152" s="2"/>
      <c r="N152" s="2"/>
      <c r="O152" s="2"/>
      <c r="P152" s="2"/>
      <c r="Q152" s="2"/>
      <c r="X152" s="140"/>
      <c r="Y152" s="141"/>
      <c r="Z152" s="142"/>
      <c r="AA152" s="142"/>
      <c r="AB152" s="2"/>
      <c r="AC152" s="2"/>
      <c r="AD152">
        <v>2050</v>
      </c>
      <c r="AE152" s="2" t="s">
        <v>243</v>
      </c>
      <c r="AF152" s="130" t="s">
        <v>278</v>
      </c>
      <c r="AG152" s="130">
        <f t="shared" si="22"/>
        <v>1.11611406005895</v>
      </c>
      <c r="AH152" s="130">
        <f t="shared" si="23"/>
        <v>0.847505694473101</v>
      </c>
      <c r="AI152" s="130">
        <f t="shared" si="24"/>
        <v>1.38935360316875</v>
      </c>
    </row>
    <row r="153" spans="3:35">
      <c r="C153" s="94" t="s">
        <v>282</v>
      </c>
      <c r="D153" s="91" t="s">
        <v>280</v>
      </c>
      <c r="E153" s="91">
        <f t="shared" si="25"/>
        <v>0.1</v>
      </c>
      <c r="F153" s="143"/>
      <c r="G153" s="143"/>
      <c r="M153" s="2"/>
      <c r="N153" s="2"/>
      <c r="O153" s="2"/>
      <c r="P153" s="2"/>
      <c r="Q153" s="2"/>
      <c r="X153" s="140"/>
      <c r="Y153" s="141"/>
      <c r="Z153" s="142"/>
      <c r="AA153" s="142"/>
      <c r="AB153" s="2"/>
      <c r="AC153" s="2"/>
      <c r="AD153">
        <v>2050</v>
      </c>
      <c r="AE153" s="2" t="s">
        <v>243</v>
      </c>
      <c r="AF153" s="130" t="s">
        <v>280</v>
      </c>
      <c r="AG153" s="130">
        <f t="shared" si="22"/>
        <v>1.1160211134365</v>
      </c>
      <c r="AH153" s="130">
        <f t="shared" si="23"/>
        <v>0.847435113780397</v>
      </c>
      <c r="AI153" s="130">
        <f t="shared" si="24"/>
        <v>1.38923790619012</v>
      </c>
    </row>
    <row r="154" spans="3:35">
      <c r="C154" s="94" t="s">
        <v>282</v>
      </c>
      <c r="D154" s="144" t="s">
        <v>281</v>
      </c>
      <c r="E154" s="91">
        <f t="shared" si="25"/>
        <v>0.1</v>
      </c>
      <c r="F154" s="143"/>
      <c r="G154" s="143"/>
      <c r="M154" s="2"/>
      <c r="N154" s="2"/>
      <c r="O154" s="2"/>
      <c r="P154" s="2"/>
      <c r="Q154" s="2"/>
      <c r="X154" s="140"/>
      <c r="Y154" s="141"/>
      <c r="Z154" s="142"/>
      <c r="AA154" s="142"/>
      <c r="AB154" s="2"/>
      <c r="AC154" s="2"/>
      <c r="AD154">
        <v>2050</v>
      </c>
      <c r="AE154" s="2" t="s">
        <v>243</v>
      </c>
      <c r="AF154" s="139" t="s">
        <v>281</v>
      </c>
      <c r="AG154" s="130">
        <f t="shared" si="22"/>
        <v>1.11583526632277</v>
      </c>
      <c r="AH154" s="130">
        <f t="shared" si="23"/>
        <v>0.847293998526159</v>
      </c>
      <c r="AI154" s="130">
        <f t="shared" si="24"/>
        <v>1.38900655836404</v>
      </c>
    </row>
    <row r="161" spans="1:40">
      <c r="B161" s="84"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185</v>
      </c>
    </row>
    <row r="165" spans="1:40">
      <c r="A165">
        <v>2025</v>
      </c>
      <c r="B165" t="s">
        <v>187</v>
      </c>
      <c r="C165" t="s">
        <v>188</v>
      </c>
      <c r="D165" t="s">
        <v>189</v>
      </c>
      <c r="E165" t="s">
        <v>190</v>
      </c>
      <c r="F165">
        <f>F88</f>
        <v>0</v>
      </c>
      <c r="G165">
        <f t="shared" ref="G165:AM165" si="26">G88</f>
        <v>24.7</v>
      </c>
      <c r="H165">
        <f t="shared" si="26"/>
        <v>88</v>
      </c>
      <c r="I165">
        <f t="shared" si="26"/>
        <v>0</v>
      </c>
      <c r="J165">
        <f t="shared" si="26"/>
        <v>0</v>
      </c>
      <c r="K165">
        <f t="shared" si="26"/>
        <v>0</v>
      </c>
      <c r="L165">
        <f t="shared" si="26"/>
        <v>10</v>
      </c>
      <c r="M165">
        <f t="shared" si="26"/>
        <v>41</v>
      </c>
      <c r="N165">
        <f t="shared" si="26"/>
        <v>0</v>
      </c>
      <c r="O165">
        <f t="shared" si="26"/>
        <v>0</v>
      </c>
      <c r="P165">
        <f t="shared" si="26"/>
        <v>0</v>
      </c>
      <c r="Q165">
        <f t="shared" si="26"/>
        <v>0</v>
      </c>
      <c r="R165">
        <f t="shared" si="26"/>
        <v>0</v>
      </c>
      <c r="S165">
        <f t="shared" si="26"/>
        <v>0</v>
      </c>
      <c r="T165">
        <f t="shared" si="26"/>
        <v>0</v>
      </c>
      <c r="U165">
        <f t="shared" si="26"/>
        <v>0</v>
      </c>
      <c r="V165">
        <f t="shared" si="26"/>
        <v>0</v>
      </c>
      <c r="W165">
        <f t="shared" si="26"/>
        <v>0</v>
      </c>
      <c r="X165">
        <f t="shared" si="26"/>
        <v>0</v>
      </c>
      <c r="Y165">
        <f t="shared" si="26"/>
        <v>67</v>
      </c>
      <c r="Z165">
        <f t="shared" si="26"/>
        <v>0</v>
      </c>
      <c r="AA165">
        <f t="shared" si="26"/>
        <v>4.3</v>
      </c>
      <c r="AB165">
        <f t="shared" si="26"/>
        <v>0</v>
      </c>
      <c r="AC165">
        <f t="shared" si="26"/>
        <v>0</v>
      </c>
      <c r="AD165">
        <f t="shared" si="26"/>
        <v>4.6</v>
      </c>
      <c r="AE165">
        <f t="shared" si="26"/>
        <v>0</v>
      </c>
      <c r="AF165">
        <f t="shared" si="26"/>
        <v>0</v>
      </c>
      <c r="AG165">
        <f t="shared" si="26"/>
        <v>0</v>
      </c>
      <c r="AH165">
        <f t="shared" si="26"/>
        <v>0.4</v>
      </c>
      <c r="AI165">
        <f t="shared" si="26"/>
        <v>0</v>
      </c>
      <c r="AJ165">
        <f t="shared" si="26"/>
        <v>0</v>
      </c>
      <c r="AK165">
        <f t="shared" si="26"/>
        <v>0</v>
      </c>
      <c r="AL165">
        <f t="shared" si="26"/>
        <v>0</v>
      </c>
      <c r="AM165">
        <f t="shared" si="26"/>
        <v>0</v>
      </c>
      <c r="AN165" t="s">
        <v>190</v>
      </c>
    </row>
    <row r="166" spans="1:40">
      <c r="A166">
        <v>2025</v>
      </c>
      <c r="B166" t="s">
        <v>187</v>
      </c>
      <c r="C166" t="s">
        <v>188</v>
      </c>
      <c r="D166" t="s">
        <v>191</v>
      </c>
      <c r="E166" t="s">
        <v>192</v>
      </c>
      <c r="F166">
        <f t="shared" ref="F166:F171" si="27">F89</f>
        <v>0</v>
      </c>
      <c r="G166">
        <f t="shared" ref="G166:AM166" si="28">G89</f>
        <v>0</v>
      </c>
      <c r="H166">
        <f t="shared" si="28"/>
        <v>110</v>
      </c>
      <c r="I166">
        <f t="shared" si="28"/>
        <v>0</v>
      </c>
      <c r="J166">
        <f t="shared" si="28"/>
        <v>0</v>
      </c>
      <c r="K166">
        <f t="shared" si="28"/>
        <v>0</v>
      </c>
      <c r="L166">
        <f t="shared" si="28"/>
        <v>77</v>
      </c>
      <c r="M166">
        <f t="shared" si="28"/>
        <v>120</v>
      </c>
      <c r="N166">
        <f t="shared" si="28"/>
        <v>0</v>
      </c>
      <c r="O166">
        <f t="shared" si="28"/>
        <v>0</v>
      </c>
      <c r="P166">
        <f t="shared" si="28"/>
        <v>0</v>
      </c>
      <c r="Q166">
        <f t="shared" si="28"/>
        <v>0</v>
      </c>
      <c r="R166">
        <f t="shared" si="28"/>
        <v>0</v>
      </c>
      <c r="S166">
        <f t="shared" si="28"/>
        <v>0</v>
      </c>
      <c r="T166">
        <f t="shared" si="28"/>
        <v>0</v>
      </c>
      <c r="U166">
        <f t="shared" si="28"/>
        <v>0</v>
      </c>
      <c r="V166">
        <f t="shared" si="28"/>
        <v>0</v>
      </c>
      <c r="W166">
        <f t="shared" si="28"/>
        <v>0</v>
      </c>
      <c r="X166">
        <f t="shared" si="28"/>
        <v>0</v>
      </c>
      <c r="Y166">
        <f t="shared" si="28"/>
        <v>0</v>
      </c>
      <c r="Z166">
        <f t="shared" si="28"/>
        <v>0</v>
      </c>
      <c r="AA166">
        <f t="shared" si="28"/>
        <v>198</v>
      </c>
      <c r="AB166">
        <f t="shared" si="28"/>
        <v>0</v>
      </c>
      <c r="AC166">
        <f t="shared" si="28"/>
        <v>0</v>
      </c>
      <c r="AD166">
        <f t="shared" si="28"/>
        <v>2985</v>
      </c>
      <c r="AE166">
        <f t="shared" si="28"/>
        <v>210</v>
      </c>
      <c r="AF166">
        <f t="shared" si="28"/>
        <v>0</v>
      </c>
      <c r="AG166">
        <f t="shared" si="28"/>
        <v>0</v>
      </c>
      <c r="AH166">
        <f t="shared" si="28"/>
        <v>0</v>
      </c>
      <c r="AI166">
        <f t="shared" si="28"/>
        <v>0</v>
      </c>
      <c r="AJ166">
        <f t="shared" si="28"/>
        <v>0</v>
      </c>
      <c r="AK166">
        <f t="shared" si="28"/>
        <v>0</v>
      </c>
      <c r="AL166">
        <f t="shared" si="28"/>
        <v>0</v>
      </c>
      <c r="AM166">
        <f t="shared" si="28"/>
        <v>0</v>
      </c>
      <c r="AN166" t="s">
        <v>192</v>
      </c>
    </row>
    <row r="167" spans="1:40">
      <c r="A167">
        <v>2025</v>
      </c>
      <c r="B167" t="s">
        <v>187</v>
      </c>
      <c r="C167" t="s">
        <v>188</v>
      </c>
      <c r="D167" t="s">
        <v>193</v>
      </c>
      <c r="E167" t="s">
        <v>194</v>
      </c>
      <c r="F167">
        <f t="shared" si="27"/>
        <v>0</v>
      </c>
      <c r="G167">
        <f t="shared" ref="G167:AM167" si="29">G90</f>
        <v>222.6</v>
      </c>
      <c r="H167">
        <f t="shared" si="29"/>
        <v>3.6</v>
      </c>
      <c r="I167">
        <f t="shared" si="29"/>
        <v>0</v>
      </c>
      <c r="J167">
        <f t="shared" si="29"/>
        <v>0</v>
      </c>
      <c r="K167">
        <f t="shared" si="29"/>
        <v>0</v>
      </c>
      <c r="L167">
        <f t="shared" si="29"/>
        <v>0</v>
      </c>
      <c r="M167">
        <f t="shared" si="29"/>
        <v>0</v>
      </c>
      <c r="N167">
        <f t="shared" si="29"/>
        <v>0</v>
      </c>
      <c r="O167">
        <f t="shared" si="29"/>
        <v>0</v>
      </c>
      <c r="P167">
        <f t="shared" si="29"/>
        <v>0</v>
      </c>
      <c r="Q167">
        <f t="shared" si="29"/>
        <v>0</v>
      </c>
      <c r="R167">
        <f t="shared" si="29"/>
        <v>0</v>
      </c>
      <c r="S167">
        <f t="shared" si="29"/>
        <v>0</v>
      </c>
      <c r="T167">
        <f t="shared" si="29"/>
        <v>0</v>
      </c>
      <c r="U167">
        <f t="shared" si="29"/>
        <v>0</v>
      </c>
      <c r="V167">
        <f t="shared" si="29"/>
        <v>0</v>
      </c>
      <c r="W167">
        <f t="shared" si="29"/>
        <v>0</v>
      </c>
      <c r="X167">
        <f t="shared" si="29"/>
        <v>0</v>
      </c>
      <c r="Y167">
        <f t="shared" si="29"/>
        <v>3.5</v>
      </c>
      <c r="Z167">
        <f t="shared" si="29"/>
        <v>0</v>
      </c>
      <c r="AA167">
        <f t="shared" si="29"/>
        <v>4.8</v>
      </c>
      <c r="AB167">
        <f t="shared" si="29"/>
        <v>0</v>
      </c>
      <c r="AC167">
        <f t="shared" si="29"/>
        <v>0</v>
      </c>
      <c r="AD167">
        <f t="shared" si="29"/>
        <v>43.8</v>
      </c>
      <c r="AE167">
        <f t="shared" si="29"/>
        <v>8.7</v>
      </c>
      <c r="AF167">
        <f t="shared" si="29"/>
        <v>0</v>
      </c>
      <c r="AG167">
        <f t="shared" si="29"/>
        <v>0</v>
      </c>
      <c r="AH167">
        <f t="shared" si="29"/>
        <v>0</v>
      </c>
      <c r="AI167">
        <f t="shared" si="29"/>
        <v>0</v>
      </c>
      <c r="AJ167">
        <f t="shared" si="29"/>
        <v>0</v>
      </c>
      <c r="AK167">
        <f t="shared" si="29"/>
        <v>2.7</v>
      </c>
      <c r="AL167">
        <f t="shared" si="29"/>
        <v>0</v>
      </c>
      <c r="AM167">
        <f t="shared" si="29"/>
        <v>0</v>
      </c>
      <c r="AN167" t="s">
        <v>194</v>
      </c>
    </row>
    <row r="168" spans="1:40">
      <c r="A168">
        <v>2025</v>
      </c>
      <c r="B168" t="s">
        <v>187</v>
      </c>
      <c r="C168" t="s">
        <v>188</v>
      </c>
      <c r="D168" t="s">
        <v>196</v>
      </c>
      <c r="E168" t="s">
        <v>197</v>
      </c>
      <c r="F168">
        <f t="shared" si="27"/>
        <v>0</v>
      </c>
      <c r="G168">
        <f t="shared" ref="G168:AM168" si="30">G91</f>
        <v>5780</v>
      </c>
      <c r="H168">
        <f t="shared" si="30"/>
        <v>2800</v>
      </c>
      <c r="I168">
        <f t="shared" si="30"/>
        <v>0</v>
      </c>
      <c r="J168">
        <f t="shared" si="30"/>
        <v>0</v>
      </c>
      <c r="K168">
        <f t="shared" si="30"/>
        <v>0</v>
      </c>
      <c r="L168">
        <f t="shared" si="30"/>
        <v>590</v>
      </c>
      <c r="M168">
        <f t="shared" si="30"/>
        <v>770</v>
      </c>
      <c r="N168">
        <f t="shared" si="30"/>
        <v>0</v>
      </c>
      <c r="O168">
        <f t="shared" si="30"/>
        <v>0</v>
      </c>
      <c r="P168">
        <f t="shared" si="30"/>
        <v>0</v>
      </c>
      <c r="Q168">
        <f t="shared" si="30"/>
        <v>0</v>
      </c>
      <c r="R168">
        <f t="shared" si="30"/>
        <v>0</v>
      </c>
      <c r="S168">
        <f t="shared" si="30"/>
        <v>0</v>
      </c>
      <c r="T168">
        <f t="shared" si="30"/>
        <v>0</v>
      </c>
      <c r="U168">
        <f t="shared" si="30"/>
        <v>800</v>
      </c>
      <c r="V168">
        <f t="shared" si="30"/>
        <v>0</v>
      </c>
      <c r="W168">
        <f t="shared" si="30"/>
        <v>0</v>
      </c>
      <c r="X168">
        <f t="shared" si="30"/>
        <v>0</v>
      </c>
      <c r="Y168">
        <f t="shared" si="30"/>
        <v>0</v>
      </c>
      <c r="Z168">
        <f t="shared" si="30"/>
        <v>0</v>
      </c>
      <c r="AA168">
        <f t="shared" si="30"/>
        <v>0</v>
      </c>
      <c r="AB168">
        <f t="shared" si="30"/>
        <v>0</v>
      </c>
      <c r="AC168">
        <f t="shared" si="30"/>
        <v>0</v>
      </c>
      <c r="AD168">
        <f t="shared" si="30"/>
        <v>2060</v>
      </c>
      <c r="AE168">
        <f t="shared" si="30"/>
        <v>0</v>
      </c>
      <c r="AF168">
        <f t="shared" si="30"/>
        <v>0</v>
      </c>
      <c r="AG168">
        <f t="shared" si="30"/>
        <v>7400</v>
      </c>
      <c r="AH168">
        <f t="shared" si="30"/>
        <v>0</v>
      </c>
      <c r="AI168">
        <f t="shared" si="30"/>
        <v>0</v>
      </c>
      <c r="AJ168">
        <f t="shared" si="30"/>
        <v>0</v>
      </c>
      <c r="AK168">
        <f t="shared" si="30"/>
        <v>0</v>
      </c>
      <c r="AL168">
        <f t="shared" si="30"/>
        <v>0</v>
      </c>
      <c r="AM168">
        <f t="shared" si="30"/>
        <v>0</v>
      </c>
      <c r="AN168" t="s">
        <v>197</v>
      </c>
    </row>
    <row r="169" spans="1:40">
      <c r="A169">
        <v>2025</v>
      </c>
      <c r="B169" t="s">
        <v>187</v>
      </c>
      <c r="C169" t="s">
        <v>188</v>
      </c>
      <c r="D169" s="2" t="s">
        <v>198</v>
      </c>
      <c r="E169" t="s">
        <v>199</v>
      </c>
      <c r="F169">
        <f t="shared" si="27"/>
        <v>0</v>
      </c>
      <c r="G169">
        <f t="shared" ref="G169:AM169" si="31">G92</f>
        <v>159</v>
      </c>
      <c r="H169">
        <f t="shared" si="31"/>
        <v>9522</v>
      </c>
      <c r="I169">
        <f t="shared" si="31"/>
        <v>0</v>
      </c>
      <c r="J169">
        <f t="shared" si="31"/>
        <v>0</v>
      </c>
      <c r="K169">
        <f t="shared" si="31"/>
        <v>0</v>
      </c>
      <c r="L169">
        <f t="shared" si="31"/>
        <v>5819</v>
      </c>
      <c r="M169">
        <f t="shared" si="31"/>
        <v>44436</v>
      </c>
      <c r="N169">
        <f t="shared" si="31"/>
        <v>0</v>
      </c>
      <c r="O169">
        <f t="shared" si="31"/>
        <v>0</v>
      </c>
      <c r="P169">
        <f t="shared" si="31"/>
        <v>0</v>
      </c>
      <c r="Q169">
        <f t="shared" si="31"/>
        <v>508</v>
      </c>
      <c r="R169">
        <f t="shared" si="31"/>
        <v>455</v>
      </c>
      <c r="S169">
        <f t="shared" si="31"/>
        <v>0</v>
      </c>
      <c r="T169">
        <f t="shared" si="31"/>
        <v>0</v>
      </c>
      <c r="U169">
        <f t="shared" si="31"/>
        <v>4020</v>
      </c>
      <c r="V169">
        <f t="shared" si="31"/>
        <v>846</v>
      </c>
      <c r="W169">
        <f t="shared" si="31"/>
        <v>0</v>
      </c>
      <c r="X169">
        <f t="shared" si="31"/>
        <v>0</v>
      </c>
      <c r="Y169">
        <f t="shared" si="31"/>
        <v>0</v>
      </c>
      <c r="Z169">
        <f t="shared" si="31"/>
        <v>1270</v>
      </c>
      <c r="AA169">
        <f t="shared" si="31"/>
        <v>1175</v>
      </c>
      <c r="AB169">
        <f t="shared" si="31"/>
        <v>0</v>
      </c>
      <c r="AC169">
        <f t="shared" si="31"/>
        <v>0</v>
      </c>
      <c r="AD169">
        <f t="shared" si="31"/>
        <v>3015</v>
      </c>
      <c r="AE169">
        <f t="shared" si="31"/>
        <v>1534</v>
      </c>
      <c r="AF169">
        <f t="shared" si="31"/>
        <v>952</v>
      </c>
      <c r="AG169">
        <f t="shared" si="31"/>
        <v>0</v>
      </c>
      <c r="AH169">
        <f t="shared" si="31"/>
        <v>434</v>
      </c>
      <c r="AI169">
        <f t="shared" si="31"/>
        <v>0</v>
      </c>
      <c r="AJ169">
        <f t="shared" si="31"/>
        <v>0</v>
      </c>
      <c r="AK169">
        <f t="shared" si="31"/>
        <v>169</v>
      </c>
      <c r="AL169">
        <f t="shared" si="31"/>
        <v>0</v>
      </c>
      <c r="AM169">
        <f t="shared" si="31"/>
        <v>0</v>
      </c>
      <c r="AN169" t="s">
        <v>199</v>
      </c>
    </row>
    <row r="170" spans="1:40">
      <c r="A170">
        <v>2025</v>
      </c>
      <c r="B170" t="s">
        <v>187</v>
      </c>
      <c r="C170" s="2" t="s">
        <v>188</v>
      </c>
      <c r="D170" s="2" t="s">
        <v>200</v>
      </c>
      <c r="E170" t="s">
        <v>201</v>
      </c>
      <c r="F170">
        <f t="shared" si="27"/>
        <v>0</v>
      </c>
      <c r="G170">
        <f t="shared" ref="G170:AM170" si="32">G93</f>
        <v>3980</v>
      </c>
      <c r="H170">
        <f t="shared" si="32"/>
        <v>800</v>
      </c>
      <c r="I170">
        <f t="shared" si="32"/>
        <v>0</v>
      </c>
      <c r="J170">
        <f t="shared" si="32"/>
        <v>0</v>
      </c>
      <c r="K170">
        <f t="shared" si="32"/>
        <v>0</v>
      </c>
      <c r="L170">
        <f t="shared" si="32"/>
        <v>0</v>
      </c>
      <c r="M170">
        <f t="shared" si="32"/>
        <v>1800</v>
      </c>
      <c r="N170">
        <f t="shared" si="32"/>
        <v>0</v>
      </c>
      <c r="O170">
        <f t="shared" si="32"/>
        <v>0</v>
      </c>
      <c r="P170">
        <f t="shared" si="32"/>
        <v>0</v>
      </c>
      <c r="Q170">
        <f t="shared" si="32"/>
        <v>0</v>
      </c>
      <c r="R170">
        <f t="shared" si="32"/>
        <v>0</v>
      </c>
      <c r="S170">
        <f t="shared" si="32"/>
        <v>0</v>
      </c>
      <c r="T170">
        <f t="shared" si="32"/>
        <v>0</v>
      </c>
      <c r="U170">
        <f t="shared" si="32"/>
        <v>30</v>
      </c>
      <c r="V170">
        <f t="shared" si="32"/>
        <v>0</v>
      </c>
      <c r="W170">
        <f t="shared" si="32"/>
        <v>0</v>
      </c>
      <c r="X170">
        <f t="shared" si="32"/>
        <v>0</v>
      </c>
      <c r="Y170">
        <f t="shared" si="32"/>
        <v>7900</v>
      </c>
      <c r="Z170">
        <f t="shared" si="32"/>
        <v>0</v>
      </c>
      <c r="AA170">
        <f t="shared" si="32"/>
        <v>2250</v>
      </c>
      <c r="AB170">
        <f t="shared" si="32"/>
        <v>0</v>
      </c>
      <c r="AC170">
        <f t="shared" si="32"/>
        <v>410</v>
      </c>
      <c r="AD170">
        <f t="shared" si="32"/>
        <v>4700</v>
      </c>
      <c r="AE170">
        <f t="shared" si="32"/>
        <v>930</v>
      </c>
      <c r="AF170">
        <f t="shared" si="32"/>
        <v>0</v>
      </c>
      <c r="AG170">
        <f t="shared" si="32"/>
        <v>0</v>
      </c>
      <c r="AH170">
        <f t="shared" si="32"/>
        <v>0</v>
      </c>
      <c r="AI170">
        <f t="shared" si="32"/>
        <v>0</v>
      </c>
      <c r="AJ170">
        <f t="shared" si="32"/>
        <v>0</v>
      </c>
      <c r="AK170">
        <f t="shared" si="32"/>
        <v>0</v>
      </c>
      <c r="AL170">
        <f t="shared" si="32"/>
        <v>0</v>
      </c>
      <c r="AM170">
        <f t="shared" si="32"/>
        <v>0</v>
      </c>
      <c r="AN170" t="s">
        <v>201</v>
      </c>
    </row>
    <row r="171" spans="1:40">
      <c r="A171">
        <v>2025</v>
      </c>
      <c r="B171" t="s">
        <v>187</v>
      </c>
      <c r="C171" s="2" t="s">
        <v>188</v>
      </c>
      <c r="D171" s="2" t="s">
        <v>202</v>
      </c>
      <c r="E171" t="s">
        <v>203</v>
      </c>
      <c r="F171">
        <f t="shared" si="27"/>
        <v>0</v>
      </c>
      <c r="G171">
        <f t="shared" ref="G171:AM171" si="33">G94</f>
        <v>189</v>
      </c>
      <c r="H171">
        <f t="shared" si="33"/>
        <v>0</v>
      </c>
      <c r="I171">
        <f t="shared" si="33"/>
        <v>0.5</v>
      </c>
      <c r="J171">
        <f t="shared" si="33"/>
        <v>0</v>
      </c>
      <c r="K171">
        <f t="shared" si="33"/>
        <v>0</v>
      </c>
      <c r="L171">
        <f t="shared" si="33"/>
        <v>68</v>
      </c>
      <c r="M171">
        <f t="shared" si="33"/>
        <v>1270</v>
      </c>
      <c r="N171">
        <f t="shared" si="33"/>
        <v>0</v>
      </c>
      <c r="O171">
        <f t="shared" si="33"/>
        <v>0</v>
      </c>
      <c r="P171">
        <f t="shared" si="33"/>
        <v>0</v>
      </c>
      <c r="Q171">
        <f t="shared" si="33"/>
        <v>0.2</v>
      </c>
      <c r="R171">
        <f t="shared" si="33"/>
        <v>0</v>
      </c>
      <c r="S171">
        <f t="shared" si="33"/>
        <v>0</v>
      </c>
      <c r="T171">
        <f t="shared" si="33"/>
        <v>0</v>
      </c>
      <c r="U171">
        <f t="shared" si="33"/>
        <v>28</v>
      </c>
      <c r="V171">
        <f t="shared" si="33"/>
        <v>0</v>
      </c>
      <c r="W171">
        <f t="shared" si="33"/>
        <v>0</v>
      </c>
      <c r="X171">
        <f t="shared" si="33"/>
        <v>0</v>
      </c>
      <c r="Y171">
        <f t="shared" si="33"/>
        <v>0</v>
      </c>
      <c r="Z171">
        <f t="shared" si="33"/>
        <v>0</v>
      </c>
      <c r="AA171">
        <f t="shared" si="33"/>
        <v>20.9</v>
      </c>
      <c r="AB171">
        <f t="shared" si="33"/>
        <v>7</v>
      </c>
      <c r="AC171">
        <f t="shared" si="33"/>
        <v>0</v>
      </c>
      <c r="AD171">
        <f t="shared" si="33"/>
        <v>22.9</v>
      </c>
      <c r="AE171">
        <f t="shared" si="33"/>
        <v>20</v>
      </c>
      <c r="AF171">
        <f t="shared" si="33"/>
        <v>0</v>
      </c>
      <c r="AG171">
        <f t="shared" si="33"/>
        <v>0</v>
      </c>
      <c r="AH171">
        <f t="shared" si="33"/>
        <v>0</v>
      </c>
      <c r="AI171">
        <f t="shared" si="33"/>
        <v>0</v>
      </c>
      <c r="AJ171">
        <f t="shared" si="33"/>
        <v>0</v>
      </c>
      <c r="AK171">
        <f t="shared" si="33"/>
        <v>3</v>
      </c>
      <c r="AL171">
        <f t="shared" si="33"/>
        <v>0</v>
      </c>
      <c r="AM171">
        <f t="shared" si="33"/>
        <v>1.2</v>
      </c>
      <c r="AN171" t="s">
        <v>203</v>
      </c>
    </row>
    <row r="178" spans="1:40">
      <c r="B178" s="84"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185</v>
      </c>
    </row>
    <row r="181" spans="1:40">
      <c r="A181">
        <v>2050</v>
      </c>
      <c r="B181" t="s">
        <v>187</v>
      </c>
      <c r="C181" t="s">
        <v>188</v>
      </c>
      <c r="D181" t="s">
        <v>189</v>
      </c>
      <c r="E181" t="s">
        <v>190</v>
      </c>
      <c r="F181">
        <f t="shared" ref="F181:AM181" si="34">F165/1*10</f>
        <v>0</v>
      </c>
      <c r="G181">
        <f t="shared" si="34"/>
        <v>247</v>
      </c>
      <c r="H181">
        <f t="shared" si="34"/>
        <v>880</v>
      </c>
      <c r="I181">
        <f t="shared" si="34"/>
        <v>0</v>
      </c>
      <c r="J181">
        <f t="shared" si="34"/>
        <v>0</v>
      </c>
      <c r="K181">
        <f t="shared" si="34"/>
        <v>0</v>
      </c>
      <c r="L181">
        <f t="shared" si="34"/>
        <v>100</v>
      </c>
      <c r="M181">
        <f t="shared" si="34"/>
        <v>410</v>
      </c>
      <c r="N181">
        <f t="shared" si="34"/>
        <v>0</v>
      </c>
      <c r="O181">
        <f t="shared" si="34"/>
        <v>0</v>
      </c>
      <c r="P181">
        <f t="shared" si="34"/>
        <v>0</v>
      </c>
      <c r="Q181">
        <f t="shared" si="34"/>
        <v>0</v>
      </c>
      <c r="R181">
        <f t="shared" si="34"/>
        <v>0</v>
      </c>
      <c r="S181">
        <f t="shared" si="34"/>
        <v>0</v>
      </c>
      <c r="T181">
        <f t="shared" si="34"/>
        <v>0</v>
      </c>
      <c r="U181">
        <f t="shared" si="34"/>
        <v>0</v>
      </c>
      <c r="V181">
        <f t="shared" si="34"/>
        <v>0</v>
      </c>
      <c r="W181">
        <f t="shared" si="34"/>
        <v>0</v>
      </c>
      <c r="X181">
        <f t="shared" si="34"/>
        <v>0</v>
      </c>
      <c r="Y181">
        <f t="shared" si="34"/>
        <v>670</v>
      </c>
      <c r="Z181">
        <f t="shared" si="34"/>
        <v>0</v>
      </c>
      <c r="AA181">
        <f t="shared" si="34"/>
        <v>43</v>
      </c>
      <c r="AB181">
        <f t="shared" si="34"/>
        <v>0</v>
      </c>
      <c r="AC181">
        <f t="shared" si="34"/>
        <v>0</v>
      </c>
      <c r="AD181">
        <f t="shared" si="34"/>
        <v>46</v>
      </c>
      <c r="AE181">
        <f t="shared" si="34"/>
        <v>0</v>
      </c>
      <c r="AF181">
        <f t="shared" si="34"/>
        <v>0</v>
      </c>
      <c r="AG181">
        <f t="shared" si="34"/>
        <v>0</v>
      </c>
      <c r="AH181">
        <f t="shared" si="34"/>
        <v>4</v>
      </c>
      <c r="AI181">
        <f t="shared" si="34"/>
        <v>0</v>
      </c>
      <c r="AJ181">
        <f t="shared" si="34"/>
        <v>0</v>
      </c>
      <c r="AK181">
        <f t="shared" si="34"/>
        <v>0</v>
      </c>
      <c r="AL181">
        <f t="shared" si="34"/>
        <v>0</v>
      </c>
      <c r="AM181">
        <f t="shared" si="34"/>
        <v>0</v>
      </c>
      <c r="AN181" t="s">
        <v>190</v>
      </c>
    </row>
    <row r="182" spans="1:40">
      <c r="A182">
        <f t="shared" ref="A182:A187" si="35">A181</f>
        <v>2050</v>
      </c>
      <c r="B182" t="s">
        <v>187</v>
      </c>
      <c r="C182" t="s">
        <v>188</v>
      </c>
      <c r="D182" t="s">
        <v>191</v>
      </c>
      <c r="E182" t="s">
        <v>192</v>
      </c>
      <c r="F182">
        <f t="shared" ref="F182:AM182" si="36">F166/1*10</f>
        <v>0</v>
      </c>
      <c r="G182">
        <f t="shared" si="36"/>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192</v>
      </c>
    </row>
    <row r="183" spans="1:40">
      <c r="A183">
        <f t="shared" si="35"/>
        <v>2050</v>
      </c>
      <c r="B183" t="s">
        <v>187</v>
      </c>
      <c r="C183" t="s">
        <v>188</v>
      </c>
      <c r="D183" t="s">
        <v>193</v>
      </c>
      <c r="E183" t="s">
        <v>194</v>
      </c>
      <c r="F183">
        <f t="shared" ref="F183:AM183" si="37">F167/1*10</f>
        <v>0</v>
      </c>
      <c r="G183">
        <f t="shared" si="37"/>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194</v>
      </c>
    </row>
    <row r="184" spans="1:40">
      <c r="A184">
        <f t="shared" si="35"/>
        <v>2050</v>
      </c>
      <c r="B184" t="s">
        <v>187</v>
      </c>
      <c r="C184" t="s">
        <v>188</v>
      </c>
      <c r="D184" t="s">
        <v>196</v>
      </c>
      <c r="E184" t="s">
        <v>197</v>
      </c>
      <c r="F184">
        <f t="shared" ref="F184:AM184" si="38">F168/1*10</f>
        <v>0</v>
      </c>
      <c r="G184">
        <f t="shared" si="38"/>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197</v>
      </c>
    </row>
    <row r="185" spans="1:40">
      <c r="A185">
        <f t="shared" si="35"/>
        <v>2050</v>
      </c>
      <c r="B185" t="s">
        <v>187</v>
      </c>
      <c r="C185" t="s">
        <v>188</v>
      </c>
      <c r="D185" t="s">
        <v>198</v>
      </c>
      <c r="E185" t="s">
        <v>199</v>
      </c>
      <c r="F185">
        <f t="shared" ref="F185:AM185" si="39">F169/1*10</f>
        <v>0</v>
      </c>
      <c r="G185">
        <f t="shared" si="39"/>
        <v>1590</v>
      </c>
      <c r="H185">
        <f t="shared" si="39"/>
        <v>95220</v>
      </c>
      <c r="I185">
        <f t="shared" si="39"/>
        <v>0</v>
      </c>
      <c r="J185">
        <f t="shared" si="39"/>
        <v>0</v>
      </c>
      <c r="K185">
        <f t="shared" si="39"/>
        <v>0</v>
      </c>
      <c r="L185">
        <f t="shared" si="39"/>
        <v>58190</v>
      </c>
      <c r="M185">
        <f t="shared" si="39"/>
        <v>444360</v>
      </c>
      <c r="N185">
        <f t="shared" si="39"/>
        <v>0</v>
      </c>
      <c r="O185">
        <f t="shared" si="39"/>
        <v>0</v>
      </c>
      <c r="P185">
        <f t="shared" si="39"/>
        <v>0</v>
      </c>
      <c r="Q185">
        <f t="shared" si="39"/>
        <v>5080</v>
      </c>
      <c r="R185">
        <f t="shared" si="39"/>
        <v>4550</v>
      </c>
      <c r="S185">
        <f t="shared" si="39"/>
        <v>0</v>
      </c>
      <c r="T185">
        <f t="shared" si="39"/>
        <v>0</v>
      </c>
      <c r="U185">
        <f t="shared" si="39"/>
        <v>40200</v>
      </c>
      <c r="V185">
        <f t="shared" si="39"/>
        <v>8460</v>
      </c>
      <c r="W185">
        <f t="shared" si="39"/>
        <v>0</v>
      </c>
      <c r="X185">
        <f t="shared" si="39"/>
        <v>0</v>
      </c>
      <c r="Y185">
        <f t="shared" si="39"/>
        <v>0</v>
      </c>
      <c r="Z185">
        <f t="shared" si="39"/>
        <v>12700</v>
      </c>
      <c r="AA185">
        <f t="shared" si="39"/>
        <v>11750</v>
      </c>
      <c r="AB185">
        <f t="shared" si="39"/>
        <v>0</v>
      </c>
      <c r="AC185">
        <f t="shared" si="39"/>
        <v>0</v>
      </c>
      <c r="AD185">
        <f t="shared" si="39"/>
        <v>30150</v>
      </c>
      <c r="AE185">
        <f t="shared" si="39"/>
        <v>15340</v>
      </c>
      <c r="AF185">
        <f t="shared" si="39"/>
        <v>9520</v>
      </c>
      <c r="AG185">
        <f t="shared" si="39"/>
        <v>0</v>
      </c>
      <c r="AH185">
        <f t="shared" si="39"/>
        <v>4340</v>
      </c>
      <c r="AI185">
        <f t="shared" si="39"/>
        <v>0</v>
      </c>
      <c r="AJ185">
        <f t="shared" si="39"/>
        <v>0</v>
      </c>
      <c r="AK185">
        <f t="shared" si="39"/>
        <v>1690</v>
      </c>
      <c r="AL185">
        <f t="shared" si="39"/>
        <v>0</v>
      </c>
      <c r="AM185">
        <f t="shared" si="39"/>
        <v>0</v>
      </c>
      <c r="AN185" t="s">
        <v>199</v>
      </c>
    </row>
    <row r="186" spans="1:40">
      <c r="A186">
        <f t="shared" si="35"/>
        <v>2050</v>
      </c>
      <c r="B186" t="s">
        <v>187</v>
      </c>
      <c r="C186" t="s">
        <v>188</v>
      </c>
      <c r="D186" t="s">
        <v>200</v>
      </c>
      <c r="E186" t="s">
        <v>201</v>
      </c>
      <c r="F186">
        <f t="shared" ref="F186:AM186" si="40">F170/1*10</f>
        <v>0</v>
      </c>
      <c r="G186">
        <f t="shared" si="40"/>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201</v>
      </c>
    </row>
    <row r="187" spans="1:40">
      <c r="A187">
        <f t="shared" si="35"/>
        <v>2050</v>
      </c>
      <c r="B187" t="s">
        <v>187</v>
      </c>
      <c r="C187" t="s">
        <v>188</v>
      </c>
      <c r="D187" t="s">
        <v>202</v>
      </c>
      <c r="E187" t="s">
        <v>203</v>
      </c>
      <c r="F187">
        <f t="shared" ref="F187:AM187" si="41">F171/1*10</f>
        <v>0</v>
      </c>
      <c r="G187">
        <f t="shared" si="41"/>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203</v>
      </c>
    </row>
    <row r="191" spans="1:40">
      <c r="B191" s="84"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185</v>
      </c>
    </row>
    <row r="194" spans="1:40">
      <c r="A194">
        <v>2100</v>
      </c>
      <c r="B194" t="s">
        <v>187</v>
      </c>
      <c r="C194" t="s">
        <v>188</v>
      </c>
      <c r="D194" t="s">
        <v>189</v>
      </c>
      <c r="E194" t="s">
        <v>190</v>
      </c>
      <c r="F194">
        <f t="shared" ref="F194:AM194" si="42">F165/1*30</f>
        <v>0</v>
      </c>
      <c r="G194">
        <f t="shared" si="42"/>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190</v>
      </c>
    </row>
    <row r="195" spans="1:40">
      <c r="A195">
        <v>2100</v>
      </c>
      <c r="B195" t="s">
        <v>187</v>
      </c>
      <c r="C195" t="s">
        <v>188</v>
      </c>
      <c r="D195" t="s">
        <v>191</v>
      </c>
      <c r="E195" t="s">
        <v>192</v>
      </c>
      <c r="F195">
        <f t="shared" ref="F195:AM195" si="43">F166/1*30</f>
        <v>0</v>
      </c>
      <c r="G195">
        <f t="shared" si="43"/>
        <v>0</v>
      </c>
      <c r="H195">
        <f t="shared" si="43"/>
        <v>3300</v>
      </c>
      <c r="I195">
        <f t="shared" si="43"/>
        <v>0</v>
      </c>
      <c r="J195">
        <f t="shared" si="43"/>
        <v>0</v>
      </c>
      <c r="K195">
        <f t="shared" si="43"/>
        <v>0</v>
      </c>
      <c r="L195">
        <f t="shared" si="43"/>
        <v>2310</v>
      </c>
      <c r="M195">
        <f t="shared" si="43"/>
        <v>3600</v>
      </c>
      <c r="N195">
        <f t="shared" si="43"/>
        <v>0</v>
      </c>
      <c r="O195">
        <f t="shared" si="43"/>
        <v>0</v>
      </c>
      <c r="P195">
        <f t="shared" si="43"/>
        <v>0</v>
      </c>
      <c r="Q195">
        <f t="shared" si="43"/>
        <v>0</v>
      </c>
      <c r="R195">
        <f t="shared" si="43"/>
        <v>0</v>
      </c>
      <c r="S195">
        <f t="shared" si="43"/>
        <v>0</v>
      </c>
      <c r="T195">
        <f t="shared" si="43"/>
        <v>0</v>
      </c>
      <c r="U195">
        <f t="shared" si="43"/>
        <v>0</v>
      </c>
      <c r="V195">
        <f t="shared" si="43"/>
        <v>0</v>
      </c>
      <c r="W195">
        <f t="shared" si="43"/>
        <v>0</v>
      </c>
      <c r="X195">
        <f t="shared" si="43"/>
        <v>0</v>
      </c>
      <c r="Y195">
        <f t="shared" si="43"/>
        <v>0</v>
      </c>
      <c r="Z195">
        <f t="shared" si="43"/>
        <v>0</v>
      </c>
      <c r="AA195">
        <f t="shared" si="43"/>
        <v>5940</v>
      </c>
      <c r="AB195">
        <f t="shared" si="43"/>
        <v>0</v>
      </c>
      <c r="AC195">
        <f t="shared" si="43"/>
        <v>0</v>
      </c>
      <c r="AD195">
        <f t="shared" si="43"/>
        <v>89550</v>
      </c>
      <c r="AE195">
        <f t="shared" si="43"/>
        <v>6300</v>
      </c>
      <c r="AF195">
        <f t="shared" si="43"/>
        <v>0</v>
      </c>
      <c r="AG195">
        <f t="shared" si="43"/>
        <v>0</v>
      </c>
      <c r="AH195">
        <f t="shared" si="43"/>
        <v>0</v>
      </c>
      <c r="AI195">
        <f t="shared" si="43"/>
        <v>0</v>
      </c>
      <c r="AJ195">
        <f t="shared" si="43"/>
        <v>0</v>
      </c>
      <c r="AK195">
        <f t="shared" si="43"/>
        <v>0</v>
      </c>
      <c r="AL195">
        <f t="shared" si="43"/>
        <v>0</v>
      </c>
      <c r="AM195">
        <f t="shared" si="43"/>
        <v>0</v>
      </c>
      <c r="AN195" t="s">
        <v>192</v>
      </c>
    </row>
    <row r="196" spans="1:40">
      <c r="A196">
        <v>2100</v>
      </c>
      <c r="B196" t="s">
        <v>187</v>
      </c>
      <c r="C196" t="s">
        <v>188</v>
      </c>
      <c r="D196" t="s">
        <v>193</v>
      </c>
      <c r="E196" t="s">
        <v>194</v>
      </c>
      <c r="F196">
        <f t="shared" ref="F196:AM196" si="44">F167/1*30</f>
        <v>0</v>
      </c>
      <c r="G196">
        <f t="shared" si="44"/>
        <v>6678</v>
      </c>
      <c r="H196">
        <f t="shared" si="44"/>
        <v>108</v>
      </c>
      <c r="I196">
        <f t="shared" si="44"/>
        <v>0</v>
      </c>
      <c r="J196">
        <f t="shared" si="44"/>
        <v>0</v>
      </c>
      <c r="K196">
        <f t="shared" si="44"/>
        <v>0</v>
      </c>
      <c r="L196">
        <f t="shared" si="44"/>
        <v>0</v>
      </c>
      <c r="M196">
        <f t="shared" si="44"/>
        <v>0</v>
      </c>
      <c r="N196">
        <f t="shared" si="44"/>
        <v>0</v>
      </c>
      <c r="O196">
        <f t="shared" si="44"/>
        <v>0</v>
      </c>
      <c r="P196">
        <f t="shared" si="44"/>
        <v>0</v>
      </c>
      <c r="Q196">
        <f t="shared" si="44"/>
        <v>0</v>
      </c>
      <c r="R196">
        <f t="shared" si="44"/>
        <v>0</v>
      </c>
      <c r="S196">
        <f t="shared" si="44"/>
        <v>0</v>
      </c>
      <c r="T196">
        <f t="shared" si="44"/>
        <v>0</v>
      </c>
      <c r="U196">
        <f t="shared" si="44"/>
        <v>0</v>
      </c>
      <c r="V196">
        <f t="shared" si="44"/>
        <v>0</v>
      </c>
      <c r="W196">
        <f t="shared" si="44"/>
        <v>0</v>
      </c>
      <c r="X196">
        <f t="shared" si="44"/>
        <v>0</v>
      </c>
      <c r="Y196">
        <f t="shared" si="44"/>
        <v>105</v>
      </c>
      <c r="Z196">
        <f t="shared" si="44"/>
        <v>0</v>
      </c>
      <c r="AA196">
        <f t="shared" si="44"/>
        <v>144</v>
      </c>
      <c r="AB196">
        <f t="shared" si="44"/>
        <v>0</v>
      </c>
      <c r="AC196">
        <f t="shared" si="44"/>
        <v>0</v>
      </c>
      <c r="AD196">
        <f t="shared" si="44"/>
        <v>1314</v>
      </c>
      <c r="AE196">
        <f t="shared" si="44"/>
        <v>261</v>
      </c>
      <c r="AF196">
        <f t="shared" si="44"/>
        <v>0</v>
      </c>
      <c r="AG196">
        <f t="shared" si="44"/>
        <v>0</v>
      </c>
      <c r="AH196">
        <f t="shared" si="44"/>
        <v>0</v>
      </c>
      <c r="AI196">
        <f t="shared" si="44"/>
        <v>0</v>
      </c>
      <c r="AJ196">
        <f t="shared" si="44"/>
        <v>0</v>
      </c>
      <c r="AK196">
        <f t="shared" si="44"/>
        <v>81</v>
      </c>
      <c r="AL196">
        <f t="shared" si="44"/>
        <v>0</v>
      </c>
      <c r="AM196">
        <f t="shared" si="44"/>
        <v>0</v>
      </c>
      <c r="AN196" t="s">
        <v>194</v>
      </c>
    </row>
    <row r="197" spans="1:40">
      <c r="A197">
        <v>2100</v>
      </c>
      <c r="B197" t="s">
        <v>187</v>
      </c>
      <c r="C197" t="s">
        <v>188</v>
      </c>
      <c r="D197" t="s">
        <v>196</v>
      </c>
      <c r="E197" t="s">
        <v>197</v>
      </c>
      <c r="F197">
        <f t="shared" ref="F197:AM197" si="45">F168/1*30</f>
        <v>0</v>
      </c>
      <c r="G197">
        <f t="shared" si="45"/>
        <v>173400</v>
      </c>
      <c r="H197">
        <f t="shared" si="45"/>
        <v>84000</v>
      </c>
      <c r="I197">
        <f t="shared" si="45"/>
        <v>0</v>
      </c>
      <c r="J197">
        <f t="shared" si="45"/>
        <v>0</v>
      </c>
      <c r="K197">
        <f t="shared" si="45"/>
        <v>0</v>
      </c>
      <c r="L197">
        <f t="shared" si="45"/>
        <v>17700</v>
      </c>
      <c r="M197">
        <f t="shared" si="45"/>
        <v>23100</v>
      </c>
      <c r="N197">
        <f t="shared" si="45"/>
        <v>0</v>
      </c>
      <c r="O197">
        <f t="shared" si="45"/>
        <v>0</v>
      </c>
      <c r="P197">
        <f t="shared" si="45"/>
        <v>0</v>
      </c>
      <c r="Q197">
        <f t="shared" si="45"/>
        <v>0</v>
      </c>
      <c r="R197">
        <f t="shared" si="45"/>
        <v>0</v>
      </c>
      <c r="S197">
        <f t="shared" si="45"/>
        <v>0</v>
      </c>
      <c r="T197">
        <f t="shared" si="45"/>
        <v>0</v>
      </c>
      <c r="U197">
        <f t="shared" si="45"/>
        <v>24000</v>
      </c>
      <c r="V197">
        <f t="shared" si="45"/>
        <v>0</v>
      </c>
      <c r="W197">
        <f t="shared" si="45"/>
        <v>0</v>
      </c>
      <c r="X197">
        <f t="shared" si="45"/>
        <v>0</v>
      </c>
      <c r="Y197">
        <f t="shared" si="45"/>
        <v>0</v>
      </c>
      <c r="Z197">
        <f t="shared" si="45"/>
        <v>0</v>
      </c>
      <c r="AA197">
        <f t="shared" si="45"/>
        <v>0</v>
      </c>
      <c r="AB197">
        <f t="shared" si="45"/>
        <v>0</v>
      </c>
      <c r="AC197">
        <f t="shared" si="45"/>
        <v>0</v>
      </c>
      <c r="AD197">
        <f t="shared" si="45"/>
        <v>61800</v>
      </c>
      <c r="AE197">
        <f t="shared" si="45"/>
        <v>0</v>
      </c>
      <c r="AF197">
        <f t="shared" si="45"/>
        <v>0</v>
      </c>
      <c r="AG197">
        <f t="shared" si="45"/>
        <v>222000</v>
      </c>
      <c r="AH197">
        <f t="shared" si="45"/>
        <v>0</v>
      </c>
      <c r="AI197">
        <f t="shared" si="45"/>
        <v>0</v>
      </c>
      <c r="AJ197">
        <f t="shared" si="45"/>
        <v>0</v>
      </c>
      <c r="AK197">
        <f t="shared" si="45"/>
        <v>0</v>
      </c>
      <c r="AL197">
        <f t="shared" si="45"/>
        <v>0</v>
      </c>
      <c r="AM197">
        <f t="shared" si="45"/>
        <v>0</v>
      </c>
      <c r="AN197" t="s">
        <v>197</v>
      </c>
    </row>
    <row r="198" spans="1:40">
      <c r="A198">
        <v>2100</v>
      </c>
      <c r="B198" t="s">
        <v>187</v>
      </c>
      <c r="C198" t="s">
        <v>188</v>
      </c>
      <c r="D198" t="s">
        <v>198</v>
      </c>
      <c r="E198" t="s">
        <v>199</v>
      </c>
      <c r="F198">
        <f t="shared" ref="F198:AM198" si="46">F169/1*30</f>
        <v>0</v>
      </c>
      <c r="G198">
        <f t="shared" si="46"/>
        <v>4770</v>
      </c>
      <c r="H198">
        <f t="shared" si="46"/>
        <v>285660</v>
      </c>
      <c r="I198">
        <f t="shared" si="46"/>
        <v>0</v>
      </c>
      <c r="J198">
        <f t="shared" si="46"/>
        <v>0</v>
      </c>
      <c r="K198">
        <f t="shared" si="46"/>
        <v>0</v>
      </c>
      <c r="L198">
        <f t="shared" si="46"/>
        <v>174570</v>
      </c>
      <c r="M198">
        <f t="shared" si="46"/>
        <v>1333080</v>
      </c>
      <c r="N198">
        <f t="shared" si="46"/>
        <v>0</v>
      </c>
      <c r="O198">
        <f t="shared" si="46"/>
        <v>0</v>
      </c>
      <c r="P198">
        <f t="shared" si="46"/>
        <v>0</v>
      </c>
      <c r="Q198">
        <f t="shared" si="46"/>
        <v>15240</v>
      </c>
      <c r="R198">
        <f t="shared" si="46"/>
        <v>13650</v>
      </c>
      <c r="S198">
        <f t="shared" si="46"/>
        <v>0</v>
      </c>
      <c r="T198">
        <f t="shared" si="46"/>
        <v>0</v>
      </c>
      <c r="U198">
        <f t="shared" si="46"/>
        <v>120600</v>
      </c>
      <c r="V198">
        <f t="shared" si="46"/>
        <v>25380</v>
      </c>
      <c r="W198">
        <f t="shared" si="46"/>
        <v>0</v>
      </c>
      <c r="X198">
        <f t="shared" si="46"/>
        <v>0</v>
      </c>
      <c r="Y198">
        <f t="shared" si="46"/>
        <v>0</v>
      </c>
      <c r="Z198">
        <f t="shared" si="46"/>
        <v>38100</v>
      </c>
      <c r="AA198">
        <f t="shared" si="46"/>
        <v>35250</v>
      </c>
      <c r="AB198">
        <f t="shared" si="46"/>
        <v>0</v>
      </c>
      <c r="AC198">
        <f t="shared" si="46"/>
        <v>0</v>
      </c>
      <c r="AD198">
        <f t="shared" si="46"/>
        <v>90450</v>
      </c>
      <c r="AE198">
        <f t="shared" si="46"/>
        <v>46020</v>
      </c>
      <c r="AF198">
        <f t="shared" si="46"/>
        <v>28560</v>
      </c>
      <c r="AG198">
        <f t="shared" si="46"/>
        <v>0</v>
      </c>
      <c r="AH198">
        <f t="shared" si="46"/>
        <v>13020</v>
      </c>
      <c r="AI198">
        <f t="shared" si="46"/>
        <v>0</v>
      </c>
      <c r="AJ198">
        <f t="shared" si="46"/>
        <v>0</v>
      </c>
      <c r="AK198">
        <f t="shared" si="46"/>
        <v>5070</v>
      </c>
      <c r="AL198">
        <f t="shared" si="46"/>
        <v>0</v>
      </c>
      <c r="AM198">
        <f t="shared" si="46"/>
        <v>0</v>
      </c>
      <c r="AN198" t="s">
        <v>199</v>
      </c>
    </row>
    <row r="199" spans="1:40">
      <c r="A199">
        <v>2100</v>
      </c>
      <c r="B199" t="s">
        <v>187</v>
      </c>
      <c r="C199" t="s">
        <v>188</v>
      </c>
      <c r="D199" t="s">
        <v>200</v>
      </c>
      <c r="E199" t="s">
        <v>201</v>
      </c>
      <c r="F199">
        <f t="shared" ref="F199:AM199" si="47">F170/1*30</f>
        <v>0</v>
      </c>
      <c r="G199">
        <f t="shared" si="47"/>
        <v>119400</v>
      </c>
      <c r="H199">
        <f t="shared" si="47"/>
        <v>24000</v>
      </c>
      <c r="I199">
        <f t="shared" si="47"/>
        <v>0</v>
      </c>
      <c r="J199">
        <f t="shared" si="47"/>
        <v>0</v>
      </c>
      <c r="K199">
        <f t="shared" si="47"/>
        <v>0</v>
      </c>
      <c r="L199">
        <f t="shared" si="47"/>
        <v>0</v>
      </c>
      <c r="M199">
        <f t="shared" si="47"/>
        <v>54000</v>
      </c>
      <c r="N199">
        <f t="shared" si="47"/>
        <v>0</v>
      </c>
      <c r="O199">
        <f t="shared" si="47"/>
        <v>0</v>
      </c>
      <c r="P199">
        <f t="shared" si="47"/>
        <v>0</v>
      </c>
      <c r="Q199">
        <f t="shared" si="47"/>
        <v>0</v>
      </c>
      <c r="R199">
        <f t="shared" si="47"/>
        <v>0</v>
      </c>
      <c r="S199">
        <f t="shared" si="47"/>
        <v>0</v>
      </c>
      <c r="T199">
        <f t="shared" si="47"/>
        <v>0</v>
      </c>
      <c r="U199">
        <f t="shared" si="47"/>
        <v>900</v>
      </c>
      <c r="V199">
        <f t="shared" si="47"/>
        <v>0</v>
      </c>
      <c r="W199">
        <f t="shared" si="47"/>
        <v>0</v>
      </c>
      <c r="X199">
        <f t="shared" si="47"/>
        <v>0</v>
      </c>
      <c r="Y199">
        <f t="shared" si="47"/>
        <v>237000</v>
      </c>
      <c r="Z199">
        <f t="shared" si="47"/>
        <v>0</v>
      </c>
      <c r="AA199">
        <f t="shared" si="47"/>
        <v>67500</v>
      </c>
      <c r="AB199">
        <f t="shared" si="47"/>
        <v>0</v>
      </c>
      <c r="AC199">
        <f t="shared" si="47"/>
        <v>12300</v>
      </c>
      <c r="AD199">
        <f t="shared" si="47"/>
        <v>141000</v>
      </c>
      <c r="AE199">
        <f t="shared" si="47"/>
        <v>27900</v>
      </c>
      <c r="AF199">
        <f t="shared" si="47"/>
        <v>0</v>
      </c>
      <c r="AG199">
        <f t="shared" si="47"/>
        <v>0</v>
      </c>
      <c r="AH199">
        <f t="shared" si="47"/>
        <v>0</v>
      </c>
      <c r="AI199">
        <f t="shared" si="47"/>
        <v>0</v>
      </c>
      <c r="AJ199">
        <f t="shared" si="47"/>
        <v>0</v>
      </c>
      <c r="AK199">
        <f t="shared" si="47"/>
        <v>0</v>
      </c>
      <c r="AL199">
        <f t="shared" si="47"/>
        <v>0</v>
      </c>
      <c r="AM199">
        <f t="shared" si="47"/>
        <v>0</v>
      </c>
      <c r="AN199" t="s">
        <v>201</v>
      </c>
    </row>
    <row r="200" spans="1:40">
      <c r="A200">
        <v>2100</v>
      </c>
      <c r="B200" t="s">
        <v>187</v>
      </c>
      <c r="C200" t="s">
        <v>188</v>
      </c>
      <c r="D200" t="s">
        <v>202</v>
      </c>
      <c r="E200" t="s">
        <v>203</v>
      </c>
      <c r="F200">
        <f t="shared" ref="F200:AM200" si="48">F171/1*30</f>
        <v>0</v>
      </c>
      <c r="G200">
        <f t="shared" si="48"/>
        <v>5670</v>
      </c>
      <c r="H200">
        <f t="shared" si="48"/>
        <v>0</v>
      </c>
      <c r="I200">
        <f t="shared" si="48"/>
        <v>15</v>
      </c>
      <c r="J200">
        <f t="shared" si="48"/>
        <v>0</v>
      </c>
      <c r="K200">
        <f t="shared" si="48"/>
        <v>0</v>
      </c>
      <c r="L200">
        <f t="shared" si="48"/>
        <v>2040</v>
      </c>
      <c r="M200">
        <f t="shared" si="48"/>
        <v>38100</v>
      </c>
      <c r="N200">
        <f t="shared" si="48"/>
        <v>0</v>
      </c>
      <c r="O200">
        <f t="shared" si="48"/>
        <v>0</v>
      </c>
      <c r="P200">
        <f t="shared" si="48"/>
        <v>0</v>
      </c>
      <c r="Q200">
        <f t="shared" si="48"/>
        <v>6</v>
      </c>
      <c r="R200">
        <f t="shared" si="48"/>
        <v>0</v>
      </c>
      <c r="S200">
        <f t="shared" si="48"/>
        <v>0</v>
      </c>
      <c r="T200">
        <f t="shared" si="48"/>
        <v>0</v>
      </c>
      <c r="U200">
        <f t="shared" si="48"/>
        <v>840</v>
      </c>
      <c r="V200">
        <f t="shared" si="48"/>
        <v>0</v>
      </c>
      <c r="W200">
        <f t="shared" si="48"/>
        <v>0</v>
      </c>
      <c r="X200">
        <f t="shared" si="48"/>
        <v>0</v>
      </c>
      <c r="Y200">
        <f t="shared" si="48"/>
        <v>0</v>
      </c>
      <c r="Z200">
        <f t="shared" si="48"/>
        <v>0</v>
      </c>
      <c r="AA200">
        <f t="shared" si="48"/>
        <v>627</v>
      </c>
      <c r="AB200">
        <f t="shared" si="48"/>
        <v>210</v>
      </c>
      <c r="AC200">
        <f t="shared" si="48"/>
        <v>0</v>
      </c>
      <c r="AD200">
        <f t="shared" si="48"/>
        <v>687</v>
      </c>
      <c r="AE200">
        <f t="shared" si="48"/>
        <v>600</v>
      </c>
      <c r="AF200">
        <f t="shared" si="48"/>
        <v>0</v>
      </c>
      <c r="AG200">
        <f t="shared" si="48"/>
        <v>0</v>
      </c>
      <c r="AH200">
        <f t="shared" si="48"/>
        <v>0</v>
      </c>
      <c r="AI200">
        <f t="shared" si="48"/>
        <v>0</v>
      </c>
      <c r="AJ200">
        <f t="shared" si="48"/>
        <v>0</v>
      </c>
      <c r="AK200">
        <f t="shared" si="48"/>
        <v>90</v>
      </c>
      <c r="AL200">
        <f t="shared" si="48"/>
        <v>0</v>
      </c>
      <c r="AM200">
        <f t="shared" si="48"/>
        <v>36</v>
      </c>
      <c r="AN200" t="s">
        <v>203</v>
      </c>
    </row>
    <row r="208" spans="1:40">
      <c r="B208" s="84" t="s">
        <v>131</v>
      </c>
    </row>
    <row r="210" s="84" customFormat="1"/>
    <row r="211" s="84" customFormat="1" spans="1:39">
      <c r="A211" s="84" t="str">
        <f>A193</f>
        <v>year</v>
      </c>
      <c r="B211" s="84" t="str">
        <f>B193</f>
        <v>attribute</v>
      </c>
      <c r="C211" s="84" t="s">
        <v>137</v>
      </c>
      <c r="D211" s="84" t="s">
        <v>65</v>
      </c>
      <c r="E211" s="84" t="str">
        <f t="shared" ref="E211:AM211" si="49">F87</f>
        <v>Africa_North</v>
      </c>
      <c r="F211" s="84" t="str">
        <f t="shared" si="49"/>
        <v>Africa_Other</v>
      </c>
      <c r="G211" s="84" t="str">
        <f t="shared" si="49"/>
        <v>Australia</v>
      </c>
      <c r="H211" s="84" t="str">
        <f t="shared" si="49"/>
        <v>Austria</v>
      </c>
      <c r="I211" s="84" t="str">
        <f t="shared" si="49"/>
        <v>Baltics</v>
      </c>
      <c r="J211" s="84" t="str">
        <f t="shared" si="49"/>
        <v>BeNeLux</v>
      </c>
      <c r="K211" s="84" t="str">
        <f t="shared" si="49"/>
        <v>Brazil</v>
      </c>
      <c r="L211" s="84" t="str">
        <f t="shared" si="49"/>
        <v>China</v>
      </c>
      <c r="M211" s="84" t="str">
        <f t="shared" si="49"/>
        <v>CroSloven</v>
      </c>
      <c r="N211" s="84" t="str">
        <f t="shared" si="49"/>
        <v>CzechSlovak</v>
      </c>
      <c r="O211" s="84" t="str">
        <f t="shared" si="49"/>
        <v>France</v>
      </c>
      <c r="P211" s="84" t="str">
        <f t="shared" si="49"/>
        <v>Germany</v>
      </c>
      <c r="Q211" s="84" t="str">
        <f t="shared" si="49"/>
        <v>GreeceCyp</v>
      </c>
      <c r="R211" s="84" t="str">
        <f t="shared" si="49"/>
        <v>HunRomBul</v>
      </c>
      <c r="S211" s="84" t="str">
        <f t="shared" si="49"/>
        <v>Iceland</v>
      </c>
      <c r="T211" s="84" t="str">
        <f t="shared" si="49"/>
        <v>India</v>
      </c>
      <c r="U211" s="84" t="str">
        <f t="shared" si="49"/>
        <v>Ireland</v>
      </c>
      <c r="V211" s="84" t="str">
        <f t="shared" si="49"/>
        <v>ItalyMal</v>
      </c>
      <c r="W211" s="84" t="str">
        <f t="shared" si="49"/>
        <v>Japan</v>
      </c>
      <c r="X211" s="84" t="str">
        <f t="shared" si="49"/>
        <v>LatAm</v>
      </c>
      <c r="Y211" s="84" t="str">
        <f t="shared" si="49"/>
        <v>MidEast</v>
      </c>
      <c r="Z211" s="84" t="str">
        <f t="shared" si="49"/>
        <v>NorthAm</v>
      </c>
      <c r="AA211" s="84" t="str">
        <f t="shared" si="49"/>
        <v>Norway</v>
      </c>
      <c r="AB211" s="84" t="str">
        <f t="shared" si="49"/>
        <v>Poland</v>
      </c>
      <c r="AC211" s="84" t="str">
        <f t="shared" si="49"/>
        <v>ROW</v>
      </c>
      <c r="AD211" s="84" t="str">
        <f t="shared" si="49"/>
        <v>Russia</v>
      </c>
      <c r="AE211" s="84" t="str">
        <f t="shared" si="49"/>
        <v>SaudiArabia</v>
      </c>
      <c r="AF211" s="84" t="str">
        <f t="shared" si="49"/>
        <v>SouthAfrica</v>
      </c>
      <c r="AG211" s="84" t="str">
        <f t="shared" si="49"/>
        <v>SpainPor</v>
      </c>
      <c r="AH211" s="84" t="str">
        <f t="shared" si="49"/>
        <v>SweFinDen</v>
      </c>
      <c r="AI211" s="84" t="str">
        <f t="shared" si="49"/>
        <v>Switzerland</v>
      </c>
      <c r="AJ211" s="84" t="str">
        <f t="shared" si="49"/>
        <v>Turkey</v>
      </c>
      <c r="AK211" s="84" t="str">
        <f t="shared" si="49"/>
        <v>UK</v>
      </c>
      <c r="AL211" s="84" t="str">
        <f t="shared" si="49"/>
        <v>Ukraine</v>
      </c>
      <c r="AM211" s="84" t="str">
        <f>AO87</f>
        <v>Pset_CO</v>
      </c>
    </row>
    <row r="212" s="84" customFormat="1" ht="16" spans="1:39">
      <c r="A212" s="84">
        <v>2019</v>
      </c>
      <c r="B212" s="145" t="s">
        <v>283</v>
      </c>
      <c r="C212" s="84" t="s">
        <v>141</v>
      </c>
      <c r="D212" s="84" t="s">
        <v>189</v>
      </c>
      <c r="E212" s="84">
        <f t="shared" ref="E212:AL212" si="50">F88/1</f>
        <v>0</v>
      </c>
      <c r="F212" s="84">
        <f t="shared" si="50"/>
        <v>24.7</v>
      </c>
      <c r="G212" s="84">
        <f t="shared" si="50"/>
        <v>88</v>
      </c>
      <c r="H212" s="84">
        <f t="shared" si="50"/>
        <v>0</v>
      </c>
      <c r="I212" s="84">
        <f t="shared" si="50"/>
        <v>0</v>
      </c>
      <c r="J212" s="84">
        <f t="shared" si="50"/>
        <v>0</v>
      </c>
      <c r="K212" s="84">
        <f t="shared" si="50"/>
        <v>10</v>
      </c>
      <c r="L212" s="84">
        <f t="shared" si="50"/>
        <v>41</v>
      </c>
      <c r="M212" s="84">
        <f t="shared" si="50"/>
        <v>0</v>
      </c>
      <c r="N212" s="84">
        <f t="shared" si="50"/>
        <v>0</v>
      </c>
      <c r="O212" s="84">
        <f t="shared" si="50"/>
        <v>0</v>
      </c>
      <c r="P212" s="84">
        <f t="shared" si="50"/>
        <v>0</v>
      </c>
      <c r="Q212" s="84">
        <f t="shared" si="50"/>
        <v>0</v>
      </c>
      <c r="R212" s="84">
        <f t="shared" si="50"/>
        <v>0</v>
      </c>
      <c r="S212" s="84">
        <f t="shared" si="50"/>
        <v>0</v>
      </c>
      <c r="T212" s="84">
        <f t="shared" si="50"/>
        <v>0</v>
      </c>
      <c r="U212" s="84">
        <f t="shared" si="50"/>
        <v>0</v>
      </c>
      <c r="V212" s="84">
        <f t="shared" si="50"/>
        <v>0</v>
      </c>
      <c r="W212" s="84">
        <f t="shared" si="50"/>
        <v>0</v>
      </c>
      <c r="X212" s="84">
        <f t="shared" si="50"/>
        <v>67</v>
      </c>
      <c r="Y212" s="84">
        <f t="shared" si="50"/>
        <v>0</v>
      </c>
      <c r="Z212" s="84">
        <f t="shared" si="50"/>
        <v>4.3</v>
      </c>
      <c r="AA212" s="84">
        <f t="shared" si="50"/>
        <v>0</v>
      </c>
      <c r="AB212" s="84">
        <f t="shared" si="50"/>
        <v>0</v>
      </c>
      <c r="AC212" s="84">
        <f t="shared" si="50"/>
        <v>4.6</v>
      </c>
      <c r="AD212" s="84">
        <f t="shared" si="50"/>
        <v>0</v>
      </c>
      <c r="AE212" s="84">
        <f t="shared" si="50"/>
        <v>0</v>
      </c>
      <c r="AF212" s="84">
        <f t="shared" si="50"/>
        <v>0</v>
      </c>
      <c r="AG212" s="84">
        <f t="shared" si="50"/>
        <v>0.4</v>
      </c>
      <c r="AH212" s="84">
        <f t="shared" si="50"/>
        <v>0</v>
      </c>
      <c r="AI212" s="84">
        <f t="shared" si="50"/>
        <v>0</v>
      </c>
      <c r="AJ212" s="84">
        <f t="shared" si="50"/>
        <v>0</v>
      </c>
      <c r="AK212" s="84">
        <f t="shared" si="50"/>
        <v>0</v>
      </c>
      <c r="AL212" s="84">
        <f t="shared" si="50"/>
        <v>0</v>
      </c>
      <c r="AM212" s="84" t="str">
        <f t="shared" ref="AM212:AM218" si="51">AO88</f>
        <v>m_lithium</v>
      </c>
    </row>
    <row r="213" s="84" customFormat="1" spans="1:39">
      <c r="A213" s="84">
        <f t="shared" ref="A213:A218" si="52">A212</f>
        <v>2019</v>
      </c>
      <c r="B213" s="84" t="str">
        <f t="shared" ref="B213:B218" si="53">B212</f>
        <v>PRC_RESID</v>
      </c>
      <c r="C213" s="84" t="s">
        <v>141</v>
      </c>
      <c r="D213" s="84" t="s">
        <v>191</v>
      </c>
      <c r="E213" s="84">
        <f t="shared" ref="E213:AL213" si="54">F89/1</f>
        <v>0</v>
      </c>
      <c r="F213" s="84">
        <f t="shared" si="54"/>
        <v>0</v>
      </c>
      <c r="G213" s="84">
        <f t="shared" si="54"/>
        <v>110</v>
      </c>
      <c r="H213" s="84">
        <f t="shared" si="54"/>
        <v>0</v>
      </c>
      <c r="I213" s="84">
        <f t="shared" si="54"/>
        <v>0</v>
      </c>
      <c r="J213" s="84">
        <f t="shared" si="54"/>
        <v>0</v>
      </c>
      <c r="K213" s="84">
        <f t="shared" si="54"/>
        <v>77</v>
      </c>
      <c r="L213" s="84">
        <f t="shared" si="54"/>
        <v>120</v>
      </c>
      <c r="M213" s="84">
        <f t="shared" si="54"/>
        <v>0</v>
      </c>
      <c r="N213" s="84">
        <f t="shared" si="54"/>
        <v>0</v>
      </c>
      <c r="O213" s="84">
        <f t="shared" si="54"/>
        <v>0</v>
      </c>
      <c r="P213" s="84">
        <f t="shared" si="54"/>
        <v>0</v>
      </c>
      <c r="Q213" s="84">
        <f t="shared" si="54"/>
        <v>0</v>
      </c>
      <c r="R213" s="84">
        <f t="shared" si="54"/>
        <v>0</v>
      </c>
      <c r="S213" s="84">
        <f t="shared" si="54"/>
        <v>0</v>
      </c>
      <c r="T213" s="84">
        <f t="shared" si="54"/>
        <v>0</v>
      </c>
      <c r="U213" s="84">
        <f t="shared" si="54"/>
        <v>0</v>
      </c>
      <c r="V213" s="84">
        <f t="shared" si="54"/>
        <v>0</v>
      </c>
      <c r="W213" s="84">
        <f t="shared" si="54"/>
        <v>0</v>
      </c>
      <c r="X213" s="84">
        <f t="shared" si="54"/>
        <v>0</v>
      </c>
      <c r="Y213" s="84">
        <f t="shared" si="54"/>
        <v>0</v>
      </c>
      <c r="Z213" s="84">
        <f t="shared" si="54"/>
        <v>198</v>
      </c>
      <c r="AA213" s="84">
        <f t="shared" si="54"/>
        <v>0</v>
      </c>
      <c r="AB213" s="84">
        <f t="shared" si="54"/>
        <v>0</v>
      </c>
      <c r="AC213" s="84">
        <f t="shared" si="54"/>
        <v>2985</v>
      </c>
      <c r="AD213" s="84">
        <f t="shared" si="54"/>
        <v>210</v>
      </c>
      <c r="AE213" s="84">
        <f t="shared" si="54"/>
        <v>0</v>
      </c>
      <c r="AF213" s="84">
        <f t="shared" si="54"/>
        <v>0</v>
      </c>
      <c r="AG213" s="84">
        <f t="shared" si="54"/>
        <v>0</v>
      </c>
      <c r="AH213" s="84">
        <f t="shared" si="54"/>
        <v>0</v>
      </c>
      <c r="AI213" s="84">
        <f t="shared" si="54"/>
        <v>0</v>
      </c>
      <c r="AJ213" s="84">
        <f t="shared" si="54"/>
        <v>0</v>
      </c>
      <c r="AK213" s="84">
        <f t="shared" si="54"/>
        <v>0</v>
      </c>
      <c r="AL213" s="84">
        <f t="shared" si="54"/>
        <v>0</v>
      </c>
      <c r="AM213" s="84" t="str">
        <f t="shared" si="51"/>
        <v>m_nickel</v>
      </c>
    </row>
    <row r="214" s="84" customFormat="1" spans="1:39">
      <c r="A214" s="84">
        <f t="shared" si="52"/>
        <v>2019</v>
      </c>
      <c r="B214" s="84" t="str">
        <f t="shared" si="53"/>
        <v>PRC_RESID</v>
      </c>
      <c r="C214" s="84" t="s">
        <v>141</v>
      </c>
      <c r="D214" s="84" t="s">
        <v>193</v>
      </c>
      <c r="E214" s="84">
        <f t="shared" ref="E214:AL214" si="55">F90/1</f>
        <v>0</v>
      </c>
      <c r="F214" s="84">
        <f t="shared" si="55"/>
        <v>222.6</v>
      </c>
      <c r="G214" s="84">
        <f t="shared" si="55"/>
        <v>3.6</v>
      </c>
      <c r="H214" s="84">
        <f t="shared" si="55"/>
        <v>0</v>
      </c>
      <c r="I214" s="84">
        <f t="shared" si="55"/>
        <v>0</v>
      </c>
      <c r="J214" s="84">
        <f t="shared" si="55"/>
        <v>0</v>
      </c>
      <c r="K214" s="84">
        <f t="shared" si="55"/>
        <v>0</v>
      </c>
      <c r="L214" s="84">
        <f t="shared" si="55"/>
        <v>0</v>
      </c>
      <c r="M214" s="84">
        <f t="shared" si="55"/>
        <v>0</v>
      </c>
      <c r="N214" s="84">
        <f t="shared" si="55"/>
        <v>0</v>
      </c>
      <c r="O214" s="84">
        <f t="shared" si="55"/>
        <v>0</v>
      </c>
      <c r="P214" s="84">
        <f t="shared" si="55"/>
        <v>0</v>
      </c>
      <c r="Q214" s="84">
        <f t="shared" si="55"/>
        <v>0</v>
      </c>
      <c r="R214" s="84">
        <f t="shared" si="55"/>
        <v>0</v>
      </c>
      <c r="S214" s="84">
        <f t="shared" si="55"/>
        <v>0</v>
      </c>
      <c r="T214" s="84">
        <f t="shared" si="55"/>
        <v>0</v>
      </c>
      <c r="U214" s="84">
        <f t="shared" si="55"/>
        <v>0</v>
      </c>
      <c r="V214" s="84">
        <f t="shared" si="55"/>
        <v>0</v>
      </c>
      <c r="W214" s="84">
        <f t="shared" si="55"/>
        <v>0</v>
      </c>
      <c r="X214" s="84">
        <f t="shared" si="55"/>
        <v>3.5</v>
      </c>
      <c r="Y214" s="84">
        <f t="shared" si="55"/>
        <v>0</v>
      </c>
      <c r="Z214" s="84">
        <f t="shared" si="55"/>
        <v>4.8</v>
      </c>
      <c r="AA214" s="84">
        <f t="shared" si="55"/>
        <v>0</v>
      </c>
      <c r="AB214" s="84">
        <f t="shared" si="55"/>
        <v>0</v>
      </c>
      <c r="AC214" s="84">
        <f t="shared" si="55"/>
        <v>43.8</v>
      </c>
      <c r="AD214" s="84">
        <f t="shared" si="55"/>
        <v>8.7</v>
      </c>
      <c r="AE214" s="84">
        <f t="shared" si="55"/>
        <v>0</v>
      </c>
      <c r="AF214" s="84">
        <f t="shared" si="55"/>
        <v>0</v>
      </c>
      <c r="AG214" s="84">
        <f t="shared" si="55"/>
        <v>0</v>
      </c>
      <c r="AH214" s="84">
        <f t="shared" si="55"/>
        <v>0</v>
      </c>
      <c r="AI214" s="84">
        <f t="shared" si="55"/>
        <v>0</v>
      </c>
      <c r="AJ214" s="84">
        <f t="shared" si="55"/>
        <v>2.7</v>
      </c>
      <c r="AK214" s="84">
        <f t="shared" si="55"/>
        <v>0</v>
      </c>
      <c r="AL214" s="84">
        <f t="shared" si="55"/>
        <v>0</v>
      </c>
      <c r="AM214" s="84" t="str">
        <f t="shared" si="51"/>
        <v>m_cobalt</v>
      </c>
    </row>
    <row r="215" s="84" customFormat="1" spans="1:39">
      <c r="A215" s="84">
        <f t="shared" si="52"/>
        <v>2019</v>
      </c>
      <c r="B215" s="84" t="str">
        <f t="shared" si="53"/>
        <v>PRC_RESID</v>
      </c>
      <c r="C215" s="84" t="s">
        <v>141</v>
      </c>
      <c r="D215" s="84" t="s">
        <v>196</v>
      </c>
      <c r="E215" s="84">
        <f t="shared" ref="E215:AL215" si="56">F91/1</f>
        <v>0</v>
      </c>
      <c r="F215" s="84">
        <f t="shared" si="56"/>
        <v>5780</v>
      </c>
      <c r="G215" s="84">
        <f t="shared" si="56"/>
        <v>2800</v>
      </c>
      <c r="H215" s="84">
        <f t="shared" si="56"/>
        <v>0</v>
      </c>
      <c r="I215" s="84">
        <f t="shared" si="56"/>
        <v>0</v>
      </c>
      <c r="J215" s="84">
        <f t="shared" si="56"/>
        <v>0</v>
      </c>
      <c r="K215" s="84">
        <f t="shared" si="56"/>
        <v>590</v>
      </c>
      <c r="L215" s="84">
        <f t="shared" si="56"/>
        <v>770</v>
      </c>
      <c r="M215" s="84">
        <f t="shared" si="56"/>
        <v>0</v>
      </c>
      <c r="N215" s="84">
        <f t="shared" si="56"/>
        <v>0</v>
      </c>
      <c r="O215" s="84">
        <f t="shared" si="56"/>
        <v>0</v>
      </c>
      <c r="P215" s="84">
        <f t="shared" si="56"/>
        <v>0</v>
      </c>
      <c r="Q215" s="84">
        <f t="shared" si="56"/>
        <v>0</v>
      </c>
      <c r="R215" s="84">
        <f t="shared" si="56"/>
        <v>0</v>
      </c>
      <c r="S215" s="84">
        <f t="shared" si="56"/>
        <v>0</v>
      </c>
      <c r="T215" s="84">
        <f t="shared" si="56"/>
        <v>800</v>
      </c>
      <c r="U215" s="84">
        <f t="shared" si="56"/>
        <v>0</v>
      </c>
      <c r="V215" s="84">
        <f t="shared" si="56"/>
        <v>0</v>
      </c>
      <c r="W215" s="84">
        <f t="shared" si="56"/>
        <v>0</v>
      </c>
      <c r="X215" s="84">
        <f t="shared" si="56"/>
        <v>0</v>
      </c>
      <c r="Y215" s="84">
        <f t="shared" si="56"/>
        <v>0</v>
      </c>
      <c r="Z215" s="84">
        <f t="shared" si="56"/>
        <v>0</v>
      </c>
      <c r="AA215" s="84">
        <f t="shared" si="56"/>
        <v>0</v>
      </c>
      <c r="AB215" s="84">
        <f t="shared" si="56"/>
        <v>0</v>
      </c>
      <c r="AC215" s="84">
        <f t="shared" si="56"/>
        <v>2060</v>
      </c>
      <c r="AD215" s="84">
        <f t="shared" si="56"/>
        <v>0</v>
      </c>
      <c r="AE215" s="84">
        <f t="shared" si="56"/>
        <v>0</v>
      </c>
      <c r="AF215" s="84">
        <f t="shared" si="56"/>
        <v>7400</v>
      </c>
      <c r="AG215" s="84">
        <f t="shared" si="56"/>
        <v>0</v>
      </c>
      <c r="AH215" s="84">
        <f t="shared" si="56"/>
        <v>0</v>
      </c>
      <c r="AI215" s="84">
        <f t="shared" si="56"/>
        <v>0</v>
      </c>
      <c r="AJ215" s="84">
        <f t="shared" si="56"/>
        <v>0</v>
      </c>
      <c r="AK215" s="84">
        <f t="shared" si="56"/>
        <v>0</v>
      </c>
      <c r="AL215" s="84">
        <f t="shared" si="56"/>
        <v>0</v>
      </c>
      <c r="AM215" s="84" t="str">
        <f t="shared" si="51"/>
        <v>m_manganese</v>
      </c>
    </row>
    <row r="216" s="84" customFormat="1" spans="1:39">
      <c r="A216" s="84">
        <f t="shared" si="52"/>
        <v>2019</v>
      </c>
      <c r="B216" s="84" t="str">
        <f t="shared" si="53"/>
        <v>PRC_RESID</v>
      </c>
      <c r="C216" s="84" t="s">
        <v>141</v>
      </c>
      <c r="D216" s="84" t="s">
        <v>198</v>
      </c>
      <c r="E216" s="84">
        <f t="shared" ref="E216:AL216" si="57">F92/1</f>
        <v>0</v>
      </c>
      <c r="F216" s="84">
        <f t="shared" si="57"/>
        <v>159</v>
      </c>
      <c r="G216" s="84">
        <f t="shared" si="57"/>
        <v>9522</v>
      </c>
      <c r="H216" s="84">
        <f t="shared" si="57"/>
        <v>0</v>
      </c>
      <c r="I216" s="84">
        <f t="shared" si="57"/>
        <v>0</v>
      </c>
      <c r="J216" s="84">
        <f t="shared" si="57"/>
        <v>0</v>
      </c>
      <c r="K216" s="84">
        <f t="shared" si="57"/>
        <v>5819</v>
      </c>
      <c r="L216" s="84">
        <f t="shared" si="57"/>
        <v>44436</v>
      </c>
      <c r="M216" s="84">
        <f t="shared" si="57"/>
        <v>0</v>
      </c>
      <c r="N216" s="84">
        <f t="shared" si="57"/>
        <v>0</v>
      </c>
      <c r="O216" s="84">
        <f t="shared" si="57"/>
        <v>0</v>
      </c>
      <c r="P216" s="84">
        <f t="shared" si="57"/>
        <v>508</v>
      </c>
      <c r="Q216" s="84">
        <f t="shared" si="57"/>
        <v>455</v>
      </c>
      <c r="R216" s="84">
        <f t="shared" si="57"/>
        <v>0</v>
      </c>
      <c r="S216" s="84">
        <f t="shared" si="57"/>
        <v>0</v>
      </c>
      <c r="T216" s="84">
        <f t="shared" si="57"/>
        <v>4020</v>
      </c>
      <c r="U216" s="84">
        <f t="shared" si="57"/>
        <v>846</v>
      </c>
      <c r="V216" s="84">
        <f t="shared" si="57"/>
        <v>0</v>
      </c>
      <c r="W216" s="84">
        <f t="shared" si="57"/>
        <v>0</v>
      </c>
      <c r="X216" s="84">
        <f t="shared" si="57"/>
        <v>0</v>
      </c>
      <c r="Y216" s="84">
        <f t="shared" si="57"/>
        <v>1270</v>
      </c>
      <c r="Z216" s="84">
        <f t="shared" si="57"/>
        <v>1175</v>
      </c>
      <c r="AA216" s="84">
        <f t="shared" si="57"/>
        <v>0</v>
      </c>
      <c r="AB216" s="84">
        <f t="shared" si="57"/>
        <v>0</v>
      </c>
      <c r="AC216" s="84">
        <f t="shared" si="57"/>
        <v>3015</v>
      </c>
      <c r="AD216" s="84">
        <f t="shared" si="57"/>
        <v>1534</v>
      </c>
      <c r="AE216" s="84">
        <f t="shared" si="57"/>
        <v>952</v>
      </c>
      <c r="AF216" s="84">
        <f t="shared" si="57"/>
        <v>0</v>
      </c>
      <c r="AG216" s="84">
        <f t="shared" si="57"/>
        <v>434</v>
      </c>
      <c r="AH216" s="84">
        <f t="shared" si="57"/>
        <v>0</v>
      </c>
      <c r="AI216" s="84">
        <f t="shared" si="57"/>
        <v>0</v>
      </c>
      <c r="AJ216" s="84">
        <f t="shared" si="57"/>
        <v>169</v>
      </c>
      <c r="AK216" s="84">
        <f t="shared" si="57"/>
        <v>0</v>
      </c>
      <c r="AL216" s="84">
        <f t="shared" si="57"/>
        <v>0</v>
      </c>
      <c r="AM216" s="84" t="str">
        <f t="shared" si="51"/>
        <v>m_aluminum</v>
      </c>
    </row>
    <row r="217" s="84" customFormat="1" spans="1:39">
      <c r="A217" s="84">
        <f t="shared" si="52"/>
        <v>2019</v>
      </c>
      <c r="B217" s="84" t="str">
        <f t="shared" si="53"/>
        <v>PRC_RESID</v>
      </c>
      <c r="C217" s="84" t="s">
        <v>141</v>
      </c>
      <c r="D217" s="84" t="s">
        <v>200</v>
      </c>
      <c r="E217" s="84">
        <f t="shared" ref="E217:AL217" si="58">F93/1</f>
        <v>0</v>
      </c>
      <c r="F217" s="84">
        <f t="shared" si="58"/>
        <v>3980</v>
      </c>
      <c r="G217" s="84">
        <f t="shared" si="58"/>
        <v>800</v>
      </c>
      <c r="H217" s="84">
        <f t="shared" si="58"/>
        <v>0</v>
      </c>
      <c r="I217" s="84">
        <f t="shared" si="58"/>
        <v>0</v>
      </c>
      <c r="J217" s="84">
        <f t="shared" si="58"/>
        <v>0</v>
      </c>
      <c r="K217" s="84">
        <f t="shared" si="58"/>
        <v>0</v>
      </c>
      <c r="L217" s="84">
        <f t="shared" si="58"/>
        <v>1800</v>
      </c>
      <c r="M217" s="84">
        <f t="shared" si="58"/>
        <v>0</v>
      </c>
      <c r="N217" s="84">
        <f t="shared" si="58"/>
        <v>0</v>
      </c>
      <c r="O217" s="84">
        <f t="shared" si="58"/>
        <v>0</v>
      </c>
      <c r="P217" s="84">
        <f t="shared" si="58"/>
        <v>0</v>
      </c>
      <c r="Q217" s="84">
        <f t="shared" si="58"/>
        <v>0</v>
      </c>
      <c r="R217" s="84">
        <f t="shared" si="58"/>
        <v>0</v>
      </c>
      <c r="S217" s="84">
        <f t="shared" si="58"/>
        <v>0</v>
      </c>
      <c r="T217" s="84">
        <f t="shared" si="58"/>
        <v>30</v>
      </c>
      <c r="U217" s="84">
        <f t="shared" si="58"/>
        <v>0</v>
      </c>
      <c r="V217" s="84">
        <f t="shared" si="58"/>
        <v>0</v>
      </c>
      <c r="W217" s="84">
        <f t="shared" si="58"/>
        <v>0</v>
      </c>
      <c r="X217" s="84">
        <f t="shared" si="58"/>
        <v>7900</v>
      </c>
      <c r="Y217" s="84">
        <f t="shared" si="58"/>
        <v>0</v>
      </c>
      <c r="Z217" s="84">
        <f t="shared" si="58"/>
        <v>2250</v>
      </c>
      <c r="AA217" s="84">
        <f t="shared" si="58"/>
        <v>0</v>
      </c>
      <c r="AB217" s="84">
        <f t="shared" si="58"/>
        <v>410</v>
      </c>
      <c r="AC217" s="84">
        <f t="shared" si="58"/>
        <v>4700</v>
      </c>
      <c r="AD217" s="84">
        <f t="shared" si="58"/>
        <v>930</v>
      </c>
      <c r="AE217" s="84">
        <f t="shared" si="58"/>
        <v>0</v>
      </c>
      <c r="AF217" s="84">
        <f t="shared" si="58"/>
        <v>0</v>
      </c>
      <c r="AG217" s="84">
        <f t="shared" si="58"/>
        <v>0</v>
      </c>
      <c r="AH217" s="84">
        <f t="shared" si="58"/>
        <v>0</v>
      </c>
      <c r="AI217" s="84">
        <f t="shared" si="58"/>
        <v>0</v>
      </c>
      <c r="AJ217" s="84">
        <f t="shared" si="58"/>
        <v>0</v>
      </c>
      <c r="AK217" s="84">
        <f t="shared" si="58"/>
        <v>0</v>
      </c>
      <c r="AL217" s="84">
        <f t="shared" si="58"/>
        <v>0</v>
      </c>
      <c r="AM217" s="84" t="str">
        <f t="shared" si="51"/>
        <v>m_copper</v>
      </c>
    </row>
    <row r="218" s="84" customFormat="1" spans="1:39">
      <c r="A218" s="84">
        <f t="shared" si="52"/>
        <v>2019</v>
      </c>
      <c r="B218" s="84" t="str">
        <f t="shared" si="53"/>
        <v>PRC_RESID</v>
      </c>
      <c r="C218" s="84" t="s">
        <v>141</v>
      </c>
      <c r="D218" s="84" t="s">
        <v>202</v>
      </c>
      <c r="E218" s="84">
        <f t="shared" ref="E218:AL218" si="59">F94/1</f>
        <v>0</v>
      </c>
      <c r="F218" s="84">
        <f t="shared" si="59"/>
        <v>189</v>
      </c>
      <c r="G218" s="84">
        <f t="shared" si="59"/>
        <v>0</v>
      </c>
      <c r="H218" s="84">
        <f t="shared" si="59"/>
        <v>0.5</v>
      </c>
      <c r="I218" s="84">
        <f t="shared" si="59"/>
        <v>0</v>
      </c>
      <c r="J218" s="84">
        <f t="shared" si="59"/>
        <v>0</v>
      </c>
      <c r="K218" s="84">
        <f t="shared" si="59"/>
        <v>68</v>
      </c>
      <c r="L218" s="84">
        <f t="shared" si="59"/>
        <v>1270</v>
      </c>
      <c r="M218" s="84">
        <f t="shared" si="59"/>
        <v>0</v>
      </c>
      <c r="N218" s="84">
        <f t="shared" si="59"/>
        <v>0</v>
      </c>
      <c r="O218" s="84">
        <f t="shared" si="59"/>
        <v>0</v>
      </c>
      <c r="P218" s="84">
        <f t="shared" si="59"/>
        <v>0.2</v>
      </c>
      <c r="Q218" s="84">
        <f t="shared" si="59"/>
        <v>0</v>
      </c>
      <c r="R218" s="84">
        <f t="shared" si="59"/>
        <v>0</v>
      </c>
      <c r="S218" s="84">
        <f t="shared" si="59"/>
        <v>0</v>
      </c>
      <c r="T218" s="84">
        <f t="shared" si="59"/>
        <v>28</v>
      </c>
      <c r="U218" s="84">
        <f t="shared" si="59"/>
        <v>0</v>
      </c>
      <c r="V218" s="84">
        <f t="shared" si="59"/>
        <v>0</v>
      </c>
      <c r="W218" s="84">
        <f t="shared" si="59"/>
        <v>0</v>
      </c>
      <c r="X218" s="84">
        <f t="shared" si="59"/>
        <v>0</v>
      </c>
      <c r="Y218" s="84">
        <f t="shared" si="59"/>
        <v>0</v>
      </c>
      <c r="Z218" s="84">
        <f t="shared" si="59"/>
        <v>20.9</v>
      </c>
      <c r="AA218" s="84">
        <f t="shared" si="59"/>
        <v>7</v>
      </c>
      <c r="AB218" s="84">
        <f t="shared" si="59"/>
        <v>0</v>
      </c>
      <c r="AC218" s="84">
        <f t="shared" si="59"/>
        <v>22.9</v>
      </c>
      <c r="AD218" s="84">
        <f t="shared" si="59"/>
        <v>20</v>
      </c>
      <c r="AE218" s="84">
        <f t="shared" si="59"/>
        <v>0</v>
      </c>
      <c r="AF218" s="84">
        <f t="shared" si="59"/>
        <v>0</v>
      </c>
      <c r="AG218" s="84">
        <f t="shared" si="59"/>
        <v>0</v>
      </c>
      <c r="AH218" s="84">
        <f t="shared" si="59"/>
        <v>0</v>
      </c>
      <c r="AI218" s="84">
        <f t="shared" si="59"/>
        <v>0</v>
      </c>
      <c r="AJ218" s="84">
        <f t="shared" si="59"/>
        <v>3</v>
      </c>
      <c r="AK218" s="84">
        <f t="shared" si="59"/>
        <v>0</v>
      </c>
      <c r="AL218" s="84">
        <f t="shared" si="59"/>
        <v>1.2</v>
      </c>
      <c r="AM218" s="84" t="str">
        <f t="shared" si="51"/>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284</v>
      </c>
    </row>
    <row r="243" ht="14.5" spans="4:23">
      <c r="D243" s="6" t="s">
        <v>1</v>
      </c>
      <c r="E243" s="6" t="s">
        <v>68</v>
      </c>
      <c r="F243" s="6" t="s">
        <v>90</v>
      </c>
      <c r="G243" s="6" t="s">
        <v>94</v>
      </c>
      <c r="H243" s="6" t="s">
        <v>86</v>
      </c>
      <c r="I243" s="6" t="s">
        <v>77</v>
      </c>
      <c r="J243" s="6" t="s">
        <v>73</v>
      </c>
      <c r="K243" s="6" t="s">
        <v>97</v>
      </c>
      <c r="P243" t="s">
        <v>285</v>
      </c>
    </row>
    <row r="244" ht="14.5" spans="4:23">
      <c r="D244" s="6" t="s">
        <v>3</v>
      </c>
      <c r="E244" s="6">
        <v>0</v>
      </c>
      <c r="F244" s="6">
        <v>0</v>
      </c>
      <c r="G244" s="6">
        <v>0</v>
      </c>
      <c r="H244" s="6">
        <v>0</v>
      </c>
      <c r="I244" s="6">
        <v>0</v>
      </c>
      <c r="J244" s="6">
        <v>0</v>
      </c>
      <c r="K244" s="6">
        <v>0</v>
      </c>
      <c r="Q244">
        <f>E244/3</f>
        <v>0</v>
      </c>
      <c r="R244">
        <f t="shared" ref="R244:W244" si="60">F244/3</f>
        <v>0</v>
      </c>
      <c r="S244">
        <f t="shared" si="60"/>
        <v>0</v>
      </c>
      <c r="T244">
        <f t="shared" si="60"/>
        <v>0</v>
      </c>
      <c r="U244">
        <f t="shared" si="60"/>
        <v>0</v>
      </c>
      <c r="V244">
        <f t="shared" si="60"/>
        <v>0</v>
      </c>
      <c r="W244">
        <f t="shared" si="60"/>
        <v>0</v>
      </c>
    </row>
    <row r="245" ht="14.5" spans="4:23">
      <c r="D245" s="6" t="s">
        <v>5</v>
      </c>
      <c r="E245" s="6">
        <v>0</v>
      </c>
      <c r="F245" s="6">
        <v>0</v>
      </c>
      <c r="G245" s="6">
        <v>0</v>
      </c>
      <c r="H245" s="6">
        <v>0</v>
      </c>
      <c r="I245" s="6">
        <v>0</v>
      </c>
      <c r="J245" s="6">
        <v>0</v>
      </c>
      <c r="K245" s="6">
        <v>0</v>
      </c>
      <c r="Q245">
        <f t="shared" ref="Q245:Q277" si="61">E245/3</f>
        <v>0</v>
      </c>
      <c r="R245">
        <f t="shared" ref="R245:W245" si="62">F245/3</f>
        <v>0</v>
      </c>
      <c r="S245">
        <f t="shared" si="62"/>
        <v>0</v>
      </c>
      <c r="T245">
        <f t="shared" si="62"/>
        <v>0</v>
      </c>
      <c r="U245">
        <f t="shared" si="62"/>
        <v>0</v>
      </c>
      <c r="V245">
        <f t="shared" si="62"/>
        <v>0</v>
      </c>
      <c r="W245">
        <f t="shared" si="62"/>
        <v>0</v>
      </c>
    </row>
    <row r="246" ht="14.5" spans="4:23">
      <c r="D246" s="6" t="s">
        <v>6</v>
      </c>
      <c r="E246" s="6">
        <v>0</v>
      </c>
      <c r="F246" s="6">
        <v>0</v>
      </c>
      <c r="G246" s="6">
        <v>0</v>
      </c>
      <c r="H246" s="6">
        <v>0</v>
      </c>
      <c r="I246" s="6">
        <v>0</v>
      </c>
      <c r="J246" s="6">
        <v>0</v>
      </c>
      <c r="K246" s="6">
        <v>0</v>
      </c>
      <c r="Q246">
        <f t="shared" si="61"/>
        <v>0</v>
      </c>
      <c r="R246">
        <f t="shared" ref="R246:W246" si="63">F246/3</f>
        <v>0</v>
      </c>
      <c r="S246">
        <f t="shared" si="63"/>
        <v>0</v>
      </c>
      <c r="T246">
        <f t="shared" si="63"/>
        <v>0</v>
      </c>
      <c r="U246">
        <f t="shared" si="63"/>
        <v>0</v>
      </c>
      <c r="V246">
        <f t="shared" si="63"/>
        <v>0</v>
      </c>
      <c r="W246">
        <f t="shared" si="63"/>
        <v>0</v>
      </c>
    </row>
    <row r="247" ht="14.5" spans="4:23">
      <c r="D247" s="6" t="s">
        <v>7</v>
      </c>
      <c r="E247" s="6">
        <v>0</v>
      </c>
      <c r="F247" s="6">
        <v>0</v>
      </c>
      <c r="G247" s="6">
        <v>0</v>
      </c>
      <c r="H247" s="6">
        <v>0</v>
      </c>
      <c r="I247" s="6">
        <v>0</v>
      </c>
      <c r="J247" s="6">
        <v>0</v>
      </c>
      <c r="K247" s="6">
        <v>0</v>
      </c>
      <c r="Q247">
        <f t="shared" si="61"/>
        <v>0</v>
      </c>
      <c r="R247">
        <f t="shared" ref="R247:W247" si="64">F247/3</f>
        <v>0</v>
      </c>
      <c r="S247">
        <f t="shared" si="64"/>
        <v>0</v>
      </c>
      <c r="T247">
        <f t="shared" si="64"/>
        <v>0</v>
      </c>
      <c r="U247">
        <f t="shared" si="64"/>
        <v>0</v>
      </c>
      <c r="V247">
        <f t="shared" si="64"/>
        <v>0</v>
      </c>
      <c r="W247">
        <f t="shared" si="64"/>
        <v>0</v>
      </c>
    </row>
    <row r="248" ht="14.5" spans="4:23">
      <c r="D248" s="6" t="s">
        <v>8</v>
      </c>
      <c r="E248" s="6">
        <v>0</v>
      </c>
      <c r="F248" s="6">
        <v>0</v>
      </c>
      <c r="G248" s="6">
        <v>0</v>
      </c>
      <c r="H248" s="6">
        <v>0</v>
      </c>
      <c r="I248" s="6">
        <v>0</v>
      </c>
      <c r="J248" s="6">
        <v>0</v>
      </c>
      <c r="K248" s="6">
        <v>0</v>
      </c>
      <c r="Q248">
        <f t="shared" si="61"/>
        <v>0</v>
      </c>
      <c r="R248">
        <f t="shared" ref="R248:W248" si="65">F248/3</f>
        <v>0</v>
      </c>
      <c r="S248">
        <f t="shared" si="65"/>
        <v>0</v>
      </c>
      <c r="T248">
        <f t="shared" si="65"/>
        <v>0</v>
      </c>
      <c r="U248">
        <f t="shared" si="65"/>
        <v>0</v>
      </c>
      <c r="V248">
        <f t="shared" si="65"/>
        <v>0</v>
      </c>
      <c r="W248">
        <f t="shared" si="65"/>
        <v>0</v>
      </c>
    </row>
    <row r="249" ht="14.5" spans="4:23">
      <c r="D249" s="6" t="s">
        <v>9</v>
      </c>
      <c r="E249" s="6">
        <v>0</v>
      </c>
      <c r="F249" s="6">
        <v>0</v>
      </c>
      <c r="G249" s="6">
        <v>0</v>
      </c>
      <c r="H249" s="6">
        <v>0</v>
      </c>
      <c r="I249" s="6">
        <v>0</v>
      </c>
      <c r="J249" s="6">
        <v>0</v>
      </c>
      <c r="K249" s="6">
        <v>0</v>
      </c>
      <c r="Q249">
        <f t="shared" si="61"/>
        <v>0</v>
      </c>
      <c r="R249">
        <f t="shared" ref="R249:W249" si="66">F249/3</f>
        <v>0</v>
      </c>
      <c r="S249">
        <f t="shared" si="66"/>
        <v>0</v>
      </c>
      <c r="T249">
        <f t="shared" si="66"/>
        <v>0</v>
      </c>
      <c r="U249">
        <f t="shared" si="66"/>
        <v>0</v>
      </c>
      <c r="V249">
        <f t="shared" si="66"/>
        <v>0</v>
      </c>
      <c r="W249">
        <f t="shared" si="66"/>
        <v>0</v>
      </c>
    </row>
    <row r="250" ht="14.5" spans="4:23">
      <c r="D250" s="6" t="s">
        <v>10</v>
      </c>
      <c r="E250" s="6">
        <v>0</v>
      </c>
      <c r="F250" s="6">
        <v>0</v>
      </c>
      <c r="G250" s="6">
        <v>0</v>
      </c>
      <c r="H250" s="6">
        <v>0</v>
      </c>
      <c r="I250" s="6">
        <v>0</v>
      </c>
      <c r="J250" s="6">
        <v>0</v>
      </c>
      <c r="K250" s="6">
        <v>0</v>
      </c>
      <c r="Q250">
        <f t="shared" si="61"/>
        <v>0</v>
      </c>
      <c r="R250">
        <f t="shared" ref="R250:W250" si="67">F250/3</f>
        <v>0</v>
      </c>
      <c r="S250">
        <f t="shared" si="67"/>
        <v>0</v>
      </c>
      <c r="T250">
        <f t="shared" si="67"/>
        <v>0</v>
      </c>
      <c r="U250">
        <f t="shared" si="67"/>
        <v>0</v>
      </c>
      <c r="V250">
        <f t="shared" si="67"/>
        <v>0</v>
      </c>
      <c r="W250">
        <f t="shared" si="67"/>
        <v>0</v>
      </c>
    </row>
    <row r="251" ht="14.5" spans="4:23">
      <c r="D251" s="6" t="s">
        <v>11</v>
      </c>
      <c r="E251" s="6">
        <v>970</v>
      </c>
      <c r="F251" s="6">
        <v>483</v>
      </c>
      <c r="G251" s="6">
        <v>268</v>
      </c>
      <c r="H251" s="6">
        <v>188</v>
      </c>
      <c r="I251" s="6">
        <v>80</v>
      </c>
      <c r="J251" s="6">
        <v>188</v>
      </c>
      <c r="K251" s="6">
        <v>0</v>
      </c>
      <c r="Q251">
        <f t="shared" si="61"/>
        <v>323.333333333333</v>
      </c>
      <c r="R251">
        <f t="shared" ref="R251:W251" si="68">F251/3</f>
        <v>161</v>
      </c>
      <c r="S251">
        <f t="shared" si="68"/>
        <v>89.3333333333333</v>
      </c>
      <c r="T251">
        <f t="shared" si="68"/>
        <v>62.6666666666667</v>
      </c>
      <c r="U251">
        <f t="shared" si="68"/>
        <v>26.6666666666667</v>
      </c>
      <c r="V251">
        <f t="shared" si="68"/>
        <v>62.6666666666667</v>
      </c>
      <c r="W251">
        <f t="shared" si="68"/>
        <v>0</v>
      </c>
    </row>
    <row r="252" ht="14.5" spans="4:23">
      <c r="D252" s="6" t="s">
        <v>12</v>
      </c>
      <c r="E252" s="6">
        <v>0</v>
      </c>
      <c r="F252" s="6">
        <v>0</v>
      </c>
      <c r="G252" s="6">
        <v>0</v>
      </c>
      <c r="H252" s="6">
        <v>0</v>
      </c>
      <c r="I252" s="6">
        <v>0</v>
      </c>
      <c r="J252" s="6">
        <v>0</v>
      </c>
      <c r="K252" s="6">
        <v>0</v>
      </c>
      <c r="Q252">
        <f t="shared" si="61"/>
        <v>0</v>
      </c>
      <c r="R252">
        <f t="shared" ref="R252:W252" si="69">F252/3</f>
        <v>0</v>
      </c>
      <c r="S252">
        <f t="shared" si="69"/>
        <v>0</v>
      </c>
      <c r="T252">
        <f t="shared" si="69"/>
        <v>0</v>
      </c>
      <c r="U252">
        <f t="shared" si="69"/>
        <v>0</v>
      </c>
      <c r="V252">
        <f t="shared" si="69"/>
        <v>0</v>
      </c>
      <c r="W252">
        <f t="shared" si="69"/>
        <v>0</v>
      </c>
    </row>
    <row r="253" ht="14.5" spans="4:23">
      <c r="D253" s="6" t="s">
        <v>13</v>
      </c>
      <c r="E253" s="6">
        <v>0</v>
      </c>
      <c r="F253" s="6">
        <v>0</v>
      </c>
      <c r="G253" s="6">
        <v>0</v>
      </c>
      <c r="H253" s="6">
        <v>0</v>
      </c>
      <c r="I253" s="6">
        <v>0</v>
      </c>
      <c r="J253" s="6">
        <v>0</v>
      </c>
      <c r="K253" s="6">
        <v>0</v>
      </c>
      <c r="Q253">
        <f t="shared" si="61"/>
        <v>0</v>
      </c>
      <c r="R253">
        <f t="shared" ref="R253:W253" si="70">F253/3</f>
        <v>0</v>
      </c>
      <c r="S253">
        <f t="shared" si="70"/>
        <v>0</v>
      </c>
      <c r="T253">
        <f t="shared" si="70"/>
        <v>0</v>
      </c>
      <c r="U253">
        <f t="shared" si="70"/>
        <v>0</v>
      </c>
      <c r="V253">
        <f t="shared" si="70"/>
        <v>0</v>
      </c>
      <c r="W253">
        <f t="shared" si="70"/>
        <v>0</v>
      </c>
    </row>
    <row r="254" ht="14.5" spans="4:23">
      <c r="D254" s="6" t="s">
        <v>14</v>
      </c>
      <c r="E254" s="6">
        <v>1</v>
      </c>
      <c r="F254" s="6">
        <v>2</v>
      </c>
      <c r="G254" s="6">
        <v>2</v>
      </c>
      <c r="H254" s="6">
        <v>1</v>
      </c>
      <c r="I254" s="6">
        <v>1</v>
      </c>
      <c r="J254" s="6">
        <v>0</v>
      </c>
      <c r="K254" s="6">
        <v>0</v>
      </c>
      <c r="Q254">
        <f t="shared" si="61"/>
        <v>0.333333333333333</v>
      </c>
      <c r="R254">
        <f t="shared" ref="R254:W254" si="71">F254/3</f>
        <v>0.666666666666667</v>
      </c>
      <c r="S254">
        <f t="shared" si="71"/>
        <v>0.666666666666667</v>
      </c>
      <c r="T254">
        <f t="shared" si="71"/>
        <v>0.333333333333333</v>
      </c>
      <c r="U254">
        <f t="shared" si="71"/>
        <v>0.333333333333333</v>
      </c>
      <c r="V254">
        <f t="shared" si="71"/>
        <v>0</v>
      </c>
      <c r="W254">
        <f t="shared" si="71"/>
        <v>0</v>
      </c>
    </row>
    <row r="255" ht="14.5" spans="4:23">
      <c r="D255" s="6" t="s">
        <v>15</v>
      </c>
      <c r="E255" s="6">
        <v>3</v>
      </c>
      <c r="F255" s="6">
        <v>8</v>
      </c>
      <c r="G255" s="6">
        <v>6</v>
      </c>
      <c r="H255" s="6">
        <v>5</v>
      </c>
      <c r="I255" s="6">
        <v>3</v>
      </c>
      <c r="J255" s="6">
        <v>1</v>
      </c>
      <c r="K255" s="6">
        <v>0</v>
      </c>
      <c r="Q255">
        <f t="shared" si="61"/>
        <v>1</v>
      </c>
      <c r="R255">
        <f t="shared" ref="R255:W255" si="72">F255/3</f>
        <v>2.66666666666667</v>
      </c>
      <c r="S255">
        <f t="shared" si="72"/>
        <v>2</v>
      </c>
      <c r="T255">
        <f t="shared" si="72"/>
        <v>1.66666666666667</v>
      </c>
      <c r="U255">
        <f t="shared" si="72"/>
        <v>1</v>
      </c>
      <c r="V255">
        <f t="shared" si="72"/>
        <v>0.333333333333333</v>
      </c>
      <c r="W255">
        <f t="shared" si="72"/>
        <v>0</v>
      </c>
    </row>
    <row r="256" ht="14.5" spans="4:23">
      <c r="D256" s="6" t="s">
        <v>16</v>
      </c>
      <c r="E256" s="6">
        <v>0</v>
      </c>
      <c r="F256" s="6">
        <v>0</v>
      </c>
      <c r="G256" s="6">
        <v>0</v>
      </c>
      <c r="H256" s="6">
        <v>0</v>
      </c>
      <c r="I256" s="6">
        <v>0</v>
      </c>
      <c r="J256" s="6">
        <v>0</v>
      </c>
      <c r="K256" s="6">
        <v>0</v>
      </c>
      <c r="Q256">
        <f t="shared" si="61"/>
        <v>0</v>
      </c>
      <c r="R256">
        <f t="shared" ref="R256:W256" si="73">F256/3</f>
        <v>0</v>
      </c>
      <c r="S256">
        <f t="shared" si="73"/>
        <v>0</v>
      </c>
      <c r="T256">
        <f t="shared" si="73"/>
        <v>0</v>
      </c>
      <c r="U256">
        <f t="shared" si="73"/>
        <v>0</v>
      </c>
      <c r="V256">
        <f t="shared" si="73"/>
        <v>0</v>
      </c>
      <c r="W256">
        <f t="shared" si="73"/>
        <v>0</v>
      </c>
    </row>
    <row r="257" ht="14.5" spans="4:23">
      <c r="D257" s="6" t="s">
        <v>17</v>
      </c>
      <c r="E257" s="6">
        <v>3</v>
      </c>
      <c r="F257" s="6">
        <v>8</v>
      </c>
      <c r="G257" s="6">
        <v>6</v>
      </c>
      <c r="H257" s="6">
        <v>5</v>
      </c>
      <c r="I257" s="6">
        <v>3</v>
      </c>
      <c r="J257" s="6">
        <v>1</v>
      </c>
      <c r="K257" s="6">
        <v>0</v>
      </c>
      <c r="Q257">
        <f t="shared" si="61"/>
        <v>1</v>
      </c>
      <c r="R257">
        <f t="shared" ref="R257:W257" si="74">F257/3</f>
        <v>2.66666666666667</v>
      </c>
      <c r="S257">
        <f t="shared" si="74"/>
        <v>2</v>
      </c>
      <c r="T257">
        <f t="shared" si="74"/>
        <v>1.66666666666667</v>
      </c>
      <c r="U257">
        <f t="shared" si="74"/>
        <v>1</v>
      </c>
      <c r="V257">
        <f t="shared" si="74"/>
        <v>0.333333333333333</v>
      </c>
      <c r="W257">
        <f t="shared" si="74"/>
        <v>0</v>
      </c>
    </row>
    <row r="258" ht="14.5" spans="4:23">
      <c r="D258" s="6" t="s">
        <v>18</v>
      </c>
      <c r="E258" s="6">
        <v>0</v>
      </c>
      <c r="F258" s="6">
        <v>0</v>
      </c>
      <c r="G258" s="6">
        <v>0</v>
      </c>
      <c r="H258" s="6">
        <v>0</v>
      </c>
      <c r="I258" s="6">
        <v>0</v>
      </c>
      <c r="J258" s="6">
        <v>0</v>
      </c>
      <c r="K258" s="6">
        <v>0</v>
      </c>
      <c r="Q258">
        <f t="shared" si="61"/>
        <v>0</v>
      </c>
      <c r="R258">
        <f t="shared" ref="R258:W258" si="75">F258/3</f>
        <v>0</v>
      </c>
      <c r="S258">
        <f t="shared" si="75"/>
        <v>0</v>
      </c>
      <c r="T258">
        <f t="shared" si="75"/>
        <v>0</v>
      </c>
      <c r="U258">
        <f t="shared" si="75"/>
        <v>0</v>
      </c>
      <c r="V258">
        <f t="shared" si="75"/>
        <v>0</v>
      </c>
      <c r="W258">
        <f t="shared" si="75"/>
        <v>0</v>
      </c>
    </row>
    <row r="259" ht="14.5" spans="4:23">
      <c r="D259" s="6" t="s">
        <v>19</v>
      </c>
      <c r="E259" s="6">
        <v>0</v>
      </c>
      <c r="F259" s="6">
        <v>0</v>
      </c>
      <c r="G259" s="6">
        <v>0</v>
      </c>
      <c r="H259" s="6">
        <v>0</v>
      </c>
      <c r="I259" s="6">
        <v>0</v>
      </c>
      <c r="J259" s="6">
        <v>0</v>
      </c>
      <c r="K259" s="6">
        <v>0</v>
      </c>
      <c r="Q259">
        <f t="shared" si="61"/>
        <v>0</v>
      </c>
      <c r="R259">
        <f t="shared" ref="R259:W259" si="76">F259/3</f>
        <v>0</v>
      </c>
      <c r="S259">
        <f t="shared" si="76"/>
        <v>0</v>
      </c>
      <c r="T259">
        <f t="shared" si="76"/>
        <v>0</v>
      </c>
      <c r="U259">
        <f t="shared" si="76"/>
        <v>0</v>
      </c>
      <c r="V259">
        <f t="shared" si="76"/>
        <v>0</v>
      </c>
      <c r="W259">
        <f t="shared" si="76"/>
        <v>0</v>
      </c>
    </row>
    <row r="260" ht="14.5" spans="4:23">
      <c r="D260" s="6" t="s">
        <v>20</v>
      </c>
      <c r="E260" s="6">
        <v>0</v>
      </c>
      <c r="F260" s="6">
        <v>0</v>
      </c>
      <c r="G260" s="6">
        <v>0</v>
      </c>
      <c r="H260" s="6">
        <v>0</v>
      </c>
      <c r="I260" s="6">
        <v>0</v>
      </c>
      <c r="J260" s="6">
        <v>0</v>
      </c>
      <c r="K260" s="6">
        <v>0</v>
      </c>
      <c r="Q260">
        <f t="shared" si="61"/>
        <v>0</v>
      </c>
      <c r="R260">
        <f t="shared" ref="R260:W260" si="77">F260/3</f>
        <v>0</v>
      </c>
      <c r="S260">
        <f t="shared" si="77"/>
        <v>0</v>
      </c>
      <c r="T260">
        <f t="shared" si="77"/>
        <v>0</v>
      </c>
      <c r="U260">
        <f t="shared" si="77"/>
        <v>0</v>
      </c>
      <c r="V260">
        <f t="shared" si="77"/>
        <v>0</v>
      </c>
      <c r="W260">
        <f t="shared" si="77"/>
        <v>0</v>
      </c>
    </row>
    <row r="261" ht="14.5" spans="4:23">
      <c r="D261" s="6" t="s">
        <v>21</v>
      </c>
      <c r="E261" s="6">
        <v>0</v>
      </c>
      <c r="F261" s="6">
        <v>0</v>
      </c>
      <c r="G261" s="6">
        <v>0</v>
      </c>
      <c r="H261" s="6">
        <v>0</v>
      </c>
      <c r="I261" s="6">
        <v>0</v>
      </c>
      <c r="J261" s="6">
        <v>0</v>
      </c>
      <c r="K261" s="6">
        <v>0</v>
      </c>
      <c r="Q261">
        <f t="shared" si="61"/>
        <v>0</v>
      </c>
      <c r="R261">
        <f t="shared" ref="R261:W261" si="78">F261/3</f>
        <v>0</v>
      </c>
      <c r="S261">
        <f t="shared" si="78"/>
        <v>0</v>
      </c>
      <c r="T261">
        <f t="shared" si="78"/>
        <v>0</v>
      </c>
      <c r="U261">
        <f t="shared" si="78"/>
        <v>0</v>
      </c>
      <c r="V261">
        <f t="shared" si="78"/>
        <v>0</v>
      </c>
      <c r="W261">
        <f t="shared" si="78"/>
        <v>0</v>
      </c>
    </row>
    <row r="262" ht="14.5" spans="4:23">
      <c r="D262" s="6" t="s">
        <v>22</v>
      </c>
      <c r="E262" s="6">
        <v>3</v>
      </c>
      <c r="F262" s="6">
        <v>12</v>
      </c>
      <c r="G262" s="6">
        <v>12</v>
      </c>
      <c r="H262" s="6">
        <v>9</v>
      </c>
      <c r="I262" s="6">
        <v>23</v>
      </c>
      <c r="J262" s="6">
        <v>1</v>
      </c>
      <c r="K262" s="6">
        <v>0</v>
      </c>
      <c r="Q262">
        <f t="shared" si="61"/>
        <v>1</v>
      </c>
      <c r="R262">
        <f t="shared" ref="R262:W262" si="79">F262/3</f>
        <v>4</v>
      </c>
      <c r="S262">
        <f t="shared" si="79"/>
        <v>4</v>
      </c>
      <c r="T262">
        <f t="shared" si="79"/>
        <v>3</v>
      </c>
      <c r="U262">
        <f t="shared" si="79"/>
        <v>7.66666666666667</v>
      </c>
      <c r="V262">
        <f t="shared" si="79"/>
        <v>0.333333333333333</v>
      </c>
      <c r="W262">
        <f t="shared" si="79"/>
        <v>0</v>
      </c>
    </row>
    <row r="263" ht="14.5" spans="4:23">
      <c r="D263" s="6" t="s">
        <v>23</v>
      </c>
      <c r="E263" s="6">
        <v>0</v>
      </c>
      <c r="F263" s="6">
        <v>0</v>
      </c>
      <c r="G263" s="6">
        <v>0</v>
      </c>
      <c r="H263" s="6">
        <v>0</v>
      </c>
      <c r="I263" s="6">
        <v>0</v>
      </c>
      <c r="J263" s="6">
        <v>0</v>
      </c>
      <c r="K263" s="6">
        <v>0</v>
      </c>
      <c r="Q263">
        <f t="shared" si="61"/>
        <v>0</v>
      </c>
      <c r="R263">
        <f t="shared" ref="R263:W263" si="80">F263/3</f>
        <v>0</v>
      </c>
      <c r="S263">
        <f t="shared" si="80"/>
        <v>0</v>
      </c>
      <c r="T263">
        <f t="shared" si="80"/>
        <v>0</v>
      </c>
      <c r="U263">
        <f t="shared" si="80"/>
        <v>0</v>
      </c>
      <c r="V263">
        <f t="shared" si="80"/>
        <v>0</v>
      </c>
      <c r="W263">
        <f t="shared" si="80"/>
        <v>0</v>
      </c>
    </row>
    <row r="264" ht="14.5" spans="4:23">
      <c r="D264" s="6" t="s">
        <v>24</v>
      </c>
      <c r="E264" s="6">
        <v>0</v>
      </c>
      <c r="F264" s="6">
        <v>0</v>
      </c>
      <c r="G264" s="6">
        <v>0</v>
      </c>
      <c r="H264" s="6">
        <v>0</v>
      </c>
      <c r="I264" s="6">
        <v>0</v>
      </c>
      <c r="J264" s="6">
        <v>0</v>
      </c>
      <c r="K264" s="6">
        <v>0</v>
      </c>
      <c r="Q264">
        <f t="shared" si="61"/>
        <v>0</v>
      </c>
      <c r="R264">
        <f t="shared" ref="R264:W264" si="81">F264/3</f>
        <v>0</v>
      </c>
      <c r="S264">
        <f t="shared" si="81"/>
        <v>0</v>
      </c>
      <c r="T264">
        <f t="shared" si="81"/>
        <v>0</v>
      </c>
      <c r="U264">
        <f t="shared" si="81"/>
        <v>0</v>
      </c>
      <c r="V264">
        <f t="shared" si="81"/>
        <v>0</v>
      </c>
      <c r="W264">
        <f t="shared" si="81"/>
        <v>0</v>
      </c>
    </row>
    <row r="265" ht="14.5" spans="4:23">
      <c r="D265" s="6" t="s">
        <v>25</v>
      </c>
      <c r="E265" s="6">
        <v>19</v>
      </c>
      <c r="F265" s="6">
        <v>26</v>
      </c>
      <c r="G265" s="6">
        <v>23</v>
      </c>
      <c r="H265" s="6">
        <v>15</v>
      </c>
      <c r="I265" s="6">
        <v>38</v>
      </c>
      <c r="J265" s="6">
        <v>6</v>
      </c>
      <c r="K265" s="6">
        <v>0</v>
      </c>
      <c r="Q265">
        <f t="shared" si="61"/>
        <v>6.33333333333333</v>
      </c>
      <c r="R265">
        <f t="shared" ref="R265:W265" si="82">F265/3</f>
        <v>8.66666666666667</v>
      </c>
      <c r="S265">
        <f t="shared" si="82"/>
        <v>7.66666666666667</v>
      </c>
      <c r="T265">
        <f t="shared" si="82"/>
        <v>5</v>
      </c>
      <c r="U265">
        <f t="shared" si="82"/>
        <v>12.6666666666667</v>
      </c>
      <c r="V265">
        <f t="shared" si="82"/>
        <v>2</v>
      </c>
      <c r="W265">
        <f t="shared" si="82"/>
        <v>0</v>
      </c>
    </row>
    <row r="266" ht="14.5" spans="4:23">
      <c r="D266" s="6" t="s">
        <v>26</v>
      </c>
      <c r="E266" s="6">
        <v>0</v>
      </c>
      <c r="F266" s="6">
        <v>0</v>
      </c>
      <c r="G266" s="6">
        <v>0</v>
      </c>
      <c r="H266" s="6">
        <v>0</v>
      </c>
      <c r="I266" s="6">
        <v>0</v>
      </c>
      <c r="J266" s="6">
        <v>0</v>
      </c>
      <c r="K266" s="6">
        <v>0</v>
      </c>
      <c r="Q266">
        <f t="shared" si="61"/>
        <v>0</v>
      </c>
      <c r="R266">
        <f t="shared" ref="R266:W266" si="83">F266/3</f>
        <v>0</v>
      </c>
      <c r="S266">
        <f t="shared" si="83"/>
        <v>0</v>
      </c>
      <c r="T266">
        <f t="shared" si="83"/>
        <v>0</v>
      </c>
      <c r="U266">
        <f t="shared" si="83"/>
        <v>0</v>
      </c>
      <c r="V266">
        <f t="shared" si="83"/>
        <v>0</v>
      </c>
      <c r="W266">
        <f t="shared" si="83"/>
        <v>0</v>
      </c>
    </row>
    <row r="267" ht="14.5" spans="4:23">
      <c r="D267" s="6" t="s">
        <v>27</v>
      </c>
      <c r="E267" s="6">
        <v>7</v>
      </c>
      <c r="F267" s="6">
        <v>19</v>
      </c>
      <c r="G267" s="6">
        <v>14</v>
      </c>
      <c r="H267" s="6">
        <v>10</v>
      </c>
      <c r="I267" s="6">
        <v>6</v>
      </c>
      <c r="J267" s="6">
        <v>2</v>
      </c>
      <c r="K267" s="6">
        <v>0</v>
      </c>
      <c r="Q267">
        <f t="shared" si="61"/>
        <v>2.33333333333333</v>
      </c>
      <c r="R267">
        <f t="shared" ref="R267:W267" si="84">F267/3</f>
        <v>6.33333333333333</v>
      </c>
      <c r="S267">
        <f t="shared" si="84"/>
        <v>4.66666666666667</v>
      </c>
      <c r="T267">
        <f t="shared" si="84"/>
        <v>3.33333333333333</v>
      </c>
      <c r="U267">
        <f t="shared" si="84"/>
        <v>2</v>
      </c>
      <c r="V267">
        <f t="shared" si="84"/>
        <v>0.666666666666667</v>
      </c>
      <c r="W267">
        <f t="shared" si="84"/>
        <v>0</v>
      </c>
    </row>
    <row r="268" ht="14.5" spans="4:23">
      <c r="D268" s="6" t="s">
        <v>28</v>
      </c>
      <c r="E268" s="6">
        <v>17</v>
      </c>
      <c r="F268" s="6">
        <v>17</v>
      </c>
      <c r="G268" s="6">
        <v>12</v>
      </c>
      <c r="H268" s="6">
        <v>8</v>
      </c>
      <c r="I268" s="6">
        <v>12</v>
      </c>
      <c r="J268" s="6">
        <v>1</v>
      </c>
      <c r="K268" s="6">
        <v>0</v>
      </c>
      <c r="Q268">
        <f t="shared" si="61"/>
        <v>5.66666666666667</v>
      </c>
      <c r="R268">
        <f t="shared" ref="R268:W268" si="85">F268/3</f>
        <v>5.66666666666667</v>
      </c>
      <c r="S268">
        <f t="shared" si="85"/>
        <v>4</v>
      </c>
      <c r="T268">
        <f t="shared" si="85"/>
        <v>2.66666666666667</v>
      </c>
      <c r="U268">
        <f t="shared" si="85"/>
        <v>4</v>
      </c>
      <c r="V268">
        <f t="shared" si="85"/>
        <v>0.333333333333333</v>
      </c>
      <c r="W268">
        <f t="shared" si="85"/>
        <v>0</v>
      </c>
    </row>
    <row r="269" ht="14.5" spans="4:23">
      <c r="D269" s="6" t="s">
        <v>29</v>
      </c>
      <c r="E269" s="6">
        <v>0</v>
      </c>
      <c r="F269" s="6">
        <v>0</v>
      </c>
      <c r="G269" s="6">
        <v>0</v>
      </c>
      <c r="H269" s="6">
        <v>0</v>
      </c>
      <c r="I269" s="6">
        <v>0</v>
      </c>
      <c r="J269" s="6">
        <v>0</v>
      </c>
      <c r="K269" s="6">
        <v>0</v>
      </c>
      <c r="Q269">
        <f t="shared" si="61"/>
        <v>0</v>
      </c>
      <c r="R269">
        <f t="shared" ref="R269:W269" si="86">F269/3</f>
        <v>0</v>
      </c>
      <c r="S269">
        <f t="shared" si="86"/>
        <v>0</v>
      </c>
      <c r="T269">
        <f t="shared" si="86"/>
        <v>0</v>
      </c>
      <c r="U269">
        <f t="shared" si="86"/>
        <v>0</v>
      </c>
      <c r="V269">
        <f t="shared" si="86"/>
        <v>0</v>
      </c>
      <c r="W269">
        <f t="shared" si="86"/>
        <v>0</v>
      </c>
    </row>
    <row r="270" ht="14.5" spans="4:23">
      <c r="D270" s="6" t="s">
        <v>30</v>
      </c>
      <c r="E270" s="6">
        <v>0</v>
      </c>
      <c r="F270" s="6">
        <v>0</v>
      </c>
      <c r="G270" s="6">
        <v>0</v>
      </c>
      <c r="H270" s="6">
        <v>0</v>
      </c>
      <c r="I270" s="6">
        <v>0</v>
      </c>
      <c r="J270" s="6">
        <v>0</v>
      </c>
      <c r="K270" s="6">
        <v>0</v>
      </c>
      <c r="Q270">
        <f t="shared" si="61"/>
        <v>0</v>
      </c>
      <c r="R270">
        <f t="shared" ref="R270:W270" si="87">F270/3</f>
        <v>0</v>
      </c>
      <c r="S270">
        <f t="shared" si="87"/>
        <v>0</v>
      </c>
      <c r="T270">
        <f t="shared" si="87"/>
        <v>0</v>
      </c>
      <c r="U270">
        <f t="shared" si="87"/>
        <v>0</v>
      </c>
      <c r="V270">
        <f t="shared" si="87"/>
        <v>0</v>
      </c>
      <c r="W270">
        <f t="shared" si="87"/>
        <v>0</v>
      </c>
    </row>
    <row r="271" ht="14.5" spans="4:23">
      <c r="D271" s="6" t="s">
        <v>31</v>
      </c>
      <c r="E271" s="6">
        <v>0</v>
      </c>
      <c r="F271" s="6">
        <v>0</v>
      </c>
      <c r="G271" s="6">
        <v>0</v>
      </c>
      <c r="H271" s="6">
        <v>0</v>
      </c>
      <c r="I271" s="6">
        <v>0</v>
      </c>
      <c r="J271" s="6">
        <v>0</v>
      </c>
      <c r="K271" s="6">
        <v>0</v>
      </c>
      <c r="Q271">
        <f t="shared" si="61"/>
        <v>0</v>
      </c>
      <c r="R271">
        <f t="shared" ref="R271:W271" si="88">F271/3</f>
        <v>0</v>
      </c>
      <c r="S271">
        <f t="shared" si="88"/>
        <v>0</v>
      </c>
      <c r="T271">
        <f t="shared" si="88"/>
        <v>0</v>
      </c>
      <c r="U271">
        <f t="shared" si="88"/>
        <v>0</v>
      </c>
      <c r="V271">
        <f t="shared" si="88"/>
        <v>0</v>
      </c>
      <c r="W271">
        <f t="shared" si="88"/>
        <v>0</v>
      </c>
    </row>
    <row r="272" ht="14.5" spans="4:23">
      <c r="D272" s="6" t="s">
        <v>32</v>
      </c>
      <c r="E272" s="6">
        <v>0</v>
      </c>
      <c r="F272" s="6">
        <v>0</v>
      </c>
      <c r="G272" s="6">
        <v>0</v>
      </c>
      <c r="H272" s="6">
        <v>0</v>
      </c>
      <c r="I272" s="6">
        <v>0</v>
      </c>
      <c r="J272" s="6">
        <v>0</v>
      </c>
      <c r="K272" s="6">
        <v>0</v>
      </c>
      <c r="Q272">
        <f t="shared" si="61"/>
        <v>0</v>
      </c>
      <c r="R272">
        <f t="shared" ref="R272:W272" si="89">F272/3</f>
        <v>0</v>
      </c>
      <c r="S272">
        <f t="shared" si="89"/>
        <v>0</v>
      </c>
      <c r="T272">
        <f t="shared" si="89"/>
        <v>0</v>
      </c>
      <c r="U272">
        <f t="shared" si="89"/>
        <v>0</v>
      </c>
      <c r="V272">
        <f t="shared" si="89"/>
        <v>0</v>
      </c>
      <c r="W272">
        <f t="shared" si="89"/>
        <v>0</v>
      </c>
    </row>
    <row r="273" ht="14.5" spans="1:38">
      <c r="D273" s="6" t="s">
        <v>33</v>
      </c>
      <c r="E273" s="6">
        <v>2</v>
      </c>
      <c r="F273" s="6">
        <v>4</v>
      </c>
      <c r="G273" s="6">
        <v>3</v>
      </c>
      <c r="H273" s="6">
        <v>2</v>
      </c>
      <c r="I273" s="6">
        <v>1</v>
      </c>
      <c r="J273" s="6">
        <v>0</v>
      </c>
      <c r="K273" s="6">
        <v>0</v>
      </c>
      <c r="Q273">
        <f t="shared" si="61"/>
        <v>0.666666666666667</v>
      </c>
      <c r="R273">
        <f t="shared" ref="R273:W273" si="90">F273/3</f>
        <v>1.33333333333333</v>
      </c>
      <c r="S273">
        <f t="shared" si="90"/>
        <v>1</v>
      </c>
      <c r="T273">
        <f t="shared" si="90"/>
        <v>0.666666666666667</v>
      </c>
      <c r="U273">
        <f t="shared" si="90"/>
        <v>0.333333333333333</v>
      </c>
      <c r="V273">
        <f t="shared" si="90"/>
        <v>0</v>
      </c>
      <c r="W273">
        <f t="shared" si="90"/>
        <v>0</v>
      </c>
    </row>
    <row r="274" ht="14.5" spans="1:38">
      <c r="D274" s="6" t="s">
        <v>34</v>
      </c>
      <c r="E274" s="6">
        <v>0</v>
      </c>
      <c r="F274" s="6">
        <v>0</v>
      </c>
      <c r="G274" s="6">
        <v>0</v>
      </c>
      <c r="H274" s="6">
        <v>0</v>
      </c>
      <c r="I274" s="6">
        <v>0</v>
      </c>
      <c r="J274" s="6">
        <v>0</v>
      </c>
      <c r="K274" s="6">
        <v>0</v>
      </c>
      <c r="Q274">
        <f t="shared" si="61"/>
        <v>0</v>
      </c>
      <c r="R274">
        <f t="shared" ref="R274:W274" si="91">F274/3</f>
        <v>0</v>
      </c>
      <c r="S274">
        <f t="shared" si="91"/>
        <v>0</v>
      </c>
      <c r="T274">
        <f t="shared" si="91"/>
        <v>0</v>
      </c>
      <c r="U274">
        <f t="shared" si="91"/>
        <v>0</v>
      </c>
      <c r="V274">
        <f t="shared" si="91"/>
        <v>0</v>
      </c>
      <c r="W274">
        <f t="shared" si="91"/>
        <v>0</v>
      </c>
    </row>
    <row r="275" ht="14.5" spans="1:38">
      <c r="D275" s="6" t="s">
        <v>35</v>
      </c>
      <c r="E275" s="6">
        <v>0</v>
      </c>
      <c r="F275" s="6">
        <v>0</v>
      </c>
      <c r="G275" s="6">
        <v>0</v>
      </c>
      <c r="H275" s="6">
        <v>0</v>
      </c>
      <c r="I275" s="6">
        <v>0</v>
      </c>
      <c r="J275" s="6">
        <v>0</v>
      </c>
      <c r="K275" s="6">
        <v>0</v>
      </c>
      <c r="Q275">
        <f t="shared" si="61"/>
        <v>0</v>
      </c>
      <c r="R275">
        <f t="shared" ref="R275:W275" si="92">F275/3</f>
        <v>0</v>
      </c>
      <c r="S275">
        <f t="shared" si="92"/>
        <v>0</v>
      </c>
      <c r="T275">
        <f t="shared" si="92"/>
        <v>0</v>
      </c>
      <c r="U275">
        <f t="shared" si="92"/>
        <v>0</v>
      </c>
      <c r="V275">
        <f t="shared" si="92"/>
        <v>0</v>
      </c>
      <c r="W275">
        <f t="shared" si="92"/>
        <v>0</v>
      </c>
    </row>
    <row r="276" ht="14.5" spans="1:38">
      <c r="D276" s="6" t="s">
        <v>36</v>
      </c>
      <c r="E276" s="6">
        <v>0</v>
      </c>
      <c r="F276" s="6">
        <v>0</v>
      </c>
      <c r="G276" s="6">
        <v>0</v>
      </c>
      <c r="H276" s="6">
        <v>0</v>
      </c>
      <c r="I276" s="6">
        <v>0</v>
      </c>
      <c r="J276" s="6">
        <v>0</v>
      </c>
      <c r="K276" s="6">
        <v>0</v>
      </c>
      <c r="Q276">
        <f t="shared" si="61"/>
        <v>0</v>
      </c>
      <c r="R276">
        <f t="shared" ref="R276:W276" si="93">F276/3</f>
        <v>0</v>
      </c>
      <c r="S276">
        <f t="shared" si="93"/>
        <v>0</v>
      </c>
      <c r="T276">
        <f t="shared" si="93"/>
        <v>0</v>
      </c>
      <c r="U276">
        <f t="shared" si="93"/>
        <v>0</v>
      </c>
      <c r="V276">
        <f t="shared" si="93"/>
        <v>0</v>
      </c>
      <c r="W276">
        <f t="shared" si="93"/>
        <v>0</v>
      </c>
    </row>
    <row r="277" ht="14.5" spans="1:38">
      <c r="D277" s="6" t="s">
        <v>37</v>
      </c>
      <c r="E277" s="6">
        <v>0</v>
      </c>
      <c r="F277" s="6">
        <v>0</v>
      </c>
      <c r="G277" s="6">
        <v>0</v>
      </c>
      <c r="H277" s="6">
        <v>0</v>
      </c>
      <c r="I277" s="6">
        <v>0</v>
      </c>
      <c r="J277" s="6">
        <v>0</v>
      </c>
      <c r="K277" s="6">
        <v>0</v>
      </c>
      <c r="Q277">
        <f t="shared" si="61"/>
        <v>0</v>
      </c>
      <c r="R277">
        <f t="shared" ref="R277:W277" si="94">F277/3</f>
        <v>0</v>
      </c>
      <c r="S277">
        <f t="shared" si="94"/>
        <v>0</v>
      </c>
      <c r="T277">
        <f t="shared" si="94"/>
        <v>0</v>
      </c>
      <c r="U277">
        <f t="shared" si="94"/>
        <v>0</v>
      </c>
      <c r="V277">
        <f t="shared" si="94"/>
        <v>0</v>
      </c>
      <c r="W277">
        <f t="shared" si="94"/>
        <v>0</v>
      </c>
    </row>
    <row r="278" ht="14.5" spans="1:38">
      <c r="D278" s="6"/>
      <c r="E278" s="6"/>
      <c r="F278" s="6"/>
      <c r="G278" s="6"/>
      <c r="H278" s="6"/>
      <c r="I278" s="6"/>
      <c r="J278" s="6"/>
      <c r="K278" s="6"/>
    </row>
    <row r="280" spans="1:38">
      <c r="B280" s="146" t="s">
        <v>131</v>
      </c>
    </row>
    <row r="283" spans="1:38">
      <c r="B283" t="s">
        <v>131</v>
      </c>
    </row>
    <row r="284" spans="1:38">
      <c r="A284" s="84"/>
      <c r="C284" s="84"/>
    </row>
    <row r="285" ht="14.5" spans="1:38">
      <c r="A285" s="146" t="s">
        <v>41</v>
      </c>
      <c r="B285" s="146" t="s">
        <v>133</v>
      </c>
      <c r="C285" s="146" t="s">
        <v>137</v>
      </c>
      <c r="D285" s="147" t="s">
        <v>65</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283</v>
      </c>
      <c r="C286" s="146" t="s">
        <v>141</v>
      </c>
      <c r="D286" s="147" t="s">
        <v>286</v>
      </c>
      <c r="E286" s="146">
        <f>F309*25%</f>
        <v>2.70047156845812</v>
      </c>
      <c r="F286" s="146">
        <f t="shared" ref="F286:AL286" si="95">G309*25%</f>
        <v>0</v>
      </c>
      <c r="G286" s="146">
        <f t="shared" si="95"/>
        <v>3.03412561201197</v>
      </c>
      <c r="H286" s="146">
        <f t="shared" si="95"/>
        <v>0.476962737941833</v>
      </c>
      <c r="I286" s="146">
        <f t="shared" si="95"/>
        <v>0.00409064974235645</v>
      </c>
      <c r="J286" s="146">
        <f t="shared" si="95"/>
        <v>4.6301135077302</v>
      </c>
      <c r="K286" s="146">
        <f t="shared" si="95"/>
        <v>1.90663375437732</v>
      </c>
      <c r="L286" s="146">
        <f t="shared" si="95"/>
        <v>167.552498082159</v>
      </c>
      <c r="M286" s="146">
        <f t="shared" si="95"/>
        <v>0.579445415374862</v>
      </c>
      <c r="N286" s="146">
        <f t="shared" si="95"/>
        <v>2.64382085354907</v>
      </c>
      <c r="O286" s="146">
        <f t="shared" si="95"/>
        <v>11.2538795555429</v>
      </c>
      <c r="P286" s="146">
        <f t="shared" si="95"/>
        <v>6.6423572524105</v>
      </c>
      <c r="Q286" s="146">
        <f t="shared" si="95"/>
        <v>0.224780310033883</v>
      </c>
      <c r="R286" s="146">
        <f t="shared" si="95"/>
        <v>3.0175573987723</v>
      </c>
      <c r="S286" s="146">
        <f t="shared" si="95"/>
        <v>0.0840570283394965</v>
      </c>
      <c r="T286" s="146">
        <f t="shared" si="95"/>
        <v>22.6664174429379</v>
      </c>
      <c r="U286" s="146">
        <f t="shared" si="95"/>
        <v>0.024654019511857</v>
      </c>
      <c r="V286" s="146">
        <f t="shared" si="95"/>
        <v>7.09546051638262</v>
      </c>
      <c r="W286" s="146">
        <f t="shared" si="95"/>
        <v>22.1794832455743</v>
      </c>
      <c r="X286" s="146">
        <f t="shared" si="95"/>
        <v>1.8551035254334</v>
      </c>
      <c r="Y286" s="146">
        <f t="shared" si="95"/>
        <v>0.147291672799524</v>
      </c>
      <c r="Z286" s="146">
        <f t="shared" si="95"/>
        <v>10.7367486821926</v>
      </c>
      <c r="AA286" s="146">
        <f t="shared" si="95"/>
        <v>2.32906895797145</v>
      </c>
      <c r="AB286" s="146">
        <f t="shared" si="95"/>
        <v>4.03549622432517</v>
      </c>
      <c r="AC286" s="146">
        <f t="shared" si="95"/>
        <v>16.6333708524932</v>
      </c>
      <c r="AD286" s="146">
        <f t="shared" si="95"/>
        <v>66.0476618761158</v>
      </c>
      <c r="AE286" s="146">
        <f t="shared" si="95"/>
        <v>0</v>
      </c>
      <c r="AF286" s="146">
        <f t="shared" si="95"/>
        <v>3.17356159859707</v>
      </c>
      <c r="AG286" s="146">
        <f t="shared" si="95"/>
        <v>7.830330737292</v>
      </c>
      <c r="AH286" s="146">
        <f t="shared" si="95"/>
        <v>5.264142175387</v>
      </c>
      <c r="AI286" s="146">
        <f t="shared" si="95"/>
        <v>0</v>
      </c>
      <c r="AJ286" s="146">
        <f t="shared" si="95"/>
        <v>0</v>
      </c>
      <c r="AK286" s="146">
        <f t="shared" si="95"/>
        <v>0</v>
      </c>
      <c r="AL286" s="146">
        <f t="shared" si="95"/>
        <v>0</v>
      </c>
    </row>
    <row r="287" ht="14.5" spans="1:38">
      <c r="A287" s="146">
        <v>2019</v>
      </c>
      <c r="B287" s="146" t="s">
        <v>283</v>
      </c>
      <c r="C287" s="146" t="s">
        <v>141</v>
      </c>
      <c r="D287" s="147" t="s">
        <v>287</v>
      </c>
      <c r="E287" s="146">
        <f>F309*15%</f>
        <v>1.62028294107487</v>
      </c>
      <c r="F287" s="146">
        <f t="shared" ref="F287:AL287" si="96">G309*15%</f>
        <v>0</v>
      </c>
      <c r="G287" s="146">
        <f t="shared" si="96"/>
        <v>1.82047536720718</v>
      </c>
      <c r="H287" s="146">
        <f t="shared" si="96"/>
        <v>0.286177642765099</v>
      </c>
      <c r="I287" s="146">
        <f t="shared" si="96"/>
        <v>0.00245438984541387</v>
      </c>
      <c r="J287" s="146">
        <f t="shared" si="96"/>
        <v>2.77806810463812</v>
      </c>
      <c r="K287" s="146">
        <f t="shared" si="96"/>
        <v>1.14398025262639</v>
      </c>
      <c r="L287" s="146">
        <f t="shared" si="96"/>
        <v>100.531498849296</v>
      </c>
      <c r="M287" s="146">
        <f t="shared" si="96"/>
        <v>0.347667249224917</v>
      </c>
      <c r="N287" s="146">
        <f t="shared" si="96"/>
        <v>1.58629251212944</v>
      </c>
      <c r="O287" s="146">
        <f t="shared" si="96"/>
        <v>6.75232773332572</v>
      </c>
      <c r="P287" s="146">
        <f t="shared" si="96"/>
        <v>3.9854143514463</v>
      </c>
      <c r="Q287" s="146">
        <f t="shared" si="96"/>
        <v>0.13486818602033</v>
      </c>
      <c r="R287" s="146">
        <f t="shared" si="96"/>
        <v>1.81053443926338</v>
      </c>
      <c r="S287" s="146">
        <f t="shared" si="96"/>
        <v>0.0504342170036979</v>
      </c>
      <c r="T287" s="146">
        <f t="shared" si="96"/>
        <v>13.5998504657627</v>
      </c>
      <c r="U287" s="146">
        <f t="shared" si="96"/>
        <v>0.0147924117071142</v>
      </c>
      <c r="V287" s="146">
        <f t="shared" si="96"/>
        <v>4.25727630982957</v>
      </c>
      <c r="W287" s="146">
        <f t="shared" si="96"/>
        <v>13.3076899473446</v>
      </c>
      <c r="X287" s="146">
        <f t="shared" si="96"/>
        <v>1.11306211526004</v>
      </c>
      <c r="Y287" s="146">
        <f t="shared" si="96"/>
        <v>0.0883750036797145</v>
      </c>
      <c r="Z287" s="146">
        <f t="shared" si="96"/>
        <v>6.44204920931559</v>
      </c>
      <c r="AA287" s="146">
        <f t="shared" si="96"/>
        <v>1.39744137478287</v>
      </c>
      <c r="AB287" s="146">
        <f t="shared" si="96"/>
        <v>2.4212977345951</v>
      </c>
      <c r="AC287" s="146">
        <f t="shared" si="96"/>
        <v>9.98002251149592</v>
      </c>
      <c r="AD287" s="146">
        <f t="shared" si="96"/>
        <v>39.6285971256695</v>
      </c>
      <c r="AE287" s="146">
        <f t="shared" si="96"/>
        <v>0</v>
      </c>
      <c r="AF287" s="146">
        <f t="shared" si="96"/>
        <v>1.90413695915824</v>
      </c>
      <c r="AG287" s="146">
        <f t="shared" si="96"/>
        <v>4.6981984423752</v>
      </c>
      <c r="AH287" s="146">
        <f t="shared" si="96"/>
        <v>3.1584853052322</v>
      </c>
      <c r="AI287" s="146">
        <f t="shared" si="96"/>
        <v>0</v>
      </c>
      <c r="AJ287" s="146">
        <f t="shared" si="96"/>
        <v>0</v>
      </c>
      <c r="AK287" s="146">
        <f t="shared" si="96"/>
        <v>0</v>
      </c>
      <c r="AL287" s="146">
        <f t="shared" si="96"/>
        <v>0</v>
      </c>
    </row>
    <row r="288" ht="14.5" spans="1:38">
      <c r="A288" s="146">
        <v>2019</v>
      </c>
      <c r="B288" s="146" t="s">
        <v>283</v>
      </c>
      <c r="C288" s="146" t="s">
        <v>141</v>
      </c>
      <c r="D288" s="147" t="s">
        <v>288</v>
      </c>
      <c r="E288" s="146">
        <f>F309*15%</f>
        <v>1.62028294107487</v>
      </c>
      <c r="F288" s="146">
        <f t="shared" ref="F288:AL288" si="97">G309*15%</f>
        <v>0</v>
      </c>
      <c r="G288" s="146">
        <f t="shared" si="97"/>
        <v>1.82047536720718</v>
      </c>
      <c r="H288" s="146">
        <f t="shared" si="97"/>
        <v>0.286177642765099</v>
      </c>
      <c r="I288" s="146">
        <f t="shared" si="97"/>
        <v>0.00245438984541387</v>
      </c>
      <c r="J288" s="146">
        <f t="shared" si="97"/>
        <v>2.77806810463812</v>
      </c>
      <c r="K288" s="146">
        <f t="shared" si="97"/>
        <v>1.14398025262639</v>
      </c>
      <c r="L288" s="146">
        <f t="shared" si="97"/>
        <v>100.531498849296</v>
      </c>
      <c r="M288" s="146">
        <f t="shared" si="97"/>
        <v>0.347667249224917</v>
      </c>
      <c r="N288" s="146">
        <f t="shared" si="97"/>
        <v>1.58629251212944</v>
      </c>
      <c r="O288" s="146">
        <f t="shared" si="97"/>
        <v>6.75232773332572</v>
      </c>
      <c r="P288" s="146">
        <f t="shared" si="97"/>
        <v>3.9854143514463</v>
      </c>
      <c r="Q288" s="146">
        <f t="shared" si="97"/>
        <v>0.13486818602033</v>
      </c>
      <c r="R288" s="146">
        <f t="shared" si="97"/>
        <v>1.81053443926338</v>
      </c>
      <c r="S288" s="146">
        <f t="shared" si="97"/>
        <v>0.0504342170036979</v>
      </c>
      <c r="T288" s="146">
        <f t="shared" si="97"/>
        <v>13.5998504657627</v>
      </c>
      <c r="U288" s="146">
        <f t="shared" si="97"/>
        <v>0.0147924117071142</v>
      </c>
      <c r="V288" s="146">
        <f t="shared" si="97"/>
        <v>4.25727630982957</v>
      </c>
      <c r="W288" s="146">
        <f t="shared" si="97"/>
        <v>13.3076899473446</v>
      </c>
      <c r="X288" s="146">
        <f t="shared" si="97"/>
        <v>1.11306211526004</v>
      </c>
      <c r="Y288" s="146">
        <f t="shared" si="97"/>
        <v>0.0883750036797145</v>
      </c>
      <c r="Z288" s="146">
        <f t="shared" si="97"/>
        <v>6.44204920931559</v>
      </c>
      <c r="AA288" s="146">
        <f t="shared" si="97"/>
        <v>1.39744137478287</v>
      </c>
      <c r="AB288" s="146">
        <f t="shared" si="97"/>
        <v>2.4212977345951</v>
      </c>
      <c r="AC288" s="146">
        <f t="shared" si="97"/>
        <v>9.98002251149592</v>
      </c>
      <c r="AD288" s="146">
        <f t="shared" si="97"/>
        <v>39.6285971256695</v>
      </c>
      <c r="AE288" s="146">
        <f t="shared" si="97"/>
        <v>0</v>
      </c>
      <c r="AF288" s="146">
        <f t="shared" si="97"/>
        <v>1.90413695915824</v>
      </c>
      <c r="AG288" s="146">
        <f t="shared" si="97"/>
        <v>4.6981984423752</v>
      </c>
      <c r="AH288" s="146">
        <f t="shared" si="97"/>
        <v>3.1584853052322</v>
      </c>
      <c r="AI288" s="146">
        <f t="shared" si="97"/>
        <v>0</v>
      </c>
      <c r="AJ288" s="146">
        <f t="shared" si="97"/>
        <v>0</v>
      </c>
      <c r="AK288" s="146">
        <f t="shared" si="97"/>
        <v>0</v>
      </c>
      <c r="AL288" s="146">
        <f t="shared" si="97"/>
        <v>0</v>
      </c>
    </row>
    <row r="289" ht="14.5" spans="1:38">
      <c r="A289" s="146">
        <v>2019</v>
      </c>
      <c r="B289" s="146" t="s">
        <v>283</v>
      </c>
      <c r="C289" s="146" t="s">
        <v>141</v>
      </c>
      <c r="D289" s="147" t="s">
        <v>289</v>
      </c>
      <c r="E289" s="146">
        <f>F309*15%</f>
        <v>1.62028294107487</v>
      </c>
      <c r="F289" s="146">
        <f t="shared" ref="F289:AL289" si="98">G309*15%</f>
        <v>0</v>
      </c>
      <c r="G289" s="146">
        <f t="shared" si="98"/>
        <v>1.82047536720718</v>
      </c>
      <c r="H289" s="146">
        <f t="shared" si="98"/>
        <v>0.286177642765099</v>
      </c>
      <c r="I289" s="146">
        <f t="shared" si="98"/>
        <v>0.00245438984541387</v>
      </c>
      <c r="J289" s="146">
        <f t="shared" si="98"/>
        <v>2.77806810463812</v>
      </c>
      <c r="K289" s="146">
        <f t="shared" si="98"/>
        <v>1.14398025262639</v>
      </c>
      <c r="L289" s="146">
        <f t="shared" si="98"/>
        <v>100.531498849296</v>
      </c>
      <c r="M289" s="146">
        <f t="shared" si="98"/>
        <v>0.347667249224917</v>
      </c>
      <c r="N289" s="146">
        <f t="shared" si="98"/>
        <v>1.58629251212944</v>
      </c>
      <c r="O289" s="146">
        <f t="shared" si="98"/>
        <v>6.75232773332572</v>
      </c>
      <c r="P289" s="146">
        <f t="shared" si="98"/>
        <v>3.9854143514463</v>
      </c>
      <c r="Q289" s="146">
        <f t="shared" si="98"/>
        <v>0.13486818602033</v>
      </c>
      <c r="R289" s="146">
        <f t="shared" si="98"/>
        <v>1.81053443926338</v>
      </c>
      <c r="S289" s="146">
        <f t="shared" si="98"/>
        <v>0.0504342170036979</v>
      </c>
      <c r="T289" s="146">
        <f t="shared" si="98"/>
        <v>13.5998504657627</v>
      </c>
      <c r="U289" s="146">
        <f t="shared" si="98"/>
        <v>0.0147924117071142</v>
      </c>
      <c r="V289" s="146">
        <f t="shared" si="98"/>
        <v>4.25727630982957</v>
      </c>
      <c r="W289" s="146">
        <f t="shared" si="98"/>
        <v>13.3076899473446</v>
      </c>
      <c r="X289" s="146">
        <f t="shared" si="98"/>
        <v>1.11306211526004</v>
      </c>
      <c r="Y289" s="146">
        <f t="shared" si="98"/>
        <v>0.0883750036797145</v>
      </c>
      <c r="Z289" s="146">
        <f t="shared" si="98"/>
        <v>6.44204920931559</v>
      </c>
      <c r="AA289" s="146">
        <f t="shared" si="98"/>
        <v>1.39744137478287</v>
      </c>
      <c r="AB289" s="146">
        <f t="shared" si="98"/>
        <v>2.4212977345951</v>
      </c>
      <c r="AC289" s="146">
        <f t="shared" si="98"/>
        <v>9.98002251149592</v>
      </c>
      <c r="AD289" s="146">
        <f t="shared" si="98"/>
        <v>39.6285971256695</v>
      </c>
      <c r="AE289" s="146">
        <f t="shared" si="98"/>
        <v>0</v>
      </c>
      <c r="AF289" s="146">
        <f t="shared" si="98"/>
        <v>1.90413695915824</v>
      </c>
      <c r="AG289" s="146">
        <f t="shared" si="98"/>
        <v>4.6981984423752</v>
      </c>
      <c r="AH289" s="146">
        <f t="shared" si="98"/>
        <v>3.1584853052322</v>
      </c>
      <c r="AI289" s="146">
        <f t="shared" si="98"/>
        <v>0</v>
      </c>
      <c r="AJ289" s="146">
        <f t="shared" si="98"/>
        <v>0</v>
      </c>
      <c r="AK289" s="146">
        <f t="shared" si="98"/>
        <v>0</v>
      </c>
      <c r="AL289" s="146">
        <f t="shared" si="98"/>
        <v>0</v>
      </c>
    </row>
    <row r="290" ht="14.5" spans="1:38">
      <c r="A290" s="146">
        <v>2019</v>
      </c>
      <c r="B290" s="146" t="s">
        <v>283</v>
      </c>
      <c r="C290" s="146" t="s">
        <v>141</v>
      </c>
      <c r="D290" s="147" t="s">
        <v>290</v>
      </c>
      <c r="E290" s="146">
        <f>F309*15%</f>
        <v>1.62028294107487</v>
      </c>
      <c r="F290" s="146">
        <f t="shared" ref="F290:AL290" si="99">G309*15%</f>
        <v>0</v>
      </c>
      <c r="G290" s="146">
        <f t="shared" si="99"/>
        <v>1.82047536720718</v>
      </c>
      <c r="H290" s="146">
        <f t="shared" si="99"/>
        <v>0.286177642765099</v>
      </c>
      <c r="I290" s="146">
        <f t="shared" si="99"/>
        <v>0.00245438984541387</v>
      </c>
      <c r="J290" s="146">
        <f t="shared" si="99"/>
        <v>2.77806810463812</v>
      </c>
      <c r="K290" s="146">
        <f t="shared" si="99"/>
        <v>1.14398025262639</v>
      </c>
      <c r="L290" s="146">
        <f t="shared" si="99"/>
        <v>100.531498849296</v>
      </c>
      <c r="M290" s="146">
        <f t="shared" si="99"/>
        <v>0.347667249224917</v>
      </c>
      <c r="N290" s="146">
        <f t="shared" si="99"/>
        <v>1.58629251212944</v>
      </c>
      <c r="O290" s="146">
        <f t="shared" si="99"/>
        <v>6.75232773332572</v>
      </c>
      <c r="P290" s="146">
        <f t="shared" si="99"/>
        <v>3.9854143514463</v>
      </c>
      <c r="Q290" s="146">
        <f t="shared" si="99"/>
        <v>0.13486818602033</v>
      </c>
      <c r="R290" s="146">
        <f t="shared" si="99"/>
        <v>1.81053443926338</v>
      </c>
      <c r="S290" s="146">
        <f t="shared" si="99"/>
        <v>0.0504342170036979</v>
      </c>
      <c r="T290" s="146">
        <f t="shared" si="99"/>
        <v>13.5998504657627</v>
      </c>
      <c r="U290" s="146">
        <f t="shared" si="99"/>
        <v>0.0147924117071142</v>
      </c>
      <c r="V290" s="146">
        <f t="shared" si="99"/>
        <v>4.25727630982957</v>
      </c>
      <c r="W290" s="146">
        <f t="shared" si="99"/>
        <v>13.3076899473446</v>
      </c>
      <c r="X290" s="146">
        <f t="shared" si="99"/>
        <v>1.11306211526004</v>
      </c>
      <c r="Y290" s="146">
        <f t="shared" si="99"/>
        <v>0.0883750036797145</v>
      </c>
      <c r="Z290" s="146">
        <f t="shared" si="99"/>
        <v>6.44204920931559</v>
      </c>
      <c r="AA290" s="146">
        <f t="shared" si="99"/>
        <v>1.39744137478287</v>
      </c>
      <c r="AB290" s="146">
        <f t="shared" si="99"/>
        <v>2.4212977345951</v>
      </c>
      <c r="AC290" s="146">
        <f t="shared" si="99"/>
        <v>9.98002251149592</v>
      </c>
      <c r="AD290" s="146">
        <f t="shared" si="99"/>
        <v>39.6285971256695</v>
      </c>
      <c r="AE290" s="146">
        <f t="shared" si="99"/>
        <v>0</v>
      </c>
      <c r="AF290" s="146">
        <f t="shared" si="99"/>
        <v>1.90413695915824</v>
      </c>
      <c r="AG290" s="146">
        <f t="shared" si="99"/>
        <v>4.6981984423752</v>
      </c>
      <c r="AH290" s="146">
        <f t="shared" si="99"/>
        <v>3.1584853052322</v>
      </c>
      <c r="AI290" s="146">
        <f t="shared" si="99"/>
        <v>0</v>
      </c>
      <c r="AJ290" s="146">
        <f t="shared" si="99"/>
        <v>0</v>
      </c>
      <c r="AK290" s="146">
        <f t="shared" si="99"/>
        <v>0</v>
      </c>
      <c r="AL290" s="146">
        <f t="shared" si="99"/>
        <v>0</v>
      </c>
    </row>
    <row r="291" ht="14.5" spans="1:38">
      <c r="A291" s="146">
        <v>2019</v>
      </c>
      <c r="B291" s="146" t="s">
        <v>283</v>
      </c>
      <c r="C291" s="146" t="s">
        <v>141</v>
      </c>
      <c r="D291" s="147" t="s">
        <v>291</v>
      </c>
      <c r="E291" s="146">
        <f>0</f>
        <v>0</v>
      </c>
      <c r="F291" s="146">
        <f t="shared" ref="F291:O291" si="100">0</f>
        <v>0</v>
      </c>
      <c r="G291" s="146">
        <f t="shared" si="100"/>
        <v>0</v>
      </c>
      <c r="H291" s="146">
        <f t="shared" si="100"/>
        <v>0</v>
      </c>
      <c r="I291" s="146">
        <f t="shared" si="100"/>
        <v>0</v>
      </c>
      <c r="J291" s="146">
        <f t="shared" si="100"/>
        <v>0</v>
      </c>
      <c r="K291" s="146">
        <f t="shared" si="100"/>
        <v>0</v>
      </c>
      <c r="L291" s="146">
        <f t="shared" si="100"/>
        <v>0</v>
      </c>
      <c r="M291" s="146">
        <f t="shared" si="100"/>
        <v>0</v>
      </c>
      <c r="N291" s="146">
        <f t="shared" si="100"/>
        <v>0</v>
      </c>
      <c r="O291" s="146">
        <f t="shared" si="100"/>
        <v>0</v>
      </c>
      <c r="P291" s="146">
        <f t="shared" ref="P291:Y291" si="101">0</f>
        <v>0</v>
      </c>
      <c r="Q291" s="146">
        <f t="shared" si="101"/>
        <v>0</v>
      </c>
      <c r="R291" s="146">
        <f t="shared" si="101"/>
        <v>0</v>
      </c>
      <c r="S291" s="146">
        <f t="shared" si="101"/>
        <v>0</v>
      </c>
      <c r="T291" s="146">
        <f t="shared" si="101"/>
        <v>0</v>
      </c>
      <c r="U291" s="146">
        <f t="shared" si="101"/>
        <v>0</v>
      </c>
      <c r="V291" s="146">
        <f t="shared" si="101"/>
        <v>0</v>
      </c>
      <c r="W291" s="146">
        <f t="shared" si="101"/>
        <v>0</v>
      </c>
      <c r="X291" s="146">
        <f t="shared" si="101"/>
        <v>0</v>
      </c>
      <c r="Y291" s="146">
        <f t="shared" si="101"/>
        <v>0</v>
      </c>
      <c r="Z291" s="146">
        <f t="shared" ref="Z291:AL291" si="102">0</f>
        <v>0</v>
      </c>
      <c r="AA291" s="146">
        <f t="shared" si="102"/>
        <v>0</v>
      </c>
      <c r="AB291" s="146">
        <f t="shared" si="102"/>
        <v>0</v>
      </c>
      <c r="AC291" s="146">
        <f t="shared" si="102"/>
        <v>0</v>
      </c>
      <c r="AD291" s="146">
        <f t="shared" si="102"/>
        <v>0</v>
      </c>
      <c r="AE291" s="146">
        <f t="shared" si="102"/>
        <v>0</v>
      </c>
      <c r="AF291" s="146">
        <f t="shared" si="102"/>
        <v>0</v>
      </c>
      <c r="AG291" s="146">
        <f t="shared" si="102"/>
        <v>0</v>
      </c>
      <c r="AH291" s="146">
        <f t="shared" si="102"/>
        <v>0</v>
      </c>
      <c r="AI291" s="146">
        <f t="shared" si="102"/>
        <v>0</v>
      </c>
      <c r="AJ291" s="146">
        <f t="shared" si="102"/>
        <v>0</v>
      </c>
      <c r="AK291" s="146">
        <f t="shared" si="102"/>
        <v>0</v>
      </c>
      <c r="AL291" s="146">
        <f t="shared" si="102"/>
        <v>0</v>
      </c>
    </row>
    <row r="292" ht="14.5" spans="1:38">
      <c r="A292" s="146">
        <v>2019</v>
      </c>
      <c r="B292" s="146" t="s">
        <v>283</v>
      </c>
      <c r="C292" s="146" t="s">
        <v>141</v>
      </c>
      <c r="D292" s="147" t="s">
        <v>292</v>
      </c>
      <c r="E292" s="146">
        <f>0</f>
        <v>0</v>
      </c>
      <c r="F292" s="146">
        <f t="shared" ref="F292:O292" si="103">0</f>
        <v>0</v>
      </c>
      <c r="G292" s="146">
        <f t="shared" si="103"/>
        <v>0</v>
      </c>
      <c r="H292" s="146">
        <f t="shared" si="103"/>
        <v>0</v>
      </c>
      <c r="I292" s="146">
        <f t="shared" si="103"/>
        <v>0</v>
      </c>
      <c r="J292" s="146">
        <f t="shared" si="103"/>
        <v>0</v>
      </c>
      <c r="K292" s="146">
        <f t="shared" si="103"/>
        <v>0</v>
      </c>
      <c r="L292" s="146">
        <f t="shared" si="103"/>
        <v>0</v>
      </c>
      <c r="M292" s="146">
        <f t="shared" si="103"/>
        <v>0</v>
      </c>
      <c r="N292" s="146">
        <f t="shared" si="103"/>
        <v>0</v>
      </c>
      <c r="O292" s="146">
        <f t="shared" si="103"/>
        <v>0</v>
      </c>
      <c r="P292" s="146">
        <f t="shared" ref="P292:Y292" si="104">0</f>
        <v>0</v>
      </c>
      <c r="Q292" s="146">
        <f t="shared" si="104"/>
        <v>0</v>
      </c>
      <c r="R292" s="146">
        <f t="shared" si="104"/>
        <v>0</v>
      </c>
      <c r="S292" s="146">
        <f t="shared" si="104"/>
        <v>0</v>
      </c>
      <c r="T292" s="146">
        <f t="shared" si="104"/>
        <v>0</v>
      </c>
      <c r="U292" s="146">
        <f t="shared" si="104"/>
        <v>0</v>
      </c>
      <c r="V292" s="146">
        <f t="shared" si="104"/>
        <v>0</v>
      </c>
      <c r="W292" s="146">
        <f t="shared" si="104"/>
        <v>0</v>
      </c>
      <c r="X292" s="146">
        <f t="shared" si="104"/>
        <v>0</v>
      </c>
      <c r="Y292" s="146">
        <f t="shared" si="104"/>
        <v>0</v>
      </c>
      <c r="Z292" s="146">
        <f t="shared" ref="Z292:AL292" si="105">0</f>
        <v>0</v>
      </c>
      <c r="AA292" s="146">
        <f t="shared" si="105"/>
        <v>0</v>
      </c>
      <c r="AB292" s="146">
        <f t="shared" si="105"/>
        <v>0</v>
      </c>
      <c r="AC292" s="146">
        <f t="shared" si="105"/>
        <v>0</v>
      </c>
      <c r="AD292" s="146">
        <f t="shared" si="105"/>
        <v>0</v>
      </c>
      <c r="AE292" s="146">
        <f t="shared" si="105"/>
        <v>0</v>
      </c>
      <c r="AF292" s="146">
        <f t="shared" si="105"/>
        <v>0</v>
      </c>
      <c r="AG292" s="146">
        <f t="shared" si="105"/>
        <v>0</v>
      </c>
      <c r="AH292" s="146">
        <f t="shared" si="105"/>
        <v>0</v>
      </c>
      <c r="AI292" s="146">
        <f t="shared" si="105"/>
        <v>0</v>
      </c>
      <c r="AJ292" s="146">
        <f t="shared" si="105"/>
        <v>0</v>
      </c>
      <c r="AK292" s="146">
        <f t="shared" si="105"/>
        <v>0</v>
      </c>
      <c r="AL292" s="146">
        <f t="shared" si="105"/>
        <v>0</v>
      </c>
    </row>
    <row r="293" ht="14.5" spans="1:38">
      <c r="A293" s="146">
        <v>2019</v>
      </c>
      <c r="B293" s="146" t="s">
        <v>283</v>
      </c>
      <c r="C293" s="146" t="s">
        <v>141</v>
      </c>
      <c r="D293" s="147" t="s">
        <v>293</v>
      </c>
      <c r="E293" s="146">
        <f>E290</f>
        <v>1.62028294107487</v>
      </c>
      <c r="F293" s="146">
        <f t="shared" ref="F293:AL293" si="106">F290</f>
        <v>0</v>
      </c>
      <c r="G293" s="146">
        <f t="shared" si="106"/>
        <v>1.82047536720718</v>
      </c>
      <c r="H293" s="146">
        <f t="shared" si="106"/>
        <v>0.286177642765099</v>
      </c>
      <c r="I293" s="146">
        <f t="shared" si="106"/>
        <v>0.00245438984541387</v>
      </c>
      <c r="J293" s="146">
        <f t="shared" si="106"/>
        <v>2.77806810463812</v>
      </c>
      <c r="K293" s="146">
        <f t="shared" si="106"/>
        <v>1.14398025262639</v>
      </c>
      <c r="L293" s="146">
        <f t="shared" si="106"/>
        <v>100.531498849296</v>
      </c>
      <c r="M293" s="146">
        <f t="shared" si="106"/>
        <v>0.347667249224917</v>
      </c>
      <c r="N293" s="146">
        <f t="shared" si="106"/>
        <v>1.58629251212944</v>
      </c>
      <c r="O293" s="146">
        <f t="shared" si="106"/>
        <v>6.75232773332572</v>
      </c>
      <c r="P293" s="146">
        <f t="shared" si="106"/>
        <v>3.9854143514463</v>
      </c>
      <c r="Q293" s="146">
        <f t="shared" si="106"/>
        <v>0.13486818602033</v>
      </c>
      <c r="R293" s="146">
        <f t="shared" si="106"/>
        <v>1.81053443926338</v>
      </c>
      <c r="S293" s="146">
        <f t="shared" si="106"/>
        <v>0.0504342170036979</v>
      </c>
      <c r="T293" s="146">
        <f t="shared" si="106"/>
        <v>13.5998504657627</v>
      </c>
      <c r="U293" s="146">
        <f t="shared" si="106"/>
        <v>0.0147924117071142</v>
      </c>
      <c r="V293" s="146">
        <f t="shared" si="106"/>
        <v>4.25727630982957</v>
      </c>
      <c r="W293" s="146">
        <f t="shared" si="106"/>
        <v>13.3076899473446</v>
      </c>
      <c r="X293" s="146">
        <f t="shared" si="106"/>
        <v>1.11306211526004</v>
      </c>
      <c r="Y293" s="146">
        <f t="shared" si="106"/>
        <v>0.0883750036797145</v>
      </c>
      <c r="Z293" s="146">
        <f t="shared" si="106"/>
        <v>6.44204920931559</v>
      </c>
      <c r="AA293" s="146">
        <f t="shared" si="106"/>
        <v>1.39744137478287</v>
      </c>
      <c r="AB293" s="146">
        <f t="shared" si="106"/>
        <v>2.4212977345951</v>
      </c>
      <c r="AC293" s="146">
        <f t="shared" si="106"/>
        <v>9.98002251149592</v>
      </c>
      <c r="AD293" s="146">
        <f t="shared" si="106"/>
        <v>39.6285971256695</v>
      </c>
      <c r="AE293" s="146">
        <f t="shared" si="106"/>
        <v>0</v>
      </c>
      <c r="AF293" s="146">
        <f t="shared" si="106"/>
        <v>1.90413695915824</v>
      </c>
      <c r="AG293" s="146">
        <f t="shared" si="106"/>
        <v>4.6981984423752</v>
      </c>
      <c r="AH293" s="146">
        <f t="shared" si="106"/>
        <v>3.1584853052322</v>
      </c>
      <c r="AI293" s="146">
        <f t="shared" si="106"/>
        <v>0</v>
      </c>
      <c r="AJ293" s="146">
        <f t="shared" si="106"/>
        <v>0</v>
      </c>
      <c r="AK293" s="146">
        <f t="shared" si="106"/>
        <v>0</v>
      </c>
      <c r="AL293" s="146">
        <f t="shared" si="106"/>
        <v>0</v>
      </c>
    </row>
    <row r="305" spans="5:39">
      <c r="F305" t="s">
        <v>294</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133</v>
      </c>
      <c r="C1" t="s">
        <v>65</v>
      </c>
      <c r="D1" t="s">
        <v>109</v>
      </c>
      <c r="E1" t="s">
        <v>295</v>
      </c>
      <c r="F1" t="s">
        <v>296</v>
      </c>
      <c r="G1" t="s">
        <v>41</v>
      </c>
      <c r="H1" s="78" t="s">
        <v>297</v>
      </c>
      <c r="I1" s="78" t="s">
        <v>298</v>
      </c>
      <c r="J1" s="78" t="s">
        <v>299</v>
      </c>
      <c r="K1" s="78" t="s">
        <v>300</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301</v>
      </c>
    </row>
    <row r="2" spans="1:47">
      <c r="A2" t="s">
        <v>113</v>
      </c>
      <c r="B2" t="s">
        <v>114</v>
      </c>
      <c r="C2" t="s">
        <v>167</v>
      </c>
      <c r="D2" t="s">
        <v>302</v>
      </c>
      <c r="E2" t="s">
        <v>188</v>
      </c>
      <c r="F2" t="s">
        <v>303</v>
      </c>
      <c r="G2" t="s">
        <v>304</v>
      </c>
      <c r="H2" s="78" t="s">
        <v>302</v>
      </c>
      <c r="I2" s="78" t="s">
        <v>302</v>
      </c>
      <c r="J2" s="78" t="s">
        <v>302</v>
      </c>
      <c r="K2" s="78" t="s">
        <v>302</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302</v>
      </c>
    </row>
    <row r="3" spans="1:47">
      <c r="A3" t="s">
        <v>113</v>
      </c>
      <c r="B3" t="s">
        <v>114</v>
      </c>
      <c r="C3" t="s">
        <v>305</v>
      </c>
      <c r="D3" t="s">
        <v>302</v>
      </c>
      <c r="E3" t="s">
        <v>188</v>
      </c>
      <c r="F3" t="s">
        <v>303</v>
      </c>
      <c r="G3" t="s">
        <v>304</v>
      </c>
      <c r="H3" s="78" t="s">
        <v>302</v>
      </c>
      <c r="I3" s="78" t="s">
        <v>302</v>
      </c>
      <c r="J3" s="78" t="s">
        <v>302</v>
      </c>
      <c r="K3" s="78" t="s">
        <v>302</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302</v>
      </c>
    </row>
    <row r="4" spans="1:47">
      <c r="A4" t="s">
        <v>113</v>
      </c>
      <c r="B4" t="s">
        <v>114</v>
      </c>
      <c r="C4" t="s">
        <v>306</v>
      </c>
      <c r="D4" t="s">
        <v>302</v>
      </c>
      <c r="E4" t="s">
        <v>188</v>
      </c>
      <c r="F4" t="s">
        <v>303</v>
      </c>
      <c r="G4" t="s">
        <v>304</v>
      </c>
      <c r="H4" s="78" t="s">
        <v>302</v>
      </c>
      <c r="I4" s="78" t="s">
        <v>302</v>
      </c>
      <c r="J4" s="78" t="s">
        <v>302</v>
      </c>
      <c r="K4" s="78" t="s">
        <v>302</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302</v>
      </c>
    </row>
    <row r="5" spans="1:47">
      <c r="A5" t="s">
        <v>113</v>
      </c>
      <c r="B5" t="s">
        <v>114</v>
      </c>
      <c r="C5" t="s">
        <v>168</v>
      </c>
      <c r="D5" t="s">
        <v>302</v>
      </c>
      <c r="E5" t="s">
        <v>188</v>
      </c>
      <c r="F5" t="s">
        <v>303</v>
      </c>
      <c r="G5" t="s">
        <v>304</v>
      </c>
      <c r="H5" s="78" t="s">
        <v>302</v>
      </c>
      <c r="I5" s="78" t="s">
        <v>302</v>
      </c>
      <c r="J5" s="78" t="s">
        <v>302</v>
      </c>
      <c r="K5" s="78" t="s">
        <v>302</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302</v>
      </c>
    </row>
    <row r="6" spans="1:47">
      <c r="A6" t="s">
        <v>113</v>
      </c>
      <c r="B6" t="s">
        <v>114</v>
      </c>
      <c r="C6" t="s">
        <v>307</v>
      </c>
      <c r="D6" t="s">
        <v>302</v>
      </c>
      <c r="E6" t="s">
        <v>188</v>
      </c>
      <c r="F6" t="s">
        <v>303</v>
      </c>
      <c r="G6" t="s">
        <v>304</v>
      </c>
      <c r="H6" s="78" t="s">
        <v>302</v>
      </c>
      <c r="I6" s="78" t="s">
        <v>302</v>
      </c>
      <c r="J6" s="78" t="s">
        <v>302</v>
      </c>
      <c r="K6" s="78" t="s">
        <v>302</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302</v>
      </c>
    </row>
    <row r="7" spans="1:47">
      <c r="A7" t="s">
        <v>113</v>
      </c>
      <c r="B7" t="s">
        <v>114</v>
      </c>
      <c r="C7" t="s">
        <v>169</v>
      </c>
      <c r="D7" t="s">
        <v>302</v>
      </c>
      <c r="E7" t="s">
        <v>188</v>
      </c>
      <c r="F7" t="s">
        <v>303</v>
      </c>
      <c r="G7" t="s">
        <v>304</v>
      </c>
      <c r="H7" s="78" t="s">
        <v>302</v>
      </c>
      <c r="I7" s="78" t="s">
        <v>302</v>
      </c>
      <c r="J7" s="78" t="s">
        <v>302</v>
      </c>
      <c r="K7" s="78" t="s">
        <v>302</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302</v>
      </c>
    </row>
    <row r="8" spans="1:47">
      <c r="A8" t="s">
        <v>113</v>
      </c>
      <c r="B8" t="s">
        <v>114</v>
      </c>
      <c r="C8" t="s">
        <v>308</v>
      </c>
      <c r="D8" t="s">
        <v>302</v>
      </c>
      <c r="E8" t="s">
        <v>188</v>
      </c>
      <c r="F8" t="s">
        <v>303</v>
      </c>
      <c r="G8" t="s">
        <v>304</v>
      </c>
      <c r="H8" s="78" t="s">
        <v>302</v>
      </c>
      <c r="I8" s="78" t="s">
        <v>302</v>
      </c>
      <c r="J8" s="78" t="s">
        <v>302</v>
      </c>
      <c r="K8" s="78" t="s">
        <v>302</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302</v>
      </c>
    </row>
    <row r="9" spans="1:47">
      <c r="A9" t="s">
        <v>113</v>
      </c>
      <c r="B9" t="s">
        <v>114</v>
      </c>
      <c r="C9" t="s">
        <v>309</v>
      </c>
      <c r="D9" t="s">
        <v>302</v>
      </c>
      <c r="E9" t="s">
        <v>188</v>
      </c>
      <c r="F9" t="s">
        <v>303</v>
      </c>
      <c r="G9" t="s">
        <v>304</v>
      </c>
      <c r="H9" s="78" t="s">
        <v>302</v>
      </c>
      <c r="I9" s="78" t="s">
        <v>302</v>
      </c>
      <c r="J9" s="78" t="s">
        <v>302</v>
      </c>
      <c r="K9" s="78" t="s">
        <v>302</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302</v>
      </c>
    </row>
    <row r="10" spans="1:47">
      <c r="A10" t="s">
        <v>113</v>
      </c>
      <c r="B10" t="s">
        <v>114</v>
      </c>
      <c r="C10" t="s">
        <v>310</v>
      </c>
      <c r="D10" t="s">
        <v>302</v>
      </c>
      <c r="E10" t="s">
        <v>188</v>
      </c>
      <c r="F10" t="s">
        <v>303</v>
      </c>
      <c r="G10" t="s">
        <v>304</v>
      </c>
      <c r="H10" s="78" t="s">
        <v>302</v>
      </c>
      <c r="I10" s="78" t="s">
        <v>302</v>
      </c>
      <c r="J10" s="78" t="s">
        <v>302</v>
      </c>
      <c r="K10" s="78" t="s">
        <v>302</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302</v>
      </c>
    </row>
    <row r="11" spans="1:47">
      <c r="A11" t="s">
        <v>113</v>
      </c>
      <c r="B11" t="s">
        <v>114</v>
      </c>
      <c r="C11" t="s">
        <v>311</v>
      </c>
      <c r="D11" t="s">
        <v>302</v>
      </c>
      <c r="E11" t="s">
        <v>188</v>
      </c>
      <c r="F11" t="s">
        <v>303</v>
      </c>
      <c r="G11" t="s">
        <v>304</v>
      </c>
      <c r="H11" s="78" t="s">
        <v>302</v>
      </c>
      <c r="I11" s="78" t="s">
        <v>302</v>
      </c>
      <c r="J11" s="78" t="s">
        <v>302</v>
      </c>
      <c r="K11" s="78" t="s">
        <v>302</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302</v>
      </c>
    </row>
    <row r="12" spans="1:47">
      <c r="A12" t="s">
        <v>113</v>
      </c>
      <c r="B12" t="s">
        <v>114</v>
      </c>
      <c r="C12" t="s">
        <v>312</v>
      </c>
      <c r="D12" t="s">
        <v>302</v>
      </c>
      <c r="E12" t="s">
        <v>188</v>
      </c>
      <c r="F12" t="s">
        <v>303</v>
      </c>
      <c r="G12" t="s">
        <v>304</v>
      </c>
      <c r="H12" s="78" t="s">
        <v>302</v>
      </c>
      <c r="I12" s="78" t="s">
        <v>302</v>
      </c>
      <c r="J12" s="78" t="s">
        <v>302</v>
      </c>
      <c r="K12" s="78" t="s">
        <v>302</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302</v>
      </c>
    </row>
    <row r="13" spans="1:47">
      <c r="A13" t="s">
        <v>113</v>
      </c>
      <c r="B13" t="s">
        <v>114</v>
      </c>
      <c r="C13" t="s">
        <v>313</v>
      </c>
      <c r="D13" t="s">
        <v>302</v>
      </c>
      <c r="E13" t="s">
        <v>188</v>
      </c>
      <c r="F13" t="s">
        <v>303</v>
      </c>
      <c r="G13" t="s">
        <v>304</v>
      </c>
      <c r="H13" s="78" t="s">
        <v>302</v>
      </c>
      <c r="I13" s="78" t="s">
        <v>302</v>
      </c>
      <c r="J13" s="78" t="s">
        <v>302</v>
      </c>
      <c r="K13" s="78" t="s">
        <v>302</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302</v>
      </c>
    </row>
    <row r="14" spans="1:47">
      <c r="A14" t="s">
        <v>113</v>
      </c>
      <c r="B14" t="s">
        <v>114</v>
      </c>
      <c r="C14" t="s">
        <v>314</v>
      </c>
      <c r="D14" t="s">
        <v>302</v>
      </c>
      <c r="E14" t="s">
        <v>188</v>
      </c>
      <c r="F14" t="s">
        <v>303</v>
      </c>
      <c r="G14" t="s">
        <v>304</v>
      </c>
      <c r="H14" s="78" t="s">
        <v>302</v>
      </c>
      <c r="I14" s="78" t="s">
        <v>302</v>
      </c>
      <c r="J14" s="78" t="s">
        <v>302</v>
      </c>
      <c r="K14" s="78" t="s">
        <v>302</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302</v>
      </c>
    </row>
    <row r="15" spans="1:47">
      <c r="A15" t="s">
        <v>113</v>
      </c>
      <c r="B15" t="s">
        <v>114</v>
      </c>
      <c r="C15" t="s">
        <v>315</v>
      </c>
      <c r="D15" t="s">
        <v>302</v>
      </c>
      <c r="E15" t="s">
        <v>188</v>
      </c>
      <c r="F15" t="s">
        <v>303</v>
      </c>
      <c r="G15" t="s">
        <v>304</v>
      </c>
      <c r="H15" s="78" t="s">
        <v>302</v>
      </c>
      <c r="I15" s="78" t="s">
        <v>302</v>
      </c>
      <c r="J15" s="78" t="s">
        <v>302</v>
      </c>
      <c r="K15" s="78" t="s">
        <v>302</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302</v>
      </c>
    </row>
    <row r="16" spans="1:47">
      <c r="A16" t="s">
        <v>113</v>
      </c>
      <c r="B16" t="s">
        <v>114</v>
      </c>
      <c r="C16" t="s">
        <v>316</v>
      </c>
      <c r="D16" t="s">
        <v>302</v>
      </c>
      <c r="E16" t="s">
        <v>188</v>
      </c>
      <c r="F16" t="s">
        <v>303</v>
      </c>
      <c r="G16" t="s">
        <v>304</v>
      </c>
      <c r="H16" s="78" t="s">
        <v>302</v>
      </c>
      <c r="I16" s="78" t="s">
        <v>302</v>
      </c>
      <c r="J16" s="78" t="s">
        <v>302</v>
      </c>
      <c r="K16" s="78" t="s">
        <v>302</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302</v>
      </c>
    </row>
    <row r="17" spans="1:47">
      <c r="A17" t="s">
        <v>113</v>
      </c>
      <c r="B17" t="s">
        <v>114</v>
      </c>
      <c r="C17" t="s">
        <v>170</v>
      </c>
      <c r="D17" t="s">
        <v>302</v>
      </c>
      <c r="E17" t="s">
        <v>188</v>
      </c>
      <c r="F17" t="s">
        <v>303</v>
      </c>
      <c r="G17" t="s">
        <v>304</v>
      </c>
      <c r="H17" s="78" t="s">
        <v>302</v>
      </c>
      <c r="I17" s="78" t="s">
        <v>302</v>
      </c>
      <c r="J17" s="78" t="s">
        <v>302</v>
      </c>
      <c r="K17" s="78" t="s">
        <v>302</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302</v>
      </c>
    </row>
    <row r="18" spans="1:47">
      <c r="A18" t="s">
        <v>113</v>
      </c>
      <c r="B18" t="s">
        <v>114</v>
      </c>
      <c r="C18" t="s">
        <v>317</v>
      </c>
      <c r="D18" t="s">
        <v>302</v>
      </c>
      <c r="E18" t="s">
        <v>188</v>
      </c>
      <c r="F18" t="s">
        <v>303</v>
      </c>
      <c r="G18" t="s">
        <v>304</v>
      </c>
      <c r="H18" s="78" t="s">
        <v>302</v>
      </c>
      <c r="I18" s="78" t="s">
        <v>302</v>
      </c>
      <c r="J18" s="78" t="s">
        <v>302</v>
      </c>
      <c r="K18" s="78" t="s">
        <v>302</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302</v>
      </c>
    </row>
    <row r="19" spans="1:47">
      <c r="A19" t="s">
        <v>113</v>
      </c>
      <c r="B19" t="s">
        <v>114</v>
      </c>
      <c r="C19" t="s">
        <v>318</v>
      </c>
      <c r="D19" t="s">
        <v>302</v>
      </c>
      <c r="E19" t="s">
        <v>188</v>
      </c>
      <c r="F19" t="s">
        <v>303</v>
      </c>
      <c r="G19" t="s">
        <v>304</v>
      </c>
      <c r="H19" s="78" t="s">
        <v>302</v>
      </c>
      <c r="I19" s="78" t="s">
        <v>302</v>
      </c>
      <c r="J19" s="78" t="s">
        <v>302</v>
      </c>
      <c r="K19" s="78" t="s">
        <v>302</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302</v>
      </c>
    </row>
    <row r="20" spans="1:47">
      <c r="A20" t="s">
        <v>113</v>
      </c>
      <c r="B20" t="s">
        <v>114</v>
      </c>
      <c r="C20" t="s">
        <v>319</v>
      </c>
      <c r="D20" t="s">
        <v>302</v>
      </c>
      <c r="E20" t="s">
        <v>188</v>
      </c>
      <c r="F20" t="s">
        <v>303</v>
      </c>
      <c r="G20" t="s">
        <v>304</v>
      </c>
      <c r="H20" s="78" t="s">
        <v>302</v>
      </c>
      <c r="I20" s="78" t="s">
        <v>302</v>
      </c>
      <c r="J20" s="78" t="s">
        <v>302</v>
      </c>
      <c r="K20" s="78" t="s">
        <v>302</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302</v>
      </c>
    </row>
    <row r="21" spans="1:47">
      <c r="A21" t="s">
        <v>113</v>
      </c>
      <c r="B21" t="s">
        <v>114</v>
      </c>
      <c r="C21" t="s">
        <v>171</v>
      </c>
      <c r="D21" t="s">
        <v>302</v>
      </c>
      <c r="E21" t="s">
        <v>188</v>
      </c>
      <c r="F21" t="s">
        <v>303</v>
      </c>
      <c r="G21" t="s">
        <v>304</v>
      </c>
      <c r="H21" s="78" t="s">
        <v>302</v>
      </c>
      <c r="I21" s="78" t="s">
        <v>302</v>
      </c>
      <c r="J21" s="78" t="s">
        <v>302</v>
      </c>
      <c r="K21" s="78" t="s">
        <v>302</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302</v>
      </c>
    </row>
    <row r="22" spans="1:47">
      <c r="A22" t="s">
        <v>113</v>
      </c>
      <c r="B22" t="s">
        <v>114</v>
      </c>
      <c r="C22" t="s">
        <v>320</v>
      </c>
      <c r="D22" t="s">
        <v>302</v>
      </c>
      <c r="E22" t="s">
        <v>188</v>
      </c>
      <c r="F22" t="s">
        <v>303</v>
      </c>
      <c r="G22" t="s">
        <v>304</v>
      </c>
      <c r="H22" s="78" t="s">
        <v>302</v>
      </c>
      <c r="I22" s="78" t="s">
        <v>302</v>
      </c>
      <c r="J22" s="78" t="s">
        <v>302</v>
      </c>
      <c r="K22" s="78" t="s">
        <v>302</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302</v>
      </c>
    </row>
    <row r="23" spans="1:47">
      <c r="A23" t="s">
        <v>113</v>
      </c>
      <c r="B23" t="s">
        <v>114</v>
      </c>
      <c r="C23" t="s">
        <v>321</v>
      </c>
      <c r="D23" t="s">
        <v>302</v>
      </c>
      <c r="E23" t="s">
        <v>188</v>
      </c>
      <c r="F23" t="s">
        <v>303</v>
      </c>
      <c r="G23" t="s">
        <v>304</v>
      </c>
      <c r="H23" s="78" t="s">
        <v>302</v>
      </c>
      <c r="I23" s="78" t="s">
        <v>302</v>
      </c>
      <c r="J23" s="78" t="s">
        <v>302</v>
      </c>
      <c r="K23" s="78" t="s">
        <v>302</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302</v>
      </c>
    </row>
    <row r="24" spans="1:47">
      <c r="A24" t="s">
        <v>113</v>
      </c>
      <c r="B24" t="s">
        <v>114</v>
      </c>
      <c r="C24" t="s">
        <v>172</v>
      </c>
      <c r="D24" t="s">
        <v>302</v>
      </c>
      <c r="E24" t="s">
        <v>188</v>
      </c>
      <c r="F24" t="s">
        <v>303</v>
      </c>
      <c r="G24" t="s">
        <v>304</v>
      </c>
      <c r="H24" s="78" t="s">
        <v>302</v>
      </c>
      <c r="I24" s="78" t="s">
        <v>302</v>
      </c>
      <c r="J24" s="78" t="s">
        <v>302</v>
      </c>
      <c r="K24" s="78" t="s">
        <v>302</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302</v>
      </c>
    </row>
    <row r="25" spans="1:47">
      <c r="A25" t="s">
        <v>113</v>
      </c>
      <c r="B25" t="s">
        <v>114</v>
      </c>
      <c r="C25" t="s">
        <v>322</v>
      </c>
      <c r="D25" t="s">
        <v>302</v>
      </c>
      <c r="E25" t="s">
        <v>188</v>
      </c>
      <c r="F25" t="s">
        <v>303</v>
      </c>
      <c r="G25" t="s">
        <v>304</v>
      </c>
      <c r="H25" s="78" t="s">
        <v>302</v>
      </c>
      <c r="I25" s="78" t="s">
        <v>302</v>
      </c>
      <c r="J25" s="78" t="s">
        <v>302</v>
      </c>
      <c r="K25" s="78" t="s">
        <v>302</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302</v>
      </c>
    </row>
    <row r="26" spans="1:47">
      <c r="A26" t="s">
        <v>113</v>
      </c>
      <c r="B26" t="s">
        <v>114</v>
      </c>
      <c r="C26" t="s">
        <v>323</v>
      </c>
      <c r="D26" t="s">
        <v>302</v>
      </c>
      <c r="E26" t="s">
        <v>188</v>
      </c>
      <c r="F26" t="s">
        <v>303</v>
      </c>
      <c r="G26" t="s">
        <v>304</v>
      </c>
      <c r="H26" s="78" t="s">
        <v>302</v>
      </c>
      <c r="I26" s="78" t="s">
        <v>302</v>
      </c>
      <c r="J26" s="78" t="s">
        <v>302</v>
      </c>
      <c r="K26" s="78" t="s">
        <v>302</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302</v>
      </c>
    </row>
    <row r="27" spans="1:47">
      <c r="A27" t="s">
        <v>113</v>
      </c>
      <c r="B27" t="s">
        <v>114</v>
      </c>
      <c r="C27" t="s">
        <v>324</v>
      </c>
      <c r="D27" t="s">
        <v>302</v>
      </c>
      <c r="E27" t="s">
        <v>188</v>
      </c>
      <c r="F27" t="s">
        <v>303</v>
      </c>
      <c r="G27" t="s">
        <v>304</v>
      </c>
      <c r="H27" s="78" t="s">
        <v>302</v>
      </c>
      <c r="I27" s="78" t="s">
        <v>302</v>
      </c>
      <c r="J27" s="78" t="s">
        <v>302</v>
      </c>
      <c r="K27" s="78" t="s">
        <v>302</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302</v>
      </c>
    </row>
    <row r="28" spans="1:47">
      <c r="A28" t="s">
        <v>113</v>
      </c>
      <c r="B28" t="s">
        <v>114</v>
      </c>
      <c r="C28" t="s">
        <v>325</v>
      </c>
      <c r="D28" t="s">
        <v>302</v>
      </c>
      <c r="E28" t="s">
        <v>188</v>
      </c>
      <c r="F28" t="s">
        <v>303</v>
      </c>
      <c r="G28" t="s">
        <v>304</v>
      </c>
      <c r="H28" s="78" t="s">
        <v>302</v>
      </c>
      <c r="I28" s="78" t="s">
        <v>302</v>
      </c>
      <c r="J28" s="78" t="s">
        <v>302</v>
      </c>
      <c r="K28" s="78" t="s">
        <v>302</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302</v>
      </c>
    </row>
    <row r="29" spans="1:47">
      <c r="A29" t="s">
        <v>113</v>
      </c>
      <c r="B29" t="s">
        <v>124</v>
      </c>
      <c r="C29" t="s">
        <v>167</v>
      </c>
      <c r="D29" t="s">
        <v>302</v>
      </c>
      <c r="E29" t="s">
        <v>302</v>
      </c>
      <c r="F29" t="s">
        <v>303</v>
      </c>
      <c r="G29" t="s">
        <v>304</v>
      </c>
      <c r="H29" s="78" t="s">
        <v>302</v>
      </c>
      <c r="I29" s="78" t="s">
        <v>302</v>
      </c>
      <c r="J29" s="78" t="s">
        <v>302</v>
      </c>
      <c r="K29" s="78" t="s">
        <v>302</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302</v>
      </c>
    </row>
    <row r="30" spans="1:47">
      <c r="A30" t="s">
        <v>113</v>
      </c>
      <c r="B30" t="s">
        <v>124</v>
      </c>
      <c r="C30" t="s">
        <v>305</v>
      </c>
      <c r="D30" t="s">
        <v>302</v>
      </c>
      <c r="E30" t="s">
        <v>302</v>
      </c>
      <c r="F30" t="s">
        <v>303</v>
      </c>
      <c r="G30" t="s">
        <v>304</v>
      </c>
      <c r="H30" s="78" t="s">
        <v>302</v>
      </c>
      <c r="I30" s="78" t="s">
        <v>302</v>
      </c>
      <c r="J30" s="78" t="s">
        <v>302</v>
      </c>
      <c r="K30" s="78" t="s">
        <v>302</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302</v>
      </c>
    </row>
    <row r="31" spans="1:47">
      <c r="A31" t="s">
        <v>113</v>
      </c>
      <c r="B31" t="s">
        <v>124</v>
      </c>
      <c r="C31" t="s">
        <v>306</v>
      </c>
      <c r="D31" t="s">
        <v>302</v>
      </c>
      <c r="E31" t="s">
        <v>302</v>
      </c>
      <c r="F31" t="s">
        <v>303</v>
      </c>
      <c r="G31" t="s">
        <v>304</v>
      </c>
      <c r="H31" s="78" t="s">
        <v>302</v>
      </c>
      <c r="I31" s="78" t="s">
        <v>302</v>
      </c>
      <c r="J31" s="78" t="s">
        <v>302</v>
      </c>
      <c r="K31" s="78" t="s">
        <v>302</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302</v>
      </c>
    </row>
    <row r="32" spans="1:47">
      <c r="A32" t="s">
        <v>113</v>
      </c>
      <c r="B32" t="s">
        <v>124</v>
      </c>
      <c r="C32" t="s">
        <v>168</v>
      </c>
      <c r="D32" t="s">
        <v>302</v>
      </c>
      <c r="E32" t="s">
        <v>302</v>
      </c>
      <c r="F32" t="s">
        <v>303</v>
      </c>
      <c r="G32" t="s">
        <v>304</v>
      </c>
      <c r="H32" s="78" t="s">
        <v>302</v>
      </c>
      <c r="I32" s="78" t="s">
        <v>302</v>
      </c>
      <c r="J32" s="78" t="s">
        <v>302</v>
      </c>
      <c r="K32" s="78" t="s">
        <v>302</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302</v>
      </c>
    </row>
    <row r="33" spans="1:47">
      <c r="A33" t="s">
        <v>113</v>
      </c>
      <c r="B33" t="s">
        <v>124</v>
      </c>
      <c r="C33" t="s">
        <v>307</v>
      </c>
      <c r="D33" t="s">
        <v>302</v>
      </c>
      <c r="E33" t="s">
        <v>302</v>
      </c>
      <c r="F33" t="s">
        <v>303</v>
      </c>
      <c r="G33" t="s">
        <v>304</v>
      </c>
      <c r="H33" s="78" t="s">
        <v>302</v>
      </c>
      <c r="I33" s="78" t="s">
        <v>302</v>
      </c>
      <c r="J33" s="78" t="s">
        <v>302</v>
      </c>
      <c r="K33" s="78" t="s">
        <v>302</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302</v>
      </c>
    </row>
    <row r="34" spans="1:47">
      <c r="A34" t="s">
        <v>113</v>
      </c>
      <c r="B34" t="s">
        <v>124</v>
      </c>
      <c r="C34" t="s">
        <v>169</v>
      </c>
      <c r="D34" t="s">
        <v>302</v>
      </c>
      <c r="E34" t="s">
        <v>302</v>
      </c>
      <c r="F34" t="s">
        <v>303</v>
      </c>
      <c r="G34" t="s">
        <v>304</v>
      </c>
      <c r="H34" s="78" t="s">
        <v>302</v>
      </c>
      <c r="I34" s="78" t="s">
        <v>302</v>
      </c>
      <c r="J34" s="78" t="s">
        <v>302</v>
      </c>
      <c r="K34" s="78" t="s">
        <v>302</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302</v>
      </c>
    </row>
    <row r="35" spans="1:47">
      <c r="A35" t="s">
        <v>113</v>
      </c>
      <c r="B35" t="s">
        <v>124</v>
      </c>
      <c r="C35" t="s">
        <v>308</v>
      </c>
      <c r="D35" t="s">
        <v>302</v>
      </c>
      <c r="E35" t="s">
        <v>302</v>
      </c>
      <c r="F35" t="s">
        <v>303</v>
      </c>
      <c r="G35" t="s">
        <v>304</v>
      </c>
      <c r="H35" s="78" t="s">
        <v>302</v>
      </c>
      <c r="I35" s="78" t="s">
        <v>302</v>
      </c>
      <c r="J35" s="78" t="s">
        <v>302</v>
      </c>
      <c r="K35" s="78" t="s">
        <v>302</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302</v>
      </c>
    </row>
    <row r="36" spans="1:47">
      <c r="A36" t="s">
        <v>113</v>
      </c>
      <c r="B36" t="s">
        <v>124</v>
      </c>
      <c r="C36" t="s">
        <v>309</v>
      </c>
      <c r="D36" t="s">
        <v>302</v>
      </c>
      <c r="E36" t="s">
        <v>302</v>
      </c>
      <c r="F36" t="s">
        <v>303</v>
      </c>
      <c r="G36" t="s">
        <v>304</v>
      </c>
      <c r="H36" s="78" t="s">
        <v>302</v>
      </c>
      <c r="I36" s="78" t="s">
        <v>302</v>
      </c>
      <c r="J36" s="78" t="s">
        <v>302</v>
      </c>
      <c r="K36" s="78" t="s">
        <v>302</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302</v>
      </c>
    </row>
    <row r="37" spans="1:47">
      <c r="A37" t="s">
        <v>113</v>
      </c>
      <c r="B37" t="s">
        <v>124</v>
      </c>
      <c r="C37" t="s">
        <v>310</v>
      </c>
      <c r="D37" t="s">
        <v>302</v>
      </c>
      <c r="E37" t="s">
        <v>302</v>
      </c>
      <c r="F37" t="s">
        <v>303</v>
      </c>
      <c r="G37" t="s">
        <v>304</v>
      </c>
      <c r="H37" s="78" t="s">
        <v>302</v>
      </c>
      <c r="I37" s="78" t="s">
        <v>302</v>
      </c>
      <c r="J37" s="78" t="s">
        <v>302</v>
      </c>
      <c r="K37" s="78" t="s">
        <v>302</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302</v>
      </c>
    </row>
    <row r="38" spans="1:47">
      <c r="A38" t="s">
        <v>113</v>
      </c>
      <c r="B38" t="s">
        <v>124</v>
      </c>
      <c r="C38" t="s">
        <v>311</v>
      </c>
      <c r="D38" t="s">
        <v>302</v>
      </c>
      <c r="E38" t="s">
        <v>302</v>
      </c>
      <c r="F38" t="s">
        <v>303</v>
      </c>
      <c r="G38" t="s">
        <v>304</v>
      </c>
      <c r="H38" s="78" t="s">
        <v>302</v>
      </c>
      <c r="I38" s="78" t="s">
        <v>302</v>
      </c>
      <c r="J38" s="78" t="s">
        <v>302</v>
      </c>
      <c r="K38" s="78" t="s">
        <v>302</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302</v>
      </c>
    </row>
    <row r="39" spans="1:47">
      <c r="A39" t="s">
        <v>113</v>
      </c>
      <c r="B39" t="s">
        <v>124</v>
      </c>
      <c r="C39" t="s">
        <v>312</v>
      </c>
      <c r="D39" t="s">
        <v>302</v>
      </c>
      <c r="E39" t="s">
        <v>302</v>
      </c>
      <c r="F39" t="s">
        <v>303</v>
      </c>
      <c r="G39" t="s">
        <v>304</v>
      </c>
      <c r="H39" s="78" t="s">
        <v>302</v>
      </c>
      <c r="I39" s="78" t="s">
        <v>302</v>
      </c>
      <c r="J39" s="78" t="s">
        <v>302</v>
      </c>
      <c r="K39" s="78" t="s">
        <v>302</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302</v>
      </c>
    </row>
    <row r="40" spans="1:47">
      <c r="A40" t="s">
        <v>113</v>
      </c>
      <c r="B40" t="s">
        <v>124</v>
      </c>
      <c r="C40" t="s">
        <v>313</v>
      </c>
      <c r="D40" t="s">
        <v>302</v>
      </c>
      <c r="E40" t="s">
        <v>302</v>
      </c>
      <c r="F40" t="s">
        <v>303</v>
      </c>
      <c r="G40" t="s">
        <v>304</v>
      </c>
      <c r="H40" s="78" t="s">
        <v>302</v>
      </c>
      <c r="I40" s="78" t="s">
        <v>302</v>
      </c>
      <c r="J40" s="78" t="s">
        <v>302</v>
      </c>
      <c r="K40" s="78" t="s">
        <v>302</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302</v>
      </c>
    </row>
    <row r="41" spans="1:47">
      <c r="A41" t="s">
        <v>113</v>
      </c>
      <c r="B41" t="s">
        <v>124</v>
      </c>
      <c r="C41" t="s">
        <v>314</v>
      </c>
      <c r="D41" t="s">
        <v>302</v>
      </c>
      <c r="E41" t="s">
        <v>302</v>
      </c>
      <c r="F41" t="s">
        <v>303</v>
      </c>
      <c r="G41" t="s">
        <v>304</v>
      </c>
      <c r="H41" s="78" t="s">
        <v>302</v>
      </c>
      <c r="I41" s="78" t="s">
        <v>302</v>
      </c>
      <c r="J41" s="78" t="s">
        <v>302</v>
      </c>
      <c r="K41" s="78" t="s">
        <v>302</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302</v>
      </c>
    </row>
    <row r="42" spans="1:47">
      <c r="A42" t="s">
        <v>113</v>
      </c>
      <c r="B42" t="s">
        <v>124</v>
      </c>
      <c r="C42" t="s">
        <v>315</v>
      </c>
      <c r="D42" t="s">
        <v>302</v>
      </c>
      <c r="E42" t="s">
        <v>302</v>
      </c>
      <c r="F42" t="s">
        <v>303</v>
      </c>
      <c r="G42" t="s">
        <v>304</v>
      </c>
      <c r="H42" s="78" t="s">
        <v>302</v>
      </c>
      <c r="I42" s="78" t="s">
        <v>302</v>
      </c>
      <c r="J42" s="78" t="s">
        <v>302</v>
      </c>
      <c r="K42" s="78" t="s">
        <v>302</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302</v>
      </c>
    </row>
    <row r="43" spans="1:47">
      <c r="A43" t="s">
        <v>113</v>
      </c>
      <c r="B43" t="s">
        <v>124</v>
      </c>
      <c r="C43" t="s">
        <v>316</v>
      </c>
      <c r="D43" t="s">
        <v>302</v>
      </c>
      <c r="E43" t="s">
        <v>302</v>
      </c>
      <c r="F43" t="s">
        <v>303</v>
      </c>
      <c r="G43" t="s">
        <v>304</v>
      </c>
      <c r="H43" s="78" t="s">
        <v>302</v>
      </c>
      <c r="I43" s="78" t="s">
        <v>302</v>
      </c>
      <c r="J43" s="78" t="s">
        <v>302</v>
      </c>
      <c r="K43" s="78" t="s">
        <v>302</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302</v>
      </c>
    </row>
    <row r="44" spans="1:47">
      <c r="A44" t="s">
        <v>113</v>
      </c>
      <c r="B44" t="s">
        <v>124</v>
      </c>
      <c r="C44" t="s">
        <v>170</v>
      </c>
      <c r="D44" t="s">
        <v>302</v>
      </c>
      <c r="E44" t="s">
        <v>302</v>
      </c>
      <c r="F44" t="s">
        <v>303</v>
      </c>
      <c r="G44" t="s">
        <v>304</v>
      </c>
      <c r="H44" s="78" t="s">
        <v>302</v>
      </c>
      <c r="I44" s="78" t="s">
        <v>302</v>
      </c>
      <c r="J44" s="78" t="s">
        <v>302</v>
      </c>
      <c r="K44" s="78" t="s">
        <v>302</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302</v>
      </c>
    </row>
    <row r="45" spans="1:47">
      <c r="A45" t="s">
        <v>113</v>
      </c>
      <c r="B45" t="s">
        <v>124</v>
      </c>
      <c r="C45" t="s">
        <v>317</v>
      </c>
      <c r="D45" t="s">
        <v>302</v>
      </c>
      <c r="E45" t="s">
        <v>302</v>
      </c>
      <c r="F45" t="s">
        <v>303</v>
      </c>
      <c r="G45" t="s">
        <v>304</v>
      </c>
      <c r="H45" s="78" t="s">
        <v>302</v>
      </c>
      <c r="I45" s="78" t="s">
        <v>302</v>
      </c>
      <c r="J45" s="78" t="s">
        <v>302</v>
      </c>
      <c r="K45" s="78" t="s">
        <v>302</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302</v>
      </c>
    </row>
    <row r="46" spans="1:47">
      <c r="A46" t="s">
        <v>113</v>
      </c>
      <c r="B46" t="s">
        <v>124</v>
      </c>
      <c r="C46" t="s">
        <v>318</v>
      </c>
      <c r="D46" t="s">
        <v>302</v>
      </c>
      <c r="E46" t="s">
        <v>302</v>
      </c>
      <c r="F46" t="s">
        <v>303</v>
      </c>
      <c r="G46" t="s">
        <v>304</v>
      </c>
      <c r="H46" s="78" t="s">
        <v>302</v>
      </c>
      <c r="I46" s="78" t="s">
        <v>302</v>
      </c>
      <c r="J46" s="78" t="s">
        <v>302</v>
      </c>
      <c r="K46" s="78" t="s">
        <v>302</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302</v>
      </c>
    </row>
    <row r="47" spans="1:47">
      <c r="A47" t="s">
        <v>113</v>
      </c>
      <c r="B47" t="s">
        <v>124</v>
      </c>
      <c r="C47" t="s">
        <v>319</v>
      </c>
      <c r="D47" t="s">
        <v>302</v>
      </c>
      <c r="E47" t="s">
        <v>302</v>
      </c>
      <c r="F47" t="s">
        <v>303</v>
      </c>
      <c r="G47" t="s">
        <v>304</v>
      </c>
      <c r="H47" s="78" t="s">
        <v>302</v>
      </c>
      <c r="I47" s="78" t="s">
        <v>302</v>
      </c>
      <c r="J47" s="78" t="s">
        <v>302</v>
      </c>
      <c r="K47" s="78" t="s">
        <v>302</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302</v>
      </c>
    </row>
    <row r="48" spans="1:47">
      <c r="A48" t="s">
        <v>113</v>
      </c>
      <c r="B48" t="s">
        <v>124</v>
      </c>
      <c r="C48" t="s">
        <v>171</v>
      </c>
      <c r="D48" t="s">
        <v>302</v>
      </c>
      <c r="E48" t="s">
        <v>302</v>
      </c>
      <c r="F48" t="s">
        <v>303</v>
      </c>
      <c r="G48" t="s">
        <v>304</v>
      </c>
      <c r="H48" s="78" t="s">
        <v>302</v>
      </c>
      <c r="I48" s="78" t="s">
        <v>302</v>
      </c>
      <c r="J48" s="78" t="s">
        <v>302</v>
      </c>
      <c r="K48" s="78" t="s">
        <v>302</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302</v>
      </c>
    </row>
    <row r="49" spans="1:47">
      <c r="A49" t="s">
        <v>113</v>
      </c>
      <c r="B49" t="s">
        <v>124</v>
      </c>
      <c r="C49" t="s">
        <v>320</v>
      </c>
      <c r="D49" t="s">
        <v>302</v>
      </c>
      <c r="E49" t="s">
        <v>302</v>
      </c>
      <c r="F49" t="s">
        <v>303</v>
      </c>
      <c r="G49" t="s">
        <v>304</v>
      </c>
      <c r="H49" s="78" t="s">
        <v>302</v>
      </c>
      <c r="I49" s="78" t="s">
        <v>302</v>
      </c>
      <c r="J49" s="78" t="s">
        <v>302</v>
      </c>
      <c r="K49" s="78" t="s">
        <v>302</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302</v>
      </c>
    </row>
    <row r="50" spans="1:47">
      <c r="A50" t="s">
        <v>113</v>
      </c>
      <c r="B50" t="s">
        <v>124</v>
      </c>
      <c r="C50" t="s">
        <v>321</v>
      </c>
      <c r="D50" t="s">
        <v>302</v>
      </c>
      <c r="E50" t="s">
        <v>302</v>
      </c>
      <c r="F50" t="s">
        <v>303</v>
      </c>
      <c r="G50" t="s">
        <v>304</v>
      </c>
      <c r="H50" s="78" t="s">
        <v>302</v>
      </c>
      <c r="I50" s="78" t="s">
        <v>302</v>
      </c>
      <c r="J50" s="78" t="s">
        <v>302</v>
      </c>
      <c r="K50" s="78" t="s">
        <v>302</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302</v>
      </c>
    </row>
    <row r="51" spans="1:47">
      <c r="A51" t="s">
        <v>113</v>
      </c>
      <c r="B51" t="s">
        <v>124</v>
      </c>
      <c r="C51" t="s">
        <v>172</v>
      </c>
      <c r="D51" t="s">
        <v>302</v>
      </c>
      <c r="E51" t="s">
        <v>302</v>
      </c>
      <c r="F51" t="s">
        <v>303</v>
      </c>
      <c r="G51" t="s">
        <v>304</v>
      </c>
      <c r="H51" s="78" t="s">
        <v>302</v>
      </c>
      <c r="I51" s="78" t="s">
        <v>302</v>
      </c>
      <c r="J51" s="78" t="s">
        <v>302</v>
      </c>
      <c r="K51" s="78" t="s">
        <v>302</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302</v>
      </c>
    </row>
    <row r="52" spans="1:47">
      <c r="A52" t="s">
        <v>113</v>
      </c>
      <c r="B52" t="s">
        <v>124</v>
      </c>
      <c r="C52" t="s">
        <v>322</v>
      </c>
      <c r="D52" t="s">
        <v>302</v>
      </c>
      <c r="E52" t="s">
        <v>302</v>
      </c>
      <c r="F52" t="s">
        <v>303</v>
      </c>
      <c r="G52" t="s">
        <v>304</v>
      </c>
      <c r="H52" s="78" t="s">
        <v>302</v>
      </c>
      <c r="I52" s="78" t="s">
        <v>302</v>
      </c>
      <c r="J52" s="78" t="s">
        <v>302</v>
      </c>
      <c r="K52" s="78" t="s">
        <v>302</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302</v>
      </c>
    </row>
    <row r="53" spans="1:47">
      <c r="A53" t="s">
        <v>113</v>
      </c>
      <c r="B53" t="s">
        <v>124</v>
      </c>
      <c r="C53" t="s">
        <v>323</v>
      </c>
      <c r="D53" t="s">
        <v>302</v>
      </c>
      <c r="E53" t="s">
        <v>302</v>
      </c>
      <c r="F53" t="s">
        <v>303</v>
      </c>
      <c r="G53" t="s">
        <v>304</v>
      </c>
      <c r="H53" s="78" t="s">
        <v>302</v>
      </c>
      <c r="I53" s="78" t="s">
        <v>302</v>
      </c>
      <c r="J53" s="78" t="s">
        <v>302</v>
      </c>
      <c r="K53" s="78" t="s">
        <v>302</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302</v>
      </c>
    </row>
    <row r="54" spans="1:47">
      <c r="A54" t="s">
        <v>113</v>
      </c>
      <c r="B54" t="s">
        <v>124</v>
      </c>
      <c r="C54" t="s">
        <v>324</v>
      </c>
      <c r="D54" t="s">
        <v>302</v>
      </c>
      <c r="E54" t="s">
        <v>302</v>
      </c>
      <c r="F54" t="s">
        <v>303</v>
      </c>
      <c r="G54" t="s">
        <v>304</v>
      </c>
      <c r="H54" s="78" t="s">
        <v>302</v>
      </c>
      <c r="I54" s="78" t="s">
        <v>302</v>
      </c>
      <c r="J54" s="78" t="s">
        <v>302</v>
      </c>
      <c r="K54" s="78" t="s">
        <v>302</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302</v>
      </c>
    </row>
    <row r="55" spans="1:47">
      <c r="A55" t="s">
        <v>113</v>
      </c>
      <c r="B55" t="s">
        <v>124</v>
      </c>
      <c r="C55" t="s">
        <v>325</v>
      </c>
      <c r="D55" t="s">
        <v>302</v>
      </c>
      <c r="E55" t="s">
        <v>302</v>
      </c>
      <c r="F55" t="s">
        <v>303</v>
      </c>
      <c r="G55" t="s">
        <v>304</v>
      </c>
      <c r="H55" s="78" t="s">
        <v>302</v>
      </c>
      <c r="I55" s="78" t="s">
        <v>302</v>
      </c>
      <c r="J55" s="78" t="s">
        <v>302</v>
      </c>
      <c r="K55" s="78" t="s">
        <v>302</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302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326</v>
      </c>
      <c r="M4" s="58"/>
      <c r="N4" s="59"/>
      <c r="O4" s="59"/>
      <c r="P4" s="59"/>
      <c r="Q4" s="59"/>
      <c r="R4" s="19" t="s">
        <v>326</v>
      </c>
      <c r="S4" s="59"/>
      <c r="T4" s="59"/>
      <c r="U4" s="59"/>
      <c r="V4" s="59"/>
      <c r="W4" s="59"/>
      <c r="X4" s="19" t="s">
        <v>326</v>
      </c>
      <c r="Y4" s="59"/>
      <c r="Z4" s="59"/>
      <c r="AA4" s="59"/>
      <c r="AB4" s="59"/>
      <c r="AC4" s="59"/>
      <c r="AD4" s="19" t="s">
        <v>326</v>
      </c>
      <c r="AE4" s="59"/>
      <c r="AF4" s="59"/>
      <c r="AG4" s="59"/>
      <c r="AH4" s="59"/>
      <c r="AI4" s="59"/>
      <c r="AJ4" s="19" t="s">
        <v>326</v>
      </c>
      <c r="AK4" s="59"/>
      <c r="AL4" s="59"/>
      <c r="AM4" s="59"/>
      <c r="AN4" s="59"/>
      <c r="AO4" s="59"/>
      <c r="AP4" s="19" t="s">
        <v>326</v>
      </c>
      <c r="AQ4" s="59"/>
      <c r="AT4" s="59"/>
      <c r="AU4" s="59"/>
      <c r="AV4" s="19" t="s">
        <v>326</v>
      </c>
      <c r="AW4" s="59"/>
      <c r="AZ4" s="4"/>
      <c r="BA4" s="4"/>
      <c r="BB4" s="4"/>
      <c r="BC4" s="4"/>
    </row>
    <row r="5" s="56" customFormat="1" ht="14.5" spans="4:55">
      <c r="D5" s="58"/>
      <c r="E5" s="58"/>
      <c r="F5" s="60"/>
      <c r="G5" s="58"/>
      <c r="H5" s="59"/>
      <c r="I5" s="59"/>
      <c r="J5" s="19" t="s">
        <v>137</v>
      </c>
      <c r="K5" s="19" t="s">
        <v>65</v>
      </c>
      <c r="L5" s="19" t="s">
        <v>112</v>
      </c>
      <c r="M5" s="19" t="s">
        <v>25</v>
      </c>
      <c r="N5" s="59" t="s">
        <v>41</v>
      </c>
      <c r="O5" s="59"/>
      <c r="P5" s="19" t="s">
        <v>137</v>
      </c>
      <c r="Q5" s="19" t="s">
        <v>65</v>
      </c>
      <c r="R5" s="19" t="s">
        <v>112</v>
      </c>
      <c r="S5" s="19" t="s">
        <v>25</v>
      </c>
      <c r="T5" s="59" t="s">
        <v>41</v>
      </c>
      <c r="U5" s="59"/>
      <c r="V5" s="19" t="s">
        <v>137</v>
      </c>
      <c r="W5" s="19" t="s">
        <v>65</v>
      </c>
      <c r="X5" s="19" t="s">
        <v>112</v>
      </c>
      <c r="Y5" s="19" t="s">
        <v>25</v>
      </c>
      <c r="Z5" s="59" t="s">
        <v>41</v>
      </c>
      <c r="AA5" s="59"/>
      <c r="AB5" s="19" t="s">
        <v>137</v>
      </c>
      <c r="AC5" s="19" t="s">
        <v>65</v>
      </c>
      <c r="AD5" s="19" t="s">
        <v>112</v>
      </c>
      <c r="AE5" s="19" t="s">
        <v>25</v>
      </c>
      <c r="AF5" s="59" t="s">
        <v>41</v>
      </c>
      <c r="AG5" s="59"/>
      <c r="AH5" s="19" t="s">
        <v>137</v>
      </c>
      <c r="AI5" s="19" t="s">
        <v>65</v>
      </c>
      <c r="AJ5" s="19" t="s">
        <v>112</v>
      </c>
      <c r="AK5" s="19" t="s">
        <v>25</v>
      </c>
      <c r="AL5" s="59" t="s">
        <v>41</v>
      </c>
      <c r="AM5" s="59"/>
      <c r="AN5" s="19" t="s">
        <v>137</v>
      </c>
      <c r="AO5" s="19" t="s">
        <v>65</v>
      </c>
      <c r="AP5" s="19" t="s">
        <v>112</v>
      </c>
      <c r="AQ5" s="19" t="s">
        <v>25</v>
      </c>
      <c r="AR5" s="59" t="s">
        <v>41</v>
      </c>
      <c r="AT5" s="19" t="s">
        <v>137</v>
      </c>
      <c r="AU5" s="19" t="s">
        <v>65</v>
      </c>
      <c r="AV5" s="19" t="s">
        <v>112</v>
      </c>
      <c r="AW5" s="19" t="s">
        <v>25</v>
      </c>
      <c r="AX5" s="59" t="s">
        <v>41</v>
      </c>
      <c r="AZ5" s="4"/>
      <c r="BA5" s="4"/>
      <c r="BB5" s="4"/>
      <c r="BC5" s="4"/>
    </row>
    <row r="6" s="56" customFormat="1" ht="16" spans="4:55">
      <c r="D6" s="58"/>
      <c r="E6" s="61"/>
      <c r="F6" s="60"/>
      <c r="G6" s="62"/>
      <c r="H6" s="59"/>
      <c r="I6" s="59"/>
      <c r="J6" s="58" t="s">
        <v>141</v>
      </c>
      <c r="K6" s="61" t="s">
        <v>81</v>
      </c>
      <c r="L6" s="53" t="s">
        <v>327</v>
      </c>
      <c r="M6" s="63">
        <f t="shared" ref="M6:M9" si="0">M16/1000</f>
        <v>0.0768000000000001</v>
      </c>
      <c r="N6" s="59">
        <v>2019</v>
      </c>
      <c r="O6" s="59"/>
      <c r="P6" s="58" t="s">
        <v>141</v>
      </c>
      <c r="Q6" s="61" t="s">
        <v>86</v>
      </c>
      <c r="R6" s="53" t="s">
        <v>327</v>
      </c>
      <c r="S6" s="63">
        <f t="shared" ref="S6:S9" si="1">S16/1000</f>
        <v>0.0713</v>
      </c>
      <c r="T6" s="59">
        <v>2019</v>
      </c>
      <c r="U6" s="59"/>
      <c r="V6" s="58" t="s">
        <v>141</v>
      </c>
      <c r="W6" s="61" t="s">
        <v>90</v>
      </c>
      <c r="X6" s="53" t="s">
        <v>327</v>
      </c>
      <c r="Y6" s="63">
        <f t="shared" ref="Y6:Y9" si="2">Y16/1000</f>
        <v>0.0712</v>
      </c>
      <c r="Z6" s="59">
        <v>2019</v>
      </c>
      <c r="AA6" s="59"/>
      <c r="AB6" s="58" t="s">
        <v>141</v>
      </c>
      <c r="AC6" s="61" t="s">
        <v>94</v>
      </c>
      <c r="AD6" s="53" t="s">
        <v>327</v>
      </c>
      <c r="AE6" s="63">
        <f t="shared" ref="AE6:AE9" si="3">AE16/1000</f>
        <v>0.0725</v>
      </c>
      <c r="AF6" s="59">
        <v>2019</v>
      </c>
      <c r="AG6" s="59"/>
      <c r="AH6" s="58" t="s">
        <v>141</v>
      </c>
      <c r="AI6" s="61" t="s">
        <v>77</v>
      </c>
      <c r="AJ6" s="53" t="s">
        <v>327</v>
      </c>
      <c r="AK6" s="63">
        <f t="shared" ref="AK6:AK9" si="4">AK16/1000</f>
        <v>0.077</v>
      </c>
      <c r="AL6" s="59">
        <v>2019</v>
      </c>
      <c r="AM6" s="59"/>
      <c r="AN6" s="58" t="s">
        <v>141</v>
      </c>
      <c r="AO6" s="61" t="s">
        <v>73</v>
      </c>
      <c r="AP6" s="53" t="s">
        <v>327</v>
      </c>
      <c r="AQ6" s="63">
        <f t="shared" ref="AQ6:AQ9" si="5">AQ16/1000</f>
        <v>0.0424</v>
      </c>
      <c r="AR6" s="59">
        <v>2019</v>
      </c>
      <c r="AT6" s="58" t="s">
        <v>141</v>
      </c>
      <c r="AU6" s="61" t="s">
        <v>68</v>
      </c>
      <c r="AV6" s="53" t="s">
        <v>327</v>
      </c>
      <c r="AW6" s="63">
        <f t="shared" ref="AW6:AW9" si="6">AW16/1000</f>
        <v>0.0472</v>
      </c>
      <c r="AX6" s="59">
        <v>2019</v>
      </c>
      <c r="AZ6" s="4"/>
      <c r="BA6" s="4"/>
      <c r="BB6" s="4"/>
      <c r="BC6" s="4"/>
    </row>
    <row r="7" s="56" customFormat="1" ht="16" spans="4:55">
      <c r="D7" s="58"/>
      <c r="E7" s="61"/>
      <c r="F7" s="60"/>
      <c r="G7" s="62"/>
      <c r="H7" s="59"/>
      <c r="I7" s="59"/>
      <c r="J7" s="58" t="s">
        <v>141</v>
      </c>
      <c r="K7" s="61" t="s">
        <v>81</v>
      </c>
      <c r="L7" s="53" t="s">
        <v>328</v>
      </c>
      <c r="M7" s="63">
        <f t="shared" si="0"/>
        <v>0.2026</v>
      </c>
      <c r="N7" s="59">
        <v>2019</v>
      </c>
      <c r="O7" s="59"/>
      <c r="P7" s="58" t="s">
        <v>141</v>
      </c>
      <c r="Q7" s="61" t="s">
        <v>86</v>
      </c>
      <c r="R7" s="53" t="s">
        <v>328</v>
      </c>
      <c r="S7" s="63">
        <f t="shared" si="1"/>
        <v>0.1913</v>
      </c>
      <c r="T7" s="59">
        <v>2019</v>
      </c>
      <c r="U7" s="59"/>
      <c r="V7" s="58" t="s">
        <v>141</v>
      </c>
      <c r="W7" s="61" t="s">
        <v>90</v>
      </c>
      <c r="X7" s="53" t="s">
        <v>328</v>
      </c>
      <c r="Y7" s="63">
        <f t="shared" si="2"/>
        <v>0.1915</v>
      </c>
      <c r="Z7" s="59">
        <v>2019</v>
      </c>
      <c r="AA7" s="59"/>
      <c r="AB7" s="58" t="s">
        <v>141</v>
      </c>
      <c r="AC7" s="61" t="s">
        <v>94</v>
      </c>
      <c r="AD7" s="53" t="s">
        <v>328</v>
      </c>
      <c r="AE7" s="63">
        <f t="shared" si="3"/>
        <v>0.1859</v>
      </c>
      <c r="AF7" s="59">
        <v>2019</v>
      </c>
      <c r="AG7" s="59"/>
      <c r="AH7" s="58" t="s">
        <v>141</v>
      </c>
      <c r="AI7" s="61" t="s">
        <v>77</v>
      </c>
      <c r="AJ7" s="53" t="s">
        <v>328</v>
      </c>
      <c r="AK7" s="63">
        <f t="shared" si="4"/>
        <v>0.1982</v>
      </c>
      <c r="AL7" s="59">
        <v>2019</v>
      </c>
      <c r="AM7" s="59"/>
      <c r="AN7" s="58" t="s">
        <v>141</v>
      </c>
      <c r="AO7" s="61" t="s">
        <v>73</v>
      </c>
      <c r="AP7" s="53" t="s">
        <v>328</v>
      </c>
      <c r="AQ7" s="63">
        <f t="shared" si="5"/>
        <v>0.0768</v>
      </c>
      <c r="AR7" s="59">
        <v>2019</v>
      </c>
      <c r="AT7" s="58" t="s">
        <v>141</v>
      </c>
      <c r="AU7" s="61" t="s">
        <v>68</v>
      </c>
      <c r="AV7" s="53" t="s">
        <v>328</v>
      </c>
      <c r="AW7" s="63">
        <f t="shared" si="6"/>
        <v>0.1555</v>
      </c>
      <c r="AX7" s="59">
        <v>2019</v>
      </c>
      <c r="AZ7" s="4"/>
      <c r="BA7" s="4"/>
      <c r="BB7" s="4"/>
      <c r="BC7" s="4"/>
    </row>
    <row r="8" s="56" customFormat="1" ht="14.5" customHeight="1" spans="4:55">
      <c r="D8" s="58"/>
      <c r="E8" s="61"/>
      <c r="F8" s="60"/>
      <c r="G8" s="62"/>
      <c r="H8" s="59"/>
      <c r="I8" s="59"/>
      <c r="J8" s="58" t="s">
        <v>141</v>
      </c>
      <c r="K8" s="61" t="s">
        <v>81</v>
      </c>
      <c r="L8" s="53" t="s">
        <v>329</v>
      </c>
      <c r="M8" s="63">
        <f t="shared" si="0"/>
        <v>0.5838</v>
      </c>
      <c r="N8" s="59">
        <v>2019</v>
      </c>
      <c r="O8" s="59"/>
      <c r="P8" s="58" t="s">
        <v>141</v>
      </c>
      <c r="Q8" s="61" t="s">
        <v>86</v>
      </c>
      <c r="R8" s="53" t="s">
        <v>329</v>
      </c>
      <c r="S8" s="63">
        <f t="shared" si="1"/>
        <v>0.5561</v>
      </c>
      <c r="T8" s="59">
        <v>2019</v>
      </c>
      <c r="U8" s="59"/>
      <c r="V8" s="58" t="s">
        <v>141</v>
      </c>
      <c r="W8" s="61" t="s">
        <v>90</v>
      </c>
      <c r="X8" s="53" t="s">
        <v>329</v>
      </c>
      <c r="Y8" s="63">
        <f t="shared" si="2"/>
        <v>0.5579</v>
      </c>
      <c r="Z8" s="59">
        <v>2019</v>
      </c>
      <c r="AA8" s="59"/>
      <c r="AB8" s="58" t="s">
        <v>141</v>
      </c>
      <c r="AC8" s="61" t="s">
        <v>94</v>
      </c>
      <c r="AD8" s="53" t="s">
        <v>329</v>
      </c>
      <c r="AE8" s="63">
        <f t="shared" si="3"/>
        <v>0.5505</v>
      </c>
      <c r="AF8" s="59">
        <v>2019</v>
      </c>
      <c r="AG8" s="59"/>
      <c r="AH8" s="58" t="s">
        <v>141</v>
      </c>
      <c r="AI8" s="61" t="s">
        <v>77</v>
      </c>
      <c r="AJ8" s="53" t="s">
        <v>329</v>
      </c>
      <c r="AK8" s="63">
        <f t="shared" si="4"/>
        <v>0.5942</v>
      </c>
      <c r="AL8" s="59">
        <v>2019</v>
      </c>
      <c r="AM8" s="59"/>
      <c r="AN8" s="58" t="s">
        <v>141</v>
      </c>
      <c r="AO8" s="61" t="s">
        <v>73</v>
      </c>
      <c r="AP8" s="53" t="s">
        <v>329</v>
      </c>
      <c r="AQ8" s="63">
        <f t="shared" si="5"/>
        <v>0.4099</v>
      </c>
      <c r="AR8" s="59">
        <v>2019</v>
      </c>
      <c r="AT8" s="58" t="s">
        <v>141</v>
      </c>
      <c r="AU8" s="61" t="s">
        <v>68</v>
      </c>
      <c r="AV8" s="53" t="s">
        <v>329</v>
      </c>
      <c r="AW8" s="63">
        <f t="shared" si="6"/>
        <v>0.477</v>
      </c>
      <c r="AX8" s="59">
        <v>2019</v>
      </c>
      <c r="AZ8" s="4"/>
      <c r="BA8" s="4"/>
      <c r="BB8" s="4"/>
      <c r="BC8" s="4"/>
    </row>
    <row r="9" s="56" customFormat="1" ht="16" spans="4:55">
      <c r="D9" s="58"/>
      <c r="E9" s="61"/>
      <c r="F9" s="60"/>
      <c r="G9" s="62"/>
      <c r="H9" s="59"/>
      <c r="I9" s="59"/>
      <c r="J9" s="58" t="s">
        <v>141</v>
      </c>
      <c r="K9" s="61" t="s">
        <v>81</v>
      </c>
      <c r="L9" s="53" t="s">
        <v>330</v>
      </c>
      <c r="M9" s="63">
        <f t="shared" si="0"/>
        <v>0.1275</v>
      </c>
      <c r="N9" s="59">
        <v>2019</v>
      </c>
      <c r="O9" s="59"/>
      <c r="P9" s="58" t="s">
        <v>141</v>
      </c>
      <c r="Q9" s="61" t="s">
        <v>86</v>
      </c>
      <c r="R9" s="53" t="s">
        <v>330</v>
      </c>
      <c r="S9" s="63">
        <f t="shared" si="1"/>
        <v>0.1337</v>
      </c>
      <c r="T9" s="59">
        <v>2019</v>
      </c>
      <c r="U9" s="59"/>
      <c r="V9" s="58" t="s">
        <v>141</v>
      </c>
      <c r="W9" s="61" t="s">
        <v>90</v>
      </c>
      <c r="X9" s="53" t="s">
        <v>330</v>
      </c>
      <c r="Y9" s="63">
        <f t="shared" si="2"/>
        <v>0.1403</v>
      </c>
      <c r="Z9" s="59">
        <v>2019</v>
      </c>
      <c r="AA9" s="59"/>
      <c r="AB9" s="58" t="s">
        <v>141</v>
      </c>
      <c r="AC9" s="61" t="s">
        <v>94</v>
      </c>
      <c r="AD9" s="53" t="s">
        <v>330</v>
      </c>
      <c r="AE9" s="63">
        <f t="shared" si="3"/>
        <v>0.1499</v>
      </c>
      <c r="AF9" s="59">
        <v>2019</v>
      </c>
      <c r="AG9" s="59"/>
      <c r="AH9" s="58" t="s">
        <v>141</v>
      </c>
      <c r="AI9" s="61" t="s">
        <v>77</v>
      </c>
      <c r="AJ9" s="53" t="s">
        <v>330</v>
      </c>
      <c r="AK9" s="63">
        <f t="shared" si="4"/>
        <v>0.1608</v>
      </c>
      <c r="AL9" s="59">
        <v>2019</v>
      </c>
      <c r="AM9" s="59"/>
      <c r="AN9" s="58" t="s">
        <v>141</v>
      </c>
      <c r="AO9" s="61" t="s">
        <v>73</v>
      </c>
      <c r="AP9" s="53" t="s">
        <v>330</v>
      </c>
      <c r="AQ9" s="63">
        <f t="shared" si="5"/>
        <v>0.057</v>
      </c>
      <c r="AR9" s="59">
        <v>2019</v>
      </c>
      <c r="AT9" s="58" t="s">
        <v>141</v>
      </c>
      <c r="AU9" s="61" t="s">
        <v>68</v>
      </c>
      <c r="AV9" s="53" t="s">
        <v>330</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326</v>
      </c>
      <c r="M24" s="58"/>
      <c r="N24" s="59"/>
      <c r="O24" s="59"/>
      <c r="P24" s="59"/>
      <c r="Q24" s="59"/>
      <c r="R24" s="19" t="s">
        <v>326</v>
      </c>
      <c r="S24" s="59"/>
      <c r="T24" s="59"/>
      <c r="U24" s="59"/>
      <c r="V24" s="59"/>
      <c r="W24" s="59"/>
      <c r="X24" s="19" t="s">
        <v>326</v>
      </c>
      <c r="Y24" s="59"/>
      <c r="Z24" s="59"/>
      <c r="AA24" s="59"/>
      <c r="AB24" s="59"/>
      <c r="AC24" s="59"/>
      <c r="AD24" s="19" t="s">
        <v>326</v>
      </c>
      <c r="AE24" s="59"/>
      <c r="AF24" s="59"/>
      <c r="AG24" s="59"/>
      <c r="AH24" s="59"/>
      <c r="AI24" s="59"/>
      <c r="AJ24" s="19" t="s">
        <v>326</v>
      </c>
      <c r="AK24" s="59"/>
      <c r="AL24" s="59"/>
      <c r="AM24" s="59"/>
      <c r="AN24" s="59"/>
      <c r="AO24" s="59"/>
      <c r="AP24" s="19" t="s">
        <v>326</v>
      </c>
      <c r="AQ24" s="59"/>
      <c r="AT24" s="59"/>
      <c r="AU24" s="59"/>
      <c r="AV24" s="19" t="s">
        <v>326</v>
      </c>
      <c r="AW24" s="59"/>
      <c r="AZ24" s="4"/>
      <c r="BA24" s="4"/>
      <c r="BB24" s="4"/>
      <c r="BC24" s="4"/>
    </row>
    <row r="25" s="56" customFormat="1" ht="14.5" spans="4:55">
      <c r="D25" s="58"/>
      <c r="E25" s="58"/>
      <c r="F25" s="60"/>
      <c r="G25" s="58"/>
      <c r="H25" s="59"/>
      <c r="I25" s="59"/>
      <c r="J25" s="19" t="s">
        <v>137</v>
      </c>
      <c r="K25" s="19" t="s">
        <v>65</v>
      </c>
      <c r="L25" s="19" t="s">
        <v>112</v>
      </c>
      <c r="M25" s="19" t="s">
        <v>11</v>
      </c>
      <c r="N25" s="59" t="s">
        <v>41</v>
      </c>
      <c r="O25" s="59"/>
      <c r="P25" s="19" t="s">
        <v>137</v>
      </c>
      <c r="Q25" s="19" t="s">
        <v>65</v>
      </c>
      <c r="R25" s="19" t="s">
        <v>112</v>
      </c>
      <c r="S25" s="19" t="s">
        <v>11</v>
      </c>
      <c r="T25" s="59" t="s">
        <v>41</v>
      </c>
      <c r="U25" s="59"/>
      <c r="V25" s="19" t="s">
        <v>137</v>
      </c>
      <c r="W25" s="19" t="s">
        <v>65</v>
      </c>
      <c r="X25" s="19" t="s">
        <v>112</v>
      </c>
      <c r="Y25" s="19" t="s">
        <v>11</v>
      </c>
      <c r="Z25" s="59" t="s">
        <v>41</v>
      </c>
      <c r="AA25" s="59"/>
      <c r="AB25" s="19" t="s">
        <v>137</v>
      </c>
      <c r="AC25" s="19" t="s">
        <v>65</v>
      </c>
      <c r="AD25" s="19" t="s">
        <v>112</v>
      </c>
      <c r="AE25" s="19" t="s">
        <v>11</v>
      </c>
      <c r="AF25" s="59" t="s">
        <v>41</v>
      </c>
      <c r="AG25" s="59"/>
      <c r="AH25" s="19" t="s">
        <v>137</v>
      </c>
      <c r="AI25" s="19" t="s">
        <v>65</v>
      </c>
      <c r="AJ25" s="19" t="s">
        <v>112</v>
      </c>
      <c r="AK25" s="19" t="s">
        <v>11</v>
      </c>
      <c r="AL25" s="59" t="s">
        <v>41</v>
      </c>
      <c r="AM25" s="59"/>
      <c r="AN25" s="19" t="s">
        <v>137</v>
      </c>
      <c r="AO25" s="19" t="s">
        <v>65</v>
      </c>
      <c r="AP25" s="19" t="s">
        <v>112</v>
      </c>
      <c r="AQ25" s="19" t="s">
        <v>11</v>
      </c>
      <c r="AR25" s="59" t="s">
        <v>41</v>
      </c>
      <c r="AT25" s="19" t="s">
        <v>137</v>
      </c>
      <c r="AU25" s="19" t="s">
        <v>65</v>
      </c>
      <c r="AV25" s="19" t="s">
        <v>112</v>
      </c>
      <c r="AW25" s="19" t="s">
        <v>11</v>
      </c>
      <c r="AX25" s="59" t="s">
        <v>41</v>
      </c>
      <c r="AZ25" s="4"/>
      <c r="BA25" s="4"/>
      <c r="BB25" s="4"/>
      <c r="BC25" s="4"/>
    </row>
    <row r="26" ht="16" spans="4:55">
      <c r="J26" s="58" t="s">
        <v>141</v>
      </c>
      <c r="K26" s="61" t="str">
        <f t="shared" ref="K26:K29" si="14">K6</f>
        <v>Tra_EV_Batt-NMC111_virgin</v>
      </c>
      <c r="L26" s="53" t="s">
        <v>327</v>
      </c>
      <c r="M26" s="62">
        <f t="shared" ref="M26:M29" si="15">T73/1000</f>
        <v>0.0774</v>
      </c>
      <c r="N26" s="59">
        <v>2019</v>
      </c>
      <c r="O26" s="59"/>
      <c r="P26" s="58" t="s">
        <v>141</v>
      </c>
      <c r="Q26" s="61" t="str">
        <f t="shared" ref="Q26:Q29" si="16">Q6</f>
        <v>Tra_EV_Batt-NMC532_virgin</v>
      </c>
      <c r="R26" s="53" t="s">
        <v>327</v>
      </c>
      <c r="S26" s="68">
        <f t="shared" ref="S26:S29" si="17">S32/1000</f>
        <v>0.072</v>
      </c>
      <c r="T26" s="59">
        <v>2019</v>
      </c>
      <c r="U26" s="59"/>
      <c r="V26" s="58" t="s">
        <v>141</v>
      </c>
      <c r="W26" s="61" t="str">
        <f t="shared" ref="W26:W29" si="18">W6</f>
        <v>Tra_EV_Batt-NMC622_virgin</v>
      </c>
      <c r="X26" s="53" t="s">
        <v>327</v>
      </c>
      <c r="Y26" s="68">
        <f t="shared" ref="Y26:Y29" si="19">Y32/1000</f>
        <v>0.0719</v>
      </c>
      <c r="Z26" s="59">
        <v>2019</v>
      </c>
      <c r="AA26" s="59"/>
      <c r="AB26" s="58" t="s">
        <v>141</v>
      </c>
      <c r="AC26" s="61" t="str">
        <f t="shared" ref="AC26:AC29" si="20">AC6</f>
        <v>Tra_EV_Batt-NMC811_virgin</v>
      </c>
      <c r="AD26" s="53" t="s">
        <v>327</v>
      </c>
      <c r="AE26" s="68">
        <f t="shared" ref="AE26:AE29" si="21">AE32/1000</f>
        <v>0.0731</v>
      </c>
      <c r="AF26" s="59">
        <v>2019</v>
      </c>
      <c r="AG26" s="59"/>
      <c r="AH26" s="58" t="s">
        <v>141</v>
      </c>
      <c r="AI26" s="61" t="str">
        <f t="shared" ref="AI26:AI29" si="22">AI6</f>
        <v>Tra_EV_Batt-NCA_virgin</v>
      </c>
      <c r="AJ26" s="53" t="s">
        <v>327</v>
      </c>
      <c r="AK26" s="68">
        <f t="shared" ref="AK26:AK29" si="23">AK32/1000</f>
        <v>0.0776999999999999</v>
      </c>
      <c r="AL26" s="59">
        <v>2019</v>
      </c>
      <c r="AM26" s="59"/>
      <c r="AN26" s="58" t="s">
        <v>141</v>
      </c>
      <c r="AO26" s="61" t="str">
        <f t="shared" ref="AO26:AO29" si="24">AO6</f>
        <v>Tra_EV_Batt-LMO_virgin</v>
      </c>
      <c r="AP26" s="53" t="s">
        <v>327</v>
      </c>
      <c r="AQ26" s="68">
        <f t="shared" ref="AQ26:AQ29" si="25">AQ32/1000</f>
        <v>0.0431</v>
      </c>
      <c r="AR26" s="59">
        <v>2019</v>
      </c>
      <c r="AS26" s="56"/>
      <c r="AT26" s="58" t="s">
        <v>141</v>
      </c>
      <c r="AU26" s="61" t="str">
        <f t="shared" ref="AU26:AU29" si="26">AU6</f>
        <v>Tra_EV_Batt-LFP_virgin</v>
      </c>
      <c r="AV26" s="53" t="s">
        <v>327</v>
      </c>
      <c r="AW26" s="68">
        <f t="shared" ref="AW26:AW29" si="27">AW32/1000</f>
        <v>0.0478</v>
      </c>
      <c r="AX26" s="59">
        <v>2019</v>
      </c>
    </row>
    <row r="27" ht="16" spans="4:55">
      <c r="J27" s="58" t="s">
        <v>141</v>
      </c>
      <c r="K27" s="61" t="str">
        <f t="shared" si="14"/>
        <v>Tra_EV_Batt-NMC111_virgin</v>
      </c>
      <c r="L27" s="53" t="s">
        <v>328</v>
      </c>
      <c r="M27" s="62">
        <f t="shared" si="15"/>
        <v>0.2366</v>
      </c>
      <c r="N27" s="59">
        <v>2019</v>
      </c>
      <c r="O27" s="59"/>
      <c r="P27" s="58" t="s">
        <v>141</v>
      </c>
      <c r="Q27" s="61" t="str">
        <f t="shared" si="16"/>
        <v>Tra_EV_Batt-NMC532_virgin</v>
      </c>
      <c r="R27" s="53" t="s">
        <v>328</v>
      </c>
      <c r="S27" s="68">
        <f t="shared" si="17"/>
        <v>0.2252</v>
      </c>
      <c r="T27" s="59">
        <v>2019</v>
      </c>
      <c r="U27" s="59"/>
      <c r="V27" s="58" t="s">
        <v>141</v>
      </c>
      <c r="W27" s="61" t="str">
        <f t="shared" si="18"/>
        <v>Tra_EV_Batt-NMC622_virgin</v>
      </c>
      <c r="X27" s="53" t="s">
        <v>328</v>
      </c>
      <c r="Y27" s="68">
        <f t="shared" si="19"/>
        <v>0.2255</v>
      </c>
      <c r="Z27" s="59">
        <v>2019</v>
      </c>
      <c r="AA27" s="59"/>
      <c r="AB27" s="58" t="s">
        <v>141</v>
      </c>
      <c r="AC27" s="61" t="str">
        <f t="shared" si="20"/>
        <v>Tra_EV_Batt-NMC811_virgin</v>
      </c>
      <c r="AD27" s="53" t="s">
        <v>328</v>
      </c>
      <c r="AE27" s="68">
        <f t="shared" si="21"/>
        <v>0.2198</v>
      </c>
      <c r="AF27" s="59">
        <v>2019</v>
      </c>
      <c r="AG27" s="59"/>
      <c r="AH27" s="58" t="s">
        <v>141</v>
      </c>
      <c r="AI27" s="61" t="str">
        <f t="shared" si="22"/>
        <v>Tra_EV_Batt-NCA_virgin</v>
      </c>
      <c r="AJ27" s="53" t="s">
        <v>328</v>
      </c>
      <c r="AK27" s="68">
        <f t="shared" si="23"/>
        <v>0.2322</v>
      </c>
      <c r="AL27" s="59">
        <v>2019</v>
      </c>
      <c r="AM27" s="59"/>
      <c r="AN27" s="58" t="s">
        <v>141</v>
      </c>
      <c r="AO27" s="61" t="str">
        <f t="shared" si="24"/>
        <v>Tra_EV_Batt-LMO_virgin</v>
      </c>
      <c r="AP27" s="53" t="s">
        <v>328</v>
      </c>
      <c r="AQ27" s="68">
        <f t="shared" si="25"/>
        <v>0.1108</v>
      </c>
      <c r="AR27" s="59">
        <v>2019</v>
      </c>
      <c r="AS27" s="56"/>
      <c r="AT27" s="58" t="s">
        <v>141</v>
      </c>
      <c r="AU27" s="61" t="str">
        <f t="shared" si="26"/>
        <v>Tra_EV_Batt-LFP_virgin</v>
      </c>
      <c r="AV27" s="53" t="s">
        <v>328</v>
      </c>
      <c r="AW27" s="68">
        <f t="shared" si="27"/>
        <v>0.1895</v>
      </c>
      <c r="AX27" s="59">
        <v>2019</v>
      </c>
    </row>
    <row r="28" ht="16" spans="4:55">
      <c r="J28" s="58" t="s">
        <v>141</v>
      </c>
      <c r="K28" s="61" t="str">
        <f t="shared" si="14"/>
        <v>Tra_EV_Batt-NMC111_virgin</v>
      </c>
      <c r="L28" s="53" t="s">
        <v>329</v>
      </c>
      <c r="M28" s="62">
        <f t="shared" si="15"/>
        <v>0.5598</v>
      </c>
      <c r="N28" s="59">
        <v>2019</v>
      </c>
      <c r="O28" s="59"/>
      <c r="P28" s="58" t="s">
        <v>141</v>
      </c>
      <c r="Q28" s="61" t="str">
        <f t="shared" si="16"/>
        <v>Tra_EV_Batt-NMC532_virgin</v>
      </c>
      <c r="R28" s="53" t="s">
        <v>329</v>
      </c>
      <c r="S28" s="68">
        <f t="shared" si="17"/>
        <v>0.5321</v>
      </c>
      <c r="T28" s="59">
        <v>2019</v>
      </c>
      <c r="U28" s="59"/>
      <c r="V28" s="58" t="s">
        <v>141</v>
      </c>
      <c r="W28" s="61" t="str">
        <f t="shared" si="18"/>
        <v>Tra_EV_Batt-NMC622_virgin</v>
      </c>
      <c r="X28" s="53" t="s">
        <v>329</v>
      </c>
      <c r="Y28" s="68">
        <f t="shared" si="19"/>
        <v>0.5339</v>
      </c>
      <c r="Z28" s="59">
        <v>2019</v>
      </c>
      <c r="AA28" s="59"/>
      <c r="AB28" s="58" t="s">
        <v>141</v>
      </c>
      <c r="AC28" s="61" t="str">
        <f t="shared" si="20"/>
        <v>Tra_EV_Batt-NMC811_virgin</v>
      </c>
      <c r="AD28" s="53" t="s">
        <v>329</v>
      </c>
      <c r="AE28" s="68">
        <f t="shared" si="21"/>
        <v>0.5264</v>
      </c>
      <c r="AF28" s="59">
        <v>2019</v>
      </c>
      <c r="AG28" s="59"/>
      <c r="AH28" s="58" t="s">
        <v>141</v>
      </c>
      <c r="AI28" s="61" t="str">
        <f t="shared" si="22"/>
        <v>Tra_EV_Batt-NCA_virgin</v>
      </c>
      <c r="AJ28" s="53" t="s">
        <v>329</v>
      </c>
      <c r="AK28" s="68">
        <f t="shared" si="23"/>
        <v>0.5702</v>
      </c>
      <c r="AL28" s="59">
        <v>2019</v>
      </c>
      <c r="AM28" s="59"/>
      <c r="AN28" s="58" t="s">
        <v>141</v>
      </c>
      <c r="AO28" s="61" t="str">
        <f t="shared" si="24"/>
        <v>Tra_EV_Batt-LMO_virgin</v>
      </c>
      <c r="AP28" s="53" t="s">
        <v>329</v>
      </c>
      <c r="AQ28" s="68">
        <f t="shared" si="25"/>
        <v>0.3858</v>
      </c>
      <c r="AR28" s="59">
        <v>2019</v>
      </c>
      <c r="AS28" s="56"/>
      <c r="AT28" s="58" t="s">
        <v>141</v>
      </c>
      <c r="AU28" s="61" t="str">
        <f t="shared" si="26"/>
        <v>Tra_EV_Batt-LFP_virgin</v>
      </c>
      <c r="AV28" s="53" t="s">
        <v>329</v>
      </c>
      <c r="AW28" s="68">
        <f t="shared" si="27"/>
        <v>0.453</v>
      </c>
      <c r="AX28" s="59">
        <v>2019</v>
      </c>
    </row>
    <row r="29" ht="16" spans="4:55">
      <c r="J29" s="58" t="s">
        <v>141</v>
      </c>
      <c r="K29" s="61" t="str">
        <f t="shared" si="14"/>
        <v>Tra_EV_Batt-NMC111_virgin</v>
      </c>
      <c r="L29" s="53" t="s">
        <v>330</v>
      </c>
      <c r="M29" s="62">
        <f t="shared" si="15"/>
        <v>0.1277</v>
      </c>
      <c r="N29" s="59">
        <v>2019</v>
      </c>
      <c r="O29" s="59"/>
      <c r="P29" s="58" t="s">
        <v>141</v>
      </c>
      <c r="Q29" s="61" t="str">
        <f t="shared" si="16"/>
        <v>Tra_EV_Batt-NMC532_virgin</v>
      </c>
      <c r="R29" s="53" t="s">
        <v>330</v>
      </c>
      <c r="S29" s="68">
        <f t="shared" si="17"/>
        <v>0.134</v>
      </c>
      <c r="T29" s="59">
        <v>2019</v>
      </c>
      <c r="U29" s="59"/>
      <c r="V29" s="58" t="s">
        <v>141</v>
      </c>
      <c r="W29" s="61" t="str">
        <f t="shared" si="18"/>
        <v>Tra_EV_Batt-NMC622_virgin</v>
      </c>
      <c r="X29" s="53" t="s">
        <v>330</v>
      </c>
      <c r="Y29" s="68">
        <f t="shared" si="19"/>
        <v>0.1406</v>
      </c>
      <c r="Z29" s="59">
        <v>2019</v>
      </c>
      <c r="AA29" s="59"/>
      <c r="AB29" s="58" t="s">
        <v>141</v>
      </c>
      <c r="AC29" s="61" t="str">
        <f t="shared" si="20"/>
        <v>Tra_EV_Batt-NMC811_virgin</v>
      </c>
      <c r="AD29" s="53" t="s">
        <v>330</v>
      </c>
      <c r="AE29" s="68">
        <f t="shared" si="21"/>
        <v>0.1502</v>
      </c>
      <c r="AF29" s="59">
        <v>2019</v>
      </c>
      <c r="AG29" s="59"/>
      <c r="AH29" s="58" t="s">
        <v>141</v>
      </c>
      <c r="AI29" s="61" t="str">
        <f t="shared" si="22"/>
        <v>Tra_EV_Batt-NCA_virgin</v>
      </c>
      <c r="AJ29" s="53" t="s">
        <v>330</v>
      </c>
      <c r="AK29" s="68">
        <f t="shared" si="23"/>
        <v>0.1611</v>
      </c>
      <c r="AL29" s="59">
        <v>2019</v>
      </c>
      <c r="AM29" s="59"/>
      <c r="AN29" s="58" t="s">
        <v>141</v>
      </c>
      <c r="AO29" s="61" t="str">
        <f t="shared" si="24"/>
        <v>Tra_EV_Batt-LMO_virgin</v>
      </c>
      <c r="AP29" s="53" t="s">
        <v>330</v>
      </c>
      <c r="AQ29" s="68">
        <f t="shared" si="25"/>
        <v>0.0572</v>
      </c>
      <c r="AR29" s="59">
        <v>2019</v>
      </c>
      <c r="AS29" s="56"/>
      <c r="AT29" s="58" t="s">
        <v>141</v>
      </c>
      <c r="AU29" s="61" t="str">
        <f t="shared" si="26"/>
        <v>Tra_EV_Batt-LFP_virgin</v>
      </c>
      <c r="AV29" s="53" t="s">
        <v>330</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331</v>
      </c>
      <c r="R42" s="1"/>
      <c r="S42" s="1"/>
      <c r="T42" s="1"/>
      <c r="U42" s="1"/>
      <c r="V42" s="1"/>
      <c r="W42" s="1"/>
      <c r="X42" s="1"/>
      <c r="Y42" s="1"/>
      <c r="Z42" s="1"/>
    </row>
    <row r="43" ht="15.5" spans="17:49">
      <c r="Q43" s="69" t="s">
        <v>332</v>
      </c>
      <c r="R43" s="69" t="s">
        <v>333</v>
      </c>
      <c r="S43" s="70" t="s">
        <v>334</v>
      </c>
      <c r="T43" s="70"/>
      <c r="U43" s="70"/>
      <c r="V43" s="70"/>
      <c r="W43" s="70"/>
      <c r="X43" s="70"/>
      <c r="Y43" s="70"/>
      <c r="Z43" s="70"/>
    </row>
    <row r="44" ht="15.5" spans="17:49">
      <c r="Q44" s="69"/>
      <c r="R44" s="69"/>
      <c r="S44" s="70" t="s">
        <v>335</v>
      </c>
      <c r="T44" s="70" t="s">
        <v>336</v>
      </c>
      <c r="U44" s="70" t="s">
        <v>337</v>
      </c>
      <c r="V44" s="70" t="s">
        <v>338</v>
      </c>
      <c r="W44" s="70" t="s">
        <v>339</v>
      </c>
      <c r="X44" s="70" t="s">
        <v>340</v>
      </c>
      <c r="Y44" s="70" t="s">
        <v>341</v>
      </c>
      <c r="Z44" s="70" t="s">
        <v>342</v>
      </c>
    </row>
    <row r="45" ht="15.5" spans="17:49">
      <c r="Q45" s="69" t="s">
        <v>343</v>
      </c>
      <c r="R45" s="71" t="s">
        <v>344</v>
      </c>
      <c r="S45" s="72">
        <v>1211.3</v>
      </c>
      <c r="T45" s="72">
        <v>990.7</v>
      </c>
      <c r="U45" s="72">
        <v>952.4</v>
      </c>
      <c r="V45" s="72">
        <v>961</v>
      </c>
      <c r="W45" s="72">
        <v>958.7</v>
      </c>
      <c r="X45" s="72">
        <v>1030.2</v>
      </c>
      <c r="Y45" s="72">
        <v>586.1</v>
      </c>
      <c r="Z45" s="72">
        <v>775</v>
      </c>
    </row>
    <row r="46" ht="15.5" spans="17:49">
      <c r="Q46" s="69"/>
      <c r="R46" s="71" t="s">
        <v>345</v>
      </c>
      <c r="S46" s="72">
        <v>1103.7</v>
      </c>
      <c r="T46" s="72">
        <v>913.9</v>
      </c>
      <c r="U46" s="72">
        <v>881.1</v>
      </c>
      <c r="V46" s="72">
        <v>889.8</v>
      </c>
      <c r="W46" s="72">
        <v>886.2</v>
      </c>
      <c r="X46" s="72">
        <v>953.2</v>
      </c>
      <c r="Y46" s="72">
        <v>543.7</v>
      </c>
      <c r="Z46" s="72">
        <v>727.8</v>
      </c>
    </row>
    <row r="47" ht="15.5" spans="17:49">
      <c r="Q47" s="69"/>
      <c r="R47" s="71" t="s">
        <v>346</v>
      </c>
      <c r="S47" s="72">
        <v>267.3</v>
      </c>
      <c r="T47" s="72">
        <v>202.6</v>
      </c>
      <c r="U47" s="72">
        <v>191.3</v>
      </c>
      <c r="V47" s="72">
        <v>191.5</v>
      </c>
      <c r="W47" s="72">
        <v>185.9</v>
      </c>
      <c r="X47" s="72">
        <v>198.2</v>
      </c>
      <c r="Y47" s="72">
        <v>76.8</v>
      </c>
      <c r="Z47" s="72">
        <v>155.5</v>
      </c>
    </row>
    <row r="48" ht="15.5" spans="17:49">
      <c r="Q48" s="69"/>
      <c r="R48" s="71" t="s">
        <v>347</v>
      </c>
      <c r="S48" s="72">
        <v>692.5</v>
      </c>
      <c r="T48" s="72">
        <v>583.8</v>
      </c>
      <c r="U48" s="72">
        <v>556.1</v>
      </c>
      <c r="V48" s="72">
        <v>557.9</v>
      </c>
      <c r="W48" s="72">
        <v>550.5</v>
      </c>
      <c r="X48" s="72">
        <v>594.2</v>
      </c>
      <c r="Y48" s="72">
        <v>409.9</v>
      </c>
      <c r="Z48" s="72">
        <v>477</v>
      </c>
    </row>
    <row r="49" ht="15.5" spans="17:26">
      <c r="Q49" s="69"/>
      <c r="R49" s="71" t="s">
        <v>348</v>
      </c>
      <c r="S49" s="72">
        <v>144</v>
      </c>
      <c r="T49" s="72">
        <v>127.5</v>
      </c>
      <c r="U49" s="72">
        <v>133.7</v>
      </c>
      <c r="V49" s="72">
        <v>140.3</v>
      </c>
      <c r="W49" s="72">
        <v>149.9</v>
      </c>
      <c r="X49" s="72">
        <v>160.8</v>
      </c>
      <c r="Y49" s="72">
        <v>57</v>
      </c>
      <c r="Z49" s="72">
        <v>95.2</v>
      </c>
    </row>
    <row r="50" ht="15.5" spans="17:26">
      <c r="Q50" s="69" t="s">
        <v>241</v>
      </c>
      <c r="R50" s="71" t="s">
        <v>344</v>
      </c>
      <c r="S50" s="72">
        <v>1217.1</v>
      </c>
      <c r="T50" s="72">
        <v>996.4</v>
      </c>
      <c r="U50" s="72">
        <v>958.2</v>
      </c>
      <c r="V50" s="72">
        <v>966.8</v>
      </c>
      <c r="W50" s="72">
        <v>964.4</v>
      </c>
      <c r="X50" s="72">
        <v>1036</v>
      </c>
      <c r="Y50" s="72">
        <v>591.9</v>
      </c>
      <c r="Z50" s="72">
        <v>780.8</v>
      </c>
    </row>
    <row r="51" ht="15.5" spans="17:26">
      <c r="Q51" s="69"/>
      <c r="R51" s="71" t="s">
        <v>345</v>
      </c>
      <c r="S51" s="72">
        <v>1109.8</v>
      </c>
      <c r="T51" s="72">
        <v>920</v>
      </c>
      <c r="U51" s="72">
        <v>887.2</v>
      </c>
      <c r="V51" s="72">
        <v>895.9</v>
      </c>
      <c r="W51" s="72">
        <v>892.3</v>
      </c>
      <c r="X51" s="72">
        <v>959.3</v>
      </c>
      <c r="Y51" s="72">
        <v>549.8</v>
      </c>
      <c r="Z51" s="72">
        <v>733.9</v>
      </c>
    </row>
    <row r="52" ht="15.5" spans="17:26">
      <c r="Q52" s="69"/>
      <c r="R52" s="71" t="s">
        <v>346</v>
      </c>
      <c r="S52" s="72">
        <v>280.2</v>
      </c>
      <c r="T52" s="72">
        <v>215.6</v>
      </c>
      <c r="U52" s="72">
        <v>204.2</v>
      </c>
      <c r="V52" s="72">
        <v>204.5</v>
      </c>
      <c r="W52" s="72">
        <v>198.8</v>
      </c>
      <c r="X52" s="72">
        <v>211.1</v>
      </c>
      <c r="Y52" s="72">
        <v>89.8</v>
      </c>
      <c r="Z52" s="72">
        <v>168.5</v>
      </c>
    </row>
    <row r="53" ht="15.5" spans="17:26">
      <c r="Q53" s="69"/>
      <c r="R53" s="71" t="s">
        <v>347</v>
      </c>
      <c r="S53" s="72">
        <v>684.6</v>
      </c>
      <c r="T53" s="72">
        <v>575.9</v>
      </c>
      <c r="U53" s="72">
        <v>548.2</v>
      </c>
      <c r="V53" s="72">
        <v>550</v>
      </c>
      <c r="W53" s="72">
        <v>542.6</v>
      </c>
      <c r="X53" s="72">
        <v>586.3</v>
      </c>
      <c r="Y53" s="72">
        <v>402</v>
      </c>
      <c r="Z53" s="72">
        <v>469.1</v>
      </c>
    </row>
    <row r="54" ht="15.5" spans="17:26">
      <c r="Q54" s="69"/>
      <c r="R54" s="71" t="s">
        <v>348</v>
      </c>
      <c r="S54" s="72">
        <v>145</v>
      </c>
      <c r="T54" s="72">
        <v>128.5</v>
      </c>
      <c r="U54" s="72">
        <v>134.7</v>
      </c>
      <c r="V54" s="72">
        <v>141.3</v>
      </c>
      <c r="W54" s="72">
        <v>150.9</v>
      </c>
      <c r="X54" s="72">
        <v>161.9</v>
      </c>
      <c r="Y54" s="72">
        <v>58</v>
      </c>
      <c r="Z54" s="72">
        <v>96.3</v>
      </c>
    </row>
    <row r="55" ht="15.5" spans="17:26">
      <c r="Q55" s="69" t="s">
        <v>11</v>
      </c>
      <c r="R55" s="71" t="s">
        <v>344</v>
      </c>
      <c r="S55" s="72">
        <v>1222.2</v>
      </c>
      <c r="T55" s="72">
        <v>1001.5</v>
      </c>
      <c r="U55" s="72">
        <v>963.3</v>
      </c>
      <c r="V55" s="72">
        <v>971.9</v>
      </c>
      <c r="W55" s="72">
        <v>969.5</v>
      </c>
      <c r="X55" s="72">
        <v>1041.1</v>
      </c>
      <c r="Y55" s="72">
        <v>597</v>
      </c>
      <c r="Z55" s="72">
        <v>785.8</v>
      </c>
    </row>
    <row r="56" ht="15.5" spans="17:26">
      <c r="Q56" s="69"/>
      <c r="R56" s="71" t="s">
        <v>345</v>
      </c>
      <c r="S56" s="72">
        <v>1113.9</v>
      </c>
      <c r="T56" s="72">
        <v>924.1</v>
      </c>
      <c r="U56" s="72">
        <v>891.3</v>
      </c>
      <c r="V56" s="72">
        <v>900</v>
      </c>
      <c r="W56" s="72">
        <v>896.4</v>
      </c>
      <c r="X56" s="72">
        <v>963.4</v>
      </c>
      <c r="Y56" s="72">
        <v>553.9</v>
      </c>
      <c r="Z56" s="72">
        <v>738</v>
      </c>
    </row>
    <row r="57" ht="15.5" spans="17:26">
      <c r="Q57" s="69"/>
      <c r="R57" s="71" t="s">
        <v>346</v>
      </c>
      <c r="S57" s="72">
        <v>301.2</v>
      </c>
      <c r="T57" s="72">
        <v>236.6</v>
      </c>
      <c r="U57" s="72">
        <v>225.2</v>
      </c>
      <c r="V57" s="72">
        <v>225.5</v>
      </c>
      <c r="W57" s="72">
        <v>219.8</v>
      </c>
      <c r="X57" s="72">
        <v>232.2</v>
      </c>
      <c r="Y57" s="72">
        <v>110.8</v>
      </c>
      <c r="Z57" s="72">
        <v>189.5</v>
      </c>
    </row>
    <row r="58" ht="15.5" spans="17:26">
      <c r="Q58" s="69"/>
      <c r="R58" s="71" t="s">
        <v>347</v>
      </c>
      <c r="S58" s="72">
        <v>668.4</v>
      </c>
      <c r="T58" s="72">
        <v>559.8</v>
      </c>
      <c r="U58" s="72">
        <v>532.1</v>
      </c>
      <c r="V58" s="72">
        <v>533.9</v>
      </c>
      <c r="W58" s="72">
        <v>526.4</v>
      </c>
      <c r="X58" s="72">
        <v>570.2</v>
      </c>
      <c r="Y58" s="72">
        <v>385.8</v>
      </c>
      <c r="Z58" s="72">
        <v>453</v>
      </c>
    </row>
    <row r="59" ht="15.5" spans="17:26">
      <c r="Q59" s="69"/>
      <c r="R59" s="71" t="s">
        <v>348</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349</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335</v>
      </c>
      <c r="T64" s="70" t="s">
        <v>336</v>
      </c>
      <c r="U64" s="70" t="s">
        <v>337</v>
      </c>
      <c r="V64" s="70" t="s">
        <v>338</v>
      </c>
      <c r="W64" s="70" t="s">
        <v>339</v>
      </c>
      <c r="X64" s="70" t="s">
        <v>340</v>
      </c>
      <c r="Y64" s="70" t="s">
        <v>341</v>
      </c>
      <c r="Z64" s="70" t="s">
        <v>342</v>
      </c>
    </row>
    <row r="65" ht="14.5" spans="17:26">
      <c r="Q65" s="73" t="s">
        <v>343</v>
      </c>
      <c r="R65" s="73" t="s">
        <v>122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346</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347</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348</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241</v>
      </c>
      <c r="R69" s="73" t="s">
        <v>122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346</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347</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348</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122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346</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347</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348</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350</v>
      </c>
      <c r="R79" s="73" t="s">
        <v>122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346</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347</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348</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326</v>
      </c>
      <c r="S94" s="4" t="s">
        <v>326</v>
      </c>
      <c r="Y94" s="4" t="s">
        <v>326</v>
      </c>
      <c r="AE94" s="4" t="s">
        <v>326</v>
      </c>
      <c r="AK94" s="4" t="s">
        <v>326</v>
      </c>
      <c r="AQ94" s="4" t="s">
        <v>326</v>
      </c>
      <c r="AW94" s="4" t="s">
        <v>326</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327</v>
      </c>
      <c r="N96" s="4">
        <f>SUM(M6:M9)</f>
        <v>0.9907</v>
      </c>
      <c r="O96" s="4" t="s">
        <v>351</v>
      </c>
      <c r="Q96" s="4" t="s">
        <v>141</v>
      </c>
      <c r="R96" s="4" t="s">
        <v>86</v>
      </c>
      <c r="S96" s="4" t="s">
        <v>327</v>
      </c>
      <c r="T96" s="4">
        <f>SUM(S6:S9)</f>
        <v>0.9524</v>
      </c>
      <c r="U96" s="4" t="s">
        <v>351</v>
      </c>
      <c r="W96" s="4" t="s">
        <v>141</v>
      </c>
      <c r="X96" s="4" t="s">
        <v>90</v>
      </c>
      <c r="Y96" s="4" t="s">
        <v>327</v>
      </c>
      <c r="Z96" s="4">
        <f>SUM(Y6:Y9)</f>
        <v>0.9609</v>
      </c>
      <c r="AA96" s="4" t="s">
        <v>351</v>
      </c>
      <c r="AC96" s="4" t="s">
        <v>141</v>
      </c>
      <c r="AD96" s="4" t="s">
        <v>94</v>
      </c>
      <c r="AE96" s="4" t="s">
        <v>327</v>
      </c>
      <c r="AF96" s="4">
        <f>SUM(AE6:AE9)</f>
        <v>0.9588</v>
      </c>
      <c r="AG96" s="4" t="s">
        <v>351</v>
      </c>
      <c r="AI96" s="4" t="s">
        <v>141</v>
      </c>
      <c r="AJ96" s="4" t="s">
        <v>77</v>
      </c>
      <c r="AK96" s="4" t="s">
        <v>327</v>
      </c>
      <c r="AL96" s="4">
        <f>SUM(AK6:AK9)</f>
        <v>1.0302</v>
      </c>
      <c r="AM96" s="4" t="s">
        <v>351</v>
      </c>
      <c r="AO96" s="4" t="s">
        <v>141</v>
      </c>
      <c r="AP96" s="4" t="s">
        <v>73</v>
      </c>
      <c r="AQ96" s="4" t="s">
        <v>327</v>
      </c>
      <c r="AR96" s="4">
        <f>SUM(AQ6:AQ9)</f>
        <v>0.5861</v>
      </c>
      <c r="AS96" s="4" t="s">
        <v>351</v>
      </c>
      <c r="AU96" s="4" t="s">
        <v>141</v>
      </c>
      <c r="AV96" s="4" t="s">
        <v>68</v>
      </c>
      <c r="AW96" s="4" t="s">
        <v>327</v>
      </c>
      <c r="AX96" s="4">
        <f>SUM(AW6:AW9)</f>
        <v>0.7749</v>
      </c>
      <c r="AY96" s="4" t="s">
        <v>351</v>
      </c>
    </row>
    <row r="97" spans="11:51">
      <c r="K97" s="4" t="s">
        <v>141</v>
      </c>
      <c r="L97" s="4" t="s">
        <v>81</v>
      </c>
      <c r="M97" s="4" t="s">
        <v>328</v>
      </c>
      <c r="N97" s="4">
        <v>0</v>
      </c>
      <c r="O97" s="4" t="s">
        <v>351</v>
      </c>
      <c r="Q97" s="4" t="s">
        <v>141</v>
      </c>
      <c r="R97" s="4" t="s">
        <v>86</v>
      </c>
      <c r="S97" s="4" t="s">
        <v>328</v>
      </c>
      <c r="T97" s="4">
        <v>0</v>
      </c>
      <c r="U97" s="4" t="s">
        <v>351</v>
      </c>
      <c r="W97" s="4" t="s">
        <v>141</v>
      </c>
      <c r="X97" s="4" t="s">
        <v>90</v>
      </c>
      <c r="Y97" s="4" t="s">
        <v>328</v>
      </c>
      <c r="Z97" s="4">
        <v>0</v>
      </c>
      <c r="AA97" s="4" t="s">
        <v>351</v>
      </c>
      <c r="AC97" s="4" t="s">
        <v>141</v>
      </c>
      <c r="AD97" s="4" t="s">
        <v>94</v>
      </c>
      <c r="AE97" s="4" t="s">
        <v>328</v>
      </c>
      <c r="AF97" s="4">
        <v>0</v>
      </c>
      <c r="AG97" s="4" t="s">
        <v>351</v>
      </c>
      <c r="AI97" s="4" t="s">
        <v>141</v>
      </c>
      <c r="AJ97" s="4" t="s">
        <v>77</v>
      </c>
      <c r="AK97" s="4" t="s">
        <v>328</v>
      </c>
      <c r="AL97" s="4">
        <v>0</v>
      </c>
      <c r="AM97" s="4" t="s">
        <v>351</v>
      </c>
      <c r="AO97" s="4" t="s">
        <v>141</v>
      </c>
      <c r="AP97" s="4" t="s">
        <v>73</v>
      </c>
      <c r="AQ97" s="4" t="s">
        <v>328</v>
      </c>
      <c r="AR97" s="4">
        <v>0</v>
      </c>
      <c r="AS97" s="4" t="s">
        <v>351</v>
      </c>
      <c r="AU97" s="4" t="s">
        <v>141</v>
      </c>
      <c r="AV97" s="4" t="s">
        <v>68</v>
      </c>
      <c r="AW97" s="4" t="s">
        <v>328</v>
      </c>
      <c r="AX97" s="4">
        <v>0</v>
      </c>
      <c r="AY97" s="4" t="s">
        <v>351</v>
      </c>
    </row>
    <row r="98" spans="11:51">
      <c r="K98" s="4" t="s">
        <v>141</v>
      </c>
      <c r="L98" s="4" t="s">
        <v>81</v>
      </c>
      <c r="M98" s="4" t="s">
        <v>329</v>
      </c>
      <c r="N98" s="4">
        <v>0</v>
      </c>
      <c r="O98" s="4" t="s">
        <v>351</v>
      </c>
      <c r="Q98" s="4" t="s">
        <v>141</v>
      </c>
      <c r="R98" s="4" t="s">
        <v>86</v>
      </c>
      <c r="S98" s="4" t="s">
        <v>329</v>
      </c>
      <c r="T98" s="4">
        <v>0</v>
      </c>
      <c r="U98" s="4" t="s">
        <v>351</v>
      </c>
      <c r="W98" s="4" t="s">
        <v>141</v>
      </c>
      <c r="X98" s="4" t="s">
        <v>90</v>
      </c>
      <c r="Y98" s="4" t="s">
        <v>329</v>
      </c>
      <c r="Z98" s="4">
        <v>0</v>
      </c>
      <c r="AA98" s="4" t="s">
        <v>351</v>
      </c>
      <c r="AC98" s="4" t="s">
        <v>141</v>
      </c>
      <c r="AD98" s="4" t="s">
        <v>94</v>
      </c>
      <c r="AE98" s="4" t="s">
        <v>329</v>
      </c>
      <c r="AF98" s="4">
        <v>0</v>
      </c>
      <c r="AG98" s="4" t="s">
        <v>351</v>
      </c>
      <c r="AI98" s="4" t="s">
        <v>141</v>
      </c>
      <c r="AJ98" s="4" t="s">
        <v>77</v>
      </c>
      <c r="AK98" s="4" t="s">
        <v>329</v>
      </c>
      <c r="AL98" s="4">
        <v>0</v>
      </c>
      <c r="AM98" s="4" t="s">
        <v>351</v>
      </c>
      <c r="AO98" s="4" t="s">
        <v>141</v>
      </c>
      <c r="AP98" s="4" t="s">
        <v>73</v>
      </c>
      <c r="AQ98" s="4" t="s">
        <v>329</v>
      </c>
      <c r="AR98" s="4">
        <v>0</v>
      </c>
      <c r="AS98" s="4" t="s">
        <v>351</v>
      </c>
      <c r="AU98" s="4" t="s">
        <v>141</v>
      </c>
      <c r="AV98" s="4" t="s">
        <v>68</v>
      </c>
      <c r="AW98" s="4" t="s">
        <v>329</v>
      </c>
      <c r="AX98" s="4">
        <v>0</v>
      </c>
      <c r="AY98" s="4" t="s">
        <v>351</v>
      </c>
    </row>
    <row r="99" spans="11:51">
      <c r="K99" s="4" t="s">
        <v>141</v>
      </c>
      <c r="L99" s="4" t="s">
        <v>81</v>
      </c>
      <c r="M99" s="4" t="s">
        <v>330</v>
      </c>
      <c r="N99" s="4">
        <v>0</v>
      </c>
      <c r="O99" s="4" t="s">
        <v>351</v>
      </c>
      <c r="Q99" s="4" t="s">
        <v>141</v>
      </c>
      <c r="R99" s="4" t="s">
        <v>86</v>
      </c>
      <c r="S99" s="4" t="s">
        <v>330</v>
      </c>
      <c r="T99" s="4">
        <v>0</v>
      </c>
      <c r="U99" s="4" t="s">
        <v>351</v>
      </c>
      <c r="W99" s="4" t="s">
        <v>141</v>
      </c>
      <c r="X99" s="4" t="s">
        <v>90</v>
      </c>
      <c r="Y99" s="4" t="s">
        <v>330</v>
      </c>
      <c r="Z99" s="4">
        <v>0</v>
      </c>
      <c r="AA99" s="4" t="s">
        <v>351</v>
      </c>
      <c r="AC99" s="4" t="s">
        <v>141</v>
      </c>
      <c r="AD99" s="4" t="s">
        <v>94</v>
      </c>
      <c r="AE99" s="4" t="s">
        <v>330</v>
      </c>
      <c r="AF99" s="4">
        <v>0</v>
      </c>
      <c r="AG99" s="4" t="s">
        <v>351</v>
      </c>
      <c r="AI99" s="4" t="s">
        <v>141</v>
      </c>
      <c r="AJ99" s="4" t="s">
        <v>77</v>
      </c>
      <c r="AK99" s="4" t="s">
        <v>330</v>
      </c>
      <c r="AL99" s="4">
        <v>0</v>
      </c>
      <c r="AM99" s="4" t="s">
        <v>351</v>
      </c>
      <c r="AO99" s="4" t="s">
        <v>141</v>
      </c>
      <c r="AP99" s="4" t="s">
        <v>73</v>
      </c>
      <c r="AQ99" s="4" t="s">
        <v>330</v>
      </c>
      <c r="AR99" s="4">
        <v>0</v>
      </c>
      <c r="AS99" s="4" t="s">
        <v>351</v>
      </c>
      <c r="AU99" s="4" t="s">
        <v>141</v>
      </c>
      <c r="AV99" s="4" t="s">
        <v>68</v>
      </c>
      <c r="AW99" s="4" t="s">
        <v>330</v>
      </c>
      <c r="AX99" s="4">
        <v>0</v>
      </c>
      <c r="AY99" s="4" t="s">
        <v>351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326</v>
      </c>
      <c r="S114" s="4" t="s">
        <v>326</v>
      </c>
      <c r="Y114" s="4" t="s">
        <v>326</v>
      </c>
      <c r="AE114" s="4" t="s">
        <v>326</v>
      </c>
      <c r="AK114" s="4" t="s">
        <v>326</v>
      </c>
      <c r="AQ114" s="4" t="s">
        <v>326</v>
      </c>
      <c r="AW114" s="4" t="s">
        <v>326</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327</v>
      </c>
      <c r="N116" s="4">
        <f>SUM(M26:M29)</f>
        <v>1.0015</v>
      </c>
      <c r="O116" s="4" t="s">
        <v>351</v>
      </c>
      <c r="Q116" s="4" t="s">
        <v>141</v>
      </c>
      <c r="R116" s="4" t="s">
        <v>86</v>
      </c>
      <c r="S116" s="4" t="s">
        <v>327</v>
      </c>
      <c r="T116" s="4">
        <f>SUM(S26:S29)</f>
        <v>0.9633</v>
      </c>
      <c r="U116" s="4" t="s">
        <v>351</v>
      </c>
      <c r="W116" s="4" t="s">
        <v>141</v>
      </c>
      <c r="X116" s="4" t="s">
        <v>90</v>
      </c>
      <c r="Y116" s="4" t="s">
        <v>327</v>
      </c>
      <c r="Z116" s="4">
        <f>SUM(Y26:Y29)</f>
        <v>0.9719</v>
      </c>
      <c r="AA116" s="4" t="s">
        <v>351</v>
      </c>
      <c r="AC116" s="4" t="s">
        <v>141</v>
      </c>
      <c r="AD116" s="4" t="s">
        <v>94</v>
      </c>
      <c r="AE116" s="4" t="s">
        <v>327</v>
      </c>
      <c r="AF116" s="4">
        <f>SUM(AE26:AE29)</f>
        <v>0.9695</v>
      </c>
      <c r="AG116" s="4" t="s">
        <v>351</v>
      </c>
      <c r="AI116" s="4" t="s">
        <v>141</v>
      </c>
      <c r="AJ116" s="4" t="s">
        <v>77</v>
      </c>
      <c r="AK116" s="4" t="s">
        <v>327</v>
      </c>
      <c r="AL116" s="4">
        <f>SUM(AK26:AK29)</f>
        <v>1.0412</v>
      </c>
      <c r="AM116" s="4" t="s">
        <v>351</v>
      </c>
      <c r="AO116" s="4" t="s">
        <v>141</v>
      </c>
      <c r="AP116" s="4" t="s">
        <v>73</v>
      </c>
      <c r="AQ116" s="4" t="s">
        <v>327</v>
      </c>
      <c r="AR116" s="4">
        <f>SUM(AQ26:AQ29)</f>
        <v>0.5969</v>
      </c>
      <c r="AS116" s="4" t="s">
        <v>351</v>
      </c>
      <c r="AU116" s="4" t="s">
        <v>141</v>
      </c>
      <c r="AV116" s="4" t="s">
        <v>68</v>
      </c>
      <c r="AW116" s="4" t="s">
        <v>327</v>
      </c>
      <c r="AX116" s="4">
        <f>SUM(AW26:AW29)</f>
        <v>0.7858</v>
      </c>
      <c r="AY116" s="4" t="s">
        <v>351</v>
      </c>
    </row>
    <row r="117" spans="11:51">
      <c r="K117" s="4" t="s">
        <v>141</v>
      </c>
      <c r="L117" s="4" t="s">
        <v>81</v>
      </c>
      <c r="M117" s="4" t="s">
        <v>328</v>
      </c>
      <c r="N117" s="4">
        <v>0</v>
      </c>
      <c r="O117" s="4" t="s">
        <v>351</v>
      </c>
      <c r="Q117" s="4" t="s">
        <v>141</v>
      </c>
      <c r="R117" s="4" t="s">
        <v>86</v>
      </c>
      <c r="S117" s="4" t="s">
        <v>328</v>
      </c>
      <c r="T117" s="4">
        <v>0</v>
      </c>
      <c r="U117" s="4" t="s">
        <v>351</v>
      </c>
      <c r="W117" s="4" t="s">
        <v>141</v>
      </c>
      <c r="X117" s="4" t="s">
        <v>90</v>
      </c>
      <c r="Y117" s="4" t="s">
        <v>328</v>
      </c>
      <c r="Z117" s="4">
        <v>0</v>
      </c>
      <c r="AA117" s="4" t="s">
        <v>351</v>
      </c>
      <c r="AC117" s="4" t="s">
        <v>141</v>
      </c>
      <c r="AD117" s="4" t="s">
        <v>94</v>
      </c>
      <c r="AE117" s="4" t="s">
        <v>328</v>
      </c>
      <c r="AF117" s="4">
        <v>0</v>
      </c>
      <c r="AG117" s="4" t="s">
        <v>351</v>
      </c>
      <c r="AI117" s="4" t="s">
        <v>141</v>
      </c>
      <c r="AJ117" s="4" t="s">
        <v>77</v>
      </c>
      <c r="AK117" s="4" t="s">
        <v>328</v>
      </c>
      <c r="AL117" s="4">
        <v>0</v>
      </c>
      <c r="AM117" s="4" t="s">
        <v>351</v>
      </c>
      <c r="AO117" s="4" t="s">
        <v>141</v>
      </c>
      <c r="AP117" s="4" t="s">
        <v>73</v>
      </c>
      <c r="AQ117" s="4" t="s">
        <v>328</v>
      </c>
      <c r="AR117" s="4">
        <v>0</v>
      </c>
      <c r="AS117" s="4" t="s">
        <v>351</v>
      </c>
      <c r="AU117" s="4" t="s">
        <v>141</v>
      </c>
      <c r="AV117" s="4" t="s">
        <v>68</v>
      </c>
      <c r="AW117" s="4" t="s">
        <v>328</v>
      </c>
      <c r="AX117" s="4">
        <v>0</v>
      </c>
      <c r="AY117" s="4" t="s">
        <v>351</v>
      </c>
    </row>
    <row r="118" spans="11:51">
      <c r="K118" s="4" t="s">
        <v>141</v>
      </c>
      <c r="L118" s="4" t="s">
        <v>81</v>
      </c>
      <c r="M118" s="4" t="s">
        <v>329</v>
      </c>
      <c r="N118" s="4">
        <v>0</v>
      </c>
      <c r="O118" s="4" t="s">
        <v>351</v>
      </c>
      <c r="Q118" s="4" t="s">
        <v>141</v>
      </c>
      <c r="R118" s="4" t="s">
        <v>86</v>
      </c>
      <c r="S118" s="4" t="s">
        <v>329</v>
      </c>
      <c r="T118" s="4">
        <v>0</v>
      </c>
      <c r="U118" s="4" t="s">
        <v>351</v>
      </c>
      <c r="W118" s="4" t="s">
        <v>141</v>
      </c>
      <c r="X118" s="4" t="s">
        <v>90</v>
      </c>
      <c r="Y118" s="4" t="s">
        <v>329</v>
      </c>
      <c r="Z118" s="4">
        <v>0</v>
      </c>
      <c r="AA118" s="4" t="s">
        <v>351</v>
      </c>
      <c r="AC118" s="4" t="s">
        <v>141</v>
      </c>
      <c r="AD118" s="4" t="s">
        <v>94</v>
      </c>
      <c r="AE118" s="4" t="s">
        <v>329</v>
      </c>
      <c r="AF118" s="4">
        <v>0</v>
      </c>
      <c r="AG118" s="4" t="s">
        <v>351</v>
      </c>
      <c r="AI118" s="4" t="s">
        <v>141</v>
      </c>
      <c r="AJ118" s="4" t="s">
        <v>77</v>
      </c>
      <c r="AK118" s="4" t="s">
        <v>329</v>
      </c>
      <c r="AL118" s="4">
        <v>0</v>
      </c>
      <c r="AM118" s="4" t="s">
        <v>351</v>
      </c>
      <c r="AO118" s="4" t="s">
        <v>141</v>
      </c>
      <c r="AP118" s="4" t="s">
        <v>73</v>
      </c>
      <c r="AQ118" s="4" t="s">
        <v>329</v>
      </c>
      <c r="AR118" s="4">
        <v>0</v>
      </c>
      <c r="AS118" s="4" t="s">
        <v>351</v>
      </c>
      <c r="AU118" s="4" t="s">
        <v>141</v>
      </c>
      <c r="AV118" s="4" t="s">
        <v>68</v>
      </c>
      <c r="AW118" s="4" t="s">
        <v>329</v>
      </c>
      <c r="AX118" s="4">
        <v>0</v>
      </c>
      <c r="AY118" s="4" t="s">
        <v>351</v>
      </c>
    </row>
    <row r="119" spans="11:51">
      <c r="K119" s="4" t="s">
        <v>141</v>
      </c>
      <c r="L119" s="4" t="s">
        <v>81</v>
      </c>
      <c r="M119" s="4" t="s">
        <v>330</v>
      </c>
      <c r="N119" s="4">
        <v>0</v>
      </c>
      <c r="O119" s="4" t="s">
        <v>351</v>
      </c>
      <c r="Q119" s="4" t="s">
        <v>141</v>
      </c>
      <c r="R119" s="4" t="s">
        <v>86</v>
      </c>
      <c r="S119" s="4" t="s">
        <v>330</v>
      </c>
      <c r="T119" s="4">
        <v>0</v>
      </c>
      <c r="U119" s="4" t="s">
        <v>351</v>
      </c>
      <c r="W119" s="4" t="s">
        <v>141</v>
      </c>
      <c r="X119" s="4" t="s">
        <v>90</v>
      </c>
      <c r="Y119" s="4" t="s">
        <v>330</v>
      </c>
      <c r="Z119" s="4">
        <v>0</v>
      </c>
      <c r="AA119" s="4" t="s">
        <v>351</v>
      </c>
      <c r="AC119" s="4" t="s">
        <v>141</v>
      </c>
      <c r="AD119" s="4" t="s">
        <v>94</v>
      </c>
      <c r="AE119" s="4" t="s">
        <v>330</v>
      </c>
      <c r="AF119" s="4">
        <v>0</v>
      </c>
      <c r="AG119" s="4" t="s">
        <v>351</v>
      </c>
      <c r="AI119" s="4" t="s">
        <v>141</v>
      </c>
      <c r="AJ119" s="4" t="s">
        <v>77</v>
      </c>
      <c r="AK119" s="4" t="s">
        <v>330</v>
      </c>
      <c r="AL119" s="4">
        <v>0</v>
      </c>
      <c r="AM119" s="4" t="s">
        <v>351</v>
      </c>
      <c r="AO119" s="4" t="s">
        <v>141</v>
      </c>
      <c r="AP119" s="4" t="s">
        <v>73</v>
      </c>
      <c r="AQ119" s="4" t="s">
        <v>330</v>
      </c>
      <c r="AR119" s="4">
        <v>0</v>
      </c>
      <c r="AS119" s="4" t="s">
        <v>351</v>
      </c>
      <c r="AU119" s="4" t="s">
        <v>141</v>
      </c>
      <c r="AV119" s="4" t="s">
        <v>68</v>
      </c>
      <c r="AW119" s="4" t="s">
        <v>330</v>
      </c>
      <c r="AX119" s="4">
        <v>0</v>
      </c>
      <c r="AY119" s="4" t="s">
        <v>351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345</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346</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347</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348</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345</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346</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347</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348</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344</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345</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346</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347</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348</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343</v>
      </c>
      <c r="V24" s="41" t="s">
        <v>344</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345</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346</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347</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348</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241</v>
      </c>
      <c r="V29" s="41" t="s">
        <v>344</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345</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346</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347</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348</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344</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345</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346</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347</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348</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343</v>
      </c>
      <c r="V44" s="41" t="s">
        <v>344</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345</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346</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347</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348</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241</v>
      </c>
      <c r="V49" s="41" t="s">
        <v>344</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345</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346</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347</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348</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344</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345</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346</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347</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348</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366</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367</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368</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241</v>
      </c>
      <c r="V77" s="48"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366</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367</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368</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369</v>
      </c>
      <c r="V81" s="48" t="s">
        <v>122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366</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367</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368</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343</v>
      </c>
      <c r="V85" s="48" t="s">
        <v>122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366</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367</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368</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366</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367</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368</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241</v>
      </c>
      <c r="V97" s="48"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366</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367</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368</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369</v>
      </c>
      <c r="V101" s="48" t="s">
        <v>122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366</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367</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368</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343</v>
      </c>
      <c r="V105" s="48" t="s">
        <v>122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366</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367</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368</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366</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367</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368</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241</v>
      </c>
      <c r="V117" s="48"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366</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367</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368</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369</v>
      </c>
      <c r="V121" s="48" t="s">
        <v>122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366</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367</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368</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343</v>
      </c>
      <c r="V125" s="48" t="s">
        <v>122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366</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367</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368</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326</v>
      </c>
      <c r="W160" s="51"/>
      <c r="Y160" s="52"/>
      <c r="Z160" s="51"/>
      <c r="AA160" s="19" t="s">
        <v>326</v>
      </c>
      <c r="AB160" s="51"/>
      <c r="AD160" s="52"/>
      <c r="AE160" s="51"/>
      <c r="AF160" s="19" t="s">
        <v>326</v>
      </c>
      <c r="AG160" s="51"/>
      <c r="AI160" s="52"/>
      <c r="AJ160" s="51"/>
      <c r="AK160" s="19" t="s">
        <v>326</v>
      </c>
      <c r="AL160" s="51"/>
      <c r="AN160" s="52"/>
      <c r="AO160" s="51"/>
      <c r="AP160" s="19" t="s">
        <v>326</v>
      </c>
      <c r="AQ160" s="51"/>
      <c r="AS160" s="52"/>
      <c r="AT160" s="51"/>
      <c r="AU160" s="19" t="s">
        <v>326</v>
      </c>
      <c r="AV160" s="51"/>
      <c r="AW160" s="52"/>
      <c r="AY160" s="51"/>
      <c r="AZ160" s="19" t="s">
        <v>326</v>
      </c>
      <c r="BA160" s="51"/>
    </row>
    <row r="161" ht="15.5" spans="21:53">
      <c r="U161" s="19" t="s">
        <v>65</v>
      </c>
      <c r="V161" s="19" t="s">
        <v>112</v>
      </c>
      <c r="W161" s="19" t="s">
        <v>25</v>
      </c>
      <c r="Y161" s="52"/>
      <c r="Z161" s="19" t="s">
        <v>65</v>
      </c>
      <c r="AA161" s="19" t="s">
        <v>112</v>
      </c>
      <c r="AB161" s="19" t="s">
        <v>25</v>
      </c>
      <c r="AD161" s="52"/>
      <c r="AE161" s="19" t="s">
        <v>65</v>
      </c>
      <c r="AF161" s="19" t="s">
        <v>112</v>
      </c>
      <c r="AG161" s="19" t="s">
        <v>25</v>
      </c>
      <c r="AI161" s="52"/>
      <c r="AJ161" s="19" t="s">
        <v>65</v>
      </c>
      <c r="AK161" s="19" t="s">
        <v>112</v>
      </c>
      <c r="AL161" s="19" t="s">
        <v>25</v>
      </c>
      <c r="AN161" s="52"/>
      <c r="AO161" s="19" t="s">
        <v>65</v>
      </c>
      <c r="AP161" s="19" t="s">
        <v>112</v>
      </c>
      <c r="AQ161" s="19" t="s">
        <v>25</v>
      </c>
      <c r="AS161" s="52"/>
      <c r="AT161" s="19" t="s">
        <v>65</v>
      </c>
      <c r="AU161" s="19" t="s">
        <v>112</v>
      </c>
      <c r="AV161" s="19" t="s">
        <v>25</v>
      </c>
      <c r="AW161" s="52"/>
      <c r="AY161" s="19" t="s">
        <v>65</v>
      </c>
      <c r="AZ161" s="19" t="s">
        <v>112</v>
      </c>
      <c r="BA161" s="19" t="s">
        <v>25</v>
      </c>
    </row>
    <row r="162" ht="15.5" spans="21:53">
      <c r="U162" s="52" t="s">
        <v>250</v>
      </c>
      <c r="V162" s="53" t="s">
        <v>327</v>
      </c>
      <c r="W162" s="52">
        <f t="shared" ref="W162:W165" si="336">W85</f>
        <v>0.0105103587670541</v>
      </c>
      <c r="Y162" s="52"/>
      <c r="Z162" s="52" t="s">
        <v>252</v>
      </c>
      <c r="AA162" s="53" t="s">
        <v>327</v>
      </c>
      <c r="AB162" s="52">
        <f t="shared" ref="AB162:AB165" si="337">X85</f>
        <v>0.0100940975192472</v>
      </c>
      <c r="AD162" s="52"/>
      <c r="AE162" s="52" t="s">
        <v>254</v>
      </c>
      <c r="AF162" s="53" t="s">
        <v>327</v>
      </c>
      <c r="AG162" s="52">
        <f t="shared" ref="AG162:AG165" si="338">Y85</f>
        <v>0.0103856502242152</v>
      </c>
      <c r="AI162" s="52"/>
      <c r="AJ162" s="52" t="s">
        <v>256</v>
      </c>
      <c r="AK162" s="53" t="s">
        <v>327</v>
      </c>
      <c r="AL162" s="52">
        <f t="shared" ref="AL162:AL165" si="339">Z85</f>
        <v>0.0114291129643669</v>
      </c>
      <c r="AN162" s="52"/>
      <c r="AO162" s="52" t="s">
        <v>248</v>
      </c>
      <c r="AP162" s="53" t="s">
        <v>327</v>
      </c>
      <c r="AQ162" s="52">
        <f t="shared" ref="AQ162:AQ165" si="340">AA85</f>
        <v>0.0115979862017528</v>
      </c>
      <c r="AS162" s="52"/>
      <c r="AT162" s="52" t="s">
        <v>246</v>
      </c>
      <c r="AU162" s="53" t="s">
        <v>327</v>
      </c>
      <c r="AV162" s="52">
        <f t="shared" ref="AV162:AV165" si="341">AB85</f>
        <v>0.00871331828442437</v>
      </c>
      <c r="AW162" s="52"/>
      <c r="AY162" s="52" t="s">
        <v>244</v>
      </c>
      <c r="AZ162" s="53" t="s">
        <v>327</v>
      </c>
      <c r="BA162" s="52">
        <f t="shared" ref="BA162:BA165" si="342">AC85</f>
        <v>0.0102405376724443</v>
      </c>
    </row>
    <row r="163" ht="15.5" spans="21:53">
      <c r="U163" s="52" t="str">
        <f>U162</f>
        <v>PyroRecy-NMC111</v>
      </c>
      <c r="V163" s="53" t="s">
        <v>328</v>
      </c>
      <c r="W163" s="52">
        <f t="shared" si="336"/>
        <v>0.0289203301330638</v>
      </c>
      <c r="Y163" s="52"/>
      <c r="Z163" s="52" t="str">
        <f t="shared" ref="Z163:Z165" si="343">Z162</f>
        <v>PyroRecy-NMC532</v>
      </c>
      <c r="AA163" s="53" t="s">
        <v>328</v>
      </c>
      <c r="AB163" s="52">
        <f t="shared" si="337"/>
        <v>0.0275620188195039</v>
      </c>
      <c r="AD163" s="52"/>
      <c r="AE163" s="52" t="str">
        <f t="shared" ref="AE163:AE165" si="344">AE162</f>
        <v>PyroRecy-NMC622</v>
      </c>
      <c r="AF163" s="53" t="s">
        <v>328</v>
      </c>
      <c r="AG163" s="52">
        <f t="shared" si="338"/>
        <v>0.028322869955157</v>
      </c>
      <c r="AI163" s="52"/>
      <c r="AJ163" s="52" t="str">
        <f t="shared" ref="AJ163:AJ165" si="345">AJ162</f>
        <v>PyroRecy-NMC811</v>
      </c>
      <c r="AK163" s="53" t="s">
        <v>328</v>
      </c>
      <c r="AL163" s="52">
        <f t="shared" si="339"/>
        <v>0.0288286580742987</v>
      </c>
      <c r="AN163" s="52"/>
      <c r="AO163" s="52" t="str">
        <f t="shared" ref="AO163:AO165" si="346">AO162</f>
        <v>PyroRecy-NCA</v>
      </c>
      <c r="AP163" s="53" t="s">
        <v>328</v>
      </c>
      <c r="AQ163" s="52">
        <f t="shared" si="340"/>
        <v>0.0296102927465971</v>
      </c>
      <c r="AS163" s="52"/>
      <c r="AT163" s="52" t="str">
        <f t="shared" ref="AT163:AT165" si="347">AT162</f>
        <v>PyroRecy-LMO</v>
      </c>
      <c r="AU163" s="53" t="s">
        <v>328</v>
      </c>
      <c r="AV163" s="52">
        <f t="shared" si="341"/>
        <v>0.0237622272385252</v>
      </c>
      <c r="AW163" s="52"/>
      <c r="AY163" s="52" t="str">
        <f t="shared" ref="AY163:AY165" si="348">AY162</f>
        <v>PyroRecy-LFP</v>
      </c>
      <c r="AZ163" s="53" t="s">
        <v>328</v>
      </c>
      <c r="BA163" s="52">
        <f t="shared" si="342"/>
        <v>0.0279271312345242</v>
      </c>
    </row>
    <row r="164" ht="15.5" spans="21:53">
      <c r="U164" s="52" t="str">
        <f>U163</f>
        <v>PyroRecy-NMC111</v>
      </c>
      <c r="V164" s="53" t="s">
        <v>329</v>
      </c>
      <c r="W164" s="52">
        <f t="shared" si="336"/>
        <v>0.0836617820448038</v>
      </c>
      <c r="Y164" s="52"/>
      <c r="Z164" s="52" t="str">
        <f t="shared" si="343"/>
        <v>PyroRecy-NMC532</v>
      </c>
      <c r="AA164" s="53" t="s">
        <v>329</v>
      </c>
      <c r="AB164" s="52">
        <f t="shared" si="337"/>
        <v>0.0814029084687767</v>
      </c>
      <c r="AD164" s="52"/>
      <c r="AE164" s="52" t="str">
        <f t="shared" si="344"/>
        <v>PyroRecy-NMC622</v>
      </c>
      <c r="AF164" s="53" t="s">
        <v>329</v>
      </c>
      <c r="AG164" s="52">
        <f t="shared" si="338"/>
        <v>0.0843946188340807</v>
      </c>
      <c r="AI164" s="52"/>
      <c r="AJ164" s="52" t="str">
        <f t="shared" si="345"/>
        <v>PyroRecy-NMC811</v>
      </c>
      <c r="AK164" s="53" t="s">
        <v>329</v>
      </c>
      <c r="AL164" s="52">
        <f t="shared" si="339"/>
        <v>0.0884192570128886</v>
      </c>
      <c r="AN164" s="52"/>
      <c r="AO164" s="52" t="str">
        <f t="shared" si="346"/>
        <v>PyroRecy-NCA</v>
      </c>
      <c r="AP164" s="53" t="s">
        <v>329</v>
      </c>
      <c r="AQ164" s="52">
        <f t="shared" si="340"/>
        <v>0.092485549132948</v>
      </c>
      <c r="AS164" s="52"/>
      <c r="AT164" s="52" t="str">
        <f t="shared" si="347"/>
        <v>PyroRecy-LMO</v>
      </c>
      <c r="AU164" s="53" t="s">
        <v>329</v>
      </c>
      <c r="AV164" s="52">
        <f t="shared" si="341"/>
        <v>0.0708051166290444</v>
      </c>
      <c r="AW164" s="52"/>
      <c r="AY164" s="52" t="str">
        <f t="shared" si="348"/>
        <v>PyroRecy-LFP</v>
      </c>
      <c r="AZ164" s="53" t="s">
        <v>329</v>
      </c>
      <c r="BA164" s="52">
        <f t="shared" si="342"/>
        <v>0.0832154227095861</v>
      </c>
    </row>
    <row r="165" ht="15.5" spans="21:53">
      <c r="U165" s="52" t="str">
        <f>U164</f>
        <v>PyroRecy-NMC111</v>
      </c>
      <c r="V165" s="53" t="s">
        <v>330</v>
      </c>
      <c r="W165" s="52">
        <f t="shared" si="336"/>
        <v>0.0130200437931615</v>
      </c>
      <c r="Y165" s="54"/>
      <c r="Z165" s="52" t="str">
        <f t="shared" si="343"/>
        <v>PyroRecy-NMC532</v>
      </c>
      <c r="AA165" s="53" t="s">
        <v>330</v>
      </c>
      <c r="AB165" s="52">
        <f t="shared" si="337"/>
        <v>0.0127459366980325</v>
      </c>
      <c r="AD165" s="54"/>
      <c r="AE165" s="52" t="str">
        <f t="shared" si="344"/>
        <v>PyroRecy-NMC622</v>
      </c>
      <c r="AF165" s="53" t="s">
        <v>330</v>
      </c>
      <c r="AG165" s="52">
        <f t="shared" si="338"/>
        <v>0.0132017937219731</v>
      </c>
      <c r="AI165" s="54"/>
      <c r="AJ165" s="52" t="str">
        <f t="shared" si="345"/>
        <v>PyroRecy-NMC811</v>
      </c>
      <c r="AK165" s="53" t="s">
        <v>330</v>
      </c>
      <c r="AL165" s="52">
        <f t="shared" si="339"/>
        <v>0.0144238059135709</v>
      </c>
      <c r="AN165" s="54"/>
      <c r="AO165" s="52" t="str">
        <f t="shared" si="346"/>
        <v>PyroRecy-NCA</v>
      </c>
      <c r="AP165" s="53" t="s">
        <v>330</v>
      </c>
      <c r="AQ165" s="52">
        <f t="shared" si="340"/>
        <v>0.0147119149729629</v>
      </c>
      <c r="AS165" s="54"/>
      <c r="AT165" s="52" t="str">
        <f t="shared" si="347"/>
        <v>PyroRecy-LMO</v>
      </c>
      <c r="AU165" s="53" t="s">
        <v>330</v>
      </c>
      <c r="AV165" s="52">
        <f t="shared" si="341"/>
        <v>0.0110759969902182</v>
      </c>
      <c r="AW165" s="54"/>
      <c r="AY165" s="52" t="str">
        <f t="shared" si="348"/>
        <v>PyroRecy-LFP</v>
      </c>
      <c r="AZ165" s="53" t="s">
        <v>330</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326</v>
      </c>
      <c r="W172" s="51"/>
      <c r="Y172" s="52"/>
      <c r="Z172" s="51"/>
      <c r="AA172" s="19" t="s">
        <v>326</v>
      </c>
      <c r="AB172" s="51"/>
      <c r="AD172" s="52"/>
      <c r="AE172" s="51"/>
      <c r="AF172" s="19" t="s">
        <v>326</v>
      </c>
      <c r="AG172" s="51"/>
      <c r="AI172" s="52"/>
      <c r="AJ172" s="51"/>
      <c r="AK172" s="19" t="s">
        <v>326</v>
      </c>
      <c r="AL172" s="51"/>
      <c r="AN172" s="52"/>
      <c r="AO172" s="51"/>
      <c r="AP172" s="19" t="s">
        <v>326</v>
      </c>
      <c r="AQ172" s="51"/>
      <c r="AS172" s="52"/>
      <c r="AT172" s="51"/>
      <c r="AU172" s="19" t="s">
        <v>326</v>
      </c>
      <c r="AV172" s="51"/>
      <c r="AW172" s="52"/>
      <c r="AY172" s="51"/>
      <c r="AZ172" s="19" t="s">
        <v>326</v>
      </c>
      <c r="BA172" s="51"/>
    </row>
    <row r="173" ht="15.5" spans="21:53">
      <c r="U173" s="19" t="s">
        <v>65</v>
      </c>
      <c r="V173" s="19" t="s">
        <v>112</v>
      </c>
      <c r="W173" s="19" t="s">
        <v>25</v>
      </c>
      <c r="Y173" s="52"/>
      <c r="Z173" s="19" t="s">
        <v>65</v>
      </c>
      <c r="AA173" s="19" t="s">
        <v>112</v>
      </c>
      <c r="AB173" s="19" t="s">
        <v>25</v>
      </c>
      <c r="AD173" s="52"/>
      <c r="AE173" s="19" t="s">
        <v>65</v>
      </c>
      <c r="AF173" s="19" t="s">
        <v>112</v>
      </c>
      <c r="AG173" s="19" t="s">
        <v>25</v>
      </c>
      <c r="AI173" s="52"/>
      <c r="AJ173" s="19" t="s">
        <v>65</v>
      </c>
      <c r="AK173" s="19" t="s">
        <v>112</v>
      </c>
      <c r="AL173" s="19" t="s">
        <v>25</v>
      </c>
      <c r="AN173" s="52"/>
      <c r="AO173" s="19" t="s">
        <v>65</v>
      </c>
      <c r="AP173" s="19" t="s">
        <v>112</v>
      </c>
      <c r="AQ173" s="19" t="s">
        <v>25</v>
      </c>
      <c r="AS173" s="52"/>
      <c r="AT173" s="19" t="s">
        <v>65</v>
      </c>
      <c r="AU173" s="19" t="s">
        <v>112</v>
      </c>
      <c r="AV173" s="19" t="s">
        <v>25</v>
      </c>
      <c r="AW173" s="52"/>
      <c r="AY173" s="19" t="s">
        <v>65</v>
      </c>
      <c r="AZ173" s="19" t="s">
        <v>112</v>
      </c>
      <c r="BA173" s="19" t="s">
        <v>25</v>
      </c>
    </row>
    <row r="174" ht="15.5" spans="21:53">
      <c r="U174" s="52" t="s">
        <v>263</v>
      </c>
      <c r="V174" s="53" t="s">
        <v>327</v>
      </c>
      <c r="W174" s="52">
        <f t="shared" ref="W174:W177" si="349">W105</f>
        <v>0.0115546572342934</v>
      </c>
      <c r="Y174" s="52"/>
      <c r="Z174" s="52" t="s">
        <v>265</v>
      </c>
      <c r="AA174" s="53" t="s">
        <v>327</v>
      </c>
      <c r="AB174" s="52">
        <f t="shared" ref="AB174:AB177" si="350">X105</f>
        <v>0.0110863986313088</v>
      </c>
      <c r="AD174" s="52"/>
      <c r="AE174" s="52" t="s">
        <v>267</v>
      </c>
      <c r="AF174" s="53" t="s">
        <v>327</v>
      </c>
      <c r="AG174" s="52">
        <f t="shared" ref="AG174:AG177" si="351">Y105</f>
        <v>0.0114618834080717</v>
      </c>
      <c r="AI174" s="52"/>
      <c r="AJ174" s="52" t="s">
        <v>269</v>
      </c>
      <c r="AK174" s="53" t="s">
        <v>327</v>
      </c>
      <c r="AL174" s="52">
        <f t="shared" ref="AL174:AL177" si="352">Z105</f>
        <v>0.011751326762699</v>
      </c>
      <c r="AN174" s="52"/>
      <c r="AO174" s="52" t="s">
        <v>261</v>
      </c>
      <c r="AP174" s="53" t="s">
        <v>327</v>
      </c>
      <c r="AQ174" s="52">
        <f t="shared" ref="AQ174:AQ177" si="353">AA105</f>
        <v>0.0119709118030953</v>
      </c>
      <c r="AS174" s="52"/>
      <c r="AT174" s="52" t="s">
        <v>260</v>
      </c>
      <c r="AU174" s="53" t="s">
        <v>327</v>
      </c>
      <c r="AV174" s="52">
        <f t="shared" ref="AV174:AV177" si="354">AB105</f>
        <v>0.00961625282167042</v>
      </c>
      <c r="AW174" s="52"/>
      <c r="AY174" s="52" t="s">
        <v>258</v>
      </c>
      <c r="AZ174" s="53" t="s">
        <v>327</v>
      </c>
      <c r="BA174" s="52">
        <f t="shared" ref="BA174:BA177" si="355">AC105</f>
        <v>0.0113017332861691</v>
      </c>
    </row>
    <row r="175" ht="15.5" spans="21:53">
      <c r="U175" s="52" t="str">
        <f t="shared" ref="U175:U177" si="356">U174</f>
        <v>HydRecy-NMC111</v>
      </c>
      <c r="V175" s="53" t="s">
        <v>328</v>
      </c>
      <c r="W175" s="52">
        <f t="shared" si="349"/>
        <v>0.0252147549267307</v>
      </c>
      <c r="Y175" s="52"/>
      <c r="Z175" s="52" t="str">
        <f t="shared" ref="Z175:Z177" si="357">Z174</f>
        <v>HydRecy-NMC532</v>
      </c>
      <c r="AA175" s="53" t="s">
        <v>328</v>
      </c>
      <c r="AB175" s="52">
        <f t="shared" si="350"/>
        <v>0.0242600513259196</v>
      </c>
      <c r="AD175" s="52"/>
      <c r="AE175" s="52" t="str">
        <f t="shared" ref="AE175:AE177" si="358">AE174</f>
        <v>HydRecy-NMC622</v>
      </c>
      <c r="AF175" s="53" t="s">
        <v>328</v>
      </c>
      <c r="AG175" s="52">
        <f t="shared" si="351"/>
        <v>0.0250941704035874</v>
      </c>
      <c r="AI175" s="52"/>
      <c r="AJ175" s="52" t="str">
        <f t="shared" ref="AJ175:AJ177" si="359">AJ174</f>
        <v>HydRecy-NMC811</v>
      </c>
      <c r="AK175" s="53" t="s">
        <v>328</v>
      </c>
      <c r="AL175" s="52">
        <f t="shared" si="352"/>
        <v>0.0257581501137225</v>
      </c>
      <c r="AN175" s="52"/>
      <c r="AO175" s="52" t="str">
        <f t="shared" ref="AO175:AO177" si="360">AO174</f>
        <v>HydRecy-NCA</v>
      </c>
      <c r="AP175" s="53" t="s">
        <v>328</v>
      </c>
      <c r="AQ175" s="52">
        <f t="shared" si="353"/>
        <v>0.0262539623345143</v>
      </c>
      <c r="AS175" s="52"/>
      <c r="AT175" s="52" t="str">
        <f t="shared" ref="AT175:AT177" si="361">AT174</f>
        <v>HydRecy-LMO</v>
      </c>
      <c r="AU175" s="53" t="s">
        <v>328</v>
      </c>
      <c r="AV175" s="52">
        <f t="shared" si="354"/>
        <v>0.0210534236267871</v>
      </c>
      <c r="AW175" s="52"/>
      <c r="AY175" s="52" t="str">
        <f t="shared" ref="AY175:AY177" si="362">AY174</f>
        <v>HydRecy-LFP</v>
      </c>
      <c r="AZ175" s="53" t="s">
        <v>328</v>
      </c>
      <c r="BA175" s="52">
        <f t="shared" si="355"/>
        <v>0.0247435443933498</v>
      </c>
    </row>
    <row r="176" ht="15.5" spans="21:53">
      <c r="U176" s="52" t="str">
        <f t="shared" si="356"/>
        <v>HydRecy-NMC111</v>
      </c>
      <c r="V176" s="53" t="s">
        <v>329</v>
      </c>
      <c r="W176" s="52">
        <f t="shared" si="349"/>
        <v>0.0978103419235304</v>
      </c>
      <c r="Y176" s="52"/>
      <c r="Z176" s="52" t="str">
        <f t="shared" si="357"/>
        <v>HydRecy-NMC532</v>
      </c>
      <c r="AA176" s="53" t="s">
        <v>329</v>
      </c>
      <c r="AB176" s="52">
        <f t="shared" si="350"/>
        <v>0.0947818648417451</v>
      </c>
      <c r="AD176" s="52"/>
      <c r="AE176" s="52" t="str">
        <f t="shared" si="358"/>
        <v>HydRecy-NMC622</v>
      </c>
      <c r="AF176" s="53" t="s">
        <v>329</v>
      </c>
      <c r="AG176" s="52">
        <f t="shared" si="351"/>
        <v>0.0982600896860986</v>
      </c>
      <c r="AI176" s="52"/>
      <c r="AJ176" s="52" t="str">
        <f t="shared" si="359"/>
        <v>HydRecy-NMC811</v>
      </c>
      <c r="AK176" s="53" t="s">
        <v>329</v>
      </c>
      <c r="AL176" s="52">
        <f t="shared" si="352"/>
        <v>0.099696739954511</v>
      </c>
      <c r="AN176" s="52"/>
      <c r="AO176" s="52" t="str">
        <f t="shared" si="360"/>
        <v>HydRecy-NCA</v>
      </c>
      <c r="AP176" s="53" t="s">
        <v>329</v>
      </c>
      <c r="AQ176" s="52">
        <f t="shared" si="353"/>
        <v>0.103953011374231</v>
      </c>
      <c r="AS176" s="52"/>
      <c r="AT176" s="52" t="str">
        <f t="shared" si="361"/>
        <v>HydRecy-LMO</v>
      </c>
      <c r="AU176" s="53" t="s">
        <v>329</v>
      </c>
      <c r="AV176" s="52">
        <f t="shared" si="354"/>
        <v>0.0824379232505643</v>
      </c>
      <c r="AW176" s="52"/>
      <c r="AY176" s="52" t="str">
        <f t="shared" si="362"/>
        <v>HydRecy-LFP</v>
      </c>
      <c r="AZ176" s="53" t="s">
        <v>329</v>
      </c>
      <c r="BA176" s="52">
        <f t="shared" si="355"/>
        <v>0.0968871595330739</v>
      </c>
    </row>
    <row r="177" ht="15.5" spans="21:53">
      <c r="U177" s="52" t="str">
        <f t="shared" si="356"/>
        <v>HydRecy-NMC111</v>
      </c>
      <c r="V177" s="53" t="s">
        <v>330</v>
      </c>
      <c r="W177" s="52">
        <f t="shared" si="349"/>
        <v>0.0132390096008085</v>
      </c>
      <c r="Y177" s="54"/>
      <c r="Z177" s="52" t="str">
        <f t="shared" si="357"/>
        <v>HydRecy-NMC532</v>
      </c>
      <c r="AA177" s="53" t="s">
        <v>330</v>
      </c>
      <c r="AB177" s="52">
        <f t="shared" si="350"/>
        <v>0.0130538922155689</v>
      </c>
      <c r="AD177" s="54"/>
      <c r="AE177" s="52" t="str">
        <f t="shared" si="358"/>
        <v>HydRecy-NMC622</v>
      </c>
      <c r="AF177" s="53" t="s">
        <v>330</v>
      </c>
      <c r="AG177" s="52">
        <f t="shared" si="351"/>
        <v>0.0136143497757848</v>
      </c>
      <c r="AI177" s="54"/>
      <c r="AJ177" s="52" t="str">
        <f t="shared" si="359"/>
        <v>HydRecy-NMC811</v>
      </c>
      <c r="AK177" s="53" t="s">
        <v>330</v>
      </c>
      <c r="AL177" s="52">
        <f t="shared" si="352"/>
        <v>0.0139689158453374</v>
      </c>
      <c r="AN177" s="54"/>
      <c r="AO177" s="52" t="str">
        <f t="shared" si="360"/>
        <v>HydRecy-NCA</v>
      </c>
      <c r="AP177" s="53" t="s">
        <v>330</v>
      </c>
      <c r="AQ177" s="52">
        <f t="shared" si="353"/>
        <v>0.0141711728510162</v>
      </c>
      <c r="AS177" s="54"/>
      <c r="AT177" s="52" t="str">
        <f t="shared" si="361"/>
        <v>HydRecy-LMO</v>
      </c>
      <c r="AU177" s="53" t="s">
        <v>330</v>
      </c>
      <c r="AV177" s="52">
        <f t="shared" si="354"/>
        <v>0.0114221218961625</v>
      </c>
      <c r="AW177" s="54"/>
      <c r="AY177" s="52" t="str">
        <f t="shared" si="362"/>
        <v>HydRecy-LFP</v>
      </c>
      <c r="AZ177" s="53" t="s">
        <v>330</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326</v>
      </c>
      <c r="W183" s="51"/>
      <c r="Y183" s="52"/>
      <c r="Z183" s="51"/>
      <c r="AA183" s="19" t="s">
        <v>326</v>
      </c>
      <c r="AB183" s="51"/>
      <c r="AD183" s="52"/>
      <c r="AE183" s="51"/>
      <c r="AF183" s="19" t="s">
        <v>326</v>
      </c>
      <c r="AG183" s="51"/>
      <c r="AI183" s="52"/>
      <c r="AJ183" s="51"/>
      <c r="AK183" s="19" t="s">
        <v>326</v>
      </c>
      <c r="AL183" s="51"/>
      <c r="AN183" s="52"/>
      <c r="AO183" s="51"/>
      <c r="AP183" s="19" t="s">
        <v>326</v>
      </c>
      <c r="AQ183" s="51"/>
      <c r="AS183" s="52"/>
      <c r="AT183" s="51"/>
      <c r="AU183" s="19" t="s">
        <v>326</v>
      </c>
      <c r="AV183" s="51"/>
      <c r="AW183" s="52"/>
      <c r="AY183" s="51"/>
      <c r="AZ183" s="19" t="s">
        <v>326</v>
      </c>
      <c r="BA183" s="51"/>
    </row>
    <row r="184" ht="15.5" spans="21:53">
      <c r="U184" s="19" t="s">
        <v>65</v>
      </c>
      <c r="V184" s="19" t="s">
        <v>112</v>
      </c>
      <c r="W184" s="19" t="s">
        <v>25</v>
      </c>
      <c r="Y184" s="52"/>
      <c r="Z184" s="19" t="s">
        <v>65</v>
      </c>
      <c r="AA184" s="19" t="s">
        <v>112</v>
      </c>
      <c r="AB184" s="19" t="s">
        <v>25</v>
      </c>
      <c r="AD184" s="52"/>
      <c r="AE184" s="19" t="s">
        <v>65</v>
      </c>
      <c r="AF184" s="19" t="s">
        <v>112</v>
      </c>
      <c r="AG184" s="19" t="s">
        <v>25</v>
      </c>
      <c r="AI184" s="52"/>
      <c r="AJ184" s="19" t="s">
        <v>65</v>
      </c>
      <c r="AK184" s="19" t="s">
        <v>112</v>
      </c>
      <c r="AL184" s="19" t="s">
        <v>25</v>
      </c>
      <c r="AN184" s="52"/>
      <c r="AO184" s="19" t="s">
        <v>65</v>
      </c>
      <c r="AP184" s="19" t="s">
        <v>112</v>
      </c>
      <c r="AQ184" s="19" t="s">
        <v>25</v>
      </c>
      <c r="AS184" s="52"/>
      <c r="AT184" s="19" t="s">
        <v>65</v>
      </c>
      <c r="AU184" s="19" t="s">
        <v>112</v>
      </c>
      <c r="AV184" s="19" t="s">
        <v>25</v>
      </c>
      <c r="AW184" s="52"/>
      <c r="AY184" s="19" t="s">
        <v>65</v>
      </c>
      <c r="AZ184" s="19" t="s">
        <v>112</v>
      </c>
      <c r="BA184" s="19" t="s">
        <v>25</v>
      </c>
    </row>
    <row r="185" ht="15.5" spans="21:53">
      <c r="U185" s="52" t="s">
        <v>276</v>
      </c>
      <c r="V185" s="53" t="s">
        <v>327</v>
      </c>
      <c r="W185" s="52">
        <f t="shared" ref="W185:W188" si="363">W125</f>
        <v>0.00788276907529056</v>
      </c>
      <c r="Y185" s="52"/>
      <c r="Z185" s="52" t="s">
        <v>278</v>
      </c>
      <c r="AA185" s="53" t="s">
        <v>327</v>
      </c>
      <c r="AB185" s="52">
        <f t="shared" ref="AB185:AB188" si="364">X125</f>
        <v>0.00764756201881948</v>
      </c>
      <c r="AD185" s="52"/>
      <c r="AE185" s="52" t="s">
        <v>280</v>
      </c>
      <c r="AF185" s="53" t="s">
        <v>327</v>
      </c>
      <c r="AG185" s="52">
        <f t="shared" ref="AG185:AG188" si="365">Y125</f>
        <v>0.00794618834080718</v>
      </c>
      <c r="AI185" s="52"/>
      <c r="AJ185" s="52" t="s">
        <v>281</v>
      </c>
      <c r="AK185" s="53" t="s">
        <v>327</v>
      </c>
      <c r="AL185" s="52">
        <f t="shared" ref="AL185:AL188" si="366">Z125</f>
        <v>0.00794162244124336</v>
      </c>
      <c r="AN185" s="52"/>
      <c r="AO185" s="52" t="s">
        <v>275</v>
      </c>
      <c r="AP185" s="53" t="s">
        <v>327</v>
      </c>
      <c r="AQ185" s="52">
        <f t="shared" ref="AQ185:AQ188" si="367">AA125</f>
        <v>0.00801790042886445</v>
      </c>
      <c r="AS185" s="52"/>
      <c r="AT185" s="52" t="s">
        <v>273</v>
      </c>
      <c r="AU185" s="53" t="s">
        <v>327</v>
      </c>
      <c r="AV185" s="52">
        <f t="shared" ref="AV185:AV188" si="368">AB125</f>
        <v>0.00666666666666667</v>
      </c>
      <c r="AW185" s="52"/>
      <c r="AY185" s="52" t="s">
        <v>271</v>
      </c>
      <c r="AZ185" s="53" t="s">
        <v>327</v>
      </c>
      <c r="BA185" s="52">
        <f t="shared" ref="BA185:BA188" si="369">AC125</f>
        <v>0.00783516094800141</v>
      </c>
    </row>
    <row r="186" ht="15.5" spans="21:53">
      <c r="U186" s="52" t="str">
        <f t="shared" ref="U186:U188" si="370">U185</f>
        <v>DirRecy-NMC111</v>
      </c>
      <c r="V186" s="53" t="s">
        <v>328</v>
      </c>
      <c r="W186" s="52">
        <f t="shared" si="363"/>
        <v>0.02011116725619</v>
      </c>
      <c r="Y186" s="52"/>
      <c r="Z186" s="52" t="str">
        <f t="shared" ref="Z186:Z188" si="371">Z185</f>
        <v>DirRecy-NMC532</v>
      </c>
      <c r="AA186" s="53" t="s">
        <v>328</v>
      </c>
      <c r="AB186" s="52">
        <f t="shared" si="364"/>
        <v>0.0195038494439692</v>
      </c>
      <c r="AD186" s="52"/>
      <c r="AE186" s="52" t="str">
        <f t="shared" ref="AE186:AE188" si="372">AE185</f>
        <v>DirRecy-NMC622</v>
      </c>
      <c r="AF186" s="53" t="s">
        <v>328</v>
      </c>
      <c r="AG186" s="52">
        <f t="shared" si="365"/>
        <v>0.0202152466367713</v>
      </c>
      <c r="AI186" s="52"/>
      <c r="AJ186" s="52" t="str">
        <f t="shared" ref="AJ186:AJ188" si="373">AJ185</f>
        <v>DirRecy-NMC811</v>
      </c>
      <c r="AK186" s="53" t="s">
        <v>328</v>
      </c>
      <c r="AL186" s="52">
        <f t="shared" si="366"/>
        <v>0.0201099317664898</v>
      </c>
      <c r="AN186" s="52"/>
      <c r="AO186" s="52" t="str">
        <f t="shared" ref="AO186:AO188" si="374">AO185</f>
        <v>DirRecy-NCA</v>
      </c>
      <c r="AP186" s="53" t="s">
        <v>328</v>
      </c>
      <c r="AQ186" s="52">
        <f t="shared" si="367"/>
        <v>0.0203990303934365</v>
      </c>
      <c r="AS186" s="52"/>
      <c r="AT186" s="52" t="str">
        <f t="shared" ref="AT186:AT188" si="375">AT185</f>
        <v>DirRecy-LMO</v>
      </c>
      <c r="AU186" s="53" t="s">
        <v>328</v>
      </c>
      <c r="AV186" s="52">
        <f t="shared" si="368"/>
        <v>0.0169601203912716</v>
      </c>
      <c r="AW186" s="52"/>
      <c r="AY186" s="52" t="str">
        <f t="shared" ref="AY186:AY188" si="376">AY185</f>
        <v>DirRecy-LFP</v>
      </c>
      <c r="AZ186" s="53" t="s">
        <v>328</v>
      </c>
      <c r="BA186" s="52">
        <f t="shared" si="369"/>
        <v>0.0199327909444641</v>
      </c>
    </row>
    <row r="187" ht="15.5" spans="21:53">
      <c r="U187" s="52" t="str">
        <f t="shared" si="370"/>
        <v>DirRecy-NMC111</v>
      </c>
      <c r="V187" s="53" t="s">
        <v>329</v>
      </c>
      <c r="W187" s="52">
        <f t="shared" si="363"/>
        <v>0.0641232945932289</v>
      </c>
      <c r="Y187" s="52"/>
      <c r="Z187" s="52" t="str">
        <f t="shared" si="371"/>
        <v>DirRecy-NMC532</v>
      </c>
      <c r="AA187" s="53" t="s">
        <v>329</v>
      </c>
      <c r="AB187" s="52">
        <f t="shared" si="364"/>
        <v>0.0633532934131737</v>
      </c>
      <c r="AD187" s="52"/>
      <c r="AE187" s="52" t="str">
        <f t="shared" si="372"/>
        <v>DirRecy-NMC622</v>
      </c>
      <c r="AF187" s="53" t="s">
        <v>329</v>
      </c>
      <c r="AG187" s="52">
        <f t="shared" si="365"/>
        <v>0.0659910313901345</v>
      </c>
      <c r="AI187" s="52"/>
      <c r="AJ187" s="52" t="str">
        <f t="shared" si="373"/>
        <v>DirRecy-NMC811</v>
      </c>
      <c r="AK187" s="53" t="s">
        <v>329</v>
      </c>
      <c r="AL187" s="52">
        <f t="shared" si="366"/>
        <v>0.0673237300985595</v>
      </c>
      <c r="AN187" s="52"/>
      <c r="AO187" s="52" t="str">
        <f t="shared" si="374"/>
        <v>DirRecy-NCA</v>
      </c>
      <c r="AP187" s="53" t="s">
        <v>329</v>
      </c>
      <c r="AQ187" s="52">
        <f t="shared" si="367"/>
        <v>0.0673690098825284</v>
      </c>
      <c r="AS187" s="52"/>
      <c r="AT187" s="52" t="str">
        <f t="shared" si="375"/>
        <v>DirRecy-LMO</v>
      </c>
      <c r="AU187" s="53" t="s">
        <v>329</v>
      </c>
      <c r="AV187" s="52">
        <f t="shared" si="368"/>
        <v>0.055364936042137</v>
      </c>
      <c r="AW187" s="52"/>
      <c r="AY187" s="52" t="str">
        <f t="shared" si="376"/>
        <v>DirRecy-LFP</v>
      </c>
      <c r="AZ187" s="53" t="s">
        <v>329</v>
      </c>
      <c r="BA187" s="52">
        <f t="shared" si="369"/>
        <v>0.0650689777148921</v>
      </c>
    </row>
    <row r="188" ht="15.5" spans="21:53">
      <c r="U188" s="52" t="str">
        <f t="shared" si="370"/>
        <v>DirRecy-NMC111</v>
      </c>
      <c r="V188" s="53" t="s">
        <v>330</v>
      </c>
      <c r="W188" s="52">
        <f t="shared" si="363"/>
        <v>0.0129695132221661</v>
      </c>
      <c r="Y188" s="54"/>
      <c r="Z188" s="52" t="str">
        <f t="shared" si="371"/>
        <v>DirRecy-NMC532</v>
      </c>
      <c r="AA188" s="53" t="s">
        <v>330</v>
      </c>
      <c r="AB188" s="52">
        <f t="shared" si="364"/>
        <v>0.012814371257485</v>
      </c>
      <c r="AD188" s="54"/>
      <c r="AE188" s="52" t="str">
        <f t="shared" si="372"/>
        <v>DirRecy-NMC622</v>
      </c>
      <c r="AF188" s="53" t="s">
        <v>330</v>
      </c>
      <c r="AG188" s="52">
        <f t="shared" si="365"/>
        <v>0.0133452914798206</v>
      </c>
      <c r="AI188" s="54"/>
      <c r="AJ188" s="52" t="str">
        <f t="shared" si="373"/>
        <v>DirRecy-NMC811</v>
      </c>
      <c r="AK188" s="53" t="s">
        <v>330</v>
      </c>
      <c r="AL188" s="52">
        <f t="shared" si="366"/>
        <v>0.0135898407884761</v>
      </c>
      <c r="AN188" s="54"/>
      <c r="AO188" s="52" t="str">
        <f t="shared" si="374"/>
        <v>DirRecy-NCA</v>
      </c>
      <c r="AP188" s="53" t="s">
        <v>330</v>
      </c>
      <c r="AQ188" s="52">
        <f t="shared" si="367"/>
        <v>0.0136304307290695</v>
      </c>
      <c r="AS188" s="54"/>
      <c r="AT188" s="52" t="str">
        <f t="shared" si="375"/>
        <v>DirRecy-LMO</v>
      </c>
      <c r="AU188" s="53" t="s">
        <v>330</v>
      </c>
      <c r="AV188" s="52">
        <f t="shared" si="368"/>
        <v>0.011196388261851</v>
      </c>
      <c r="AW188" s="54"/>
      <c r="AY188" s="52" t="str">
        <f t="shared" si="376"/>
        <v>DirRecy-LFP</v>
      </c>
      <c r="AZ188" s="53" t="s">
        <v>330</v>
      </c>
      <c r="BA188" s="52">
        <f t="shared" si="369"/>
        <v>0.0131588256101875</v>
      </c>
    </row>
    <row r="198" spans="21:54">
      <c r="V198" s="1" t="s">
        <v>326</v>
      </c>
      <c r="AA198" s="1" t="s">
        <v>326</v>
      </c>
      <c r="AF198" s="1" t="s">
        <v>326</v>
      </c>
      <c r="AK198" s="1" t="s">
        <v>326</v>
      </c>
      <c r="AP198" s="1" t="s">
        <v>326</v>
      </c>
      <c r="AU198" s="1" t="s">
        <v>326</v>
      </c>
      <c r="AZ198" s="1" t="s">
        <v>326</v>
      </c>
    </row>
    <row r="199" ht="15.5" spans="21:54">
      <c r="U199" s="1" t="s">
        <v>65</v>
      </c>
      <c r="V199" s="1" t="s">
        <v>112</v>
      </c>
      <c r="W199" s="1" t="s">
        <v>25</v>
      </c>
      <c r="X199" s="52" t="s">
        <v>41</v>
      </c>
      <c r="Z199" s="1" t="s">
        <v>65</v>
      </c>
      <c r="AA199" s="1" t="s">
        <v>112</v>
      </c>
      <c r="AB199" s="1" t="s">
        <v>25</v>
      </c>
      <c r="AC199" s="52" t="s">
        <v>41</v>
      </c>
      <c r="AE199" s="1" t="s">
        <v>65</v>
      </c>
      <c r="AF199" s="1" t="s">
        <v>112</v>
      </c>
      <c r="AG199" s="1" t="s">
        <v>25</v>
      </c>
      <c r="AH199" s="52" t="s">
        <v>41</v>
      </c>
      <c r="AJ199" s="1" t="s">
        <v>65</v>
      </c>
      <c r="AK199" s="1" t="s">
        <v>112</v>
      </c>
      <c r="AL199" s="1" t="s">
        <v>25</v>
      </c>
      <c r="AM199" s="52" t="s">
        <v>41</v>
      </c>
      <c r="AO199" s="1" t="s">
        <v>65</v>
      </c>
      <c r="AP199" s="1" t="s">
        <v>112</v>
      </c>
      <c r="AQ199" s="1" t="s">
        <v>25</v>
      </c>
      <c r="AR199" s="52" t="s">
        <v>41</v>
      </c>
      <c r="AT199" s="1" t="s">
        <v>65</v>
      </c>
      <c r="AU199" s="1" t="s">
        <v>112</v>
      </c>
      <c r="AV199" s="1" t="s">
        <v>25</v>
      </c>
      <c r="AW199" s="52" t="s">
        <v>41</v>
      </c>
      <c r="AY199" s="1" t="s">
        <v>65</v>
      </c>
      <c r="AZ199" s="1" t="s">
        <v>112</v>
      </c>
      <c r="BA199" s="1" t="s">
        <v>25</v>
      </c>
      <c r="BB199" s="52" t="s">
        <v>41</v>
      </c>
    </row>
    <row r="200" ht="15.5" spans="21:54">
      <c r="U200" s="1" t="s">
        <v>250</v>
      </c>
      <c r="V200" s="1" t="s">
        <v>327</v>
      </c>
      <c r="W200" s="1">
        <f>SUM(W162:W165)</f>
        <v>0.136112514738083</v>
      </c>
      <c r="X200" s="52" t="s">
        <v>351</v>
      </c>
      <c r="Z200" s="1" t="s">
        <v>252</v>
      </c>
      <c r="AA200" s="1" t="s">
        <v>327</v>
      </c>
      <c r="AB200" s="1">
        <f>SUM(AB162:AB165)</f>
        <v>0.13180496150556</v>
      </c>
      <c r="AC200" s="52" t="s">
        <v>351</v>
      </c>
      <c r="AE200" s="1" t="s">
        <v>254</v>
      </c>
      <c r="AF200" s="1" t="s">
        <v>327</v>
      </c>
      <c r="AG200" s="1">
        <f>SUM(AG162:AG165)</f>
        <v>0.136304932735426</v>
      </c>
      <c r="AH200" s="52" t="s">
        <v>351</v>
      </c>
      <c r="AJ200" s="1" t="s">
        <v>256</v>
      </c>
      <c r="AK200" s="1" t="s">
        <v>327</v>
      </c>
      <c r="AL200" s="1">
        <f>SUM(AL162:AL165)</f>
        <v>0.143100833965125</v>
      </c>
      <c r="AM200" s="52" t="s">
        <v>351</v>
      </c>
      <c r="AO200" s="1" t="s">
        <v>248</v>
      </c>
      <c r="AP200" s="1" t="s">
        <v>327</v>
      </c>
      <c r="AQ200" s="1">
        <f>SUM(AQ162:AQ165)</f>
        <v>0.148405743054261</v>
      </c>
      <c r="AR200" s="52" t="s">
        <v>351</v>
      </c>
      <c r="AT200" s="1" t="s">
        <v>246</v>
      </c>
      <c r="AU200" s="1" t="s">
        <v>327</v>
      </c>
      <c r="AV200" s="1">
        <f>SUM(AV162:AV165)</f>
        <v>0.114356659142212</v>
      </c>
      <c r="AW200" s="52" t="s">
        <v>351</v>
      </c>
      <c r="AY200" s="1" t="s">
        <v>244</v>
      </c>
      <c r="AZ200" s="1" t="s">
        <v>327</v>
      </c>
      <c r="BA200" s="1">
        <f>SUM(BA162:BA165)</f>
        <v>0.134400424478245</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25</v>
      </c>
      <c r="X211" s="52" t="s">
        <v>41</v>
      </c>
      <c r="Z211" s="1" t="s">
        <v>65</v>
      </c>
      <c r="AA211" s="1" t="s">
        <v>112</v>
      </c>
      <c r="AB211" s="1" t="s">
        <v>25</v>
      </c>
      <c r="AC211" s="52" t="s">
        <v>41</v>
      </c>
      <c r="AE211" s="1" t="s">
        <v>65</v>
      </c>
      <c r="AF211" s="1" t="s">
        <v>112</v>
      </c>
      <c r="AG211" s="1" t="s">
        <v>25</v>
      </c>
      <c r="AH211" s="52" t="s">
        <v>41</v>
      </c>
      <c r="AJ211" s="1" t="s">
        <v>65</v>
      </c>
      <c r="AK211" s="1" t="s">
        <v>112</v>
      </c>
      <c r="AL211" s="1" t="s">
        <v>25</v>
      </c>
      <c r="AM211" s="52" t="s">
        <v>41</v>
      </c>
      <c r="AO211" s="1" t="s">
        <v>65</v>
      </c>
      <c r="AP211" s="1" t="s">
        <v>112</v>
      </c>
      <c r="AQ211" s="1" t="s">
        <v>25</v>
      </c>
      <c r="AR211" s="52" t="s">
        <v>41</v>
      </c>
      <c r="AT211" s="1" t="s">
        <v>65</v>
      </c>
      <c r="AU211" s="1" t="s">
        <v>112</v>
      </c>
      <c r="AV211" s="1" t="s">
        <v>25</v>
      </c>
      <c r="AW211" s="52" t="s">
        <v>41</v>
      </c>
      <c r="AY211" s="1" t="s">
        <v>65</v>
      </c>
      <c r="AZ211" s="1" t="s">
        <v>112</v>
      </c>
      <c r="BA211" s="1" t="s">
        <v>25</v>
      </c>
      <c r="BB211" s="52" t="s">
        <v>41</v>
      </c>
    </row>
    <row r="212" ht="15.5" spans="21:54">
      <c r="U212" s="1" t="s">
        <v>263</v>
      </c>
      <c r="V212" s="1" t="s">
        <v>327</v>
      </c>
      <c r="W212" s="1">
        <f>SUM(W174:W177)</f>
        <v>0.147818763685363</v>
      </c>
      <c r="X212" s="52" t="s">
        <v>351</v>
      </c>
      <c r="Z212" s="1" t="s">
        <v>265</v>
      </c>
      <c r="AA212" s="1" t="s">
        <v>327</v>
      </c>
      <c r="AB212" s="1">
        <f>SUM(AB174:AB177)</f>
        <v>0.143182207014542</v>
      </c>
      <c r="AC212" s="52" t="s">
        <v>351</v>
      </c>
      <c r="AE212" s="1" t="s">
        <v>267</v>
      </c>
      <c r="AF212" s="1" t="s">
        <v>327</v>
      </c>
      <c r="AG212" s="1">
        <f>SUM(AG174:AG177)</f>
        <v>0.148430493273543</v>
      </c>
      <c r="AH212" s="52" t="s">
        <v>351</v>
      </c>
      <c r="AJ212" s="1" t="s">
        <v>269</v>
      </c>
      <c r="AK212" s="1" t="s">
        <v>327</v>
      </c>
      <c r="AL212" s="1">
        <f>SUM(AL174:AL177)</f>
        <v>0.15117513267627</v>
      </c>
      <c r="AM212" s="52" t="s">
        <v>351</v>
      </c>
      <c r="AO212" s="1" t="s">
        <v>261</v>
      </c>
      <c r="AP212" s="1" t="s">
        <v>327</v>
      </c>
      <c r="AQ212" s="1">
        <f>SUM(AQ174:AQ177)</f>
        <v>0.156349058362857</v>
      </c>
      <c r="AR212" s="52" t="s">
        <v>351</v>
      </c>
      <c r="AT212" s="1" t="s">
        <v>260</v>
      </c>
      <c r="AU212" s="1" t="s">
        <v>327</v>
      </c>
      <c r="AV212" s="1">
        <f>SUM(AV174:AV177)</f>
        <v>0.124529721595184</v>
      </c>
      <c r="AW212" s="52" t="s">
        <v>351</v>
      </c>
      <c r="AY212" s="1" t="s">
        <v>258</v>
      </c>
      <c r="AZ212" s="1" t="s">
        <v>327</v>
      </c>
      <c r="BA212" s="1">
        <f>SUM(BA174:BA177)</f>
        <v>0.146356561726212</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25</v>
      </c>
      <c r="X222" s="52" t="s">
        <v>41</v>
      </c>
      <c r="Z222" s="1" t="s">
        <v>65</v>
      </c>
      <c r="AA222" s="1" t="s">
        <v>112</v>
      </c>
      <c r="AB222" s="1" t="s">
        <v>25</v>
      </c>
      <c r="AC222" s="52" t="s">
        <v>41</v>
      </c>
      <c r="AE222" s="1" t="s">
        <v>65</v>
      </c>
      <c r="AF222" s="1" t="s">
        <v>112</v>
      </c>
      <c r="AG222" s="1" t="s">
        <v>25</v>
      </c>
      <c r="AH222" s="52" t="s">
        <v>41</v>
      </c>
      <c r="AJ222" s="1" t="s">
        <v>65</v>
      </c>
      <c r="AK222" s="1" t="s">
        <v>112</v>
      </c>
      <c r="AL222" s="1" t="s">
        <v>25</v>
      </c>
      <c r="AM222" s="52" t="s">
        <v>41</v>
      </c>
      <c r="AO222" s="1" t="s">
        <v>65</v>
      </c>
      <c r="AP222" s="1" t="s">
        <v>112</v>
      </c>
      <c r="AQ222" s="1" t="s">
        <v>25</v>
      </c>
      <c r="AR222" s="52" t="s">
        <v>41</v>
      </c>
      <c r="AT222" s="1" t="s">
        <v>65</v>
      </c>
      <c r="AU222" s="1" t="s">
        <v>112</v>
      </c>
      <c r="AV222" s="1" t="s">
        <v>25</v>
      </c>
      <c r="AW222" s="52" t="s">
        <v>41</v>
      </c>
      <c r="AY222" s="1" t="s">
        <v>65</v>
      </c>
      <c r="AZ222" s="1" t="s">
        <v>112</v>
      </c>
      <c r="BA222" s="1" t="s">
        <v>25</v>
      </c>
      <c r="BB222" s="52" t="s">
        <v>41</v>
      </c>
    </row>
    <row r="223" ht="15.5" spans="21:54">
      <c r="U223" s="1" t="s">
        <v>276</v>
      </c>
      <c r="V223" s="1" t="s">
        <v>327</v>
      </c>
      <c r="W223" s="1">
        <f>SUM(W185:W188)</f>
        <v>0.105086744146876</v>
      </c>
      <c r="X223" s="52" t="s">
        <v>351</v>
      </c>
      <c r="Z223" s="1" t="s">
        <v>278</v>
      </c>
      <c r="AA223" s="1" t="s">
        <v>327</v>
      </c>
      <c r="AB223" s="1">
        <f>SUM(AB185:AB188)</f>
        <v>0.103319076133447</v>
      </c>
      <c r="AC223" s="52" t="s">
        <v>351</v>
      </c>
      <c r="AE223" s="1" t="s">
        <v>280</v>
      </c>
      <c r="AF223" s="1" t="s">
        <v>327</v>
      </c>
      <c r="AG223" s="1">
        <f>SUM(AG185:AG188)</f>
        <v>0.107497757847534</v>
      </c>
      <c r="AH223" s="52" t="s">
        <v>351</v>
      </c>
      <c r="AJ223" s="1" t="s">
        <v>281</v>
      </c>
      <c r="AK223" s="1" t="s">
        <v>327</v>
      </c>
      <c r="AL223" s="1">
        <f>SUM(AL185:AL188)</f>
        <v>0.108965125094769</v>
      </c>
      <c r="AM223" s="52" t="s">
        <v>351</v>
      </c>
      <c r="AO223" s="1" t="s">
        <v>275</v>
      </c>
      <c r="AP223" s="1" t="s">
        <v>327</v>
      </c>
      <c r="AQ223" s="1">
        <f>SUM(AQ185:AQ188)</f>
        <v>0.109416371433899</v>
      </c>
      <c r="AR223" s="52" t="s">
        <v>351</v>
      </c>
      <c r="AT223" s="1" t="s">
        <v>273</v>
      </c>
      <c r="AU223" s="1" t="s">
        <v>327</v>
      </c>
      <c r="AV223" s="1">
        <f>SUM(AV185:AV188)</f>
        <v>0.0901881113619263</v>
      </c>
      <c r="AW223" s="52" t="s">
        <v>351</v>
      </c>
      <c r="AY223" s="1" t="s">
        <v>271</v>
      </c>
      <c r="AZ223" s="1" t="s">
        <v>327</v>
      </c>
      <c r="BA223" s="1">
        <f>SUM(BA185:BA188)</f>
        <v>0.105995755217545</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345</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346</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347</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348</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345</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346</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347</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348</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344</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345</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346</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347</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348</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343</v>
      </c>
      <c r="V24" s="41" t="s">
        <v>344</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345</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346</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347</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348</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241</v>
      </c>
      <c r="V29" s="41" t="s">
        <v>344</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345</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346</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347</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348</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344</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345</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346</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347</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348</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343</v>
      </c>
      <c r="V44" s="41" t="s">
        <v>344</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345</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346</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347</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348</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241</v>
      </c>
      <c r="V49" s="41" t="s">
        <v>344</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345</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346</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347</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348</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344</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345</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346</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347</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348</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366</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367</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368</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241</v>
      </c>
      <c r="V77" s="48"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366</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367</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368</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369</v>
      </c>
      <c r="V81" s="48" t="s">
        <v>122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366</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367</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368</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369</v>
      </c>
      <c r="V85" s="48" t="s">
        <v>122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366</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367</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368</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366</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367</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368</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241</v>
      </c>
      <c r="V97" s="48"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366</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367</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368</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369</v>
      </c>
      <c r="V101" s="48" t="s">
        <v>122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366</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367</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368</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369</v>
      </c>
      <c r="V105" s="48" t="s">
        <v>122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366</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367</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368</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366</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367</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368</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241</v>
      </c>
      <c r="V117" s="48"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366</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367</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368</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369</v>
      </c>
      <c r="V121" s="48" t="s">
        <v>122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366</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367</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368</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369</v>
      </c>
      <c r="V125" s="48" t="s">
        <v>122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366</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367</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368</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326</v>
      </c>
      <c r="W160" s="51"/>
      <c r="X160" s="52"/>
      <c r="Z160" s="51"/>
      <c r="AA160" s="19" t="s">
        <v>326</v>
      </c>
      <c r="AB160" s="51"/>
      <c r="AC160" s="52"/>
      <c r="AE160" s="51"/>
      <c r="AF160" s="19" t="s">
        <v>326</v>
      </c>
      <c r="AG160" s="51"/>
      <c r="AH160" s="52"/>
      <c r="AJ160" s="51"/>
      <c r="AK160" s="19" t="s">
        <v>326</v>
      </c>
      <c r="AL160" s="51"/>
      <c r="AM160" s="52"/>
      <c r="AO160" s="51"/>
      <c r="AP160" s="19" t="s">
        <v>326</v>
      </c>
      <c r="AQ160" s="51"/>
      <c r="AR160" s="52"/>
      <c r="AT160" s="51"/>
      <c r="AU160" s="19" t="s">
        <v>326</v>
      </c>
      <c r="AV160" s="51"/>
      <c r="AW160" s="52"/>
      <c r="AY160" s="51"/>
      <c r="AZ160" s="19" t="s">
        <v>326</v>
      </c>
      <c r="BA160" s="51"/>
    </row>
    <row r="161" ht="15.5" spans="21:54">
      <c r="U161" s="19" t="s">
        <v>65</v>
      </c>
      <c r="V161" s="19" t="s">
        <v>112</v>
      </c>
      <c r="W161" s="19" t="s">
        <v>11</v>
      </c>
      <c r="X161" s="52" t="s">
        <v>41</v>
      </c>
      <c r="Z161" s="19" t="s">
        <v>65</v>
      </c>
      <c r="AA161" s="19" t="s">
        <v>112</v>
      </c>
      <c r="AB161" s="19" t="s">
        <v>11</v>
      </c>
      <c r="AC161" s="52" t="s">
        <v>41</v>
      </c>
      <c r="AE161" s="19" t="s">
        <v>65</v>
      </c>
      <c r="AF161" s="19" t="s">
        <v>112</v>
      </c>
      <c r="AG161" s="19" t="s">
        <v>11</v>
      </c>
      <c r="AH161" s="52" t="s">
        <v>41</v>
      </c>
      <c r="AJ161" s="19" t="s">
        <v>65</v>
      </c>
      <c r="AK161" s="19" t="s">
        <v>112</v>
      </c>
      <c r="AL161" s="19" t="s">
        <v>11</v>
      </c>
      <c r="AM161" s="52" t="s">
        <v>41</v>
      </c>
      <c r="AO161" s="19" t="s">
        <v>65</v>
      </c>
      <c r="AP161" s="19" t="s">
        <v>112</v>
      </c>
      <c r="AQ161" s="19" t="s">
        <v>11</v>
      </c>
      <c r="AR161" s="52" t="s">
        <v>41</v>
      </c>
      <c r="AT161" s="19" t="s">
        <v>65</v>
      </c>
      <c r="AU161" s="19" t="s">
        <v>112</v>
      </c>
      <c r="AV161" s="19" t="s">
        <v>11</v>
      </c>
      <c r="AW161" s="52" t="s">
        <v>41</v>
      </c>
      <c r="AY161" s="19" t="s">
        <v>65</v>
      </c>
      <c r="AZ161" s="19" t="s">
        <v>112</v>
      </c>
      <c r="BA161" s="19" t="s">
        <v>11</v>
      </c>
      <c r="BB161" s="52" t="s">
        <v>41</v>
      </c>
    </row>
    <row r="162" ht="15.5" spans="21:54">
      <c r="U162" s="52" t="s">
        <v>250</v>
      </c>
      <c r="V162" s="53" t="s">
        <v>327</v>
      </c>
      <c r="W162" s="52">
        <f t="shared" ref="W162:W165" si="332">W85</f>
        <v>0.010830385716692</v>
      </c>
      <c r="X162" s="52">
        <v>2020</v>
      </c>
      <c r="Z162" s="52" t="s">
        <v>252</v>
      </c>
      <c r="AA162" s="53" t="s">
        <v>327</v>
      </c>
      <c r="AB162" s="52">
        <f t="shared" ref="AB162:AB165" si="333">X85</f>
        <v>0.0104020530367836</v>
      </c>
      <c r="AC162" s="52">
        <v>2020</v>
      </c>
      <c r="AE162" s="52" t="s">
        <v>254</v>
      </c>
      <c r="AF162" s="53" t="s">
        <v>327</v>
      </c>
      <c r="AG162" s="52">
        <f t="shared" ref="AG162:AG165" si="334">Y85</f>
        <v>0.0107085201793722</v>
      </c>
      <c r="AH162" s="52">
        <v>2020</v>
      </c>
      <c r="AJ162" s="52" t="s">
        <v>256</v>
      </c>
      <c r="AK162" s="53" t="s">
        <v>327</v>
      </c>
      <c r="AL162" s="52">
        <f t="shared" ref="AL162:AL165" si="335">Z85</f>
        <v>0.0117702805155421</v>
      </c>
      <c r="AM162" s="52">
        <v>2020</v>
      </c>
      <c r="AO162" s="52" t="s">
        <v>248</v>
      </c>
      <c r="AP162" s="53" t="s">
        <v>327</v>
      </c>
      <c r="AQ162" s="52">
        <f t="shared" ref="AQ162:AQ165" si="336">AA85</f>
        <v>0.011933619242961</v>
      </c>
      <c r="AR162" s="52">
        <v>2020</v>
      </c>
      <c r="AT162" s="52" t="s">
        <v>246</v>
      </c>
      <c r="AU162" s="53" t="s">
        <v>327</v>
      </c>
      <c r="AV162" s="52">
        <f t="shared" ref="AV162:AV165" si="337">AB85</f>
        <v>0.00898419864559818</v>
      </c>
      <c r="AW162" s="52">
        <v>2020</v>
      </c>
      <c r="AY162" s="52" t="s">
        <v>244</v>
      </c>
      <c r="AZ162" s="53" t="s">
        <v>327</v>
      </c>
      <c r="BA162" s="52">
        <f t="shared" ref="BA162:BA165" si="338">AC85</f>
        <v>0.0105588963565617</v>
      </c>
      <c r="BB162" s="52">
        <v>2020</v>
      </c>
    </row>
    <row r="163" ht="15.5" spans="21:54">
      <c r="U163" s="52" t="str">
        <f t="shared" ref="U163:U165" si="339">U162</f>
        <v>PyroRecy-NMC111</v>
      </c>
      <c r="V163" s="53" t="s">
        <v>328</v>
      </c>
      <c r="W163" s="52">
        <f t="shared" si="332"/>
        <v>0.0447027118073101</v>
      </c>
      <c r="X163" s="52">
        <v>2020</v>
      </c>
      <c r="Z163" s="52" t="str">
        <f t="shared" ref="Z163:Z165" si="340">Z162</f>
        <v>PyroRecy-NMC532</v>
      </c>
      <c r="AA163" s="53" t="s">
        <v>328</v>
      </c>
      <c r="AB163" s="52">
        <f t="shared" si="333"/>
        <v>0.0428058169375535</v>
      </c>
      <c r="AC163" s="52">
        <v>2020</v>
      </c>
      <c r="AE163" s="52" t="str">
        <f t="shared" ref="AE163:AE165" si="341">AE162</f>
        <v>PyroRecy-NMC622</v>
      </c>
      <c r="AF163" s="53" t="s">
        <v>328</v>
      </c>
      <c r="AG163" s="52">
        <f t="shared" si="334"/>
        <v>0.0441255605381166</v>
      </c>
      <c r="AH163" s="52">
        <v>2020</v>
      </c>
      <c r="AJ163" s="52" t="str">
        <f t="shared" ref="AJ163:AJ165" si="342">AJ162</f>
        <v>PyroRecy-NMC811</v>
      </c>
      <c r="AK163" s="53" t="s">
        <v>328</v>
      </c>
      <c r="AL163" s="52">
        <f t="shared" si="335"/>
        <v>0.0456406368460955</v>
      </c>
      <c r="AM163" s="52">
        <v>2020</v>
      </c>
      <c r="AO163" s="52" t="str">
        <f t="shared" ref="AO163:AO165" si="343">AO162</f>
        <v>PyroRecy-NCA</v>
      </c>
      <c r="AP163" s="53" t="s">
        <v>328</v>
      </c>
      <c r="AQ163" s="52">
        <f t="shared" si="336"/>
        <v>0.0467275778482193</v>
      </c>
      <c r="AR163" s="52">
        <v>2020</v>
      </c>
      <c r="AT163" s="52" t="str">
        <f t="shared" ref="AT163:AT165" si="344">AT162</f>
        <v>PyroRecy-LMO</v>
      </c>
      <c r="AU163" s="53" t="s">
        <v>328</v>
      </c>
      <c r="AV163" s="52">
        <f t="shared" si="337"/>
        <v>0.037020316027088</v>
      </c>
      <c r="AW163" s="52">
        <v>2020</v>
      </c>
      <c r="AY163" s="52" t="str">
        <f t="shared" ref="AY163:AY165" si="345">AY162</f>
        <v>PyroRecy-LFP</v>
      </c>
      <c r="AZ163" s="53" t="s">
        <v>328</v>
      </c>
      <c r="BA163" s="52">
        <f t="shared" si="338"/>
        <v>0.0435090201627167</v>
      </c>
      <c r="BB163" s="52">
        <v>2020</v>
      </c>
    </row>
    <row r="164" ht="15.5" spans="21:54">
      <c r="U164" s="52" t="str">
        <f t="shared" si="339"/>
        <v>PyroRecy-NMC111</v>
      </c>
      <c r="V164" s="53" t="s">
        <v>329</v>
      </c>
      <c r="W164" s="52">
        <f t="shared" si="332"/>
        <v>0.0724945258548088</v>
      </c>
      <c r="X164" s="52">
        <v>2020</v>
      </c>
      <c r="Z164" s="52" t="str">
        <f t="shared" si="340"/>
        <v>PyroRecy-NMC532</v>
      </c>
      <c r="AA164" s="53" t="s">
        <v>329</v>
      </c>
      <c r="AB164" s="52">
        <f t="shared" si="333"/>
        <v>0.0706073567151412</v>
      </c>
      <c r="AC164" s="52">
        <v>2020</v>
      </c>
      <c r="AE164" s="52" t="str">
        <f t="shared" si="341"/>
        <v>PyroRecy-NMC622</v>
      </c>
      <c r="AF164" s="53" t="s">
        <v>329</v>
      </c>
      <c r="AG164" s="52">
        <f t="shared" si="334"/>
        <v>0.0732017937219731</v>
      </c>
      <c r="AH164" s="52">
        <v>2020</v>
      </c>
      <c r="AJ164" s="52" t="str">
        <f t="shared" si="342"/>
        <v>PyroRecy-NMC811</v>
      </c>
      <c r="AK164" s="53" t="s">
        <v>329</v>
      </c>
      <c r="AL164" s="52">
        <f t="shared" si="335"/>
        <v>0.076516300227445</v>
      </c>
      <c r="AM164" s="52">
        <v>2020</v>
      </c>
      <c r="AO164" s="52" t="str">
        <f t="shared" si="343"/>
        <v>PyroRecy-NCA</v>
      </c>
      <c r="AP164" s="53" t="s">
        <v>329</v>
      </c>
      <c r="AQ164" s="52">
        <f t="shared" si="336"/>
        <v>0.0803841133693828</v>
      </c>
      <c r="AR164" s="52">
        <v>2020</v>
      </c>
      <c r="AT164" s="52" t="str">
        <f t="shared" si="344"/>
        <v>PyroRecy-LMO</v>
      </c>
      <c r="AU164" s="53" t="s">
        <v>329</v>
      </c>
      <c r="AV164" s="52">
        <f t="shared" si="337"/>
        <v>0.0614145974416855</v>
      </c>
      <c r="AW164" s="52">
        <v>2020</v>
      </c>
      <c r="AY164" s="52" t="str">
        <f t="shared" si="345"/>
        <v>PyroRecy-LFP</v>
      </c>
      <c r="AZ164" s="53" t="s">
        <v>329</v>
      </c>
      <c r="BA164" s="52">
        <f t="shared" si="338"/>
        <v>0.0721789883268483</v>
      </c>
      <c r="BB164" s="52">
        <v>2020</v>
      </c>
    </row>
    <row r="165" ht="15.5" spans="21:54">
      <c r="U165" s="52" t="str">
        <f t="shared" si="339"/>
        <v>PyroRecy-NMC111</v>
      </c>
      <c r="V165" s="53" t="s">
        <v>330</v>
      </c>
      <c r="W165" s="52">
        <f t="shared" si="332"/>
        <v>0.0131547919824827</v>
      </c>
      <c r="X165" s="52">
        <v>2020</v>
      </c>
      <c r="Z165" s="52" t="str">
        <f t="shared" si="340"/>
        <v>PyroRecy-NMC532</v>
      </c>
      <c r="AA165" s="53" t="s">
        <v>330</v>
      </c>
      <c r="AB165" s="52">
        <f t="shared" si="333"/>
        <v>0.0128656971770744</v>
      </c>
      <c r="AC165" s="52">
        <v>2020</v>
      </c>
      <c r="AE165" s="52" t="str">
        <f t="shared" si="341"/>
        <v>PyroRecy-NMC622</v>
      </c>
      <c r="AF165" s="53" t="s">
        <v>330</v>
      </c>
      <c r="AG165" s="52">
        <f t="shared" si="334"/>
        <v>0.0133273542600897</v>
      </c>
      <c r="AH165" s="52">
        <v>2020</v>
      </c>
      <c r="AJ165" s="52" t="str">
        <f t="shared" si="342"/>
        <v>PyroRecy-NMC811</v>
      </c>
      <c r="AK165" s="53" t="s">
        <v>330</v>
      </c>
      <c r="AL165" s="52">
        <f t="shared" si="335"/>
        <v>0.0145564821834723</v>
      </c>
      <c r="AM165" s="52">
        <v>2020</v>
      </c>
      <c r="AO165" s="52" t="str">
        <f t="shared" si="343"/>
        <v>PyroRecy-NCA</v>
      </c>
      <c r="AP165" s="53" t="s">
        <v>330</v>
      </c>
      <c r="AQ165" s="52">
        <f t="shared" si="336"/>
        <v>0.0148610852134999</v>
      </c>
      <c r="AR165" s="52">
        <v>2020</v>
      </c>
      <c r="AT165" s="52" t="str">
        <f t="shared" si="344"/>
        <v>PyroRecy-LMO</v>
      </c>
      <c r="AU165" s="53" t="s">
        <v>330</v>
      </c>
      <c r="AV165" s="52">
        <f t="shared" si="337"/>
        <v>0.0111813393528969</v>
      </c>
      <c r="AW165" s="52">
        <v>2020</v>
      </c>
      <c r="AY165" s="52" t="str">
        <f t="shared" si="345"/>
        <v>PyroRecy-LFP</v>
      </c>
      <c r="AZ165" s="53" t="s">
        <v>330</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326</v>
      </c>
      <c r="W172" s="51"/>
      <c r="X172" s="52"/>
      <c r="Z172" s="51"/>
      <c r="AA172" s="19" t="s">
        <v>326</v>
      </c>
      <c r="AB172" s="51"/>
      <c r="AC172" s="52"/>
      <c r="AE172" s="51"/>
      <c r="AF172" s="19" t="s">
        <v>326</v>
      </c>
      <c r="AG172" s="51"/>
      <c r="AH172" s="52"/>
      <c r="AJ172" s="51"/>
      <c r="AK172" s="19" t="s">
        <v>326</v>
      </c>
      <c r="AL172" s="51"/>
      <c r="AM172" s="52"/>
      <c r="AO172" s="51"/>
      <c r="AP172" s="19" t="s">
        <v>326</v>
      </c>
      <c r="AQ172" s="51"/>
      <c r="AR172" s="52"/>
      <c r="AT172" s="51"/>
      <c r="AU172" s="19" t="s">
        <v>326</v>
      </c>
      <c r="AV172" s="51"/>
      <c r="AW172" s="52"/>
      <c r="AY172" s="51"/>
      <c r="AZ172" s="19" t="s">
        <v>326</v>
      </c>
      <c r="BA172" s="51"/>
    </row>
    <row r="173" ht="15.5" spans="21:54">
      <c r="U173" s="19" t="s">
        <v>65</v>
      </c>
      <c r="V173" s="19" t="s">
        <v>112</v>
      </c>
      <c r="W173" s="19" t="s">
        <v>11</v>
      </c>
      <c r="X173" s="52" t="s">
        <v>41</v>
      </c>
      <c r="Z173" s="19" t="s">
        <v>65</v>
      </c>
      <c r="AA173" s="19" t="s">
        <v>112</v>
      </c>
      <c r="AB173" s="19" t="s">
        <v>11</v>
      </c>
      <c r="AC173" s="52" t="s">
        <v>41</v>
      </c>
      <c r="AE173" s="19" t="s">
        <v>65</v>
      </c>
      <c r="AF173" s="19" t="s">
        <v>112</v>
      </c>
      <c r="AG173" s="19" t="s">
        <v>11</v>
      </c>
      <c r="AH173" s="52" t="s">
        <v>41</v>
      </c>
      <c r="AJ173" s="19" t="s">
        <v>65</v>
      </c>
      <c r="AK173" s="19" t="s">
        <v>112</v>
      </c>
      <c r="AL173" s="19" t="s">
        <v>11</v>
      </c>
      <c r="AM173" s="52" t="s">
        <v>41</v>
      </c>
      <c r="AO173" s="19" t="s">
        <v>65</v>
      </c>
      <c r="AP173" s="19" t="s">
        <v>112</v>
      </c>
      <c r="AQ173" s="19" t="s">
        <v>11</v>
      </c>
      <c r="AR173" s="52" t="s">
        <v>41</v>
      </c>
      <c r="AT173" s="19" t="s">
        <v>65</v>
      </c>
      <c r="AU173" s="19" t="s">
        <v>112</v>
      </c>
      <c r="AV173" s="19" t="s">
        <v>11</v>
      </c>
      <c r="AW173" s="52" t="s">
        <v>41</v>
      </c>
      <c r="AY173" s="19" t="s">
        <v>65</v>
      </c>
      <c r="AZ173" s="19" t="s">
        <v>112</v>
      </c>
      <c r="BA173" s="19" t="s">
        <v>11</v>
      </c>
      <c r="BB173" s="52" t="s">
        <v>41</v>
      </c>
    </row>
    <row r="174" ht="15.5" spans="21:54">
      <c r="U174" s="52" t="s">
        <v>263</v>
      </c>
      <c r="V174" s="53" t="s">
        <v>327</v>
      </c>
      <c r="W174" s="52">
        <f t="shared" ref="W174:W177" si="346">W105</f>
        <v>0.011840997136601</v>
      </c>
      <c r="X174" s="52">
        <v>2020</v>
      </c>
      <c r="Z174" s="52" t="s">
        <v>265</v>
      </c>
      <c r="AA174" s="53" t="s">
        <v>327</v>
      </c>
      <c r="AB174" s="52">
        <f t="shared" ref="AB174:AB177" si="347">X105</f>
        <v>0.011377245508982</v>
      </c>
      <c r="AC174" s="52">
        <v>2020</v>
      </c>
      <c r="AE174" s="52" t="s">
        <v>267</v>
      </c>
      <c r="AF174" s="53" t="s">
        <v>327</v>
      </c>
      <c r="AG174" s="52">
        <f t="shared" ref="AG174:AG177" si="348">Y105</f>
        <v>0.0117668161434977</v>
      </c>
      <c r="AH174" s="52">
        <v>2020</v>
      </c>
      <c r="AJ174" s="52" t="s">
        <v>269</v>
      </c>
      <c r="AK174" s="53" t="s">
        <v>327</v>
      </c>
      <c r="AL174" s="52">
        <f t="shared" ref="AL174:AL177" si="349">Z105</f>
        <v>0.0120924943138741</v>
      </c>
      <c r="AM174" s="52">
        <v>2020</v>
      </c>
      <c r="AO174" s="52" t="s">
        <v>261</v>
      </c>
      <c r="AP174" s="53" t="s">
        <v>327</v>
      </c>
      <c r="AQ174" s="52">
        <f t="shared" ref="AQ174:AQ177" si="350">AA105</f>
        <v>0.0122878985642364</v>
      </c>
      <c r="AR174" s="52">
        <v>2020</v>
      </c>
      <c r="AT174" s="52" t="s">
        <v>260</v>
      </c>
      <c r="AU174" s="53" t="s">
        <v>327</v>
      </c>
      <c r="AV174" s="52">
        <f t="shared" ref="AV174:AV177" si="351">AB105</f>
        <v>0.00987208427389014</v>
      </c>
      <c r="AW174" s="52">
        <v>2020</v>
      </c>
      <c r="AY174" s="52" t="s">
        <v>258</v>
      </c>
      <c r="AZ174" s="53" t="s">
        <v>327</v>
      </c>
      <c r="BA174" s="52">
        <f t="shared" ref="BA174:BA177" si="352">AC105</f>
        <v>0.0116024053767244</v>
      </c>
      <c r="BB174" s="52">
        <v>2020</v>
      </c>
    </row>
    <row r="175" ht="15.5" spans="21:54">
      <c r="U175" s="52" t="str">
        <f t="shared" ref="U175:U177" si="353">U174</f>
        <v>HydRecy-NMC111</v>
      </c>
      <c r="V175" s="53" t="s">
        <v>328</v>
      </c>
      <c r="W175" s="52">
        <f t="shared" si="346"/>
        <v>0.0404413003200269</v>
      </c>
      <c r="X175" s="52">
        <v>2020</v>
      </c>
      <c r="Z175" s="52" t="str">
        <f t="shared" ref="Z175:Z177" si="354">Z174</f>
        <v>HydRecy-NMC532</v>
      </c>
      <c r="AA175" s="53" t="s">
        <v>328</v>
      </c>
      <c r="AB175" s="52">
        <f t="shared" si="347"/>
        <v>0.0389734816082122</v>
      </c>
      <c r="AC175" s="52">
        <v>2020</v>
      </c>
      <c r="AE175" s="52" t="str">
        <f t="shared" ref="AE175:AE177" si="355">AE174</f>
        <v>HydRecy-NMC622</v>
      </c>
      <c r="AF175" s="53" t="s">
        <v>328</v>
      </c>
      <c r="AG175" s="52">
        <f t="shared" si="348"/>
        <v>0.0403408071748879</v>
      </c>
      <c r="AH175" s="52">
        <v>2020</v>
      </c>
      <c r="AJ175" s="52" t="str">
        <f t="shared" ref="AJ175:AJ177" si="356">AJ174</f>
        <v>HydRecy-NMC811</v>
      </c>
      <c r="AK175" s="53" t="s">
        <v>328</v>
      </c>
      <c r="AL175" s="52">
        <f t="shared" si="349"/>
        <v>0.0420204700530705</v>
      </c>
      <c r="AM175" s="52">
        <v>2020</v>
      </c>
      <c r="AO175" s="52" t="str">
        <f t="shared" ref="AO175:AO177" si="357">AO174</f>
        <v>HydRecy-NCA</v>
      </c>
      <c r="AP175" s="53" t="s">
        <v>328</v>
      </c>
      <c r="AQ175" s="52">
        <f t="shared" si="350"/>
        <v>0.0428118590341227</v>
      </c>
      <c r="AR175" s="52">
        <v>2020</v>
      </c>
      <c r="AT175" s="52" t="str">
        <f t="shared" ref="AT175:AT177" si="358">AT174</f>
        <v>HydRecy-LMO</v>
      </c>
      <c r="AU175" s="53" t="s">
        <v>328</v>
      </c>
      <c r="AV175" s="52">
        <f t="shared" si="351"/>
        <v>0.0338449962377728</v>
      </c>
      <c r="AW175" s="52">
        <v>2020</v>
      </c>
      <c r="AY175" s="52" t="str">
        <f t="shared" ref="AY175:AY177" si="359">AY174</f>
        <v>HydRecy-LFP</v>
      </c>
      <c r="AZ175" s="53" t="s">
        <v>328</v>
      </c>
      <c r="BA175" s="52">
        <f t="shared" si="352"/>
        <v>0.0397771489211178</v>
      </c>
      <c r="BB175" s="52">
        <v>2020</v>
      </c>
    </row>
    <row r="176" ht="15.5" spans="21:54">
      <c r="U176" s="52" t="str">
        <f t="shared" si="353"/>
        <v>HydRecy-NMC111</v>
      </c>
      <c r="V176" s="53" t="s">
        <v>329</v>
      </c>
      <c r="W176" s="52">
        <f t="shared" si="346"/>
        <v>0.0870304867778339</v>
      </c>
      <c r="X176" s="52">
        <v>2020</v>
      </c>
      <c r="Z176" s="52" t="str">
        <f t="shared" si="354"/>
        <v>HydRecy-NMC532</v>
      </c>
      <c r="AA176" s="53" t="s">
        <v>329</v>
      </c>
      <c r="AB176" s="52">
        <f t="shared" si="347"/>
        <v>0.0843627031650984</v>
      </c>
      <c r="AC176" s="52">
        <v>2020</v>
      </c>
      <c r="AE176" s="52" t="str">
        <f t="shared" si="355"/>
        <v>HydRecy-NMC622</v>
      </c>
      <c r="AF176" s="53" t="s">
        <v>329</v>
      </c>
      <c r="AG176" s="52">
        <f t="shared" si="348"/>
        <v>0.0874439461883408</v>
      </c>
      <c r="AH176" s="52">
        <v>2020</v>
      </c>
      <c r="AJ176" s="52" t="str">
        <f t="shared" si="356"/>
        <v>HydRecy-NMC811</v>
      </c>
      <c r="AK176" s="53" t="s">
        <v>329</v>
      </c>
      <c r="AL176" s="52">
        <f t="shared" si="349"/>
        <v>0.0881918119787718</v>
      </c>
      <c r="AM176" s="52">
        <v>2020</v>
      </c>
      <c r="AO176" s="52" t="str">
        <f t="shared" si="357"/>
        <v>HydRecy-NCA</v>
      </c>
      <c r="AP176" s="53" t="s">
        <v>329</v>
      </c>
      <c r="AQ176" s="52">
        <f t="shared" si="350"/>
        <v>0.0922245012120082</v>
      </c>
      <c r="AR176" s="52">
        <v>2020</v>
      </c>
      <c r="AT176" s="52" t="str">
        <f t="shared" si="358"/>
        <v>HydRecy-LMO</v>
      </c>
      <c r="AU176" s="53" t="s">
        <v>329</v>
      </c>
      <c r="AV176" s="52">
        <f t="shared" si="351"/>
        <v>0.0733634311512415</v>
      </c>
      <c r="AW176" s="52">
        <v>2020</v>
      </c>
      <c r="AY176" s="52" t="str">
        <f t="shared" si="359"/>
        <v>HydRecy-LFP</v>
      </c>
      <c r="AZ176" s="53" t="s">
        <v>329</v>
      </c>
      <c r="BA176" s="52">
        <f t="shared" si="352"/>
        <v>0.0862221436151397</v>
      </c>
      <c r="BB176" s="52">
        <v>2020</v>
      </c>
    </row>
    <row r="177" ht="15.5" spans="21:54">
      <c r="U177" s="52" t="str">
        <f t="shared" si="353"/>
        <v>HydRecy-NMC111</v>
      </c>
      <c r="V177" s="53" t="s">
        <v>330</v>
      </c>
      <c r="W177" s="52">
        <f t="shared" si="346"/>
        <v>0.0133569142664645</v>
      </c>
      <c r="X177" s="52">
        <v>2020</v>
      </c>
      <c r="Z177" s="52" t="str">
        <f t="shared" si="354"/>
        <v>HydRecy-NMC532</v>
      </c>
      <c r="AA177" s="53" t="s">
        <v>330</v>
      </c>
      <c r="AB177" s="52">
        <f t="shared" si="347"/>
        <v>0.0131907613344739</v>
      </c>
      <c r="AC177" s="52">
        <v>2020</v>
      </c>
      <c r="AE177" s="52" t="str">
        <f t="shared" si="355"/>
        <v>HydRecy-NMC622</v>
      </c>
      <c r="AF177" s="53" t="s">
        <v>330</v>
      </c>
      <c r="AG177" s="52">
        <f t="shared" si="348"/>
        <v>0.0137399103139013</v>
      </c>
      <c r="AH177" s="52">
        <v>2020</v>
      </c>
      <c r="AJ177" s="52" t="str">
        <f t="shared" si="356"/>
        <v>HydRecy-NMC811</v>
      </c>
      <c r="AK177" s="53" t="s">
        <v>330</v>
      </c>
      <c r="AL177" s="52">
        <f t="shared" si="349"/>
        <v>0.0141015921152388</v>
      </c>
      <c r="AM177" s="52">
        <v>2020</v>
      </c>
      <c r="AO177" s="52" t="str">
        <f t="shared" si="357"/>
        <v>HydRecy-NCA</v>
      </c>
      <c r="AP177" s="53" t="s">
        <v>330</v>
      </c>
      <c r="AQ177" s="52">
        <f t="shared" si="350"/>
        <v>0.0143016968114861</v>
      </c>
      <c r="AR177" s="52">
        <v>2020</v>
      </c>
      <c r="AT177" s="52" t="str">
        <f t="shared" si="358"/>
        <v>HydRecy-LMO</v>
      </c>
      <c r="AU177" s="53" t="s">
        <v>330</v>
      </c>
      <c r="AV177" s="52">
        <f t="shared" si="351"/>
        <v>0.0115274642588412</v>
      </c>
      <c r="AW177" s="52">
        <v>2020</v>
      </c>
      <c r="AY177" s="52" t="str">
        <f t="shared" si="359"/>
        <v>HydRecy-LFP</v>
      </c>
      <c r="AZ177" s="53" t="s">
        <v>330</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326</v>
      </c>
      <c r="W183" s="51"/>
      <c r="X183" s="52"/>
      <c r="Z183" s="51"/>
      <c r="AA183" s="19" t="s">
        <v>326</v>
      </c>
      <c r="AB183" s="51"/>
      <c r="AC183" s="52"/>
      <c r="AE183" s="51"/>
      <c r="AF183" s="19" t="s">
        <v>326</v>
      </c>
      <c r="AG183" s="51"/>
      <c r="AH183" s="52"/>
      <c r="AJ183" s="51"/>
      <c r="AK183" s="19" t="s">
        <v>326</v>
      </c>
      <c r="AL183" s="51"/>
      <c r="AM183" s="52"/>
      <c r="AO183" s="51"/>
      <c r="AP183" s="19" t="s">
        <v>326</v>
      </c>
      <c r="AQ183" s="51"/>
      <c r="AR183" s="52"/>
      <c r="AT183" s="51"/>
      <c r="AU183" s="19" t="s">
        <v>326</v>
      </c>
      <c r="AV183" s="51"/>
      <c r="AW183" s="52"/>
      <c r="AY183" s="51"/>
      <c r="AZ183" s="19" t="s">
        <v>326</v>
      </c>
      <c r="BA183" s="51"/>
    </row>
    <row r="184" ht="15.5" spans="21:54">
      <c r="U184" s="19" t="s">
        <v>65</v>
      </c>
      <c r="V184" s="19" t="s">
        <v>112</v>
      </c>
      <c r="W184" s="19" t="s">
        <v>11</v>
      </c>
      <c r="X184" s="52" t="s">
        <v>41</v>
      </c>
      <c r="Z184" s="19" t="s">
        <v>65</v>
      </c>
      <c r="AA184" s="19" t="s">
        <v>112</v>
      </c>
      <c r="AB184" s="19" t="s">
        <v>11</v>
      </c>
      <c r="AC184" s="52" t="s">
        <v>41</v>
      </c>
      <c r="AE184" s="19" t="s">
        <v>65</v>
      </c>
      <c r="AF184" s="19" t="s">
        <v>112</v>
      </c>
      <c r="AG184" s="19" t="s">
        <v>11</v>
      </c>
      <c r="AH184" s="52" t="s">
        <v>41</v>
      </c>
      <c r="AJ184" s="19" t="s">
        <v>65</v>
      </c>
      <c r="AK184" s="19" t="s">
        <v>112</v>
      </c>
      <c r="AL184" s="19" t="s">
        <v>11</v>
      </c>
      <c r="AM184" s="52" t="s">
        <v>41</v>
      </c>
      <c r="AO184" s="19" t="s">
        <v>65</v>
      </c>
      <c r="AP184" s="19" t="s">
        <v>112</v>
      </c>
      <c r="AQ184" s="19" t="s">
        <v>11</v>
      </c>
      <c r="AR184" s="52" t="s">
        <v>41</v>
      </c>
      <c r="AT184" s="19" t="s">
        <v>65</v>
      </c>
      <c r="AU184" s="19" t="s">
        <v>112</v>
      </c>
      <c r="AV184" s="19" t="s">
        <v>11</v>
      </c>
      <c r="AW184" s="52" t="s">
        <v>41</v>
      </c>
      <c r="AY184" s="19" t="s">
        <v>65</v>
      </c>
      <c r="AZ184" s="19" t="s">
        <v>112</v>
      </c>
      <c r="BA184" s="19" t="s">
        <v>11</v>
      </c>
      <c r="BB184" s="52" t="s">
        <v>41</v>
      </c>
    </row>
    <row r="185" ht="15.5" spans="21:54">
      <c r="U185" s="52" t="s">
        <v>276</v>
      </c>
      <c r="V185" s="53" t="s">
        <v>327</v>
      </c>
      <c r="W185" s="52">
        <f t="shared" ref="W185:W188" si="360">W125</f>
        <v>0.00810173488293751</v>
      </c>
      <c r="X185" s="52">
        <v>2020</v>
      </c>
      <c r="Z185" s="52" t="s">
        <v>278</v>
      </c>
      <c r="AA185" s="53" t="s">
        <v>327</v>
      </c>
      <c r="AB185" s="52">
        <f t="shared" ref="AB185:AB188" si="361">X125</f>
        <v>0.00786997433704022</v>
      </c>
      <c r="AC185" s="52">
        <v>2020</v>
      </c>
      <c r="AE185" s="52" t="s">
        <v>280</v>
      </c>
      <c r="AF185" s="53" t="s">
        <v>327</v>
      </c>
      <c r="AG185" s="52">
        <f t="shared" ref="AG185:AG188" si="362">Y125</f>
        <v>0.00817937219730942</v>
      </c>
      <c r="AH185" s="52">
        <v>2020</v>
      </c>
      <c r="AJ185" s="52" t="s">
        <v>281</v>
      </c>
      <c r="AK185" s="53" t="s">
        <v>327</v>
      </c>
      <c r="AL185" s="52">
        <f t="shared" ref="AL185:AL188" si="363">Z125</f>
        <v>0.00816906747536013</v>
      </c>
      <c r="AM185" s="52">
        <v>2020</v>
      </c>
      <c r="AO185" s="52" t="s">
        <v>275</v>
      </c>
      <c r="AP185" s="53" t="s">
        <v>327</v>
      </c>
      <c r="AQ185" s="52">
        <f t="shared" ref="AQ185:AQ188" si="364">AA125</f>
        <v>0.00826030206973706</v>
      </c>
      <c r="AR185" s="52">
        <v>2020</v>
      </c>
      <c r="AT185" s="52" t="s">
        <v>273</v>
      </c>
      <c r="AU185" s="53" t="s">
        <v>327</v>
      </c>
      <c r="AV185" s="52">
        <f t="shared" ref="AV185:AV188" si="365">AB125</f>
        <v>0.00686230248306997</v>
      </c>
      <c r="AW185" s="52">
        <v>2020</v>
      </c>
      <c r="AY185" s="52" t="s">
        <v>271</v>
      </c>
      <c r="AZ185" s="53" t="s">
        <v>327</v>
      </c>
      <c r="BA185" s="52">
        <f t="shared" ref="BA185:BA188" si="366">AC125</f>
        <v>0.00806508666430845</v>
      </c>
      <c r="BB185" s="52">
        <v>2020</v>
      </c>
    </row>
    <row r="186" ht="15.5" spans="21:54">
      <c r="U186" s="52" t="str">
        <f t="shared" ref="U186:U188" si="367">U185</f>
        <v>DirRecy-NMC111</v>
      </c>
      <c r="V186" s="53" t="s">
        <v>328</v>
      </c>
      <c r="W186" s="52">
        <f t="shared" si="360"/>
        <v>0.0319690079164561</v>
      </c>
      <c r="X186" s="52">
        <v>2020</v>
      </c>
      <c r="Z186" s="52" t="str">
        <f t="shared" ref="Z186:Z188" si="368">Z185</f>
        <v>DirRecy-NMC532</v>
      </c>
      <c r="AA186" s="53" t="s">
        <v>328</v>
      </c>
      <c r="AB186" s="52">
        <f t="shared" si="361"/>
        <v>0.0310692899914457</v>
      </c>
      <c r="AC186" s="52">
        <v>2020</v>
      </c>
      <c r="AE186" s="52" t="str">
        <f t="shared" ref="AE186:AE188" si="369">AE185</f>
        <v>DirRecy-NMC622</v>
      </c>
      <c r="AF186" s="53" t="s">
        <v>328</v>
      </c>
      <c r="AG186" s="52">
        <f t="shared" si="362"/>
        <v>0.0322331838565022</v>
      </c>
      <c r="AH186" s="52">
        <v>2020</v>
      </c>
      <c r="AJ186" s="52" t="str">
        <f t="shared" ref="AJ186:AJ188" si="370">AJ185</f>
        <v>DirRecy-NMC811</v>
      </c>
      <c r="AK186" s="53" t="s">
        <v>328</v>
      </c>
      <c r="AL186" s="52">
        <f t="shared" si="363"/>
        <v>0.0321645185746778</v>
      </c>
      <c r="AM186" s="52">
        <v>2020</v>
      </c>
      <c r="AO186" s="52" t="str">
        <f t="shared" ref="AO186:AO188" si="371">AO185</f>
        <v>DirRecy-NCA</v>
      </c>
      <c r="AP186" s="53" t="s">
        <v>328</v>
      </c>
      <c r="AQ186" s="52">
        <f t="shared" si="364"/>
        <v>0.0325750512772702</v>
      </c>
      <c r="AR186" s="52">
        <v>2020</v>
      </c>
      <c r="AT186" s="52" t="str">
        <f t="shared" ref="AT186:AT188" si="372">AT185</f>
        <v>DirRecy-LMO</v>
      </c>
      <c r="AU186" s="53" t="s">
        <v>328</v>
      </c>
      <c r="AV186" s="52">
        <f t="shared" si="365"/>
        <v>0.0270428893905192</v>
      </c>
      <c r="AW186" s="52">
        <v>2020</v>
      </c>
      <c r="AY186" s="52" t="str">
        <f t="shared" ref="AY186:AY188" si="373">AY185</f>
        <v>DirRecy-LFP</v>
      </c>
      <c r="AZ186" s="53" t="s">
        <v>328</v>
      </c>
      <c r="BA186" s="52">
        <f t="shared" si="366"/>
        <v>0.0317828086310577</v>
      </c>
      <c r="BB186" s="52">
        <v>2020</v>
      </c>
    </row>
    <row r="187" ht="15.5" spans="21:54">
      <c r="U187" s="52" t="str">
        <f t="shared" si="367"/>
        <v>DirRecy-NMC111</v>
      </c>
      <c r="V187" s="53" t="s">
        <v>329</v>
      </c>
      <c r="W187" s="52">
        <f t="shared" si="360"/>
        <v>0.0557183762843187</v>
      </c>
      <c r="X187" s="52">
        <v>2020</v>
      </c>
      <c r="Z187" s="52" t="str">
        <f t="shared" si="368"/>
        <v>DirRecy-NMC532</v>
      </c>
      <c r="AA187" s="53" t="s">
        <v>329</v>
      </c>
      <c r="AB187" s="52">
        <f t="shared" si="361"/>
        <v>0.055158254918734</v>
      </c>
      <c r="AC187" s="52">
        <v>2020</v>
      </c>
      <c r="AE187" s="52" t="str">
        <f t="shared" si="369"/>
        <v>DirRecy-NMC622</v>
      </c>
      <c r="AF187" s="53" t="s">
        <v>329</v>
      </c>
      <c r="AG187" s="52">
        <f t="shared" si="362"/>
        <v>0.0574887892376682</v>
      </c>
      <c r="AH187" s="52">
        <v>2020</v>
      </c>
      <c r="AJ187" s="52" t="str">
        <f t="shared" si="370"/>
        <v>DirRecy-NMC811</v>
      </c>
      <c r="AK187" s="53" t="s">
        <v>329</v>
      </c>
      <c r="AL187" s="52">
        <f t="shared" si="363"/>
        <v>0.0587755875663381</v>
      </c>
      <c r="AM187" s="52">
        <v>2020</v>
      </c>
      <c r="AO187" s="52" t="str">
        <f t="shared" si="371"/>
        <v>DirRecy-NCA</v>
      </c>
      <c r="AP187" s="53" t="s">
        <v>329</v>
      </c>
      <c r="AQ187" s="52">
        <f t="shared" si="364"/>
        <v>0.0587544284915159</v>
      </c>
      <c r="AR187" s="52">
        <v>2020</v>
      </c>
      <c r="AT187" s="52" t="str">
        <f t="shared" si="372"/>
        <v>DirRecy-LMO</v>
      </c>
      <c r="AU187" s="53" t="s">
        <v>329</v>
      </c>
      <c r="AV187" s="52">
        <f t="shared" si="365"/>
        <v>0.0482317531978932</v>
      </c>
      <c r="AW187" s="52">
        <v>2020</v>
      </c>
      <c r="AY187" s="52" t="str">
        <f t="shared" si="373"/>
        <v>DirRecy-LFP</v>
      </c>
      <c r="AZ187" s="53" t="s">
        <v>329</v>
      </c>
      <c r="BA187" s="52">
        <f t="shared" si="366"/>
        <v>0.0566855323664662</v>
      </c>
      <c r="BB187" s="52">
        <v>2020</v>
      </c>
    </row>
    <row r="188" ht="15.5" spans="21:54">
      <c r="U188" s="52" t="str">
        <f t="shared" si="367"/>
        <v>DirRecy-NMC111</v>
      </c>
      <c r="V188" s="53" t="s">
        <v>330</v>
      </c>
      <c r="W188" s="52">
        <f t="shared" si="360"/>
        <v>0.0130537308404918</v>
      </c>
      <c r="X188" s="52">
        <v>2020</v>
      </c>
      <c r="Z188" s="52" t="str">
        <f t="shared" si="368"/>
        <v>DirRecy-NMC532</v>
      </c>
      <c r="AA188" s="53" t="s">
        <v>330</v>
      </c>
      <c r="AB188" s="52">
        <f t="shared" si="361"/>
        <v>0.0129170230966638</v>
      </c>
      <c r="AC188" s="52">
        <v>2020</v>
      </c>
      <c r="AE188" s="52" t="str">
        <f t="shared" si="369"/>
        <v>DirRecy-NMC622</v>
      </c>
      <c r="AF188" s="53" t="s">
        <v>330</v>
      </c>
      <c r="AG188" s="52">
        <f t="shared" si="362"/>
        <v>0.0134529147982063</v>
      </c>
      <c r="AH188" s="52">
        <v>2020</v>
      </c>
      <c r="AJ188" s="52" t="str">
        <f t="shared" si="370"/>
        <v>DirRecy-NMC811</v>
      </c>
      <c r="AK188" s="53" t="s">
        <v>330</v>
      </c>
      <c r="AL188" s="52">
        <f t="shared" si="363"/>
        <v>0.0136846095526914</v>
      </c>
      <c r="AM188" s="52">
        <v>2020</v>
      </c>
      <c r="AO188" s="52" t="str">
        <f t="shared" si="371"/>
        <v>DirRecy-NCA</v>
      </c>
      <c r="AP188" s="53" t="s">
        <v>330</v>
      </c>
      <c r="AQ188" s="52">
        <f t="shared" si="364"/>
        <v>0.0137236621294052</v>
      </c>
      <c r="AR188" s="52">
        <v>2020</v>
      </c>
      <c r="AT188" s="52" t="str">
        <f t="shared" si="372"/>
        <v>DirRecy-LMO</v>
      </c>
      <c r="AU188" s="53" t="s">
        <v>330</v>
      </c>
      <c r="AV188" s="52">
        <f t="shared" si="365"/>
        <v>0.0112866817155756</v>
      </c>
      <c r="AW188" s="52">
        <v>2020</v>
      </c>
      <c r="AY188" s="52" t="str">
        <f t="shared" si="373"/>
        <v>DirRecy-LFP</v>
      </c>
      <c r="AZ188" s="53" t="s">
        <v>330</v>
      </c>
      <c r="BA188" s="52">
        <f t="shared" si="366"/>
        <v>0.01326494517156</v>
      </c>
      <c r="BB188" s="52">
        <v>2020</v>
      </c>
    </row>
    <row r="198" spans="21:54">
      <c r="V198" s="1" t="s">
        <v>326</v>
      </c>
      <c r="AA198" s="1" t="s">
        <v>326</v>
      </c>
      <c r="AF198" s="1" t="s">
        <v>326</v>
      </c>
      <c r="AK198" s="1" t="s">
        <v>326</v>
      </c>
      <c r="AP198" s="1" t="s">
        <v>326</v>
      </c>
      <c r="AU198" s="1" t="s">
        <v>326</v>
      </c>
      <c r="AZ198" s="1" t="s">
        <v>326</v>
      </c>
    </row>
    <row r="199" ht="15.5" spans="21:54">
      <c r="U199" s="1" t="s">
        <v>65</v>
      </c>
      <c r="V199" s="1" t="s">
        <v>112</v>
      </c>
      <c r="W199" s="1" t="s">
        <v>11</v>
      </c>
      <c r="X199" s="52" t="s">
        <v>41</v>
      </c>
      <c r="Z199" s="1" t="s">
        <v>65</v>
      </c>
      <c r="AA199" s="1" t="s">
        <v>112</v>
      </c>
      <c r="AB199" s="1" t="s">
        <v>11</v>
      </c>
      <c r="AC199" s="52" t="s">
        <v>41</v>
      </c>
      <c r="AE199" s="1" t="s">
        <v>65</v>
      </c>
      <c r="AF199" s="1" t="s">
        <v>112</v>
      </c>
      <c r="AG199" s="1" t="s">
        <v>11</v>
      </c>
      <c r="AH199" s="52" t="s">
        <v>41</v>
      </c>
      <c r="AJ199" s="1" t="s">
        <v>65</v>
      </c>
      <c r="AK199" s="1" t="s">
        <v>112</v>
      </c>
      <c r="AL199" s="1" t="s">
        <v>11</v>
      </c>
      <c r="AM199" s="52" t="s">
        <v>41</v>
      </c>
      <c r="AO199" s="1" t="s">
        <v>65</v>
      </c>
      <c r="AP199" s="1" t="s">
        <v>112</v>
      </c>
      <c r="AQ199" s="1" t="s">
        <v>11</v>
      </c>
      <c r="AR199" s="52" t="s">
        <v>41</v>
      </c>
      <c r="AT199" s="1" t="s">
        <v>65</v>
      </c>
      <c r="AU199" s="1" t="s">
        <v>112</v>
      </c>
      <c r="AV199" s="1" t="s">
        <v>11</v>
      </c>
      <c r="AW199" s="52" t="s">
        <v>41</v>
      </c>
      <c r="AY199" s="1" t="s">
        <v>65</v>
      </c>
      <c r="AZ199" s="1" t="s">
        <v>112</v>
      </c>
      <c r="BA199" s="1" t="s">
        <v>11</v>
      </c>
      <c r="BB199" s="52" t="s">
        <v>41</v>
      </c>
    </row>
    <row r="200" ht="15.5" spans="21:54">
      <c r="U200" s="1" t="s">
        <v>250</v>
      </c>
      <c r="V200" s="1" t="s">
        <v>327</v>
      </c>
      <c r="W200" s="1">
        <f>SUM(W162:W165)</f>
        <v>0.141182415361294</v>
      </c>
      <c r="X200" s="52" t="s">
        <v>351</v>
      </c>
      <c r="Z200" s="1" t="s">
        <v>252</v>
      </c>
      <c r="AA200" s="1" t="s">
        <v>327</v>
      </c>
      <c r="AB200" s="1">
        <f>SUM(AB162:AB165)</f>
        <v>0.136680923866553</v>
      </c>
      <c r="AC200" s="52" t="s">
        <v>351</v>
      </c>
      <c r="AE200" s="1" t="s">
        <v>254</v>
      </c>
      <c r="AF200" s="1" t="s">
        <v>327</v>
      </c>
      <c r="AG200" s="1">
        <f>SUM(AG162:AG165)</f>
        <v>0.141363228699552</v>
      </c>
      <c r="AH200" s="52" t="s">
        <v>351</v>
      </c>
      <c r="AJ200" s="1" t="s">
        <v>256</v>
      </c>
      <c r="AK200" s="1" t="s">
        <v>327</v>
      </c>
      <c r="AL200" s="1">
        <f>SUM(AL162:AL165)</f>
        <v>0.148483699772555</v>
      </c>
      <c r="AM200" s="52" t="s">
        <v>351</v>
      </c>
      <c r="AO200" s="1" t="s">
        <v>248</v>
      </c>
      <c r="AP200" s="1" t="s">
        <v>327</v>
      </c>
      <c r="AQ200" s="1">
        <f>SUM(AQ162:AQ165)</f>
        <v>0.153906395674063</v>
      </c>
      <c r="AR200" s="52" t="s">
        <v>351</v>
      </c>
      <c r="AT200" s="1" t="s">
        <v>246</v>
      </c>
      <c r="AU200" s="1" t="s">
        <v>327</v>
      </c>
      <c r="AV200" s="1">
        <f>SUM(AV162:AV165)</f>
        <v>0.118600451467269</v>
      </c>
      <c r="AW200" s="52" t="s">
        <v>351</v>
      </c>
      <c r="AY200" s="1" t="s">
        <v>244</v>
      </c>
      <c r="AZ200" s="1" t="s">
        <v>327</v>
      </c>
      <c r="BA200" s="1">
        <f>SUM(BA162:BA165)</f>
        <v>0.139388043862752</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11</v>
      </c>
      <c r="X211" s="52" t="s">
        <v>41</v>
      </c>
      <c r="Z211" s="1" t="s">
        <v>65</v>
      </c>
      <c r="AA211" s="1" t="s">
        <v>112</v>
      </c>
      <c r="AB211" s="1" t="s">
        <v>11</v>
      </c>
      <c r="AC211" s="52" t="s">
        <v>41</v>
      </c>
      <c r="AE211" s="1" t="s">
        <v>65</v>
      </c>
      <c r="AF211" s="1" t="s">
        <v>112</v>
      </c>
      <c r="AG211" s="1" t="s">
        <v>11</v>
      </c>
      <c r="AH211" s="52" t="s">
        <v>41</v>
      </c>
      <c r="AJ211" s="1" t="s">
        <v>65</v>
      </c>
      <c r="AK211" s="1" t="s">
        <v>112</v>
      </c>
      <c r="AL211" s="1" t="s">
        <v>11</v>
      </c>
      <c r="AM211" s="52" t="s">
        <v>41</v>
      </c>
      <c r="AO211" s="1" t="s">
        <v>65</v>
      </c>
      <c r="AP211" s="1" t="s">
        <v>112</v>
      </c>
      <c r="AQ211" s="1" t="s">
        <v>11</v>
      </c>
      <c r="AR211" s="52" t="s">
        <v>41</v>
      </c>
      <c r="AT211" s="1" t="s">
        <v>65</v>
      </c>
      <c r="AU211" s="1" t="s">
        <v>112</v>
      </c>
      <c r="AV211" s="1" t="s">
        <v>11</v>
      </c>
      <c r="AW211" s="52" t="s">
        <v>41</v>
      </c>
      <c r="AY211" s="1" t="s">
        <v>65</v>
      </c>
      <c r="AZ211" s="1" t="s">
        <v>112</v>
      </c>
      <c r="BA211" s="1" t="s">
        <v>11</v>
      </c>
      <c r="BB211" s="52" t="s">
        <v>41</v>
      </c>
    </row>
    <row r="212" ht="15.5" spans="21:54">
      <c r="U212" s="1" t="s">
        <v>263</v>
      </c>
      <c r="V212" s="1" t="s">
        <v>327</v>
      </c>
      <c r="W212" s="1">
        <f>SUM(W174:W177)</f>
        <v>0.152669698500926</v>
      </c>
      <c r="X212" s="52" t="s">
        <v>351</v>
      </c>
      <c r="Z212" s="1" t="s">
        <v>265</v>
      </c>
      <c r="AA212" s="1" t="s">
        <v>327</v>
      </c>
      <c r="AB212" s="1">
        <f>SUM(AB174:AB177)</f>
        <v>0.147904191616766</v>
      </c>
      <c r="AC212" s="52" t="s">
        <v>351</v>
      </c>
      <c r="AE212" s="1" t="s">
        <v>267</v>
      </c>
      <c r="AF212" s="1" t="s">
        <v>327</v>
      </c>
      <c r="AG212" s="1">
        <f>SUM(AG174:AG177)</f>
        <v>0.153291479820628</v>
      </c>
      <c r="AH212" s="52" t="s">
        <v>351</v>
      </c>
      <c r="AJ212" s="1" t="s">
        <v>269</v>
      </c>
      <c r="AK212" s="1" t="s">
        <v>327</v>
      </c>
      <c r="AL212" s="1">
        <f>SUM(AL174:AL177)</f>
        <v>0.156406368460955</v>
      </c>
      <c r="AM212" s="52" t="s">
        <v>351</v>
      </c>
      <c r="AO212" s="1" t="s">
        <v>261</v>
      </c>
      <c r="AP212" s="1" t="s">
        <v>327</v>
      </c>
      <c r="AQ212" s="1">
        <f>SUM(AQ174:AQ177)</f>
        <v>0.161625955621853</v>
      </c>
      <c r="AR212" s="52" t="s">
        <v>351</v>
      </c>
      <c r="AT212" s="1" t="s">
        <v>260</v>
      </c>
      <c r="AU212" s="1" t="s">
        <v>327</v>
      </c>
      <c r="AV212" s="1">
        <f>SUM(AV174:AV177)</f>
        <v>0.128607975921746</v>
      </c>
      <c r="AW212" s="52" t="s">
        <v>351</v>
      </c>
      <c r="AY212" s="1" t="s">
        <v>258</v>
      </c>
      <c r="AZ212" s="1" t="s">
        <v>327</v>
      </c>
      <c r="BA212" s="1">
        <f>SUM(BA174:BA177)</f>
        <v>0.151149628581535</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11</v>
      </c>
      <c r="X222" s="52" t="s">
        <v>41</v>
      </c>
      <c r="Z222" s="1" t="s">
        <v>65</v>
      </c>
      <c r="AA222" s="1" t="s">
        <v>112</v>
      </c>
      <c r="AB222" s="1" t="s">
        <v>11</v>
      </c>
      <c r="AC222" s="52" t="s">
        <v>41</v>
      </c>
      <c r="AE222" s="1" t="s">
        <v>65</v>
      </c>
      <c r="AF222" s="1" t="s">
        <v>112</v>
      </c>
      <c r="AG222" s="1" t="s">
        <v>11</v>
      </c>
      <c r="AH222" s="52" t="s">
        <v>41</v>
      </c>
      <c r="AJ222" s="1" t="s">
        <v>65</v>
      </c>
      <c r="AK222" s="1" t="s">
        <v>112</v>
      </c>
      <c r="AL222" s="1" t="s">
        <v>11</v>
      </c>
      <c r="AM222" s="52" t="s">
        <v>41</v>
      </c>
      <c r="AO222" s="1" t="s">
        <v>65</v>
      </c>
      <c r="AP222" s="1" t="s">
        <v>112</v>
      </c>
      <c r="AQ222" s="1" t="s">
        <v>11</v>
      </c>
      <c r="AR222" s="52" t="s">
        <v>41</v>
      </c>
      <c r="AT222" s="1" t="s">
        <v>65</v>
      </c>
      <c r="AU222" s="1" t="s">
        <v>112</v>
      </c>
      <c r="AV222" s="1" t="s">
        <v>11</v>
      </c>
      <c r="AW222" s="52" t="s">
        <v>41</v>
      </c>
      <c r="AY222" s="1" t="s">
        <v>65</v>
      </c>
      <c r="AZ222" s="1" t="s">
        <v>112</v>
      </c>
      <c r="BA222" s="1" t="s">
        <v>11</v>
      </c>
      <c r="BB222" s="52" t="s">
        <v>41</v>
      </c>
    </row>
    <row r="223" ht="15.5" spans="21:54">
      <c r="U223" s="1" t="s">
        <v>276</v>
      </c>
      <c r="V223" s="1" t="s">
        <v>327</v>
      </c>
      <c r="W223" s="1">
        <f>SUM(W185:W188)</f>
        <v>0.108842849924204</v>
      </c>
      <c r="X223" s="52" t="s">
        <v>351</v>
      </c>
      <c r="Z223" s="1" t="s">
        <v>278</v>
      </c>
      <c r="AA223" s="1" t="s">
        <v>327</v>
      </c>
      <c r="AB223" s="1">
        <f>SUM(AB185:AB188)</f>
        <v>0.107014542343884</v>
      </c>
      <c r="AC223" s="52" t="s">
        <v>351</v>
      </c>
      <c r="AE223" s="1" t="s">
        <v>280</v>
      </c>
      <c r="AF223" s="1" t="s">
        <v>327</v>
      </c>
      <c r="AG223" s="1">
        <f>SUM(AG185:AG188)</f>
        <v>0.111354260089686</v>
      </c>
      <c r="AH223" s="52" t="s">
        <v>351</v>
      </c>
      <c r="AJ223" s="1" t="s">
        <v>281</v>
      </c>
      <c r="AK223" s="1" t="s">
        <v>327</v>
      </c>
      <c r="AL223" s="1">
        <f>SUM(AL185:AL188)</f>
        <v>0.112793783169067</v>
      </c>
      <c r="AM223" s="52" t="s">
        <v>351</v>
      </c>
      <c r="AO223" s="1" t="s">
        <v>275</v>
      </c>
      <c r="AP223" s="1" t="s">
        <v>327</v>
      </c>
      <c r="AQ223" s="1">
        <f>SUM(AQ185:AQ188)</f>
        <v>0.113313443967928</v>
      </c>
      <c r="AR223" s="52" t="s">
        <v>351</v>
      </c>
      <c r="AT223" s="1" t="s">
        <v>273</v>
      </c>
      <c r="AU223" s="1" t="s">
        <v>327</v>
      </c>
      <c r="AV223" s="1">
        <f>SUM(AV185:AV188)</f>
        <v>0.0934236267870579</v>
      </c>
      <c r="AW223" s="52" t="s">
        <v>351</v>
      </c>
      <c r="AY223" s="1" t="s">
        <v>271</v>
      </c>
      <c r="AZ223" s="1" t="s">
        <v>327</v>
      </c>
      <c r="BA223" s="1">
        <f>SUM(BA185:BA188)</f>
        <v>0.109798372833392</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370</v>
      </c>
      <c r="B1" s="32"/>
      <c r="C1" s="32"/>
      <c r="D1" s="32"/>
      <c r="E1" s="32"/>
      <c r="F1" s="32"/>
      <c r="G1" s="32"/>
      <c r="H1" s="32"/>
      <c r="I1" s="32"/>
      <c r="J1" s="32"/>
      <c r="K1" s="32"/>
      <c r="L1" s="32"/>
      <c r="M1" s="32"/>
      <c r="N1" s="32"/>
      <c r="O1" s="32"/>
      <c r="P1" s="32"/>
      <c r="Q1" s="32"/>
      <c r="R1" s="32"/>
      <c r="S1" s="32"/>
      <c r="T1" s="32"/>
      <c r="U1" s="32"/>
      <c r="V1" s="32"/>
      <c r="W1" s="32"/>
      <c r="AI1" t="s">
        <v>371</v>
      </c>
      <c r="BL1" t="s">
        <v>372</v>
      </c>
    </row>
    <row r="2" spans="1:89">
      <c r="A2" s="32" t="s">
        <v>1</v>
      </c>
      <c r="B2" s="32" t="s">
        <v>136</v>
      </c>
      <c r="C2" s="32" t="s">
        <v>4</v>
      </c>
      <c r="D2" s="32" t="s">
        <v>4</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373</v>
      </c>
      <c r="BK2" t="s">
        <v>373</v>
      </c>
    </row>
    <row r="3" spans="1:89">
      <c r="A3" s="32" t="s">
        <v>3</v>
      </c>
      <c r="B3" s="32" t="s">
        <v>374</v>
      </c>
      <c r="C3" s="32" t="s">
        <v>374</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169" t="s">
        <v>375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377</v>
      </c>
      <c r="C4" s="32" t="s">
        <v>377</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169" t="s">
        <v>375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378</v>
      </c>
      <c r="C5" s="32" t="s">
        <v>378</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169" t="s">
        <v>375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379</v>
      </c>
      <c r="C6" s="32" t="s">
        <v>379</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169" t="s">
        <v>380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381</v>
      </c>
      <c r="C7" s="32" t="s">
        <v>381</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169" t="s">
        <v>375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382</v>
      </c>
      <c r="C8" s="32" t="s">
        <v>382</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169" t="s">
        <v>375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383</v>
      </c>
      <c r="C9" s="32" t="s">
        <v>383</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169" t="s">
        <v>380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384</v>
      </c>
      <c r="C10" s="32" t="s">
        <v>384</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169" t="s">
        <v>380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385</v>
      </c>
      <c r="C11" s="32" t="s">
        <v>385</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169" t="s">
        <v>380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386</v>
      </c>
      <c r="C12" s="32" t="s">
        <v>386</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169" t="s">
        <v>387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388</v>
      </c>
      <c r="C13" s="32" t="s">
        <v>388</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169" t="s">
        <v>375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389</v>
      </c>
      <c r="C14" s="32" t="s">
        <v>389</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169" t="s">
        <v>375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374</v>
      </c>
      <c r="C15" s="32" t="s">
        <v>374</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169" t="s">
        <v>375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377</v>
      </c>
      <c r="C16" s="32" t="s">
        <v>377</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169" t="s">
        <v>375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378</v>
      </c>
      <c r="C17" s="32" t="s">
        <v>378</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169" t="s">
        <v>375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379</v>
      </c>
      <c r="C18" s="32" t="s">
        <v>379</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169" t="s">
        <v>380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381</v>
      </c>
      <c r="C19" s="32" t="s">
        <v>381</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169" t="s">
        <v>375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382</v>
      </c>
      <c r="C20" s="32" t="s">
        <v>382</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169" t="s">
        <v>375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383</v>
      </c>
      <c r="C21" s="32" t="s">
        <v>383</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169" t="s">
        <v>380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384</v>
      </c>
      <c r="C22" s="32" t="s">
        <v>384</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169" t="s">
        <v>380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385</v>
      </c>
      <c r="C23" s="32" t="s">
        <v>385</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169" t="s">
        <v>380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386</v>
      </c>
      <c r="C24" s="32" t="s">
        <v>386</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169" t="s">
        <v>387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388</v>
      </c>
      <c r="C25" s="32" t="s">
        <v>388</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169" t="s">
        <v>375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389</v>
      </c>
      <c r="C26" s="32" t="s">
        <v>389</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169" t="s">
        <v>375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374</v>
      </c>
      <c r="C27" s="32" t="s">
        <v>374</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169" t="s">
        <v>375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390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377</v>
      </c>
      <c r="C28" s="32" t="s">
        <v>377</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169" t="s">
        <v>375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390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378</v>
      </c>
      <c r="C29" s="32" t="s">
        <v>378</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169" t="s">
        <v>375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390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379</v>
      </c>
      <c r="C30" s="32" t="s">
        <v>379</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169" t="s">
        <v>380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390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381</v>
      </c>
      <c r="C31" s="32" t="s">
        <v>381</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169" t="s">
        <v>375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390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382</v>
      </c>
      <c r="C32" s="32" t="s">
        <v>382</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169" t="s">
        <v>375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390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383</v>
      </c>
      <c r="C33" s="32" t="s">
        <v>383</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169" t="s">
        <v>380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390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384</v>
      </c>
      <c r="C34" s="32" t="s">
        <v>384</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169" t="s">
        <v>380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390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385</v>
      </c>
      <c r="C35" s="32" t="s">
        <v>385</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169" t="s">
        <v>380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390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386</v>
      </c>
      <c r="C36" s="32" t="s">
        <v>386</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169" t="s">
        <v>387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390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388</v>
      </c>
      <c r="C37" s="32" t="s">
        <v>388</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169" t="s">
        <v>375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390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389</v>
      </c>
      <c r="C38" s="32" t="s">
        <v>389</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169" t="s">
        <v>375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390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374</v>
      </c>
      <c r="C39" s="32" t="s">
        <v>374</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169" t="s">
        <v>375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390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377</v>
      </c>
      <c r="C40" s="32" t="s">
        <v>377</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169" t="s">
        <v>375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390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378</v>
      </c>
      <c r="C41" s="32" t="s">
        <v>378</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169" t="s">
        <v>375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390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379</v>
      </c>
      <c r="C42" s="32" t="s">
        <v>379</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169" t="s">
        <v>380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390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381</v>
      </c>
      <c r="C43" s="32" t="s">
        <v>381</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169" t="s">
        <v>375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390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382</v>
      </c>
      <c r="C44" s="32" t="s">
        <v>382</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169" t="s">
        <v>375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390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383</v>
      </c>
      <c r="C45" s="32" t="s">
        <v>383</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169" t="s">
        <v>380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390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384</v>
      </c>
      <c r="C46" s="32" t="s">
        <v>384</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169" t="s">
        <v>380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390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385</v>
      </c>
      <c r="C47" s="32" t="s">
        <v>385</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169" t="s">
        <v>380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390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386</v>
      </c>
      <c r="C48" s="32" t="s">
        <v>386</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169" t="s">
        <v>387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390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388</v>
      </c>
      <c r="C49" s="32" t="s">
        <v>388</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169" t="s">
        <v>375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390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389</v>
      </c>
      <c r="C50" s="32" t="s">
        <v>389</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169" t="s">
        <v>375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390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374</v>
      </c>
      <c r="C51" s="32" t="s">
        <v>374</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169" t="s">
        <v>375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390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377</v>
      </c>
      <c r="C52" s="32" t="s">
        <v>377</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169" t="s">
        <v>375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390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378</v>
      </c>
      <c r="C53" s="32" t="s">
        <v>378</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169" t="s">
        <v>375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390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379</v>
      </c>
      <c r="C54" s="32" t="s">
        <v>379</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169" t="s">
        <v>380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390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381</v>
      </c>
      <c r="C55" s="32" t="s">
        <v>381</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169" t="s">
        <v>375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390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382</v>
      </c>
      <c r="C56" s="32" t="s">
        <v>382</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169" t="s">
        <v>375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390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383</v>
      </c>
      <c r="C57" s="32" t="s">
        <v>383</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169" t="s">
        <v>380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390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384</v>
      </c>
      <c r="C58" s="32" t="s">
        <v>384</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169" t="s">
        <v>380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390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385</v>
      </c>
      <c r="C59" s="32" t="s">
        <v>385</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169" t="s">
        <v>380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390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386</v>
      </c>
      <c r="C60" s="32" t="s">
        <v>386</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169" t="s">
        <v>387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390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388</v>
      </c>
      <c r="C61" s="32" t="s">
        <v>388</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169" t="s">
        <v>375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390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389</v>
      </c>
      <c r="C62" s="32" t="s">
        <v>389</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169" t="s">
        <v>375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390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374</v>
      </c>
      <c r="C63" s="32" t="s">
        <v>374</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169" t="s">
        <v>375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390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377</v>
      </c>
      <c r="C64" s="32" t="s">
        <v>377</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169" t="s">
        <v>375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390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378</v>
      </c>
      <c r="C65" s="32" t="s">
        <v>378</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169" t="s">
        <v>375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390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379</v>
      </c>
      <c r="C66" s="32" t="s">
        <v>379</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169" t="s">
        <v>380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390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381</v>
      </c>
      <c r="C67" s="32" t="s">
        <v>381</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169" t="s">
        <v>375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390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382</v>
      </c>
      <c r="C68" s="32" t="s">
        <v>382</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169" t="s">
        <v>375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390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383</v>
      </c>
      <c r="C69" s="32" t="s">
        <v>383</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169" t="s">
        <v>380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390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384</v>
      </c>
      <c r="C70" s="32" t="s">
        <v>384</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169" t="s">
        <v>380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390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385</v>
      </c>
      <c r="C71" s="32" t="s">
        <v>385</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169" t="s">
        <v>380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390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386</v>
      </c>
      <c r="C72" s="32" t="s">
        <v>386</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169" t="s">
        <v>387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390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388</v>
      </c>
      <c r="C73" s="32" t="s">
        <v>388</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169" t="s">
        <v>375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390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389</v>
      </c>
      <c r="C74" s="32" t="s">
        <v>389</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169" t="s">
        <v>375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390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374</v>
      </c>
      <c r="C75" s="32" t="s">
        <v>374</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169" t="s">
        <v>375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377</v>
      </c>
      <c r="C76" s="32" t="s">
        <v>377</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169" t="s">
        <v>375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378</v>
      </c>
      <c r="C77" s="32" t="s">
        <v>378</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169" t="s">
        <v>375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379</v>
      </c>
      <c r="C78" s="32" t="s">
        <v>379</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169" t="s">
        <v>380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381</v>
      </c>
      <c r="C79" s="32" t="s">
        <v>381</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169" t="s">
        <v>375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382</v>
      </c>
      <c r="C80" s="32" t="s">
        <v>382</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169" t="s">
        <v>375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383</v>
      </c>
      <c r="C81" s="32" t="s">
        <v>383</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169" t="s">
        <v>380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384</v>
      </c>
      <c r="C82" s="32" t="s">
        <v>384</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169" t="s">
        <v>380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385</v>
      </c>
      <c r="C83" s="32" t="s">
        <v>385</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169" t="s">
        <v>380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386</v>
      </c>
      <c r="C84" s="32" t="s">
        <v>386</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169" t="s">
        <v>387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388</v>
      </c>
      <c r="C85" s="32" t="s">
        <v>388</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169" t="s">
        <v>375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389</v>
      </c>
      <c r="C86" s="32" t="s">
        <v>389</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169" t="s">
        <v>375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374</v>
      </c>
      <c r="C87" s="32" t="s">
        <v>374</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170" t="s">
        <v>375</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391</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377</v>
      </c>
      <c r="C88" s="32" t="s">
        <v>377</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169" t="s">
        <v>375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391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378</v>
      </c>
      <c r="C89" s="32" t="s">
        <v>378</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169" t="s">
        <v>375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391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379</v>
      </c>
      <c r="C90" s="32" t="s">
        <v>379</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169" t="s">
        <v>380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391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381</v>
      </c>
      <c r="C91" s="32" t="s">
        <v>381</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169" t="s">
        <v>375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391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382</v>
      </c>
      <c r="C92" s="32" t="s">
        <v>382</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169" t="s">
        <v>375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391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383</v>
      </c>
      <c r="C93" s="32" t="s">
        <v>383</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169" t="s">
        <v>380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391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384</v>
      </c>
      <c r="C94" s="32" t="s">
        <v>384</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169" t="s">
        <v>380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391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385</v>
      </c>
      <c r="C95" s="32" t="s">
        <v>385</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169" t="s">
        <v>380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391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386</v>
      </c>
      <c r="C96" s="32" t="s">
        <v>386</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169" t="s">
        <v>387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391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388</v>
      </c>
      <c r="C97" s="32" t="s">
        <v>388</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169" t="s">
        <v>375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391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389</v>
      </c>
      <c r="C98" s="32" t="s">
        <v>389</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169" t="s">
        <v>375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391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374</v>
      </c>
      <c r="C99" s="32" t="s">
        <v>374</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169" t="s">
        <v>375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390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377</v>
      </c>
      <c r="C100" s="32" t="s">
        <v>377</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169" t="s">
        <v>375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390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378</v>
      </c>
      <c r="C101" s="32" t="s">
        <v>378</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169" t="s">
        <v>375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390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379</v>
      </c>
      <c r="C102" s="32" t="s">
        <v>379</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169" t="s">
        <v>380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390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381</v>
      </c>
      <c r="C103" s="32" t="s">
        <v>381</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169" t="s">
        <v>375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390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382</v>
      </c>
      <c r="C104" s="32" t="s">
        <v>382</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169" t="s">
        <v>375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390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383</v>
      </c>
      <c r="C105" s="32" t="s">
        <v>383</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169" t="s">
        <v>380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390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384</v>
      </c>
      <c r="C106" s="32" t="s">
        <v>384</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169" t="s">
        <v>380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390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385</v>
      </c>
      <c r="C107" s="32" t="s">
        <v>385</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169" t="s">
        <v>380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390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386</v>
      </c>
      <c r="C108" s="32" t="s">
        <v>386</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169" t="s">
        <v>387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390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388</v>
      </c>
      <c r="C109" s="32" t="s">
        <v>388</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169" t="s">
        <v>375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390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389</v>
      </c>
      <c r="C110" s="32" t="s">
        <v>389</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169" t="s">
        <v>375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390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374</v>
      </c>
      <c r="C111" s="32" t="s">
        <v>374</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169" t="s">
        <v>375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390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377</v>
      </c>
      <c r="C112" s="32" t="s">
        <v>377</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169" t="s">
        <v>375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390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378</v>
      </c>
      <c r="C113" s="32" t="s">
        <v>378</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169" t="s">
        <v>375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390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379</v>
      </c>
      <c r="C114" s="32" t="s">
        <v>379</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169" t="s">
        <v>380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390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381</v>
      </c>
      <c r="C115" s="32" t="s">
        <v>381</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169" t="s">
        <v>375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390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382</v>
      </c>
      <c r="C116" s="32" t="s">
        <v>382</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169" t="s">
        <v>375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390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383</v>
      </c>
      <c r="C117" s="32" t="s">
        <v>383</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169" t="s">
        <v>380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390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384</v>
      </c>
      <c r="C118" s="32" t="s">
        <v>384</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169" t="s">
        <v>380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390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385</v>
      </c>
      <c r="C119" s="32" t="s">
        <v>385</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169" t="s">
        <v>380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390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386</v>
      </c>
      <c r="C120" s="32" t="s">
        <v>386</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169" t="s">
        <v>387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390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388</v>
      </c>
      <c r="C121" s="32" t="s">
        <v>388</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169" t="s">
        <v>375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390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389</v>
      </c>
      <c r="C122" s="32" t="s">
        <v>389</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169" t="s">
        <v>375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390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374</v>
      </c>
      <c r="C123" s="32" t="s">
        <v>374</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169" t="s">
        <v>375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390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377</v>
      </c>
      <c r="C124" s="32" t="s">
        <v>377</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169" t="s">
        <v>375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390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378</v>
      </c>
      <c r="C125" s="32" t="s">
        <v>378</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169" t="s">
        <v>375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390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379</v>
      </c>
      <c r="C126" s="32" t="s">
        <v>379</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169" t="s">
        <v>380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390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381</v>
      </c>
      <c r="C127" s="32" t="s">
        <v>381</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169" t="s">
        <v>375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390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382</v>
      </c>
      <c r="C128" s="32" t="s">
        <v>382</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169" t="s">
        <v>375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390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383</v>
      </c>
      <c r="C129" s="32" t="s">
        <v>383</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169" t="s">
        <v>380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390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384</v>
      </c>
      <c r="C130" s="32" t="s">
        <v>384</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169" t="s">
        <v>380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390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385</v>
      </c>
      <c r="C131" s="32" t="s">
        <v>385</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169" t="s">
        <v>380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390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386</v>
      </c>
      <c r="C132" s="32" t="s">
        <v>386</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169" t="s">
        <v>387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390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388</v>
      </c>
      <c r="C133" s="32" t="s">
        <v>388</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169" t="s">
        <v>375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390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389</v>
      </c>
      <c r="C134" s="32" t="s">
        <v>389</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169" t="s">
        <v>375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390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374</v>
      </c>
      <c r="C135" s="32" t="s">
        <v>374</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169" t="s">
        <v>375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390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377</v>
      </c>
      <c r="C136" s="32" t="s">
        <v>377</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169" t="s">
        <v>375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390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378</v>
      </c>
      <c r="C137" s="32" t="s">
        <v>378</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169" t="s">
        <v>375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390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379</v>
      </c>
      <c r="C138" s="32" t="s">
        <v>379</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169" t="s">
        <v>380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390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381</v>
      </c>
      <c r="C139" s="32" t="s">
        <v>381</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169" t="s">
        <v>375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390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382</v>
      </c>
      <c r="C140" s="32" t="s">
        <v>382</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169" t="s">
        <v>375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390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383</v>
      </c>
      <c r="C141" s="32" t="s">
        <v>383</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169" t="s">
        <v>380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390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384</v>
      </c>
      <c r="C142" s="32" t="s">
        <v>384</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169" t="s">
        <v>380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390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385</v>
      </c>
      <c r="C143" s="32" t="s">
        <v>385</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169" t="s">
        <v>380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390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386</v>
      </c>
      <c r="C144" s="32" t="s">
        <v>386</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169" t="s">
        <v>387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390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388</v>
      </c>
      <c r="C145" s="32" t="s">
        <v>388</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169" t="s">
        <v>375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390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389</v>
      </c>
      <c r="C146" s="32" t="s">
        <v>389</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169" t="s">
        <v>375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390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374</v>
      </c>
      <c r="C147" s="32" t="s">
        <v>374</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169" t="s">
        <v>375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390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377</v>
      </c>
      <c r="C148" s="32" t="s">
        <v>377</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169" t="s">
        <v>375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390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378</v>
      </c>
      <c r="C149" s="32" t="s">
        <v>378</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169" t="s">
        <v>375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390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379</v>
      </c>
      <c r="C150" s="32" t="s">
        <v>379</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169" t="s">
        <v>380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390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381</v>
      </c>
      <c r="C151" s="32" t="s">
        <v>381</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169" t="s">
        <v>375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390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382</v>
      </c>
      <c r="C152" s="32" t="s">
        <v>382</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169" t="s">
        <v>375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390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383</v>
      </c>
      <c r="C153" s="32" t="s">
        <v>383</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169" t="s">
        <v>380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390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384</v>
      </c>
      <c r="C154" s="32" t="s">
        <v>384</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169" t="s">
        <v>380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390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385</v>
      </c>
      <c r="C155" s="32" t="s">
        <v>385</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169" t="s">
        <v>380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390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386</v>
      </c>
      <c r="C156" s="32" t="s">
        <v>386</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169" t="s">
        <v>387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390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388</v>
      </c>
      <c r="C157" s="32" t="s">
        <v>388</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169" t="s">
        <v>375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390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389</v>
      </c>
      <c r="C158" s="32" t="s">
        <v>389</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169" t="s">
        <v>375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390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374</v>
      </c>
      <c r="C159" s="32" t="s">
        <v>374</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169" t="s">
        <v>375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390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377</v>
      </c>
      <c r="C160" s="32" t="s">
        <v>377</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169" t="s">
        <v>375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390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378</v>
      </c>
      <c r="C161" s="32" t="s">
        <v>378</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169" t="s">
        <v>375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390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379</v>
      </c>
      <c r="C162" s="32" t="s">
        <v>379</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169" t="s">
        <v>380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390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381</v>
      </c>
      <c r="C163" s="32" t="s">
        <v>381</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169" t="s">
        <v>375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390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382</v>
      </c>
      <c r="C164" s="32" t="s">
        <v>382</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169" t="s">
        <v>375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390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383</v>
      </c>
      <c r="C165" s="32" t="s">
        <v>383</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169" t="s">
        <v>380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390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384</v>
      </c>
      <c r="C166" s="32" t="s">
        <v>384</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169" t="s">
        <v>380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390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385</v>
      </c>
      <c r="C167" s="32" t="s">
        <v>385</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169" t="s">
        <v>380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390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386</v>
      </c>
      <c r="C168" s="32" t="s">
        <v>386</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169" t="s">
        <v>387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390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388</v>
      </c>
      <c r="C169" s="32" t="s">
        <v>388</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169" t="s">
        <v>375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390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389</v>
      </c>
      <c r="C170" s="32" t="s">
        <v>389</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169" t="s">
        <v>375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390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374</v>
      </c>
      <c r="C171" s="32" t="s">
        <v>374</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169" t="s">
        <v>375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390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377</v>
      </c>
      <c r="C172" s="32" t="s">
        <v>377</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169" t="s">
        <v>375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390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378</v>
      </c>
      <c r="C173" s="32" t="s">
        <v>378</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169" t="s">
        <v>375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390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379</v>
      </c>
      <c r="C174" s="32" t="s">
        <v>379</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169" t="s">
        <v>380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390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381</v>
      </c>
      <c r="C175" s="32" t="s">
        <v>381</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169" t="s">
        <v>375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390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382</v>
      </c>
      <c r="C176" s="32" t="s">
        <v>382</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169" t="s">
        <v>375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390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383</v>
      </c>
      <c r="C177" s="32" t="s">
        <v>383</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169" t="s">
        <v>380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390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384</v>
      </c>
      <c r="C178" s="32" t="s">
        <v>384</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169" t="s">
        <v>380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390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385</v>
      </c>
      <c r="C179" s="32" t="s">
        <v>385</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169" t="s">
        <v>380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390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386</v>
      </c>
      <c r="C180" s="32" t="s">
        <v>386</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169" t="s">
        <v>387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390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388</v>
      </c>
      <c r="C181" s="32" t="s">
        <v>388</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169" t="s">
        <v>375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390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389</v>
      </c>
      <c r="C182" s="32" t="s">
        <v>389</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169" t="s">
        <v>375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390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374</v>
      </c>
      <c r="C183" s="32" t="s">
        <v>374</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169" t="s">
        <v>375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377</v>
      </c>
      <c r="C184" s="32" t="s">
        <v>377</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169" t="s">
        <v>375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378</v>
      </c>
      <c r="C185" s="32" t="s">
        <v>378</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169" t="s">
        <v>375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379</v>
      </c>
      <c r="C186" s="32" t="s">
        <v>379</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169" t="s">
        <v>380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381</v>
      </c>
      <c r="C187" s="32" t="s">
        <v>381</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169" t="s">
        <v>375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382</v>
      </c>
      <c r="C188" s="32" t="s">
        <v>382</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169" t="s">
        <v>375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383</v>
      </c>
      <c r="C189" s="32" t="s">
        <v>383</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169" t="s">
        <v>380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384</v>
      </c>
      <c r="C190" s="32" t="s">
        <v>384</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169" t="s">
        <v>380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385</v>
      </c>
      <c r="C191" s="32" t="s">
        <v>385</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169" t="s">
        <v>380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386</v>
      </c>
      <c r="C192" s="32" t="s">
        <v>386</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169" t="s">
        <v>387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388</v>
      </c>
      <c r="C193" s="32" t="s">
        <v>388</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169" t="s">
        <v>375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389</v>
      </c>
      <c r="C194" s="32" t="s">
        <v>389</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169" t="s">
        <v>375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374</v>
      </c>
      <c r="C195" s="32" t="s">
        <v>374</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169" t="s">
        <v>375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390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377</v>
      </c>
      <c r="C196" s="32" t="s">
        <v>377</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169" t="s">
        <v>375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390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378</v>
      </c>
      <c r="C197" s="32" t="s">
        <v>378</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169" t="s">
        <v>375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390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379</v>
      </c>
      <c r="C198" s="32" t="s">
        <v>379</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169" t="s">
        <v>380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390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381</v>
      </c>
      <c r="C199" s="32" t="s">
        <v>381</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169" t="s">
        <v>375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390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382</v>
      </c>
      <c r="C200" s="32" t="s">
        <v>382</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169" t="s">
        <v>375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390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383</v>
      </c>
      <c r="C201" s="32" t="s">
        <v>383</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169" t="s">
        <v>380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390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384</v>
      </c>
      <c r="C202" s="32" t="s">
        <v>384</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169" t="s">
        <v>380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390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385</v>
      </c>
      <c r="C203" s="32" t="s">
        <v>385</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169" t="s">
        <v>380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390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386</v>
      </c>
      <c r="C204" s="32" t="s">
        <v>386</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169" t="s">
        <v>387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390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388</v>
      </c>
      <c r="C205" s="32" t="s">
        <v>388</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169" t="s">
        <v>375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390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389</v>
      </c>
      <c r="C206" s="32" t="s">
        <v>389</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169" t="s">
        <v>375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390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374</v>
      </c>
      <c r="C207" s="32" t="s">
        <v>374</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169" t="s">
        <v>375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390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377</v>
      </c>
      <c r="C208" s="32" t="s">
        <v>377</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169" t="s">
        <v>375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390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378</v>
      </c>
      <c r="C209" s="32" t="s">
        <v>378</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169" t="s">
        <v>375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390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379</v>
      </c>
      <c r="C210" s="32" t="s">
        <v>379</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169" t="s">
        <v>380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390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381</v>
      </c>
      <c r="C211" s="32" t="s">
        <v>381</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169" t="s">
        <v>375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390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382</v>
      </c>
      <c r="C212" s="32" t="s">
        <v>382</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169" t="s">
        <v>375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390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383</v>
      </c>
      <c r="C213" s="32" t="s">
        <v>383</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169" t="s">
        <v>380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390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384</v>
      </c>
      <c r="C214" s="32" t="s">
        <v>384</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169" t="s">
        <v>380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390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385</v>
      </c>
      <c r="C215" s="32" t="s">
        <v>385</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169" t="s">
        <v>380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390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386</v>
      </c>
      <c r="C216" s="32" t="s">
        <v>386</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169" t="s">
        <v>387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390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388</v>
      </c>
      <c r="C217" s="32" t="s">
        <v>388</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169" t="s">
        <v>375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390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389</v>
      </c>
      <c r="C218" s="32" t="s">
        <v>389</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169" t="s">
        <v>375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390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374</v>
      </c>
      <c r="C219" s="32" t="s">
        <v>374</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169" t="s">
        <v>375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390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377</v>
      </c>
      <c r="C220" s="32" t="s">
        <v>377</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169" t="s">
        <v>375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390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378</v>
      </c>
      <c r="C221" s="32" t="s">
        <v>378</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169" t="s">
        <v>375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390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379</v>
      </c>
      <c r="C222" s="32" t="s">
        <v>379</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169" t="s">
        <v>380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390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381</v>
      </c>
      <c r="C223" s="32" t="s">
        <v>381</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169" t="s">
        <v>375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390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382</v>
      </c>
      <c r="C224" s="32" t="s">
        <v>382</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169" t="s">
        <v>375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390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383</v>
      </c>
      <c r="C225" s="32" t="s">
        <v>383</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169" t="s">
        <v>380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390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384</v>
      </c>
      <c r="C226" s="32" t="s">
        <v>384</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169" t="s">
        <v>380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390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385</v>
      </c>
      <c r="C227" s="32" t="s">
        <v>385</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169" t="s">
        <v>380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390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386</v>
      </c>
      <c r="C228" s="32" t="s">
        <v>386</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169" t="s">
        <v>387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390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388</v>
      </c>
      <c r="C229" s="32" t="s">
        <v>388</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169" t="s">
        <v>375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390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389</v>
      </c>
      <c r="C230" s="32" t="s">
        <v>389</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169" t="s">
        <v>375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390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374</v>
      </c>
      <c r="C231" s="32" t="s">
        <v>374</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169" t="s">
        <v>375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377</v>
      </c>
      <c r="C232" s="32" t="s">
        <v>377</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169" t="s">
        <v>375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378</v>
      </c>
      <c r="C233" s="32" t="s">
        <v>378</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169" t="s">
        <v>375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379</v>
      </c>
      <c r="C234" s="32" t="s">
        <v>379</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169" t="s">
        <v>380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381</v>
      </c>
      <c r="C235" s="32" t="s">
        <v>381</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169" t="s">
        <v>375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382</v>
      </c>
      <c r="C236" s="32" t="s">
        <v>382</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169" t="s">
        <v>375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383</v>
      </c>
      <c r="C237" s="32" t="s">
        <v>383</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169" t="s">
        <v>380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384</v>
      </c>
      <c r="C238" s="32" t="s">
        <v>384</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169" t="s">
        <v>380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385</v>
      </c>
      <c r="C239" s="32" t="s">
        <v>385</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169" t="s">
        <v>380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386</v>
      </c>
      <c r="C240" s="32" t="s">
        <v>386</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169" t="s">
        <v>387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388</v>
      </c>
      <c r="C241" s="32" t="s">
        <v>388</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169" t="s">
        <v>375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389</v>
      </c>
      <c r="C242" s="32" t="s">
        <v>389</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169" t="s">
        <v>375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374</v>
      </c>
      <c r="C243" s="32" t="s">
        <v>374</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169" t="s">
        <v>375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377</v>
      </c>
      <c r="C244" s="32" t="s">
        <v>377</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169" t="s">
        <v>375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378</v>
      </c>
      <c r="C245" s="32" t="s">
        <v>378</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169" t="s">
        <v>375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379</v>
      </c>
      <c r="C246" s="32" t="s">
        <v>379</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169" t="s">
        <v>380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381</v>
      </c>
      <c r="C247" s="32" t="s">
        <v>381</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169" t="s">
        <v>375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382</v>
      </c>
      <c r="C248" s="32" t="s">
        <v>382</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169" t="s">
        <v>375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383</v>
      </c>
      <c r="C249" s="32" t="s">
        <v>383</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169" t="s">
        <v>380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384</v>
      </c>
      <c r="C250" s="32" t="s">
        <v>384</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169" t="s">
        <v>380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385</v>
      </c>
      <c r="C251" s="32" t="s">
        <v>385</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169" t="s">
        <v>380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386</v>
      </c>
      <c r="C252" s="32" t="s">
        <v>386</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169" t="s">
        <v>387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388</v>
      </c>
      <c r="C253" s="32" t="s">
        <v>388</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169" t="s">
        <v>375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389</v>
      </c>
      <c r="C254" s="32" t="s">
        <v>389</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169" t="s">
        <v>375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374</v>
      </c>
      <c r="C255" s="32" t="s">
        <v>374</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169" t="s">
        <v>375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390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377</v>
      </c>
      <c r="C256" s="32" t="s">
        <v>377</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169" t="s">
        <v>375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390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378</v>
      </c>
      <c r="C257" s="32" t="s">
        <v>378</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169" t="s">
        <v>375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390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379</v>
      </c>
      <c r="C258" s="32" t="s">
        <v>379</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169" t="s">
        <v>380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390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381</v>
      </c>
      <c r="C259" s="32" t="s">
        <v>381</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169" t="s">
        <v>375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390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382</v>
      </c>
      <c r="C260" s="32" t="s">
        <v>382</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169" t="s">
        <v>375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390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383</v>
      </c>
      <c r="C261" s="32" t="s">
        <v>383</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169" t="s">
        <v>380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390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384</v>
      </c>
      <c r="C262" s="32" t="s">
        <v>384</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169" t="s">
        <v>380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390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385</v>
      </c>
      <c r="C263" s="32" t="s">
        <v>385</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169" t="s">
        <v>380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390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386</v>
      </c>
      <c r="C264" s="32" t="s">
        <v>386</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169" t="s">
        <v>387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390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388</v>
      </c>
      <c r="C265" s="32" t="s">
        <v>388</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169" t="s">
        <v>375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390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389</v>
      </c>
      <c r="C266" s="32" t="s">
        <v>389</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169" t="s">
        <v>375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390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374</v>
      </c>
      <c r="C267" s="32" t="s">
        <v>374</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169" t="s">
        <v>375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390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377</v>
      </c>
      <c r="C268" s="32" t="s">
        <v>377</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169" t="s">
        <v>375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390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378</v>
      </c>
      <c r="C269" s="32" t="s">
        <v>378</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169" t="s">
        <v>375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390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379</v>
      </c>
      <c r="C270" s="32" t="s">
        <v>379</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169" t="s">
        <v>380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390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381</v>
      </c>
      <c r="C271" s="32" t="s">
        <v>381</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169" t="s">
        <v>375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390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382</v>
      </c>
      <c r="C272" s="32" t="s">
        <v>382</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169" t="s">
        <v>375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390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383</v>
      </c>
      <c r="C273" s="32" t="s">
        <v>383</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169" t="s">
        <v>380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390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384</v>
      </c>
      <c r="C274" s="32" t="s">
        <v>384</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169" t="s">
        <v>380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390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385</v>
      </c>
      <c r="C275" s="32" t="s">
        <v>385</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169" t="s">
        <v>380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390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386</v>
      </c>
      <c r="C276" s="32" t="s">
        <v>386</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169" t="s">
        <v>387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390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388</v>
      </c>
      <c r="C277" s="32" t="s">
        <v>388</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169" t="s">
        <v>375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390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389</v>
      </c>
      <c r="C278" s="32" t="s">
        <v>389</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169" t="s">
        <v>375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390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374</v>
      </c>
      <c r="C279" s="32" t="s">
        <v>374</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169" t="s">
        <v>375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390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377</v>
      </c>
      <c r="C280" s="32" t="s">
        <v>377</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169" t="s">
        <v>375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390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378</v>
      </c>
      <c r="C281" s="32" t="s">
        <v>378</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169" t="s">
        <v>375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390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379</v>
      </c>
      <c r="C282" s="32" t="s">
        <v>379</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169" t="s">
        <v>380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390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381</v>
      </c>
      <c r="C283" s="32" t="s">
        <v>381</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169" t="s">
        <v>375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390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382</v>
      </c>
      <c r="C284" s="32" t="s">
        <v>382</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169" t="s">
        <v>375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390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383</v>
      </c>
      <c r="C285" s="32" t="s">
        <v>383</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169" t="s">
        <v>380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390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384</v>
      </c>
      <c r="C286" s="32" t="s">
        <v>384</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169" t="s">
        <v>380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390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385</v>
      </c>
      <c r="C287" s="32" t="s">
        <v>385</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169" t="s">
        <v>380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390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386</v>
      </c>
      <c r="C288" s="32" t="s">
        <v>386</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169" t="s">
        <v>387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390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388</v>
      </c>
      <c r="C289" s="32" t="s">
        <v>388</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169" t="s">
        <v>375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390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389</v>
      </c>
      <c r="C290" s="32" t="s">
        <v>389</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169" t="s">
        <v>375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390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374</v>
      </c>
      <c r="C291" s="32" t="s">
        <v>374</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169" t="s">
        <v>375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377</v>
      </c>
      <c r="C292" s="32" t="s">
        <v>377</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169" t="s">
        <v>375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378</v>
      </c>
      <c r="C293" s="32" t="s">
        <v>378</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169" t="s">
        <v>375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379</v>
      </c>
      <c r="C294" s="32" t="s">
        <v>379</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169" t="s">
        <v>380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381</v>
      </c>
      <c r="C295" s="32" t="s">
        <v>381</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169" t="s">
        <v>375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382</v>
      </c>
      <c r="C296" s="32" t="s">
        <v>382</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169" t="s">
        <v>375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383</v>
      </c>
      <c r="C297" s="32" t="s">
        <v>383</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169" t="s">
        <v>380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384</v>
      </c>
      <c r="C298" s="32" t="s">
        <v>384</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169" t="s">
        <v>380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385</v>
      </c>
      <c r="C299" s="32" t="s">
        <v>385</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169" t="s">
        <v>380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386</v>
      </c>
      <c r="C300" s="32" t="s">
        <v>386</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169" t="s">
        <v>387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388</v>
      </c>
      <c r="C301" s="32" t="s">
        <v>388</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169" t="s">
        <v>375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389</v>
      </c>
      <c r="C302" s="32" t="s">
        <v>389</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169" t="s">
        <v>375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374</v>
      </c>
      <c r="C303" s="32" t="s">
        <v>374</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169" t="s">
        <v>375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390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377</v>
      </c>
      <c r="C304" s="32" t="s">
        <v>377</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169" t="s">
        <v>375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390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378</v>
      </c>
      <c r="C305" s="32" t="s">
        <v>378</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169" t="s">
        <v>375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390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379</v>
      </c>
      <c r="C306" s="32" t="s">
        <v>379</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169" t="s">
        <v>380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390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381</v>
      </c>
      <c r="C307" s="32" t="s">
        <v>381</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169" t="s">
        <v>375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390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382</v>
      </c>
      <c r="C308" s="32" t="s">
        <v>382</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169" t="s">
        <v>375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390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383</v>
      </c>
      <c r="C309" s="32" t="s">
        <v>383</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169" t="s">
        <v>380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390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384</v>
      </c>
      <c r="C310" s="32" t="s">
        <v>384</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169" t="s">
        <v>380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390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385</v>
      </c>
      <c r="C311" s="32" t="s">
        <v>385</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169" t="s">
        <v>380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390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386</v>
      </c>
      <c r="C312" s="32" t="s">
        <v>386</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169" t="s">
        <v>387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390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388</v>
      </c>
      <c r="C313" s="32" t="s">
        <v>388</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169" t="s">
        <v>375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390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389</v>
      </c>
      <c r="C314" s="32" t="s">
        <v>389</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169" t="s">
        <v>375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390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374</v>
      </c>
      <c r="C315" s="32" t="s">
        <v>374</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169" t="s">
        <v>375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390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377</v>
      </c>
      <c r="C316" s="32" t="s">
        <v>377</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169" t="s">
        <v>375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390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378</v>
      </c>
      <c r="C317" s="32" t="s">
        <v>378</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169" t="s">
        <v>375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390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379</v>
      </c>
      <c r="C318" s="32" t="s">
        <v>379</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169" t="s">
        <v>380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390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381</v>
      </c>
      <c r="C319" s="32" t="s">
        <v>381</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169" t="s">
        <v>375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390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382</v>
      </c>
      <c r="C320" s="32" t="s">
        <v>382</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169" t="s">
        <v>375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390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383</v>
      </c>
      <c r="C321" s="32" t="s">
        <v>383</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169" t="s">
        <v>380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390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384</v>
      </c>
      <c r="C322" s="32" t="s">
        <v>384</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169" t="s">
        <v>380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390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385</v>
      </c>
      <c r="C323" s="32" t="s">
        <v>385</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169" t="s">
        <v>380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390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386</v>
      </c>
      <c r="C324" s="32" t="s">
        <v>386</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169" t="s">
        <v>387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390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388</v>
      </c>
      <c r="C325" s="32" t="s">
        <v>388</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169" t="s">
        <v>375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390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389</v>
      </c>
      <c r="C326" s="32" t="s">
        <v>389</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169" t="s">
        <v>375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390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374</v>
      </c>
      <c r="C327" s="32" t="s">
        <v>374</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169" t="s">
        <v>375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377</v>
      </c>
      <c r="C328" s="32" t="s">
        <v>377</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169" t="s">
        <v>375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378</v>
      </c>
      <c r="C329" s="32" t="s">
        <v>378</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169" t="s">
        <v>375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379</v>
      </c>
      <c r="C330" s="32" t="s">
        <v>379</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169" t="s">
        <v>380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381</v>
      </c>
      <c r="C331" s="32" t="s">
        <v>381</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169" t="s">
        <v>375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382</v>
      </c>
      <c r="C332" s="32" t="s">
        <v>382</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169" t="s">
        <v>375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383</v>
      </c>
      <c r="C333" s="32" t="s">
        <v>383</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169" t="s">
        <v>380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384</v>
      </c>
      <c r="C334" s="32" t="s">
        <v>384</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169" t="s">
        <v>380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385</v>
      </c>
      <c r="C335" s="32" t="s">
        <v>385</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169" t="s">
        <v>380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386</v>
      </c>
      <c r="C336" s="32" t="s">
        <v>386</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169" t="s">
        <v>387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388</v>
      </c>
      <c r="C337" s="32" t="s">
        <v>388</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169" t="s">
        <v>375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389</v>
      </c>
      <c r="C338" s="32" t="s">
        <v>389</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169" t="s">
        <v>375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374</v>
      </c>
      <c r="C339" s="32" t="s">
        <v>374</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169" t="s">
        <v>375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390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377</v>
      </c>
      <c r="C340" s="32" t="s">
        <v>377</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169" t="s">
        <v>375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390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378</v>
      </c>
      <c r="C341" s="32" t="s">
        <v>378</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169" t="s">
        <v>375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390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379</v>
      </c>
      <c r="C342" s="32" t="s">
        <v>379</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169" t="s">
        <v>380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390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381</v>
      </c>
      <c r="C343" s="32" t="s">
        <v>381</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169" t="s">
        <v>375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390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382</v>
      </c>
      <c r="C344" s="32" t="s">
        <v>382</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169" t="s">
        <v>375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390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383</v>
      </c>
      <c r="C345" s="32" t="s">
        <v>383</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169" t="s">
        <v>380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390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384</v>
      </c>
      <c r="C346" s="32" t="s">
        <v>384</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169" t="s">
        <v>380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390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385</v>
      </c>
      <c r="C347" s="32" t="s">
        <v>385</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169" t="s">
        <v>380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390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386</v>
      </c>
      <c r="C348" s="32" t="s">
        <v>386</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169" t="s">
        <v>387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390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388</v>
      </c>
      <c r="C349" s="32" t="s">
        <v>388</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169" t="s">
        <v>375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390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389</v>
      </c>
      <c r="C350" s="32" t="s">
        <v>389</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169" t="s">
        <v>375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390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374</v>
      </c>
      <c r="C351" s="32" t="s">
        <v>374</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169" t="s">
        <v>375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390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377</v>
      </c>
      <c r="C352" s="32" t="s">
        <v>377</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169" t="s">
        <v>375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390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378</v>
      </c>
      <c r="C353" s="32" t="s">
        <v>378</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169" t="s">
        <v>375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390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379</v>
      </c>
      <c r="C354" s="32" t="s">
        <v>379</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169" t="s">
        <v>380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390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381</v>
      </c>
      <c r="C355" s="32" t="s">
        <v>381</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169" t="s">
        <v>375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390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382</v>
      </c>
      <c r="C356" s="32" t="s">
        <v>382</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169" t="s">
        <v>375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390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383</v>
      </c>
      <c r="C357" s="32" t="s">
        <v>383</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169" t="s">
        <v>380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390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384</v>
      </c>
      <c r="C358" s="32" t="s">
        <v>384</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169" t="s">
        <v>380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390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385</v>
      </c>
      <c r="C359" s="32" t="s">
        <v>385</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169" t="s">
        <v>380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390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386</v>
      </c>
      <c r="C360" s="32" t="s">
        <v>386</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169" t="s">
        <v>387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390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388</v>
      </c>
      <c r="C361" s="32" t="s">
        <v>388</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169" t="s">
        <v>375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390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389</v>
      </c>
      <c r="C362" s="32" t="s">
        <v>389</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169" t="s">
        <v>375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390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374</v>
      </c>
      <c r="C363" s="32" t="s">
        <v>374</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169" t="s">
        <v>375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390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377</v>
      </c>
      <c r="C364" s="32" t="s">
        <v>377</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169" t="s">
        <v>375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390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378</v>
      </c>
      <c r="C365" s="32" t="s">
        <v>378</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169" t="s">
        <v>375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390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379</v>
      </c>
      <c r="C366" s="32" t="s">
        <v>379</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169" t="s">
        <v>380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390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381</v>
      </c>
      <c r="C367" s="32" t="s">
        <v>381</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169" t="s">
        <v>375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390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382</v>
      </c>
      <c r="C368" s="32" t="s">
        <v>382</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169" t="s">
        <v>375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390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383</v>
      </c>
      <c r="C369" s="32" t="s">
        <v>383</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169" t="s">
        <v>380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390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384</v>
      </c>
      <c r="C370" s="32" t="s">
        <v>384</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169" t="s">
        <v>380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390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385</v>
      </c>
      <c r="C371" s="32" t="s">
        <v>385</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169" t="s">
        <v>380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390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386</v>
      </c>
      <c r="C372" s="32" t="s">
        <v>386</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169" t="s">
        <v>387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390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388</v>
      </c>
      <c r="C373" s="32" t="s">
        <v>388</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169" t="s">
        <v>375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390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389</v>
      </c>
      <c r="C374" s="32" t="s">
        <v>389</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169" t="s">
        <v>375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390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374</v>
      </c>
      <c r="C375" s="32" t="s">
        <v>374</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169" t="s">
        <v>375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390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377</v>
      </c>
      <c r="C376" s="32" t="s">
        <v>377</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169" t="s">
        <v>375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390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378</v>
      </c>
      <c r="C377" s="32" t="s">
        <v>378</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169" t="s">
        <v>375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390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379</v>
      </c>
      <c r="C378" s="32" t="s">
        <v>379</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169" t="s">
        <v>380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390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381</v>
      </c>
      <c r="C379" s="32" t="s">
        <v>381</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169" t="s">
        <v>375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390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382</v>
      </c>
      <c r="C380" s="32" t="s">
        <v>382</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169" t="s">
        <v>375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390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383</v>
      </c>
      <c r="C381" s="32" t="s">
        <v>383</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169" t="s">
        <v>380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390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384</v>
      </c>
      <c r="C382" s="32" t="s">
        <v>384</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169" t="s">
        <v>380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390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385</v>
      </c>
      <c r="C383" s="32" t="s">
        <v>385</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169" t="s">
        <v>380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390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386</v>
      </c>
      <c r="C384" s="32" t="s">
        <v>386</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169" t="s">
        <v>387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390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388</v>
      </c>
      <c r="C385" s="32" t="s">
        <v>388</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169" t="s">
        <v>375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390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389</v>
      </c>
      <c r="C386" s="32" t="s">
        <v>389</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169" t="s">
        <v>375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390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374</v>
      </c>
      <c r="C387" s="32" t="s">
        <v>374</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169" t="s">
        <v>375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390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377</v>
      </c>
      <c r="C388" s="32" t="s">
        <v>377</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169" t="s">
        <v>375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390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378</v>
      </c>
      <c r="C389" s="32" t="s">
        <v>378</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169" t="s">
        <v>375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390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379</v>
      </c>
      <c r="C390" s="32" t="s">
        <v>379</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169" t="s">
        <v>380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390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381</v>
      </c>
      <c r="C391" s="32" t="s">
        <v>381</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169" t="s">
        <v>375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390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382</v>
      </c>
      <c r="C392" s="32" t="s">
        <v>382</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169" t="s">
        <v>375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390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383</v>
      </c>
      <c r="C393" s="32" t="s">
        <v>383</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169" t="s">
        <v>380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390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384</v>
      </c>
      <c r="C394" s="32" t="s">
        <v>384</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169" t="s">
        <v>380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390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385</v>
      </c>
      <c r="C395" s="32" t="s">
        <v>385</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169" t="s">
        <v>380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390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386</v>
      </c>
      <c r="C396" s="32" t="s">
        <v>386</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169" t="s">
        <v>387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390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388</v>
      </c>
      <c r="C397" s="32" t="s">
        <v>388</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169" t="s">
        <v>375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390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389</v>
      </c>
      <c r="C398" s="32" t="s">
        <v>389</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169" t="s">
        <v>375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390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374</v>
      </c>
      <c r="C399" s="32" t="s">
        <v>374</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169" t="s">
        <v>375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377</v>
      </c>
      <c r="C400" s="32" t="s">
        <v>377</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169" t="s">
        <v>375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378</v>
      </c>
      <c r="C401" s="32" t="s">
        <v>378</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169" t="s">
        <v>375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379</v>
      </c>
      <c r="C402" s="32" t="s">
        <v>379</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169" t="s">
        <v>380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381</v>
      </c>
      <c r="C403" s="32" t="s">
        <v>381</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169" t="s">
        <v>375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382</v>
      </c>
      <c r="C404" s="32" t="s">
        <v>382</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169" t="s">
        <v>375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383</v>
      </c>
      <c r="C405" s="32" t="s">
        <v>383</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169" t="s">
        <v>380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384</v>
      </c>
      <c r="C406" s="32" t="s">
        <v>384</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169" t="s">
        <v>380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385</v>
      </c>
      <c r="C407" s="32" t="s">
        <v>385</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169" t="s">
        <v>380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386</v>
      </c>
      <c r="C408" s="32" t="s">
        <v>386</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169" t="s">
        <v>387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388</v>
      </c>
      <c r="C409" s="32" t="s">
        <v>388</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169" t="s">
        <v>375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389</v>
      </c>
      <c r="C410" s="32" t="s">
        <v>389</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169" t="s">
        <v>375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374</v>
      </c>
      <c r="C411" s="32" t="s">
        <v>374</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169" t="s">
        <v>375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377</v>
      </c>
      <c r="C412" s="32" t="s">
        <v>377</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169" t="s">
        <v>375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378</v>
      </c>
      <c r="C413" s="32" t="s">
        <v>378</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169" t="s">
        <v>375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379</v>
      </c>
      <c r="C414" s="32" t="s">
        <v>379</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169" t="s">
        <v>380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381</v>
      </c>
      <c r="C415" s="32" t="s">
        <v>381</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169" t="s">
        <v>375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382</v>
      </c>
      <c r="C416" s="32" t="s">
        <v>382</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169" t="s">
        <v>375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383</v>
      </c>
      <c r="C417" s="32" t="s">
        <v>383</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169" t="s">
        <v>380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384</v>
      </c>
      <c r="C418" s="32" t="s">
        <v>384</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169" t="s">
        <v>380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385</v>
      </c>
      <c r="C419" s="32" t="s">
        <v>385</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169" t="s">
        <v>380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386</v>
      </c>
      <c r="C420" s="32" t="s">
        <v>386</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169" t="s">
        <v>387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388</v>
      </c>
      <c r="C421" s="32" t="s">
        <v>388</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169" t="s">
        <v>375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389</v>
      </c>
      <c r="C422" s="32" t="s">
        <v>389</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169" t="s">
        <v>375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1" t="s">
        <v>392</v>
      </c>
      <c r="G11" s="22" t="s">
        <v>393</v>
      </c>
      <c r="H11" s="22" t="s">
        <v>394</v>
      </c>
      <c r="M11" s="21" t="s">
        <v>395</v>
      </c>
      <c r="N11" s="21" t="s">
        <v>396</v>
      </c>
      <c r="O11" s="21" t="s">
        <v>397</v>
      </c>
      <c r="P11" s="21" t="s">
        <v>398</v>
      </c>
    </row>
    <row r="12" ht="37.5" spans="6:16">
      <c r="F12" s="23" t="s">
        <v>399</v>
      </c>
      <c r="G12" s="24">
        <v>720</v>
      </c>
      <c r="H12" s="22">
        <v>381</v>
      </c>
      <c r="M12" s="23" t="s">
        <v>3</v>
      </c>
      <c r="N12" s="23" t="s">
        <v>400</v>
      </c>
      <c r="O12" s="23">
        <v>0</v>
      </c>
      <c r="P12" s="25">
        <v>0</v>
      </c>
    </row>
    <row r="13" ht="87.5" spans="6:16">
      <c r="F13" s="23" t="s">
        <v>6</v>
      </c>
      <c r="G13" s="26">
        <v>18000</v>
      </c>
      <c r="H13" s="27">
        <v>9522</v>
      </c>
      <c r="M13" s="23" t="s">
        <v>5</v>
      </c>
      <c r="N13" s="23" t="s">
        <v>401</v>
      </c>
      <c r="O13" s="23">
        <v>300</v>
      </c>
      <c r="P13" s="25">
        <v>159</v>
      </c>
    </row>
    <row r="14" ht="13" spans="6:16">
      <c r="F14" s="23" t="s">
        <v>10</v>
      </c>
      <c r="G14" s="26">
        <v>11000</v>
      </c>
      <c r="H14" s="27">
        <v>5819</v>
      </c>
      <c r="M14" s="23" t="s">
        <v>6</v>
      </c>
      <c r="N14" s="23" t="s">
        <v>6</v>
      </c>
      <c r="O14" s="28">
        <v>18000</v>
      </c>
      <c r="P14" s="29">
        <v>9522</v>
      </c>
    </row>
    <row r="15" ht="13" spans="6:16">
      <c r="F15" s="23" t="s">
        <v>402</v>
      </c>
      <c r="G15" s="26">
        <v>1500</v>
      </c>
      <c r="H15" s="22">
        <v>794</v>
      </c>
      <c r="M15" s="23" t="s">
        <v>7</v>
      </c>
      <c r="N15" s="23" t="s">
        <v>7</v>
      </c>
      <c r="O15" s="23">
        <v>0</v>
      </c>
      <c r="P15" s="25">
        <v>0</v>
      </c>
    </row>
    <row r="16" ht="37.5" spans="6:16">
      <c r="F16" s="23" t="s">
        <v>11</v>
      </c>
      <c r="G16" s="26">
        <v>84000</v>
      </c>
      <c r="H16" s="27">
        <v>44436</v>
      </c>
      <c r="M16" s="23" t="s">
        <v>8</v>
      </c>
      <c r="N16" s="23" t="s">
        <v>403</v>
      </c>
      <c r="O16" s="23">
        <v>0</v>
      </c>
      <c r="P16" s="25">
        <v>0</v>
      </c>
    </row>
    <row r="17" ht="62.5" spans="6:16">
      <c r="F17" s="23" t="s">
        <v>15</v>
      </c>
      <c r="G17" s="24">
        <v>960</v>
      </c>
      <c r="H17" s="22">
        <v>508</v>
      </c>
      <c r="M17" s="23" t="s">
        <v>9</v>
      </c>
      <c r="N17" s="23" t="s">
        <v>404</v>
      </c>
      <c r="O17" s="23">
        <v>0</v>
      </c>
      <c r="P17" s="25">
        <v>0</v>
      </c>
    </row>
    <row r="18" ht="13" spans="6:16">
      <c r="F18" s="23" t="s">
        <v>405</v>
      </c>
      <c r="G18" s="24">
        <v>860</v>
      </c>
      <c r="H18" s="22">
        <v>455</v>
      </c>
      <c r="M18" s="23" t="s">
        <v>10</v>
      </c>
      <c r="N18" s="23" t="s">
        <v>10</v>
      </c>
      <c r="O18" s="28">
        <v>11000</v>
      </c>
      <c r="P18" s="29">
        <v>5819</v>
      </c>
    </row>
    <row r="19" ht="13" spans="6:16">
      <c r="F19" s="23" t="s">
        <v>406</v>
      </c>
      <c r="G19" s="24">
        <v>300</v>
      </c>
      <c r="H19" s="22">
        <v>159</v>
      </c>
      <c r="M19" s="23" t="s">
        <v>11</v>
      </c>
      <c r="N19" s="23" t="s">
        <v>11</v>
      </c>
      <c r="O19" s="28">
        <v>84000</v>
      </c>
      <c r="P19" s="29">
        <v>44436</v>
      </c>
    </row>
    <row r="20" ht="25" spans="6:16">
      <c r="F20" s="23" t="s">
        <v>19</v>
      </c>
      <c r="G20" s="26">
        <v>7600</v>
      </c>
      <c r="H20" s="27">
        <v>4020</v>
      </c>
      <c r="M20" s="23" t="s">
        <v>12</v>
      </c>
      <c r="N20" s="23" t="s">
        <v>407</v>
      </c>
      <c r="O20" s="23">
        <v>0</v>
      </c>
      <c r="P20" s="25">
        <v>0</v>
      </c>
    </row>
    <row r="21" ht="25" spans="6:16">
      <c r="F21" s="23" t="s">
        <v>408</v>
      </c>
      <c r="G21" s="26">
        <v>1300</v>
      </c>
      <c r="H21" s="22">
        <v>688</v>
      </c>
      <c r="M21" s="23" t="s">
        <v>13</v>
      </c>
      <c r="N21" s="23" t="s">
        <v>409</v>
      </c>
      <c r="O21" s="23">
        <v>0</v>
      </c>
      <c r="P21" s="25">
        <v>0</v>
      </c>
    </row>
    <row r="22" ht="13" spans="6:16">
      <c r="F22" s="23" t="s">
        <v>20</v>
      </c>
      <c r="G22" s="26">
        <v>1600</v>
      </c>
      <c r="H22" s="22">
        <v>846</v>
      </c>
      <c r="M22" s="23" t="s">
        <v>14</v>
      </c>
      <c r="N22" s="23" t="s">
        <v>14</v>
      </c>
      <c r="O22" s="23">
        <v>0</v>
      </c>
      <c r="P22" s="25">
        <v>0</v>
      </c>
    </row>
    <row r="23" ht="13" spans="6:16">
      <c r="F23" s="23" t="s">
        <v>410</v>
      </c>
      <c r="G23" s="26">
        <v>1500</v>
      </c>
      <c r="H23" s="22">
        <v>794</v>
      </c>
      <c r="M23" s="23" t="s">
        <v>15</v>
      </c>
      <c r="N23" s="23" t="s">
        <v>15</v>
      </c>
      <c r="O23" s="23">
        <v>960</v>
      </c>
      <c r="P23" s="25">
        <v>508</v>
      </c>
    </row>
    <row r="24" ht="25" spans="6:16">
      <c r="F24" s="23" t="s">
        <v>411</v>
      </c>
      <c r="G24" s="26">
        <v>1400</v>
      </c>
      <c r="H24" s="22">
        <v>741</v>
      </c>
      <c r="M24" s="23" t="s">
        <v>16</v>
      </c>
      <c r="N24" s="23" t="s">
        <v>412</v>
      </c>
      <c r="O24" s="23">
        <v>860</v>
      </c>
      <c r="P24" s="25">
        <v>455</v>
      </c>
    </row>
    <row r="25" ht="37.5" spans="6:16">
      <c r="F25" s="23" t="s">
        <v>29</v>
      </c>
      <c r="G25" s="26">
        <v>2900</v>
      </c>
      <c r="H25" s="27">
        <v>1534</v>
      </c>
      <c r="M25" s="23" t="s">
        <v>17</v>
      </c>
      <c r="N25" s="23" t="s">
        <v>413</v>
      </c>
      <c r="O25" s="23">
        <v>0</v>
      </c>
      <c r="P25" s="25">
        <v>0</v>
      </c>
    </row>
    <row r="26" ht="25" spans="6:16">
      <c r="F26" s="23" t="s">
        <v>414</v>
      </c>
      <c r="G26" s="26">
        <v>1800</v>
      </c>
      <c r="H26" s="22">
        <v>952</v>
      </c>
      <c r="M26" s="23" t="s">
        <v>18</v>
      </c>
      <c r="N26" s="23" t="s">
        <v>18</v>
      </c>
      <c r="O26" s="23">
        <v>0</v>
      </c>
      <c r="P26" s="25">
        <v>0</v>
      </c>
    </row>
    <row r="27" ht="13" spans="6:16">
      <c r="F27" s="23" t="s">
        <v>415</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416</v>
      </c>
      <c r="G29" s="26">
        <v>2400</v>
      </c>
      <c r="H29" s="27">
        <v>1270</v>
      </c>
      <c r="M29" s="23" t="s">
        <v>21</v>
      </c>
      <c r="N29" s="23" t="s">
        <v>417</v>
      </c>
      <c r="O29" s="23">
        <v>0</v>
      </c>
      <c r="P29" s="25">
        <v>0</v>
      </c>
    </row>
    <row r="30" ht="13" spans="6:16">
      <c r="F30" s="23" t="s">
        <v>418</v>
      </c>
      <c r="G30" s="26">
        <v>1500</v>
      </c>
      <c r="H30" s="22">
        <v>794</v>
      </c>
      <c r="M30" s="23" t="s">
        <v>22</v>
      </c>
      <c r="N30" s="23" t="s">
        <v>22</v>
      </c>
      <c r="O30" s="23">
        <v>0</v>
      </c>
      <c r="P30" s="25">
        <v>0</v>
      </c>
    </row>
    <row r="31" ht="100" spans="6:16">
      <c r="F31" s="23" t="s">
        <v>350</v>
      </c>
      <c r="G31" s="26">
        <v>1500</v>
      </c>
      <c r="H31" s="22">
        <v>794</v>
      </c>
      <c r="M31" s="23" t="s">
        <v>23</v>
      </c>
      <c r="N31" s="23" t="s">
        <v>419</v>
      </c>
      <c r="O31" s="23">
        <v>0</v>
      </c>
      <c r="P31" s="25">
        <v>0</v>
      </c>
    </row>
    <row r="32" ht="13" spans="6:16">
      <c r="F32" s="25" t="s">
        <v>221</v>
      </c>
      <c r="G32" s="27">
        <v>142000</v>
      </c>
      <c r="H32" s="27">
        <v>75118</v>
      </c>
      <c r="M32" s="23" t="s">
        <v>24</v>
      </c>
      <c r="N32" s="23" t="s">
        <v>420</v>
      </c>
      <c r="O32" s="28">
        <v>2400</v>
      </c>
      <c r="P32" s="29">
        <v>1270</v>
      </c>
    </row>
    <row r="33" ht="25" spans="13:16">
      <c r="M33" s="23" t="s">
        <v>25</v>
      </c>
      <c r="N33" s="23" t="s">
        <v>421</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422</v>
      </c>
      <c r="O36" s="28">
        <v>5700</v>
      </c>
      <c r="P36" s="29">
        <v>3015</v>
      </c>
    </row>
    <row r="37" ht="13" spans="13:16">
      <c r="M37" s="23" t="s">
        <v>29</v>
      </c>
      <c r="N37" s="23" t="s">
        <v>29</v>
      </c>
      <c r="O37" s="28">
        <v>2900</v>
      </c>
      <c r="P37" s="29">
        <v>1534</v>
      </c>
    </row>
    <row r="38" ht="25" spans="13:16">
      <c r="M38" s="23" t="s">
        <v>30</v>
      </c>
      <c r="N38" s="23" t="s">
        <v>414</v>
      </c>
      <c r="O38" s="28">
        <v>1800</v>
      </c>
      <c r="P38" s="25">
        <v>952</v>
      </c>
    </row>
    <row r="39" ht="25" spans="13:16">
      <c r="M39" s="23" t="s">
        <v>31</v>
      </c>
      <c r="N39" s="23" t="s">
        <v>423</v>
      </c>
      <c r="O39" s="23">
        <v>0</v>
      </c>
      <c r="P39" s="25">
        <v>0</v>
      </c>
    </row>
    <row r="40" ht="25" spans="13:16">
      <c r="M40" s="23" t="s">
        <v>32</v>
      </c>
      <c r="N40" s="23" t="s">
        <v>424</v>
      </c>
      <c r="O40" s="23">
        <v>820</v>
      </c>
      <c r="P40" s="25">
        <v>434</v>
      </c>
    </row>
    <row r="41" ht="37.5" spans="13:16">
      <c r="M41" s="23" t="s">
        <v>33</v>
      </c>
      <c r="N41" s="23" t="s">
        <v>425</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426</v>
      </c>
      <c r="O44" s="23">
        <v>0</v>
      </c>
      <c r="P44" s="25">
        <v>0</v>
      </c>
    </row>
    <row r="45" ht="13" spans="13:16">
      <c r="M45" s="23" t="s">
        <v>37</v>
      </c>
      <c r="N45" s="23" t="s">
        <v>37</v>
      </c>
      <c r="O45" s="23">
        <v>0</v>
      </c>
      <c r="P45" s="25">
        <v>0</v>
      </c>
    </row>
    <row r="46" ht="13" spans="13:16">
      <c r="M46" s="25" t="s">
        <v>221</v>
      </c>
      <c r="N46" s="23" t="s">
        <v>221</v>
      </c>
      <c r="O46" s="29">
        <v>142000</v>
      </c>
      <c r="P46" s="29">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427</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428</v>
      </c>
      <c r="X10" t="s">
        <v>429</v>
      </c>
      <c r="Y10" t="s">
        <v>429</v>
      </c>
      <c r="Z10" t="s">
        <v>430</v>
      </c>
      <c r="AA10" t="s">
        <v>430</v>
      </c>
      <c r="AB10" t="s">
        <v>429</v>
      </c>
      <c r="AC10" t="s">
        <v>431</v>
      </c>
      <c r="AD10" t="s">
        <v>429</v>
      </c>
      <c r="AE10" t="s">
        <v>429</v>
      </c>
      <c r="AF10" t="s">
        <v>429</v>
      </c>
      <c r="AG10" t="s">
        <v>429</v>
      </c>
      <c r="AH10" t="s">
        <v>431</v>
      </c>
      <c r="AI10" t="s">
        <v>430</v>
      </c>
      <c r="AJ10" t="s">
        <v>429</v>
      </c>
      <c r="AK10" t="s">
        <v>429</v>
      </c>
      <c r="AL10" t="s">
        <v>430</v>
      </c>
      <c r="AM10" t="s">
        <v>429</v>
      </c>
      <c r="AN10" t="s">
        <v>431</v>
      </c>
      <c r="AO10" t="s">
        <v>431</v>
      </c>
      <c r="AP10" t="s">
        <v>431</v>
      </c>
      <c r="AQ10" t="s">
        <v>429</v>
      </c>
      <c r="AR10" t="s">
        <v>429</v>
      </c>
      <c r="AS10" t="s">
        <v>431</v>
      </c>
      <c r="AT10" t="s">
        <v>430</v>
      </c>
      <c r="AU10" t="s">
        <v>429</v>
      </c>
      <c r="AV10" t="s">
        <v>429</v>
      </c>
      <c r="AW10" t="s">
        <v>429</v>
      </c>
      <c r="AX10" t="s">
        <v>429</v>
      </c>
      <c r="AY10" t="s">
        <v>429</v>
      </c>
      <c r="AZ10" t="s">
        <v>431</v>
      </c>
      <c r="BA10" t="s">
        <v>431</v>
      </c>
      <c r="BB10" t="s">
        <v>430</v>
      </c>
      <c r="BC10" t="s">
        <v>429</v>
      </c>
      <c r="BD10" t="s">
        <v>431</v>
      </c>
      <c r="BE10" t="s">
        <v>429</v>
      </c>
      <c r="BF10" t="s">
        <v>429</v>
      </c>
    </row>
    <row r="11" ht="14.5" spans="5:58">
      <c r="E11" s="20"/>
      <c r="F11" s="1"/>
      <c r="G11" s="1"/>
      <c r="M11" s="13"/>
      <c r="N11" s="13"/>
      <c r="O11" s="13"/>
      <c r="P11" s="13"/>
      <c r="W11" t="s">
        <v>432</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433</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434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435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436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437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438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440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441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442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443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444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449</v>
      </c>
      <c r="W28" t="s">
        <v>450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451</v>
      </c>
      <c r="W29" t="s">
        <v>452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453</v>
      </c>
      <c r="W30" t="s">
        <v>454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430</v>
      </c>
      <c r="W31" t="s">
        <v>455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430</v>
      </c>
      <c r="W32" t="s">
        <v>456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429</v>
      </c>
      <c r="W33" t="s">
        <v>457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430</v>
      </c>
      <c r="W34" t="s">
        <v>458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459</v>
      </c>
      <c r="W35" t="s">
        <v>460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451</v>
      </c>
      <c r="W36" t="s">
        <v>461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462</v>
      </c>
      <c r="W37" t="s">
        <v>463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462</v>
      </c>
      <c r="W38" t="s">
        <v>464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431</v>
      </c>
      <c r="W39" t="s">
        <v>465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430</v>
      </c>
      <c r="W40" t="s">
        <v>466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462</v>
      </c>
      <c r="W41" t="s">
        <v>467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459</v>
      </c>
      <c r="W42" t="s">
        <v>468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469</v>
      </c>
      <c r="W43" t="s">
        <v>470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471</v>
      </c>
      <c r="W44" t="s">
        <v>472</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431</v>
      </c>
      <c r="W45" t="s">
        <v>473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429</v>
      </c>
      <c r="W46" t="s">
        <v>474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431</v>
      </c>
      <c r="W47" t="s">
        <v>475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459</v>
      </c>
      <c r="W48" t="s">
        <v>476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462</v>
      </c>
      <c r="W49" t="s">
        <v>477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431</v>
      </c>
      <c r="W50" t="s">
        <v>478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469</v>
      </c>
      <c r="W51" t="s">
        <v>479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462</v>
      </c>
      <c r="W52" t="s">
        <v>480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462</v>
      </c>
      <c r="W53" t="s">
        <v>481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459</v>
      </c>
      <c r="W54" t="s">
        <v>482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429</v>
      </c>
      <c r="W55" t="s">
        <v>483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459</v>
      </c>
      <c r="W56" t="s">
        <v>484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429</v>
      </c>
      <c r="W57" t="s">
        <v>485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430</v>
      </c>
      <c r="W58" t="s">
        <v>486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469</v>
      </c>
      <c r="W59" t="s">
        <v>487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459</v>
      </c>
      <c r="W60" t="s">
        <v>488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431</v>
      </c>
      <c r="W61" t="s">
        <v>489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451</v>
      </c>
      <c r="W62" t="s">
        <v>490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451</v>
      </c>
      <c r="W63" t="s">
        <v>491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492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493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494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500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501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83" zoomScaleNormal="83" topLeftCell="BY33" workbookViewId="0">
      <selection activeCell="AX47" sqref="AX47"/>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502</v>
      </c>
      <c r="DJ1" s="6" t="s">
        <v>503</v>
      </c>
      <c r="DK1" s="6" t="s">
        <v>139</v>
      </c>
      <c r="DL1" s="6" t="s">
        <v>504</v>
      </c>
      <c r="DM1" s="6" t="s">
        <v>505</v>
      </c>
    </row>
    <row r="2" spans="5:117">
      <c r="DI2" s="6" t="s">
        <v>506</v>
      </c>
      <c r="DJ2" s="6">
        <v>2010</v>
      </c>
      <c r="DK2" s="6">
        <v>0.001</v>
      </c>
      <c r="DL2" s="6" t="s">
        <v>507</v>
      </c>
      <c r="DM2" s="6" t="s">
        <v>508</v>
      </c>
    </row>
    <row r="3" spans="5:117">
      <c r="DI3" s="6" t="s">
        <v>506</v>
      </c>
      <c r="DJ3" s="6">
        <v>2011</v>
      </c>
      <c r="DK3" s="6">
        <v>0.004</v>
      </c>
      <c r="DL3" s="6" t="s">
        <v>507</v>
      </c>
      <c r="DM3" s="6" t="s">
        <v>508</v>
      </c>
    </row>
    <row r="4" spans="5:117">
      <c r="DI4" s="6" t="s">
        <v>506</v>
      </c>
      <c r="DJ4" s="6">
        <v>2012</v>
      </c>
      <c r="DK4" s="6">
        <v>0.009</v>
      </c>
      <c r="DL4" s="6" t="s">
        <v>507</v>
      </c>
      <c r="DM4" s="6" t="s">
        <v>508</v>
      </c>
    </row>
    <row r="5" spans="5:117">
      <c r="DI5" s="6" t="s">
        <v>506</v>
      </c>
      <c r="DJ5" s="6">
        <v>2013</v>
      </c>
      <c r="DK5" s="6">
        <v>0.017</v>
      </c>
      <c r="DL5" s="6" t="s">
        <v>507</v>
      </c>
      <c r="DM5" s="6" t="s">
        <v>508</v>
      </c>
    </row>
    <row r="6" spans="5:117">
      <c r="E6" s="14"/>
      <c r="F6" s="14"/>
      <c r="G6" s="14"/>
      <c r="H6" s="14"/>
      <c r="DI6" s="6" t="s">
        <v>506</v>
      </c>
      <c r="DJ6" s="6">
        <v>2014</v>
      </c>
      <c r="DK6" s="6">
        <v>0.029</v>
      </c>
      <c r="DL6" s="6" t="s">
        <v>507</v>
      </c>
      <c r="DM6" s="6" t="s">
        <v>508</v>
      </c>
    </row>
    <row r="7" spans="5:117">
      <c r="E7" s="14" t="s">
        <v>133</v>
      </c>
      <c r="F7" s="14"/>
      <c r="G7" s="14"/>
      <c r="H7" s="14" t="s">
        <v>509</v>
      </c>
      <c r="DI7" s="6" t="s">
        <v>506</v>
      </c>
      <c r="DJ7" s="6">
        <v>2015</v>
      </c>
      <c r="DK7" s="6">
        <v>0.058</v>
      </c>
      <c r="DL7" s="6" t="s">
        <v>507</v>
      </c>
      <c r="DM7" s="6" t="s">
        <v>508</v>
      </c>
    </row>
    <row r="8" spans="5:117">
      <c r="E8" s="14" t="s">
        <v>510</v>
      </c>
      <c r="F8" s="14" t="s">
        <v>511</v>
      </c>
      <c r="G8" s="14"/>
      <c r="H8" s="14" t="str">
        <f>"*"&amp;1/10/[4]storage!$J$2</f>
        <v>*0.1</v>
      </c>
      <c r="DI8" s="6" t="s">
        <v>506</v>
      </c>
      <c r="DJ8" s="6">
        <v>2016</v>
      </c>
      <c r="DK8" s="6">
        <v>0.09</v>
      </c>
      <c r="DL8" s="6" t="s">
        <v>507</v>
      </c>
      <c r="DM8" s="6" t="s">
        <v>508</v>
      </c>
    </row>
    <row r="9" spans="5:117">
      <c r="E9" s="14" t="s">
        <v>510</v>
      </c>
      <c r="F9" s="14" t="str">
        <f t="shared" ref="F9:F17" si="0">F8</f>
        <v>*virgin*, -Tra_EV_Batt-Sodium*</v>
      </c>
      <c r="G9" s="14"/>
      <c r="H9" s="14" t="str">
        <f>"*"&amp;1/10/[4]storage!$J$2</f>
        <v>*0.1</v>
      </c>
      <c r="AZ9" t="s">
        <v>512</v>
      </c>
      <c r="DI9" s="6" t="s">
        <v>506</v>
      </c>
      <c r="DJ9" s="6">
        <v>2017</v>
      </c>
      <c r="DK9" s="6">
        <v>0.163</v>
      </c>
      <c r="DL9" s="6" t="s">
        <v>507</v>
      </c>
      <c r="DM9" s="6" t="s">
        <v>508</v>
      </c>
    </row>
    <row r="10" spans="5:117">
      <c r="E10" s="14" t="s">
        <v>510</v>
      </c>
      <c r="F10" s="14" t="str">
        <f t="shared" si="0"/>
        <v>*virgin*, -Tra_EV_Batt-Sodium*</v>
      </c>
      <c r="G10" s="14"/>
      <c r="H10" s="14" t="str">
        <f>"*"&amp;1/10/[4]storage!$J$2</f>
        <v>*0.1</v>
      </c>
      <c r="DI10" s="6" t="s">
        <v>506</v>
      </c>
      <c r="DJ10" s="6">
        <v>2018</v>
      </c>
      <c r="DK10" s="6">
        <v>0.301</v>
      </c>
      <c r="DL10" s="6" t="s">
        <v>507</v>
      </c>
      <c r="DM10" s="6" t="s">
        <v>508</v>
      </c>
    </row>
    <row r="11" spans="5:117">
      <c r="E11" s="14" t="s">
        <v>510</v>
      </c>
      <c r="F11" s="14" t="str">
        <f t="shared" si="0"/>
        <v>*virgin*, -Tra_EV_Batt-Sodium*</v>
      </c>
      <c r="G11" s="14"/>
      <c r="H11" s="14" t="str">
        <f>"*"&amp;1/10/[4]storage!$J$2</f>
        <v>*0.1</v>
      </c>
      <c r="DI11" s="6" t="s">
        <v>506</v>
      </c>
      <c r="DJ11" s="6">
        <v>2019</v>
      </c>
      <c r="DK11" s="6">
        <v>0.328</v>
      </c>
      <c r="DL11" s="6" t="s">
        <v>507</v>
      </c>
      <c r="DM11" s="6" t="s">
        <v>508</v>
      </c>
    </row>
    <row r="12" spans="5:117">
      <c r="E12" s="14" t="s">
        <v>510</v>
      </c>
      <c r="F12" s="14" t="str">
        <f t="shared" si="0"/>
        <v>*virgin*, -Tra_EV_Batt-Sodium*</v>
      </c>
      <c r="G12" s="14"/>
      <c r="H12" s="14" t="str">
        <f>"*"&amp;1/10/[4]storage!$J$2</f>
        <v>*0.1</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513</v>
      </c>
      <c r="DJ12" s="6">
        <v>2010</v>
      </c>
      <c r="DK12" s="6">
        <v>0</v>
      </c>
      <c r="DL12" s="6" t="s">
        <v>514</v>
      </c>
      <c r="DM12" s="6" t="s">
        <v>515</v>
      </c>
    </row>
    <row r="13" spans="5:117">
      <c r="E13" s="14" t="s">
        <v>510</v>
      </c>
      <c r="F13" s="14" t="str">
        <f t="shared" si="0"/>
        <v>*virgin*, -Tra_EV_Batt-Sodium*</v>
      </c>
      <c r="G13" s="14"/>
      <c r="H13" s="14" t="str">
        <f>"*"&amp;1/10/[4]storage!$J$2</f>
        <v>*0.1</v>
      </c>
      <c r="AZ13" s="1" t="s">
        <v>189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513</v>
      </c>
      <c r="DJ13" s="6">
        <v>2011</v>
      </c>
      <c r="DK13" s="6">
        <v>0</v>
      </c>
      <c r="DL13" s="6" t="s">
        <v>514</v>
      </c>
      <c r="DM13" s="6" t="s">
        <v>515</v>
      </c>
    </row>
    <row r="14" spans="5:117">
      <c r="E14" s="14" t="s">
        <v>510</v>
      </c>
      <c r="F14" s="14" t="str">
        <f t="shared" si="0"/>
        <v>*virgin*, -Tra_EV_Batt-Sodium*</v>
      </c>
      <c r="G14" s="14"/>
      <c r="H14" s="14" t="str">
        <f>"*"&amp;1/10/[4]storage!$J$2</f>
        <v>*0.1</v>
      </c>
      <c r="AZ14" s="1" t="s">
        <v>191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513</v>
      </c>
      <c r="DJ14" s="6">
        <v>2012</v>
      </c>
      <c r="DK14" s="6">
        <v>0.005</v>
      </c>
      <c r="DL14" s="6" t="s">
        <v>514</v>
      </c>
      <c r="DM14" s="6" t="s">
        <v>515</v>
      </c>
    </row>
    <row r="15" spans="5:117">
      <c r="E15" s="14" t="s">
        <v>510</v>
      </c>
      <c r="F15" s="14" t="str">
        <f t="shared" si="0"/>
        <v>*virgin*, -Tra_EV_Batt-Sodium*</v>
      </c>
      <c r="G15" s="14"/>
      <c r="H15" s="14" t="str">
        <f>"*"&amp;1/10/[4]storage!$J$2</f>
        <v>*0.1</v>
      </c>
      <c r="AZ15" s="1" t="s">
        <v>193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513</v>
      </c>
      <c r="DJ15" s="6">
        <v>2013</v>
      </c>
      <c r="DK15" s="6">
        <v>0.015</v>
      </c>
      <c r="DL15" s="6" t="s">
        <v>514</v>
      </c>
      <c r="DM15" s="6" t="s">
        <v>515</v>
      </c>
    </row>
    <row r="16" spans="5:117">
      <c r="E16" s="14" t="s">
        <v>510</v>
      </c>
      <c r="F16" s="14" t="str">
        <f t="shared" si="0"/>
        <v>*virgin*, -Tra_EV_Batt-Sodium*</v>
      </c>
      <c r="G16" s="14"/>
      <c r="H16" s="14" t="str">
        <f>"*"&amp;1/10/[4]storage!$J$2</f>
        <v>*0.1</v>
      </c>
      <c r="AZ16" s="1" t="s">
        <v>196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513</v>
      </c>
      <c r="DJ16" s="6">
        <v>2014</v>
      </c>
      <c r="DK16" s="6">
        <v>0.04</v>
      </c>
      <c r="DL16" s="6" t="s">
        <v>514</v>
      </c>
      <c r="DM16" s="6" t="s">
        <v>515</v>
      </c>
    </row>
    <row r="17" spans="5:117">
      <c r="E17" s="14" t="s">
        <v>510</v>
      </c>
      <c r="F17" s="14" t="str">
        <f t="shared" si="0"/>
        <v>*virgin*, -Tra_EV_Batt-Sodium*</v>
      </c>
      <c r="G17" s="14"/>
      <c r="H17" s="14" t="str">
        <f>"*"&amp;1/10/[4]storage!$J$2</f>
        <v>*0.1</v>
      </c>
      <c r="AZ17" s="1" t="s">
        <v>198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513</v>
      </c>
      <c r="DJ17" s="6">
        <v>2015</v>
      </c>
      <c r="DK17" s="6">
        <v>0.14</v>
      </c>
      <c r="DL17" s="6" t="s">
        <v>514</v>
      </c>
      <c r="DM17" s="6" t="s">
        <v>515</v>
      </c>
    </row>
    <row r="18" spans="5:117">
      <c r="E18" s="14"/>
      <c r="F18" s="14"/>
      <c r="G18" s="14"/>
      <c r="H18" s="14"/>
      <c r="AZ18" s="1" t="s">
        <v>200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513</v>
      </c>
      <c r="DJ18" s="6">
        <v>2016</v>
      </c>
      <c r="DK18" s="6">
        <v>0.22</v>
      </c>
      <c r="DL18" s="6" t="s">
        <v>514</v>
      </c>
      <c r="DM18" s="6" t="s">
        <v>515</v>
      </c>
    </row>
    <row r="19" spans="5:117">
      <c r="E19" s="14"/>
      <c r="F19" s="14"/>
      <c r="G19" s="14"/>
      <c r="H19" s="14"/>
      <c r="AZ19" s="1" t="s">
        <v>202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513</v>
      </c>
      <c r="DJ19" s="6">
        <v>2017</v>
      </c>
      <c r="DK19" s="6">
        <v>0.25</v>
      </c>
      <c r="DL19" s="6" t="s">
        <v>514</v>
      </c>
      <c r="DM19" s="6" t="s">
        <v>515</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513</v>
      </c>
      <c r="DJ20" s="6">
        <v>2018</v>
      </c>
      <c r="DK20" s="6">
        <v>0.21</v>
      </c>
      <c r="DL20" s="6" t="s">
        <v>514</v>
      </c>
      <c r="DM20" s="6" t="s">
        <v>515</v>
      </c>
    </row>
    <row r="21" spans="5:117">
      <c r="E21" s="14"/>
      <c r="F21" s="14"/>
      <c r="G21" s="14"/>
      <c r="H21" s="14"/>
      <c r="DI21" s="6" t="s">
        <v>513</v>
      </c>
      <c r="DJ21" s="6">
        <v>2019</v>
      </c>
      <c r="DK21" s="6">
        <v>0.12</v>
      </c>
      <c r="DL21" s="6" t="s">
        <v>514</v>
      </c>
      <c r="DM21" s="6" t="s">
        <v>515</v>
      </c>
    </row>
    <row r="22" spans="5:117">
      <c r="E22" s="14"/>
      <c r="F22" s="14"/>
      <c r="G22" s="14"/>
      <c r="H22" s="14"/>
      <c r="DI22" s="6" t="s">
        <v>516</v>
      </c>
      <c r="DJ22" s="6">
        <v>2010</v>
      </c>
      <c r="DK22" s="6">
        <v>0</v>
      </c>
      <c r="DL22" s="6" t="s">
        <v>517</v>
      </c>
      <c r="DM22" s="6" t="s">
        <v>518</v>
      </c>
    </row>
    <row r="23" spans="5:117">
      <c r="E23" s="14"/>
      <c r="F23" s="14"/>
      <c r="G23" s="14"/>
      <c r="H23" s="14"/>
      <c r="DI23" s="6" t="s">
        <v>516</v>
      </c>
      <c r="DJ23" s="6">
        <v>2011</v>
      </c>
      <c r="DK23" s="6">
        <v>0</v>
      </c>
      <c r="DL23" s="6" t="s">
        <v>517</v>
      </c>
      <c r="DM23" s="6" t="s">
        <v>518</v>
      </c>
    </row>
    <row r="24" spans="5:117">
      <c r="E24" s="14"/>
      <c r="F24" s="14"/>
      <c r="G24" s="14"/>
      <c r="H24" s="14"/>
      <c r="DI24" s="6" t="s">
        <v>516</v>
      </c>
      <c r="DJ24" s="6">
        <v>2012</v>
      </c>
      <c r="DK24" s="6">
        <v>0</v>
      </c>
      <c r="DL24" s="6" t="s">
        <v>517</v>
      </c>
      <c r="DM24" s="6" t="s">
        <v>518</v>
      </c>
    </row>
    <row r="25" spans="5:117">
      <c r="E25" s="14" t="s">
        <v>133</v>
      </c>
      <c r="F25" s="14" t="s">
        <v>147</v>
      </c>
      <c r="G25" s="14" t="s">
        <v>301</v>
      </c>
      <c r="H25" s="14" t="s">
        <v>509</v>
      </c>
      <c r="DI25" s="6" t="s">
        <v>516</v>
      </c>
      <c r="DJ25" s="6">
        <v>2013</v>
      </c>
      <c r="DK25" s="6">
        <v>0.019</v>
      </c>
      <c r="DL25" s="6" t="s">
        <v>517</v>
      </c>
      <c r="DM25" s="6" t="s">
        <v>519</v>
      </c>
    </row>
    <row r="26" spans="5:117">
      <c r="E26" s="14" t="s">
        <v>510</v>
      </c>
      <c r="F26" s="14" t="s">
        <v>520</v>
      </c>
      <c r="G26" s="14">
        <v>2019</v>
      </c>
      <c r="H26" s="14" t="str">
        <f>"*"&amp;1/10/[4]storage!$J$2</f>
        <v>*0.1</v>
      </c>
      <c r="DI26" s="6" t="s">
        <v>516</v>
      </c>
      <c r="DJ26" s="6">
        <v>2014</v>
      </c>
      <c r="DK26" s="6">
        <v>0.037</v>
      </c>
      <c r="DL26" s="6" t="s">
        <v>517</v>
      </c>
      <c r="DM26" s="6" t="s">
        <v>519</v>
      </c>
    </row>
    <row r="27" spans="5:117">
      <c r="E27" s="14" t="s">
        <v>510</v>
      </c>
      <c r="F27" s="14" t="str">
        <f t="shared" ref="F27:F35" si="1">F26</f>
        <v>MINBatMaterials*</v>
      </c>
      <c r="G27" s="14">
        <f t="shared" ref="G27:G34" si="2">G26-1</f>
        <v>2018</v>
      </c>
      <c r="H27" s="14" t="str">
        <f>"*"&amp;1/10/[4]storage!$J$2</f>
        <v>*0.1</v>
      </c>
      <c r="DI27" s="6" t="s">
        <v>516</v>
      </c>
      <c r="DJ27" s="6">
        <v>2015</v>
      </c>
      <c r="DK27" s="6">
        <v>0.065</v>
      </c>
      <c r="DL27" s="6" t="s">
        <v>517</v>
      </c>
      <c r="DM27" s="6" t="s">
        <v>519</v>
      </c>
    </row>
    <row r="28" spans="5:117">
      <c r="E28" s="14" t="s">
        <v>510</v>
      </c>
      <c r="F28" s="14" t="str">
        <f t="shared" si="1"/>
        <v>MINBatMaterials*</v>
      </c>
      <c r="G28" s="14">
        <f t="shared" si="2"/>
        <v>2017</v>
      </c>
      <c r="H28" s="14" t="str">
        <f>"*"&amp;1/10/[4]storage!$J$2</f>
        <v>*0.1</v>
      </c>
      <c r="DI28" s="6" t="s">
        <v>516</v>
      </c>
      <c r="DJ28" s="6">
        <v>2016</v>
      </c>
      <c r="DK28" s="6">
        <v>0.121</v>
      </c>
      <c r="DL28" s="6" t="s">
        <v>517</v>
      </c>
      <c r="DM28" s="6" t="s">
        <v>519</v>
      </c>
    </row>
    <row r="29" spans="5:117">
      <c r="E29" s="14" t="s">
        <v>510</v>
      </c>
      <c r="F29" s="14" t="str">
        <f t="shared" si="1"/>
        <v>MINBatMaterials*</v>
      </c>
      <c r="G29" s="14">
        <f t="shared" si="2"/>
        <v>2016</v>
      </c>
      <c r="H29" s="14" t="str">
        <f>"*"&amp;1/10/[4]storage!$J$2</f>
        <v>*0.1</v>
      </c>
      <c r="DI29" s="6" t="s">
        <v>516</v>
      </c>
      <c r="DJ29" s="6">
        <v>2017</v>
      </c>
      <c r="DK29" s="6">
        <v>0.159</v>
      </c>
      <c r="DL29" s="6" t="s">
        <v>517</v>
      </c>
      <c r="DM29" s="6" t="s">
        <v>519</v>
      </c>
    </row>
    <row r="30" spans="5:117">
      <c r="E30" s="14" t="s">
        <v>510</v>
      </c>
      <c r="F30" s="14" t="str">
        <f t="shared" si="1"/>
        <v>MINBatMaterials*</v>
      </c>
      <c r="G30" s="14">
        <f t="shared" si="2"/>
        <v>2015</v>
      </c>
      <c r="H30" s="14" t="str">
        <f>"*"&amp;1/10/[4]storage!$J$2</f>
        <v>*0.1</v>
      </c>
      <c r="DI30" s="6" t="s">
        <v>516</v>
      </c>
      <c r="DJ30" s="6">
        <v>2018</v>
      </c>
      <c r="DK30" s="6">
        <v>0.308</v>
      </c>
      <c r="DL30" s="6" t="s">
        <v>517</v>
      </c>
      <c r="DM30" s="6" t="s">
        <v>519</v>
      </c>
    </row>
    <row r="31" spans="5:117">
      <c r="E31" s="14" t="s">
        <v>510</v>
      </c>
      <c r="F31" s="14" t="str">
        <f t="shared" si="1"/>
        <v>MINBatMaterials*</v>
      </c>
      <c r="G31" s="14">
        <f t="shared" si="2"/>
        <v>2014</v>
      </c>
      <c r="H31" s="14" t="str">
        <f>"*"&amp;1/10/[4]storage!$J$2</f>
        <v>*0.1</v>
      </c>
      <c r="DI31" s="6" t="s">
        <v>516</v>
      </c>
      <c r="DJ31" s="6">
        <v>2019</v>
      </c>
      <c r="DK31" s="6">
        <v>0.291</v>
      </c>
      <c r="DL31" s="6" t="s">
        <v>517</v>
      </c>
      <c r="DM31" s="6" t="s">
        <v>519</v>
      </c>
    </row>
    <row r="32" spans="5:117">
      <c r="E32" s="14" t="s">
        <v>510</v>
      </c>
      <c r="F32" s="14" t="str">
        <f t="shared" si="1"/>
        <v>MINBatMaterials*</v>
      </c>
      <c r="G32" s="14">
        <f t="shared" si="2"/>
        <v>2013</v>
      </c>
      <c r="H32" s="14" t="str">
        <f>"*"&amp;1/10/[4]storage!$J$2</f>
        <v>*0.1</v>
      </c>
    </row>
    <row r="33" spans="4:91">
      <c r="E33" s="14" t="s">
        <v>510</v>
      </c>
      <c r="F33" s="14" t="str">
        <f t="shared" si="1"/>
        <v>MINBatMaterials*</v>
      </c>
      <c r="G33" s="14">
        <f t="shared" si="2"/>
        <v>2012</v>
      </c>
      <c r="H33" s="14" t="str">
        <f>"*"&amp;1/10/[4]storage!$J$2</f>
        <v>*0.1</v>
      </c>
    </row>
    <row r="34" spans="4:91">
      <c r="E34" s="14" t="s">
        <v>510</v>
      </c>
      <c r="F34" s="14" t="str">
        <f t="shared" si="1"/>
        <v>MINBatMaterials*</v>
      </c>
      <c r="G34" s="14">
        <f t="shared" si="2"/>
        <v>2011</v>
      </c>
      <c r="H34" s="14" t="str">
        <f>"*"&amp;1/10/[4]storage!$J$2</f>
        <v>*0.1</v>
      </c>
    </row>
    <row r="35" spans="4:91">
      <c r="E35" s="14" t="s">
        <v>510</v>
      </c>
      <c r="F35" s="14" t="str">
        <f t="shared" si="1"/>
        <v>MINBatMaterials*</v>
      </c>
      <c r="G35" s="14">
        <v>2020</v>
      </c>
      <c r="H35" s="14" t="str">
        <f>"*"&amp;1/10/[4]storage!$J$2</f>
        <v>*0.1</v>
      </c>
    </row>
    <row r="43" spans="4:91">
      <c r="E43" t="s">
        <v>521</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522</v>
      </c>
      <c r="CH43" s="15"/>
      <c r="CI43" s="15"/>
      <c r="CJ43" s="15"/>
      <c r="CK43" s="15"/>
      <c r="CL43" s="15"/>
    </row>
    <row r="44" spans="4:91">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65</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147</v>
      </c>
      <c r="CI44" s="6" t="s">
        <v>523</v>
      </c>
      <c r="CJ44" s="6" t="s">
        <v>524</v>
      </c>
      <c r="CK44" s="6" t="s">
        <v>525</v>
      </c>
      <c r="CL44" s="6" t="s">
        <v>526</v>
      </c>
      <c r="CM44" s="6" t="s">
        <v>527</v>
      </c>
    </row>
    <row r="45" spans="4:91">
      <c r="D45" s="16">
        <v>2016</v>
      </c>
      <c r="E45" s="1" t="s">
        <v>189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189</v>
      </c>
      <c r="AS45" s="6">
        <v>0.075</v>
      </c>
      <c r="AT45" s="6" t="s">
        <v>528</v>
      </c>
      <c r="AU45" s="6" t="s">
        <v>529</v>
      </c>
      <c r="AV45" s="1" t="s">
        <v>189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189</v>
      </c>
      <c r="CI45" s="6">
        <v>0.075</v>
      </c>
      <c r="CJ45" s="6">
        <v>0.075</v>
      </c>
      <c r="CK45" s="6" t="s">
        <v>528</v>
      </c>
      <c r="CL45" s="6" t="s">
        <v>528</v>
      </c>
      <c r="CM45" s="6" t="s">
        <v>530</v>
      </c>
    </row>
    <row r="46" spans="4:91">
      <c r="D46">
        <f>D45</f>
        <v>2016</v>
      </c>
      <c r="E46" s="1" t="s">
        <v>191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191</v>
      </c>
      <c r="AS46" s="6">
        <v>0.075</v>
      </c>
      <c r="AT46" s="6" t="s">
        <v>528</v>
      </c>
      <c r="AU46" s="6" t="s">
        <v>529</v>
      </c>
      <c r="AV46" s="1" t="s">
        <v>191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191</v>
      </c>
      <c r="CI46" s="6">
        <v>0.075</v>
      </c>
      <c r="CJ46" s="6">
        <v>0.075</v>
      </c>
      <c r="CK46" s="6" t="s">
        <v>528</v>
      </c>
      <c r="CL46" s="6" t="s">
        <v>528</v>
      </c>
      <c r="CM46" s="6" t="s">
        <v>530</v>
      </c>
    </row>
    <row r="47" ht="16" spans="4:91">
      <c r="D47">
        <f t="shared" ref="D47:D65" si="8">D46</f>
        <v>2016</v>
      </c>
      <c r="E47" s="17" t="s">
        <v>195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195</v>
      </c>
      <c r="AS47" s="6">
        <v>0.075</v>
      </c>
      <c r="AT47" s="6" t="s">
        <v>528</v>
      </c>
      <c r="AU47" s="6" t="s">
        <v>529</v>
      </c>
      <c r="AV47" s="1" t="s">
        <v>193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195</v>
      </c>
      <c r="CI47" s="6">
        <v>0.075</v>
      </c>
      <c r="CJ47" s="6">
        <v>0.075</v>
      </c>
      <c r="CK47" s="6" t="s">
        <v>528</v>
      </c>
      <c r="CL47" s="6" t="s">
        <v>528</v>
      </c>
      <c r="CM47" s="6" t="s">
        <v>530</v>
      </c>
    </row>
    <row r="48" spans="4:91">
      <c r="D48">
        <f t="shared" si="8"/>
        <v>2016</v>
      </c>
      <c r="E48" s="1" t="s">
        <v>196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196</v>
      </c>
      <c r="AS48" s="6">
        <v>0.075</v>
      </c>
      <c r="AT48" s="6" t="s">
        <v>528</v>
      </c>
      <c r="AU48" s="6" t="s">
        <v>529</v>
      </c>
      <c r="AV48" s="1" t="s">
        <v>196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196</v>
      </c>
      <c r="CI48" s="6">
        <v>0.075</v>
      </c>
      <c r="CJ48" s="6">
        <v>0.075</v>
      </c>
      <c r="CK48" s="6" t="s">
        <v>528</v>
      </c>
      <c r="CL48" s="6" t="s">
        <v>528</v>
      </c>
      <c r="CM48" s="6" t="s">
        <v>530</v>
      </c>
    </row>
    <row r="49" spans="4:91">
      <c r="D49">
        <f t="shared" si="8"/>
        <v>2016</v>
      </c>
      <c r="E49" s="1" t="s">
        <v>198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198</v>
      </c>
      <c r="AS49" s="6">
        <v>0.075</v>
      </c>
      <c r="AT49" s="6" t="s">
        <v>528</v>
      </c>
      <c r="AU49" s="6" t="s">
        <v>529</v>
      </c>
      <c r="AV49" s="1" t="s">
        <v>198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198</v>
      </c>
      <c r="CI49" s="6">
        <v>0.075</v>
      </c>
      <c r="CJ49" s="6">
        <v>0.075</v>
      </c>
      <c r="CK49" s="6" t="s">
        <v>528</v>
      </c>
      <c r="CL49" s="6" t="s">
        <v>528</v>
      </c>
      <c r="CM49" s="6" t="s">
        <v>530</v>
      </c>
    </row>
    <row r="50" spans="4:91">
      <c r="D50">
        <f t="shared" si="8"/>
        <v>2016</v>
      </c>
      <c r="E50" s="1" t="s">
        <v>200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200</v>
      </c>
      <c r="AS50" s="6">
        <v>0.075</v>
      </c>
      <c r="AT50" s="6" t="s">
        <v>528</v>
      </c>
      <c r="AU50" s="6" t="s">
        <v>529</v>
      </c>
      <c r="AV50" s="1" t="s">
        <v>200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200</v>
      </c>
      <c r="CI50" s="6">
        <v>0.075</v>
      </c>
      <c r="CJ50" s="6">
        <v>0.075</v>
      </c>
      <c r="CK50" s="6" t="s">
        <v>528</v>
      </c>
      <c r="CL50" s="6" t="s">
        <v>528</v>
      </c>
      <c r="CM50" s="6" t="s">
        <v>530</v>
      </c>
    </row>
    <row r="51" spans="4:91">
      <c r="D51">
        <f t="shared" si="8"/>
        <v>2016</v>
      </c>
      <c r="E51" s="1" t="s">
        <v>202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202</v>
      </c>
      <c r="AS51" s="6">
        <v>0.075</v>
      </c>
      <c r="AT51" s="6" t="s">
        <v>528</v>
      </c>
      <c r="AU51" s="6" t="s">
        <v>529</v>
      </c>
      <c r="AV51" s="1" t="s">
        <v>202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202</v>
      </c>
      <c r="CI51" s="6">
        <v>0.075</v>
      </c>
      <c r="CJ51" s="6">
        <v>0.075</v>
      </c>
      <c r="CK51" s="6" t="s">
        <v>528</v>
      </c>
      <c r="CL51" s="6" t="s">
        <v>528</v>
      </c>
      <c r="CM51" s="6" t="s">
        <v>530</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506</v>
      </c>
      <c r="AU52" s="6" t="s">
        <v>531</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532</v>
      </c>
      <c r="CL52" s="6" t="s">
        <v>533</v>
      </c>
      <c r="CM52" s="6" t="s">
        <v>534</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506</v>
      </c>
      <c r="AU53" s="6" t="s">
        <v>531</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532</v>
      </c>
      <c r="CL53" s="6" t="s">
        <v>533</v>
      </c>
      <c r="CM53" s="6" t="s">
        <v>534</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506</v>
      </c>
      <c r="AU54" s="6" t="s">
        <v>531</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532</v>
      </c>
      <c r="CL54" s="6" t="s">
        <v>533</v>
      </c>
      <c r="CM54" s="6" t="s">
        <v>534</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506</v>
      </c>
      <c r="AU55" s="6" t="s">
        <v>531</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532</v>
      </c>
      <c r="CL55" s="6" t="s">
        <v>533</v>
      </c>
      <c r="CM55" s="6" t="s">
        <v>534</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506</v>
      </c>
      <c r="AU56" s="6" t="s">
        <v>531</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532</v>
      </c>
      <c r="CL56" s="6" t="s">
        <v>533</v>
      </c>
      <c r="CM56" s="6" t="s">
        <v>534</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506</v>
      </c>
      <c r="AU57" s="6" t="s">
        <v>531</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532</v>
      </c>
      <c r="CL57" s="6" t="s">
        <v>533</v>
      </c>
      <c r="CM57" s="6" t="s">
        <v>534</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506</v>
      </c>
      <c r="AU58" s="6" t="s">
        <v>531</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532</v>
      </c>
      <c r="CL58" s="6" t="s">
        <v>533</v>
      </c>
      <c r="CM58" s="6" t="s">
        <v>534</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506</v>
      </c>
      <c r="AU59" s="6" t="s">
        <v>531</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532</v>
      </c>
      <c r="CL59" s="6" t="s">
        <v>533</v>
      </c>
      <c r="CM59" s="6" t="s">
        <v>534</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506</v>
      </c>
      <c r="AU60" s="6" t="s">
        <v>531</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532</v>
      </c>
      <c r="CL60" s="6" t="s">
        <v>533</v>
      </c>
      <c r="CM60" s="6" t="s">
        <v>534</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506</v>
      </c>
      <c r="AU61" s="6" t="s">
        <v>531</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532</v>
      </c>
      <c r="CL61" s="6" t="s">
        <v>533</v>
      </c>
      <c r="CM61" s="6" t="s">
        <v>534</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506</v>
      </c>
      <c r="AU62" s="6" t="s">
        <v>531</v>
      </c>
      <c r="AV62" s="1" t="s">
        <v>535</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532</v>
      </c>
      <c r="CL62" s="6" t="s">
        <v>533</v>
      </c>
      <c r="CM62" s="6" t="s">
        <v>534</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506</v>
      </c>
      <c r="AU63" s="6" t="s">
        <v>531</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532</v>
      </c>
      <c r="CL63" s="6" t="s">
        <v>533</v>
      </c>
      <c r="CM63" s="6" t="s">
        <v>534</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506</v>
      </c>
      <c r="AU64" s="6" t="s">
        <v>531</v>
      </c>
      <c r="AV64" s="1" t="s">
        <v>536</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532</v>
      </c>
      <c r="CL64" s="6" t="s">
        <v>533</v>
      </c>
      <c r="CM64" s="6" t="s">
        <v>534</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506</v>
      </c>
      <c r="AU65" s="6" t="s">
        <v>531</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532</v>
      </c>
      <c r="CL65" s="6" t="s">
        <v>533</v>
      </c>
      <c r="CM65" s="6" t="s">
        <v>534</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189</v>
      </c>
      <c r="AS66" s="6">
        <v>0.08</v>
      </c>
      <c r="AT66" s="6" t="s">
        <v>528</v>
      </c>
      <c r="AU66" s="6" t="s">
        <v>529</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189</v>
      </c>
      <c r="CI66" s="6">
        <v>0.08</v>
      </c>
      <c r="CJ66" s="6">
        <v>0.08</v>
      </c>
      <c r="CK66" s="6" t="s">
        <v>528</v>
      </c>
      <c r="CL66" s="6" t="s">
        <v>528</v>
      </c>
      <c r="CM66" s="6" t="s">
        <v>530</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191</v>
      </c>
      <c r="AS67" s="6">
        <v>0.08</v>
      </c>
      <c r="AT67" s="6" t="s">
        <v>528</v>
      </c>
      <c r="AU67" s="6" t="s">
        <v>529</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191</v>
      </c>
      <c r="CI67" s="6">
        <v>0.08</v>
      </c>
      <c r="CJ67" s="6">
        <v>0.08</v>
      </c>
      <c r="CK67" s="6" t="s">
        <v>528</v>
      </c>
      <c r="CL67" s="6" t="s">
        <v>528</v>
      </c>
      <c r="CM67" s="6" t="s">
        <v>530</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195</v>
      </c>
      <c r="AS68" s="6">
        <v>0.08</v>
      </c>
      <c r="AT68" s="6" t="s">
        <v>528</v>
      </c>
      <c r="AU68" s="6" t="s">
        <v>529</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195</v>
      </c>
      <c r="CI68" s="6">
        <v>0.08</v>
      </c>
      <c r="CJ68" s="6">
        <v>0.08</v>
      </c>
      <c r="CK68" s="6" t="s">
        <v>528</v>
      </c>
      <c r="CL68" s="6" t="s">
        <v>528</v>
      </c>
      <c r="CM68" s="6" t="s">
        <v>530</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196</v>
      </c>
      <c r="AS69" s="6">
        <v>0.08</v>
      </c>
      <c r="AT69" s="6" t="s">
        <v>528</v>
      </c>
      <c r="AU69" s="6" t="s">
        <v>529</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196</v>
      </c>
      <c r="CI69" s="6">
        <v>0.08</v>
      </c>
      <c r="CJ69" s="6">
        <v>0.08</v>
      </c>
      <c r="CK69" s="6" t="s">
        <v>528</v>
      </c>
      <c r="CL69" s="6" t="s">
        <v>528</v>
      </c>
      <c r="CM69" s="6" t="s">
        <v>530</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198</v>
      </c>
      <c r="AS70" s="6">
        <v>0.08</v>
      </c>
      <c r="AT70" s="6" t="s">
        <v>528</v>
      </c>
      <c r="AU70" s="6" t="s">
        <v>529</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198</v>
      </c>
      <c r="CI70" s="6">
        <v>0.08</v>
      </c>
      <c r="CJ70" s="6">
        <v>0.08</v>
      </c>
      <c r="CK70" s="6" t="s">
        <v>528</v>
      </c>
      <c r="CL70" s="6" t="s">
        <v>528</v>
      </c>
      <c r="CM70" s="6" t="s">
        <v>530</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200</v>
      </c>
      <c r="AS71" s="6">
        <v>0.08</v>
      </c>
      <c r="AT71" s="6" t="s">
        <v>528</v>
      </c>
      <c r="AU71" s="6" t="s">
        <v>529</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200</v>
      </c>
      <c r="CI71" s="6">
        <v>0.08</v>
      </c>
      <c r="CJ71" s="6">
        <v>0.08</v>
      </c>
      <c r="CK71" s="6" t="s">
        <v>528</v>
      </c>
      <c r="CL71" s="6" t="s">
        <v>528</v>
      </c>
      <c r="CM71" s="6" t="s">
        <v>530</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202</v>
      </c>
      <c r="AS72" s="6">
        <v>0.08</v>
      </c>
      <c r="AT72" s="6" t="s">
        <v>528</v>
      </c>
      <c r="AU72" s="6" t="s">
        <v>529</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202</v>
      </c>
      <c r="CI72" s="6">
        <v>0.08</v>
      </c>
      <c r="CJ72" s="6">
        <v>0.08</v>
      </c>
      <c r="CK72" s="6" t="s">
        <v>528</v>
      </c>
      <c r="CL72" s="6" t="s">
        <v>528</v>
      </c>
      <c r="CM72" s="6" t="s">
        <v>530</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506</v>
      </c>
      <c r="AU73" s="6" t="s">
        <v>531</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532</v>
      </c>
      <c r="CL73" s="6" t="s">
        <v>533</v>
      </c>
      <c r="CM73" s="6" t="s">
        <v>534</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506</v>
      </c>
      <c r="AU74" s="6" t="s">
        <v>531</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532</v>
      </c>
      <c r="CL74" s="6" t="s">
        <v>533</v>
      </c>
      <c r="CM74" s="6" t="s">
        <v>534</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506</v>
      </c>
      <c r="AU75" s="6" t="s">
        <v>531</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532</v>
      </c>
      <c r="CL75" s="6" t="s">
        <v>533</v>
      </c>
      <c r="CM75" s="6" t="s">
        <v>534</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506</v>
      </c>
      <c r="AU76" s="6" t="s">
        <v>531</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532</v>
      </c>
      <c r="CL76" s="6" t="s">
        <v>533</v>
      </c>
      <c r="CM76" s="6" t="s">
        <v>534</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506</v>
      </c>
      <c r="AU77" s="6" t="s">
        <v>531</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532</v>
      </c>
      <c r="CL77" s="6" t="s">
        <v>533</v>
      </c>
      <c r="CM77" s="6" t="s">
        <v>534</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506</v>
      </c>
      <c r="AU78" s="6" t="s">
        <v>531</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532</v>
      </c>
      <c r="CL78" s="6" t="s">
        <v>533</v>
      </c>
      <c r="CM78" s="6" t="s">
        <v>534</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506</v>
      </c>
      <c r="AU79" s="6" t="s">
        <v>531</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532</v>
      </c>
      <c r="CL79" s="6" t="s">
        <v>533</v>
      </c>
      <c r="CM79" s="6" t="s">
        <v>534</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506</v>
      </c>
      <c r="AU80" s="6" t="s">
        <v>531</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532</v>
      </c>
      <c r="CL80" s="6" t="s">
        <v>533</v>
      </c>
      <c r="CM80" s="6" t="s">
        <v>534</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506</v>
      </c>
      <c r="AU81" s="6" t="s">
        <v>531</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532</v>
      </c>
      <c r="CL81" s="6" t="s">
        <v>533</v>
      </c>
      <c r="CM81" s="6" t="s">
        <v>534</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506</v>
      </c>
      <c r="AU82" s="6" t="s">
        <v>531</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532</v>
      </c>
      <c r="CL82" s="6" t="s">
        <v>533</v>
      </c>
      <c r="CM82" s="6" t="s">
        <v>534</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506</v>
      </c>
      <c r="AU83" s="6" t="s">
        <v>531</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532</v>
      </c>
      <c r="CL83" s="6" t="s">
        <v>533</v>
      </c>
      <c r="CM83" s="6" t="s">
        <v>534</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506</v>
      </c>
      <c r="AU84" s="6" t="s">
        <v>531</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532</v>
      </c>
      <c r="CL84" s="6" t="s">
        <v>533</v>
      </c>
      <c r="CM84" s="6" t="s">
        <v>534</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506</v>
      </c>
      <c r="AU85" s="6" t="s">
        <v>531</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532</v>
      </c>
      <c r="CL85" s="6" t="s">
        <v>533</v>
      </c>
      <c r="CM85" s="6" t="s">
        <v>534</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506</v>
      </c>
      <c r="AU86" s="6" t="s">
        <v>531</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532</v>
      </c>
      <c r="CL86" s="6" t="s">
        <v>533</v>
      </c>
      <c r="CM86" s="6" t="s">
        <v>534</v>
      </c>
    </row>
    <row r="87" spans="4:91">
      <c r="D87">
        <v>2018</v>
      </c>
      <c r="E87" t="s">
        <v>189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189</v>
      </c>
      <c r="AS87" s="6">
        <v>0.085</v>
      </c>
      <c r="AT87" s="6" t="s">
        <v>528</v>
      </c>
      <c r="AU87" s="6" t="s">
        <v>529</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189</v>
      </c>
      <c r="CI87" s="6">
        <v>0.085</v>
      </c>
      <c r="CJ87" s="6">
        <v>0.085</v>
      </c>
      <c r="CK87" s="6" t="s">
        <v>528</v>
      </c>
      <c r="CL87" s="6" t="s">
        <v>528</v>
      </c>
      <c r="CM87" s="6" t="s">
        <v>530</v>
      </c>
    </row>
    <row r="88" spans="4:91">
      <c r="D88">
        <f>D87</f>
        <v>2018</v>
      </c>
      <c r="E88" t="s">
        <v>191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191</v>
      </c>
      <c r="AS88" s="6">
        <v>0.085</v>
      </c>
      <c r="AT88" s="6" t="s">
        <v>528</v>
      </c>
      <c r="AU88" s="6" t="s">
        <v>529</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191</v>
      </c>
      <c r="CI88" s="6">
        <v>0.085</v>
      </c>
      <c r="CJ88" s="6">
        <v>0.085</v>
      </c>
      <c r="CK88" s="6" t="s">
        <v>528</v>
      </c>
      <c r="CL88" s="6" t="s">
        <v>528</v>
      </c>
      <c r="CM88" s="6" t="s">
        <v>530</v>
      </c>
    </row>
    <row r="89" ht="16" spans="4:91">
      <c r="D89">
        <f t="shared" ref="D89:D107" si="109">D88</f>
        <v>2018</v>
      </c>
      <c r="E89" s="17" t="s">
        <v>195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195</v>
      </c>
      <c r="AS89" s="6">
        <v>0.085</v>
      </c>
      <c r="AT89" s="6" t="s">
        <v>528</v>
      </c>
      <c r="AU89" s="6" t="s">
        <v>529</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195</v>
      </c>
      <c r="CI89" s="6">
        <v>0.085</v>
      </c>
      <c r="CJ89" s="6">
        <v>0.085</v>
      </c>
      <c r="CK89" s="6" t="s">
        <v>528</v>
      </c>
      <c r="CL89" s="6" t="s">
        <v>528</v>
      </c>
      <c r="CM89" s="6" t="s">
        <v>530</v>
      </c>
    </row>
    <row r="90" spans="4:91">
      <c r="D90">
        <f t="shared" si="109"/>
        <v>2018</v>
      </c>
      <c r="E90" t="s">
        <v>196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196</v>
      </c>
      <c r="AS90" s="6">
        <v>0.085</v>
      </c>
      <c r="AT90" s="6" t="s">
        <v>528</v>
      </c>
      <c r="AU90" s="6" t="s">
        <v>529</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196</v>
      </c>
      <c r="CI90" s="6">
        <v>0.085</v>
      </c>
      <c r="CJ90" s="6">
        <v>0.085</v>
      </c>
      <c r="CK90" s="6" t="s">
        <v>528</v>
      </c>
      <c r="CL90" s="6" t="s">
        <v>528</v>
      </c>
      <c r="CM90" s="6" t="s">
        <v>530</v>
      </c>
    </row>
    <row r="91" spans="4:91">
      <c r="D91">
        <f t="shared" si="109"/>
        <v>2018</v>
      </c>
      <c r="E91" t="s">
        <v>198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198</v>
      </c>
      <c r="AS91" s="6">
        <v>0.085</v>
      </c>
      <c r="AT91" s="6" t="s">
        <v>528</v>
      </c>
      <c r="AU91" s="6" t="s">
        <v>529</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198</v>
      </c>
      <c r="CI91" s="6">
        <v>0.085</v>
      </c>
      <c r="CJ91" s="6">
        <v>0.085</v>
      </c>
      <c r="CK91" s="6" t="s">
        <v>528</v>
      </c>
      <c r="CL91" s="6" t="s">
        <v>528</v>
      </c>
      <c r="CM91" s="6" t="s">
        <v>530</v>
      </c>
    </row>
    <row r="92" spans="4:91">
      <c r="D92">
        <f t="shared" si="109"/>
        <v>2018</v>
      </c>
      <c r="E92" t="s">
        <v>200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200</v>
      </c>
      <c r="AS92" s="6">
        <v>0.085</v>
      </c>
      <c r="AT92" s="6" t="s">
        <v>528</v>
      </c>
      <c r="AU92" s="6" t="s">
        <v>529</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200</v>
      </c>
      <c r="CI92" s="6">
        <v>0.085</v>
      </c>
      <c r="CJ92" s="6">
        <v>0.085</v>
      </c>
      <c r="CK92" s="6" t="s">
        <v>528</v>
      </c>
      <c r="CL92" s="6" t="s">
        <v>528</v>
      </c>
      <c r="CM92" s="6" t="s">
        <v>530</v>
      </c>
    </row>
    <row r="93" spans="4:91">
      <c r="D93">
        <f t="shared" si="109"/>
        <v>2018</v>
      </c>
      <c r="E93" t="s">
        <v>202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202</v>
      </c>
      <c r="AS93" s="6">
        <v>0.085</v>
      </c>
      <c r="AT93" s="6" t="s">
        <v>528</v>
      </c>
      <c r="AU93" s="6" t="s">
        <v>529</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202</v>
      </c>
      <c r="CI93" s="6">
        <v>0.085</v>
      </c>
      <c r="CJ93" s="6">
        <v>0.085</v>
      </c>
      <c r="CK93" s="6" t="s">
        <v>528</v>
      </c>
      <c r="CL93" s="6" t="s">
        <v>528</v>
      </c>
      <c r="CM93" s="6" t="s">
        <v>530</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506</v>
      </c>
      <c r="AU94" s="6" t="s">
        <v>531</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532</v>
      </c>
      <c r="CL94" s="6" t="s">
        <v>533</v>
      </c>
      <c r="CM94" s="6" t="s">
        <v>534</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506</v>
      </c>
      <c r="AU95" s="6" t="s">
        <v>531</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532</v>
      </c>
      <c r="CL95" s="6" t="s">
        <v>533</v>
      </c>
      <c r="CM95" s="6" t="s">
        <v>534</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506</v>
      </c>
      <c r="AU96" s="6" t="s">
        <v>531</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532</v>
      </c>
      <c r="CL96" s="6" t="s">
        <v>533</v>
      </c>
      <c r="CM96" s="6" t="s">
        <v>534</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506</v>
      </c>
      <c r="AU97" s="6" t="s">
        <v>531</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532</v>
      </c>
      <c r="CL97" s="6" t="s">
        <v>533</v>
      </c>
      <c r="CM97" s="6" t="s">
        <v>534</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506</v>
      </c>
      <c r="AU98" s="6" t="s">
        <v>531</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532</v>
      </c>
      <c r="CL98" s="6" t="s">
        <v>533</v>
      </c>
      <c r="CM98" s="6" t="s">
        <v>534</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506</v>
      </c>
      <c r="AU99" s="6" t="s">
        <v>531</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532</v>
      </c>
      <c r="CL99" s="6" t="s">
        <v>533</v>
      </c>
      <c r="CM99" s="6" t="s">
        <v>534</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506</v>
      </c>
      <c r="AU100" s="6" t="s">
        <v>531</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532</v>
      </c>
      <c r="CL100" s="6" t="s">
        <v>533</v>
      </c>
      <c r="CM100" s="6" t="s">
        <v>534</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506</v>
      </c>
      <c r="AU101" s="6" t="s">
        <v>531</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532</v>
      </c>
      <c r="CL101" s="6" t="s">
        <v>533</v>
      </c>
      <c r="CM101" s="6" t="s">
        <v>534</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506</v>
      </c>
      <c r="AU102" s="6" t="s">
        <v>531</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532</v>
      </c>
      <c r="CL102" s="6" t="s">
        <v>533</v>
      </c>
      <c r="CM102" s="6" t="s">
        <v>534</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506</v>
      </c>
      <c r="AU103" s="6" t="s">
        <v>531</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532</v>
      </c>
      <c r="CL103" s="6" t="s">
        <v>533</v>
      </c>
      <c r="CM103" s="6" t="s">
        <v>534</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506</v>
      </c>
      <c r="AU104" s="6" t="s">
        <v>531</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532</v>
      </c>
      <c r="CL104" s="6" t="s">
        <v>533</v>
      </c>
      <c r="CM104" s="6" t="s">
        <v>534</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506</v>
      </c>
      <c r="AU105" s="6" t="s">
        <v>531</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532</v>
      </c>
      <c r="CL105" s="6" t="s">
        <v>533</v>
      </c>
      <c r="CM105" s="6" t="s">
        <v>534</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506</v>
      </c>
      <c r="AU106" s="6" t="s">
        <v>531</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532</v>
      </c>
      <c r="CL106" s="6" t="s">
        <v>533</v>
      </c>
      <c r="CM106" s="6" t="s">
        <v>534</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506</v>
      </c>
      <c r="AU107" s="6" t="s">
        <v>531</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532</v>
      </c>
      <c r="CL107" s="6" t="s">
        <v>533</v>
      </c>
      <c r="CM107" s="6" t="s">
        <v>534</v>
      </c>
    </row>
    <row r="108" spans="4:91">
      <c r="D108">
        <v>2019</v>
      </c>
      <c r="E108" t="s">
        <v>189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189</v>
      </c>
      <c r="AS108" s="6">
        <v>0.09</v>
      </c>
      <c r="AT108" s="6" t="s">
        <v>528</v>
      </c>
      <c r="AU108" s="6" t="s">
        <v>529</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189</v>
      </c>
      <c r="CI108" s="6">
        <v>0.09</v>
      </c>
      <c r="CJ108" s="6">
        <v>0.09</v>
      </c>
      <c r="CK108" s="6" t="s">
        <v>528</v>
      </c>
      <c r="CL108" s="6" t="s">
        <v>528</v>
      </c>
      <c r="CM108" s="6" t="s">
        <v>530</v>
      </c>
    </row>
    <row r="109" spans="4:91">
      <c r="D109">
        <f>D108</f>
        <v>2019</v>
      </c>
      <c r="E109" t="s">
        <v>191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191</v>
      </c>
      <c r="AS109" s="6">
        <v>0.09</v>
      </c>
      <c r="AT109" s="6" t="s">
        <v>528</v>
      </c>
      <c r="AU109" s="6" t="s">
        <v>529</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191</v>
      </c>
      <c r="CI109" s="6">
        <v>0.09</v>
      </c>
      <c r="CJ109" s="6">
        <v>0.09</v>
      </c>
      <c r="CK109" s="6" t="s">
        <v>528</v>
      </c>
      <c r="CL109" s="6" t="s">
        <v>528</v>
      </c>
      <c r="CM109" s="6" t="s">
        <v>530</v>
      </c>
    </row>
    <row r="110" ht="16" spans="4:91">
      <c r="D110">
        <f t="shared" ref="D110:D128" si="110">D109</f>
        <v>2019</v>
      </c>
      <c r="E110" s="17" t="s">
        <v>195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195</v>
      </c>
      <c r="AS110" s="6">
        <v>0.09</v>
      </c>
      <c r="AT110" s="6" t="s">
        <v>528</v>
      </c>
      <c r="AU110" s="6" t="s">
        <v>529</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195</v>
      </c>
      <c r="CI110" s="6">
        <v>0.09</v>
      </c>
      <c r="CJ110" s="6">
        <v>0.09</v>
      </c>
      <c r="CK110" s="6" t="s">
        <v>528</v>
      </c>
      <c r="CL110" s="6" t="s">
        <v>528</v>
      </c>
      <c r="CM110" s="6" t="s">
        <v>530</v>
      </c>
    </row>
    <row r="111" spans="4:91">
      <c r="D111">
        <f t="shared" si="110"/>
        <v>2019</v>
      </c>
      <c r="E111" t="s">
        <v>196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196</v>
      </c>
      <c r="AS111" s="6">
        <v>0.09</v>
      </c>
      <c r="AT111" s="6" t="s">
        <v>528</v>
      </c>
      <c r="AU111" s="6" t="s">
        <v>529</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196</v>
      </c>
      <c r="CI111" s="6">
        <v>0.09</v>
      </c>
      <c r="CJ111" s="6">
        <v>0.09</v>
      </c>
      <c r="CK111" s="6" t="s">
        <v>528</v>
      </c>
      <c r="CL111" s="6" t="s">
        <v>528</v>
      </c>
      <c r="CM111" s="6" t="s">
        <v>530</v>
      </c>
    </row>
    <row r="112" spans="4:91">
      <c r="D112">
        <f t="shared" si="110"/>
        <v>2019</v>
      </c>
      <c r="E112" t="s">
        <v>198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198</v>
      </c>
      <c r="AS112" s="6">
        <v>0.09</v>
      </c>
      <c r="AT112" s="6" t="s">
        <v>528</v>
      </c>
      <c r="AU112" s="6" t="s">
        <v>529</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198</v>
      </c>
      <c r="CI112" s="6">
        <v>0.09</v>
      </c>
      <c r="CJ112" s="6">
        <v>0.09</v>
      </c>
      <c r="CK112" s="6" t="s">
        <v>528</v>
      </c>
      <c r="CL112" s="6" t="s">
        <v>528</v>
      </c>
      <c r="CM112" s="6" t="s">
        <v>530</v>
      </c>
    </row>
    <row r="113" spans="4:91">
      <c r="D113">
        <f t="shared" si="110"/>
        <v>2019</v>
      </c>
      <c r="E113" t="s">
        <v>200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200</v>
      </c>
      <c r="AS113" s="6">
        <v>0.09</v>
      </c>
      <c r="AT113" s="6" t="s">
        <v>528</v>
      </c>
      <c r="AU113" s="6" t="s">
        <v>529</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200</v>
      </c>
      <c r="CI113" s="6">
        <v>0.09</v>
      </c>
      <c r="CJ113" s="6">
        <v>0.09</v>
      </c>
      <c r="CK113" s="6" t="s">
        <v>528</v>
      </c>
      <c r="CL113" s="6" t="s">
        <v>528</v>
      </c>
      <c r="CM113" s="6" t="s">
        <v>530</v>
      </c>
    </row>
    <row r="114" spans="4:91">
      <c r="D114">
        <f t="shared" si="110"/>
        <v>2019</v>
      </c>
      <c r="E114" t="s">
        <v>202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202</v>
      </c>
      <c r="AS114" s="6">
        <v>0.09</v>
      </c>
      <c r="AT114" s="6" t="s">
        <v>528</v>
      </c>
      <c r="AU114" s="6" t="s">
        <v>529</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202</v>
      </c>
      <c r="CI114" s="6">
        <v>0.09</v>
      </c>
      <c r="CJ114" s="6">
        <v>0.09</v>
      </c>
      <c r="CK114" s="6" t="s">
        <v>528</v>
      </c>
      <c r="CL114" s="6" t="s">
        <v>528</v>
      </c>
      <c r="CM114" s="6" t="s">
        <v>530</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506</v>
      </c>
      <c r="AU115" s="6" t="s">
        <v>531</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532</v>
      </c>
      <c r="CL115" s="6" t="s">
        <v>533</v>
      </c>
      <c r="CM115" s="6" t="s">
        <v>534</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506</v>
      </c>
      <c r="AU116" s="6" t="s">
        <v>531</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532</v>
      </c>
      <c r="CL116" s="6" t="s">
        <v>533</v>
      </c>
      <c r="CM116" s="6" t="s">
        <v>534</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506</v>
      </c>
      <c r="AU117" s="6" t="s">
        <v>531</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532</v>
      </c>
      <c r="CL117" s="6" t="s">
        <v>533</v>
      </c>
      <c r="CM117" s="6" t="s">
        <v>534</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506</v>
      </c>
      <c r="AU118" s="6" t="s">
        <v>531</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532</v>
      </c>
      <c r="CL118" s="6" t="s">
        <v>533</v>
      </c>
      <c r="CM118" s="6" t="s">
        <v>534</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506</v>
      </c>
      <c r="AU119" s="6" t="s">
        <v>531</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532</v>
      </c>
      <c r="CL119" s="6" t="s">
        <v>533</v>
      </c>
      <c r="CM119" s="6" t="s">
        <v>534</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506</v>
      </c>
      <c r="AU120" s="6" t="s">
        <v>531</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532</v>
      </c>
      <c r="CL120" s="6" t="s">
        <v>533</v>
      </c>
      <c r="CM120" s="6" t="s">
        <v>534</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506</v>
      </c>
      <c r="AU121" s="6" t="s">
        <v>531</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532</v>
      </c>
      <c r="CL121" s="6" t="s">
        <v>533</v>
      </c>
      <c r="CM121" s="6" t="s">
        <v>534</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506</v>
      </c>
      <c r="AU122" s="6" t="s">
        <v>531</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532</v>
      </c>
      <c r="CL122" s="6" t="s">
        <v>533</v>
      </c>
      <c r="CM122" s="6" t="s">
        <v>534</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506</v>
      </c>
      <c r="AU123" s="6" t="s">
        <v>531</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532</v>
      </c>
      <c r="CL123" s="6" t="s">
        <v>533</v>
      </c>
      <c r="CM123" s="6" t="s">
        <v>534</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506</v>
      </c>
      <c r="AU124" s="6" t="s">
        <v>531</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532</v>
      </c>
      <c r="CL124" s="6" t="s">
        <v>533</v>
      </c>
      <c r="CM124" s="6" t="s">
        <v>534</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506</v>
      </c>
      <c r="AU125" s="6" t="s">
        <v>531</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532</v>
      </c>
      <c r="CL125" s="6" t="s">
        <v>533</v>
      </c>
      <c r="CM125" s="6" t="s">
        <v>534</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506</v>
      </c>
      <c r="AU126" s="6" t="s">
        <v>531</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532</v>
      </c>
      <c r="CL126" s="6" t="s">
        <v>533</v>
      </c>
      <c r="CM126" s="6" t="s">
        <v>534</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506</v>
      </c>
      <c r="AU127" s="6" t="s">
        <v>531</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532</v>
      </c>
      <c r="CL127" s="6" t="s">
        <v>533</v>
      </c>
      <c r="CM127" s="6" t="s">
        <v>534</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506</v>
      </c>
      <c r="AU128" s="6" t="s">
        <v>531</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532</v>
      </c>
      <c r="CL128" s="6" t="s">
        <v>533</v>
      </c>
      <c r="CM128" s="6" t="s">
        <v>534</v>
      </c>
    </row>
    <row r="129" spans="4:91">
      <c r="D129">
        <v>2020</v>
      </c>
      <c r="E129" t="s">
        <v>189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189</v>
      </c>
      <c r="AS129" s="6">
        <v>0.095</v>
      </c>
      <c r="AT129" s="6" t="s">
        <v>528</v>
      </c>
      <c r="AU129" s="6" t="s">
        <v>529</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189</v>
      </c>
      <c r="CI129" s="6">
        <v>0.095</v>
      </c>
      <c r="CJ129" s="6">
        <v>0.095</v>
      </c>
      <c r="CK129" s="6" t="s">
        <v>528</v>
      </c>
      <c r="CL129" s="6" t="s">
        <v>528</v>
      </c>
      <c r="CM129" s="6" t="s">
        <v>530</v>
      </c>
    </row>
    <row r="130" spans="4:91">
      <c r="D130">
        <f>D129</f>
        <v>2020</v>
      </c>
      <c r="E130" t="s">
        <v>191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191</v>
      </c>
      <c r="AS130" s="6">
        <v>0.095</v>
      </c>
      <c r="AT130" s="6" t="s">
        <v>528</v>
      </c>
      <c r="AU130" s="6" t="s">
        <v>529</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191</v>
      </c>
      <c r="CI130" s="6">
        <v>0.095</v>
      </c>
      <c r="CJ130" s="6">
        <v>0.095</v>
      </c>
      <c r="CK130" s="6" t="s">
        <v>528</v>
      </c>
      <c r="CL130" s="6" t="s">
        <v>528</v>
      </c>
      <c r="CM130" s="6" t="s">
        <v>530</v>
      </c>
    </row>
    <row r="131" ht="16" spans="4:91">
      <c r="D131">
        <f t="shared" ref="D131:D149" si="182">D130</f>
        <v>2020</v>
      </c>
      <c r="E131" s="17" t="s">
        <v>195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195</v>
      </c>
      <c r="AS131" s="6">
        <v>0.095</v>
      </c>
      <c r="AT131" s="6" t="s">
        <v>528</v>
      </c>
      <c r="AU131" s="6" t="s">
        <v>529</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195</v>
      </c>
      <c r="CI131" s="6">
        <v>0.095</v>
      </c>
      <c r="CJ131" s="6">
        <v>0.095</v>
      </c>
      <c r="CK131" s="6" t="s">
        <v>528</v>
      </c>
      <c r="CL131" s="6" t="s">
        <v>528</v>
      </c>
      <c r="CM131" s="6" t="s">
        <v>530</v>
      </c>
    </row>
    <row r="132" spans="4:91">
      <c r="D132">
        <f t="shared" si="182"/>
        <v>2020</v>
      </c>
      <c r="E132" t="s">
        <v>196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196</v>
      </c>
      <c r="AS132" s="6">
        <v>0.095</v>
      </c>
      <c r="AT132" s="6" t="s">
        <v>528</v>
      </c>
      <c r="AU132" s="6" t="s">
        <v>529</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196</v>
      </c>
      <c r="CI132" s="6">
        <v>0.095</v>
      </c>
      <c r="CJ132" s="6">
        <v>0.095</v>
      </c>
      <c r="CK132" s="6" t="s">
        <v>528</v>
      </c>
      <c r="CL132" s="6" t="s">
        <v>528</v>
      </c>
      <c r="CM132" s="6" t="s">
        <v>530</v>
      </c>
    </row>
    <row r="133" spans="4:91">
      <c r="D133">
        <f t="shared" si="182"/>
        <v>2020</v>
      </c>
      <c r="E133" t="s">
        <v>198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198</v>
      </c>
      <c r="AS133" s="6">
        <v>0.095</v>
      </c>
      <c r="AT133" s="6" t="s">
        <v>528</v>
      </c>
      <c r="AU133" s="6" t="s">
        <v>529</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198</v>
      </c>
      <c r="CI133" s="6">
        <v>0.095</v>
      </c>
      <c r="CJ133" s="6">
        <v>0.095</v>
      </c>
      <c r="CK133" s="6" t="s">
        <v>528</v>
      </c>
      <c r="CL133" s="6" t="s">
        <v>528</v>
      </c>
      <c r="CM133" s="6" t="s">
        <v>530</v>
      </c>
    </row>
    <row r="134" spans="4:91">
      <c r="D134">
        <f t="shared" si="182"/>
        <v>2020</v>
      </c>
      <c r="E134" t="s">
        <v>200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200</v>
      </c>
      <c r="AS134" s="6">
        <v>0.095</v>
      </c>
      <c r="AT134" s="6" t="s">
        <v>528</v>
      </c>
      <c r="AU134" s="6" t="s">
        <v>529</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200</v>
      </c>
      <c r="CI134" s="6">
        <v>0.095</v>
      </c>
      <c r="CJ134" s="6">
        <v>0.095</v>
      </c>
      <c r="CK134" s="6" t="s">
        <v>528</v>
      </c>
      <c r="CL134" s="6" t="s">
        <v>528</v>
      </c>
      <c r="CM134" s="6" t="s">
        <v>530</v>
      </c>
    </row>
    <row r="135" spans="4:91">
      <c r="D135">
        <f t="shared" si="182"/>
        <v>2020</v>
      </c>
      <c r="E135" t="s">
        <v>202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202</v>
      </c>
      <c r="AS135" s="6">
        <v>0.095</v>
      </c>
      <c r="AT135" s="6" t="s">
        <v>528</v>
      </c>
      <c r="AU135" s="6" t="s">
        <v>529</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202</v>
      </c>
      <c r="CI135" s="6">
        <v>0.095</v>
      </c>
      <c r="CJ135" s="6">
        <v>0.095</v>
      </c>
      <c r="CK135" s="6" t="s">
        <v>528</v>
      </c>
      <c r="CL135" s="6" t="s">
        <v>528</v>
      </c>
      <c r="CM135" s="6" t="s">
        <v>530</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506</v>
      </c>
      <c r="AU136" s="6" t="s">
        <v>531</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532</v>
      </c>
      <c r="CL136" s="6" t="s">
        <v>533</v>
      </c>
      <c r="CM136" s="6" t="s">
        <v>534</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506</v>
      </c>
      <c r="AU137" s="6" t="s">
        <v>531</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532</v>
      </c>
      <c r="CL137" s="6" t="s">
        <v>533</v>
      </c>
      <c r="CM137" s="6" t="s">
        <v>534</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506</v>
      </c>
      <c r="AU138" s="6" t="s">
        <v>531</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532</v>
      </c>
      <c r="CL138" s="6" t="s">
        <v>533</v>
      </c>
      <c r="CM138" s="6" t="s">
        <v>534</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506</v>
      </c>
      <c r="AU139" s="6" t="s">
        <v>531</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532</v>
      </c>
      <c r="CL139" s="6" t="s">
        <v>533</v>
      </c>
      <c r="CM139" s="6" t="s">
        <v>534</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506</v>
      </c>
      <c r="AU140" s="6" t="s">
        <v>531</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532</v>
      </c>
      <c r="CL140" s="6" t="s">
        <v>533</v>
      </c>
      <c r="CM140" s="6" t="s">
        <v>534</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506</v>
      </c>
      <c r="AU141" s="6" t="s">
        <v>531</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532</v>
      </c>
      <c r="CL141" s="6" t="s">
        <v>533</v>
      </c>
      <c r="CM141" s="6" t="s">
        <v>534</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506</v>
      </c>
      <c r="AU142" s="6" t="s">
        <v>531</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532</v>
      </c>
      <c r="CL142" s="6" t="s">
        <v>533</v>
      </c>
      <c r="CM142" s="6" t="s">
        <v>534</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506</v>
      </c>
      <c r="AU143" s="6" t="s">
        <v>531</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532</v>
      </c>
      <c r="CL143" s="6" t="s">
        <v>533</v>
      </c>
      <c r="CM143" s="6" t="s">
        <v>534</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506</v>
      </c>
      <c r="AU144" s="6" t="s">
        <v>531</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532</v>
      </c>
      <c r="CL144" s="6" t="s">
        <v>533</v>
      </c>
      <c r="CM144" s="6" t="s">
        <v>534</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506</v>
      </c>
      <c r="AU145" s="6" t="s">
        <v>531</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532</v>
      </c>
      <c r="CL145" s="6" t="s">
        <v>533</v>
      </c>
      <c r="CM145" s="6" t="s">
        <v>534</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506</v>
      </c>
      <c r="AU146" s="6" t="s">
        <v>531</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532</v>
      </c>
      <c r="CL146" s="6" t="s">
        <v>533</v>
      </c>
      <c r="CM146" s="6" t="s">
        <v>534</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506</v>
      </c>
      <c r="AU147" s="6" t="s">
        <v>531</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532</v>
      </c>
      <c r="CL147" s="6" t="s">
        <v>533</v>
      </c>
      <c r="CM147" s="6" t="s">
        <v>534</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506</v>
      </c>
      <c r="AU148" s="6" t="s">
        <v>531</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532</v>
      </c>
      <c r="CL148" s="6" t="s">
        <v>533</v>
      </c>
      <c r="CM148" s="6" t="s">
        <v>534</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506</v>
      </c>
      <c r="AU149" s="6" t="s">
        <v>531</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532</v>
      </c>
      <c r="CL149" s="6" t="s">
        <v>533</v>
      </c>
      <c r="CM149" s="6" t="s">
        <v>534</v>
      </c>
    </row>
    <row r="150" spans="4:91">
      <c r="D150">
        <v>2021</v>
      </c>
      <c r="E150" t="s">
        <v>189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189</v>
      </c>
      <c r="AS150" s="6">
        <v>0.105</v>
      </c>
      <c r="AT150" s="6" t="s">
        <v>528</v>
      </c>
      <c r="AU150" s="6" t="s">
        <v>529</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189</v>
      </c>
      <c r="CI150" s="6">
        <v>0.105</v>
      </c>
      <c r="CJ150" s="6">
        <v>0.105</v>
      </c>
      <c r="CK150" s="6" t="s">
        <v>528</v>
      </c>
      <c r="CL150" s="6" t="s">
        <v>528</v>
      </c>
      <c r="CM150" s="6" t="s">
        <v>530</v>
      </c>
    </row>
    <row r="151" spans="4:91">
      <c r="D151">
        <f>D150</f>
        <v>2021</v>
      </c>
      <c r="E151" t="s">
        <v>191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191</v>
      </c>
      <c r="AS151" s="6">
        <v>0.105</v>
      </c>
      <c r="AT151" s="6" t="s">
        <v>528</v>
      </c>
      <c r="AU151" s="6" t="s">
        <v>529</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191</v>
      </c>
      <c r="CI151" s="6">
        <v>0.105</v>
      </c>
      <c r="CJ151" s="6">
        <v>0.105</v>
      </c>
      <c r="CK151" s="6" t="s">
        <v>528</v>
      </c>
      <c r="CL151" s="6" t="s">
        <v>528</v>
      </c>
      <c r="CM151" s="6" t="s">
        <v>530</v>
      </c>
    </row>
    <row r="152" ht="16" spans="4:91">
      <c r="D152">
        <f t="shared" ref="D152:D170" si="219">D151</f>
        <v>2021</v>
      </c>
      <c r="E152" s="17" t="s">
        <v>195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195</v>
      </c>
      <c r="AS152" s="6">
        <v>0.105</v>
      </c>
      <c r="AT152" s="6" t="s">
        <v>528</v>
      </c>
      <c r="AU152" s="6" t="s">
        <v>529</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195</v>
      </c>
      <c r="CI152" s="6">
        <v>0.105</v>
      </c>
      <c r="CJ152" s="6">
        <v>0.105</v>
      </c>
      <c r="CK152" s="6" t="s">
        <v>528</v>
      </c>
      <c r="CL152" s="6" t="s">
        <v>528</v>
      </c>
      <c r="CM152" s="6" t="s">
        <v>530</v>
      </c>
    </row>
    <row r="153" spans="4:91">
      <c r="D153">
        <f t="shared" si="219"/>
        <v>2021</v>
      </c>
      <c r="E153" t="s">
        <v>196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196</v>
      </c>
      <c r="AS153" s="6">
        <v>0.105</v>
      </c>
      <c r="AT153" s="6" t="s">
        <v>528</v>
      </c>
      <c r="AU153" s="6" t="s">
        <v>529</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196</v>
      </c>
      <c r="CI153" s="6">
        <v>0.105</v>
      </c>
      <c r="CJ153" s="6">
        <v>0.105</v>
      </c>
      <c r="CK153" s="6" t="s">
        <v>528</v>
      </c>
      <c r="CL153" s="6" t="s">
        <v>528</v>
      </c>
      <c r="CM153" s="6" t="s">
        <v>530</v>
      </c>
    </row>
    <row r="154" spans="4:91">
      <c r="D154">
        <f t="shared" si="219"/>
        <v>2021</v>
      </c>
      <c r="E154" t="s">
        <v>198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198</v>
      </c>
      <c r="AS154" s="6">
        <v>0.105</v>
      </c>
      <c r="AT154" s="6" t="s">
        <v>528</v>
      </c>
      <c r="AU154" s="6" t="s">
        <v>529</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198</v>
      </c>
      <c r="CI154" s="6">
        <v>0.105</v>
      </c>
      <c r="CJ154" s="6">
        <v>0.105</v>
      </c>
      <c r="CK154" s="6" t="s">
        <v>528</v>
      </c>
      <c r="CL154" s="6" t="s">
        <v>528</v>
      </c>
      <c r="CM154" s="6" t="s">
        <v>530</v>
      </c>
    </row>
    <row r="155" spans="4:91">
      <c r="D155">
        <f t="shared" si="219"/>
        <v>2021</v>
      </c>
      <c r="E155" t="s">
        <v>200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200</v>
      </c>
      <c r="AS155" s="6">
        <v>0.105</v>
      </c>
      <c r="AT155" s="6" t="s">
        <v>528</v>
      </c>
      <c r="AU155" s="6" t="s">
        <v>529</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200</v>
      </c>
      <c r="CI155" s="6">
        <v>0.105</v>
      </c>
      <c r="CJ155" s="6">
        <v>0.105</v>
      </c>
      <c r="CK155" s="6" t="s">
        <v>528</v>
      </c>
      <c r="CL155" s="6" t="s">
        <v>528</v>
      </c>
      <c r="CM155" s="6" t="s">
        <v>530</v>
      </c>
    </row>
    <row r="156" spans="4:91">
      <c r="D156">
        <f t="shared" si="219"/>
        <v>2021</v>
      </c>
      <c r="E156" t="s">
        <v>202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202</v>
      </c>
      <c r="AS156" s="6">
        <v>0.105</v>
      </c>
      <c r="AT156" s="6" t="s">
        <v>528</v>
      </c>
      <c r="AU156" s="6" t="s">
        <v>529</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202</v>
      </c>
      <c r="CI156" s="6">
        <v>0.105</v>
      </c>
      <c r="CJ156" s="6">
        <v>0.105</v>
      </c>
      <c r="CK156" s="6" t="s">
        <v>528</v>
      </c>
      <c r="CL156" s="6" t="s">
        <v>528</v>
      </c>
      <c r="CM156" s="6" t="s">
        <v>530</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506</v>
      </c>
      <c r="AU157" s="6" t="s">
        <v>531</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532</v>
      </c>
      <c r="CL157" s="6" t="s">
        <v>533</v>
      </c>
      <c r="CM157" s="6" t="s">
        <v>534</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506</v>
      </c>
      <c r="AU158" s="6" t="s">
        <v>531</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532</v>
      </c>
      <c r="CL158" s="6" t="s">
        <v>533</v>
      </c>
      <c r="CM158" s="6" t="s">
        <v>534</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506</v>
      </c>
      <c r="AU159" s="6" t="s">
        <v>531</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532</v>
      </c>
      <c r="CL159" s="6" t="s">
        <v>533</v>
      </c>
      <c r="CM159" s="6" t="s">
        <v>534</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506</v>
      </c>
      <c r="AU160" s="6" t="s">
        <v>531</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532</v>
      </c>
      <c r="CL160" s="6" t="s">
        <v>533</v>
      </c>
      <c r="CM160" s="6" t="s">
        <v>534</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506</v>
      </c>
      <c r="AU161" s="6" t="s">
        <v>531</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532</v>
      </c>
      <c r="CL161" s="6" t="s">
        <v>533</v>
      </c>
      <c r="CM161" s="6" t="s">
        <v>534</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506</v>
      </c>
      <c r="AU162" s="6" t="s">
        <v>531</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532</v>
      </c>
      <c r="CL162" s="6" t="s">
        <v>533</v>
      </c>
      <c r="CM162" s="6" t="s">
        <v>534</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506</v>
      </c>
      <c r="AU163" s="6" t="s">
        <v>531</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532</v>
      </c>
      <c r="CL163" s="6" t="s">
        <v>533</v>
      </c>
      <c r="CM163" s="6" t="s">
        <v>534</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506</v>
      </c>
      <c r="AU164" s="6" t="s">
        <v>531</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532</v>
      </c>
      <c r="CL164" s="6" t="s">
        <v>533</v>
      </c>
      <c r="CM164" s="6" t="s">
        <v>534</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506</v>
      </c>
      <c r="AU165" s="6" t="s">
        <v>531</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532</v>
      </c>
      <c r="CL165" s="6" t="s">
        <v>533</v>
      </c>
      <c r="CM165" s="6" t="s">
        <v>534</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506</v>
      </c>
      <c r="AU166" s="6" t="s">
        <v>531</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532</v>
      </c>
      <c r="CL166" s="6" t="s">
        <v>533</v>
      </c>
      <c r="CM166" s="6" t="s">
        <v>534</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506</v>
      </c>
      <c r="AU167" s="6" t="s">
        <v>531</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532</v>
      </c>
      <c r="CL167" s="6" t="s">
        <v>533</v>
      </c>
      <c r="CM167" s="6" t="s">
        <v>534</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506</v>
      </c>
      <c r="AU168" s="6" t="s">
        <v>531</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532</v>
      </c>
      <c r="CL168" s="6" t="s">
        <v>533</v>
      </c>
      <c r="CM168" s="6" t="s">
        <v>534</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506</v>
      </c>
      <c r="AU169" s="6" t="s">
        <v>531</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532</v>
      </c>
      <c r="CL169" s="6" t="s">
        <v>533</v>
      </c>
      <c r="CM169" s="6" t="s">
        <v>534</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506</v>
      </c>
      <c r="AU170" s="6" t="s">
        <v>531</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532</v>
      </c>
      <c r="CL170" s="6" t="s">
        <v>533</v>
      </c>
      <c r="CM170" s="6" t="s">
        <v>534</v>
      </c>
    </row>
    <row r="171" spans="4:91">
      <c r="D171">
        <v>2022</v>
      </c>
      <c r="E171" t="s">
        <v>189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189</v>
      </c>
      <c r="AS171" s="6">
        <v>0.115</v>
      </c>
      <c r="AT171" s="6" t="s">
        <v>528</v>
      </c>
      <c r="AU171" s="6" t="s">
        <v>529</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189</v>
      </c>
      <c r="CI171" s="6">
        <v>0.115</v>
      </c>
      <c r="CJ171" s="6">
        <v>0.115</v>
      </c>
      <c r="CK171" s="6" t="s">
        <v>528</v>
      </c>
      <c r="CL171" s="6" t="s">
        <v>528</v>
      </c>
      <c r="CM171" s="6" t="s">
        <v>530</v>
      </c>
    </row>
    <row r="172" spans="4:91">
      <c r="D172">
        <f>D171</f>
        <v>2022</v>
      </c>
      <c r="E172" t="s">
        <v>191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191</v>
      </c>
      <c r="AS172" s="6">
        <v>0.115</v>
      </c>
      <c r="AT172" s="6" t="s">
        <v>528</v>
      </c>
      <c r="AU172" s="6" t="s">
        <v>529</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191</v>
      </c>
      <c r="CI172" s="6">
        <v>0.115</v>
      </c>
      <c r="CJ172" s="6">
        <v>0.115</v>
      </c>
      <c r="CK172" s="6" t="s">
        <v>528</v>
      </c>
      <c r="CL172" s="6" t="s">
        <v>528</v>
      </c>
      <c r="CM172" s="6" t="s">
        <v>530</v>
      </c>
    </row>
    <row r="173" ht="16" spans="4:91">
      <c r="D173">
        <f t="shared" ref="D173:D191" si="220">D172</f>
        <v>2022</v>
      </c>
      <c r="E173" s="17" t="s">
        <v>195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195</v>
      </c>
      <c r="AS173" s="6">
        <v>0.115</v>
      </c>
      <c r="AT173" s="6" t="s">
        <v>528</v>
      </c>
      <c r="AU173" s="6" t="s">
        <v>529</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195</v>
      </c>
      <c r="CI173" s="6">
        <v>0.115</v>
      </c>
      <c r="CJ173" s="6">
        <v>0.115</v>
      </c>
      <c r="CK173" s="6" t="s">
        <v>528</v>
      </c>
      <c r="CL173" s="6" t="s">
        <v>528</v>
      </c>
      <c r="CM173" s="6" t="s">
        <v>530</v>
      </c>
    </row>
    <row r="174" spans="4:91">
      <c r="D174">
        <f t="shared" si="220"/>
        <v>2022</v>
      </c>
      <c r="E174" t="s">
        <v>196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196</v>
      </c>
      <c r="AS174" s="6">
        <v>0.115</v>
      </c>
      <c r="AT174" s="6" t="s">
        <v>528</v>
      </c>
      <c r="AU174" s="6" t="s">
        <v>529</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196</v>
      </c>
      <c r="CI174" s="6">
        <v>0.115</v>
      </c>
      <c r="CJ174" s="6">
        <v>0.115</v>
      </c>
      <c r="CK174" s="6" t="s">
        <v>528</v>
      </c>
      <c r="CL174" s="6" t="s">
        <v>528</v>
      </c>
      <c r="CM174" s="6" t="s">
        <v>530</v>
      </c>
    </row>
    <row r="175" spans="4:91">
      <c r="D175">
        <f t="shared" si="220"/>
        <v>2022</v>
      </c>
      <c r="E175" t="s">
        <v>198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198</v>
      </c>
      <c r="AS175" s="6">
        <v>0.115</v>
      </c>
      <c r="AT175" s="6" t="s">
        <v>528</v>
      </c>
      <c r="AU175" s="6" t="s">
        <v>529</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198</v>
      </c>
      <c r="CI175" s="6">
        <v>0.115</v>
      </c>
      <c r="CJ175" s="6">
        <v>0.115</v>
      </c>
      <c r="CK175" s="6" t="s">
        <v>528</v>
      </c>
      <c r="CL175" s="6" t="s">
        <v>528</v>
      </c>
      <c r="CM175" s="6" t="s">
        <v>530</v>
      </c>
    </row>
    <row r="176" spans="4:91">
      <c r="D176">
        <f t="shared" si="220"/>
        <v>2022</v>
      </c>
      <c r="E176" t="s">
        <v>200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200</v>
      </c>
      <c r="AS176" s="6">
        <v>0.115</v>
      </c>
      <c r="AT176" s="6" t="s">
        <v>528</v>
      </c>
      <c r="AU176" s="6" t="s">
        <v>529</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200</v>
      </c>
      <c r="CI176" s="6">
        <v>0.115</v>
      </c>
      <c r="CJ176" s="6">
        <v>0.115</v>
      </c>
      <c r="CK176" s="6" t="s">
        <v>528</v>
      </c>
      <c r="CL176" s="6" t="s">
        <v>528</v>
      </c>
      <c r="CM176" s="6" t="s">
        <v>530</v>
      </c>
    </row>
    <row r="177" spans="4:91">
      <c r="D177">
        <f t="shared" si="220"/>
        <v>2022</v>
      </c>
      <c r="E177" t="s">
        <v>202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202</v>
      </c>
      <c r="AS177" s="6">
        <v>0.115</v>
      </c>
      <c r="AT177" s="6" t="s">
        <v>528</v>
      </c>
      <c r="AU177" s="6" t="s">
        <v>529</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202</v>
      </c>
      <c r="CI177" s="6">
        <v>0.115</v>
      </c>
      <c r="CJ177" s="6">
        <v>0.115</v>
      </c>
      <c r="CK177" s="6" t="s">
        <v>528</v>
      </c>
      <c r="CL177" s="6" t="s">
        <v>528</v>
      </c>
      <c r="CM177" s="6" t="s">
        <v>530</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506</v>
      </c>
      <c r="AU178" s="6" t="s">
        <v>531</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532</v>
      </c>
      <c r="CL178" s="6" t="s">
        <v>533</v>
      </c>
      <c r="CM178" s="6" t="s">
        <v>534</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506</v>
      </c>
      <c r="AU179" s="6" t="s">
        <v>531</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532</v>
      </c>
      <c r="CL179" s="6" t="s">
        <v>533</v>
      </c>
      <c r="CM179" s="6" t="s">
        <v>534</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506</v>
      </c>
      <c r="AU180" s="6" t="s">
        <v>531</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532</v>
      </c>
      <c r="CL180" s="6" t="s">
        <v>533</v>
      </c>
      <c r="CM180" s="6" t="s">
        <v>534</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506</v>
      </c>
      <c r="AU181" s="6" t="s">
        <v>531</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532</v>
      </c>
      <c r="CL181" s="6" t="s">
        <v>533</v>
      </c>
      <c r="CM181" s="6" t="s">
        <v>534</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506</v>
      </c>
      <c r="AU182" s="6" t="s">
        <v>531</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532</v>
      </c>
      <c r="CL182" s="6" t="s">
        <v>533</v>
      </c>
      <c r="CM182" s="6" t="s">
        <v>534</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506</v>
      </c>
      <c r="AU183" s="6" t="s">
        <v>531</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532</v>
      </c>
      <c r="CL183" s="6" t="s">
        <v>533</v>
      </c>
      <c r="CM183" s="6" t="s">
        <v>534</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506</v>
      </c>
      <c r="AU184" s="6" t="s">
        <v>531</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532</v>
      </c>
      <c r="CL184" s="6" t="s">
        <v>533</v>
      </c>
      <c r="CM184" s="6" t="s">
        <v>534</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506</v>
      </c>
      <c r="AU185" s="6" t="s">
        <v>531</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532</v>
      </c>
      <c r="CL185" s="6" t="s">
        <v>533</v>
      </c>
      <c r="CM185" s="6" t="s">
        <v>534</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506</v>
      </c>
      <c r="AU186" s="6" t="s">
        <v>531</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532</v>
      </c>
      <c r="CL186" s="6" t="s">
        <v>533</v>
      </c>
      <c r="CM186" s="6" t="s">
        <v>534</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506</v>
      </c>
      <c r="AU187" s="6" t="s">
        <v>531</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532</v>
      </c>
      <c r="CL187" s="6" t="s">
        <v>533</v>
      </c>
      <c r="CM187" s="6" t="s">
        <v>534</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506</v>
      </c>
      <c r="AU188" s="6" t="s">
        <v>531</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532</v>
      </c>
      <c r="CL188" s="6" t="s">
        <v>533</v>
      </c>
      <c r="CM188" s="6" t="s">
        <v>534</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506</v>
      </c>
      <c r="AU189" s="6" t="s">
        <v>531</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532</v>
      </c>
      <c r="CL189" s="6" t="s">
        <v>533</v>
      </c>
      <c r="CM189" s="6" t="s">
        <v>534</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506</v>
      </c>
      <c r="AU190" s="6" t="s">
        <v>531</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532</v>
      </c>
      <c r="CL190" s="6" t="s">
        <v>533</v>
      </c>
      <c r="CM190" s="6" t="s">
        <v>534</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506</v>
      </c>
      <c r="AU191" s="6" t="s">
        <v>531</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532</v>
      </c>
      <c r="CL191" s="6" t="s">
        <v>533</v>
      </c>
      <c r="CM191" s="6" t="s">
        <v>534</v>
      </c>
    </row>
    <row r="192" spans="4:91">
      <c r="D192">
        <v>2023</v>
      </c>
      <c r="E192" t="s">
        <v>189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189</v>
      </c>
      <c r="AS192" s="6">
        <v>0.135</v>
      </c>
      <c r="AT192" s="6" t="s">
        <v>528</v>
      </c>
      <c r="AU192" s="6" t="s">
        <v>529</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189</v>
      </c>
      <c r="CI192" s="6">
        <v>0.135</v>
      </c>
      <c r="CJ192" s="6">
        <v>0.135</v>
      </c>
      <c r="CK192" s="6" t="s">
        <v>528</v>
      </c>
      <c r="CL192" s="6" t="s">
        <v>528</v>
      </c>
      <c r="CM192" s="6" t="s">
        <v>530</v>
      </c>
    </row>
    <row r="193" spans="4:91">
      <c r="D193">
        <f>D192</f>
        <v>2023</v>
      </c>
      <c r="E193" t="s">
        <v>191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191</v>
      </c>
      <c r="AS193" s="6">
        <v>0.135</v>
      </c>
      <c r="AT193" s="6" t="s">
        <v>528</v>
      </c>
      <c r="AU193" s="6" t="s">
        <v>529</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191</v>
      </c>
      <c r="CI193" s="6">
        <v>0.135</v>
      </c>
      <c r="CJ193" s="6">
        <v>0.135</v>
      </c>
      <c r="CK193" s="6" t="s">
        <v>528</v>
      </c>
      <c r="CL193" s="6" t="s">
        <v>528</v>
      </c>
      <c r="CM193" s="6" t="s">
        <v>530</v>
      </c>
    </row>
    <row r="194" ht="16" spans="4:91">
      <c r="D194">
        <f t="shared" ref="D194:D212" si="292">D193</f>
        <v>2023</v>
      </c>
      <c r="E194" s="17" t="s">
        <v>195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195</v>
      </c>
      <c r="AS194" s="6">
        <v>0.135</v>
      </c>
      <c r="AT194" s="6" t="s">
        <v>528</v>
      </c>
      <c r="AU194" s="6" t="s">
        <v>529</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195</v>
      </c>
      <c r="CI194" s="6">
        <v>0.135</v>
      </c>
      <c r="CJ194" s="6">
        <v>0.135</v>
      </c>
      <c r="CK194" s="6" t="s">
        <v>528</v>
      </c>
      <c r="CL194" s="6" t="s">
        <v>528</v>
      </c>
      <c r="CM194" s="6" t="s">
        <v>530</v>
      </c>
    </row>
    <row r="195" spans="4:91">
      <c r="D195">
        <f t="shared" si="292"/>
        <v>2023</v>
      </c>
      <c r="E195" t="s">
        <v>196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196</v>
      </c>
      <c r="AS195" s="6">
        <v>0.135</v>
      </c>
      <c r="AT195" s="6" t="s">
        <v>528</v>
      </c>
      <c r="AU195" s="6" t="s">
        <v>529</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196</v>
      </c>
      <c r="CI195" s="6">
        <v>0.135</v>
      </c>
      <c r="CJ195" s="6">
        <v>0.135</v>
      </c>
      <c r="CK195" s="6" t="s">
        <v>528</v>
      </c>
      <c r="CL195" s="6" t="s">
        <v>528</v>
      </c>
      <c r="CM195" s="6" t="s">
        <v>530</v>
      </c>
    </row>
    <row r="196" spans="4:91">
      <c r="D196">
        <f t="shared" si="292"/>
        <v>2023</v>
      </c>
      <c r="E196" t="s">
        <v>198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198</v>
      </c>
      <c r="AS196" s="6">
        <v>0.135</v>
      </c>
      <c r="AT196" s="6" t="s">
        <v>528</v>
      </c>
      <c r="AU196" s="6" t="s">
        <v>529</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198</v>
      </c>
      <c r="CI196" s="6">
        <v>0.135</v>
      </c>
      <c r="CJ196" s="6">
        <v>0.135</v>
      </c>
      <c r="CK196" s="6" t="s">
        <v>528</v>
      </c>
      <c r="CL196" s="6" t="s">
        <v>528</v>
      </c>
      <c r="CM196" s="6" t="s">
        <v>530</v>
      </c>
    </row>
    <row r="197" spans="4:91">
      <c r="D197">
        <f t="shared" si="292"/>
        <v>2023</v>
      </c>
      <c r="E197" t="s">
        <v>200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200</v>
      </c>
      <c r="AS197" s="6">
        <v>0.135</v>
      </c>
      <c r="AT197" s="6" t="s">
        <v>528</v>
      </c>
      <c r="AU197" s="6" t="s">
        <v>529</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200</v>
      </c>
      <c r="CI197" s="6">
        <v>0.135</v>
      </c>
      <c r="CJ197" s="6">
        <v>0.135</v>
      </c>
      <c r="CK197" s="6" t="s">
        <v>528</v>
      </c>
      <c r="CL197" s="6" t="s">
        <v>528</v>
      </c>
      <c r="CM197" s="6" t="s">
        <v>530</v>
      </c>
    </row>
    <row r="198" spans="4:91">
      <c r="D198">
        <f t="shared" si="292"/>
        <v>2023</v>
      </c>
      <c r="E198" t="s">
        <v>202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202</v>
      </c>
      <c r="AS198" s="6">
        <v>0.135</v>
      </c>
      <c r="AT198" s="6" t="s">
        <v>528</v>
      </c>
      <c r="AU198" s="6" t="s">
        <v>529</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202</v>
      </c>
      <c r="CI198" s="6">
        <v>0.135</v>
      </c>
      <c r="CJ198" s="6">
        <v>0.135</v>
      </c>
      <c r="CK198" s="6" t="s">
        <v>528</v>
      </c>
      <c r="CL198" s="6" t="s">
        <v>528</v>
      </c>
      <c r="CM198" s="6" t="s">
        <v>530</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506</v>
      </c>
      <c r="AU199" s="6" t="s">
        <v>531</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532</v>
      </c>
      <c r="CL199" s="6" t="s">
        <v>533</v>
      </c>
      <c r="CM199" s="6" t="s">
        <v>534</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506</v>
      </c>
      <c r="AU200" s="6" t="s">
        <v>531</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532</v>
      </c>
      <c r="CL200" s="6" t="s">
        <v>533</v>
      </c>
      <c r="CM200" s="6" t="s">
        <v>534</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506</v>
      </c>
      <c r="AU201" s="6" t="s">
        <v>531</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532</v>
      </c>
      <c r="CL201" s="6" t="s">
        <v>533</v>
      </c>
      <c r="CM201" s="6" t="s">
        <v>534</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506</v>
      </c>
      <c r="AU202" s="6" t="s">
        <v>531</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532</v>
      </c>
      <c r="CL202" s="6" t="s">
        <v>533</v>
      </c>
      <c r="CM202" s="6" t="s">
        <v>534</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506</v>
      </c>
      <c r="AU203" s="6" t="s">
        <v>531</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532</v>
      </c>
      <c r="CL203" s="6" t="s">
        <v>533</v>
      </c>
      <c r="CM203" s="6" t="s">
        <v>534</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506</v>
      </c>
      <c r="AU204" s="6" t="s">
        <v>531</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532</v>
      </c>
      <c r="CL204" s="6" t="s">
        <v>533</v>
      </c>
      <c r="CM204" s="6" t="s">
        <v>534</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506</v>
      </c>
      <c r="AU205" s="6" t="s">
        <v>531</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532</v>
      </c>
      <c r="CL205" s="6" t="s">
        <v>533</v>
      </c>
      <c r="CM205" s="6" t="s">
        <v>534</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506</v>
      </c>
      <c r="AU206" s="6" t="s">
        <v>531</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532</v>
      </c>
      <c r="CL206" s="6" t="s">
        <v>533</v>
      </c>
      <c r="CM206" s="6" t="s">
        <v>534</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506</v>
      </c>
      <c r="AU207" s="6" t="s">
        <v>531</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532</v>
      </c>
      <c r="CL207" s="6" t="s">
        <v>533</v>
      </c>
      <c r="CM207" s="6" t="s">
        <v>534</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506</v>
      </c>
      <c r="AU208" s="6" t="s">
        <v>531</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532</v>
      </c>
      <c r="CL208" s="6" t="s">
        <v>533</v>
      </c>
      <c r="CM208" s="6" t="s">
        <v>534</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506</v>
      </c>
      <c r="AU209" s="6" t="s">
        <v>531</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532</v>
      </c>
      <c r="CL209" s="6" t="s">
        <v>533</v>
      </c>
      <c r="CM209" s="6" t="s">
        <v>534</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506</v>
      </c>
      <c r="AU210" s="6" t="s">
        <v>531</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532</v>
      </c>
      <c r="CL210" s="6" t="s">
        <v>533</v>
      </c>
      <c r="CM210" s="6" t="s">
        <v>534</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506</v>
      </c>
      <c r="AU211" s="6" t="s">
        <v>531</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532</v>
      </c>
      <c r="CL211" s="6" t="s">
        <v>533</v>
      </c>
      <c r="CM211" s="6" t="s">
        <v>534</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506</v>
      </c>
      <c r="AU212" s="6" t="s">
        <v>531</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532</v>
      </c>
      <c r="CL212" s="6" t="s">
        <v>533</v>
      </c>
      <c r="CM212" s="6" t="s">
        <v>534</v>
      </c>
    </row>
    <row r="213" spans="4:91">
      <c r="D213">
        <v>2024</v>
      </c>
      <c r="E213" t="s">
        <v>189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189</v>
      </c>
      <c r="AS213" s="6">
        <v>0.15</v>
      </c>
      <c r="AT213" s="6" t="s">
        <v>528</v>
      </c>
      <c r="AU213" s="6" t="s">
        <v>529</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189</v>
      </c>
      <c r="CI213" s="6">
        <v>0.15</v>
      </c>
      <c r="CJ213" s="6">
        <v>0.15</v>
      </c>
      <c r="CK213" s="6" t="s">
        <v>528</v>
      </c>
      <c r="CL213" s="6" t="s">
        <v>528</v>
      </c>
      <c r="CM213" s="6" t="s">
        <v>530</v>
      </c>
    </row>
    <row r="214" spans="4:91">
      <c r="D214">
        <f>D213</f>
        <v>2024</v>
      </c>
      <c r="E214" t="s">
        <v>191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191</v>
      </c>
      <c r="AS214" s="6">
        <v>0.15</v>
      </c>
      <c r="AT214" s="6" t="s">
        <v>528</v>
      </c>
      <c r="AU214" s="6" t="s">
        <v>529</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191</v>
      </c>
      <c r="CI214" s="6">
        <v>0.15</v>
      </c>
      <c r="CJ214" s="6">
        <v>0.15</v>
      </c>
      <c r="CK214" s="6" t="s">
        <v>528</v>
      </c>
      <c r="CL214" s="6" t="s">
        <v>528</v>
      </c>
      <c r="CM214" s="6" t="s">
        <v>530</v>
      </c>
    </row>
    <row r="215" ht="16" spans="4:91">
      <c r="D215">
        <f t="shared" ref="D215:D233" si="293">D214</f>
        <v>2024</v>
      </c>
      <c r="E215" s="17" t="s">
        <v>195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195</v>
      </c>
      <c r="AS215" s="6">
        <v>0.15</v>
      </c>
      <c r="AT215" s="6" t="s">
        <v>528</v>
      </c>
      <c r="AU215" s="6" t="s">
        <v>529</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195</v>
      </c>
      <c r="CI215" s="6">
        <v>0.15</v>
      </c>
      <c r="CJ215" s="6">
        <v>0.15</v>
      </c>
      <c r="CK215" s="6" t="s">
        <v>528</v>
      </c>
      <c r="CL215" s="6" t="s">
        <v>528</v>
      </c>
      <c r="CM215" s="6" t="s">
        <v>530</v>
      </c>
    </row>
    <row r="216" spans="4:91">
      <c r="D216">
        <f t="shared" si="293"/>
        <v>2024</v>
      </c>
      <c r="E216" t="s">
        <v>196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196</v>
      </c>
      <c r="AS216" s="6">
        <v>0.15</v>
      </c>
      <c r="AT216" s="6" t="s">
        <v>528</v>
      </c>
      <c r="AU216" s="6" t="s">
        <v>529</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196</v>
      </c>
      <c r="CI216" s="6">
        <v>0.15</v>
      </c>
      <c r="CJ216" s="6">
        <v>0.15</v>
      </c>
      <c r="CK216" s="6" t="s">
        <v>528</v>
      </c>
      <c r="CL216" s="6" t="s">
        <v>528</v>
      </c>
      <c r="CM216" s="6" t="s">
        <v>530</v>
      </c>
    </row>
    <row r="217" spans="4:91">
      <c r="D217">
        <f t="shared" si="293"/>
        <v>2024</v>
      </c>
      <c r="E217" t="s">
        <v>198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198</v>
      </c>
      <c r="AS217" s="6">
        <v>0.15</v>
      </c>
      <c r="AT217" s="6" t="s">
        <v>528</v>
      </c>
      <c r="AU217" s="6" t="s">
        <v>529</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198</v>
      </c>
      <c r="CI217" s="6">
        <v>0.15</v>
      </c>
      <c r="CJ217" s="6">
        <v>0.15</v>
      </c>
      <c r="CK217" s="6" t="s">
        <v>528</v>
      </c>
      <c r="CL217" s="6" t="s">
        <v>528</v>
      </c>
      <c r="CM217" s="6" t="s">
        <v>530</v>
      </c>
    </row>
    <row r="218" spans="4:91">
      <c r="D218">
        <f t="shared" si="293"/>
        <v>2024</v>
      </c>
      <c r="E218" t="s">
        <v>200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200</v>
      </c>
      <c r="AS218" s="6">
        <v>0.15</v>
      </c>
      <c r="AT218" s="6" t="s">
        <v>528</v>
      </c>
      <c r="AU218" s="6" t="s">
        <v>529</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200</v>
      </c>
      <c r="CI218" s="6">
        <v>0.15</v>
      </c>
      <c r="CJ218" s="6">
        <v>0.15</v>
      </c>
      <c r="CK218" s="6" t="s">
        <v>528</v>
      </c>
      <c r="CL218" s="6" t="s">
        <v>528</v>
      </c>
      <c r="CM218" s="6" t="s">
        <v>530</v>
      </c>
    </row>
    <row r="219" spans="4:91">
      <c r="D219">
        <f t="shared" si="293"/>
        <v>2024</v>
      </c>
      <c r="E219" t="s">
        <v>202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202</v>
      </c>
      <c r="AS219" s="6">
        <v>0.15</v>
      </c>
      <c r="AT219" s="6" t="s">
        <v>528</v>
      </c>
      <c r="AU219" s="6" t="s">
        <v>529</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202</v>
      </c>
      <c r="CI219" s="6">
        <v>0.15</v>
      </c>
      <c r="CJ219" s="6">
        <v>0.15</v>
      </c>
      <c r="CK219" s="6" t="s">
        <v>528</v>
      </c>
      <c r="CL219" s="6" t="s">
        <v>528</v>
      </c>
      <c r="CM219" s="6" t="s">
        <v>530</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506</v>
      </c>
      <c r="AU220" s="6" t="s">
        <v>531</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532</v>
      </c>
      <c r="CL220" s="6" t="s">
        <v>533</v>
      </c>
      <c r="CM220" s="6" t="s">
        <v>534</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506</v>
      </c>
      <c r="AU221" s="6" t="s">
        <v>531</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532</v>
      </c>
      <c r="CL221" s="6" t="s">
        <v>533</v>
      </c>
      <c r="CM221" s="6" t="s">
        <v>534</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506</v>
      </c>
      <c r="AU222" s="6" t="s">
        <v>531</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532</v>
      </c>
      <c r="CL222" s="6" t="s">
        <v>533</v>
      </c>
      <c r="CM222" s="6" t="s">
        <v>534</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506</v>
      </c>
      <c r="AU223" s="6" t="s">
        <v>531</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532</v>
      </c>
      <c r="CL223" s="6" t="s">
        <v>533</v>
      </c>
      <c r="CM223" s="6" t="s">
        <v>534</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506</v>
      </c>
      <c r="AU224" s="6" t="s">
        <v>531</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532</v>
      </c>
      <c r="CL224" s="6" t="s">
        <v>533</v>
      </c>
      <c r="CM224" s="6" t="s">
        <v>534</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506</v>
      </c>
      <c r="AU225" s="6" t="s">
        <v>531</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532</v>
      </c>
      <c r="CL225" s="6" t="s">
        <v>533</v>
      </c>
      <c r="CM225" s="6" t="s">
        <v>534</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506</v>
      </c>
      <c r="AU226" s="6" t="s">
        <v>531</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532</v>
      </c>
      <c r="CL226" s="6" t="s">
        <v>533</v>
      </c>
      <c r="CM226" s="6" t="s">
        <v>534</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506</v>
      </c>
      <c r="AU227" s="6" t="s">
        <v>531</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532</v>
      </c>
      <c r="CL227" s="6" t="s">
        <v>533</v>
      </c>
      <c r="CM227" s="6" t="s">
        <v>534</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506</v>
      </c>
      <c r="AU228" s="6" t="s">
        <v>531</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532</v>
      </c>
      <c r="CL228" s="6" t="s">
        <v>533</v>
      </c>
      <c r="CM228" s="6" t="s">
        <v>534</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506</v>
      </c>
      <c r="AU229" s="6" t="s">
        <v>531</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532</v>
      </c>
      <c r="CL229" s="6" t="s">
        <v>533</v>
      </c>
      <c r="CM229" s="6" t="s">
        <v>534</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506</v>
      </c>
      <c r="AU230" s="6" t="s">
        <v>531</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532</v>
      </c>
      <c r="CL230" s="6" t="s">
        <v>533</v>
      </c>
      <c r="CM230" s="6" t="s">
        <v>534</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506</v>
      </c>
      <c r="AU231" s="6" t="s">
        <v>531</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532</v>
      </c>
      <c r="CL231" s="6" t="s">
        <v>533</v>
      </c>
      <c r="CM231" s="6" t="s">
        <v>534</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506</v>
      </c>
      <c r="AU232" s="6" t="s">
        <v>531</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532</v>
      </c>
      <c r="CL232" s="6" t="s">
        <v>533</v>
      </c>
      <c r="CM232" s="6" t="s">
        <v>534</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506</v>
      </c>
      <c r="AU233" s="6" t="s">
        <v>531</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532</v>
      </c>
      <c r="CL233" s="6" t="s">
        <v>533</v>
      </c>
      <c r="CM233" s="6" t="s">
        <v>534</v>
      </c>
    </row>
    <row r="234" spans="4:91">
      <c r="D234">
        <v>2015</v>
      </c>
      <c r="E234" t="s">
        <v>189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189</v>
      </c>
      <c r="AS234" s="6">
        <v>0.07</v>
      </c>
      <c r="AT234" s="6" t="s">
        <v>528</v>
      </c>
      <c r="AU234" s="6" t="s">
        <v>529</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189</v>
      </c>
      <c r="CI234" s="6">
        <v>0.07</v>
      </c>
      <c r="CJ234" s="6">
        <v>0.07</v>
      </c>
      <c r="CK234" s="6" t="s">
        <v>528</v>
      </c>
      <c r="CL234" s="6" t="s">
        <v>528</v>
      </c>
      <c r="CM234" s="6" t="s">
        <v>530</v>
      </c>
    </row>
    <row r="235" spans="4:91">
      <c r="D235">
        <f>D234</f>
        <v>2015</v>
      </c>
      <c r="E235" t="s">
        <v>191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191</v>
      </c>
      <c r="AS235" s="6">
        <v>0.07</v>
      </c>
      <c r="AT235" s="6" t="s">
        <v>528</v>
      </c>
      <c r="AU235" s="6" t="s">
        <v>529</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191</v>
      </c>
      <c r="CI235" s="6">
        <v>0.07</v>
      </c>
      <c r="CJ235" s="6">
        <v>0.07</v>
      </c>
      <c r="CK235" s="6" t="s">
        <v>528</v>
      </c>
      <c r="CL235" s="6" t="s">
        <v>528</v>
      </c>
      <c r="CM235" s="6" t="s">
        <v>530</v>
      </c>
    </row>
    <row r="236" ht="16" spans="4:91">
      <c r="D236">
        <f t="shared" ref="D236:D254" si="330">D235</f>
        <v>2015</v>
      </c>
      <c r="E236" s="17" t="s">
        <v>195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195</v>
      </c>
      <c r="AS236" s="6">
        <v>0.07</v>
      </c>
      <c r="AT236" s="6" t="s">
        <v>528</v>
      </c>
      <c r="AU236" s="6" t="s">
        <v>529</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195</v>
      </c>
      <c r="CI236" s="6">
        <v>0.07</v>
      </c>
      <c r="CJ236" s="6">
        <v>0.07</v>
      </c>
      <c r="CK236" s="6" t="s">
        <v>528</v>
      </c>
      <c r="CL236" s="6" t="s">
        <v>528</v>
      </c>
      <c r="CM236" s="6" t="s">
        <v>530</v>
      </c>
    </row>
    <row r="237" spans="4:91">
      <c r="D237">
        <f t="shared" si="330"/>
        <v>2015</v>
      </c>
      <c r="E237" t="s">
        <v>196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196</v>
      </c>
      <c r="AS237" s="6">
        <v>0.07</v>
      </c>
      <c r="AT237" s="6" t="s">
        <v>528</v>
      </c>
      <c r="AU237" s="6" t="s">
        <v>529</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196</v>
      </c>
      <c r="CI237" s="6">
        <v>0.07</v>
      </c>
      <c r="CJ237" s="6">
        <v>0.07</v>
      </c>
      <c r="CK237" s="6" t="s">
        <v>528</v>
      </c>
      <c r="CL237" s="6" t="s">
        <v>528</v>
      </c>
      <c r="CM237" s="6" t="s">
        <v>530</v>
      </c>
    </row>
    <row r="238" spans="4:91">
      <c r="D238">
        <f t="shared" si="330"/>
        <v>2015</v>
      </c>
      <c r="E238" t="s">
        <v>198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198</v>
      </c>
      <c r="AS238" s="6">
        <v>0.07</v>
      </c>
      <c r="AT238" s="6" t="s">
        <v>528</v>
      </c>
      <c r="AU238" s="6" t="s">
        <v>529</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198</v>
      </c>
      <c r="CI238" s="6">
        <v>0.07</v>
      </c>
      <c r="CJ238" s="6">
        <v>0.07</v>
      </c>
      <c r="CK238" s="6" t="s">
        <v>528</v>
      </c>
      <c r="CL238" s="6" t="s">
        <v>528</v>
      </c>
      <c r="CM238" s="6" t="s">
        <v>530</v>
      </c>
    </row>
    <row r="239" spans="4:91">
      <c r="D239">
        <f t="shared" si="330"/>
        <v>2015</v>
      </c>
      <c r="E239" t="s">
        <v>200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200</v>
      </c>
      <c r="AS239" s="6">
        <v>0.07</v>
      </c>
      <c r="AT239" s="6" t="s">
        <v>528</v>
      </c>
      <c r="AU239" s="6" t="s">
        <v>529</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200</v>
      </c>
      <c r="CI239" s="6">
        <v>0.07</v>
      </c>
      <c r="CJ239" s="6">
        <v>0.07</v>
      </c>
      <c r="CK239" s="6" t="s">
        <v>528</v>
      </c>
      <c r="CL239" s="6" t="s">
        <v>528</v>
      </c>
      <c r="CM239" s="6" t="s">
        <v>530</v>
      </c>
    </row>
    <row r="240" spans="4:91">
      <c r="D240">
        <f t="shared" si="330"/>
        <v>2015</v>
      </c>
      <c r="E240" t="s">
        <v>202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202</v>
      </c>
      <c r="AS240" s="6">
        <v>0.07</v>
      </c>
      <c r="AT240" s="6" t="s">
        <v>528</v>
      </c>
      <c r="AU240" s="6" t="s">
        <v>529</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202</v>
      </c>
      <c r="CI240" s="6">
        <v>0.07</v>
      </c>
      <c r="CJ240" s="6">
        <v>0.07</v>
      </c>
      <c r="CK240" s="6" t="s">
        <v>528</v>
      </c>
      <c r="CL240" s="6" t="s">
        <v>528</v>
      </c>
      <c r="CM240" s="6" t="s">
        <v>530</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506</v>
      </c>
      <c r="AU241" s="6" t="s">
        <v>531</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532</v>
      </c>
      <c r="CL241" s="6" t="s">
        <v>533</v>
      </c>
      <c r="CM241" s="6" t="s">
        <v>534</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506</v>
      </c>
      <c r="AU242" s="6" t="s">
        <v>531</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532</v>
      </c>
      <c r="CL242" s="6" t="s">
        <v>533</v>
      </c>
      <c r="CM242" s="6" t="s">
        <v>534</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506</v>
      </c>
      <c r="AU243" s="6" t="s">
        <v>531</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532</v>
      </c>
      <c r="CL243" s="6" t="s">
        <v>533</v>
      </c>
      <c r="CM243" s="6" t="s">
        <v>534</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506</v>
      </c>
      <c r="AU244" s="6" t="s">
        <v>531</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532</v>
      </c>
      <c r="CL244" s="6" t="s">
        <v>533</v>
      </c>
      <c r="CM244" s="6" t="s">
        <v>534</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506</v>
      </c>
      <c r="AU245" s="6" t="s">
        <v>531</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532</v>
      </c>
      <c r="CL245" s="6" t="s">
        <v>533</v>
      </c>
      <c r="CM245" s="6" t="s">
        <v>534</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506</v>
      </c>
      <c r="AU246" s="6" t="s">
        <v>531</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532</v>
      </c>
      <c r="CL246" s="6" t="s">
        <v>533</v>
      </c>
      <c r="CM246" s="6" t="s">
        <v>534</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506</v>
      </c>
      <c r="AU247" s="6" t="s">
        <v>531</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532</v>
      </c>
      <c r="CL247" s="6" t="s">
        <v>533</v>
      </c>
      <c r="CM247" s="6" t="s">
        <v>534</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506</v>
      </c>
      <c r="AU248" s="6" t="s">
        <v>531</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532</v>
      </c>
      <c r="CL248" s="6" t="s">
        <v>533</v>
      </c>
      <c r="CM248" s="6" t="s">
        <v>534</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506</v>
      </c>
      <c r="AU249" s="6" t="s">
        <v>531</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532</v>
      </c>
      <c r="CL249" s="6" t="s">
        <v>533</v>
      </c>
      <c r="CM249" s="6" t="s">
        <v>534</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506</v>
      </c>
      <c r="AU250" s="6" t="s">
        <v>531</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532</v>
      </c>
      <c r="CL250" s="6" t="s">
        <v>533</v>
      </c>
      <c r="CM250" s="6" t="s">
        <v>534</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506</v>
      </c>
      <c r="AU251" s="6" t="s">
        <v>531</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532</v>
      </c>
      <c r="CL251" s="6" t="s">
        <v>533</v>
      </c>
      <c r="CM251" s="6" t="s">
        <v>534</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506</v>
      </c>
      <c r="AU252" s="6" t="s">
        <v>531</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532</v>
      </c>
      <c r="CL252" s="6" t="s">
        <v>533</v>
      </c>
      <c r="CM252" s="6" t="s">
        <v>534</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506</v>
      </c>
      <c r="AU253" s="6" t="s">
        <v>531</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532</v>
      </c>
      <c r="CL253" s="6" t="s">
        <v>533</v>
      </c>
      <c r="CM253" s="6" t="s">
        <v>534</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506</v>
      </c>
      <c r="AU254" s="6" t="s">
        <v>531</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532</v>
      </c>
      <c r="CL254" s="6" t="s">
        <v>533</v>
      </c>
      <c r="CM254" s="6" t="s">
        <v>534</v>
      </c>
    </row>
  </sheetData>
  <mergeCells count="1">
    <mergeCell ref="CG43:CL43"/>
  </mergeCells>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E8" sqref="AE8:AH8"/>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spans="3:46">
      <c r="AH7" s="1"/>
      <c r="AI7" s="1"/>
      <c r="AJ7" s="8"/>
      <c r="AK7" s="8"/>
      <c r="AL7" s="8"/>
      <c r="AM7" s="8"/>
    </row>
    <row r="8" spans="3:46">
      <c r="AH8" s="9"/>
      <c r="AI8" s="1"/>
      <c r="AJ8" s="10"/>
      <c r="AK8" s="8"/>
      <c r="AL8" s="8"/>
      <c r="AM8" s="8"/>
    </row>
    <row r="9" ht="15.25" spans="3:46">
      <c r="AC9" s="11" t="s">
        <v>537</v>
      </c>
      <c r="AD9" s="1"/>
      <c r="AE9" s="1"/>
      <c r="AF9" s="1"/>
      <c r="AG9" s="1"/>
      <c r="AH9" s="1"/>
      <c r="AI9" s="1"/>
      <c r="AJ9" s="8"/>
      <c r="AK9" s="8"/>
      <c r="AL9" s="8"/>
      <c r="AM9" s="8"/>
    </row>
    <row r="10" spans="3:46">
      <c r="C10" s="6" t="s">
        <v>538</v>
      </c>
      <c r="D10" s="6" t="s">
        <v>539</v>
      </c>
      <c r="E10" s="6" t="s">
        <v>540</v>
      </c>
      <c r="F10" s="6" t="s">
        <v>541</v>
      </c>
      <c r="G10" s="6" t="s">
        <v>542</v>
      </c>
      <c r="H10" s="6" t="s">
        <v>543</v>
      </c>
      <c r="I10" s="6" t="s">
        <v>544</v>
      </c>
      <c r="J10" s="6" t="s">
        <v>545</v>
      </c>
      <c r="K10" s="6" t="s">
        <v>546</v>
      </c>
      <c r="L10" s="6" t="s">
        <v>547</v>
      </c>
      <c r="M10" s="6" t="s">
        <v>548</v>
      </c>
      <c r="N10" s="6" t="s">
        <v>549</v>
      </c>
      <c r="O10" s="6" t="s">
        <v>550</v>
      </c>
      <c r="P10" s="6" t="s">
        <v>551</v>
      </c>
      <c r="Q10" s="6" t="s">
        <v>552</v>
      </c>
      <c r="R10" s="6" t="s">
        <v>553</v>
      </c>
      <c r="S10" s="6" t="s">
        <v>554</v>
      </c>
      <c r="T10" s="6" t="s">
        <v>555</v>
      </c>
      <c r="U10" s="6" t="s">
        <v>556</v>
      </c>
      <c r="V10" s="6" t="s">
        <v>557</v>
      </c>
      <c r="W10" s="6" t="s">
        <v>558</v>
      </c>
      <c r="X10" s="6" t="s">
        <v>559</v>
      </c>
      <c r="Y10" s="6" t="s">
        <v>560</v>
      </c>
      <c r="AC10" s="1" t="s">
        <v>2</v>
      </c>
      <c r="AD10" s="1">
        <v>2020</v>
      </c>
      <c r="AE10" s="1">
        <v>2030</v>
      </c>
      <c r="AF10" s="1">
        <v>2040</v>
      </c>
      <c r="AG10" s="1">
        <v>2050</v>
      </c>
      <c r="AH10" s="1"/>
      <c r="AI10" s="1"/>
      <c r="AJ10" s="8"/>
      <c r="AK10" s="8"/>
      <c r="AL10" s="8"/>
      <c r="AM10" s="8"/>
    </row>
    <row r="11" spans="3:46">
      <c r="C11" s="6" t="s">
        <v>561</v>
      </c>
      <c r="D11" s="6" t="s">
        <v>428</v>
      </c>
      <c r="E11" s="6" t="s">
        <v>428</v>
      </c>
      <c r="F11" s="6" t="s">
        <v>562</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561</v>
      </c>
      <c r="D12" s="6" t="s">
        <v>432</v>
      </c>
      <c r="E12" s="6" t="s">
        <v>432</v>
      </c>
      <c r="F12" s="6" t="s">
        <v>562</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561</v>
      </c>
      <c r="D13" s="6" t="s">
        <v>433</v>
      </c>
      <c r="E13" s="6" t="s">
        <v>433</v>
      </c>
      <c r="F13" s="6" t="s">
        <v>562</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561</v>
      </c>
      <c r="D14" s="6" t="s">
        <v>434</v>
      </c>
      <c r="E14" s="6" t="s">
        <v>434</v>
      </c>
      <c r="F14" s="6" t="s">
        <v>562</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561</v>
      </c>
      <c r="D15" s="6" t="s">
        <v>435</v>
      </c>
      <c r="E15" s="6" t="s">
        <v>435</v>
      </c>
      <c r="F15" s="6" t="s">
        <v>562</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561</v>
      </c>
      <c r="D16" s="6" t="s">
        <v>436</v>
      </c>
      <c r="E16" s="6" t="s">
        <v>436</v>
      </c>
      <c r="F16" s="6" t="s">
        <v>562</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561</v>
      </c>
      <c r="D17" s="6" t="s">
        <v>437</v>
      </c>
      <c r="E17" s="6" t="s">
        <v>437</v>
      </c>
      <c r="F17" s="6" t="s">
        <v>562</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561</v>
      </c>
      <c r="D18" s="6" t="s">
        <v>438</v>
      </c>
      <c r="E18" s="6" t="s">
        <v>438</v>
      </c>
      <c r="F18" s="6" t="s">
        <v>562</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563</v>
      </c>
      <c r="D19" s="6" t="s">
        <v>439</v>
      </c>
      <c r="E19" s="6" t="s">
        <v>439</v>
      </c>
      <c r="F19" s="6" t="s">
        <v>562</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563</v>
      </c>
      <c r="D20" s="6" t="s">
        <v>440</v>
      </c>
      <c r="E20" s="6" t="s">
        <v>440</v>
      </c>
      <c r="F20" s="6" t="s">
        <v>562</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563</v>
      </c>
      <c r="D21" s="6" t="s">
        <v>441</v>
      </c>
      <c r="E21" s="6" t="s">
        <v>441</v>
      </c>
      <c r="F21" s="6" t="s">
        <v>562</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563</v>
      </c>
      <c r="D22" s="6" t="s">
        <v>442</v>
      </c>
      <c r="E22" s="6" t="s">
        <v>442</v>
      </c>
      <c r="F22" s="6" t="s">
        <v>562</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563</v>
      </c>
      <c r="D23" s="6" t="s">
        <v>443</v>
      </c>
      <c r="E23" s="6" t="s">
        <v>443</v>
      </c>
      <c r="F23" s="6" t="s">
        <v>562</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563</v>
      </c>
      <c r="D24" s="6" t="s">
        <v>444</v>
      </c>
      <c r="E24" s="6" t="s">
        <v>444</v>
      </c>
      <c r="F24" s="6" t="s">
        <v>562</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563</v>
      </c>
      <c r="D25" s="6" t="s">
        <v>445</v>
      </c>
      <c r="E25" s="6" t="s">
        <v>445</v>
      </c>
      <c r="F25" s="6" t="s">
        <v>562</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563</v>
      </c>
      <c r="D26" s="6" t="s">
        <v>446</v>
      </c>
      <c r="E26" s="6" t="s">
        <v>446</v>
      </c>
      <c r="F26" s="6" t="s">
        <v>562</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564</v>
      </c>
      <c r="D27" s="6" t="s">
        <v>565</v>
      </c>
      <c r="E27" s="6" t="s">
        <v>565</v>
      </c>
      <c r="F27" s="6" t="s">
        <v>566</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564</v>
      </c>
      <c r="D28" s="6" t="s">
        <v>567</v>
      </c>
      <c r="E28" s="6" t="s">
        <v>567</v>
      </c>
      <c r="F28" s="6" t="s">
        <v>566</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564</v>
      </c>
      <c r="D29" s="6" t="s">
        <v>568</v>
      </c>
      <c r="E29" s="6" t="s">
        <v>568</v>
      </c>
      <c r="F29" s="6" t="s">
        <v>566</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564</v>
      </c>
      <c r="D30" s="6" t="s">
        <v>569</v>
      </c>
      <c r="E30" s="6" t="s">
        <v>569</v>
      </c>
      <c r="F30" s="6" t="s">
        <v>566</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564</v>
      </c>
      <c r="D31" s="6" t="s">
        <v>570</v>
      </c>
      <c r="E31" s="6" t="s">
        <v>570</v>
      </c>
      <c r="F31" s="6" t="s">
        <v>566</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564</v>
      </c>
      <c r="D32" s="6" t="s">
        <v>571</v>
      </c>
      <c r="E32" s="6" t="s">
        <v>571</v>
      </c>
      <c r="F32" s="6" t="s">
        <v>566</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564</v>
      </c>
      <c r="D33" s="6" t="s">
        <v>572</v>
      </c>
      <c r="E33" s="6" t="s">
        <v>572</v>
      </c>
      <c r="F33" s="6" t="s">
        <v>566</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564</v>
      </c>
      <c r="D34" s="6" t="s">
        <v>573</v>
      </c>
      <c r="E34" s="6" t="s">
        <v>573</v>
      </c>
      <c r="F34" s="6" t="s">
        <v>566</v>
      </c>
      <c r="G34" s="12">
        <v>0.93</v>
      </c>
      <c r="H34" s="6">
        <v>18</v>
      </c>
      <c r="I34" s="6" t="s">
        <v>574</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575</v>
      </c>
      <c r="D35" s="6" t="s">
        <v>447</v>
      </c>
      <c r="E35" s="6" t="s">
        <v>447</v>
      </c>
      <c r="F35" s="6" t="s">
        <v>562</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575</v>
      </c>
      <c r="D36" s="6" t="s">
        <v>448</v>
      </c>
      <c r="E36" s="6" t="s">
        <v>448</v>
      </c>
      <c r="F36" s="6" t="s">
        <v>562</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575</v>
      </c>
      <c r="D37" s="6" t="s">
        <v>450</v>
      </c>
      <c r="E37" s="6" t="s">
        <v>450</v>
      </c>
      <c r="F37" s="6" t="s">
        <v>562</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575</v>
      </c>
      <c r="D38" s="6" t="s">
        <v>452</v>
      </c>
      <c r="E38" s="6" t="s">
        <v>452</v>
      </c>
      <c r="F38" s="6" t="s">
        <v>562</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575</v>
      </c>
      <c r="D39" s="6" t="s">
        <v>454</v>
      </c>
      <c r="E39" s="6" t="s">
        <v>454</v>
      </c>
      <c r="F39" s="6" t="s">
        <v>562</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575</v>
      </c>
      <c r="D40" s="6" t="s">
        <v>455</v>
      </c>
      <c r="E40" s="6" t="s">
        <v>455</v>
      </c>
      <c r="F40" s="6" t="s">
        <v>562</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575</v>
      </c>
      <c r="D41" s="6" t="s">
        <v>456</v>
      </c>
      <c r="E41" s="6" t="s">
        <v>456</v>
      </c>
      <c r="F41" s="6" t="s">
        <v>562</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575</v>
      </c>
      <c r="D42" s="6" t="s">
        <v>457</v>
      </c>
      <c r="E42" s="6" t="s">
        <v>457</v>
      </c>
      <c r="F42" s="6" t="s">
        <v>562</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576</v>
      </c>
      <c r="D43" s="6" t="s">
        <v>458</v>
      </c>
      <c r="E43" s="6" t="s">
        <v>458</v>
      </c>
      <c r="F43" s="6" t="s">
        <v>562</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576</v>
      </c>
      <c r="D44" s="6" t="s">
        <v>460</v>
      </c>
      <c r="E44" s="6" t="s">
        <v>460</v>
      </c>
      <c r="F44" s="6" t="s">
        <v>562</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576</v>
      </c>
      <c r="D45" s="6" t="s">
        <v>461</v>
      </c>
      <c r="E45" s="6" t="s">
        <v>461</v>
      </c>
      <c r="F45" s="6" t="s">
        <v>562</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576</v>
      </c>
      <c r="D46" s="6" t="s">
        <v>463</v>
      </c>
      <c r="E46" s="6" t="s">
        <v>463</v>
      </c>
      <c r="F46" s="6" t="s">
        <v>562</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576</v>
      </c>
      <c r="D47" s="6" t="s">
        <v>464</v>
      </c>
      <c r="E47" s="6" t="s">
        <v>464</v>
      </c>
      <c r="F47" s="6" t="s">
        <v>562</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576</v>
      </c>
      <c r="D48" s="6" t="s">
        <v>465</v>
      </c>
      <c r="E48" s="6" t="s">
        <v>465</v>
      </c>
      <c r="F48" s="6" t="s">
        <v>562</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576</v>
      </c>
      <c r="D49" s="6" t="s">
        <v>466</v>
      </c>
      <c r="E49" s="6" t="s">
        <v>466</v>
      </c>
      <c r="F49" s="6" t="s">
        <v>562</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576</v>
      </c>
      <c r="D50" s="6" t="s">
        <v>467</v>
      </c>
      <c r="E50" s="6" t="s">
        <v>467</v>
      </c>
      <c r="F50" s="6" t="s">
        <v>562</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577</v>
      </c>
      <c r="D51" s="6" t="s">
        <v>468</v>
      </c>
      <c r="E51" s="6" t="s">
        <v>468</v>
      </c>
      <c r="F51" s="6" t="s">
        <v>562</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577</v>
      </c>
      <c r="D52" s="6" t="s">
        <v>470</v>
      </c>
      <c r="E52" s="6" t="s">
        <v>470</v>
      </c>
      <c r="F52" s="6" t="s">
        <v>562</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577</v>
      </c>
      <c r="D53" s="6" t="s">
        <v>472</v>
      </c>
      <c r="E53" s="6" t="s">
        <v>472</v>
      </c>
      <c r="F53" s="6" t="s">
        <v>562</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577</v>
      </c>
      <c r="D54" s="6" t="s">
        <v>473</v>
      </c>
      <c r="E54" s="6" t="s">
        <v>473</v>
      </c>
      <c r="F54" s="6" t="s">
        <v>562</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577</v>
      </c>
      <c r="D55" s="6" t="s">
        <v>474</v>
      </c>
      <c r="E55" s="6" t="s">
        <v>474</v>
      </c>
      <c r="F55" s="6" t="s">
        <v>562</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577</v>
      </c>
      <c r="D56" s="6" t="s">
        <v>475</v>
      </c>
      <c r="E56" s="6" t="s">
        <v>475</v>
      </c>
      <c r="F56" s="6" t="s">
        <v>562</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577</v>
      </c>
      <c r="D57" s="6" t="s">
        <v>476</v>
      </c>
      <c r="E57" s="6" t="s">
        <v>476</v>
      </c>
      <c r="F57" s="6" t="s">
        <v>562</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577</v>
      </c>
      <c r="D58" s="6" t="s">
        <v>477</v>
      </c>
      <c r="E58" s="6" t="s">
        <v>477</v>
      </c>
      <c r="F58" s="6" t="s">
        <v>562</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9"/>
      <c r="AI58" s="1"/>
      <c r="AJ58" s="10"/>
      <c r="AK58" s="8"/>
      <c r="AL58" s="8"/>
      <c r="AM58" s="8"/>
    </row>
    <row r="59" spans="3:39">
      <c r="C59" s="6" t="s">
        <v>578</v>
      </c>
      <c r="D59" s="6" t="s">
        <v>579</v>
      </c>
      <c r="E59" s="6" t="s">
        <v>478</v>
      </c>
      <c r="F59" s="6" t="s">
        <v>562</v>
      </c>
      <c r="G59" s="6">
        <v>120</v>
      </c>
      <c r="H59" s="6">
        <v>6</v>
      </c>
      <c r="I59" s="6" t="s">
        <v>580</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578</v>
      </c>
      <c r="D60" s="6" t="s">
        <v>581</v>
      </c>
      <c r="E60" s="6" t="s">
        <v>479</v>
      </c>
      <c r="F60" s="6" t="s">
        <v>562</v>
      </c>
      <c r="G60" s="6">
        <v>131</v>
      </c>
      <c r="H60" s="6">
        <v>6.55</v>
      </c>
      <c r="I60" s="6" t="s">
        <v>580</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578</v>
      </c>
      <c r="D61" s="6" t="s">
        <v>582</v>
      </c>
      <c r="E61" s="6" t="s">
        <v>480</v>
      </c>
      <c r="F61" s="6" t="s">
        <v>562</v>
      </c>
      <c r="G61" s="6">
        <v>143</v>
      </c>
      <c r="H61" s="6">
        <v>7.15</v>
      </c>
      <c r="I61" s="6" t="s">
        <v>580</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578</v>
      </c>
      <c r="D62" s="6" t="s">
        <v>583</v>
      </c>
      <c r="E62" s="6" t="s">
        <v>481</v>
      </c>
      <c r="F62" s="6" t="s">
        <v>562</v>
      </c>
      <c r="G62" s="6">
        <v>154</v>
      </c>
      <c r="H62" s="6">
        <v>7.7</v>
      </c>
      <c r="I62" s="6" t="s">
        <v>580</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578</v>
      </c>
      <c r="D63" s="6" t="s">
        <v>584</v>
      </c>
      <c r="E63" s="6" t="s">
        <v>482</v>
      </c>
      <c r="F63" s="6" t="s">
        <v>562</v>
      </c>
      <c r="G63" s="6">
        <v>166</v>
      </c>
      <c r="H63" s="6">
        <v>8.3</v>
      </c>
      <c r="I63" s="6" t="s">
        <v>580</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578</v>
      </c>
      <c r="D64" s="6" t="s">
        <v>585</v>
      </c>
      <c r="E64" s="6" t="s">
        <v>483</v>
      </c>
      <c r="F64" s="6" t="s">
        <v>562</v>
      </c>
      <c r="G64" s="6">
        <v>177</v>
      </c>
      <c r="H64" s="6">
        <v>8.85</v>
      </c>
      <c r="I64" s="6" t="s">
        <v>580</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578</v>
      </c>
      <c r="D65" s="6" t="s">
        <v>586</v>
      </c>
      <c r="E65" s="6" t="s">
        <v>484</v>
      </c>
      <c r="F65" s="6" t="s">
        <v>562</v>
      </c>
      <c r="G65" s="6">
        <v>189</v>
      </c>
      <c r="H65" s="6">
        <v>9.45</v>
      </c>
      <c r="I65" s="6" t="s">
        <v>580</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578</v>
      </c>
      <c r="D66" s="6" t="s">
        <v>587</v>
      </c>
      <c r="E66" s="6" t="s">
        <v>485</v>
      </c>
      <c r="F66" s="6" t="s">
        <v>562</v>
      </c>
      <c r="G66" s="6">
        <v>200</v>
      </c>
      <c r="H66" s="6">
        <v>10</v>
      </c>
      <c r="I66" s="6" t="s">
        <v>580</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588</v>
      </c>
      <c r="D67" s="6" t="s">
        <v>486</v>
      </c>
      <c r="E67" s="6" t="s">
        <v>486</v>
      </c>
      <c r="F67" s="6" t="s">
        <v>562</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588</v>
      </c>
      <c r="D68" s="6" t="s">
        <v>487</v>
      </c>
      <c r="E68" s="6" t="s">
        <v>487</v>
      </c>
      <c r="F68" s="6" t="s">
        <v>562</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588</v>
      </c>
      <c r="D69" s="6" t="s">
        <v>488</v>
      </c>
      <c r="E69" s="6" t="s">
        <v>488</v>
      </c>
      <c r="F69" s="6" t="s">
        <v>562</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588</v>
      </c>
      <c r="D70" s="6" t="s">
        <v>489</v>
      </c>
      <c r="E70" s="6" t="s">
        <v>489</v>
      </c>
      <c r="F70" s="6" t="s">
        <v>562</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588</v>
      </c>
      <c r="D71" s="6" t="s">
        <v>490</v>
      </c>
      <c r="E71" s="6" t="s">
        <v>490</v>
      </c>
      <c r="F71" s="6" t="s">
        <v>562</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588</v>
      </c>
      <c r="D72" s="6" t="s">
        <v>491</v>
      </c>
      <c r="E72" s="6" t="s">
        <v>491</v>
      </c>
      <c r="F72" s="6" t="s">
        <v>562</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588</v>
      </c>
      <c r="D73" s="6" t="s">
        <v>492</v>
      </c>
      <c r="E73" s="6" t="s">
        <v>492</v>
      </c>
      <c r="F73" s="6" t="s">
        <v>562</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588</v>
      </c>
      <c r="D74" s="6" t="s">
        <v>493</v>
      </c>
      <c r="E74" s="6" t="s">
        <v>493</v>
      </c>
      <c r="F74" s="6" t="s">
        <v>562</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589</v>
      </c>
      <c r="D75" s="6" t="s">
        <v>494</v>
      </c>
      <c r="E75" s="6" t="s">
        <v>494</v>
      </c>
      <c r="F75" s="6" t="s">
        <v>562</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589</v>
      </c>
      <c r="D76" s="6" t="s">
        <v>495</v>
      </c>
      <c r="E76" s="6" t="s">
        <v>495</v>
      </c>
      <c r="F76" s="6" t="s">
        <v>562</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589</v>
      </c>
      <c r="D77" s="6" t="s">
        <v>496</v>
      </c>
      <c r="E77" s="6" t="s">
        <v>496</v>
      </c>
      <c r="F77" s="6" t="s">
        <v>562</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589</v>
      </c>
      <c r="D78" s="6" t="s">
        <v>497</v>
      </c>
      <c r="E78" s="6" t="s">
        <v>497</v>
      </c>
      <c r="F78" s="6" t="s">
        <v>562</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589</v>
      </c>
      <c r="D79" s="6" t="s">
        <v>498</v>
      </c>
      <c r="E79" s="6" t="s">
        <v>498</v>
      </c>
      <c r="F79" s="6" t="s">
        <v>562</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589</v>
      </c>
      <c r="D80" s="6" t="s">
        <v>499</v>
      </c>
      <c r="E80" s="6" t="s">
        <v>499</v>
      </c>
      <c r="F80" s="6" t="s">
        <v>562</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589</v>
      </c>
      <c r="D81" s="6" t="s">
        <v>500</v>
      </c>
      <c r="E81" s="6" t="s">
        <v>500</v>
      </c>
      <c r="F81" s="6" t="s">
        <v>562</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589</v>
      </c>
      <c r="D82" s="6" t="s">
        <v>501</v>
      </c>
      <c r="E82" s="6" t="s">
        <v>501</v>
      </c>
      <c r="F82" s="6" t="s">
        <v>562</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9"/>
      <c r="AI107" s="1"/>
      <c r="AJ107" s="10"/>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590</v>
      </c>
      <c r="I4" s="3">
        <v>2023</v>
      </c>
      <c r="J4" s="3">
        <v>175</v>
      </c>
      <c r="K4" s="4">
        <f t="shared" ref="K4:K10" si="0">J4*0.9</f>
        <v>157.5</v>
      </c>
      <c r="L4" s="4">
        <f t="shared" ref="L4:L10" si="1">J4</f>
        <v>175</v>
      </c>
    </row>
    <row r="5" ht="12.5" spans="8:12">
      <c r="H5" s="2" t="s">
        <v>591</v>
      </c>
      <c r="I5" s="5">
        <v>2023</v>
      </c>
      <c r="J5" s="5">
        <f t="shared" ref="J5:J10" si="2">J4</f>
        <v>175</v>
      </c>
      <c r="K5" s="4">
        <f t="shared" si="0"/>
        <v>157.5</v>
      </c>
      <c r="L5" s="4">
        <f t="shared" si="1"/>
        <v>175</v>
      </c>
    </row>
    <row r="6" ht="12.5" spans="8:12">
      <c r="H6" s="2" t="s">
        <v>592</v>
      </c>
      <c r="I6" s="5">
        <v>2023</v>
      </c>
      <c r="J6" s="5">
        <f t="shared" si="2"/>
        <v>175</v>
      </c>
      <c r="K6" s="4">
        <f t="shared" si="0"/>
        <v>157.5</v>
      </c>
      <c r="L6" s="4">
        <f t="shared" si="1"/>
        <v>175</v>
      </c>
    </row>
    <row r="7" ht="12.5" spans="8:12">
      <c r="H7" s="2" t="s">
        <v>593</v>
      </c>
      <c r="I7" s="5">
        <v>2023</v>
      </c>
      <c r="J7" s="5">
        <f t="shared" si="2"/>
        <v>175</v>
      </c>
      <c r="K7" s="4">
        <f t="shared" si="0"/>
        <v>157.5</v>
      </c>
      <c r="L7" s="4">
        <f t="shared" si="1"/>
        <v>175</v>
      </c>
    </row>
    <row r="8" ht="12.5" spans="8:12">
      <c r="H8" s="2" t="s">
        <v>594</v>
      </c>
      <c r="I8" s="5">
        <v>2023</v>
      </c>
      <c r="J8" s="5">
        <f t="shared" si="2"/>
        <v>175</v>
      </c>
      <c r="K8" s="4">
        <f t="shared" si="0"/>
        <v>157.5</v>
      </c>
      <c r="L8" s="4">
        <f t="shared" si="1"/>
        <v>175</v>
      </c>
    </row>
    <row r="9" ht="12.5" spans="8:12">
      <c r="H9" s="2" t="s">
        <v>595</v>
      </c>
      <c r="I9" s="5">
        <v>2023</v>
      </c>
      <c r="J9" s="5">
        <f t="shared" si="2"/>
        <v>175</v>
      </c>
      <c r="K9" s="4">
        <f t="shared" si="0"/>
        <v>157.5</v>
      </c>
      <c r="L9" s="4">
        <f t="shared" si="1"/>
        <v>175</v>
      </c>
    </row>
    <row r="10" ht="12.5" spans="8:12">
      <c r="H10" s="2" t="s">
        <v>596</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590</v>
      </c>
      <c r="I32" s="3">
        <v>2030</v>
      </c>
      <c r="J32" s="3">
        <v>154</v>
      </c>
      <c r="K32" s="4">
        <f t="shared" ref="K32:K38" si="3">J32*0.9</f>
        <v>138.6</v>
      </c>
      <c r="L32" s="4">
        <f t="shared" ref="L32:L38" si="4">J32</f>
        <v>154</v>
      </c>
    </row>
    <row r="33" ht="12.5" spans="8:12">
      <c r="H33" s="2" t="s">
        <v>591</v>
      </c>
      <c r="I33" s="5">
        <v>2030</v>
      </c>
      <c r="J33" s="5">
        <f t="shared" ref="J33:J38" si="5">J32</f>
        <v>154</v>
      </c>
      <c r="K33" s="4">
        <f t="shared" si="3"/>
        <v>138.6</v>
      </c>
      <c r="L33" s="4">
        <f t="shared" si="4"/>
        <v>154</v>
      </c>
    </row>
    <row r="34" ht="12.5" spans="8:12">
      <c r="H34" s="2" t="s">
        <v>592</v>
      </c>
      <c r="I34" s="5">
        <v>2030</v>
      </c>
      <c r="J34" s="5">
        <f t="shared" si="5"/>
        <v>154</v>
      </c>
      <c r="K34" s="4">
        <f t="shared" si="3"/>
        <v>138.6</v>
      </c>
      <c r="L34" s="4">
        <f t="shared" si="4"/>
        <v>154</v>
      </c>
    </row>
    <row r="35" ht="12.5" spans="8:12">
      <c r="H35" s="2" t="s">
        <v>593</v>
      </c>
      <c r="I35" s="5">
        <v>2030</v>
      </c>
      <c r="J35" s="5">
        <f t="shared" si="5"/>
        <v>154</v>
      </c>
      <c r="K35" s="4">
        <f t="shared" si="3"/>
        <v>138.6</v>
      </c>
      <c r="L35" s="4">
        <f t="shared" si="4"/>
        <v>154</v>
      </c>
    </row>
    <row r="36" ht="12.5" spans="8:12">
      <c r="H36" s="2" t="s">
        <v>594</v>
      </c>
      <c r="I36" s="5">
        <v>2030</v>
      </c>
      <c r="J36" s="5">
        <f t="shared" si="5"/>
        <v>154</v>
      </c>
      <c r="K36" s="4">
        <f t="shared" si="3"/>
        <v>138.6</v>
      </c>
      <c r="L36" s="4">
        <f t="shared" si="4"/>
        <v>154</v>
      </c>
    </row>
    <row r="37" ht="12.5" spans="8:12">
      <c r="H37" s="2" t="s">
        <v>595</v>
      </c>
      <c r="I37" s="5">
        <v>2030</v>
      </c>
      <c r="J37" s="5">
        <f t="shared" si="5"/>
        <v>154</v>
      </c>
      <c r="K37" s="4">
        <f t="shared" si="3"/>
        <v>138.6</v>
      </c>
      <c r="L37" s="4">
        <f t="shared" si="4"/>
        <v>154</v>
      </c>
    </row>
    <row r="38" ht="12.5" spans="8:12">
      <c r="H38" s="2" t="s">
        <v>596</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590</v>
      </c>
      <c r="I60" s="3">
        <v>2040</v>
      </c>
      <c r="J60" s="3">
        <v>144</v>
      </c>
      <c r="K60" s="4">
        <f t="shared" ref="K60:K66" si="6">J60*0.9</f>
        <v>129.6</v>
      </c>
      <c r="L60" s="4">
        <f t="shared" ref="L60:L66" si="7">J60</f>
        <v>144</v>
      </c>
    </row>
    <row r="61" ht="12.5" spans="8:12">
      <c r="H61" s="2" t="s">
        <v>591</v>
      </c>
      <c r="I61" s="5">
        <v>2040</v>
      </c>
      <c r="J61" s="5">
        <f t="shared" ref="J61:J66" si="8">J60</f>
        <v>144</v>
      </c>
      <c r="K61" s="4">
        <f t="shared" si="6"/>
        <v>129.6</v>
      </c>
      <c r="L61" s="4">
        <f t="shared" si="7"/>
        <v>144</v>
      </c>
    </row>
    <row r="62" ht="12.5" spans="8:12">
      <c r="H62" s="2" t="s">
        <v>592</v>
      </c>
      <c r="I62" s="5">
        <v>2040</v>
      </c>
      <c r="J62" s="5">
        <f t="shared" si="8"/>
        <v>144</v>
      </c>
      <c r="K62" s="4">
        <f t="shared" si="6"/>
        <v>129.6</v>
      </c>
      <c r="L62" s="4">
        <f t="shared" si="7"/>
        <v>144</v>
      </c>
    </row>
    <row r="63" ht="12.5" spans="8:12">
      <c r="H63" s="2" t="s">
        <v>593</v>
      </c>
      <c r="I63" s="5">
        <v>2040</v>
      </c>
      <c r="J63" s="5">
        <f t="shared" si="8"/>
        <v>144</v>
      </c>
      <c r="K63" s="4">
        <f t="shared" si="6"/>
        <v>129.6</v>
      </c>
      <c r="L63" s="4">
        <f t="shared" si="7"/>
        <v>144</v>
      </c>
    </row>
    <row r="64" ht="12.5" spans="8:12">
      <c r="H64" s="2" t="s">
        <v>594</v>
      </c>
      <c r="I64" s="5">
        <v>2040</v>
      </c>
      <c r="J64" s="5">
        <f t="shared" si="8"/>
        <v>144</v>
      </c>
      <c r="K64" s="4">
        <f t="shared" si="6"/>
        <v>129.6</v>
      </c>
      <c r="L64" s="4">
        <f t="shared" si="7"/>
        <v>144</v>
      </c>
    </row>
    <row r="65" ht="12.5" spans="8:12">
      <c r="H65" s="2" t="s">
        <v>595</v>
      </c>
      <c r="I65" s="5">
        <v>2040</v>
      </c>
      <c r="J65" s="5">
        <f t="shared" si="8"/>
        <v>144</v>
      </c>
      <c r="K65" s="4">
        <f t="shared" si="6"/>
        <v>129.6</v>
      </c>
      <c r="L65" s="4">
        <f t="shared" si="7"/>
        <v>144</v>
      </c>
    </row>
    <row r="66" ht="12.5" spans="8:12">
      <c r="H66" s="2" t="s">
        <v>596</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590</v>
      </c>
      <c r="I89" s="3">
        <v>2050</v>
      </c>
      <c r="J89" s="3">
        <v>132</v>
      </c>
      <c r="K89" s="4">
        <f t="shared" ref="K89:K95" si="9">J89*0.9</f>
        <v>118.8</v>
      </c>
      <c r="L89" s="4">
        <f t="shared" ref="L89:L95" si="10">J89</f>
        <v>132</v>
      </c>
    </row>
    <row r="90" ht="12.5" spans="8:12">
      <c r="H90" s="2" t="s">
        <v>591</v>
      </c>
      <c r="I90" s="5">
        <v>2050</v>
      </c>
      <c r="J90" s="5">
        <f t="shared" ref="J90:J95" si="11">J89</f>
        <v>132</v>
      </c>
      <c r="K90" s="4">
        <f t="shared" si="9"/>
        <v>118.8</v>
      </c>
      <c r="L90" s="4">
        <f t="shared" si="10"/>
        <v>132</v>
      </c>
    </row>
    <row r="91" ht="12.5" spans="8:12">
      <c r="H91" s="2" t="s">
        <v>592</v>
      </c>
      <c r="I91" s="5">
        <v>2050</v>
      </c>
      <c r="J91" s="5">
        <f t="shared" si="11"/>
        <v>132</v>
      </c>
      <c r="K91" s="4">
        <f t="shared" si="9"/>
        <v>118.8</v>
      </c>
      <c r="L91" s="4">
        <f t="shared" si="10"/>
        <v>132</v>
      </c>
    </row>
    <row r="92" ht="12.5" spans="8:12">
      <c r="H92" s="2" t="s">
        <v>593</v>
      </c>
      <c r="I92" s="5">
        <v>2050</v>
      </c>
      <c r="J92" s="5">
        <f t="shared" si="11"/>
        <v>132</v>
      </c>
      <c r="K92" s="4">
        <f t="shared" si="9"/>
        <v>118.8</v>
      </c>
      <c r="L92" s="4">
        <f t="shared" si="10"/>
        <v>132</v>
      </c>
    </row>
    <row r="93" ht="12.5" spans="8:12">
      <c r="H93" s="2" t="s">
        <v>594</v>
      </c>
      <c r="I93" s="5">
        <v>2050</v>
      </c>
      <c r="J93" s="5">
        <f t="shared" si="11"/>
        <v>132</v>
      </c>
      <c r="K93" s="4">
        <f t="shared" si="9"/>
        <v>118.8</v>
      </c>
      <c r="L93" s="4">
        <f t="shared" si="10"/>
        <v>132</v>
      </c>
    </row>
    <row r="94" ht="12.5" spans="8:12">
      <c r="H94" s="2" t="s">
        <v>595</v>
      </c>
      <c r="I94" s="5">
        <v>2050</v>
      </c>
      <c r="J94" s="5">
        <f t="shared" si="11"/>
        <v>132</v>
      </c>
      <c r="K94" s="4">
        <f t="shared" si="9"/>
        <v>118.8</v>
      </c>
      <c r="L94" s="4">
        <f t="shared" si="10"/>
        <v>132</v>
      </c>
    </row>
    <row r="95" ht="12.5" spans="8:12">
      <c r="H95" s="2" t="s">
        <v>596</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590</v>
      </c>
      <c r="I120" s="1">
        <v>0</v>
      </c>
      <c r="J120" s="1">
        <v>3</v>
      </c>
      <c r="K120" s="1">
        <v>3</v>
      </c>
      <c r="L120" s="1">
        <v>3</v>
      </c>
    </row>
    <row r="121" spans="8:12">
      <c r="H121" s="2" t="s">
        <v>591</v>
      </c>
      <c r="I121" s="1">
        <v>0</v>
      </c>
      <c r="J121" s="1">
        <v>3</v>
      </c>
      <c r="K121" s="1">
        <v>3</v>
      </c>
      <c r="L121" s="1">
        <v>3</v>
      </c>
    </row>
    <row r="122" spans="8:12">
      <c r="H122" s="2" t="s">
        <v>592</v>
      </c>
      <c r="I122" s="1">
        <v>0</v>
      </c>
      <c r="J122" s="1">
        <v>3</v>
      </c>
      <c r="K122" s="1">
        <v>3</v>
      </c>
      <c r="L122" s="1">
        <v>3</v>
      </c>
    </row>
    <row r="123" spans="8:12">
      <c r="H123" s="2" t="s">
        <v>593</v>
      </c>
      <c r="I123" s="1">
        <v>0</v>
      </c>
      <c r="J123" s="1">
        <v>3</v>
      </c>
      <c r="K123" s="1">
        <v>3</v>
      </c>
      <c r="L123" s="1">
        <v>3</v>
      </c>
    </row>
    <row r="124" spans="8:12">
      <c r="H124" s="2" t="s">
        <v>594</v>
      </c>
      <c r="I124" s="1">
        <v>0</v>
      </c>
      <c r="J124" s="1">
        <v>3</v>
      </c>
      <c r="K124" s="1">
        <v>3</v>
      </c>
      <c r="L124" s="1">
        <v>3</v>
      </c>
    </row>
    <row r="125" spans="8:12">
      <c r="H125" s="2" t="s">
        <v>595</v>
      </c>
      <c r="I125" s="1">
        <v>0</v>
      </c>
      <c r="J125" s="1">
        <v>3</v>
      </c>
      <c r="K125" s="1">
        <v>3</v>
      </c>
      <c r="L125" s="1">
        <v>3</v>
      </c>
    </row>
    <row r="126" spans="8:12">
      <c r="H126" s="2" t="s">
        <v>596</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2026-08-11T00:13:42Z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