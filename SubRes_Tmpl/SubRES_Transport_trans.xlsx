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https://mcgill-my.sharepoint.com/personal/xiao_li8_mcgill_ca/Documents/Desktop/manu11_Battery_ISIE/KiNESYS_BattCircularity-main/KiNESYS_BattCircularity-main/SubRes_Tmpl/"/>
    </mc:Choice>
  </mc:AlternateContent>
  <xr:revisionPtr revIDLastSave="10" documentId="11_D95AC2A7AD25CC5238DBFC053B1DEFF04D166714" xr6:coauthVersionLast="47" xr6:coauthVersionMax="47" xr10:uidLastSave="{09867B3A-E4B6-4AE4-82D9-61691F9CF0C4}"/>
  <bookViews>
    <workbookView xWindow="-110" yWindow="-110" windowWidth="19420" windowHeight="12220" activeTab="1" xr2:uid="{00000000-000D-0000-FFFF-FFFF00000000}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54" i="25" l="1"/>
  <c r="E153" i="25"/>
  <c r="E152" i="25"/>
  <c r="E151" i="25"/>
  <c r="E150" i="25"/>
  <c r="E149" i="25"/>
  <c r="E148" i="25"/>
  <c r="E147" i="25"/>
  <c r="E146" i="25"/>
  <c r="E145" i="25"/>
  <c r="E144" i="25"/>
  <c r="E143" i="25"/>
  <c r="E142" i="25"/>
  <c r="E141" i="25"/>
  <c r="E140" i="25"/>
  <c r="E139" i="25"/>
  <c r="E138" i="25"/>
  <c r="E137" i="25"/>
  <c r="E136" i="25"/>
  <c r="E135" i="25"/>
  <c r="Q124" i="25"/>
  <c r="P124" i="25"/>
  <c r="O124" i="25"/>
  <c r="Q123" i="25"/>
  <c r="P123" i="25"/>
  <c r="O123" i="25"/>
  <c r="Q122" i="25"/>
  <c r="P122" i="25"/>
  <c r="O122" i="25"/>
  <c r="Q121" i="25"/>
  <c r="P121" i="25"/>
  <c r="O121" i="25"/>
  <c r="Q120" i="25"/>
  <c r="P120" i="25"/>
  <c r="O120" i="25"/>
  <c r="Q119" i="25"/>
  <c r="P119" i="25"/>
  <c r="O119" i="25"/>
  <c r="Q118" i="25"/>
  <c r="P118" i="25"/>
  <c r="O118" i="25"/>
  <c r="Q117" i="25"/>
  <c r="P117" i="25"/>
  <c r="O117" i="25"/>
  <c r="Q116" i="25"/>
  <c r="P116" i="25"/>
  <c r="O116" i="25"/>
  <c r="Q115" i="25"/>
  <c r="P115" i="25"/>
  <c r="O115" i="25"/>
  <c r="Q114" i="25"/>
  <c r="P114" i="25"/>
  <c r="O114" i="25"/>
  <c r="Q113" i="25"/>
  <c r="P113" i="25"/>
  <c r="O113" i="25"/>
  <c r="Q112" i="25"/>
  <c r="P112" i="25"/>
  <c r="O112" i="25"/>
  <c r="Q111" i="25"/>
  <c r="P111" i="25"/>
  <c r="O111" i="25"/>
  <c r="Q110" i="25"/>
  <c r="P110" i="25"/>
  <c r="O110" i="25"/>
  <c r="Q109" i="25"/>
  <c r="P109" i="25"/>
  <c r="O109" i="25"/>
  <c r="Q108" i="25"/>
  <c r="P108" i="25"/>
  <c r="O108" i="25"/>
  <c r="Q107" i="25"/>
  <c r="P107" i="25"/>
  <c r="O107" i="25"/>
  <c r="Q106" i="25"/>
  <c r="P106" i="25"/>
  <c r="O106" i="25"/>
  <c r="Q105" i="25"/>
  <c r="P105" i="25"/>
  <c r="O105" i="25"/>
  <c r="Q104" i="25"/>
  <c r="P104" i="25"/>
  <c r="O104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L71" i="25"/>
  <c r="K71" i="25"/>
  <c r="J71" i="25"/>
  <c r="I71" i="25"/>
  <c r="H71" i="25"/>
  <c r="G71" i="25"/>
  <c r="F71" i="25"/>
  <c r="AN70" i="25"/>
  <c r="AM70" i="25"/>
  <c r="AL70" i="25"/>
  <c r="AK70" i="25"/>
  <c r="AJ70" i="25"/>
  <c r="AI70" i="25"/>
  <c r="AH70" i="25"/>
  <c r="AG70" i="25"/>
  <c r="AF70" i="25"/>
  <c r="AE70" i="25"/>
  <c r="AD70" i="25"/>
  <c r="AC70" i="25"/>
  <c r="AB70" i="25"/>
  <c r="Z70" i="25"/>
  <c r="Y70" i="25"/>
  <c r="X70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AN69" i="25"/>
  <c r="AM69" i="25"/>
  <c r="AL69" i="25"/>
  <c r="AK69" i="25"/>
  <c r="AJ69" i="25"/>
  <c r="AI69" i="25"/>
  <c r="AH69" i="25"/>
  <c r="AG69" i="25"/>
  <c r="AF69" i="25"/>
  <c r="AE69" i="25"/>
  <c r="AD69" i="25"/>
  <c r="AC69" i="25"/>
  <c r="AB69" i="25"/>
  <c r="AA69" i="25"/>
  <c r="Z69" i="25"/>
  <c r="Y69" i="25"/>
  <c r="X69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AN68" i="25"/>
  <c r="AM68" i="25"/>
  <c r="AL68" i="25"/>
  <c r="AK68" i="25"/>
  <c r="AJ68" i="25"/>
  <c r="AI68" i="25"/>
  <c r="AH68" i="25"/>
  <c r="AG68" i="25"/>
  <c r="AF68" i="25"/>
  <c r="AE68" i="25"/>
  <c r="AD68" i="25"/>
  <c r="AC68" i="25"/>
  <c r="AB68" i="25"/>
  <c r="AA68" i="25"/>
  <c r="Z68" i="25"/>
  <c r="Y68" i="25"/>
  <c r="X68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AN67" i="25"/>
  <c r="AM67" i="25"/>
  <c r="AL67" i="25"/>
  <c r="AK67" i="25"/>
  <c r="AJ67" i="25"/>
  <c r="AI67" i="25"/>
  <c r="AH67" i="25"/>
  <c r="AG67" i="25"/>
  <c r="AF67" i="25"/>
  <c r="AE67" i="25"/>
  <c r="AD67" i="25"/>
  <c r="AC67" i="25"/>
  <c r="AB67" i="25"/>
  <c r="AA67" i="25"/>
  <c r="Z67" i="25"/>
  <c r="Y67" i="25"/>
  <c r="X67" i="25"/>
  <c r="W67" i="25"/>
  <c r="V67" i="25"/>
  <c r="U67" i="25"/>
  <c r="T67" i="25"/>
  <c r="S67" i="25"/>
  <c r="R67" i="25"/>
  <c r="Q67" i="25"/>
  <c r="P67" i="25"/>
  <c r="O67" i="25"/>
  <c r="N67" i="25"/>
  <c r="L67" i="25"/>
  <c r="K67" i="25"/>
  <c r="J67" i="25"/>
  <c r="I67" i="25"/>
  <c r="H67" i="25"/>
  <c r="G67" i="25"/>
  <c r="F67" i="25"/>
  <c r="H56" i="25"/>
  <c r="AZ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AZ37" i="25"/>
  <c r="AX37" i="25"/>
  <c r="AW37" i="25"/>
  <c r="AV37" i="25"/>
  <c r="AU37" i="25"/>
  <c r="AT37" i="25"/>
  <c r="AS37" i="25"/>
  <c r="AR37" i="25"/>
  <c r="AQ37" i="25"/>
  <c r="AP37" i="25"/>
  <c r="AO37" i="25"/>
  <c r="AN37" i="25"/>
  <c r="AM37" i="25"/>
  <c r="AL37" i="25"/>
  <c r="AK37" i="25"/>
  <c r="AJ37" i="25"/>
  <c r="AI37" i="25"/>
  <c r="AH37" i="25"/>
  <c r="AG37" i="25"/>
  <c r="AF37" i="25"/>
  <c r="AE37" i="25"/>
  <c r="AD37" i="25"/>
  <c r="AC37" i="25"/>
  <c r="AB37" i="25"/>
  <c r="AA37" i="25"/>
  <c r="Z37" i="25"/>
  <c r="Y37" i="25"/>
  <c r="X37" i="25"/>
  <c r="W37" i="25"/>
  <c r="V37" i="25"/>
  <c r="U37" i="25"/>
  <c r="T37" i="25"/>
  <c r="S37" i="25"/>
  <c r="R37" i="25"/>
  <c r="Q37" i="25"/>
  <c r="P37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AZ36" i="25"/>
  <c r="AX36" i="25"/>
  <c r="AW36" i="25"/>
  <c r="AV36" i="25"/>
  <c r="AU36" i="25"/>
  <c r="AT36" i="25"/>
  <c r="AS36" i="25"/>
  <c r="AR36" i="25"/>
  <c r="AQ36" i="25"/>
  <c r="AP36" i="25"/>
  <c r="AO36" i="25"/>
  <c r="AN36" i="25"/>
  <c r="AM36" i="25"/>
  <c r="AL36" i="25"/>
  <c r="AK36" i="25"/>
  <c r="AJ36" i="25"/>
  <c r="AI36" i="25"/>
  <c r="AH36" i="25"/>
  <c r="AG36" i="25"/>
  <c r="AF36" i="25"/>
  <c r="AE36" i="25"/>
  <c r="AD36" i="25"/>
  <c r="AC36" i="25"/>
  <c r="AB36" i="25"/>
  <c r="AA36" i="25"/>
  <c r="Z36" i="25"/>
  <c r="Y36" i="25"/>
  <c r="X36" i="25"/>
  <c r="W36" i="25"/>
  <c r="V36" i="25"/>
  <c r="U36" i="25"/>
  <c r="T36" i="25"/>
  <c r="S36" i="25"/>
  <c r="R36" i="25"/>
  <c r="Q36" i="25"/>
  <c r="P36" i="25"/>
  <c r="O36" i="25"/>
  <c r="N36" i="25"/>
  <c r="M36" i="25"/>
  <c r="L36" i="25"/>
  <c r="K36" i="25"/>
  <c r="J36" i="25"/>
  <c r="I36" i="25"/>
  <c r="H36" i="25"/>
  <c r="G36" i="25"/>
  <c r="F36" i="25"/>
  <c r="E36" i="25"/>
  <c r="D36" i="25"/>
  <c r="AZ35" i="25"/>
  <c r="AX35" i="25"/>
  <c r="AW35" i="25"/>
  <c r="AV35" i="25"/>
  <c r="AU35" i="25"/>
  <c r="AT35" i="25"/>
  <c r="AS35" i="25"/>
  <c r="AR35" i="25"/>
  <c r="AQ35" i="25"/>
  <c r="AP35" i="25"/>
  <c r="AO35" i="25"/>
  <c r="AN35" i="25"/>
  <c r="AM35" i="25"/>
  <c r="AL35" i="25"/>
  <c r="AK35" i="25"/>
  <c r="AJ35" i="25"/>
  <c r="AI35" i="25"/>
  <c r="AH35" i="25"/>
  <c r="AG35" i="25"/>
  <c r="AF35" i="25"/>
  <c r="AE35" i="25"/>
  <c r="AD35" i="25"/>
  <c r="AC35" i="25"/>
  <c r="AB35" i="25"/>
  <c r="AA35" i="25"/>
  <c r="Z35" i="25"/>
  <c r="Y35" i="25"/>
  <c r="X35" i="25"/>
  <c r="W35" i="25"/>
  <c r="V35" i="25"/>
  <c r="U35" i="25"/>
  <c r="T35" i="25"/>
  <c r="S35" i="25"/>
  <c r="R35" i="25"/>
  <c r="Q35" i="25"/>
  <c r="P35" i="25"/>
  <c r="O35" i="25"/>
  <c r="N35" i="25"/>
  <c r="M35" i="25"/>
  <c r="L35" i="25"/>
  <c r="K35" i="25"/>
  <c r="J35" i="25"/>
  <c r="I35" i="25"/>
  <c r="H35" i="25"/>
  <c r="G35" i="25"/>
  <c r="F35" i="25"/>
  <c r="E35" i="25"/>
  <c r="D35" i="25"/>
  <c r="AZ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AZ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Q26" i="25"/>
  <c r="P26" i="25"/>
  <c r="O26" i="25"/>
  <c r="N26" i="25"/>
  <c r="M26" i="25"/>
  <c r="L26" i="25"/>
  <c r="K26" i="25"/>
  <c r="J26" i="25"/>
  <c r="I26" i="25"/>
  <c r="H26" i="25"/>
  <c r="G26" i="25"/>
  <c r="F26" i="25"/>
  <c r="E26" i="25"/>
  <c r="D26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E25" i="25"/>
  <c r="D25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E24" i="25"/>
  <c r="D24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xli9</author>
    <author>Xiao Li</author>
  </authors>
  <commentList>
    <comment ref="M71" authorId="0" shapeId="0" xr:uid="{00000000-0006-0000-0100-000001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 shapeId="0" xr:uid="{00000000-0006-0000-0100-000002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 shapeId="0" xr:uid="{00000000-0006-0000-0100-000003000000}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 shapeId="0" xr:uid="{00000000-0006-0000-0100-000004000000}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<sst xmlns="http://schemas.openxmlformats.org/spreadsheetml/2006/main" count="1214" uniqueCount="197">
  <si>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</si>
  <si>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</si>
  <si>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</si>
  <si>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</si>
  <si>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</si>
  <si>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</si>
  <si>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</si>
  <si>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</si>
  <si>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</si>
  <si>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</si>
  <si>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</si>
  <si>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</si>
  <si>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</si>
  <si>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</si>
  <si>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</si>
  <si>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</si>
  <si>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</si>
  <si>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</si>
  <si>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</si>
  <si>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</si>
  <si>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</si>
  <si>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</si>
  <si>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</si>
  <si>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</si>
  <si>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</si>
  <si>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</si>
  <si>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</si>
  <si>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</si>
  <si>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</si>
  <si>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</si>
  <si>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</si>
  <si>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</si>
  <si>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</si>
  <si>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</si>
  <si>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</si>
  <si>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</si>
  <si>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</si>
  <si>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</si>
  <si>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</si>
  <si>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</si>
  <si>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</si>
  <si>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</si>
  <si>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</si>
  <si>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</si>
  <si>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</si>
  <si>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</si>
  <si>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</si>
  <si>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</si>
  <si>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~TFM_INS-TS</t>
  </si>
  <si>
    <t>BASE</t>
  </si>
  <si>
    <t>AF</t>
  </si>
  <si>
    <t>Trd[_]*</t>
  </si>
  <si>
    <t>*1</t>
  </si>
  <si>
    <t>Trd[_]*gsl*</t>
  </si>
  <si>
    <t>IN</t>
  </si>
  <si>
    <t>TRAGSL,TRABGS</t>
  </si>
  <si>
    <t>attribute</t>
  </si>
  <si>
    <t>pset_ci</t>
  </si>
  <si>
    <t>pset_co</t>
  </si>
  <si>
    <t>cset_cn</t>
  </si>
  <si>
    <t>limtype</t>
  </si>
  <si>
    <t>EFF</t>
  </si>
  <si>
    <t>Trd[_]*dsl*</t>
  </si>
  <si>
    <t>TRADST,TRABDS</t>
  </si>
  <si>
    <t>STGOUT_BND</t>
  </si>
  <si>
    <t>TRAELC</t>
  </si>
  <si>
    <t>TRDELC</t>
  </si>
  <si>
    <t>ELC</t>
  </si>
  <si>
    <t>UP</t>
  </si>
  <si>
    <t>Trd[_]*hh2*</t>
  </si>
  <si>
    <t>TRAGH2</t>
  </si>
  <si>
    <t>Trd[_]*cng*</t>
  </si>
  <si>
    <t>TRANGA</t>
  </si>
  <si>
    <t>~TFM_INS</t>
  </si>
  <si>
    <t>Trd[_]*elc*</t>
  </si>
  <si>
    <t>PSET_PN</t>
  </si>
  <si>
    <t>PSET_CI</t>
  </si>
  <si>
    <t>CSET_CN</t>
  </si>
  <si>
    <t>value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</si>
  <si>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</si>
  <si>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</si>
  <si>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</si>
  <si>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</si>
  <si>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</si>
  <si>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</si>
  <si>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</si>
  <si>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</si>
  <si>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</si>
  <si>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</si>
  <si>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</si>
  <si>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</si>
  <si>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</si>
  <si>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</si>
  <si>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</si>
  <si>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</si>
  <si>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</si>
  <si>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</si>
  <si>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</si>
  <si>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</si>
  <si>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</si>
  <si>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</si>
  <si>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</si>
  <si>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</si>
  <si>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</si>
  <si>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</si>
  <si>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</si>
  <si>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</si>
  <si>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</si>
  <si>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</si>
  <si>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</si>
  <si>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</si>
  <si>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</si>
  <si>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</si>
  <si>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</si>
  <si>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</si>
  <si>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</si>
  <si>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</si>
  <si>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</si>
  <si>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</si>
  <si>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</si>
  <si>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</si>
  <si>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</si>
  <si>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</si>
  <si>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</si>
  <si>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</si>
  <si>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</si>
  <si>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m_lithium</t>
  </si>
  <si>
    <t>m_nickel</t>
  </si>
  <si>
    <t>m_cobalt</t>
  </si>
  <si>
    <t>m_manganese</t>
  </si>
  <si>
    <t>m_aluminum</t>
  </si>
  <si>
    <t>m_copper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</si>
  <si>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</si>
  <si>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</si>
  <si>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</si>
  <si>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</si>
  <si>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</si>
  <si>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</si>
  <si>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</si>
  <si>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</si>
  <si>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</si>
  <si>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</si>
  <si>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</si>
  <si>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</si>
  <si>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</si>
  <si>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</si>
  <si>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</si>
  <si>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</si>
  <si>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</si>
  <si>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</si>
  <si>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</si>
  <si>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</si>
  <si>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</si>
  <si>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</si>
  <si>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</si>
  <si>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</si>
  <si>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</si>
  <si>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</si>
  <si>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</si>
  <si>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</si>
  <si>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</si>
  <si>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</si>
  <si>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</si>
  <si>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</si>
  <si>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</si>
  <si>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</si>
  <si>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</si>
  <si>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</si>
  <si>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</si>
  <si>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</si>
  <si>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</si>
  <si>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</si>
  <si>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</si>
  <si>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</si>
  <si>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</si>
  <si>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</si>
  <si>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</si>
  <si>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</si>
  <si>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</si>
  <si>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</si>
  <si>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</si>
  <si>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</si>
  <si>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</si>
  <si>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</si>
  <si>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</si>
  <si>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</si>
  <si>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</si>
  <si>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</si>
  <si>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</si>
  <si>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</si>
  <si>
    <t>MINBatMaterials_LI</t>
  </si>
  <si>
    <t>MINBatMaterials_NI</t>
  </si>
  <si>
    <t>MINBatMaterials_COB</t>
  </si>
  <si>
    <t>MINBatMaterials_MN</t>
  </si>
  <si>
    <t>MINBatMaterials_AL</t>
  </si>
  <si>
    <t>MINBatMaterials_COP</t>
  </si>
  <si>
    <t>MINBatMaterials_GR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</si>
</sst>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2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b/>
      <sz val="9"/>
      <name val="Times New Roman"/>
      <charset val="134"/>
    </font>
    <font>
      <sz val="9"/>
      <name val="Times New Roman"/>
      <charset val="134"/>
    </font>
    <font>
      <sz val="9"/>
      <name val="Tahoma"/>
      <charset val="1"/>
    </font>
    <font>
      <b/>
      <sz val="9"/>
      <name val="Tahoma"/>
      <charset val="1"/>
    </font>
    <font>
      <sz val="10"/>
      <name val="Arial"/>
      <charset val="134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89013336588644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11" fillId="0" borderId="0"/>
    <xf numFmtId="0" fontId="11" fillId="0" borderId="0"/>
    <xf numFmtId="0" fontId="11" fillId="0" borderId="0"/>
  </cellStyleXfs>
  <cellXfs count="35">
    <xf numFmtId="0" fontId="0" fillId="0" borderId="0" xfId="0"/>
    <xf numFmtId="0" fontId="11" fillId="2" borderId="0" xfId="1" applyFill="1"/>
    <xf numFmtId="0" fontId="0" fillId="2" borderId="0" xfId="0" applyFill="1"/>
    <xf numFmtId="0" fontId="0" fillId="3" borderId="0" xfId="0" applyFill="1"/>
    <xf numFmtId="0" fontId="11" fillId="0" borderId="0" xfId="1"/>
    <xf numFmtId="0" fontId="1" fillId="0" borderId="0" xfId="0" applyFont="1"/>
    <xf numFmtId="0" fontId="2" fillId="0" borderId="0" xfId="0" applyFont="1"/>
    <xf numFmtId="164" fontId="0" fillId="0" borderId="0" xfId="0" applyNumberFormat="1"/>
    <xf numFmtId="3" fontId="0" fillId="0" borderId="0" xfId="0" applyNumberFormat="1"/>
    <xf numFmtId="0" fontId="0" fillId="4" borderId="0" xfId="0" applyFill="1"/>
    <xf numFmtId="0" fontId="11" fillId="4" borderId="0" xfId="1" applyFill="1"/>
    <xf numFmtId="0" fontId="3" fillId="4" borderId="0" xfId="0" applyFont="1" applyFill="1"/>
    <xf numFmtId="0" fontId="3" fillId="3" borderId="0" xfId="0" applyFont="1" applyFill="1"/>
    <xf numFmtId="0" fontId="11" fillId="3" borderId="0" xfId="1" applyFill="1"/>
    <xf numFmtId="0" fontId="4" fillId="3" borderId="0" xfId="0" applyFont="1" applyFill="1"/>
    <xf numFmtId="0" fontId="5" fillId="4" borderId="0" xfId="1" applyFont="1" applyFill="1"/>
    <xf numFmtId="0" fontId="5" fillId="2" borderId="0" xfId="0" applyFont="1" applyFill="1"/>
    <xf numFmtId="0" fontId="0" fillId="5" borderId="0" xfId="0" applyFill="1"/>
    <xf numFmtId="0" fontId="11" fillId="6" borderId="1" xfId="1" applyFill="1" applyBorder="1"/>
    <xf numFmtId="165" fontId="11" fillId="6" borderId="1" xfId="1" applyNumberFormat="1" applyFill="1" applyBorder="1"/>
    <xf numFmtId="0" fontId="11" fillId="6" borderId="2" xfId="1" applyFill="1" applyBorder="1"/>
    <xf numFmtId="0" fontId="6" fillId="2" borderId="0" xfId="0" applyFont="1" applyFill="1"/>
    <xf numFmtId="0" fontId="4" fillId="2" borderId="0" xfId="0" applyFont="1" applyFill="1"/>
    <xf numFmtId="0" fontId="11" fillId="2" borderId="1" xfId="1" applyFill="1" applyBorder="1"/>
    <xf numFmtId="0" fontId="0" fillId="2" borderId="1" xfId="0" applyFill="1" applyBorder="1"/>
    <xf numFmtId="0" fontId="0" fillId="3" borderId="1" xfId="0" applyFill="1" applyBorder="1"/>
    <xf numFmtId="0" fontId="11" fillId="0" borderId="1" xfId="1" applyBorder="1"/>
    <xf numFmtId="0" fontId="3" fillId="0" borderId="0" xfId="0" applyFont="1"/>
    <xf numFmtId="0" fontId="5" fillId="0" borderId="0" xfId="1" applyFont="1"/>
    <xf numFmtId="0" fontId="0" fillId="0" borderId="1" xfId="0" applyBorder="1"/>
    <xf numFmtId="0" fontId="0" fillId="0" borderId="0" xfId="0" applyFill="1" applyBorder="1"/>
    <xf numFmtId="0" fontId="11" fillId="0" borderId="0" xfId="1" applyFill="1" applyBorder="1"/>
    <xf numFmtId="0" fontId="1" fillId="0" borderId="0" xfId="2" applyFont="1"/>
    <xf numFmtId="0" fontId="0" fillId="0" borderId="0" xfId="0" quotePrefix="1"/>
    <xf numFmtId="0" fontId="11" fillId="7" borderId="0" xfId="1" applyFill="1"/>
  </cellXfs>
  <cellStyles count="4">
    <cellStyle name="Normal" xfId="0" builtinId="0"/>
    <cellStyle name="Normal 10" xfId="1" xr:uid="{00000000-0005-0000-0000-000031000000}"/>
    <cellStyle name="Normal 3" xfId="2" xr:uid="{00000000-0005-0000-0000-000032000000}"/>
    <cellStyle name="Normal 3 2" xfId="3" xr:uid="{00000000-0005-0000-0000-00003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SAGE/saic_technology/ResCOM/New%20Microsoft%20Excel%20Workshee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6"/>
  <dimension ref="A1:AA281"/>
  <sheetViews>
    <sheetView topLeftCell="A2" workbookViewId="0">
      <selection activeCell="A5" sqref="A5:A39"/>
    </sheetView>
  </sheetViews>
  <sheetFormatPr defaultColWidth="9.08984375" defaultRowHeight="11.5"/>
  <cols>
    <col min="1" max="1" width="15" style="32" customWidth="1"/>
    <col min="2" max="2" width="8.81640625" style="32" customWidth="1"/>
    <col min="3" max="3" width="4.7265625" style="32" customWidth="1"/>
    <col min="4" max="4" width="8.81640625" style="32" customWidth="1"/>
    <col min="5" max="5" width="4.36328125" style="32" customWidth="1"/>
    <col min="6" max="6" width="4.26953125" style="32" customWidth="1"/>
    <col min="7" max="7" width="4.36328125" style="32" customWidth="1"/>
    <col min="8" max="8" width="4.6328125" style="32" customWidth="1"/>
    <col min="9" max="9" width="4" style="32" customWidth="1"/>
    <col min="10" max="10" width="4.36328125" style="32" customWidth="1"/>
    <col min="11" max="11" width="4.6328125" style="32" customWidth="1"/>
    <col min="12" max="12" width="4.36328125" style="32" customWidth="1"/>
    <col min="13" max="13" width="4" style="32" customWidth="1"/>
    <col min="14" max="14" width="4.26953125" style="32" customWidth="1"/>
    <col min="15" max="16" width="4.36328125" style="32" customWidth="1"/>
    <col min="17" max="18" width="4.6328125" style="32" customWidth="1"/>
    <col min="19" max="19" width="4.36328125" style="32" customWidth="1"/>
    <col min="20" max="20" width="5" style="32" customWidth="1"/>
    <col min="21" max="21" width="11.7265625" style="32" customWidth="1"/>
    <col min="22" max="22" width="10.7265625" style="32" customWidth="1"/>
    <col min="23" max="23" width="13.08984375" style="32" customWidth="1"/>
    <col min="24" max="259" width="11.36328125" style="32" customWidth="1"/>
    <col min="260" max="16384" width="9.08984375" style="32"/>
  </cols>
  <sheetData>
    <row r="1" spans="1:27" ht="12.5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spans="1:27" ht="12.5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spans="1:27" ht="12.5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spans="1:27" ht="12.5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spans="1:27" ht="12.5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spans="1:27" ht="12.5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spans="1:27" ht="12.5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spans="1:27" ht="12.5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spans="1:27" ht="12.5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spans="1:27" ht="12.5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spans="1:27" ht="12.5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spans="1:27" ht="12.5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spans="1:27" ht="12.5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spans="1:27" ht="12.5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spans="1:27" ht="12.5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spans="1:27" ht="12.5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spans="1:27" ht="12.5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spans="1:27" ht="12.5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spans="1:27" ht="12.5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spans="1:27" ht="12.5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spans="1:27" ht="12.5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spans="1:27" ht="12.5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spans="1:27" ht="12.5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spans="1:27" ht="12.5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spans="1:27" ht="12.5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spans="1:27" ht="12.5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spans="1:27" ht="12.5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spans="1:27" ht="12.5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spans="1:27" ht="12.5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spans="1:27" ht="12.5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spans="1:27" ht="12.5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spans="1:27" ht="12.5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spans="1:27" ht="12.5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spans="1:27" ht="12.5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spans="1:27" ht="12.5">
      <c r="A35" s="32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spans="1:27" ht="12.5">
      <c r="A36" s="32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spans="1:27" ht="12.5">
      <c r="A37" s="32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spans="1:27" ht="12.5">
      <c r="A38" s="32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2.5">
      <c r="A39" s="32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1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1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1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1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1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1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1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1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B160"/>
  <sheetViews>
    <sheetView tabSelected="1" topLeftCell="A27" zoomScale="58" zoomScaleNormal="58" workbookViewId="0">
      <selection activeCell="D62" sqref="D62"/>
    </sheetView>
  </sheetViews>
  <sheetFormatPr defaultColWidth="9" defaultRowHeight="12.5"/>
  <cols>
    <col min="2" max="2" width="21.36328125" customWidth="1"/>
    <col min="3" max="3" width="12.7265625" customWidth="1"/>
    <col min="4" max="5" width="22.08984375" customWidth="1"/>
    <col min="6" max="6" width="12" customWidth="1"/>
    <col min="7" max="7" width="13" customWidth="1"/>
    <col min="8" max="9" width="7.08984375" customWidth="1"/>
    <col min="10" max="10" width="10.6328125" customWidth="1"/>
    <col min="11" max="11" width="11.26953125" customWidth="1"/>
    <col min="12" max="12" width="15.54296875" customWidth="1"/>
    <col min="13" max="13" width="7.08984375" customWidth="1"/>
    <col min="14" max="14" width="17.90625" customWidth="1"/>
    <col min="15" max="16" width="12.81640625" customWidth="1"/>
    <col min="17" max="18" width="7.08984375" customWidth="1"/>
    <col min="19" max="19" width="12.7265625" customWidth="1"/>
    <col min="20" max="20" width="8.6328125" customWidth="1"/>
    <col min="21" max="21" width="7.81640625" customWidth="1"/>
    <col min="22" max="24" width="7.08984375" customWidth="1"/>
    <col min="25" max="25" width="9.54296875" customWidth="1"/>
    <col min="26" max="26" width="17.90625" customWidth="1"/>
    <col min="27" max="27" width="9.90625" customWidth="1"/>
    <col min="28" max="32" width="7.08984375" customWidth="1"/>
    <col min="33" max="33" width="10.81640625" customWidth="1"/>
    <col min="34" max="34" width="11.1796875" customWidth="1"/>
    <col min="35" max="37" width="6" customWidth="1"/>
    <col min="38" max="39" width="15.54296875" customWidth="1"/>
    <col min="40" max="40" width="22.6328125" customWidth="1"/>
    <col min="41" max="41" width="13.6328125" customWidth="1"/>
    <col min="42" max="43" width="6" customWidth="1"/>
    <col min="44" max="44" width="8.453125" customWidth="1"/>
    <col min="45" max="45" width="10.36328125" customWidth="1"/>
    <col min="46" max="49" width="6" customWidth="1"/>
    <col min="50" max="50" width="12.26953125" customWidth="1"/>
    <col min="51" max="51" width="13.6328125" customWidth="1"/>
    <col min="103" max="103" width="20.453125" bestFit="1" customWidth="1"/>
    <col min="104" max="104" width="14.54296875" bestFit="1" customWidth="1"/>
  </cols>
  <sheetData>
    <row r="2" spans="2:23">
      <c r="B2" s="5" t="s">
        <v>39</v>
      </c>
      <c r="C2" s="5"/>
      <c r="D2" s="5"/>
      <c r="E2" s="5"/>
      <c r="K2" t="s">
        <v>40</v>
      </c>
    </row>
    <row r="3" spans="2:23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R3" t="s">
        <v>48</v>
      </c>
    </row>
    <row r="4" spans="2:23">
      <c r="B4" s="5" t="s">
        <v>49</v>
      </c>
      <c r="C4" s="5" t="s">
        <v>50</v>
      </c>
      <c r="D4" s="5" t="s">
        <v>51</v>
      </c>
      <c r="E4" s="5" t="s">
        <v>52</v>
      </c>
      <c r="K4" t="s">
        <v>53</v>
      </c>
      <c r="L4" t="s">
        <v>54</v>
      </c>
      <c r="M4" t="s">
        <v>55</v>
      </c>
      <c r="R4" t="s">
        <v>56</v>
      </c>
      <c r="S4" t="s">
        <v>57</v>
      </c>
      <c r="T4" t="s">
        <v>58</v>
      </c>
      <c r="U4" t="s">
        <v>59</v>
      </c>
      <c r="V4">
        <v>0</v>
      </c>
      <c r="W4" t="s">
        <v>60</v>
      </c>
    </row>
    <row r="5" spans="2:23">
      <c r="B5" s="5" t="s">
        <v>49</v>
      </c>
      <c r="C5" s="5" t="s">
        <v>61</v>
      </c>
      <c r="D5" s="5" t="s">
        <v>51</v>
      </c>
      <c r="E5" s="5" t="s">
        <v>52</v>
      </c>
      <c r="K5" t="s">
        <v>62</v>
      </c>
      <c r="L5" t="s">
        <v>54</v>
      </c>
      <c r="M5" t="s">
        <v>63</v>
      </c>
      <c r="R5" t="s">
        <v>64</v>
      </c>
      <c r="S5" t="s">
        <v>65</v>
      </c>
      <c r="T5" t="s">
        <v>66</v>
      </c>
      <c r="U5" t="s">
        <v>67</v>
      </c>
      <c r="V5">
        <v>2</v>
      </c>
      <c r="W5" t="s">
        <v>68</v>
      </c>
    </row>
    <row r="6" spans="2:23">
      <c r="K6" t="s">
        <v>69</v>
      </c>
      <c r="L6" t="s">
        <v>54</v>
      </c>
      <c r="M6" t="s">
        <v>70</v>
      </c>
    </row>
    <row r="7" spans="2:23">
      <c r="K7" t="s">
        <v>71</v>
      </c>
      <c r="L7" t="s">
        <v>54</v>
      </c>
      <c r="M7" t="s">
        <v>72</v>
      </c>
    </row>
    <row r="8" spans="2:23">
      <c r="B8" t="s">
        <v>73</v>
      </c>
      <c r="K8" t="s">
        <v>74</v>
      </c>
      <c r="L8" t="s">
        <v>54</v>
      </c>
      <c r="M8" t="s">
        <v>66</v>
      </c>
    </row>
    <row r="9" spans="2:23">
      <c r="B9" t="s">
        <v>56</v>
      </c>
      <c r="C9" t="s">
        <v>75</v>
      </c>
      <c r="D9" t="s">
        <v>76</v>
      </c>
      <c r="E9" t="s">
        <v>77</v>
      </c>
      <c r="F9" t="s">
        <v>78</v>
      </c>
      <c r="G9" t="s">
        <v>60</v>
      </c>
      <c r="H9" t="s">
        <v>79</v>
      </c>
      <c r="K9" t="s">
        <v>80</v>
      </c>
      <c r="L9" t="s">
        <v>54</v>
      </c>
      <c r="M9" t="s">
        <v>72</v>
      </c>
    </row>
    <row r="10" spans="2:23">
      <c r="B10" t="s">
        <v>81</v>
      </c>
      <c r="C10" t="s">
        <v>82</v>
      </c>
      <c r="E10" t="s">
        <v>66</v>
      </c>
      <c r="F10">
        <v>0.25</v>
      </c>
      <c r="G10" t="s">
        <v>83</v>
      </c>
      <c r="K10" t="s">
        <v>82</v>
      </c>
      <c r="L10" t="s">
        <v>54</v>
      </c>
      <c r="M10" t="s">
        <v>66</v>
      </c>
    </row>
    <row r="11" spans="2:23">
      <c r="B11" t="s">
        <v>81</v>
      </c>
      <c r="C11" t="s">
        <v>82</v>
      </c>
      <c r="E11" t="s">
        <v>66</v>
      </c>
      <c r="F11">
        <v>3</v>
      </c>
      <c r="G11" t="s">
        <v>83</v>
      </c>
      <c r="H11">
        <v>0</v>
      </c>
    </row>
    <row r="12" spans="2:23">
      <c r="B12" t="s">
        <v>84</v>
      </c>
      <c r="D12" t="s">
        <v>85</v>
      </c>
      <c r="E12" t="s">
        <v>86</v>
      </c>
      <c r="F12">
        <v>0.93</v>
      </c>
      <c r="K12" t="s">
        <v>87</v>
      </c>
    </row>
    <row r="13" spans="2:23">
      <c r="B13" t="s">
        <v>88</v>
      </c>
      <c r="C13" t="s">
        <v>51</v>
      </c>
      <c r="F13">
        <v>25</v>
      </c>
      <c r="K13" t="s">
        <v>56</v>
      </c>
      <c r="L13" t="s">
        <v>78</v>
      </c>
      <c r="M13" t="s">
        <v>89</v>
      </c>
      <c r="N13" t="s">
        <v>90</v>
      </c>
    </row>
    <row r="14" spans="2:23">
      <c r="B14" t="s">
        <v>91</v>
      </c>
      <c r="C14" t="s">
        <v>51</v>
      </c>
      <c r="E14" s="33" t="s">
        <v>92</v>
      </c>
      <c r="F14">
        <v>2020</v>
      </c>
      <c r="K14" t="s">
        <v>93</v>
      </c>
      <c r="L14" t="s">
        <v>94</v>
      </c>
      <c r="M14" t="s">
        <v>95</v>
      </c>
      <c r="N14" t="s">
        <v>51</v>
      </c>
    </row>
    <row r="15" spans="2:23">
      <c r="K15" t="s">
        <v>93</v>
      </c>
      <c r="L15" t="s">
        <v>96</v>
      </c>
      <c r="M15" t="s">
        <v>95</v>
      </c>
      <c r="N15" t="s">
        <v>74</v>
      </c>
    </row>
    <row r="16" spans="2:23">
      <c r="B16" t="s">
        <v>97</v>
      </c>
    </row>
    <row r="17" spans="2:50">
      <c r="B17" t="s">
        <v>57</v>
      </c>
      <c r="C17">
        <v>2020</v>
      </c>
      <c r="D17">
        <v>0</v>
      </c>
      <c r="E17" t="s">
        <v>98</v>
      </c>
      <c r="F17" t="s">
        <v>47</v>
      </c>
      <c r="G17" t="s">
        <v>99</v>
      </c>
    </row>
    <row r="18" spans="2:50">
      <c r="B18" s="33" t="s">
        <v>92</v>
      </c>
      <c r="C18">
        <v>0.2</v>
      </c>
      <c r="D18">
        <v>3</v>
      </c>
      <c r="E18" s="33" t="s">
        <v>100</v>
      </c>
      <c r="F18" t="s">
        <v>51</v>
      </c>
      <c r="G18" t="s">
        <v>101</v>
      </c>
    </row>
    <row r="21" spans="2:50">
      <c r="C21" t="s">
        <v>73</v>
      </c>
    </row>
    <row r="22" spans="2:50">
      <c r="C22" t="s">
        <v>56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2:50">
      <c r="C23" t="s">
        <v>50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102</v>
      </c>
    </row>
    <row r="24" spans="2:50">
      <c r="C24" t="s">
        <v>50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103</v>
      </c>
    </row>
    <row r="25" spans="2:50">
      <c r="C25" t="s">
        <v>50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104</v>
      </c>
    </row>
    <row r="26" spans="2:50">
      <c r="C26" t="s">
        <v>50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12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12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105</v>
      </c>
    </row>
    <row r="27" spans="2:50">
      <c r="C27" t="s">
        <v>50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106</v>
      </c>
    </row>
    <row r="28" spans="2:50">
      <c r="C28" t="s">
        <v>50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107</v>
      </c>
    </row>
    <row r="31" spans="2:50">
      <c r="C31" t="s">
        <v>108</v>
      </c>
    </row>
    <row r="32" spans="2:50">
      <c r="C32" t="s">
        <v>56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2:53">
      <c r="C33" t="s">
        <v>61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109</v>
      </c>
    </row>
    <row r="34" spans="2:53">
      <c r="C34" t="s">
        <v>61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110</v>
      </c>
    </row>
    <row r="35" spans="2:53">
      <c r="C35" t="s">
        <v>61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111</v>
      </c>
    </row>
    <row r="36" spans="2:53">
      <c r="C36" t="s">
        <v>61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*0.466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112</v>
      </c>
    </row>
    <row r="37" spans="2:53">
      <c r="C37" t="s">
        <v>61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113</v>
      </c>
    </row>
    <row r="38" spans="2:53">
      <c r="C38" t="s">
        <v>61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114</v>
      </c>
    </row>
    <row r="45" spans="2:53">
      <c r="E45" s="8"/>
    </row>
    <row r="48" spans="2:53">
      <c r="B48" t="s">
        <v>108</v>
      </c>
    </row>
    <row r="49" spans="2:53">
      <c r="B49" t="s">
        <v>56</v>
      </c>
      <c r="C49" t="s">
        <v>78</v>
      </c>
      <c r="D49" t="s">
        <v>57</v>
      </c>
      <c r="E49" t="s">
        <v>58</v>
      </c>
      <c r="I49" t="s">
        <v>115</v>
      </c>
    </row>
    <row r="50" spans="2:53">
      <c r="B50" t="s">
        <v>61</v>
      </c>
      <c r="C50" t="s">
        <v>116</v>
      </c>
      <c r="D50" t="s">
        <v>66</v>
      </c>
      <c r="E50" t="s">
        <v>117</v>
      </c>
    </row>
    <row r="53" spans="2:53">
      <c r="B53" t="s">
        <v>73</v>
      </c>
    </row>
    <row r="54" spans="2:53">
      <c r="B54" t="s">
        <v>56</v>
      </c>
      <c r="C54" t="s">
        <v>78</v>
      </c>
      <c r="D54" t="s">
        <v>118</v>
      </c>
      <c r="E54" t="s">
        <v>98</v>
      </c>
      <c r="F54" t="s">
        <v>59</v>
      </c>
      <c r="G54" t="s">
        <v>119</v>
      </c>
      <c r="H54" t="s">
        <v>58</v>
      </c>
    </row>
    <row r="55" spans="2:53">
      <c r="B55" t="s">
        <v>93</v>
      </c>
      <c r="C55">
        <v>10</v>
      </c>
      <c r="D55" t="s">
        <v>120</v>
      </c>
      <c r="E55" s="33" t="s">
        <v>121</v>
      </c>
    </row>
    <row r="56" spans="2:53">
      <c r="B56" t="s">
        <v>122</v>
      </c>
      <c r="C56">
        <v>1</v>
      </c>
      <c r="F56" t="s">
        <v>123</v>
      </c>
      <c r="G56" t="s">
        <v>65</v>
      </c>
      <c r="H56" t="str">
        <f>F56</f>
        <v>AuxStoIN</v>
      </c>
    </row>
    <row r="62" spans="2:53">
      <c r="H62" s="4"/>
    </row>
    <row r="63" spans="2:53">
      <c r="H63" s="4"/>
      <c r="BA63" s="2"/>
    </row>
    <row r="65" spans="1:106" s="1" customFormat="1">
      <c r="A65" s="2"/>
      <c r="B65" s="9" t="s">
        <v>73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73</v>
      </c>
      <c r="CY65" s="4"/>
      <c r="CZ65" s="4"/>
      <c r="DA65" s="4"/>
      <c r="DB65" s="4"/>
    </row>
    <row r="66" spans="1:106" s="2" customFormat="1">
      <c r="B66" s="9" t="s">
        <v>56</v>
      </c>
      <c r="C66" s="9" t="s">
        <v>60</v>
      </c>
      <c r="D66" s="9" t="s">
        <v>45</v>
      </c>
      <c r="E66" s="9" t="s">
        <v>59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124</v>
      </c>
      <c r="CQ66" s="24"/>
      <c r="CR66" s="24"/>
      <c r="CT66" s="24"/>
      <c r="CU66" s="24"/>
      <c r="CW66" t="s">
        <v>56</v>
      </c>
      <c r="CX66" t="s">
        <v>60</v>
      </c>
      <c r="CY66" t="s">
        <v>45</v>
      </c>
      <c r="CZ66" t="s">
        <v>59</v>
      </c>
      <c r="DA66" s="29" t="s">
        <v>79</v>
      </c>
      <c r="DB66" s="29" t="s">
        <v>44</v>
      </c>
    </row>
    <row r="67" spans="1:106" s="2" customFormat="1" ht="14.5">
      <c r="B67" s="11" t="s">
        <v>125</v>
      </c>
      <c r="C67" s="9" t="s">
        <v>68</v>
      </c>
      <c r="D67" s="34" t="s">
        <v>190</v>
      </c>
      <c r="E67" s="10" t="s">
        <v>126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125</v>
      </c>
      <c r="CX67" t="s">
        <v>68</v>
      </c>
      <c r="CY67" s="4" t="s">
        <v>190</v>
      </c>
      <c r="CZ67" s="4" t="s">
        <v>126</v>
      </c>
      <c r="DA67" s="29">
        <v>0</v>
      </c>
      <c r="DB67" s="29">
        <v>5</v>
      </c>
    </row>
    <row r="68" spans="1:106" s="2" customFormat="1" ht="14.5">
      <c r="B68" s="11" t="s">
        <v>125</v>
      </c>
      <c r="C68" s="9" t="s">
        <v>68</v>
      </c>
      <c r="D68" s="34" t="s">
        <v>191</v>
      </c>
      <c r="E68" s="10" t="s">
        <v>127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125</v>
      </c>
      <c r="CX68" t="s">
        <v>68</v>
      </c>
      <c r="CY68" s="4" t="s">
        <v>191</v>
      </c>
      <c r="CZ68" s="4" t="s">
        <v>127</v>
      </c>
      <c r="DA68" s="29">
        <v>0</v>
      </c>
      <c r="DB68" s="29">
        <v>5</v>
      </c>
    </row>
    <row r="69" spans="1:106" s="3" customFormat="1" ht="14.5">
      <c r="B69" s="12" t="s">
        <v>125</v>
      </c>
      <c r="C69" s="3" t="s">
        <v>68</v>
      </c>
      <c r="D69" s="34" t="s">
        <v>192</v>
      </c>
      <c r="E69" s="13" t="s">
        <v>128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151.69999999999999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125</v>
      </c>
      <c r="CX69" s="3" t="s">
        <v>68</v>
      </c>
      <c r="CY69" s="13" t="s">
        <v>192</v>
      </c>
      <c r="CZ69" s="13" t="s">
        <v>128</v>
      </c>
      <c r="DA69" s="25">
        <v>0</v>
      </c>
      <c r="DB69" s="25">
        <v>5</v>
      </c>
    </row>
    <row r="70" spans="1:106" s="2" customFormat="1" ht="14.5">
      <c r="B70" s="11" t="s">
        <v>125</v>
      </c>
      <c r="C70" s="9" t="s">
        <v>68</v>
      </c>
      <c r="D70" s="34" t="s">
        <v>193</v>
      </c>
      <c r="E70" s="15" t="s">
        <v>129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125</v>
      </c>
      <c r="CX70" t="s">
        <v>68</v>
      </c>
      <c r="CY70" s="4" t="s">
        <v>193</v>
      </c>
      <c r="CZ70" s="28" t="s">
        <v>129</v>
      </c>
      <c r="DA70" s="29">
        <v>0</v>
      </c>
      <c r="DB70" s="29">
        <v>5</v>
      </c>
    </row>
    <row r="71" spans="1:106" s="2" customFormat="1" ht="14.5">
      <c r="B71" s="11" t="s">
        <v>125</v>
      </c>
      <c r="C71" s="9" t="s">
        <v>68</v>
      </c>
      <c r="D71" s="34" t="s">
        <v>194</v>
      </c>
      <c r="E71" s="10" t="s">
        <v>130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125</v>
      </c>
      <c r="CX71" t="s">
        <v>68</v>
      </c>
      <c r="CY71" s="4" t="s">
        <v>194</v>
      </c>
      <c r="CZ71" s="4" t="s">
        <v>130</v>
      </c>
      <c r="DA71" s="29">
        <v>0</v>
      </c>
      <c r="DB71" s="29">
        <v>5</v>
      </c>
    </row>
    <row r="72" spans="1:106" s="2" customFormat="1" ht="14.5">
      <c r="B72" s="11" t="s">
        <v>125</v>
      </c>
      <c r="C72" s="9" t="s">
        <v>68</v>
      </c>
      <c r="D72" s="34" t="s">
        <v>195</v>
      </c>
      <c r="E72" s="10" t="s">
        <v>131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125</v>
      </c>
      <c r="CX72" t="s">
        <v>68</v>
      </c>
      <c r="CY72" s="4" t="s">
        <v>195</v>
      </c>
      <c r="CZ72" s="4" t="s">
        <v>131</v>
      </c>
      <c r="DA72" s="29">
        <v>0</v>
      </c>
      <c r="DB72" s="29">
        <v>5</v>
      </c>
    </row>
    <row r="73" spans="1:106" s="1" customFormat="1" ht="14.5">
      <c r="A73" s="2"/>
      <c r="B73" s="11" t="s">
        <v>125</v>
      </c>
      <c r="C73" s="9" t="s">
        <v>68</v>
      </c>
      <c r="D73" s="34" t="s">
        <v>196</v>
      </c>
      <c r="E73" s="10" t="s">
        <v>132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125</v>
      </c>
      <c r="CX73" t="s">
        <v>68</v>
      </c>
      <c r="CY73" s="4" t="s">
        <v>196</v>
      </c>
      <c r="CZ73" s="4" t="s">
        <v>132</v>
      </c>
      <c r="DA73" s="29">
        <v>0</v>
      </c>
      <c r="DB73" s="29">
        <v>5</v>
      </c>
    </row>
    <row r="74" spans="1:106" s="4" customFormat="1"/>
    <row r="75" spans="1:106" s="4" customFormat="1">
      <c r="E75" s="4" t="s">
        <v>133</v>
      </c>
    </row>
    <row r="76" spans="1:106" s="4" customFormat="1"/>
    <row r="77" spans="1:106" s="4" customFormat="1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pans="1:106" s="4" customFormat="1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pans="1:106" s="4" customFormat="1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pans="1:106" s="4" customFormat="1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pans="2:37" s="4" customFormat="1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pans="2:37" s="4" customFormat="1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pans="2:37" s="4" customFormat="1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pans="2:37" s="4" customFormat="1"/>
    <row r="88" spans="2:37">
      <c r="B88" t="s">
        <v>134</v>
      </c>
    </row>
    <row r="91" spans="2:37">
      <c r="H91" s="4"/>
      <c r="I91" s="4"/>
      <c r="J91" s="4"/>
      <c r="K91" s="4"/>
      <c r="L91" s="4"/>
    </row>
    <row r="92" spans="2:37">
      <c r="D92" s="4"/>
      <c r="H92" s="4"/>
      <c r="I92" s="4"/>
      <c r="J92" s="4"/>
      <c r="K92" s="4"/>
      <c r="L92" s="4"/>
    </row>
    <row r="93" spans="2:37">
      <c r="C93" s="4"/>
      <c r="D93" s="4"/>
      <c r="F93" s="4"/>
      <c r="H93" s="4"/>
      <c r="I93" s="4"/>
      <c r="J93" s="4"/>
      <c r="K93" s="4"/>
      <c r="L93" s="4"/>
    </row>
    <row r="94" spans="2:37">
      <c r="C94" s="4"/>
      <c r="D94" s="4"/>
      <c r="H94" s="4"/>
      <c r="I94" s="4"/>
      <c r="J94" s="4"/>
      <c r="K94" s="4"/>
      <c r="L94" s="4"/>
    </row>
    <row r="95" spans="2:37">
      <c r="C95" s="4"/>
      <c r="D95" s="4"/>
      <c r="F95" s="4"/>
      <c r="H95" s="4"/>
      <c r="I95" s="4"/>
      <c r="J95" s="4"/>
      <c r="K95" s="4"/>
      <c r="L95" s="4"/>
    </row>
    <row r="96" spans="2:37">
      <c r="C96" s="4"/>
      <c r="D96" s="4"/>
      <c r="H96" s="4"/>
      <c r="I96" s="4"/>
      <c r="J96" s="4"/>
      <c r="K96" s="4"/>
      <c r="L96" s="4"/>
    </row>
    <row r="97" spans="3:29">
      <c r="C97" s="4"/>
      <c r="D97" s="4"/>
      <c r="F97" s="4"/>
      <c r="H97" s="4"/>
      <c r="I97" s="4"/>
      <c r="J97" s="4"/>
      <c r="K97" s="4"/>
      <c r="L97" s="4"/>
    </row>
    <row r="98" spans="3:29">
      <c r="C98" s="4"/>
      <c r="D98" s="4"/>
      <c r="H98" s="4"/>
      <c r="I98" s="4"/>
      <c r="J98" s="4"/>
      <c r="K98" s="4"/>
      <c r="L98" s="4"/>
    </row>
    <row r="99" spans="3:29">
      <c r="C99" s="4"/>
      <c r="F99" s="4"/>
    </row>
    <row r="100" spans="3:29">
      <c r="C100" s="4"/>
      <c r="D100" s="4"/>
    </row>
    <row r="101" spans="3:29">
      <c r="C101" s="4"/>
      <c r="D101" s="18"/>
      <c r="E101" s="18"/>
      <c r="F101" s="18"/>
      <c r="G101" s="18"/>
    </row>
    <row r="102" spans="3:29">
      <c r="C102" s="4"/>
      <c r="D102" t="s">
        <v>73</v>
      </c>
      <c r="M102" s="4"/>
      <c r="N102" t="s">
        <v>73</v>
      </c>
      <c r="Y102" s="4"/>
      <c r="Z102" t="s">
        <v>73</v>
      </c>
    </row>
    <row r="103" spans="3:29">
      <c r="C103" s="4" t="s">
        <v>56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79</v>
      </c>
      <c r="M103" s="4" t="s">
        <v>56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79</v>
      </c>
      <c r="Y103" s="4" t="s">
        <v>56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135</v>
      </c>
      <c r="D104" s="18" t="s">
        <v>136</v>
      </c>
      <c r="E104" s="18">
        <v>7.1138439695406497</v>
      </c>
      <c r="F104" s="19">
        <v>5.4017985261606496</v>
      </c>
      <c r="G104" s="19">
        <v>8.8554074428887208</v>
      </c>
      <c r="L104">
        <v>2050</v>
      </c>
      <c r="M104" s="4" t="s">
        <v>135</v>
      </c>
      <c r="N104" s="18" t="s">
        <v>136</v>
      </c>
      <c r="O104" s="18">
        <f>E104*0.313</f>
        <v>2.2266331624662201</v>
      </c>
      <c r="P104" s="18">
        <f>F104*0.313</f>
        <v>1.6907629386882801</v>
      </c>
      <c r="Q104" s="18">
        <f>G104*0.313</f>
        <v>2.77174252962417</v>
      </c>
      <c r="X104">
        <v>0</v>
      </c>
      <c r="Y104" s="4" t="s">
        <v>135</v>
      </c>
      <c r="Z104" s="18" t="s">
        <v>136</v>
      </c>
      <c r="AA104" s="18">
        <v>5</v>
      </c>
      <c r="AB104" s="18">
        <v>5</v>
      </c>
      <c r="AC104" s="18">
        <v>5</v>
      </c>
    </row>
    <row r="105" spans="3:29">
      <c r="C105" s="4" t="s">
        <v>135</v>
      </c>
      <c r="D105" s="18" t="s">
        <v>137</v>
      </c>
      <c r="E105" s="18">
        <v>7.1138439695406497</v>
      </c>
      <c r="F105" s="19">
        <v>5.4017985261606496</v>
      </c>
      <c r="G105" s="19">
        <v>8.8554074428887208</v>
      </c>
      <c r="L105">
        <v>2050</v>
      </c>
      <c r="M105" s="4" t="s">
        <v>135</v>
      </c>
      <c r="N105" s="18" t="s">
        <v>137</v>
      </c>
      <c r="O105" s="18">
        <f t="shared" ref="O105:O124" si="12">E105*0.313</f>
        <v>2.2266331624662201</v>
      </c>
      <c r="P105" s="18">
        <f t="shared" ref="P105:P124" si="13">F105*0.313</f>
        <v>1.6907629386882801</v>
      </c>
      <c r="Q105" s="18">
        <f t="shared" ref="Q105:Q124" si="14">G105*0.313</f>
        <v>2.77174252962417</v>
      </c>
      <c r="X105">
        <v>0</v>
      </c>
      <c r="Y105" s="4" t="s">
        <v>135</v>
      </c>
      <c r="Z105" s="18" t="s">
        <v>137</v>
      </c>
      <c r="AA105" s="18">
        <v>5</v>
      </c>
      <c r="AB105" s="18">
        <v>5</v>
      </c>
      <c r="AC105" s="18">
        <v>5</v>
      </c>
    </row>
    <row r="106" spans="3:29">
      <c r="C106" s="4" t="s">
        <v>135</v>
      </c>
      <c r="D106" s="18" t="s">
        <v>138</v>
      </c>
      <c r="E106" s="18">
        <v>7.6297544583640402</v>
      </c>
      <c r="F106" s="19">
        <v>5.7935479734708899</v>
      </c>
      <c r="G106" s="19">
        <v>9.4976196757553399</v>
      </c>
      <c r="L106">
        <v>2050</v>
      </c>
      <c r="M106" s="4" t="s">
        <v>135</v>
      </c>
      <c r="N106" s="18" t="s">
        <v>138</v>
      </c>
      <c r="O106" s="18">
        <f t="shared" si="12"/>
        <v>2.3881131454679401</v>
      </c>
      <c r="P106" s="18">
        <f t="shared" si="13"/>
        <v>1.81338051569639</v>
      </c>
      <c r="Q106" s="18">
        <f t="shared" si="14"/>
        <v>2.9727549585114201</v>
      </c>
      <c r="X106">
        <v>0</v>
      </c>
      <c r="Y106" s="4" t="s">
        <v>135</v>
      </c>
      <c r="Z106" s="18" t="s">
        <v>138</v>
      </c>
      <c r="AA106" s="18">
        <v>5</v>
      </c>
      <c r="AB106" s="18">
        <v>5</v>
      </c>
      <c r="AC106" s="18">
        <v>5</v>
      </c>
    </row>
    <row r="107" spans="3:29">
      <c r="C107" s="4" t="s">
        <v>135</v>
      </c>
      <c r="D107" s="18" t="s">
        <v>139</v>
      </c>
      <c r="E107" s="18">
        <v>7.4709708179808398</v>
      </c>
      <c r="F107" s="19">
        <v>5.6729778187177597</v>
      </c>
      <c r="G107" s="19">
        <v>9.2999636698599897</v>
      </c>
      <c r="L107">
        <v>2050</v>
      </c>
      <c r="M107" s="4" t="s">
        <v>135</v>
      </c>
      <c r="N107" s="18" t="s">
        <v>139</v>
      </c>
      <c r="O107" s="18">
        <f t="shared" si="12"/>
        <v>2.3384138660280001</v>
      </c>
      <c r="P107" s="18">
        <f t="shared" si="13"/>
        <v>1.77564205725866</v>
      </c>
      <c r="Q107" s="18">
        <f t="shared" si="14"/>
        <v>2.9108886286661799</v>
      </c>
      <c r="X107">
        <v>0</v>
      </c>
      <c r="Y107" s="4" t="s">
        <v>135</v>
      </c>
      <c r="Z107" s="18" t="s">
        <v>139</v>
      </c>
      <c r="AA107" s="18">
        <v>5</v>
      </c>
      <c r="AB107" s="18">
        <v>5</v>
      </c>
      <c r="AC107" s="18">
        <v>5</v>
      </c>
    </row>
    <row r="108" spans="3:29">
      <c r="C108" s="4" t="s">
        <v>135</v>
      </c>
      <c r="D108" s="18" t="s">
        <v>140</v>
      </c>
      <c r="E108" s="18">
        <v>7.5164352001965096</v>
      </c>
      <c r="F108" s="19">
        <v>5.7075005895357398</v>
      </c>
      <c r="G108" s="19">
        <v>9.3565583640383192</v>
      </c>
      <c r="L108">
        <v>2050</v>
      </c>
      <c r="M108" s="4" t="s">
        <v>135</v>
      </c>
      <c r="N108" s="18" t="s">
        <v>140</v>
      </c>
      <c r="O108" s="18">
        <f t="shared" si="12"/>
        <v>2.3526442176615099</v>
      </c>
      <c r="P108" s="18">
        <f t="shared" si="13"/>
        <v>1.7864476845246899</v>
      </c>
      <c r="Q108" s="18">
        <f t="shared" si="14"/>
        <v>2.9286027679439899</v>
      </c>
      <c r="X108">
        <v>0</v>
      </c>
      <c r="Y108" s="4" t="s">
        <v>135</v>
      </c>
      <c r="Z108" s="18" t="s">
        <v>140</v>
      </c>
      <c r="AA108" s="18">
        <v>5</v>
      </c>
      <c r="AB108" s="18">
        <v>5</v>
      </c>
      <c r="AC108" s="18">
        <v>5</v>
      </c>
    </row>
    <row r="109" spans="3:29">
      <c r="C109" s="4" t="s">
        <v>135</v>
      </c>
      <c r="D109" s="18" t="s">
        <v>141</v>
      </c>
      <c r="E109" s="18">
        <v>7.55036263817244</v>
      </c>
      <c r="F109" s="19">
        <v>5.7332629329403098</v>
      </c>
      <c r="G109" s="19">
        <v>9.3987916728076595</v>
      </c>
      <c r="L109">
        <v>2050</v>
      </c>
      <c r="M109" s="4" t="s">
        <v>135</v>
      </c>
      <c r="N109" s="18" t="s">
        <v>141</v>
      </c>
      <c r="O109" s="18">
        <f t="shared" si="12"/>
        <v>2.3632635057479701</v>
      </c>
      <c r="P109" s="18">
        <f t="shared" si="13"/>
        <v>1.7945112980103199</v>
      </c>
      <c r="Q109" s="18">
        <f t="shared" si="14"/>
        <v>2.9418217935888</v>
      </c>
      <c r="X109">
        <v>0</v>
      </c>
      <c r="Y109" s="4" t="s">
        <v>135</v>
      </c>
      <c r="Z109" s="18" t="s">
        <v>141</v>
      </c>
      <c r="AA109" s="18">
        <v>5</v>
      </c>
      <c r="AB109" s="18">
        <v>5</v>
      </c>
      <c r="AC109" s="18">
        <v>5</v>
      </c>
    </row>
    <row r="110" spans="3:29">
      <c r="C110" s="4" t="s">
        <v>135</v>
      </c>
      <c r="D110" s="18" t="s">
        <v>142</v>
      </c>
      <c r="E110" s="18">
        <v>7.6297544583640402</v>
      </c>
      <c r="F110" s="19">
        <v>5.7935479734708899</v>
      </c>
      <c r="G110" s="19">
        <v>9.4976196757553399</v>
      </c>
      <c r="L110">
        <v>2050</v>
      </c>
      <c r="M110" s="4" t="s">
        <v>135</v>
      </c>
      <c r="N110" s="18" t="s">
        <v>142</v>
      </c>
      <c r="O110" s="18">
        <f t="shared" si="12"/>
        <v>2.3881131454679401</v>
      </c>
      <c r="P110" s="18">
        <f t="shared" si="13"/>
        <v>1.81338051569639</v>
      </c>
      <c r="Q110" s="18">
        <f t="shared" si="14"/>
        <v>2.9727549585114201</v>
      </c>
      <c r="X110">
        <v>0</v>
      </c>
      <c r="Y110" s="4" t="s">
        <v>135</v>
      </c>
      <c r="Z110" s="18" t="s">
        <v>142</v>
      </c>
      <c r="AA110" s="18">
        <v>5</v>
      </c>
      <c r="AB110" s="18">
        <v>5</v>
      </c>
      <c r="AC110" s="18">
        <v>5</v>
      </c>
    </row>
    <row r="111" spans="3:29">
      <c r="C111" s="4" t="s">
        <v>135</v>
      </c>
      <c r="D111" s="18" t="s">
        <v>143</v>
      </c>
      <c r="E111" s="18">
        <v>4.1838460083517601</v>
      </c>
      <c r="F111" s="19">
        <v>3.1769453205600602</v>
      </c>
      <c r="G111" s="19">
        <v>5.2081070744288898</v>
      </c>
      <c r="L111">
        <v>2050</v>
      </c>
      <c r="M111" s="4" t="s">
        <v>135</v>
      </c>
      <c r="N111" s="18" t="s">
        <v>143</v>
      </c>
      <c r="O111" s="18">
        <f t="shared" si="12"/>
        <v>1.3095438006141</v>
      </c>
      <c r="P111" s="18">
        <f t="shared" si="13"/>
        <v>0.99438388533529898</v>
      </c>
      <c r="Q111" s="18">
        <f t="shared" si="14"/>
        <v>1.63013751429624</v>
      </c>
      <c r="X111">
        <v>0</v>
      </c>
      <c r="Y111" s="4" t="s">
        <v>135</v>
      </c>
      <c r="Z111" s="18" t="s">
        <v>143</v>
      </c>
      <c r="AA111" s="18">
        <v>5</v>
      </c>
      <c r="AB111" s="18">
        <v>5</v>
      </c>
      <c r="AC111" s="18">
        <v>5</v>
      </c>
    </row>
    <row r="112" spans="3:29">
      <c r="C112" s="4" t="s">
        <v>135</v>
      </c>
      <c r="D112" s="18" t="s">
        <v>144</v>
      </c>
      <c r="E112" s="18">
        <v>4.1838460083517601</v>
      </c>
      <c r="F112" s="19">
        <v>3.1769453205600602</v>
      </c>
      <c r="G112" s="19">
        <v>5.2081070744288898</v>
      </c>
      <c r="L112">
        <v>2050</v>
      </c>
      <c r="M112" s="4" t="s">
        <v>135</v>
      </c>
      <c r="N112" s="18" t="s">
        <v>144</v>
      </c>
      <c r="O112" s="18">
        <f t="shared" si="12"/>
        <v>1.3095438006141</v>
      </c>
      <c r="P112" s="18">
        <f t="shared" si="13"/>
        <v>0.99438388533529898</v>
      </c>
      <c r="Q112" s="18">
        <f t="shared" si="14"/>
        <v>1.63013751429624</v>
      </c>
      <c r="X112">
        <v>0</v>
      </c>
      <c r="Y112" s="4" t="s">
        <v>135</v>
      </c>
      <c r="Z112" s="18" t="s">
        <v>144</v>
      </c>
      <c r="AA112" s="18">
        <v>5</v>
      </c>
      <c r="AB112" s="18">
        <v>5</v>
      </c>
      <c r="AC112" s="18">
        <v>5</v>
      </c>
    </row>
    <row r="113" spans="3:29">
      <c r="C113" s="4" t="s">
        <v>135</v>
      </c>
      <c r="D113" s="18" t="s">
        <v>145</v>
      </c>
      <c r="E113" s="18">
        <v>4.1838460083517601</v>
      </c>
      <c r="F113" s="19">
        <v>3.1769453205600602</v>
      </c>
      <c r="G113" s="19">
        <v>5.2081070744288898</v>
      </c>
      <c r="L113">
        <v>2050</v>
      </c>
      <c r="M113" s="4" t="s">
        <v>135</v>
      </c>
      <c r="N113" s="18" t="s">
        <v>145</v>
      </c>
      <c r="O113" s="18">
        <f t="shared" si="12"/>
        <v>1.3095438006141</v>
      </c>
      <c r="P113" s="18">
        <f t="shared" si="13"/>
        <v>0.99438388533529898</v>
      </c>
      <c r="Q113" s="18">
        <f t="shared" si="14"/>
        <v>1.63013751429624</v>
      </c>
      <c r="X113">
        <v>0</v>
      </c>
      <c r="Y113" s="4" t="s">
        <v>135</v>
      </c>
      <c r="Z113" s="18" t="s">
        <v>145</v>
      </c>
      <c r="AA113" s="18">
        <v>5</v>
      </c>
      <c r="AB113" s="18">
        <v>5</v>
      </c>
      <c r="AC113" s="18">
        <v>5</v>
      </c>
    </row>
    <row r="114" spans="3:29">
      <c r="C114" s="4" t="s">
        <v>135</v>
      </c>
      <c r="D114" s="18" t="s">
        <v>146</v>
      </c>
      <c r="E114" s="18">
        <v>4.1838460083517601</v>
      </c>
      <c r="F114" s="19">
        <v>3.1769453205600602</v>
      </c>
      <c r="G114" s="19">
        <v>5.2081070744288898</v>
      </c>
      <c r="L114">
        <v>2050</v>
      </c>
      <c r="M114" s="4" t="s">
        <v>135</v>
      </c>
      <c r="N114" s="18" t="s">
        <v>146</v>
      </c>
      <c r="O114" s="18">
        <f t="shared" si="12"/>
        <v>1.3095438006141</v>
      </c>
      <c r="P114" s="18">
        <f t="shared" si="13"/>
        <v>0.99438388533529898</v>
      </c>
      <c r="Q114" s="18">
        <f t="shared" si="14"/>
        <v>1.63013751429624</v>
      </c>
      <c r="X114">
        <v>0</v>
      </c>
      <c r="Y114" s="4" t="s">
        <v>135</v>
      </c>
      <c r="Z114" s="18" t="s">
        <v>146</v>
      </c>
      <c r="AA114" s="18">
        <v>5</v>
      </c>
      <c r="AB114" s="18">
        <v>5</v>
      </c>
      <c r="AC114" s="18">
        <v>5</v>
      </c>
    </row>
    <row r="115" spans="3:29">
      <c r="C115" s="4" t="s">
        <v>135</v>
      </c>
      <c r="D115" s="18" t="s">
        <v>147</v>
      </c>
      <c r="E115" s="18">
        <v>4.1838460083517601</v>
      </c>
      <c r="F115" s="19">
        <v>3.1769453205600602</v>
      </c>
      <c r="G115" s="19">
        <v>5.2081070744288898</v>
      </c>
      <c r="L115">
        <v>2050</v>
      </c>
      <c r="M115" s="4" t="s">
        <v>135</v>
      </c>
      <c r="N115" s="18" t="s">
        <v>147</v>
      </c>
      <c r="O115" s="18">
        <f t="shared" si="12"/>
        <v>1.3095438006141</v>
      </c>
      <c r="P115" s="18">
        <f t="shared" si="13"/>
        <v>0.99438388533529898</v>
      </c>
      <c r="Q115" s="18">
        <f t="shared" si="14"/>
        <v>1.63013751429624</v>
      </c>
      <c r="X115">
        <v>0</v>
      </c>
      <c r="Y115" s="4" t="s">
        <v>135</v>
      </c>
      <c r="Z115" s="18" t="s">
        <v>147</v>
      </c>
      <c r="AA115" s="18">
        <v>5</v>
      </c>
      <c r="AB115" s="18">
        <v>5</v>
      </c>
      <c r="AC115" s="18">
        <v>5</v>
      </c>
    </row>
    <row r="116" spans="3:29">
      <c r="C116" s="4" t="s">
        <v>135</v>
      </c>
      <c r="D116" s="18" t="s">
        <v>148</v>
      </c>
      <c r="E116" s="18">
        <v>4.1838460083517601</v>
      </c>
      <c r="F116" s="19">
        <v>3.1769453205600602</v>
      </c>
      <c r="G116" s="19">
        <v>5.2081070744288898</v>
      </c>
      <c r="L116">
        <v>2050</v>
      </c>
      <c r="M116" s="4" t="s">
        <v>135</v>
      </c>
      <c r="N116" s="18" t="s">
        <v>148</v>
      </c>
      <c r="O116" s="18">
        <f t="shared" si="12"/>
        <v>1.3095438006141</v>
      </c>
      <c r="P116" s="18">
        <f t="shared" si="13"/>
        <v>0.99438388533529898</v>
      </c>
      <c r="Q116" s="18">
        <f t="shared" si="14"/>
        <v>1.63013751429624</v>
      </c>
      <c r="X116">
        <v>0</v>
      </c>
      <c r="Y116" s="4" t="s">
        <v>135</v>
      </c>
      <c r="Z116" s="18" t="s">
        <v>148</v>
      </c>
      <c r="AA116" s="18">
        <v>5</v>
      </c>
      <c r="AB116" s="18">
        <v>5</v>
      </c>
      <c r="AC116" s="18">
        <v>5</v>
      </c>
    </row>
    <row r="117" spans="3:29">
      <c r="C117" s="4" t="s">
        <v>135</v>
      </c>
      <c r="D117" s="18" t="s">
        <v>149</v>
      </c>
      <c r="E117" s="18">
        <v>4.1838460083517601</v>
      </c>
      <c r="F117" s="19">
        <v>3.1769453205600602</v>
      </c>
      <c r="G117" s="19">
        <v>5.2081070744288898</v>
      </c>
      <c r="L117">
        <v>2050</v>
      </c>
      <c r="M117" s="4" t="s">
        <v>135</v>
      </c>
      <c r="N117" s="18" t="s">
        <v>149</v>
      </c>
      <c r="O117" s="18">
        <f t="shared" si="12"/>
        <v>1.3095438006141</v>
      </c>
      <c r="P117" s="18">
        <f t="shared" si="13"/>
        <v>0.99438388533529898</v>
      </c>
      <c r="Q117" s="18">
        <f t="shared" si="14"/>
        <v>1.63013751429624</v>
      </c>
      <c r="X117">
        <v>0</v>
      </c>
      <c r="Y117" s="4" t="s">
        <v>135</v>
      </c>
      <c r="Z117" s="18" t="s">
        <v>149</v>
      </c>
      <c r="AA117" s="18">
        <v>5</v>
      </c>
      <c r="AB117" s="18">
        <v>5</v>
      </c>
      <c r="AC117" s="18">
        <v>5</v>
      </c>
    </row>
    <row r="118" spans="3:29">
      <c r="C118" s="4" t="s">
        <v>135</v>
      </c>
      <c r="D118" s="18" t="s">
        <v>150</v>
      </c>
      <c r="E118" s="18">
        <v>3.5655626627364301</v>
      </c>
      <c r="F118" s="19">
        <v>2.7074604274134102</v>
      </c>
      <c r="G118" s="19">
        <v>4.4384597641857004</v>
      </c>
      <c r="L118">
        <v>2050</v>
      </c>
      <c r="M118" s="4" t="s">
        <v>135</v>
      </c>
      <c r="N118" s="18" t="s">
        <v>150</v>
      </c>
      <c r="O118" s="18">
        <f t="shared" si="12"/>
        <v>1.1160211134364999</v>
      </c>
      <c r="P118" s="18">
        <f t="shared" si="13"/>
        <v>0.84743511378039704</v>
      </c>
      <c r="Q118" s="18">
        <f t="shared" si="14"/>
        <v>1.3892379061901201</v>
      </c>
      <c r="X118">
        <v>0</v>
      </c>
      <c r="Y118" s="4" t="s">
        <v>135</v>
      </c>
      <c r="Z118" s="18" t="s">
        <v>150</v>
      </c>
      <c r="AA118" s="18">
        <v>5</v>
      </c>
      <c r="AB118" s="18">
        <v>5</v>
      </c>
      <c r="AC118" s="18">
        <v>5</v>
      </c>
    </row>
    <row r="119" spans="3:29">
      <c r="C119" s="4" t="s">
        <v>135</v>
      </c>
      <c r="D119" s="18" t="s">
        <v>151</v>
      </c>
      <c r="E119" s="18">
        <v>3.6008770817980902</v>
      </c>
      <c r="F119" s="19">
        <v>2.7342759764185698</v>
      </c>
      <c r="G119" s="19">
        <v>4.4824196020633797</v>
      </c>
      <c r="L119">
        <v>2050</v>
      </c>
      <c r="M119" s="4" t="s">
        <v>135</v>
      </c>
      <c r="N119" s="18" t="s">
        <v>151</v>
      </c>
      <c r="O119" s="18">
        <f t="shared" si="12"/>
        <v>1.1270745266027999</v>
      </c>
      <c r="P119" s="18">
        <f t="shared" si="13"/>
        <v>0.85582838061901201</v>
      </c>
      <c r="Q119" s="18">
        <f t="shared" si="14"/>
        <v>1.40299733544584</v>
      </c>
      <c r="X119">
        <v>0</v>
      </c>
      <c r="Y119" s="4" t="s">
        <v>135</v>
      </c>
      <c r="Z119" s="18" t="s">
        <v>151</v>
      </c>
      <c r="AA119" s="18">
        <v>5</v>
      </c>
      <c r="AB119" s="18">
        <v>5</v>
      </c>
      <c r="AC119" s="18">
        <v>5</v>
      </c>
    </row>
    <row r="120" spans="3:29">
      <c r="C120" s="4" t="s">
        <v>135</v>
      </c>
      <c r="D120" s="18" t="s">
        <v>152</v>
      </c>
      <c r="E120" s="18">
        <v>3.5655626627364301</v>
      </c>
      <c r="F120" s="19">
        <v>2.7074604274134102</v>
      </c>
      <c r="G120" s="19">
        <v>4.4384597641857004</v>
      </c>
      <c r="L120">
        <v>2050</v>
      </c>
      <c r="M120" s="4" t="s">
        <v>135</v>
      </c>
      <c r="N120" s="18" t="s">
        <v>152</v>
      </c>
      <c r="O120" s="18">
        <f t="shared" si="12"/>
        <v>1.1160211134364999</v>
      </c>
      <c r="P120" s="18">
        <f t="shared" si="13"/>
        <v>0.84743511378039704</v>
      </c>
      <c r="Q120" s="18">
        <f t="shared" si="14"/>
        <v>1.3892379061901201</v>
      </c>
      <c r="X120">
        <v>0</v>
      </c>
      <c r="Y120" s="4" t="s">
        <v>135</v>
      </c>
      <c r="Z120" s="18" t="s">
        <v>152</v>
      </c>
      <c r="AA120" s="18">
        <v>5</v>
      </c>
      <c r="AB120" s="18">
        <v>5</v>
      </c>
      <c r="AC120" s="18">
        <v>5</v>
      </c>
    </row>
    <row r="121" spans="3:29">
      <c r="C121" s="4" t="s">
        <v>135</v>
      </c>
      <c r="D121" s="18" t="s">
        <v>153</v>
      </c>
      <c r="E121" s="18">
        <v>3.56645369688037</v>
      </c>
      <c r="F121" s="19">
        <v>2.70813706705969</v>
      </c>
      <c r="G121" s="19">
        <v>4.4395689019896798</v>
      </c>
      <c r="L121">
        <v>2050</v>
      </c>
      <c r="M121" s="4" t="s">
        <v>135</v>
      </c>
      <c r="N121" s="18" t="s">
        <v>153</v>
      </c>
      <c r="O121" s="18">
        <f t="shared" si="12"/>
        <v>1.11630000712356</v>
      </c>
      <c r="P121" s="18">
        <f t="shared" si="13"/>
        <v>0.84764690198968295</v>
      </c>
      <c r="Q121" s="18">
        <f t="shared" si="14"/>
        <v>1.38958506632277</v>
      </c>
      <c r="X121">
        <v>0</v>
      </c>
      <c r="Y121" s="4" t="s">
        <v>135</v>
      </c>
      <c r="Z121" s="18" t="s">
        <v>153</v>
      </c>
      <c r="AA121" s="18">
        <v>5</v>
      </c>
      <c r="AB121" s="18">
        <v>5</v>
      </c>
      <c r="AC121" s="18">
        <v>5</v>
      </c>
    </row>
    <row r="122" spans="3:29">
      <c r="C122" s="4" t="s">
        <v>135</v>
      </c>
      <c r="D122" s="18" t="s">
        <v>154</v>
      </c>
      <c r="E122" s="18">
        <v>3.5658596168017702</v>
      </c>
      <c r="F122" s="19">
        <v>2.7076859248341898</v>
      </c>
      <c r="G122" s="19">
        <v>4.4388294030950597</v>
      </c>
      <c r="L122">
        <v>2050</v>
      </c>
      <c r="M122" s="4" t="s">
        <v>135</v>
      </c>
      <c r="N122" s="18" t="s">
        <v>154</v>
      </c>
      <c r="O122" s="18">
        <f t="shared" si="12"/>
        <v>1.1161140600589501</v>
      </c>
      <c r="P122" s="18">
        <f t="shared" si="13"/>
        <v>0.84750569447310098</v>
      </c>
      <c r="Q122" s="18">
        <f t="shared" si="14"/>
        <v>1.3893536031687499</v>
      </c>
      <c r="X122">
        <v>0</v>
      </c>
      <c r="Y122" s="4" t="s">
        <v>135</v>
      </c>
      <c r="Z122" s="18" t="s">
        <v>154</v>
      </c>
      <c r="AA122" s="18">
        <v>5</v>
      </c>
      <c r="AB122" s="18">
        <v>5</v>
      </c>
      <c r="AC122" s="18">
        <v>5</v>
      </c>
    </row>
    <row r="123" spans="3:29">
      <c r="C123" s="4" t="s">
        <v>135</v>
      </c>
      <c r="D123" s="18" t="s">
        <v>155</v>
      </c>
      <c r="E123" s="18">
        <v>3.5655626627364301</v>
      </c>
      <c r="F123" s="19">
        <v>2.7074604274134102</v>
      </c>
      <c r="G123" s="19">
        <v>4.4384597641857004</v>
      </c>
      <c r="L123">
        <v>2050</v>
      </c>
      <c r="M123" s="4" t="s">
        <v>135</v>
      </c>
      <c r="N123" s="18" t="s">
        <v>155</v>
      </c>
      <c r="O123" s="18">
        <f t="shared" si="12"/>
        <v>1.1160211134364999</v>
      </c>
      <c r="P123" s="18">
        <f t="shared" si="13"/>
        <v>0.84743511378039704</v>
      </c>
      <c r="Q123" s="18">
        <f t="shared" si="14"/>
        <v>1.3892379061901201</v>
      </c>
      <c r="X123">
        <v>0</v>
      </c>
      <c r="Y123" s="4" t="s">
        <v>135</v>
      </c>
      <c r="Z123" s="18" t="s">
        <v>155</v>
      </c>
      <c r="AA123" s="18">
        <v>5</v>
      </c>
      <c r="AB123" s="18">
        <v>5</v>
      </c>
      <c r="AC123" s="18">
        <v>5</v>
      </c>
    </row>
    <row r="124" spans="3:29">
      <c r="C124" s="4" t="s">
        <v>135</v>
      </c>
      <c r="D124" s="20" t="s">
        <v>156</v>
      </c>
      <c r="E124" s="18">
        <v>3.5649689019896802</v>
      </c>
      <c r="F124" s="19">
        <v>2.7070095799557801</v>
      </c>
      <c r="G124" s="19">
        <v>4.4377206337509199</v>
      </c>
      <c r="L124">
        <v>2050</v>
      </c>
      <c r="M124" s="4" t="s">
        <v>135</v>
      </c>
      <c r="N124" s="20" t="s">
        <v>156</v>
      </c>
      <c r="O124" s="18">
        <f t="shared" si="12"/>
        <v>1.11583526632277</v>
      </c>
      <c r="P124" s="18">
        <f t="shared" si="13"/>
        <v>0.84729399852615905</v>
      </c>
      <c r="Q124" s="18">
        <f t="shared" si="14"/>
        <v>1.3890065583640401</v>
      </c>
      <c r="X124">
        <v>0</v>
      </c>
      <c r="Y124" s="4" t="s">
        <v>135</v>
      </c>
      <c r="Z124" s="18" t="s">
        <v>156</v>
      </c>
      <c r="AA124" s="18">
        <v>5</v>
      </c>
      <c r="AB124" s="18">
        <v>5</v>
      </c>
      <c r="AC124" s="18">
        <v>5</v>
      </c>
    </row>
    <row r="132" spans="3:30">
      <c r="C132" s="4"/>
      <c r="D132" t="s">
        <v>73</v>
      </c>
      <c r="M132" s="4"/>
      <c r="N132" s="30"/>
      <c r="O132" s="30"/>
      <c r="P132" s="30"/>
      <c r="Q132" s="30"/>
      <c r="R132" s="30"/>
      <c r="S132" s="30"/>
      <c r="T132" s="30"/>
      <c r="U132" s="30"/>
      <c r="V132" s="30"/>
      <c r="W132" s="30"/>
      <c r="X132" s="30"/>
      <c r="Y132" s="31"/>
      <c r="Z132" s="30"/>
      <c r="AA132" s="30"/>
      <c r="AB132" s="30"/>
      <c r="AC132" s="30"/>
      <c r="AD132" s="30"/>
    </row>
    <row r="133" spans="3:30">
      <c r="C133" s="4" t="s">
        <v>56</v>
      </c>
      <c r="D133" s="18" t="s">
        <v>45</v>
      </c>
      <c r="E133" s="18" t="s">
        <v>44</v>
      </c>
      <c r="F133" s="18"/>
      <c r="G133" s="18"/>
      <c r="M133" s="4"/>
      <c r="N133" s="31"/>
      <c r="O133" s="31"/>
      <c r="P133" s="31"/>
      <c r="Q133" s="31"/>
      <c r="R133" s="30"/>
      <c r="S133" s="30"/>
      <c r="T133" s="30"/>
      <c r="U133" s="30"/>
      <c r="V133" s="30"/>
      <c r="W133" s="30"/>
      <c r="X133" s="30"/>
      <c r="Y133" s="31"/>
      <c r="Z133" s="31"/>
      <c r="AA133" s="31"/>
      <c r="AB133" s="31"/>
      <c r="AC133" s="31"/>
      <c r="AD133" s="30"/>
    </row>
    <row r="134" spans="3:30">
      <c r="C134" s="4" t="s">
        <v>157</v>
      </c>
      <c r="D134" s="18" t="s">
        <v>136</v>
      </c>
      <c r="E134" s="18">
        <v>1E-3</v>
      </c>
      <c r="F134" s="19"/>
      <c r="G134" s="19"/>
      <c r="M134" s="4"/>
      <c r="N134" s="31"/>
      <c r="O134" s="31"/>
      <c r="P134" s="31"/>
      <c r="Q134" s="31"/>
      <c r="R134" s="30"/>
      <c r="S134" s="30"/>
      <c r="T134" s="30"/>
      <c r="U134" s="30"/>
      <c r="V134" s="30"/>
      <c r="W134" s="30"/>
      <c r="X134" s="30"/>
      <c r="Y134" s="31"/>
      <c r="Z134" s="31"/>
      <c r="AA134" s="31"/>
      <c r="AB134" s="31"/>
      <c r="AC134" s="31"/>
      <c r="AD134" s="30"/>
    </row>
    <row r="135" spans="3:30">
      <c r="C135" s="4" t="s">
        <v>157</v>
      </c>
      <c r="D135" s="18" t="s">
        <v>137</v>
      </c>
      <c r="E135" s="18">
        <f>E134</f>
        <v>1E-3</v>
      </c>
      <c r="F135" s="19"/>
      <c r="G135" s="19"/>
      <c r="M135" s="4"/>
      <c r="N135" s="31"/>
      <c r="O135" s="31"/>
      <c r="P135" s="31"/>
      <c r="Q135" s="31"/>
      <c r="R135" s="30"/>
      <c r="S135" s="30"/>
      <c r="T135" s="30"/>
      <c r="U135" s="30"/>
      <c r="V135" s="30"/>
      <c r="W135" s="30"/>
      <c r="X135" s="30"/>
      <c r="Y135" s="31"/>
      <c r="Z135" s="31"/>
      <c r="AA135" s="31"/>
      <c r="AB135" s="31"/>
      <c r="AC135" s="31"/>
      <c r="AD135" s="30"/>
    </row>
    <row r="136" spans="3:30">
      <c r="C136" s="4" t="s">
        <v>157</v>
      </c>
      <c r="D136" s="18" t="s">
        <v>138</v>
      </c>
      <c r="E136" s="18">
        <f t="shared" ref="E136:E154" si="15">E135</f>
        <v>1E-3</v>
      </c>
      <c r="F136" s="19"/>
      <c r="G136" s="19"/>
      <c r="M136" s="4"/>
      <c r="N136" s="31"/>
      <c r="O136" s="31"/>
      <c r="P136" s="31"/>
      <c r="Q136" s="31"/>
      <c r="R136" s="30"/>
      <c r="S136" s="30"/>
      <c r="T136" s="30"/>
      <c r="U136" s="30"/>
      <c r="V136" s="30"/>
      <c r="W136" s="30"/>
      <c r="X136" s="30"/>
      <c r="Y136" s="31"/>
      <c r="Z136" s="31"/>
      <c r="AA136" s="31"/>
      <c r="AB136" s="31"/>
      <c r="AC136" s="31"/>
      <c r="AD136" s="30"/>
    </row>
    <row r="137" spans="3:30">
      <c r="C137" s="4" t="s">
        <v>157</v>
      </c>
      <c r="D137" s="18" t="s">
        <v>139</v>
      </c>
      <c r="E137" s="18">
        <f t="shared" si="15"/>
        <v>1E-3</v>
      </c>
      <c r="F137" s="19"/>
      <c r="G137" s="19"/>
      <c r="M137" s="4"/>
      <c r="N137" s="31"/>
      <c r="O137" s="31"/>
      <c r="P137" s="31"/>
      <c r="Q137" s="31"/>
      <c r="R137" s="30"/>
      <c r="S137" s="30"/>
      <c r="T137" s="30"/>
      <c r="U137" s="30"/>
      <c r="V137" s="30"/>
      <c r="W137" s="30"/>
      <c r="X137" s="30"/>
      <c r="Y137" s="31"/>
      <c r="Z137" s="31"/>
      <c r="AA137" s="31"/>
      <c r="AB137" s="31"/>
      <c r="AC137" s="31"/>
      <c r="AD137" s="30"/>
    </row>
    <row r="138" spans="3:30">
      <c r="C138" s="4" t="s">
        <v>157</v>
      </c>
      <c r="D138" s="18" t="s">
        <v>140</v>
      </c>
      <c r="E138" s="18">
        <f t="shared" si="15"/>
        <v>1E-3</v>
      </c>
      <c r="F138" s="19"/>
      <c r="G138" s="19"/>
      <c r="M138" s="4"/>
      <c r="N138" s="31"/>
      <c r="O138" s="31"/>
      <c r="P138" s="31"/>
      <c r="Q138" s="31"/>
      <c r="R138" s="30"/>
      <c r="S138" s="30"/>
      <c r="T138" s="30"/>
      <c r="U138" s="30"/>
      <c r="V138" s="30"/>
      <c r="W138" s="30"/>
      <c r="X138" s="30"/>
      <c r="Y138" s="31"/>
      <c r="Z138" s="31"/>
      <c r="AA138" s="31"/>
      <c r="AB138" s="31"/>
      <c r="AC138" s="31"/>
      <c r="AD138" s="30"/>
    </row>
    <row r="139" spans="3:30">
      <c r="C139" s="4" t="s">
        <v>157</v>
      </c>
      <c r="D139" s="18" t="s">
        <v>141</v>
      </c>
      <c r="E139" s="18">
        <f t="shared" si="15"/>
        <v>1E-3</v>
      </c>
      <c r="F139" s="19"/>
      <c r="G139" s="19"/>
      <c r="M139" s="4"/>
      <c r="N139" s="31"/>
      <c r="O139" s="31"/>
      <c r="P139" s="31"/>
      <c r="Q139" s="31"/>
      <c r="R139" s="30"/>
      <c r="S139" s="30"/>
      <c r="T139" s="30"/>
      <c r="U139" s="30"/>
      <c r="V139" s="30"/>
      <c r="W139" s="30"/>
      <c r="X139" s="30"/>
      <c r="Y139" s="31"/>
      <c r="Z139" s="31"/>
      <c r="AA139" s="31"/>
      <c r="AB139" s="31"/>
      <c r="AC139" s="31"/>
      <c r="AD139" s="30"/>
    </row>
    <row r="140" spans="3:30">
      <c r="C140" s="4" t="s">
        <v>157</v>
      </c>
      <c r="D140" s="18" t="s">
        <v>142</v>
      </c>
      <c r="E140" s="18">
        <f t="shared" si="15"/>
        <v>1E-3</v>
      </c>
      <c r="F140" s="19"/>
      <c r="G140" s="19"/>
      <c r="M140" s="4"/>
      <c r="N140" s="31"/>
      <c r="O140" s="31"/>
      <c r="P140" s="31"/>
      <c r="Q140" s="31"/>
      <c r="R140" s="30"/>
      <c r="S140" s="30"/>
      <c r="T140" s="30"/>
      <c r="U140" s="30"/>
      <c r="V140" s="30"/>
      <c r="W140" s="30"/>
      <c r="X140" s="30"/>
      <c r="Y140" s="31"/>
      <c r="Z140" s="31"/>
      <c r="AA140" s="31"/>
      <c r="AB140" s="31"/>
      <c r="AC140" s="31"/>
      <c r="AD140" s="30"/>
    </row>
    <row r="141" spans="3:30">
      <c r="C141" s="4" t="s">
        <v>157</v>
      </c>
      <c r="D141" s="18" t="s">
        <v>143</v>
      </c>
      <c r="E141" s="18">
        <f t="shared" si="15"/>
        <v>1E-3</v>
      </c>
      <c r="F141" s="19"/>
      <c r="G141" s="19"/>
      <c r="M141" s="4"/>
      <c r="N141" s="31"/>
      <c r="O141" s="31"/>
      <c r="P141" s="31"/>
      <c r="Q141" s="31"/>
      <c r="R141" s="30"/>
      <c r="S141" s="30"/>
      <c r="T141" s="30"/>
      <c r="U141" s="30"/>
      <c r="V141" s="30"/>
      <c r="W141" s="30"/>
      <c r="X141" s="30"/>
      <c r="Y141" s="31"/>
      <c r="Z141" s="31"/>
      <c r="AA141" s="31"/>
      <c r="AB141" s="31"/>
      <c r="AC141" s="31"/>
      <c r="AD141" s="30"/>
    </row>
    <row r="142" spans="3:30">
      <c r="C142" s="4" t="s">
        <v>157</v>
      </c>
      <c r="D142" s="18" t="s">
        <v>144</v>
      </c>
      <c r="E142" s="18">
        <f t="shared" si="15"/>
        <v>1E-3</v>
      </c>
      <c r="F142" s="19"/>
      <c r="G142" s="19"/>
      <c r="M142" s="4"/>
      <c r="N142" s="31"/>
      <c r="O142" s="31"/>
      <c r="P142" s="31"/>
      <c r="Q142" s="31"/>
      <c r="R142" s="30"/>
      <c r="S142" s="30"/>
      <c r="T142" s="30"/>
      <c r="U142" s="30"/>
      <c r="V142" s="30"/>
      <c r="W142" s="30"/>
      <c r="X142" s="30"/>
      <c r="Y142" s="31"/>
      <c r="Z142" s="31"/>
      <c r="AA142" s="31"/>
      <c r="AB142" s="31"/>
      <c r="AC142" s="31"/>
      <c r="AD142" s="30"/>
    </row>
    <row r="143" spans="3:30">
      <c r="C143" s="4" t="s">
        <v>157</v>
      </c>
      <c r="D143" s="18" t="s">
        <v>145</v>
      </c>
      <c r="E143" s="18">
        <f t="shared" si="15"/>
        <v>1E-3</v>
      </c>
      <c r="F143" s="19"/>
      <c r="G143" s="19"/>
      <c r="M143" s="4"/>
      <c r="N143" s="31"/>
      <c r="O143" s="31"/>
      <c r="P143" s="31"/>
      <c r="Q143" s="31"/>
      <c r="R143" s="30"/>
      <c r="S143" s="30"/>
      <c r="T143" s="30"/>
      <c r="U143" s="30"/>
      <c r="V143" s="30"/>
      <c r="W143" s="30"/>
      <c r="X143" s="30"/>
      <c r="Y143" s="31"/>
      <c r="Z143" s="31"/>
      <c r="AA143" s="31"/>
      <c r="AB143" s="31"/>
      <c r="AC143" s="31"/>
      <c r="AD143" s="30"/>
    </row>
    <row r="144" spans="3:30">
      <c r="C144" s="4" t="s">
        <v>157</v>
      </c>
      <c r="D144" s="18" t="s">
        <v>146</v>
      </c>
      <c r="E144" s="18">
        <f t="shared" si="15"/>
        <v>1E-3</v>
      </c>
      <c r="F144" s="19"/>
      <c r="G144" s="19"/>
      <c r="M144" s="4"/>
      <c r="N144" s="31"/>
      <c r="O144" s="31"/>
      <c r="P144" s="31"/>
      <c r="Q144" s="31"/>
      <c r="R144" s="30"/>
      <c r="S144" s="30"/>
      <c r="T144" s="30"/>
      <c r="U144" s="30"/>
      <c r="V144" s="30"/>
      <c r="W144" s="30"/>
      <c r="X144" s="30"/>
      <c r="Y144" s="31"/>
      <c r="Z144" s="31"/>
      <c r="AA144" s="31"/>
      <c r="AB144" s="31"/>
      <c r="AC144" s="31"/>
      <c r="AD144" s="30"/>
    </row>
    <row r="145" spans="3:30">
      <c r="C145" s="4" t="s">
        <v>157</v>
      </c>
      <c r="D145" s="18" t="s">
        <v>147</v>
      </c>
      <c r="E145" s="18">
        <f t="shared" si="15"/>
        <v>1E-3</v>
      </c>
      <c r="F145" s="19"/>
      <c r="G145" s="19"/>
      <c r="M145" s="4"/>
      <c r="N145" s="31"/>
      <c r="O145" s="31"/>
      <c r="P145" s="31"/>
      <c r="Q145" s="31"/>
      <c r="R145" s="30"/>
      <c r="S145" s="30"/>
      <c r="T145" s="30"/>
      <c r="U145" s="30"/>
      <c r="V145" s="30"/>
      <c r="W145" s="30"/>
      <c r="X145" s="30"/>
      <c r="Y145" s="31"/>
      <c r="Z145" s="31"/>
      <c r="AA145" s="31"/>
      <c r="AB145" s="31"/>
      <c r="AC145" s="31"/>
      <c r="AD145" s="30"/>
    </row>
    <row r="146" spans="3:30">
      <c r="C146" s="4" t="s">
        <v>157</v>
      </c>
      <c r="D146" s="18" t="s">
        <v>148</v>
      </c>
      <c r="E146" s="18">
        <f t="shared" si="15"/>
        <v>1E-3</v>
      </c>
      <c r="F146" s="19"/>
      <c r="G146" s="19"/>
      <c r="M146" s="4"/>
      <c r="N146" s="31"/>
      <c r="O146" s="31"/>
      <c r="P146" s="31"/>
      <c r="Q146" s="31"/>
      <c r="R146" s="30"/>
      <c r="S146" s="30"/>
      <c r="T146" s="30"/>
      <c r="U146" s="30"/>
      <c r="V146" s="30"/>
      <c r="W146" s="30"/>
      <c r="X146" s="30"/>
      <c r="Y146" s="31"/>
      <c r="Z146" s="31"/>
      <c r="AA146" s="31"/>
      <c r="AB146" s="31"/>
      <c r="AC146" s="31"/>
      <c r="AD146" s="30"/>
    </row>
    <row r="147" spans="3:30">
      <c r="C147" s="4" t="s">
        <v>157</v>
      </c>
      <c r="D147" s="18" t="s">
        <v>149</v>
      </c>
      <c r="E147" s="18">
        <f t="shared" si="15"/>
        <v>1E-3</v>
      </c>
      <c r="F147" s="19"/>
      <c r="G147" s="19"/>
      <c r="M147" s="4"/>
      <c r="N147" s="31"/>
      <c r="O147" s="31"/>
      <c r="P147" s="31"/>
      <c r="Q147" s="31"/>
      <c r="R147" s="30"/>
      <c r="S147" s="30"/>
      <c r="T147" s="30"/>
      <c r="U147" s="30"/>
      <c r="V147" s="30"/>
      <c r="W147" s="30"/>
      <c r="X147" s="30"/>
      <c r="Y147" s="31"/>
      <c r="Z147" s="31"/>
      <c r="AA147" s="31"/>
      <c r="AB147" s="31"/>
      <c r="AC147" s="31"/>
      <c r="AD147" s="30"/>
    </row>
    <row r="148" spans="3:30">
      <c r="C148" s="4" t="s">
        <v>157</v>
      </c>
      <c r="D148" s="18" t="s">
        <v>150</v>
      </c>
      <c r="E148" s="18">
        <f t="shared" si="15"/>
        <v>1E-3</v>
      </c>
      <c r="F148" s="19"/>
      <c r="G148" s="19"/>
      <c r="M148" s="4"/>
      <c r="N148" s="31"/>
      <c r="O148" s="31"/>
      <c r="P148" s="31"/>
      <c r="Q148" s="31"/>
      <c r="R148" s="30"/>
      <c r="S148" s="30"/>
      <c r="T148" s="30"/>
      <c r="U148" s="30"/>
      <c r="V148" s="30"/>
      <c r="W148" s="30"/>
      <c r="X148" s="30"/>
      <c r="Y148" s="31"/>
      <c r="Z148" s="31"/>
      <c r="AA148" s="31"/>
      <c r="AB148" s="31"/>
      <c r="AC148" s="31"/>
      <c r="AD148" s="30"/>
    </row>
    <row r="149" spans="3:30">
      <c r="C149" s="4" t="s">
        <v>157</v>
      </c>
      <c r="D149" s="18" t="s">
        <v>151</v>
      </c>
      <c r="E149" s="18">
        <f t="shared" si="15"/>
        <v>1E-3</v>
      </c>
      <c r="F149" s="19"/>
      <c r="G149" s="19"/>
      <c r="M149" s="4"/>
      <c r="N149" s="31"/>
      <c r="O149" s="31"/>
      <c r="P149" s="31"/>
      <c r="Q149" s="31"/>
      <c r="R149" s="30"/>
      <c r="S149" s="30"/>
      <c r="T149" s="30"/>
      <c r="U149" s="30"/>
      <c r="V149" s="30"/>
      <c r="W149" s="30"/>
      <c r="X149" s="30"/>
      <c r="Y149" s="31"/>
      <c r="Z149" s="31"/>
      <c r="AA149" s="31"/>
      <c r="AB149" s="31"/>
      <c r="AC149" s="31"/>
      <c r="AD149" s="30"/>
    </row>
    <row r="150" spans="3:30">
      <c r="C150" s="4" t="s">
        <v>157</v>
      </c>
      <c r="D150" s="18" t="s">
        <v>152</v>
      </c>
      <c r="E150" s="18">
        <f t="shared" si="15"/>
        <v>1E-3</v>
      </c>
      <c r="F150" s="19"/>
      <c r="G150" s="19"/>
      <c r="M150" s="4"/>
      <c r="N150" s="31"/>
      <c r="O150" s="31"/>
      <c r="P150" s="31"/>
      <c r="Q150" s="31"/>
      <c r="R150" s="30"/>
      <c r="S150" s="30"/>
      <c r="T150" s="30"/>
      <c r="U150" s="30"/>
      <c r="V150" s="30"/>
      <c r="W150" s="30"/>
      <c r="X150" s="30"/>
      <c r="Y150" s="31"/>
      <c r="Z150" s="31"/>
      <c r="AA150" s="31"/>
      <c r="AB150" s="31"/>
      <c r="AC150" s="31"/>
      <c r="AD150" s="30"/>
    </row>
    <row r="151" spans="3:30">
      <c r="C151" s="4" t="s">
        <v>157</v>
      </c>
      <c r="D151" s="18" t="s">
        <v>153</v>
      </c>
      <c r="E151" s="18">
        <f t="shared" si="15"/>
        <v>1E-3</v>
      </c>
      <c r="F151" s="19"/>
      <c r="G151" s="19"/>
      <c r="M151" s="4"/>
      <c r="N151" s="31"/>
      <c r="O151" s="31"/>
      <c r="P151" s="31"/>
      <c r="Q151" s="31"/>
      <c r="R151" s="30"/>
      <c r="S151" s="30"/>
      <c r="T151" s="30"/>
      <c r="U151" s="30"/>
      <c r="V151" s="30"/>
      <c r="W151" s="30"/>
      <c r="X151" s="30"/>
      <c r="Y151" s="31"/>
      <c r="Z151" s="31"/>
      <c r="AA151" s="31"/>
      <c r="AB151" s="31"/>
      <c r="AC151" s="31"/>
      <c r="AD151" s="30"/>
    </row>
    <row r="152" spans="3:30">
      <c r="C152" s="4" t="s">
        <v>157</v>
      </c>
      <c r="D152" s="18" t="s">
        <v>154</v>
      </c>
      <c r="E152" s="18">
        <f t="shared" si="15"/>
        <v>1E-3</v>
      </c>
      <c r="F152" s="19"/>
      <c r="G152" s="19"/>
      <c r="M152" s="4"/>
      <c r="N152" s="31"/>
      <c r="O152" s="31"/>
      <c r="P152" s="31"/>
      <c r="Q152" s="31"/>
      <c r="R152" s="30"/>
      <c r="S152" s="30"/>
      <c r="T152" s="30"/>
      <c r="U152" s="30"/>
      <c r="V152" s="30"/>
      <c r="W152" s="30"/>
      <c r="X152" s="30"/>
      <c r="Y152" s="31"/>
      <c r="Z152" s="31"/>
      <c r="AA152" s="31"/>
      <c r="AB152" s="31"/>
      <c r="AC152" s="31"/>
      <c r="AD152" s="30"/>
    </row>
    <row r="153" spans="3:30">
      <c r="C153" s="4" t="s">
        <v>157</v>
      </c>
      <c r="D153" s="18" t="s">
        <v>155</v>
      </c>
      <c r="E153" s="18">
        <f t="shared" si="15"/>
        <v>1E-3</v>
      </c>
      <c r="F153" s="19"/>
      <c r="G153" s="19"/>
      <c r="M153" s="4"/>
      <c r="N153" s="31"/>
      <c r="O153" s="31"/>
      <c r="P153" s="31"/>
      <c r="Q153" s="31"/>
      <c r="R153" s="30"/>
      <c r="S153" s="30"/>
      <c r="T153" s="30"/>
      <c r="U153" s="30"/>
      <c r="V153" s="30"/>
      <c r="W153" s="30"/>
      <c r="X153" s="30"/>
      <c r="Y153" s="31"/>
      <c r="Z153" s="31"/>
      <c r="AA153" s="31"/>
      <c r="AB153" s="31"/>
      <c r="AC153" s="31"/>
      <c r="AD153" s="30"/>
    </row>
    <row r="154" spans="3:30">
      <c r="C154" s="4" t="s">
        <v>157</v>
      </c>
      <c r="D154" s="20" t="s">
        <v>156</v>
      </c>
      <c r="E154" s="18">
        <f t="shared" si="15"/>
        <v>1E-3</v>
      </c>
      <c r="F154" s="19"/>
      <c r="G154" s="19"/>
      <c r="M154" s="4"/>
      <c r="N154" s="31"/>
      <c r="O154" s="31"/>
      <c r="P154" s="31"/>
      <c r="Q154" s="31"/>
      <c r="R154" s="30"/>
      <c r="S154" s="30"/>
      <c r="T154" s="30"/>
      <c r="U154" s="30"/>
      <c r="V154" s="30"/>
      <c r="W154" s="30"/>
      <c r="X154" s="30"/>
      <c r="Y154" s="31"/>
      <c r="Z154" s="31"/>
      <c r="AA154" s="31"/>
      <c r="AB154" s="31"/>
      <c r="AC154" s="31"/>
      <c r="AD154" s="30"/>
    </row>
    <row r="155" spans="3:30">
      <c r="N155" s="30"/>
      <c r="O155" s="30"/>
      <c r="P155" s="30"/>
      <c r="Q155" s="30"/>
      <c r="R155" s="30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 spans="3:30">
      <c r="N156" s="30"/>
      <c r="O156" s="30"/>
      <c r="P156" s="30"/>
      <c r="Q156" s="30"/>
      <c r="R156" s="30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 spans="3:30">
      <c r="N157" s="30"/>
      <c r="O157" s="30"/>
      <c r="P157" s="30"/>
      <c r="Q157" s="30"/>
      <c r="R157" s="30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 spans="3:30">
      <c r="N158" s="30"/>
      <c r="O158" s="30"/>
      <c r="P158" s="30"/>
      <c r="Q158" s="30"/>
      <c r="R158" s="30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 spans="3:30">
      <c r="N159" s="30"/>
      <c r="O159" s="30"/>
      <c r="P159" s="30"/>
      <c r="Q159" s="30"/>
      <c r="R159" s="30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 spans="3:30">
      <c r="N160" s="30"/>
      <c r="O160" s="30"/>
      <c r="P160" s="30"/>
      <c r="Q160" s="30"/>
      <c r="R160" s="30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</sheetData>
  <sortState xmlns:xlrd2="http://schemas.microsoft.com/office/spreadsheetml/2017/richdata2" ref="AZ33:BA38">
    <sortCondition ref="AZ33:AZ38"/>
  </sortState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U55"/>
  <sheetViews>
    <sheetView workbookViewId="0"/>
  </sheetViews>
  <sheetFormatPr defaultColWidth="9" defaultRowHeight="12.5"/>
  <cols>
    <col min="3" max="3" width="11.6328125" customWidth="1"/>
    <col min="12" max="28" width="5.26953125" customWidth="1"/>
  </cols>
  <sheetData>
    <row r="1" spans="1:47">
      <c r="A1" t="s">
        <v>158</v>
      </c>
      <c r="B1" t="s">
        <v>56</v>
      </c>
      <c r="C1" t="s">
        <v>45</v>
      </c>
      <c r="D1" t="s">
        <v>47</v>
      </c>
      <c r="E1" t="s">
        <v>159</v>
      </c>
      <c r="F1" t="s">
        <v>160</v>
      </c>
      <c r="G1" t="s">
        <v>79</v>
      </c>
      <c r="H1" t="s">
        <v>161</v>
      </c>
      <c r="I1" t="s">
        <v>162</v>
      </c>
      <c r="J1" t="s">
        <v>163</v>
      </c>
      <c r="K1" t="s">
        <v>164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165</v>
      </c>
    </row>
    <row r="2" spans="1:47">
      <c r="A2" t="s">
        <v>49</v>
      </c>
      <c r="B2" t="s">
        <v>50</v>
      </c>
      <c r="C2" t="s">
        <v>109</v>
      </c>
      <c r="D2" t="s">
        <v>166</v>
      </c>
      <c r="E2" t="s">
        <v>68</v>
      </c>
      <c r="F2" t="s">
        <v>167</v>
      </c>
      <c r="G2" t="s">
        <v>168</v>
      </c>
      <c r="H2" t="s">
        <v>166</v>
      </c>
      <c r="I2" t="s">
        <v>166</v>
      </c>
      <c r="J2" t="s">
        <v>166</v>
      </c>
      <c r="K2" t="s">
        <v>166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166</v>
      </c>
    </row>
    <row r="3" spans="1:47">
      <c r="A3" t="s">
        <v>49</v>
      </c>
      <c r="B3" t="s">
        <v>50</v>
      </c>
      <c r="C3" t="s">
        <v>169</v>
      </c>
      <c r="D3" t="s">
        <v>166</v>
      </c>
      <c r="E3" t="s">
        <v>68</v>
      </c>
      <c r="F3" t="s">
        <v>167</v>
      </c>
      <c r="G3" t="s">
        <v>168</v>
      </c>
      <c r="H3" t="s">
        <v>166</v>
      </c>
      <c r="I3" t="s">
        <v>166</v>
      </c>
      <c r="J3" t="s">
        <v>166</v>
      </c>
      <c r="K3" t="s">
        <v>166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166</v>
      </c>
    </row>
    <row r="4" spans="1:47">
      <c r="A4" t="s">
        <v>49</v>
      </c>
      <c r="B4" t="s">
        <v>50</v>
      </c>
      <c r="C4" t="s">
        <v>170</v>
      </c>
      <c r="D4" t="s">
        <v>166</v>
      </c>
      <c r="E4" t="s">
        <v>68</v>
      </c>
      <c r="F4" t="s">
        <v>167</v>
      </c>
      <c r="G4" t="s">
        <v>168</v>
      </c>
      <c r="H4" t="s">
        <v>166</v>
      </c>
      <c r="I4" t="s">
        <v>166</v>
      </c>
      <c r="J4" t="s">
        <v>166</v>
      </c>
      <c r="K4" t="s">
        <v>166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166</v>
      </c>
    </row>
    <row r="5" spans="1:47">
      <c r="A5" t="s">
        <v>49</v>
      </c>
      <c r="B5" t="s">
        <v>50</v>
      </c>
      <c r="C5" t="s">
        <v>110</v>
      </c>
      <c r="D5" t="s">
        <v>166</v>
      </c>
      <c r="E5" t="s">
        <v>68</v>
      </c>
      <c r="F5" t="s">
        <v>167</v>
      </c>
      <c r="G5" t="s">
        <v>168</v>
      </c>
      <c r="H5" t="s">
        <v>166</v>
      </c>
      <c r="I5" t="s">
        <v>166</v>
      </c>
      <c r="J5" t="s">
        <v>166</v>
      </c>
      <c r="K5" t="s">
        <v>166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166</v>
      </c>
    </row>
    <row r="6" spans="1:47">
      <c r="A6" t="s">
        <v>49</v>
      </c>
      <c r="B6" t="s">
        <v>50</v>
      </c>
      <c r="C6" t="s">
        <v>171</v>
      </c>
      <c r="D6" t="s">
        <v>166</v>
      </c>
      <c r="E6" t="s">
        <v>68</v>
      </c>
      <c r="F6" t="s">
        <v>167</v>
      </c>
      <c r="G6" t="s">
        <v>168</v>
      </c>
      <c r="H6" t="s">
        <v>166</v>
      </c>
      <c r="I6" t="s">
        <v>166</v>
      </c>
      <c r="J6" t="s">
        <v>166</v>
      </c>
      <c r="K6" t="s">
        <v>166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166</v>
      </c>
    </row>
    <row r="7" spans="1:47">
      <c r="A7" t="s">
        <v>49</v>
      </c>
      <c r="B7" t="s">
        <v>50</v>
      </c>
      <c r="C7" t="s">
        <v>111</v>
      </c>
      <c r="D7" t="s">
        <v>166</v>
      </c>
      <c r="E7" t="s">
        <v>68</v>
      </c>
      <c r="F7" t="s">
        <v>167</v>
      </c>
      <c r="G7" t="s">
        <v>168</v>
      </c>
      <c r="H7" t="s">
        <v>166</v>
      </c>
      <c r="I7" t="s">
        <v>166</v>
      </c>
      <c r="J7" t="s">
        <v>166</v>
      </c>
      <c r="K7" t="s">
        <v>166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166</v>
      </c>
    </row>
    <row r="8" spans="1:47">
      <c r="A8" t="s">
        <v>49</v>
      </c>
      <c r="B8" t="s">
        <v>50</v>
      </c>
      <c r="C8" t="s">
        <v>172</v>
      </c>
      <c r="D8" t="s">
        <v>166</v>
      </c>
      <c r="E8" t="s">
        <v>68</v>
      </c>
      <c r="F8" t="s">
        <v>167</v>
      </c>
      <c r="G8" t="s">
        <v>168</v>
      </c>
      <c r="H8" t="s">
        <v>166</v>
      </c>
      <c r="I8" t="s">
        <v>166</v>
      </c>
      <c r="J8" t="s">
        <v>166</v>
      </c>
      <c r="K8" t="s">
        <v>166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166</v>
      </c>
    </row>
    <row r="9" spans="1:47">
      <c r="A9" t="s">
        <v>49</v>
      </c>
      <c r="B9" t="s">
        <v>50</v>
      </c>
      <c r="C9" t="s">
        <v>173</v>
      </c>
      <c r="D9" t="s">
        <v>166</v>
      </c>
      <c r="E9" t="s">
        <v>68</v>
      </c>
      <c r="F9" t="s">
        <v>167</v>
      </c>
      <c r="G9" t="s">
        <v>168</v>
      </c>
      <c r="H9" t="s">
        <v>166</v>
      </c>
      <c r="I9" t="s">
        <v>166</v>
      </c>
      <c r="J9" t="s">
        <v>166</v>
      </c>
      <c r="K9" t="s">
        <v>166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166</v>
      </c>
    </row>
    <row r="10" spans="1:47">
      <c r="A10" t="s">
        <v>49</v>
      </c>
      <c r="B10" t="s">
        <v>50</v>
      </c>
      <c r="C10" t="s">
        <v>174</v>
      </c>
      <c r="D10" t="s">
        <v>166</v>
      </c>
      <c r="E10" t="s">
        <v>68</v>
      </c>
      <c r="F10" t="s">
        <v>167</v>
      </c>
      <c r="G10" t="s">
        <v>168</v>
      </c>
      <c r="H10" t="s">
        <v>166</v>
      </c>
      <c r="I10" t="s">
        <v>166</v>
      </c>
      <c r="J10" t="s">
        <v>166</v>
      </c>
      <c r="K10" t="s">
        <v>166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166</v>
      </c>
    </row>
    <row r="11" spans="1:47">
      <c r="A11" t="s">
        <v>49</v>
      </c>
      <c r="B11" t="s">
        <v>50</v>
      </c>
      <c r="C11" t="s">
        <v>175</v>
      </c>
      <c r="D11" t="s">
        <v>166</v>
      </c>
      <c r="E11" t="s">
        <v>68</v>
      </c>
      <c r="F11" t="s">
        <v>167</v>
      </c>
      <c r="G11" t="s">
        <v>168</v>
      </c>
      <c r="H11" t="s">
        <v>166</v>
      </c>
      <c r="I11" t="s">
        <v>166</v>
      </c>
      <c r="J11" t="s">
        <v>166</v>
      </c>
      <c r="K11" t="s">
        <v>166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166</v>
      </c>
    </row>
    <row r="12" spans="1:47">
      <c r="A12" t="s">
        <v>49</v>
      </c>
      <c r="B12" t="s">
        <v>50</v>
      </c>
      <c r="C12" t="s">
        <v>176</v>
      </c>
      <c r="D12" t="s">
        <v>166</v>
      </c>
      <c r="E12" t="s">
        <v>68</v>
      </c>
      <c r="F12" t="s">
        <v>167</v>
      </c>
      <c r="G12" t="s">
        <v>168</v>
      </c>
      <c r="H12" t="s">
        <v>166</v>
      </c>
      <c r="I12" t="s">
        <v>166</v>
      </c>
      <c r="J12" t="s">
        <v>166</v>
      </c>
      <c r="K12" t="s">
        <v>166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166</v>
      </c>
    </row>
    <row r="13" spans="1:47">
      <c r="A13" t="s">
        <v>49</v>
      </c>
      <c r="B13" t="s">
        <v>50</v>
      </c>
      <c r="C13" t="s">
        <v>177</v>
      </c>
      <c r="D13" t="s">
        <v>166</v>
      </c>
      <c r="E13" t="s">
        <v>68</v>
      </c>
      <c r="F13" t="s">
        <v>167</v>
      </c>
      <c r="G13" t="s">
        <v>168</v>
      </c>
      <c r="H13" t="s">
        <v>166</v>
      </c>
      <c r="I13" t="s">
        <v>166</v>
      </c>
      <c r="J13" t="s">
        <v>166</v>
      </c>
      <c r="K13" t="s">
        <v>166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12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12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166</v>
      </c>
    </row>
    <row r="14" spans="1:47">
      <c r="A14" t="s">
        <v>49</v>
      </c>
      <c r="B14" t="s">
        <v>50</v>
      </c>
      <c r="C14" t="s">
        <v>178</v>
      </c>
      <c r="D14" t="s">
        <v>166</v>
      </c>
      <c r="E14" t="s">
        <v>68</v>
      </c>
      <c r="F14" t="s">
        <v>167</v>
      </c>
      <c r="G14" t="s">
        <v>168</v>
      </c>
      <c r="H14" t="s">
        <v>166</v>
      </c>
      <c r="I14" t="s">
        <v>166</v>
      </c>
      <c r="J14" t="s">
        <v>166</v>
      </c>
      <c r="K14" t="s">
        <v>166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12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12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166</v>
      </c>
    </row>
    <row r="15" spans="1:47">
      <c r="A15" t="s">
        <v>49</v>
      </c>
      <c r="B15" t="s">
        <v>50</v>
      </c>
      <c r="C15" t="s">
        <v>179</v>
      </c>
      <c r="D15" t="s">
        <v>166</v>
      </c>
      <c r="E15" t="s">
        <v>68</v>
      </c>
      <c r="F15" t="s">
        <v>167</v>
      </c>
      <c r="G15" t="s">
        <v>168</v>
      </c>
      <c r="H15" t="s">
        <v>166</v>
      </c>
      <c r="I15" t="s">
        <v>166</v>
      </c>
      <c r="J15" t="s">
        <v>166</v>
      </c>
      <c r="K15" t="s">
        <v>166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12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12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166</v>
      </c>
    </row>
    <row r="16" spans="1:47">
      <c r="A16" t="s">
        <v>49</v>
      </c>
      <c r="B16" t="s">
        <v>50</v>
      </c>
      <c r="C16" t="s">
        <v>180</v>
      </c>
      <c r="D16" t="s">
        <v>166</v>
      </c>
      <c r="E16" t="s">
        <v>68</v>
      </c>
      <c r="F16" t="s">
        <v>167</v>
      </c>
      <c r="G16" t="s">
        <v>168</v>
      </c>
      <c r="H16" t="s">
        <v>166</v>
      </c>
      <c r="I16" t="s">
        <v>166</v>
      </c>
      <c r="J16" t="s">
        <v>166</v>
      </c>
      <c r="K16" t="s">
        <v>166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12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12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166</v>
      </c>
    </row>
    <row r="17" spans="1:47">
      <c r="A17" t="s">
        <v>49</v>
      </c>
      <c r="B17" t="s">
        <v>50</v>
      </c>
      <c r="C17" t="s">
        <v>112</v>
      </c>
      <c r="D17" t="s">
        <v>166</v>
      </c>
      <c r="E17" t="s">
        <v>68</v>
      </c>
      <c r="F17" t="s">
        <v>167</v>
      </c>
      <c r="G17" t="s">
        <v>168</v>
      </c>
      <c r="H17" t="s">
        <v>166</v>
      </c>
      <c r="I17" t="s">
        <v>166</v>
      </c>
      <c r="J17" t="s">
        <v>166</v>
      </c>
      <c r="K17" t="s">
        <v>166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12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12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166</v>
      </c>
    </row>
    <row r="18" spans="1:47">
      <c r="A18" t="s">
        <v>49</v>
      </c>
      <c r="B18" t="s">
        <v>50</v>
      </c>
      <c r="C18" t="s">
        <v>181</v>
      </c>
      <c r="D18" t="s">
        <v>166</v>
      </c>
      <c r="E18" t="s">
        <v>68</v>
      </c>
      <c r="F18" t="s">
        <v>167</v>
      </c>
      <c r="G18" t="s">
        <v>168</v>
      </c>
      <c r="H18" t="s">
        <v>166</v>
      </c>
      <c r="I18" t="s">
        <v>166</v>
      </c>
      <c r="J18" t="s">
        <v>166</v>
      </c>
      <c r="K18" t="s">
        <v>166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12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12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166</v>
      </c>
    </row>
    <row r="19" spans="1:47">
      <c r="A19" t="s">
        <v>49</v>
      </c>
      <c r="B19" t="s">
        <v>50</v>
      </c>
      <c r="C19" t="s">
        <v>182</v>
      </c>
      <c r="D19" t="s">
        <v>166</v>
      </c>
      <c r="E19" t="s">
        <v>68</v>
      </c>
      <c r="F19" t="s">
        <v>167</v>
      </c>
      <c r="G19" t="s">
        <v>168</v>
      </c>
      <c r="H19" t="s">
        <v>166</v>
      </c>
      <c r="I19" t="s">
        <v>166</v>
      </c>
      <c r="J19" t="s">
        <v>166</v>
      </c>
      <c r="K19" t="s">
        <v>166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12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12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166</v>
      </c>
    </row>
    <row r="20" spans="1:47">
      <c r="A20" t="s">
        <v>49</v>
      </c>
      <c r="B20" t="s">
        <v>50</v>
      </c>
      <c r="C20" t="s">
        <v>183</v>
      </c>
      <c r="D20" t="s">
        <v>166</v>
      </c>
      <c r="E20" t="s">
        <v>68</v>
      </c>
      <c r="F20" t="s">
        <v>167</v>
      </c>
      <c r="G20" t="s">
        <v>168</v>
      </c>
      <c r="H20" t="s">
        <v>166</v>
      </c>
      <c r="I20" t="s">
        <v>166</v>
      </c>
      <c r="J20" t="s">
        <v>166</v>
      </c>
      <c r="K20" t="s">
        <v>166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166</v>
      </c>
    </row>
    <row r="21" spans="1:47">
      <c r="A21" t="s">
        <v>49</v>
      </c>
      <c r="B21" t="s">
        <v>50</v>
      </c>
      <c r="C21" t="s">
        <v>113</v>
      </c>
      <c r="D21" t="s">
        <v>166</v>
      </c>
      <c r="E21" t="s">
        <v>68</v>
      </c>
      <c r="F21" t="s">
        <v>167</v>
      </c>
      <c r="G21" t="s">
        <v>168</v>
      </c>
      <c r="H21" t="s">
        <v>166</v>
      </c>
      <c r="I21" t="s">
        <v>166</v>
      </c>
      <c r="J21" t="s">
        <v>166</v>
      </c>
      <c r="K21" t="s">
        <v>166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166</v>
      </c>
    </row>
    <row r="22" spans="1:47">
      <c r="A22" t="s">
        <v>49</v>
      </c>
      <c r="B22" t="s">
        <v>50</v>
      </c>
      <c r="C22" t="s">
        <v>184</v>
      </c>
      <c r="D22" t="s">
        <v>166</v>
      </c>
      <c r="E22" t="s">
        <v>68</v>
      </c>
      <c r="F22" t="s">
        <v>167</v>
      </c>
      <c r="G22" t="s">
        <v>168</v>
      </c>
      <c r="H22" t="s">
        <v>166</v>
      </c>
      <c r="I22" t="s">
        <v>166</v>
      </c>
      <c r="J22" t="s">
        <v>166</v>
      </c>
      <c r="K22" t="s">
        <v>166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166</v>
      </c>
    </row>
    <row r="23" spans="1:47">
      <c r="A23" t="s">
        <v>49</v>
      </c>
      <c r="B23" t="s">
        <v>50</v>
      </c>
      <c r="C23" t="s">
        <v>185</v>
      </c>
      <c r="D23" t="s">
        <v>166</v>
      </c>
      <c r="E23" t="s">
        <v>68</v>
      </c>
      <c r="F23" t="s">
        <v>167</v>
      </c>
      <c r="G23" t="s">
        <v>168</v>
      </c>
      <c r="H23" t="s">
        <v>166</v>
      </c>
      <c r="I23" t="s">
        <v>166</v>
      </c>
      <c r="J23" t="s">
        <v>166</v>
      </c>
      <c r="K23" t="s">
        <v>166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166</v>
      </c>
    </row>
    <row r="24" spans="1:47">
      <c r="A24" t="s">
        <v>49</v>
      </c>
      <c r="B24" t="s">
        <v>50</v>
      </c>
      <c r="C24" t="s">
        <v>114</v>
      </c>
      <c r="D24" t="s">
        <v>166</v>
      </c>
      <c r="E24" t="s">
        <v>68</v>
      </c>
      <c r="F24" t="s">
        <v>167</v>
      </c>
      <c r="G24" t="s">
        <v>168</v>
      </c>
      <c r="H24" t="s">
        <v>166</v>
      </c>
      <c r="I24" t="s">
        <v>166</v>
      </c>
      <c r="J24" t="s">
        <v>166</v>
      </c>
      <c r="K24" t="s">
        <v>166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166</v>
      </c>
    </row>
    <row r="25" spans="1:47">
      <c r="A25" t="s">
        <v>49</v>
      </c>
      <c r="B25" t="s">
        <v>50</v>
      </c>
      <c r="C25" t="s">
        <v>186</v>
      </c>
      <c r="D25" t="s">
        <v>166</v>
      </c>
      <c r="E25" t="s">
        <v>68</v>
      </c>
      <c r="F25" t="s">
        <v>167</v>
      </c>
      <c r="G25" t="s">
        <v>168</v>
      </c>
      <c r="H25" t="s">
        <v>166</v>
      </c>
      <c r="I25" t="s">
        <v>166</v>
      </c>
      <c r="J25" t="s">
        <v>166</v>
      </c>
      <c r="K25" t="s">
        <v>166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166</v>
      </c>
    </row>
    <row r="26" spans="1:47">
      <c r="A26" t="s">
        <v>49</v>
      </c>
      <c r="B26" t="s">
        <v>50</v>
      </c>
      <c r="C26" t="s">
        <v>187</v>
      </c>
      <c r="D26" t="s">
        <v>166</v>
      </c>
      <c r="E26" t="s">
        <v>68</v>
      </c>
      <c r="F26" t="s">
        <v>167</v>
      </c>
      <c r="G26" t="s">
        <v>168</v>
      </c>
      <c r="H26" t="s">
        <v>166</v>
      </c>
      <c r="I26" t="s">
        <v>166</v>
      </c>
      <c r="J26" t="s">
        <v>166</v>
      </c>
      <c r="K26" t="s">
        <v>166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166</v>
      </c>
    </row>
    <row r="27" spans="1:47">
      <c r="A27" t="s">
        <v>49</v>
      </c>
      <c r="B27" t="s">
        <v>50</v>
      </c>
      <c r="C27" t="s">
        <v>188</v>
      </c>
      <c r="D27" t="s">
        <v>166</v>
      </c>
      <c r="E27" t="s">
        <v>68</v>
      </c>
      <c r="F27" t="s">
        <v>167</v>
      </c>
      <c r="G27" t="s">
        <v>168</v>
      </c>
      <c r="H27" t="s">
        <v>166</v>
      </c>
      <c r="I27" t="s">
        <v>166</v>
      </c>
      <c r="J27" t="s">
        <v>166</v>
      </c>
      <c r="K27" t="s">
        <v>166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166</v>
      </c>
    </row>
    <row r="28" spans="1:47">
      <c r="A28" t="s">
        <v>49</v>
      </c>
      <c r="B28" t="s">
        <v>50</v>
      </c>
      <c r="C28" t="s">
        <v>189</v>
      </c>
      <c r="D28" t="s">
        <v>166</v>
      </c>
      <c r="E28" t="s">
        <v>68</v>
      </c>
      <c r="F28" t="s">
        <v>167</v>
      </c>
      <c r="G28" t="s">
        <v>168</v>
      </c>
      <c r="H28" t="s">
        <v>166</v>
      </c>
      <c r="I28" t="s">
        <v>166</v>
      </c>
      <c r="J28" t="s">
        <v>166</v>
      </c>
      <c r="K28" t="s">
        <v>166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166</v>
      </c>
    </row>
    <row r="29" spans="1:47">
      <c r="A29" t="s">
        <v>49</v>
      </c>
      <c r="B29" t="s">
        <v>61</v>
      </c>
      <c r="C29" t="s">
        <v>109</v>
      </c>
      <c r="D29" t="s">
        <v>166</v>
      </c>
      <c r="E29" t="s">
        <v>166</v>
      </c>
      <c r="F29" t="s">
        <v>167</v>
      </c>
      <c r="G29" t="s">
        <v>168</v>
      </c>
      <c r="H29" t="s">
        <v>166</v>
      </c>
      <c r="I29" t="s">
        <v>166</v>
      </c>
      <c r="J29" t="s">
        <v>166</v>
      </c>
      <c r="K29" t="s">
        <v>166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166</v>
      </c>
    </row>
    <row r="30" spans="1:47">
      <c r="A30" t="s">
        <v>49</v>
      </c>
      <c r="B30" t="s">
        <v>61</v>
      </c>
      <c r="C30" t="s">
        <v>169</v>
      </c>
      <c r="D30" t="s">
        <v>166</v>
      </c>
      <c r="E30" t="s">
        <v>166</v>
      </c>
      <c r="F30" t="s">
        <v>167</v>
      </c>
      <c r="G30" t="s">
        <v>168</v>
      </c>
      <c r="H30" t="s">
        <v>166</v>
      </c>
      <c r="I30" t="s">
        <v>166</v>
      </c>
      <c r="J30" t="s">
        <v>166</v>
      </c>
      <c r="K30" t="s">
        <v>166</v>
      </c>
      <c r="L30">
        <v>0.58696999999999999</v>
      </c>
      <c r="M30">
        <v>0.58696999999999999</v>
      </c>
      <c r="N30">
        <v>0.58696999999999999</v>
      </c>
      <c r="O30">
        <v>0.58696999999999999</v>
      </c>
      <c r="P30">
        <v>0.58696999999999999</v>
      </c>
      <c r="Q30">
        <v>0.58696999999999999</v>
      </c>
      <c r="R30">
        <v>0.58696999999999999</v>
      </c>
      <c r="S30">
        <v>0.58696999999999999</v>
      </c>
      <c r="T30">
        <v>0.58696999999999999</v>
      </c>
      <c r="U30">
        <v>0.58696999999999999</v>
      </c>
      <c r="V30">
        <v>0.58696999999999999</v>
      </c>
      <c r="W30">
        <v>0.58696999999999999</v>
      </c>
      <c r="X30">
        <v>0.58696999999999999</v>
      </c>
      <c r="Y30">
        <v>0.58696999999999999</v>
      </c>
      <c r="Z30">
        <v>0.58696999999999999</v>
      </c>
      <c r="AA30">
        <v>0.58696999999999999</v>
      </c>
      <c r="AB30">
        <v>0.58696999999999999</v>
      </c>
      <c r="AC30">
        <v>0.58696999999999999</v>
      </c>
      <c r="AD30">
        <v>0.58696999999999999</v>
      </c>
      <c r="AE30">
        <v>0.58696999999999999</v>
      </c>
      <c r="AF30">
        <v>0.58696999999999999</v>
      </c>
      <c r="AG30">
        <v>0.58696999999999999</v>
      </c>
      <c r="AH30">
        <v>0.58696999999999999</v>
      </c>
      <c r="AI30">
        <v>0.58696999999999999</v>
      </c>
      <c r="AJ30">
        <v>0.58696999999999999</v>
      </c>
      <c r="AK30">
        <v>0.58696999999999999</v>
      </c>
      <c r="AL30">
        <v>0.58696999999999999</v>
      </c>
      <c r="AM30">
        <v>0.58696999999999999</v>
      </c>
      <c r="AN30">
        <v>0.58696999999999999</v>
      </c>
      <c r="AO30">
        <v>0.58696999999999999</v>
      </c>
      <c r="AP30">
        <v>0.58696999999999999</v>
      </c>
      <c r="AQ30">
        <v>0.58696999999999999</v>
      </c>
      <c r="AR30">
        <v>0.58696999999999999</v>
      </c>
      <c r="AS30">
        <v>0.58696999999999999</v>
      </c>
      <c r="AT30">
        <v>0.58696999999999999</v>
      </c>
      <c r="AU30" t="s">
        <v>166</v>
      </c>
    </row>
    <row r="31" spans="1:47">
      <c r="A31" t="s">
        <v>49</v>
      </c>
      <c r="B31" t="s">
        <v>61</v>
      </c>
      <c r="C31" t="s">
        <v>170</v>
      </c>
      <c r="D31" t="s">
        <v>166</v>
      </c>
      <c r="E31" t="s">
        <v>166</v>
      </c>
      <c r="F31" t="s">
        <v>167</v>
      </c>
      <c r="G31" t="s">
        <v>168</v>
      </c>
      <c r="H31" t="s">
        <v>166</v>
      </c>
      <c r="I31" t="s">
        <v>166</v>
      </c>
      <c r="J31" t="s">
        <v>166</v>
      </c>
      <c r="K31" t="s">
        <v>166</v>
      </c>
      <c r="L31">
        <v>0.58696999999999999</v>
      </c>
      <c r="M31">
        <v>0.58696999999999999</v>
      </c>
      <c r="N31">
        <v>0.58696999999999999</v>
      </c>
      <c r="O31">
        <v>0.58696999999999999</v>
      </c>
      <c r="P31">
        <v>0.58696999999999999</v>
      </c>
      <c r="Q31">
        <v>0.58696999999999999</v>
      </c>
      <c r="R31">
        <v>0.58696999999999999</v>
      </c>
      <c r="S31">
        <v>0.58696999999999999</v>
      </c>
      <c r="T31">
        <v>0.58696999999999999</v>
      </c>
      <c r="U31">
        <v>0.58696999999999999</v>
      </c>
      <c r="V31">
        <v>0.58696999999999999</v>
      </c>
      <c r="W31">
        <v>0.58696999999999999</v>
      </c>
      <c r="X31">
        <v>0.58696999999999999</v>
      </c>
      <c r="Y31">
        <v>0.58696999999999999</v>
      </c>
      <c r="Z31">
        <v>0.58696999999999999</v>
      </c>
      <c r="AA31">
        <v>0.58696999999999999</v>
      </c>
      <c r="AB31">
        <v>0.58696999999999999</v>
      </c>
      <c r="AC31">
        <v>0.58696999999999999</v>
      </c>
      <c r="AD31">
        <v>0.58696999999999999</v>
      </c>
      <c r="AE31">
        <v>0.58696999999999999</v>
      </c>
      <c r="AF31">
        <v>0.58696999999999999</v>
      </c>
      <c r="AG31">
        <v>0.58696999999999999</v>
      </c>
      <c r="AH31">
        <v>0.58696999999999999</v>
      </c>
      <c r="AI31">
        <v>0.58696999999999999</v>
      </c>
      <c r="AJ31">
        <v>0.58696999999999999</v>
      </c>
      <c r="AK31">
        <v>0.58696999999999999</v>
      </c>
      <c r="AL31">
        <v>0.58696999999999999</v>
      </c>
      <c r="AM31">
        <v>0.58696999999999999</v>
      </c>
      <c r="AN31">
        <v>0.58696999999999999</v>
      </c>
      <c r="AO31">
        <v>0.58696999999999999</v>
      </c>
      <c r="AP31">
        <v>0.58696999999999999</v>
      </c>
      <c r="AQ31">
        <v>0.58696999999999999</v>
      </c>
      <c r="AR31">
        <v>0.58696999999999999</v>
      </c>
      <c r="AS31">
        <v>0.58696999999999999</v>
      </c>
      <c r="AT31">
        <v>0.58696999999999999</v>
      </c>
      <c r="AU31" t="s">
        <v>166</v>
      </c>
    </row>
    <row r="32" spans="1:47">
      <c r="A32" t="s">
        <v>49</v>
      </c>
      <c r="B32" t="s">
        <v>61</v>
      </c>
      <c r="C32" t="s">
        <v>110</v>
      </c>
      <c r="D32" t="s">
        <v>166</v>
      </c>
      <c r="E32" t="s">
        <v>166</v>
      </c>
      <c r="F32" t="s">
        <v>167</v>
      </c>
      <c r="G32" t="s">
        <v>168</v>
      </c>
      <c r="H32" t="s">
        <v>166</v>
      </c>
      <c r="I32" t="s">
        <v>166</v>
      </c>
      <c r="J32" t="s">
        <v>166</v>
      </c>
      <c r="K32" t="s">
        <v>166</v>
      </c>
      <c r="L32">
        <v>0.58696999999999999</v>
      </c>
      <c r="M32">
        <v>0.58696999999999999</v>
      </c>
      <c r="N32">
        <v>0.58696999999999999</v>
      </c>
      <c r="O32">
        <v>0.58696999999999999</v>
      </c>
      <c r="P32">
        <v>0.58696999999999999</v>
      </c>
      <c r="Q32">
        <v>0.58696999999999999</v>
      </c>
      <c r="R32">
        <v>0.58696999999999999</v>
      </c>
      <c r="S32">
        <v>0.58696999999999999</v>
      </c>
      <c r="T32">
        <v>0.58696999999999999</v>
      </c>
      <c r="U32">
        <v>0.58696999999999999</v>
      </c>
      <c r="V32">
        <v>0.58696999999999999</v>
      </c>
      <c r="W32">
        <v>0.58696999999999999</v>
      </c>
      <c r="X32">
        <v>0.58696999999999999</v>
      </c>
      <c r="Y32">
        <v>0.58696999999999999</v>
      </c>
      <c r="Z32">
        <v>0.58696999999999999</v>
      </c>
      <c r="AA32">
        <v>0.58696999999999999</v>
      </c>
      <c r="AB32">
        <v>0.58696999999999999</v>
      </c>
      <c r="AC32">
        <v>0.58696999999999999</v>
      </c>
      <c r="AD32">
        <v>0.58696999999999999</v>
      </c>
      <c r="AE32">
        <v>0.58696999999999999</v>
      </c>
      <c r="AF32">
        <v>0.58696999999999999</v>
      </c>
      <c r="AG32">
        <v>0.58696999999999999</v>
      </c>
      <c r="AH32">
        <v>0.58696999999999999</v>
      </c>
      <c r="AI32">
        <v>0.58696999999999999</v>
      </c>
      <c r="AJ32">
        <v>0.58696999999999999</v>
      </c>
      <c r="AK32">
        <v>0.58696999999999999</v>
      </c>
      <c r="AL32">
        <v>0.58696999999999999</v>
      </c>
      <c r="AM32">
        <v>0.58696999999999999</v>
      </c>
      <c r="AN32">
        <v>0.58696999999999999</v>
      </c>
      <c r="AO32">
        <v>0.58696999999999999</v>
      </c>
      <c r="AP32">
        <v>0.58696999999999999</v>
      </c>
      <c r="AQ32">
        <v>0.58696999999999999</v>
      </c>
      <c r="AR32">
        <v>0.58696999999999999</v>
      </c>
      <c r="AS32">
        <v>0.58696999999999999</v>
      </c>
      <c r="AT32">
        <v>0.58696999999999999</v>
      </c>
      <c r="AU32" t="s">
        <v>166</v>
      </c>
    </row>
    <row r="33" spans="1:47">
      <c r="A33" t="s">
        <v>49</v>
      </c>
      <c r="B33" t="s">
        <v>61</v>
      </c>
      <c r="C33" t="s">
        <v>171</v>
      </c>
      <c r="D33" t="s">
        <v>166</v>
      </c>
      <c r="E33" t="s">
        <v>166</v>
      </c>
      <c r="F33" t="s">
        <v>167</v>
      </c>
      <c r="G33" t="s">
        <v>168</v>
      </c>
      <c r="H33" t="s">
        <v>166</v>
      </c>
      <c r="I33" t="s">
        <v>166</v>
      </c>
      <c r="J33" t="s">
        <v>166</v>
      </c>
      <c r="K33" t="s">
        <v>166</v>
      </c>
      <c r="L33">
        <v>7.2069999999999995E-2</v>
      </c>
      <c r="M33">
        <v>7.2069999999999995E-2</v>
      </c>
      <c r="N33">
        <v>7.2069999999999995E-2</v>
      </c>
      <c r="O33">
        <v>7.2069999999999995E-2</v>
      </c>
      <c r="P33">
        <v>7.2069999999999995E-2</v>
      </c>
      <c r="Q33">
        <v>7.2069999999999995E-2</v>
      </c>
      <c r="R33">
        <v>7.2069999999999995E-2</v>
      </c>
      <c r="S33">
        <v>7.2069999999999995E-2</v>
      </c>
      <c r="T33">
        <v>7.2069999999999995E-2</v>
      </c>
      <c r="U33">
        <v>7.2069999999999995E-2</v>
      </c>
      <c r="V33">
        <v>7.2069999999999995E-2</v>
      </c>
      <c r="W33">
        <v>7.2069999999999995E-2</v>
      </c>
      <c r="X33">
        <v>7.2069999999999995E-2</v>
      </c>
      <c r="Y33">
        <v>7.2069999999999995E-2</v>
      </c>
      <c r="Z33">
        <v>7.2069999999999995E-2</v>
      </c>
      <c r="AA33">
        <v>7.2069999999999995E-2</v>
      </c>
      <c r="AB33">
        <v>7.2069999999999995E-2</v>
      </c>
      <c r="AC33">
        <v>7.2069999999999995E-2</v>
      </c>
      <c r="AD33">
        <v>7.2069999999999995E-2</v>
      </c>
      <c r="AE33">
        <v>7.2069999999999995E-2</v>
      </c>
      <c r="AF33">
        <v>7.2069999999999995E-2</v>
      </c>
      <c r="AG33">
        <v>7.2069999999999995E-2</v>
      </c>
      <c r="AH33">
        <v>7.2069999999999995E-2</v>
      </c>
      <c r="AI33">
        <v>7.2069999999999995E-2</v>
      </c>
      <c r="AJ33">
        <v>7.2069999999999995E-2</v>
      </c>
      <c r="AK33">
        <v>7.2069999999999995E-2</v>
      </c>
      <c r="AL33">
        <v>7.2069999999999995E-2</v>
      </c>
      <c r="AM33">
        <v>7.2069999999999995E-2</v>
      </c>
      <c r="AN33">
        <v>7.2069999999999995E-2</v>
      </c>
      <c r="AO33">
        <v>7.2069999999999995E-2</v>
      </c>
      <c r="AP33">
        <v>7.2069999999999995E-2</v>
      </c>
      <c r="AQ33">
        <v>7.2069999999999995E-2</v>
      </c>
      <c r="AR33">
        <v>7.2069999999999995E-2</v>
      </c>
      <c r="AS33">
        <v>7.2069999999999995E-2</v>
      </c>
      <c r="AT33">
        <v>7.2069999999999995E-2</v>
      </c>
      <c r="AU33" t="s">
        <v>166</v>
      </c>
    </row>
    <row r="34" spans="1:47">
      <c r="A34" t="s">
        <v>49</v>
      </c>
      <c r="B34" t="s">
        <v>61</v>
      </c>
      <c r="C34" t="s">
        <v>111</v>
      </c>
      <c r="D34" t="s">
        <v>166</v>
      </c>
      <c r="E34" t="s">
        <v>166</v>
      </c>
      <c r="F34" t="s">
        <v>167</v>
      </c>
      <c r="G34" t="s">
        <v>168</v>
      </c>
      <c r="H34" t="s">
        <v>166</v>
      </c>
      <c r="I34" t="s">
        <v>166</v>
      </c>
      <c r="J34" t="s">
        <v>166</v>
      </c>
      <c r="K34" t="s">
        <v>166</v>
      </c>
      <c r="L34">
        <v>7.2069999999999995E-2</v>
      </c>
      <c r="M34">
        <v>7.2069999999999995E-2</v>
      </c>
      <c r="N34">
        <v>7.2069999999999995E-2</v>
      </c>
      <c r="O34">
        <v>7.2069999999999995E-2</v>
      </c>
      <c r="P34">
        <v>7.2069999999999995E-2</v>
      </c>
      <c r="Q34">
        <v>7.2069999999999995E-2</v>
      </c>
      <c r="R34">
        <v>7.2069999999999995E-2</v>
      </c>
      <c r="S34">
        <v>7.2069999999999995E-2</v>
      </c>
      <c r="T34">
        <v>7.2069999999999995E-2</v>
      </c>
      <c r="U34">
        <v>7.2069999999999995E-2</v>
      </c>
      <c r="V34">
        <v>7.2069999999999995E-2</v>
      </c>
      <c r="W34">
        <v>7.2069999999999995E-2</v>
      </c>
      <c r="X34">
        <v>7.2069999999999995E-2</v>
      </c>
      <c r="Y34">
        <v>7.2069999999999995E-2</v>
      </c>
      <c r="Z34">
        <v>7.2069999999999995E-2</v>
      </c>
      <c r="AA34">
        <v>7.2069999999999995E-2</v>
      </c>
      <c r="AB34">
        <v>7.2069999999999995E-2</v>
      </c>
      <c r="AC34">
        <v>7.2069999999999995E-2</v>
      </c>
      <c r="AD34">
        <v>7.2069999999999995E-2</v>
      </c>
      <c r="AE34">
        <v>7.2069999999999995E-2</v>
      </c>
      <c r="AF34">
        <v>7.2069999999999995E-2</v>
      </c>
      <c r="AG34">
        <v>7.2069999999999995E-2</v>
      </c>
      <c r="AH34">
        <v>7.2069999999999995E-2</v>
      </c>
      <c r="AI34">
        <v>7.2069999999999995E-2</v>
      </c>
      <c r="AJ34">
        <v>7.2069999999999995E-2</v>
      </c>
      <c r="AK34">
        <v>7.2069999999999995E-2</v>
      </c>
      <c r="AL34">
        <v>7.2069999999999995E-2</v>
      </c>
      <c r="AM34">
        <v>7.2069999999999995E-2</v>
      </c>
      <c r="AN34">
        <v>7.2069999999999995E-2</v>
      </c>
      <c r="AO34">
        <v>7.2069999999999995E-2</v>
      </c>
      <c r="AP34">
        <v>7.2069999999999995E-2</v>
      </c>
      <c r="AQ34">
        <v>7.2069999999999995E-2</v>
      </c>
      <c r="AR34">
        <v>7.2069999999999995E-2</v>
      </c>
      <c r="AS34">
        <v>7.2069999999999995E-2</v>
      </c>
      <c r="AT34">
        <v>7.2069999999999995E-2</v>
      </c>
      <c r="AU34" t="s">
        <v>166</v>
      </c>
    </row>
    <row r="35" spans="1:47">
      <c r="A35" t="s">
        <v>49</v>
      </c>
      <c r="B35" t="s">
        <v>61</v>
      </c>
      <c r="C35" t="s">
        <v>172</v>
      </c>
      <c r="D35" t="s">
        <v>166</v>
      </c>
      <c r="E35" t="s">
        <v>166</v>
      </c>
      <c r="F35" t="s">
        <v>167</v>
      </c>
      <c r="G35" t="s">
        <v>168</v>
      </c>
      <c r="H35" t="s">
        <v>166</v>
      </c>
      <c r="I35" t="s">
        <v>166</v>
      </c>
      <c r="J35" t="s">
        <v>166</v>
      </c>
      <c r="K35" t="s">
        <v>166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166</v>
      </c>
    </row>
    <row r="36" spans="1:47">
      <c r="A36" t="s">
        <v>49</v>
      </c>
      <c r="B36" t="s">
        <v>61</v>
      </c>
      <c r="C36" t="s">
        <v>173</v>
      </c>
      <c r="D36" t="s">
        <v>166</v>
      </c>
      <c r="E36" t="s">
        <v>166</v>
      </c>
      <c r="F36" t="s">
        <v>167</v>
      </c>
      <c r="G36" t="s">
        <v>168</v>
      </c>
      <c r="H36" t="s">
        <v>166</v>
      </c>
      <c r="I36" t="s">
        <v>166</v>
      </c>
      <c r="J36" t="s">
        <v>166</v>
      </c>
      <c r="K36" t="s">
        <v>166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166</v>
      </c>
    </row>
    <row r="37" spans="1:47">
      <c r="A37" t="s">
        <v>49</v>
      </c>
      <c r="B37" t="s">
        <v>61</v>
      </c>
      <c r="C37" t="s">
        <v>174</v>
      </c>
      <c r="D37" t="s">
        <v>166</v>
      </c>
      <c r="E37" t="s">
        <v>166</v>
      </c>
      <c r="F37" t="s">
        <v>167</v>
      </c>
      <c r="G37" t="s">
        <v>168</v>
      </c>
      <c r="H37" t="s">
        <v>166</v>
      </c>
      <c r="I37" t="s">
        <v>166</v>
      </c>
      <c r="J37" t="s">
        <v>166</v>
      </c>
      <c r="K37" t="s">
        <v>166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166</v>
      </c>
    </row>
    <row r="38" spans="1:47">
      <c r="A38" t="s">
        <v>49</v>
      </c>
      <c r="B38" t="s">
        <v>61</v>
      </c>
      <c r="C38" t="s">
        <v>175</v>
      </c>
      <c r="D38" t="s">
        <v>166</v>
      </c>
      <c r="E38" t="s">
        <v>166</v>
      </c>
      <c r="F38" t="s">
        <v>167</v>
      </c>
      <c r="G38" t="s">
        <v>168</v>
      </c>
      <c r="H38" t="s">
        <v>166</v>
      </c>
      <c r="I38" t="s">
        <v>166</v>
      </c>
      <c r="J38" t="s">
        <v>166</v>
      </c>
      <c r="K38" t="s">
        <v>166</v>
      </c>
      <c r="L38">
        <v>7.5999999999999998E-2</v>
      </c>
      <c r="M38">
        <v>7.5999999999999998E-2</v>
      </c>
      <c r="N38">
        <v>7.5999999999999998E-2</v>
      </c>
      <c r="O38">
        <v>7.5999999999999998E-2</v>
      </c>
      <c r="P38">
        <v>7.5999999999999998E-2</v>
      </c>
      <c r="Q38">
        <v>7.5999999999999998E-2</v>
      </c>
      <c r="R38">
        <v>7.5999999999999998E-2</v>
      </c>
      <c r="S38">
        <v>7.5999999999999998E-2</v>
      </c>
      <c r="T38">
        <v>7.5999999999999998E-2</v>
      </c>
      <c r="U38">
        <v>7.5999999999999998E-2</v>
      </c>
      <c r="V38">
        <v>7.5999999999999998E-2</v>
      </c>
      <c r="W38">
        <v>7.5999999999999998E-2</v>
      </c>
      <c r="X38">
        <v>7.5999999999999998E-2</v>
      </c>
      <c r="Y38">
        <v>7.5999999999999998E-2</v>
      </c>
      <c r="Z38">
        <v>7.5999999999999998E-2</v>
      </c>
      <c r="AA38">
        <v>7.5999999999999998E-2</v>
      </c>
      <c r="AB38">
        <v>7.5999999999999998E-2</v>
      </c>
      <c r="AC38">
        <v>7.5999999999999998E-2</v>
      </c>
      <c r="AD38">
        <v>7.5999999999999998E-2</v>
      </c>
      <c r="AE38">
        <v>7.5999999999999998E-2</v>
      </c>
      <c r="AF38">
        <v>7.5999999999999998E-2</v>
      </c>
      <c r="AG38">
        <v>7.5999999999999998E-2</v>
      </c>
      <c r="AH38">
        <v>7.5999999999999998E-2</v>
      </c>
      <c r="AI38">
        <v>7.5999999999999998E-2</v>
      </c>
      <c r="AJ38">
        <v>7.5999999999999998E-2</v>
      </c>
      <c r="AK38">
        <v>7.5999999999999998E-2</v>
      </c>
      <c r="AL38">
        <v>7.5999999999999998E-2</v>
      </c>
      <c r="AM38">
        <v>7.5999999999999998E-2</v>
      </c>
      <c r="AN38">
        <v>7.5999999999999998E-2</v>
      </c>
      <c r="AO38">
        <v>7.5999999999999998E-2</v>
      </c>
      <c r="AP38">
        <v>7.5999999999999998E-2</v>
      </c>
      <c r="AQ38">
        <v>7.5999999999999998E-2</v>
      </c>
      <c r="AR38">
        <v>7.5999999999999998E-2</v>
      </c>
      <c r="AS38">
        <v>7.5999999999999998E-2</v>
      </c>
      <c r="AT38">
        <v>7.5999999999999998E-2</v>
      </c>
      <c r="AU38" t="s">
        <v>166</v>
      </c>
    </row>
    <row r="39" spans="1:47">
      <c r="A39" t="s">
        <v>49</v>
      </c>
      <c r="B39" t="s">
        <v>61</v>
      </c>
      <c r="C39" t="s">
        <v>176</v>
      </c>
      <c r="D39" t="s">
        <v>166</v>
      </c>
      <c r="E39" t="s">
        <v>166</v>
      </c>
      <c r="F39" t="s">
        <v>167</v>
      </c>
      <c r="G39" t="s">
        <v>168</v>
      </c>
      <c r="H39" t="s">
        <v>166</v>
      </c>
      <c r="I39" t="s">
        <v>166</v>
      </c>
      <c r="J39" t="s">
        <v>166</v>
      </c>
      <c r="K39" t="s">
        <v>166</v>
      </c>
      <c r="L39">
        <v>6.1199999999999997E-2</v>
      </c>
      <c r="M39">
        <v>6.1199999999999997E-2</v>
      </c>
      <c r="N39">
        <v>6.1199999999999997E-2</v>
      </c>
      <c r="O39">
        <v>6.1199999999999997E-2</v>
      </c>
      <c r="P39">
        <v>6.1199999999999997E-2</v>
      </c>
      <c r="Q39">
        <v>6.1199999999999997E-2</v>
      </c>
      <c r="R39">
        <v>6.1199999999999997E-2</v>
      </c>
      <c r="S39">
        <v>6.1199999999999997E-2</v>
      </c>
      <c r="T39">
        <v>6.1199999999999997E-2</v>
      </c>
      <c r="U39">
        <v>6.1199999999999997E-2</v>
      </c>
      <c r="V39">
        <v>6.1199999999999997E-2</v>
      </c>
      <c r="W39">
        <v>6.1199999999999997E-2</v>
      </c>
      <c r="X39">
        <v>6.1199999999999997E-2</v>
      </c>
      <c r="Y39">
        <v>6.1199999999999997E-2</v>
      </c>
      <c r="Z39">
        <v>6.1199999999999997E-2</v>
      </c>
      <c r="AA39">
        <v>6.1199999999999997E-2</v>
      </c>
      <c r="AB39">
        <v>6.1199999999999997E-2</v>
      </c>
      <c r="AC39">
        <v>6.1199999999999997E-2</v>
      </c>
      <c r="AD39">
        <v>6.1199999999999997E-2</v>
      </c>
      <c r="AE39">
        <v>6.1199999999999997E-2</v>
      </c>
      <c r="AF39">
        <v>6.1199999999999997E-2</v>
      </c>
      <c r="AG39">
        <v>6.1199999999999997E-2</v>
      </c>
      <c r="AH39">
        <v>6.1199999999999997E-2</v>
      </c>
      <c r="AI39">
        <v>6.1199999999999997E-2</v>
      </c>
      <c r="AJ39">
        <v>6.1199999999999997E-2</v>
      </c>
      <c r="AK39">
        <v>6.1199999999999997E-2</v>
      </c>
      <c r="AL39">
        <v>6.1199999999999997E-2</v>
      </c>
      <c r="AM39">
        <v>6.1199999999999997E-2</v>
      </c>
      <c r="AN39">
        <v>6.1199999999999997E-2</v>
      </c>
      <c r="AO39">
        <v>6.1199999999999997E-2</v>
      </c>
      <c r="AP39">
        <v>6.1199999999999997E-2</v>
      </c>
      <c r="AQ39">
        <v>6.1199999999999997E-2</v>
      </c>
      <c r="AR39">
        <v>6.1199999999999997E-2</v>
      </c>
      <c r="AS39">
        <v>6.1199999999999997E-2</v>
      </c>
      <c r="AT39">
        <v>6.1199999999999997E-2</v>
      </c>
      <c r="AU39" t="s">
        <v>166</v>
      </c>
    </row>
    <row r="40" spans="1:47">
      <c r="A40" t="s">
        <v>49</v>
      </c>
      <c r="B40" t="s">
        <v>61</v>
      </c>
      <c r="C40" t="s">
        <v>177</v>
      </c>
      <c r="D40" t="s">
        <v>166</v>
      </c>
      <c r="E40" t="s">
        <v>166</v>
      </c>
      <c r="F40" t="s">
        <v>167</v>
      </c>
      <c r="G40" t="s">
        <v>168</v>
      </c>
      <c r="H40" t="s">
        <v>166</v>
      </c>
      <c r="I40" t="s">
        <v>166</v>
      </c>
      <c r="J40" t="s">
        <v>166</v>
      </c>
      <c r="K40" t="s">
        <v>166</v>
      </c>
      <c r="L40">
        <v>0.52772280688712803</v>
      </c>
      <c r="M40">
        <v>0.52772280688712803</v>
      </c>
      <c r="N40">
        <v>0.52772280688712803</v>
      </c>
      <c r="O40">
        <v>0.52772280688712803</v>
      </c>
      <c r="P40">
        <v>0.52772280688712803</v>
      </c>
      <c r="Q40">
        <v>0.52772280688712803</v>
      </c>
      <c r="R40">
        <v>0.52772280688712803</v>
      </c>
      <c r="S40">
        <v>0.52772280688712803</v>
      </c>
      <c r="T40">
        <v>0.52772280688712803</v>
      </c>
      <c r="U40">
        <v>0.52772280688712803</v>
      </c>
      <c r="V40">
        <v>0.52772280688712803</v>
      </c>
      <c r="W40">
        <v>0.52772280688712803</v>
      </c>
      <c r="X40">
        <v>0.52772280688712803</v>
      </c>
      <c r="Y40">
        <v>0.52772280688712803</v>
      </c>
      <c r="Z40">
        <v>0.52772280688712803</v>
      </c>
      <c r="AA40">
        <v>0.52772280688712803</v>
      </c>
      <c r="AB40">
        <v>0.52772280688712803</v>
      </c>
      <c r="AC40">
        <v>0.52772280688712803</v>
      </c>
      <c r="AD40">
        <v>0.52772280688712803</v>
      </c>
      <c r="AE40">
        <v>0.52772280688712803</v>
      </c>
      <c r="AF40">
        <v>0.52772280688712803</v>
      </c>
      <c r="AG40">
        <v>0.52772280688712803</v>
      </c>
      <c r="AH40">
        <v>0.52772280688712803</v>
      </c>
      <c r="AI40">
        <v>0.52772280688712803</v>
      </c>
      <c r="AJ40">
        <v>0.52772280688712803</v>
      </c>
      <c r="AK40">
        <v>0.52772280688712803</v>
      </c>
      <c r="AL40">
        <v>0.52772280688712803</v>
      </c>
      <c r="AM40">
        <v>0.52772280688712803</v>
      </c>
      <c r="AN40">
        <v>0.52772280688712803</v>
      </c>
      <c r="AO40">
        <v>0.52772280688712803</v>
      </c>
      <c r="AP40">
        <v>0.52772280688712803</v>
      </c>
      <c r="AQ40">
        <v>0.52772280688712803</v>
      </c>
      <c r="AR40">
        <v>0.52772280688712803</v>
      </c>
      <c r="AS40">
        <v>0.52772280688712803</v>
      </c>
      <c r="AT40">
        <v>0.52772280688712803</v>
      </c>
      <c r="AU40" t="s">
        <v>166</v>
      </c>
    </row>
    <row r="41" spans="1:47">
      <c r="A41" t="s">
        <v>49</v>
      </c>
      <c r="B41" t="s">
        <v>61</v>
      </c>
      <c r="C41" t="s">
        <v>178</v>
      </c>
      <c r="D41" t="s">
        <v>166</v>
      </c>
      <c r="E41" t="s">
        <v>166</v>
      </c>
      <c r="F41" t="s">
        <v>167</v>
      </c>
      <c r="G41" t="s">
        <v>168</v>
      </c>
      <c r="H41" t="s">
        <v>166</v>
      </c>
      <c r="I41" t="s">
        <v>166</v>
      </c>
      <c r="J41" t="s">
        <v>166</v>
      </c>
      <c r="K41" t="s">
        <v>166</v>
      </c>
      <c r="L41">
        <v>0.52772280688712803</v>
      </c>
      <c r="M41">
        <v>0.52772280688712803</v>
      </c>
      <c r="N41">
        <v>0.52772280688712803</v>
      </c>
      <c r="O41">
        <v>0.52772280688712803</v>
      </c>
      <c r="P41">
        <v>0.52772280688712803</v>
      </c>
      <c r="Q41">
        <v>0.52772280688712803</v>
      </c>
      <c r="R41">
        <v>0.52772280688712803</v>
      </c>
      <c r="S41">
        <v>0.52772280688712803</v>
      </c>
      <c r="T41">
        <v>0.52772280688712803</v>
      </c>
      <c r="U41">
        <v>0.52772280688712803</v>
      </c>
      <c r="V41">
        <v>0.52772280688712803</v>
      </c>
      <c r="W41">
        <v>0.52772280688712803</v>
      </c>
      <c r="X41">
        <v>0.52772280688712803</v>
      </c>
      <c r="Y41">
        <v>0.52772280688712803</v>
      </c>
      <c r="Z41">
        <v>0.52772280688712803</v>
      </c>
      <c r="AA41">
        <v>0.52772280688712803</v>
      </c>
      <c r="AB41">
        <v>0.52772280688712803</v>
      </c>
      <c r="AC41">
        <v>0.52772280688712803</v>
      </c>
      <c r="AD41">
        <v>0.52772280688712803</v>
      </c>
      <c r="AE41">
        <v>0.52772280688712803</v>
      </c>
      <c r="AF41">
        <v>0.52772280688712803</v>
      </c>
      <c r="AG41">
        <v>0.52772280688712803</v>
      </c>
      <c r="AH41">
        <v>0.52772280688712803</v>
      </c>
      <c r="AI41">
        <v>0.52772280688712803</v>
      </c>
      <c r="AJ41">
        <v>0.52772280688712803</v>
      </c>
      <c r="AK41">
        <v>0.52772280688712803</v>
      </c>
      <c r="AL41">
        <v>0.52772280688712803</v>
      </c>
      <c r="AM41">
        <v>0.52772280688712803</v>
      </c>
      <c r="AN41">
        <v>0.52772280688712803</v>
      </c>
      <c r="AO41">
        <v>0.52772280688712803</v>
      </c>
      <c r="AP41">
        <v>0.52772280688712803</v>
      </c>
      <c r="AQ41">
        <v>0.52772280688712803</v>
      </c>
      <c r="AR41">
        <v>0.52772280688712803</v>
      </c>
      <c r="AS41">
        <v>0.52772280688712803</v>
      </c>
      <c r="AT41">
        <v>0.52772280688712803</v>
      </c>
      <c r="AU41" t="s">
        <v>166</v>
      </c>
    </row>
    <row r="42" spans="1:47">
      <c r="A42" t="s">
        <v>49</v>
      </c>
      <c r="B42" t="s">
        <v>61</v>
      </c>
      <c r="C42" t="s">
        <v>179</v>
      </c>
      <c r="D42" t="s">
        <v>166</v>
      </c>
      <c r="E42" t="s">
        <v>166</v>
      </c>
      <c r="F42" t="s">
        <v>167</v>
      </c>
      <c r="G42" t="s">
        <v>168</v>
      </c>
      <c r="H42" t="s">
        <v>166</v>
      </c>
      <c r="I42" t="s">
        <v>166</v>
      </c>
      <c r="J42" t="s">
        <v>166</v>
      </c>
      <c r="K42" t="s">
        <v>166</v>
      </c>
      <c r="L42">
        <v>1.1651321700288899</v>
      </c>
      <c r="M42">
        <v>1.1651321700288899</v>
      </c>
      <c r="N42">
        <v>1.1651321700288899</v>
      </c>
      <c r="O42">
        <v>1.1651321700288899</v>
      </c>
      <c r="P42">
        <v>1.1651321700288899</v>
      </c>
      <c r="Q42">
        <v>1.1651321700288899</v>
      </c>
      <c r="R42">
        <v>1.1651321700288899</v>
      </c>
      <c r="S42">
        <v>1.1651321700288899</v>
      </c>
      <c r="T42">
        <v>1.1651321700288899</v>
      </c>
      <c r="U42">
        <v>1.1651321700288899</v>
      </c>
      <c r="V42">
        <v>1.1651321700288899</v>
      </c>
      <c r="W42">
        <v>1.1651321700288899</v>
      </c>
      <c r="X42">
        <v>1.1651321700288899</v>
      </c>
      <c r="Y42">
        <v>1.1651321700288899</v>
      </c>
      <c r="Z42">
        <v>1.1651321700288899</v>
      </c>
      <c r="AA42">
        <v>1.1651321700288899</v>
      </c>
      <c r="AB42">
        <v>1.1651321700288899</v>
      </c>
      <c r="AC42">
        <v>1.1651321700288899</v>
      </c>
      <c r="AD42">
        <v>1.1651321700288899</v>
      </c>
      <c r="AE42">
        <v>1.1651321700288899</v>
      </c>
      <c r="AF42">
        <v>1.1651321700288899</v>
      </c>
      <c r="AG42">
        <v>1.1651321700288899</v>
      </c>
      <c r="AH42">
        <v>1.1651321700288899</v>
      </c>
      <c r="AI42">
        <v>1.1651321700288899</v>
      </c>
      <c r="AJ42">
        <v>1.1651321700288899</v>
      </c>
      <c r="AK42">
        <v>1.1651321700288899</v>
      </c>
      <c r="AL42">
        <v>1.1651321700288899</v>
      </c>
      <c r="AM42">
        <v>1.1651321700288899</v>
      </c>
      <c r="AN42">
        <v>1.1651321700288899</v>
      </c>
      <c r="AO42">
        <v>1.1651321700288899</v>
      </c>
      <c r="AP42">
        <v>1.1651321700288899</v>
      </c>
      <c r="AQ42">
        <v>1.1651321700288899</v>
      </c>
      <c r="AR42">
        <v>1.1651321700288899</v>
      </c>
      <c r="AS42">
        <v>1.1651321700288899</v>
      </c>
      <c r="AT42">
        <v>1.1651321700288899</v>
      </c>
      <c r="AU42" t="s">
        <v>166</v>
      </c>
    </row>
    <row r="43" spans="1:47">
      <c r="A43" t="s">
        <v>49</v>
      </c>
      <c r="B43" t="s">
        <v>61</v>
      </c>
      <c r="C43" t="s">
        <v>180</v>
      </c>
      <c r="D43" t="s">
        <v>166</v>
      </c>
      <c r="E43" t="s">
        <v>166</v>
      </c>
      <c r="F43" t="s">
        <v>167</v>
      </c>
      <c r="G43" t="s">
        <v>168</v>
      </c>
      <c r="H43" t="s">
        <v>166</v>
      </c>
      <c r="I43" t="s">
        <v>166</v>
      </c>
      <c r="J43" t="s">
        <v>166</v>
      </c>
      <c r="K43" t="s">
        <v>166</v>
      </c>
      <c r="L43">
        <v>0.46605286801155599</v>
      </c>
      <c r="M43">
        <v>0.46605286801155599</v>
      </c>
      <c r="N43">
        <v>0.46605286801155599</v>
      </c>
      <c r="O43">
        <v>0.46605286801155599</v>
      </c>
      <c r="P43">
        <v>0.46605286801155599</v>
      </c>
      <c r="Q43">
        <v>0.46605286801155599</v>
      </c>
      <c r="R43">
        <v>0.46605286801155599</v>
      </c>
      <c r="S43">
        <v>0.46605286801155599</v>
      </c>
      <c r="T43">
        <v>0.46605286801155599</v>
      </c>
      <c r="U43">
        <v>0.46605286801155599</v>
      </c>
      <c r="V43">
        <v>0.46605286801155599</v>
      </c>
      <c r="W43">
        <v>0.46605286801155599</v>
      </c>
      <c r="X43">
        <v>0.46605286801155599</v>
      </c>
      <c r="Y43">
        <v>0.46605286801155599</v>
      </c>
      <c r="Z43">
        <v>0.46605286801155599</v>
      </c>
      <c r="AA43">
        <v>0.46605286801155599</v>
      </c>
      <c r="AB43">
        <v>0.46605286801155599</v>
      </c>
      <c r="AC43">
        <v>0.46605286801155599</v>
      </c>
      <c r="AD43">
        <v>0.46605286801155599</v>
      </c>
      <c r="AE43">
        <v>0.46605286801155599</v>
      </c>
      <c r="AF43">
        <v>0.46605286801155599</v>
      </c>
      <c r="AG43">
        <v>0.46605286801155599</v>
      </c>
      <c r="AH43">
        <v>0.46605286801155599</v>
      </c>
      <c r="AI43">
        <v>0.46605286801155599</v>
      </c>
      <c r="AJ43">
        <v>0.46605286801155599</v>
      </c>
      <c r="AK43">
        <v>0.46605286801155599</v>
      </c>
      <c r="AL43">
        <v>0.46605286801155599</v>
      </c>
      <c r="AM43">
        <v>0.46605286801155599</v>
      </c>
      <c r="AN43">
        <v>0.46605286801155599</v>
      </c>
      <c r="AO43">
        <v>0.46605286801155599</v>
      </c>
      <c r="AP43">
        <v>0.46605286801155599</v>
      </c>
      <c r="AQ43">
        <v>0.46605286801155599</v>
      </c>
      <c r="AR43">
        <v>0.46605286801155599</v>
      </c>
      <c r="AS43">
        <v>0.46605286801155599</v>
      </c>
      <c r="AT43">
        <v>0.46605286801155599</v>
      </c>
      <c r="AU43" t="s">
        <v>166</v>
      </c>
    </row>
    <row r="44" spans="1:47">
      <c r="A44" t="s">
        <v>49</v>
      </c>
      <c r="B44" t="s">
        <v>61</v>
      </c>
      <c r="C44" t="s">
        <v>112</v>
      </c>
      <c r="D44" t="s">
        <v>166</v>
      </c>
      <c r="E44" t="s">
        <v>166</v>
      </c>
      <c r="F44" t="s">
        <v>167</v>
      </c>
      <c r="G44" t="s">
        <v>168</v>
      </c>
      <c r="H44" t="s">
        <v>166</v>
      </c>
      <c r="I44" t="s">
        <v>166</v>
      </c>
      <c r="J44" t="s">
        <v>166</v>
      </c>
      <c r="K44" t="s">
        <v>166</v>
      </c>
      <c r="L44">
        <v>0.46605286801155599</v>
      </c>
      <c r="M44">
        <v>0.46605286801155599</v>
      </c>
      <c r="N44">
        <v>0.46605286801155599</v>
      </c>
      <c r="O44">
        <v>0.46605286801155599</v>
      </c>
      <c r="P44">
        <v>0.46605286801155599</v>
      </c>
      <c r="Q44">
        <v>0.46605286801155599</v>
      </c>
      <c r="R44">
        <v>0.46605286801155599</v>
      </c>
      <c r="S44">
        <v>0.46605286801155599</v>
      </c>
      <c r="T44">
        <v>0.46605286801155599</v>
      </c>
      <c r="U44">
        <v>0.46605286801155599</v>
      </c>
      <c r="V44">
        <v>0.46605286801155599</v>
      </c>
      <c r="W44">
        <v>0.46605286801155599</v>
      </c>
      <c r="X44">
        <v>0.46605286801155599</v>
      </c>
      <c r="Y44">
        <v>0.46605286801155599</v>
      </c>
      <c r="Z44">
        <v>0.46605286801155599</v>
      </c>
      <c r="AA44">
        <v>0.46605286801155599</v>
      </c>
      <c r="AB44">
        <v>0.46605286801155599</v>
      </c>
      <c r="AC44">
        <v>0.46605286801155599</v>
      </c>
      <c r="AD44">
        <v>0.46605286801155599</v>
      </c>
      <c r="AE44">
        <v>0.46605286801155599</v>
      </c>
      <c r="AF44">
        <v>0.46605286801155599</v>
      </c>
      <c r="AG44">
        <v>0.46605286801155599</v>
      </c>
      <c r="AH44">
        <v>0.46605286801155599</v>
      </c>
      <c r="AI44">
        <v>0.46605286801155599</v>
      </c>
      <c r="AJ44">
        <v>0.46605286801155599</v>
      </c>
      <c r="AK44">
        <v>0.46605286801155599</v>
      </c>
      <c r="AL44">
        <v>0.46605286801155599</v>
      </c>
      <c r="AM44">
        <v>0.46605286801155599</v>
      </c>
      <c r="AN44">
        <v>0.46605286801155599</v>
      </c>
      <c r="AO44">
        <v>0.46605286801155599</v>
      </c>
      <c r="AP44">
        <v>0.46605286801155599</v>
      </c>
      <c r="AQ44">
        <v>0.46605286801155599</v>
      </c>
      <c r="AR44">
        <v>0.46605286801155599</v>
      </c>
      <c r="AS44">
        <v>0.46605286801155599</v>
      </c>
      <c r="AT44">
        <v>0.46605286801155599</v>
      </c>
      <c r="AU44" t="s">
        <v>166</v>
      </c>
    </row>
    <row r="45" spans="1:47">
      <c r="A45" t="s">
        <v>49</v>
      </c>
      <c r="B45" t="s">
        <v>61</v>
      </c>
      <c r="C45" t="s">
        <v>181</v>
      </c>
      <c r="D45" t="s">
        <v>166</v>
      </c>
      <c r="E45" t="s">
        <v>166</v>
      </c>
      <c r="F45" t="s">
        <v>167</v>
      </c>
      <c r="G45" t="s">
        <v>168</v>
      </c>
      <c r="H45" t="s">
        <v>166</v>
      </c>
      <c r="I45" t="s">
        <v>166</v>
      </c>
      <c r="J45" t="s">
        <v>166</v>
      </c>
      <c r="K45" t="s">
        <v>166</v>
      </c>
      <c r="L45">
        <v>0.47553149117899501</v>
      </c>
      <c r="M45">
        <v>0.47553149117899501</v>
      </c>
      <c r="N45">
        <v>0.47553149117899501</v>
      </c>
      <c r="O45">
        <v>0.47553149117899501</v>
      </c>
      <c r="P45">
        <v>0.47553149117899501</v>
      </c>
      <c r="Q45">
        <v>0.47553149117899501</v>
      </c>
      <c r="R45">
        <v>0.47553149117899501</v>
      </c>
      <c r="S45">
        <v>0.47553149117899501</v>
      </c>
      <c r="T45">
        <v>0.47553149117899501</v>
      </c>
      <c r="U45">
        <v>0.47553149117899501</v>
      </c>
      <c r="V45">
        <v>0.47553149117899501</v>
      </c>
      <c r="W45">
        <v>0.47553149117899501</v>
      </c>
      <c r="X45">
        <v>0.47553149117899501</v>
      </c>
      <c r="Y45">
        <v>0.47553149117899501</v>
      </c>
      <c r="Z45">
        <v>0.47553149117899501</v>
      </c>
      <c r="AA45">
        <v>0.47553149117899501</v>
      </c>
      <c r="AB45">
        <v>0.47553149117899501</v>
      </c>
      <c r="AC45">
        <v>0.47553149117899501</v>
      </c>
      <c r="AD45">
        <v>0.47553149117899501</v>
      </c>
      <c r="AE45">
        <v>0.47553149117899501</v>
      </c>
      <c r="AF45">
        <v>0.47553149117899501</v>
      </c>
      <c r="AG45">
        <v>0.47553149117899501</v>
      </c>
      <c r="AH45">
        <v>0.47553149117899501</v>
      </c>
      <c r="AI45">
        <v>0.47553149117899501</v>
      </c>
      <c r="AJ45">
        <v>0.47553149117899501</v>
      </c>
      <c r="AK45">
        <v>0.47553149117899501</v>
      </c>
      <c r="AL45">
        <v>0.47553149117899501</v>
      </c>
      <c r="AM45">
        <v>0.47553149117899501</v>
      </c>
      <c r="AN45">
        <v>0.47553149117899501</v>
      </c>
      <c r="AO45">
        <v>0.47553149117899501</v>
      </c>
      <c r="AP45">
        <v>0.47553149117899501</v>
      </c>
      <c r="AQ45">
        <v>0.47553149117899501</v>
      </c>
      <c r="AR45">
        <v>0.47553149117899501</v>
      </c>
      <c r="AS45">
        <v>0.47553149117899501</v>
      </c>
      <c r="AT45">
        <v>0.47553149117899501</v>
      </c>
      <c r="AU45" t="s">
        <v>166</v>
      </c>
    </row>
    <row r="46" spans="1:47">
      <c r="A46" t="s">
        <v>49</v>
      </c>
      <c r="B46" t="s">
        <v>61</v>
      </c>
      <c r="C46" t="s">
        <v>182</v>
      </c>
      <c r="D46" t="s">
        <v>166</v>
      </c>
      <c r="E46" t="s">
        <v>166</v>
      </c>
      <c r="F46" t="s">
        <v>167</v>
      </c>
      <c r="G46" t="s">
        <v>168</v>
      </c>
      <c r="H46" t="s">
        <v>166</v>
      </c>
      <c r="I46" t="s">
        <v>166</v>
      </c>
      <c r="J46" t="s">
        <v>166</v>
      </c>
      <c r="K46" t="s">
        <v>166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0.429345439465179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166</v>
      </c>
    </row>
    <row r="47" spans="1:47">
      <c r="A47" t="s">
        <v>49</v>
      </c>
      <c r="B47" t="s">
        <v>61</v>
      </c>
      <c r="C47" t="s">
        <v>183</v>
      </c>
      <c r="D47" t="s">
        <v>166</v>
      </c>
      <c r="E47" t="s">
        <v>166</v>
      </c>
      <c r="F47" t="s">
        <v>167</v>
      </c>
      <c r="G47" t="s">
        <v>168</v>
      </c>
      <c r="H47" t="s">
        <v>166</v>
      </c>
      <c r="I47" t="s">
        <v>166</v>
      </c>
      <c r="J47" t="s">
        <v>166</v>
      </c>
      <c r="K47" t="s">
        <v>166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166</v>
      </c>
    </row>
    <row r="48" spans="1:47">
      <c r="A48" t="s">
        <v>49</v>
      </c>
      <c r="B48" t="s">
        <v>61</v>
      </c>
      <c r="C48" t="s">
        <v>113</v>
      </c>
      <c r="D48" t="s">
        <v>166</v>
      </c>
      <c r="E48" t="s">
        <v>166</v>
      </c>
      <c r="F48" t="s">
        <v>167</v>
      </c>
      <c r="G48" t="s">
        <v>168</v>
      </c>
      <c r="H48" t="s">
        <v>166</v>
      </c>
      <c r="I48" t="s">
        <v>166</v>
      </c>
      <c r="J48" t="s">
        <v>166</v>
      </c>
      <c r="K48" t="s">
        <v>166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166</v>
      </c>
    </row>
    <row r="49" spans="1:47">
      <c r="A49" t="s">
        <v>49</v>
      </c>
      <c r="B49" t="s">
        <v>61</v>
      </c>
      <c r="C49" t="s">
        <v>184</v>
      </c>
      <c r="D49" t="s">
        <v>166</v>
      </c>
      <c r="E49" t="s">
        <v>166</v>
      </c>
      <c r="F49" t="s">
        <v>167</v>
      </c>
      <c r="G49" t="s">
        <v>168</v>
      </c>
      <c r="H49" t="s">
        <v>166</v>
      </c>
      <c r="I49" t="s">
        <v>166</v>
      </c>
      <c r="J49" t="s">
        <v>166</v>
      </c>
      <c r="K49" t="s">
        <v>166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166</v>
      </c>
    </row>
    <row r="50" spans="1:47">
      <c r="A50" t="s">
        <v>49</v>
      </c>
      <c r="B50" t="s">
        <v>61</v>
      </c>
      <c r="C50" t="s">
        <v>185</v>
      </c>
      <c r="D50" t="s">
        <v>166</v>
      </c>
      <c r="E50" t="s">
        <v>166</v>
      </c>
      <c r="F50" t="s">
        <v>167</v>
      </c>
      <c r="G50" t="s">
        <v>168</v>
      </c>
      <c r="H50" t="s">
        <v>166</v>
      </c>
      <c r="I50" t="s">
        <v>166</v>
      </c>
      <c r="J50" t="s">
        <v>166</v>
      </c>
      <c r="K50" t="s">
        <v>166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166</v>
      </c>
    </row>
    <row r="51" spans="1:47">
      <c r="A51" t="s">
        <v>49</v>
      </c>
      <c r="B51" t="s">
        <v>61</v>
      </c>
      <c r="C51" t="s">
        <v>114</v>
      </c>
      <c r="D51" t="s">
        <v>166</v>
      </c>
      <c r="E51" t="s">
        <v>166</v>
      </c>
      <c r="F51" t="s">
        <v>167</v>
      </c>
      <c r="G51" t="s">
        <v>168</v>
      </c>
      <c r="H51" t="s">
        <v>166</v>
      </c>
      <c r="I51" t="s">
        <v>166</v>
      </c>
      <c r="J51" t="s">
        <v>166</v>
      </c>
      <c r="K51" t="s">
        <v>166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166</v>
      </c>
    </row>
    <row r="52" spans="1:47">
      <c r="A52" t="s">
        <v>49</v>
      </c>
      <c r="B52" t="s">
        <v>61</v>
      </c>
      <c r="C52" t="s">
        <v>186</v>
      </c>
      <c r="D52" t="s">
        <v>166</v>
      </c>
      <c r="E52" t="s">
        <v>166</v>
      </c>
      <c r="F52" t="s">
        <v>167</v>
      </c>
      <c r="G52" t="s">
        <v>168</v>
      </c>
      <c r="H52" t="s">
        <v>166</v>
      </c>
      <c r="I52" t="s">
        <v>166</v>
      </c>
      <c r="J52" t="s">
        <v>166</v>
      </c>
      <c r="K52" t="s">
        <v>166</v>
      </c>
      <c r="L52">
        <v>0.74542647386440897</v>
      </c>
      <c r="M52">
        <v>0.74542647386440897</v>
      </c>
      <c r="N52">
        <v>0.74542647386440897</v>
      </c>
      <c r="O52">
        <v>0.74542647386440897</v>
      </c>
      <c r="P52">
        <v>0.74542647386440897</v>
      </c>
      <c r="Q52">
        <v>0.74542647386440897</v>
      </c>
      <c r="R52">
        <v>0.74542647386440897</v>
      </c>
      <c r="S52">
        <v>0.74542647386440897</v>
      </c>
      <c r="T52">
        <v>0.74542647386440897</v>
      </c>
      <c r="U52">
        <v>0.74542647386440897</v>
      </c>
      <c r="V52">
        <v>0.74542647386440897</v>
      </c>
      <c r="W52">
        <v>0.74542647386440897</v>
      </c>
      <c r="X52">
        <v>0.74542647386440897</v>
      </c>
      <c r="Y52">
        <v>0.74542647386440897</v>
      </c>
      <c r="Z52">
        <v>0.74542647386440897</v>
      </c>
      <c r="AA52">
        <v>0.74542647386440897</v>
      </c>
      <c r="AB52">
        <v>0.74542647386440897</v>
      </c>
      <c r="AC52">
        <v>0.74542647386440897</v>
      </c>
      <c r="AD52">
        <v>0.74542647386440897</v>
      </c>
      <c r="AE52">
        <v>0.74542647386440897</v>
      </c>
      <c r="AF52">
        <v>0.74542647386440897</v>
      </c>
      <c r="AG52">
        <v>0.74542647386440897</v>
      </c>
      <c r="AH52">
        <v>0.74542647386440897</v>
      </c>
      <c r="AI52">
        <v>0.74542647386440897</v>
      </c>
      <c r="AJ52">
        <v>0.74542647386440897</v>
      </c>
      <c r="AK52">
        <v>0.74542647386440897</v>
      </c>
      <c r="AL52">
        <v>0.74542647386440897</v>
      </c>
      <c r="AM52">
        <v>0.74542647386440897</v>
      </c>
      <c r="AN52">
        <v>0.74542647386440897</v>
      </c>
      <c r="AO52">
        <v>0.74542647386440897</v>
      </c>
      <c r="AP52">
        <v>0.74542647386440897</v>
      </c>
      <c r="AQ52">
        <v>0.74542647386440897</v>
      </c>
      <c r="AR52">
        <v>0.74542647386440897</v>
      </c>
      <c r="AS52">
        <v>0.74542647386440897</v>
      </c>
      <c r="AT52">
        <v>0.74542647386440897</v>
      </c>
      <c r="AU52" t="s">
        <v>166</v>
      </c>
    </row>
    <row r="53" spans="1:47">
      <c r="A53" t="s">
        <v>49</v>
      </c>
      <c r="B53" t="s">
        <v>61</v>
      </c>
      <c r="C53" t="s">
        <v>187</v>
      </c>
      <c r="D53" t="s">
        <v>166</v>
      </c>
      <c r="E53" t="s">
        <v>166</v>
      </c>
      <c r="F53" t="s">
        <v>167</v>
      </c>
      <c r="G53" t="s">
        <v>168</v>
      </c>
      <c r="H53" t="s">
        <v>166</v>
      </c>
      <c r="I53" t="s">
        <v>166</v>
      </c>
      <c r="J53" t="s">
        <v>166</v>
      </c>
      <c r="K53" t="s">
        <v>166</v>
      </c>
      <c r="L53">
        <v>0.37271323693220398</v>
      </c>
      <c r="M53">
        <v>0.37271323693220398</v>
      </c>
      <c r="N53">
        <v>0.37271323693220398</v>
      </c>
      <c r="O53">
        <v>0.37271323693220398</v>
      </c>
      <c r="P53">
        <v>0.37271323693220398</v>
      </c>
      <c r="Q53">
        <v>0.37271323693220398</v>
      </c>
      <c r="R53">
        <v>0.37271323693220398</v>
      </c>
      <c r="S53">
        <v>0.37271323693220398</v>
      </c>
      <c r="T53">
        <v>0.37271323693220398</v>
      </c>
      <c r="U53">
        <v>0.37271323693220398</v>
      </c>
      <c r="V53">
        <v>0.37271323693220398</v>
      </c>
      <c r="W53">
        <v>0.37271323693220398</v>
      </c>
      <c r="X53">
        <v>0.37271323693220398</v>
      </c>
      <c r="Y53">
        <v>0.37271323693220398</v>
      </c>
      <c r="Z53">
        <v>0.37271323693220398</v>
      </c>
      <c r="AA53">
        <v>0.37271323693220398</v>
      </c>
      <c r="AB53">
        <v>0.37271323693220398</v>
      </c>
      <c r="AC53">
        <v>0.37271323693220398</v>
      </c>
      <c r="AD53">
        <v>0.37271323693220398</v>
      </c>
      <c r="AE53">
        <v>0.37271323693220398</v>
      </c>
      <c r="AF53">
        <v>0.37271323693220398</v>
      </c>
      <c r="AG53">
        <v>0.37271323693220398</v>
      </c>
      <c r="AH53">
        <v>0.37271323693220398</v>
      </c>
      <c r="AI53">
        <v>0.37271323693220398</v>
      </c>
      <c r="AJ53">
        <v>0.37271323693220398</v>
      </c>
      <c r="AK53">
        <v>0.37271323693220398</v>
      </c>
      <c r="AL53">
        <v>0.37271323693220398</v>
      </c>
      <c r="AM53">
        <v>0.37271323693220398</v>
      </c>
      <c r="AN53">
        <v>0.37271323693220398</v>
      </c>
      <c r="AO53">
        <v>0.37271323693220398</v>
      </c>
      <c r="AP53">
        <v>0.37271323693220398</v>
      </c>
      <c r="AQ53">
        <v>0.37271323693220398</v>
      </c>
      <c r="AR53">
        <v>0.37271323693220398</v>
      </c>
      <c r="AS53">
        <v>0.37271323693220398</v>
      </c>
      <c r="AT53">
        <v>0.37271323693220398</v>
      </c>
      <c r="AU53" t="s">
        <v>166</v>
      </c>
    </row>
    <row r="54" spans="1:47">
      <c r="A54" t="s">
        <v>49</v>
      </c>
      <c r="B54" t="s">
        <v>61</v>
      </c>
      <c r="C54" t="s">
        <v>188</v>
      </c>
      <c r="D54" t="s">
        <v>166</v>
      </c>
      <c r="E54" t="s">
        <v>166</v>
      </c>
      <c r="F54" t="s">
        <v>167</v>
      </c>
      <c r="G54" t="s">
        <v>168</v>
      </c>
      <c r="H54" t="s">
        <v>166</v>
      </c>
      <c r="I54" t="s">
        <v>166</v>
      </c>
      <c r="J54" t="s">
        <v>166</v>
      </c>
      <c r="K54" t="s">
        <v>166</v>
      </c>
      <c r="L54">
        <v>0.44075733528719402</v>
      </c>
      <c r="M54">
        <v>0.44075733528719402</v>
      </c>
      <c r="N54">
        <v>0.44075733528719402</v>
      </c>
      <c r="O54">
        <v>0.44075733528719402</v>
      </c>
      <c r="P54">
        <v>0.44075733528719402</v>
      </c>
      <c r="Q54">
        <v>0.44075733528719402</v>
      </c>
      <c r="R54">
        <v>0.44075733528719402</v>
      </c>
      <c r="S54">
        <v>0.44075733528719402</v>
      </c>
      <c r="T54">
        <v>0.44075733528719402</v>
      </c>
      <c r="U54">
        <v>0.44075733528719402</v>
      </c>
      <c r="V54">
        <v>0.44075733528719402</v>
      </c>
      <c r="W54">
        <v>0.44075733528719402</v>
      </c>
      <c r="X54">
        <v>0.44075733528719402</v>
      </c>
      <c r="Y54">
        <v>0.44075733528719402</v>
      </c>
      <c r="Z54">
        <v>0.44075733528719402</v>
      </c>
      <c r="AA54">
        <v>0.44075733528719402</v>
      </c>
      <c r="AB54">
        <v>0.44075733528719402</v>
      </c>
      <c r="AC54">
        <v>0.44075733528719402</v>
      </c>
      <c r="AD54">
        <v>0.44075733528719402</v>
      </c>
      <c r="AE54">
        <v>0.44075733528719402</v>
      </c>
      <c r="AF54">
        <v>0.44075733528719402</v>
      </c>
      <c r="AG54">
        <v>0.44075733528719402</v>
      </c>
      <c r="AH54">
        <v>0.44075733528719402</v>
      </c>
      <c r="AI54">
        <v>0.44075733528719402</v>
      </c>
      <c r="AJ54">
        <v>0.44075733528719402</v>
      </c>
      <c r="AK54">
        <v>0.44075733528719402</v>
      </c>
      <c r="AL54">
        <v>0.44075733528719402</v>
      </c>
      <c r="AM54">
        <v>0.44075733528719402</v>
      </c>
      <c r="AN54">
        <v>0.44075733528719402</v>
      </c>
      <c r="AO54">
        <v>0.44075733528719402</v>
      </c>
      <c r="AP54">
        <v>0.44075733528719402</v>
      </c>
      <c r="AQ54">
        <v>0.44075733528719402</v>
      </c>
      <c r="AR54">
        <v>0.44075733528719402</v>
      </c>
      <c r="AS54">
        <v>0.44075733528719402</v>
      </c>
      <c r="AT54">
        <v>0.44075733528719402</v>
      </c>
      <c r="AU54" t="s">
        <v>166</v>
      </c>
    </row>
    <row r="55" spans="1:47">
      <c r="A55" t="s">
        <v>49</v>
      </c>
      <c r="B55" t="s">
        <v>61</v>
      </c>
      <c r="C55" t="s">
        <v>189</v>
      </c>
      <c r="D55" t="s">
        <v>166</v>
      </c>
      <c r="E55" t="s">
        <v>166</v>
      </c>
      <c r="F55" t="s">
        <v>167</v>
      </c>
      <c r="G55" t="s">
        <v>168</v>
      </c>
      <c r="H55" t="s">
        <v>166</v>
      </c>
      <c r="I55" t="s">
        <v>166</v>
      </c>
      <c r="J55" t="s">
        <v>166</v>
      </c>
      <c r="K55" t="s">
        <v>166</v>
      </c>
      <c r="L55">
        <v>0.32948443032272601</v>
      </c>
      <c r="M55">
        <v>0.32948443032272601</v>
      </c>
      <c r="N55">
        <v>0.32948443032272601</v>
      </c>
      <c r="O55">
        <v>0.32948443032272601</v>
      </c>
      <c r="P55">
        <v>0.32948443032272601</v>
      </c>
      <c r="Q55">
        <v>0.32948443032272601</v>
      </c>
      <c r="R55">
        <v>0.32948443032272601</v>
      </c>
      <c r="S55">
        <v>0.32948443032272601</v>
      </c>
      <c r="T55">
        <v>0.32948443032272601</v>
      </c>
      <c r="U55">
        <v>0.32948443032272601</v>
      </c>
      <c r="V55">
        <v>0.32948443032272601</v>
      </c>
      <c r="W55">
        <v>0.32948443032272601</v>
      </c>
      <c r="X55">
        <v>0.32948443032272601</v>
      </c>
      <c r="Y55">
        <v>0.32948443032272601</v>
      </c>
      <c r="Z55">
        <v>0.32948443032272601</v>
      </c>
      <c r="AA55">
        <v>0.32948443032272601</v>
      </c>
      <c r="AB55">
        <v>0.32948443032272601</v>
      </c>
      <c r="AC55">
        <v>0.32948443032272601</v>
      </c>
      <c r="AD55">
        <v>0.32948443032272601</v>
      </c>
      <c r="AE55">
        <v>0.32948443032272601</v>
      </c>
      <c r="AF55">
        <v>0.32948443032272601</v>
      </c>
      <c r="AG55">
        <v>0.32948443032272601</v>
      </c>
      <c r="AH55">
        <v>0.32948443032272601</v>
      </c>
      <c r="AI55">
        <v>0.32948443032272601</v>
      </c>
      <c r="AJ55">
        <v>0.32948443032272601</v>
      </c>
      <c r="AK55">
        <v>0.32948443032272601</v>
      </c>
      <c r="AL55">
        <v>0.32948443032272601</v>
      </c>
      <c r="AM55">
        <v>0.32948443032272601</v>
      </c>
      <c r="AN55">
        <v>0.32948443032272601</v>
      </c>
      <c r="AO55">
        <v>0.32948443032272601</v>
      </c>
      <c r="AP55">
        <v>0.32948443032272601</v>
      </c>
      <c r="AQ55">
        <v>0.32948443032272601</v>
      </c>
      <c r="AR55">
        <v>0.32948443032272601</v>
      </c>
      <c r="AS55">
        <v>0.32948443032272601</v>
      </c>
      <c r="AT55">
        <v>0.32948443032272601</v>
      </c>
      <c r="AU55" t="s">
        <v>166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  <Company>Dell Computer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Xiao Li</cp:lastModifiedBy>
  <cp:lastPrinted>2001-09-28T20:39:00Z</cp:lastPrinted>
  <dcterms:created xsi:type="dcterms:W3CDTF">2001-09-28T18:48:00Z</dcterms:created>
  <dcterms:modified xsi:type="dcterms:W3CDTF">2025-09-11T02:14:43Z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1033-12.2.0.21179</vt:lpwstr>
  </property>
</Properties>
</file>