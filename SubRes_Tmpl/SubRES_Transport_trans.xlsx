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K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<sst xmlns="http://schemas.openxmlformats.org/spreadsheetml/2006/main" count="10589" uniqueCount="659">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</sst>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1">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9"/>
      <name val="Tahoma"/>
      <charset val="1"/>
    </font>
    <font>
      <sz val="10"/>
      <name val="SimSun"/>
      <charset val="134"/>
    </font>
    <font>
      <b/>
      <sz val="9"/>
      <name val="Tahoma"/>
      <charset val="1"/>
    </font>
    <font>
      <b/>
      <sz val="9"/>
      <name val="Times New Roman"/>
      <charset val="0"/>
    </font>
    <font>
      <sz val="9"/>
      <name val="Times New Roman"/>
      <charset val="0"/>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0">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0" borderId="0" xfId="49" applyNumberFormat="1" applyFill="1" applyBorder="1"/>
    <xf numFmtId="0" fontId="18" fillId="0" borderId="0" xfId="0" applyFont="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9" customWidth="1"/>
    <col min="2" max="2" width="8.85454545454546" style="219" customWidth="1"/>
    <col min="3" max="3" width="4.71818181818182" style="219" customWidth="1"/>
    <col min="4" max="4" width="8.85454545454546" style="219" customWidth="1"/>
    <col min="5" max="5" width="4.42727272727273" style="219" customWidth="1"/>
    <col min="6" max="6" width="4.28181818181818" style="219" customWidth="1"/>
    <col min="7" max="7" width="4.42727272727273" style="219" customWidth="1"/>
    <col min="8" max="8" width="4.57272727272727" style="219" customWidth="1"/>
    <col min="9" max="9" width="4" style="219" customWidth="1"/>
    <col min="10" max="10" width="4.42727272727273" style="219" customWidth="1"/>
    <col min="11" max="11" width="4.57272727272727" style="219" customWidth="1"/>
    <col min="12" max="12" width="4.42727272727273" style="219" customWidth="1"/>
    <col min="13" max="13" width="4" style="219" customWidth="1"/>
    <col min="14" max="14" width="4.28181818181818" style="219" customWidth="1"/>
    <col min="15" max="16" width="4.42727272727273" style="219" customWidth="1"/>
    <col min="17" max="18" width="4.57272727272727" style="219" customWidth="1"/>
    <col min="19" max="19" width="4.42727272727273" style="219" customWidth="1"/>
    <col min="20" max="20" width="5" style="219" customWidth="1"/>
    <col min="21" max="21" width="11.7181818181818" style="219" customWidth="1"/>
    <col min="22" max="22" width="10.7181818181818" style="219" customWidth="1"/>
    <col min="23" max="23" width="13.1454545454545" style="219" customWidth="1"/>
    <col min="24" max="259" width="11.4272727272727" style="219" customWidth="1"/>
    <col min="260" max="16384" width="9.14545454545454" style="21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9"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9"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9"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9"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9"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3"/>
    <col min="48" max="48" width="12.8545454545455" style="1"/>
    <col min="49" max="49" width="63.7181818181818" style="1" customWidth="1"/>
    <col min="50" max="54" width="12.8545454545455" style="1"/>
    <col min="55" max="55" width="12.8545454545455" style="1" customWidth="1"/>
    <col min="56" max="56" width="12.8545454545455" style="1"/>
    <col min="57" max="57" width="30" style="184" customWidth="1"/>
    <col min="58" max="58" width="22" style="184" customWidth="1"/>
    <col min="59" max="87" width="12" style="184" customWidth="1"/>
    <col min="88" max="89" width="8.71818181818182" style="184"/>
    <col min="90" max="94" width="8.71818181818182" style="150"/>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5">
        <v>2023</v>
      </c>
      <c r="AI1" s="185">
        <v>2025</v>
      </c>
      <c r="AJ1" s="185">
        <v>2030</v>
      </c>
      <c r="AK1" s="185">
        <v>2035</v>
      </c>
      <c r="AL1" s="185">
        <v>2040</v>
      </c>
      <c r="AM1" s="185">
        <v>2045</v>
      </c>
      <c r="AN1" s="185">
        <v>2050</v>
      </c>
      <c r="AS1" s="183"/>
      <c r="AT1" s="183"/>
      <c r="AU1" s="183"/>
      <c r="AW1" s="79" t="s">
        <v>52</v>
      </c>
      <c r="AX1" s="79"/>
      <c r="AY1" s="186"/>
      <c r="AZ1" s="56"/>
      <c r="BA1" s="56"/>
      <c r="BD1" s="56" t="s">
        <v>53</v>
      </c>
      <c r="BE1" s="56"/>
      <c r="BF1" s="56"/>
      <c r="BG1" s="56"/>
      <c r="BH1" s="56"/>
      <c r="BI1" s="184"/>
      <c r="BJ1" s="184"/>
      <c r="BK1" s="184"/>
      <c r="BL1" s="184"/>
      <c r="BM1" s="184"/>
      <c r="BN1" s="184"/>
      <c r="BO1" s="56" t="s">
        <v>52</v>
      </c>
      <c r="BP1" s="56"/>
      <c r="BQ1" s="56"/>
      <c r="BR1" s="56"/>
      <c r="BS1" s="56"/>
      <c r="BT1" s="184"/>
      <c r="BU1" s="184"/>
      <c r="BV1" s="184"/>
      <c r="BW1" s="184"/>
      <c r="BX1" s="184"/>
      <c r="BY1" s="184"/>
      <c r="BZ1" s="184"/>
      <c r="CA1" s="184"/>
      <c r="CB1" s="184"/>
      <c r="CC1" s="184"/>
      <c r="CD1" s="184"/>
      <c r="CE1" s="184"/>
      <c r="CF1" s="184"/>
      <c r="CG1" s="184"/>
      <c r="CH1" s="184"/>
      <c r="CI1" s="184"/>
      <c r="CJ1" s="184"/>
      <c r="CK1" s="184"/>
      <c r="CL1" s="150"/>
      <c r="CM1" s="150"/>
      <c r="CN1" s="150"/>
      <c r="CO1" s="150"/>
      <c r="CP1" s="150"/>
    </row>
    <row r="2" s="1" customFormat="1" spans="2:94">
      <c r="B2" s="187" t="s">
        <v>54</v>
      </c>
      <c r="S2" s="188">
        <v>2023</v>
      </c>
      <c r="T2" s="188" t="s">
        <v>55</v>
      </c>
      <c r="U2" s="188" t="s">
        <v>56</v>
      </c>
      <c r="V2" s="188" t="s">
        <v>57</v>
      </c>
      <c r="W2" s="188" t="s">
        <v>58</v>
      </c>
      <c r="X2" s="188" t="s">
        <v>59</v>
      </c>
      <c r="Y2" s="188" t="s">
        <v>60</v>
      </c>
      <c r="Z2" s="188"/>
      <c r="AA2" s="188" t="s">
        <v>61</v>
      </c>
      <c r="AB2" s="189">
        <v>132.92732205738</v>
      </c>
      <c r="AC2" s="188" t="s">
        <v>62</v>
      </c>
      <c r="AG2" s="1" t="s">
        <v>63</v>
      </c>
      <c r="AH2" s="190">
        <v>132.92732205738</v>
      </c>
      <c r="AI2" s="190">
        <v>120.58407072348</v>
      </c>
      <c r="AJ2" s="190">
        <v>104.442895902227</v>
      </c>
      <c r="AK2" s="190">
        <v>94.9480871838431</v>
      </c>
      <c r="AL2" s="190">
        <v>92.1084750593323</v>
      </c>
      <c r="AM2" s="190">
        <v>88.9611647549709</v>
      </c>
      <c r="AN2" s="190">
        <v>85.4532784654588</v>
      </c>
      <c r="AS2" s="183"/>
      <c r="AT2" s="183"/>
      <c r="AU2" s="183"/>
      <c r="BV2" s="184"/>
      <c r="BW2" s="184"/>
      <c r="BX2" s="184"/>
      <c r="BY2" s="184"/>
      <c r="BZ2" s="184"/>
      <c r="CA2" s="184"/>
      <c r="CB2" s="184"/>
      <c r="CC2" s="184"/>
      <c r="CD2" s="184"/>
      <c r="CE2" s="184"/>
      <c r="CF2" s="184"/>
      <c r="CG2" s="184"/>
      <c r="CH2" s="184"/>
      <c r="CI2" s="184"/>
      <c r="CJ2" s="184"/>
      <c r="CK2" s="184"/>
      <c r="CL2" s="150"/>
      <c r="CM2" s="150"/>
      <c r="CN2" s="150"/>
      <c r="CO2" s="150"/>
      <c r="CP2" s="150"/>
    </row>
    <row r="3" s="1" customFormat="1" spans="2:94">
      <c r="F3" s="191" t="s">
        <v>64</v>
      </c>
      <c r="G3" s="192"/>
      <c r="H3" s="192"/>
      <c r="I3" s="192"/>
      <c r="S3" s="188">
        <v>2025</v>
      </c>
      <c r="T3" s="188" t="s">
        <v>55</v>
      </c>
      <c r="U3" s="188" t="s">
        <v>56</v>
      </c>
      <c r="V3" s="188" t="s">
        <v>57</v>
      </c>
      <c r="W3" s="188" t="s">
        <v>58</v>
      </c>
      <c r="X3" s="188" t="s">
        <v>59</v>
      </c>
      <c r="Y3" s="188" t="s">
        <v>60</v>
      </c>
      <c r="Z3" s="188"/>
      <c r="AA3" s="188" t="s">
        <v>61</v>
      </c>
      <c r="AB3" s="189">
        <v>120.58407072348</v>
      </c>
      <c r="AC3" s="188"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3" t="s">
        <v>65</v>
      </c>
      <c r="AT3" s="183" t="s">
        <v>11</v>
      </c>
      <c r="AU3" s="183" t="s">
        <v>25</v>
      </c>
      <c r="AW3" s="186" t="s">
        <v>66</v>
      </c>
      <c r="AX3" s="186" t="s">
        <v>41</v>
      </c>
      <c r="AY3" s="193" t="s">
        <v>65</v>
      </c>
      <c r="AZ3" s="193" t="s">
        <v>11</v>
      </c>
      <c r="BA3" s="193" t="s">
        <v>25</v>
      </c>
      <c r="BD3" s="56" t="s">
        <v>66</v>
      </c>
      <c r="BE3" s="56" t="s">
        <v>41</v>
      </c>
      <c r="BF3" s="56" t="s">
        <v>65</v>
      </c>
      <c r="BG3" s="56" t="s">
        <v>11</v>
      </c>
      <c r="BH3" s="56" t="s">
        <v>25</v>
      </c>
      <c r="BI3" s="184"/>
      <c r="BJ3" s="184"/>
      <c r="BK3" s="184"/>
      <c r="BL3" s="184"/>
      <c r="BM3" s="184"/>
      <c r="BN3" s="184"/>
      <c r="BO3" s="56" t="s">
        <v>66</v>
      </c>
      <c r="BP3" s="56" t="s">
        <v>41</v>
      </c>
      <c r="BQ3" s="56" t="s">
        <v>65</v>
      </c>
      <c r="BR3" s="56" t="s">
        <v>11</v>
      </c>
      <c r="BS3" s="56" t="s">
        <v>25</v>
      </c>
      <c r="BT3" s="184"/>
      <c r="BU3" s="184"/>
      <c r="BV3" s="184"/>
      <c r="BW3" s="184"/>
      <c r="BX3" s="184"/>
      <c r="BY3" s="184"/>
      <c r="BZ3" s="184"/>
      <c r="CA3" s="184"/>
      <c r="CB3" s="184"/>
      <c r="CC3" s="184"/>
      <c r="CD3" s="184"/>
      <c r="CE3" s="184"/>
      <c r="CF3" s="184"/>
      <c r="CG3" s="184"/>
      <c r="CH3" s="184"/>
      <c r="CI3" s="184"/>
      <c r="CJ3" s="184"/>
      <c r="CK3" s="184"/>
      <c r="CL3" s="150"/>
      <c r="CM3" s="150"/>
      <c r="CN3" s="150"/>
      <c r="CO3" s="150"/>
      <c r="CP3" s="150"/>
    </row>
    <row r="4" s="1" customFormat="1" spans="2:94">
      <c r="F4" s="191" t="s">
        <v>66</v>
      </c>
      <c r="G4" s="191" t="s">
        <v>65</v>
      </c>
      <c r="H4" s="191" t="s">
        <v>11</v>
      </c>
      <c r="I4" s="191" t="s">
        <v>25</v>
      </c>
      <c r="S4" s="188">
        <v>2030</v>
      </c>
      <c r="T4" s="188" t="s">
        <v>55</v>
      </c>
      <c r="U4" s="188" t="s">
        <v>56</v>
      </c>
      <c r="V4" s="188" t="s">
        <v>57</v>
      </c>
      <c r="W4" s="188" t="s">
        <v>58</v>
      </c>
      <c r="X4" s="188" t="s">
        <v>59</v>
      </c>
      <c r="Y4" s="188" t="s">
        <v>60</v>
      </c>
      <c r="Z4" s="188"/>
      <c r="AA4" s="188" t="s">
        <v>61</v>
      </c>
      <c r="AB4" s="189">
        <v>104.442895902227</v>
      </c>
      <c r="AC4" s="188"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3">
        <v>80.3831766666667</v>
      </c>
      <c r="AT4" s="183">
        <v>55.48673</v>
      </c>
      <c r="AU4" s="183">
        <v>106.82505</v>
      </c>
      <c r="AW4" s="186" t="s">
        <v>67</v>
      </c>
      <c r="AX4" s="186">
        <v>2023</v>
      </c>
      <c r="AY4" s="186">
        <f>G5</f>
        <v>80.3831766666667</v>
      </c>
      <c r="AZ4" s="186">
        <f>H5</f>
        <v>55.48673</v>
      </c>
      <c r="BA4" s="186">
        <f>I5</f>
        <v>106.82505</v>
      </c>
      <c r="BD4" s="56" t="s">
        <v>68</v>
      </c>
      <c r="BE4" s="56">
        <v>2023</v>
      </c>
      <c r="BF4" s="56">
        <f t="shared" ref="BF4:BF11" si="8">AS4*70%</f>
        <v>56.2682236666667</v>
      </c>
      <c r="BG4" s="56">
        <f t="shared" ref="BG4:BG11" si="9">AT4*70%</f>
        <v>38.840711</v>
      </c>
      <c r="BH4" s="56">
        <f t="shared" ref="BH4:BH11" si="10">AU4*70%</f>
        <v>74.777535</v>
      </c>
      <c r="BI4" s="184"/>
      <c r="BJ4" s="184"/>
      <c r="BK4" s="184"/>
      <c r="BL4" s="184"/>
      <c r="BM4" s="184"/>
      <c r="BN4" s="184"/>
      <c r="BO4" s="56" t="s">
        <v>69</v>
      </c>
      <c r="BP4" s="56">
        <v>2023</v>
      </c>
      <c r="BQ4" s="56">
        <f t="shared" ref="BQ4:BQ11" si="11">AS4*30%</f>
        <v>24.114953</v>
      </c>
      <c r="BR4" s="56">
        <f t="shared" ref="BR4:BR11" si="12">AT4*30%</f>
        <v>16.646019</v>
      </c>
      <c r="BS4" s="56">
        <f t="shared" ref="BS4:BS11" si="13">AU4*30%</f>
        <v>32.047515</v>
      </c>
      <c r="BT4" s="184"/>
      <c r="BU4" s="184"/>
      <c r="BV4" s="184"/>
      <c r="BW4" s="184"/>
      <c r="BX4" s="184"/>
      <c r="BY4" s="184"/>
      <c r="BZ4" s="184"/>
      <c r="CA4" s="184"/>
      <c r="CB4" s="184"/>
      <c r="CC4" s="184"/>
      <c r="CD4" s="184"/>
      <c r="CE4" s="184"/>
      <c r="CF4" s="184"/>
      <c r="CG4" s="184"/>
      <c r="CH4" s="184"/>
      <c r="CI4" s="184"/>
      <c r="CJ4" s="184"/>
      <c r="CK4" s="184"/>
      <c r="CL4" s="150"/>
      <c r="CM4" s="150"/>
      <c r="CN4" s="150"/>
      <c r="CO4" s="150"/>
      <c r="CP4" s="150"/>
    </row>
    <row r="5" s="1" customFormat="1" ht="152" customHeight="1" spans="2:94">
      <c r="B5" s="194" t="s">
        <v>70</v>
      </c>
      <c r="F5" s="191" t="s">
        <v>71</v>
      </c>
      <c r="G5" s="192">
        <f>[3]R_strategies_n_GridBattery!$D$131</f>
        <v>80.3831766666667</v>
      </c>
      <c r="H5" s="192">
        <f>[3]R_strategies_n_GridBattery!$E$131</f>
        <v>55.48673</v>
      </c>
      <c r="I5" s="192">
        <f>[3]R_strategies_n_GridBattery!$F$131</f>
        <v>106.82505</v>
      </c>
      <c r="S5" s="188">
        <v>2035</v>
      </c>
      <c r="T5" s="188" t="s">
        <v>55</v>
      </c>
      <c r="U5" s="188" t="s">
        <v>56</v>
      </c>
      <c r="V5" s="188" t="s">
        <v>57</v>
      </c>
      <c r="W5" s="188" t="s">
        <v>58</v>
      </c>
      <c r="X5" s="188" t="s">
        <v>59</v>
      </c>
      <c r="Y5" s="188" t="s">
        <v>60</v>
      </c>
      <c r="Z5" s="188"/>
      <c r="AA5" s="188" t="s">
        <v>61</v>
      </c>
      <c r="AB5" s="189">
        <v>94.9480871838431</v>
      </c>
      <c r="AC5" s="188"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3">
        <v>95.4086</v>
      </c>
      <c r="AT5" s="183">
        <v>66.32565</v>
      </c>
      <c r="AU5" s="183">
        <v>126.26355</v>
      </c>
      <c r="AW5" s="186" t="s">
        <v>72</v>
      </c>
      <c r="AX5" s="186">
        <f>AX4</f>
        <v>2023</v>
      </c>
      <c r="AY5" s="186">
        <f t="shared" ref="AY5:AY10" si="14">G6</f>
        <v>95.4086</v>
      </c>
      <c r="AZ5" s="186">
        <f t="shared" ref="AZ5:AZ10" si="15">H6</f>
        <v>66.32565</v>
      </c>
      <c r="BA5" s="186">
        <f t="shared" ref="BA5:BA10" si="16">I6</f>
        <v>126.26355</v>
      </c>
      <c r="BD5" s="56" t="s">
        <v>73</v>
      </c>
      <c r="BE5" s="56">
        <v>2023</v>
      </c>
      <c r="BF5" s="56">
        <f t="shared" si="8"/>
        <v>66.78602</v>
      </c>
      <c r="BG5" s="56">
        <f t="shared" si="9"/>
        <v>46.427955</v>
      </c>
      <c r="BH5" s="56">
        <f t="shared" si="10"/>
        <v>88.384485</v>
      </c>
      <c r="BI5" s="195"/>
      <c r="BJ5" s="184"/>
      <c r="BK5" s="184"/>
      <c r="BL5" s="184"/>
      <c r="BM5" s="184"/>
      <c r="BN5" s="184"/>
      <c r="BO5" s="56" t="s">
        <v>74</v>
      </c>
      <c r="BP5" s="56">
        <v>2023</v>
      </c>
      <c r="BQ5" s="56">
        <f t="shared" si="11"/>
        <v>28.62258</v>
      </c>
      <c r="BR5" s="56">
        <f t="shared" si="12"/>
        <v>19.897695</v>
      </c>
      <c r="BS5" s="56">
        <f t="shared" si="13"/>
        <v>37.879065</v>
      </c>
      <c r="BT5" s="184"/>
      <c r="BU5" s="184"/>
      <c r="BV5" s="184"/>
      <c r="BW5" s="184"/>
      <c r="BX5" s="184"/>
      <c r="BY5" s="184"/>
      <c r="BZ5" s="184"/>
      <c r="CA5" s="184"/>
      <c r="CB5" s="184"/>
      <c r="CC5" s="184"/>
      <c r="CD5" s="184"/>
      <c r="CE5" s="184"/>
      <c r="CF5" s="184"/>
      <c r="CG5" s="184"/>
      <c r="CH5" s="184"/>
      <c r="CI5" s="184"/>
      <c r="CJ5" s="184"/>
      <c r="CK5" s="184"/>
      <c r="CL5" s="150"/>
      <c r="CM5" s="150"/>
      <c r="CN5" s="150"/>
      <c r="CO5" s="150"/>
      <c r="CP5" s="150"/>
    </row>
    <row r="6" s="1" customFormat="1" spans="2:94">
      <c r="F6" s="191" t="s">
        <v>75</v>
      </c>
      <c r="G6" s="192">
        <f>[3]R_strategies_n_GridBattery!$D$132</f>
        <v>95.4086</v>
      </c>
      <c r="H6" s="192">
        <f>[3]R_strategies_n_GridBattery!$E$132</f>
        <v>66.32565</v>
      </c>
      <c r="I6" s="192">
        <f>[3]R_strategies_n_GridBattery!$F$132</f>
        <v>126.26355</v>
      </c>
      <c r="S6" s="188">
        <v>2040</v>
      </c>
      <c r="T6" s="188" t="s">
        <v>55</v>
      </c>
      <c r="U6" s="188" t="s">
        <v>56</v>
      </c>
      <c r="V6" s="188" t="s">
        <v>57</v>
      </c>
      <c r="W6" s="188" t="s">
        <v>58</v>
      </c>
      <c r="X6" s="188" t="s">
        <v>59</v>
      </c>
      <c r="Y6" s="188" t="s">
        <v>60</v>
      </c>
      <c r="Z6" s="188"/>
      <c r="AA6" s="188" t="s">
        <v>61</v>
      </c>
      <c r="AB6" s="189">
        <v>92.1084750593323</v>
      </c>
      <c r="AC6" s="188"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3">
        <v>85.3476966666666</v>
      </c>
      <c r="AT6" s="183">
        <v>56.10147</v>
      </c>
      <c r="AU6" s="183">
        <v>116.32796</v>
      </c>
      <c r="AW6" s="186" t="s">
        <v>76</v>
      </c>
      <c r="AX6" s="186">
        <f t="shared" ref="AX6:AX11" si="17">AX5</f>
        <v>2023</v>
      </c>
      <c r="AY6" s="186">
        <f t="shared" si="14"/>
        <v>85.3476966666666</v>
      </c>
      <c r="AZ6" s="186">
        <f t="shared" si="15"/>
        <v>56.10147</v>
      </c>
      <c r="BA6" s="186">
        <f t="shared" si="16"/>
        <v>116.32796</v>
      </c>
      <c r="BD6" s="56" t="s">
        <v>77</v>
      </c>
      <c r="BE6" s="56">
        <v>2023</v>
      </c>
      <c r="BF6" s="56">
        <f t="shared" si="8"/>
        <v>59.7433876666666</v>
      </c>
      <c r="BG6" s="56">
        <f t="shared" si="9"/>
        <v>39.271029</v>
      </c>
      <c r="BH6" s="56">
        <f t="shared" si="10"/>
        <v>81.429572</v>
      </c>
      <c r="BI6" s="196"/>
      <c r="BJ6" s="184"/>
      <c r="BK6" s="184"/>
      <c r="BL6" s="184"/>
      <c r="BM6" s="184"/>
      <c r="BN6" s="184"/>
      <c r="BO6" s="56" t="s">
        <v>78</v>
      </c>
      <c r="BP6" s="56">
        <v>2023</v>
      </c>
      <c r="BQ6" s="56">
        <f t="shared" si="11"/>
        <v>25.604309</v>
      </c>
      <c r="BR6" s="56">
        <f t="shared" si="12"/>
        <v>16.830441</v>
      </c>
      <c r="BS6" s="56">
        <f t="shared" si="13"/>
        <v>34.898388</v>
      </c>
      <c r="BT6" s="184"/>
      <c r="BU6" s="184"/>
      <c r="BV6" s="184"/>
      <c r="BW6" s="184"/>
      <c r="BX6" s="184"/>
      <c r="BY6" s="184"/>
      <c r="BZ6" s="184"/>
      <c r="CA6" s="184"/>
      <c r="CB6" s="184"/>
      <c r="CC6" s="184"/>
      <c r="CD6" s="184"/>
      <c r="CE6" s="184"/>
      <c r="CF6" s="184"/>
      <c r="CG6" s="184"/>
      <c r="CH6" s="184"/>
      <c r="CI6" s="184"/>
      <c r="CJ6" s="184"/>
      <c r="CK6" s="184"/>
      <c r="CL6" s="150"/>
      <c r="CM6" s="150"/>
      <c r="CN6" s="150"/>
      <c r="CO6" s="150"/>
      <c r="CP6" s="150"/>
    </row>
    <row r="7" s="1" customFormat="1" spans="2:94">
      <c r="F7" s="191" t="s">
        <v>79</v>
      </c>
      <c r="G7" s="192">
        <f>[3]R_strategies_n_GridBattery!$D$133</f>
        <v>85.3476966666666</v>
      </c>
      <c r="H7" s="192">
        <f>[3]R_strategies_n_GridBattery!$E$133</f>
        <v>56.10147</v>
      </c>
      <c r="I7" s="192">
        <f>[3]R_strategies_n_GridBattery!$F$133</f>
        <v>116.32796</v>
      </c>
      <c r="S7" s="188">
        <v>2045</v>
      </c>
      <c r="T7" s="188" t="s">
        <v>55</v>
      </c>
      <c r="U7" s="188" t="s">
        <v>56</v>
      </c>
      <c r="V7" s="188" t="s">
        <v>57</v>
      </c>
      <c r="W7" s="188" t="s">
        <v>58</v>
      </c>
      <c r="X7" s="188" t="s">
        <v>59</v>
      </c>
      <c r="Y7" s="188" t="s">
        <v>60</v>
      </c>
      <c r="Z7" s="188"/>
      <c r="AA7" s="188" t="s">
        <v>61</v>
      </c>
      <c r="AB7" s="189">
        <v>88.9611647549709</v>
      </c>
      <c r="AC7" s="188"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3">
        <v>85.52157</v>
      </c>
      <c r="AT7" s="183">
        <v>55.55951</v>
      </c>
      <c r="AU7" s="183">
        <v>117.30431</v>
      </c>
      <c r="AW7" s="186" t="s">
        <v>80</v>
      </c>
      <c r="AX7" s="186">
        <f t="shared" si="17"/>
        <v>2023</v>
      </c>
      <c r="AY7" s="186">
        <f t="shared" si="14"/>
        <v>85.52157</v>
      </c>
      <c r="AZ7" s="186">
        <f t="shared" si="15"/>
        <v>55.55951</v>
      </c>
      <c r="BA7" s="186">
        <f t="shared" si="16"/>
        <v>117.30431</v>
      </c>
      <c r="BD7" s="56" t="s">
        <v>81</v>
      </c>
      <c r="BE7" s="56">
        <v>2023</v>
      </c>
      <c r="BF7" s="56">
        <f t="shared" si="8"/>
        <v>59.865099</v>
      </c>
      <c r="BG7" s="56">
        <f t="shared" si="9"/>
        <v>38.891657</v>
      </c>
      <c r="BH7" s="56">
        <f t="shared" si="10"/>
        <v>82.113017</v>
      </c>
      <c r="BI7" s="196"/>
      <c r="BJ7" s="184"/>
      <c r="BK7" s="184"/>
      <c r="BL7" s="184"/>
      <c r="BM7" s="184"/>
      <c r="BN7" s="184"/>
      <c r="BO7" s="56" t="s">
        <v>82</v>
      </c>
      <c r="BP7" s="56">
        <v>2023</v>
      </c>
      <c r="BQ7" s="56">
        <f t="shared" si="11"/>
        <v>25.656471</v>
      </c>
      <c r="BR7" s="56">
        <f t="shared" si="12"/>
        <v>16.667853</v>
      </c>
      <c r="BS7" s="56">
        <f t="shared" si="13"/>
        <v>35.191293</v>
      </c>
      <c r="BT7" s="184"/>
      <c r="BU7" s="184"/>
      <c r="BV7" s="184"/>
      <c r="BW7" s="184"/>
      <c r="BX7" s="184"/>
      <c r="BY7" s="184"/>
      <c r="BZ7" s="184"/>
      <c r="CA7" s="184"/>
      <c r="CB7" s="184"/>
      <c r="CC7" s="184"/>
      <c r="CD7" s="184"/>
      <c r="CE7" s="184"/>
      <c r="CF7" s="184"/>
      <c r="CG7" s="184"/>
      <c r="CH7" s="184"/>
      <c r="CI7" s="184"/>
      <c r="CJ7" s="184"/>
      <c r="CK7" s="184"/>
      <c r="CL7" s="150"/>
      <c r="CM7" s="150"/>
      <c r="CN7" s="150"/>
      <c r="CO7" s="150"/>
      <c r="CP7" s="150"/>
    </row>
    <row r="8" s="1" customFormat="1" ht="29" spans="2:94">
      <c r="B8" s="194" t="s">
        <v>83</v>
      </c>
      <c r="F8" s="191" t="s">
        <v>84</v>
      </c>
      <c r="G8" s="192">
        <f>[3]R_strategies_n_GridBattery!$D$134</f>
        <v>85.52157</v>
      </c>
      <c r="H8" s="192">
        <f>[3]R_strategies_n_GridBattery!$E$134</f>
        <v>55.55951</v>
      </c>
      <c r="I8" s="192">
        <f>[3]R_strategies_n_GridBattery!$F$134</f>
        <v>117.30431</v>
      </c>
      <c r="S8" s="188">
        <v>2050</v>
      </c>
      <c r="T8" s="188" t="s">
        <v>55</v>
      </c>
      <c r="U8" s="188" t="s">
        <v>56</v>
      </c>
      <c r="V8" s="188" t="s">
        <v>57</v>
      </c>
      <c r="W8" s="188" t="s">
        <v>58</v>
      </c>
      <c r="X8" s="188" t="s">
        <v>59</v>
      </c>
      <c r="Y8" s="188" t="s">
        <v>60</v>
      </c>
      <c r="Z8" s="188"/>
      <c r="AA8" s="188" t="s">
        <v>61</v>
      </c>
      <c r="AB8" s="189">
        <v>85.4532784654588</v>
      </c>
      <c r="AC8" s="188"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3">
        <v>90.0929166666666</v>
      </c>
      <c r="AT8" s="183">
        <v>59.3677</v>
      </c>
      <c r="AU8" s="183">
        <v>122.66905</v>
      </c>
      <c r="AW8" s="186" t="s">
        <v>85</v>
      </c>
      <c r="AX8" s="186">
        <f t="shared" si="17"/>
        <v>2023</v>
      </c>
      <c r="AY8" s="186">
        <f t="shared" si="14"/>
        <v>90.0929166666666</v>
      </c>
      <c r="AZ8" s="186">
        <f t="shared" si="15"/>
        <v>59.3677</v>
      </c>
      <c r="BA8" s="186">
        <f t="shared" si="16"/>
        <v>122.66905</v>
      </c>
      <c r="BD8" s="56" t="s">
        <v>86</v>
      </c>
      <c r="BE8" s="56">
        <v>2023</v>
      </c>
      <c r="BF8" s="56">
        <f t="shared" si="8"/>
        <v>63.0650416666666</v>
      </c>
      <c r="BG8" s="56">
        <f t="shared" si="9"/>
        <v>41.55739</v>
      </c>
      <c r="BH8" s="56">
        <f t="shared" si="10"/>
        <v>85.868335</v>
      </c>
      <c r="BI8" s="196"/>
      <c r="BJ8" s="184"/>
      <c r="BK8" s="184"/>
      <c r="BL8" s="184"/>
      <c r="BM8" s="184"/>
      <c r="BN8" s="184"/>
      <c r="BO8" s="56" t="s">
        <v>87</v>
      </c>
      <c r="BP8" s="56">
        <v>2023</v>
      </c>
      <c r="BQ8" s="56">
        <f t="shared" si="11"/>
        <v>27.027875</v>
      </c>
      <c r="BR8" s="56">
        <f t="shared" si="12"/>
        <v>17.81031</v>
      </c>
      <c r="BS8" s="56">
        <f t="shared" si="13"/>
        <v>36.800715</v>
      </c>
      <c r="BT8" s="184"/>
      <c r="BU8" s="184"/>
      <c r="BV8" s="184"/>
      <c r="BW8" s="184"/>
      <c r="BX8" s="184"/>
      <c r="BY8" s="184"/>
      <c r="BZ8" s="184"/>
      <c r="CA8" s="184"/>
      <c r="CB8" s="184"/>
      <c r="CC8" s="184"/>
      <c r="CD8" s="184"/>
      <c r="CE8" s="184"/>
      <c r="CF8" s="184"/>
      <c r="CG8" s="184"/>
      <c r="CH8" s="184"/>
      <c r="CI8" s="184"/>
      <c r="CJ8" s="184"/>
      <c r="CK8" s="184"/>
      <c r="CL8" s="150"/>
      <c r="CM8" s="150"/>
      <c r="CN8" s="150"/>
      <c r="CO8" s="150"/>
      <c r="CP8" s="150"/>
    </row>
    <row r="9" s="1" customFormat="1" spans="2:94">
      <c r="F9" s="191" t="s">
        <v>88</v>
      </c>
      <c r="G9" s="192">
        <f>[3]R_strategies_n_GridBattery!$D$135</f>
        <v>90.0929166666666</v>
      </c>
      <c r="H9" s="192">
        <f>[3]R_strategies_n_GridBattery!$E$135</f>
        <v>59.3677</v>
      </c>
      <c r="I9" s="192">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3">
        <v>86.9222166666667</v>
      </c>
      <c r="AT9" s="183">
        <v>57.33755</v>
      </c>
      <c r="AU9" s="183">
        <v>118.2723</v>
      </c>
      <c r="AW9" s="186" t="s">
        <v>89</v>
      </c>
      <c r="AX9" s="186">
        <f t="shared" si="17"/>
        <v>2023</v>
      </c>
      <c r="AY9" s="186">
        <f t="shared" si="14"/>
        <v>86.9222166666667</v>
      </c>
      <c r="AZ9" s="186">
        <f t="shared" si="15"/>
        <v>57.33755</v>
      </c>
      <c r="BA9" s="186">
        <f t="shared" si="16"/>
        <v>118.2723</v>
      </c>
      <c r="BD9" s="56" t="s">
        <v>90</v>
      </c>
      <c r="BE9" s="56">
        <v>2023</v>
      </c>
      <c r="BF9" s="56">
        <f t="shared" si="8"/>
        <v>60.8455516666667</v>
      </c>
      <c r="BG9" s="56">
        <f t="shared" si="9"/>
        <v>40.136285</v>
      </c>
      <c r="BH9" s="56">
        <f t="shared" si="10"/>
        <v>82.79061</v>
      </c>
      <c r="BI9" s="196"/>
      <c r="BJ9" s="184"/>
      <c r="BK9" s="184"/>
      <c r="BL9" s="184"/>
      <c r="BM9" s="184"/>
      <c r="BN9" s="184"/>
      <c r="BO9" s="56" t="s">
        <v>91</v>
      </c>
      <c r="BP9" s="56">
        <v>2023</v>
      </c>
      <c r="BQ9" s="56">
        <f t="shared" si="11"/>
        <v>26.076665</v>
      </c>
      <c r="BR9" s="56">
        <f t="shared" si="12"/>
        <v>17.201265</v>
      </c>
      <c r="BS9" s="56">
        <f t="shared" si="13"/>
        <v>35.48169</v>
      </c>
      <c r="BT9" s="184"/>
      <c r="BU9" s="184"/>
      <c r="BV9" s="184"/>
      <c r="BW9" s="184"/>
      <c r="BX9" s="184"/>
      <c r="BY9" s="184"/>
      <c r="BZ9" s="184"/>
      <c r="CA9" s="184"/>
      <c r="CB9" s="184"/>
      <c r="CC9" s="184"/>
      <c r="CD9" s="184"/>
      <c r="CE9" s="184"/>
      <c r="CF9" s="184"/>
      <c r="CG9" s="184"/>
      <c r="CH9" s="184"/>
      <c r="CI9" s="184"/>
      <c r="CJ9" s="184"/>
      <c r="CK9" s="184"/>
      <c r="CL9" s="150"/>
      <c r="CM9" s="150"/>
      <c r="CN9" s="150"/>
      <c r="CO9" s="150"/>
      <c r="CP9" s="150"/>
    </row>
    <row r="10" s="1" customFormat="1" spans="2:94">
      <c r="F10" s="191" t="s">
        <v>92</v>
      </c>
      <c r="G10" s="192">
        <f>[3]R_strategies_n_GridBattery!$D$136</f>
        <v>86.9222166666667</v>
      </c>
      <c r="H10" s="192">
        <f>[3]R_strategies_n_GridBattery!$E$136</f>
        <v>57.33755</v>
      </c>
      <c r="I10" s="192">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3">
        <v>89.5526666666667</v>
      </c>
      <c r="AT10" s="183">
        <v>59.98948</v>
      </c>
      <c r="AU10" s="183">
        <v>120.87452</v>
      </c>
      <c r="AW10" s="186" t="s">
        <v>93</v>
      </c>
      <c r="AX10" s="186">
        <f t="shared" si="17"/>
        <v>2023</v>
      </c>
      <c r="AY10" s="186">
        <f t="shared" si="14"/>
        <v>89.5526666666667</v>
      </c>
      <c r="AZ10" s="186">
        <f t="shared" si="15"/>
        <v>59.98948</v>
      </c>
      <c r="BA10" s="186">
        <f t="shared" si="16"/>
        <v>120.87452</v>
      </c>
      <c r="BD10" s="56" t="s">
        <v>94</v>
      </c>
      <c r="BE10" s="56">
        <v>2023</v>
      </c>
      <c r="BF10" s="56">
        <f t="shared" si="8"/>
        <v>62.6868666666667</v>
      </c>
      <c r="BG10" s="56">
        <f t="shared" si="9"/>
        <v>41.992636</v>
      </c>
      <c r="BH10" s="56">
        <f t="shared" si="10"/>
        <v>84.612164</v>
      </c>
      <c r="BI10" s="196"/>
      <c r="BJ10" s="184"/>
      <c r="BK10" s="184"/>
      <c r="BL10" s="184"/>
      <c r="BM10" s="184"/>
      <c r="BN10" s="184"/>
      <c r="BO10" s="56" t="s">
        <v>95</v>
      </c>
      <c r="BP10" s="56">
        <v>2023</v>
      </c>
      <c r="BQ10" s="56">
        <f t="shared" si="11"/>
        <v>26.8658</v>
      </c>
      <c r="BR10" s="56">
        <f t="shared" si="12"/>
        <v>17.996844</v>
      </c>
      <c r="BS10" s="56">
        <f t="shared" si="13"/>
        <v>36.262356</v>
      </c>
      <c r="BT10" s="184"/>
      <c r="BU10" s="184"/>
      <c r="BV10" s="184"/>
      <c r="BW10" s="184"/>
      <c r="BX10" s="184"/>
      <c r="BY10" s="184"/>
      <c r="BZ10" s="184"/>
      <c r="CA10" s="184"/>
      <c r="CB10" s="184"/>
      <c r="CC10" s="184"/>
      <c r="CD10" s="184"/>
      <c r="CE10" s="184"/>
      <c r="CF10" s="184"/>
      <c r="CG10" s="184"/>
      <c r="CH10" s="184"/>
      <c r="CI10" s="184"/>
      <c r="CJ10" s="184"/>
      <c r="CK10" s="184"/>
      <c r="CL10" s="150"/>
      <c r="CM10" s="150"/>
      <c r="CN10" s="150"/>
      <c r="CO10" s="150"/>
      <c r="CP10" s="150"/>
    </row>
    <row r="11" s="1" customFormat="1" spans="2:94">
      <c r="F11" s="191" t="s">
        <v>96</v>
      </c>
      <c r="G11" s="192">
        <f>[3]R_strategies_n_GridBattery!$D$137</f>
        <v>89.5526666666667</v>
      </c>
      <c r="H11" s="192">
        <f>[3]R_strategies_n_GridBattery!$E$137</f>
        <v>59.98948</v>
      </c>
      <c r="I11" s="192">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3">
        <v>162.093333333333</v>
      </c>
      <c r="AT11" s="183">
        <v>162.093333333333</v>
      </c>
      <c r="AU11" s="183">
        <v>162.093333333333</v>
      </c>
      <c r="AW11" s="197"/>
      <c r="AX11" s="186"/>
      <c r="AY11" s="197"/>
      <c r="AZ11" s="197"/>
      <c r="BA11" s="197"/>
      <c r="BB11" s="182"/>
      <c r="BD11" s="56" t="s">
        <v>97</v>
      </c>
      <c r="BE11" s="56">
        <v>2023</v>
      </c>
      <c r="BF11" s="56">
        <f t="shared" si="8"/>
        <v>113.465333333333</v>
      </c>
      <c r="BG11" s="56">
        <f t="shared" si="9"/>
        <v>113.465333333333</v>
      </c>
      <c r="BH11" s="56">
        <f t="shared" si="10"/>
        <v>113.465333333333</v>
      </c>
      <c r="BI11" s="196"/>
      <c r="BJ11" s="184"/>
      <c r="BK11" s="184"/>
      <c r="BL11" s="184"/>
      <c r="BM11" s="184"/>
      <c r="BN11" s="184"/>
      <c r="BO11" s="56" t="s">
        <v>98</v>
      </c>
      <c r="BP11" s="56">
        <v>2023</v>
      </c>
      <c r="BQ11" s="56">
        <f t="shared" si="11"/>
        <v>48.6279999999999</v>
      </c>
      <c r="BR11" s="56">
        <f t="shared" si="12"/>
        <v>48.6279999999999</v>
      </c>
      <c r="BS11" s="56">
        <f t="shared" si="13"/>
        <v>48.6279999999999</v>
      </c>
      <c r="BT11" s="184"/>
      <c r="BU11" s="184"/>
      <c r="BV11" s="184"/>
      <c r="BW11" s="184"/>
      <c r="BX11" s="184"/>
      <c r="BY11" s="184"/>
      <c r="BZ11" s="184"/>
      <c r="CA11" s="184"/>
      <c r="CB11" s="184"/>
      <c r="CC11" s="184"/>
      <c r="CD11" s="184"/>
      <c r="CE11" s="184"/>
      <c r="CF11" s="184"/>
      <c r="CG11" s="184"/>
      <c r="CH11" s="184"/>
      <c r="CI11" s="184"/>
      <c r="CJ11" s="184"/>
      <c r="CK11" s="184"/>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3"/>
      <c r="AT12" s="183"/>
      <c r="AU12" s="183"/>
      <c r="BI12" s="196"/>
      <c r="BJ12" s="184"/>
      <c r="BK12" s="184"/>
      <c r="BL12" s="184"/>
      <c r="BM12" s="184"/>
      <c r="BN12" s="184"/>
      <c r="BT12" s="184"/>
      <c r="BU12" s="184"/>
      <c r="BV12" s="184"/>
      <c r="BW12" s="184"/>
      <c r="BX12" s="184"/>
      <c r="BY12" s="184"/>
      <c r="BZ12" s="184"/>
      <c r="CA12" s="184"/>
      <c r="CB12" s="184"/>
      <c r="CC12" s="184"/>
      <c r="CD12" s="184"/>
      <c r="CE12" s="184"/>
      <c r="CF12" s="184"/>
      <c r="CG12" s="184"/>
      <c r="CH12" s="184"/>
      <c r="CI12" s="184"/>
      <c r="CJ12" s="184"/>
      <c r="CK12" s="184"/>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3"/>
      <c r="AT14" s="183"/>
      <c r="AU14" s="183"/>
      <c r="BI14" s="184"/>
      <c r="BJ14" s="184"/>
      <c r="BK14" s="184"/>
      <c r="BL14" s="184"/>
      <c r="BM14" s="184"/>
      <c r="BN14" s="184"/>
      <c r="BT14" s="184"/>
      <c r="BU14" s="184"/>
      <c r="BV14" s="184"/>
      <c r="BW14" s="184"/>
      <c r="BX14" s="184"/>
      <c r="BY14" s="184"/>
      <c r="BZ14" s="184"/>
      <c r="CA14" s="184"/>
      <c r="CB14" s="184"/>
      <c r="CC14" s="184"/>
      <c r="CD14" s="184"/>
      <c r="CE14" s="184"/>
      <c r="CF14" s="184"/>
      <c r="CG14" s="184"/>
      <c r="CH14" s="184"/>
      <c r="CI14" s="184"/>
      <c r="CJ14" s="184"/>
      <c r="CK14" s="184"/>
      <c r="CL14" s="150"/>
      <c r="CM14" s="150"/>
      <c r="CN14" s="150"/>
      <c r="CO14" s="150"/>
      <c r="CP14" s="150"/>
    </row>
    <row r="15" spans="2:94">
      <c r="AW15"/>
      <c r="AX15"/>
      <c r="AY15" s="198"/>
      <c r="BE15" s="1"/>
      <c r="BF15" s="1"/>
      <c r="BG15" s="1"/>
      <c r="BH15" s="1"/>
      <c r="BO15" s="1"/>
      <c r="BP15" s="1"/>
      <c r="BQ15" s="1"/>
      <c r="BR15" s="1"/>
      <c r="BS15" s="1"/>
    </row>
    <row r="16" s="1" customFormat="1" spans="2:94">
      <c r="AS16" s="183" t="s">
        <v>65</v>
      </c>
      <c r="AT16" s="183" t="s">
        <v>11</v>
      </c>
      <c r="AU16" s="183" t="s">
        <v>25</v>
      </c>
      <c r="AW16" s="198" t="s">
        <v>66</v>
      </c>
      <c r="AX16" s="198" t="s">
        <v>41</v>
      </c>
      <c r="AY16" s="199" t="s">
        <v>65</v>
      </c>
      <c r="AZ16" s="199" t="s">
        <v>11</v>
      </c>
      <c r="BA16" s="199" t="s">
        <v>25</v>
      </c>
      <c r="BD16" s="1" t="s">
        <v>66</v>
      </c>
      <c r="BE16" s="1" t="s">
        <v>41</v>
      </c>
      <c r="BF16" s="1" t="s">
        <v>65</v>
      </c>
      <c r="BG16" s="1" t="s">
        <v>11</v>
      </c>
      <c r="BH16" s="1" t="s">
        <v>25</v>
      </c>
      <c r="BI16" s="184"/>
      <c r="BJ16" s="184"/>
      <c r="BK16" s="184"/>
      <c r="BL16" s="184"/>
      <c r="BM16" s="184"/>
      <c r="BN16" s="184"/>
      <c r="BO16" s="1" t="s">
        <v>66</v>
      </c>
      <c r="BP16" s="1" t="s">
        <v>41</v>
      </c>
      <c r="BQ16" s="1" t="s">
        <v>65</v>
      </c>
      <c r="BR16" s="1" t="s">
        <v>11</v>
      </c>
      <c r="BS16" s="1" t="s">
        <v>25</v>
      </c>
      <c r="BT16" s="184"/>
      <c r="BU16" s="184"/>
      <c r="BV16" s="184"/>
      <c r="BW16" s="184"/>
      <c r="BX16" s="184"/>
      <c r="BY16" s="184"/>
      <c r="BZ16" s="184"/>
      <c r="CA16" s="184"/>
      <c r="CB16" s="184"/>
      <c r="CC16" s="184"/>
      <c r="CD16" s="184"/>
      <c r="CE16" s="184"/>
      <c r="CF16" s="184"/>
      <c r="CG16" s="184"/>
      <c r="CH16" s="184"/>
      <c r="CI16" s="184"/>
      <c r="CJ16" s="184"/>
      <c r="CK16" s="184"/>
      <c r="CL16" s="150"/>
      <c r="CM16" s="150"/>
      <c r="CN16" s="150"/>
      <c r="CO16" s="150"/>
      <c r="CP16" s="150"/>
    </row>
    <row r="17" s="1" customFormat="1" spans="2:94">
      <c r="AS17" s="183">
        <v>72.9190245476188</v>
      </c>
      <c r="AT17" s="183">
        <v>50.3343907857141</v>
      </c>
      <c r="AU17" s="183">
        <v>96.9055810714282</v>
      </c>
      <c r="AW17" s="198" t="s">
        <v>67</v>
      </c>
      <c r="AX17" s="198">
        <v>2025</v>
      </c>
      <c r="AY17" s="198">
        <f t="shared" ref="AY17:AY24" si="18">AY4*AI2/AH2</f>
        <v>72.9190245476188</v>
      </c>
      <c r="AZ17" s="198">
        <f>AZ4*AI2/AH2</f>
        <v>50.3343907857141</v>
      </c>
      <c r="BA17" s="198">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4"/>
      <c r="BJ17" s="184"/>
      <c r="BK17" s="184"/>
      <c r="BL17" s="184"/>
      <c r="BM17" s="184"/>
      <c r="BN17" s="184"/>
      <c r="BO17" s="1" t="s">
        <v>69</v>
      </c>
      <c r="BP17" s="1">
        <v>2025</v>
      </c>
      <c r="BQ17" s="1">
        <f t="shared" ref="BQ17:BQ24" si="22">AS17*30%</f>
        <v>21.8757073642856</v>
      </c>
      <c r="BR17" s="1">
        <f t="shared" ref="BR17:BR24" si="23">AT17*30%</f>
        <v>15.1003172357142</v>
      </c>
      <c r="BS17" s="1">
        <f t="shared" ref="BS17:BS24" si="24">AU17*30%</f>
        <v>29.0716743214285</v>
      </c>
      <c r="BT17" s="184"/>
      <c r="BU17" s="184"/>
      <c r="BV17" s="184"/>
      <c r="BW17" s="184"/>
      <c r="BX17" s="184"/>
      <c r="BY17" s="184"/>
      <c r="BZ17" s="184"/>
      <c r="CA17" s="184"/>
      <c r="CB17" s="184"/>
      <c r="CC17" s="184"/>
      <c r="CD17" s="184"/>
      <c r="CE17" s="184"/>
      <c r="CF17" s="184"/>
      <c r="CG17" s="184"/>
      <c r="CH17" s="184"/>
      <c r="CI17" s="184"/>
      <c r="CJ17" s="184"/>
      <c r="CK17" s="184"/>
      <c r="CL17" s="150"/>
      <c r="CM17" s="150"/>
      <c r="CN17" s="150"/>
      <c r="CO17" s="150"/>
      <c r="CP17" s="150"/>
    </row>
    <row r="18" s="1" customFormat="1" spans="2:94">
      <c r="AS18" s="183">
        <v>86.5492299999997</v>
      </c>
      <c r="AT18" s="183">
        <v>60.1668396428569</v>
      </c>
      <c r="AU18" s="183">
        <v>114.5390775</v>
      </c>
      <c r="AW18" s="198" t="s">
        <v>72</v>
      </c>
      <c r="AX18" s="198">
        <f t="shared" ref="AX18:AX24" si="25">AX17</f>
        <v>2025</v>
      </c>
      <c r="AY18" s="198">
        <f t="shared" si="18"/>
        <v>86.5492299999997</v>
      </c>
      <c r="AZ18" s="198">
        <f t="shared" ref="AZ18:AZ24" si="26">AZ5*AI3/AH3</f>
        <v>60.1668396428569</v>
      </c>
      <c r="BA18" s="198">
        <f t="shared" ref="BA18:BA24" si="27">BA5*AI3/AH3</f>
        <v>114.5390775</v>
      </c>
      <c r="BD18" s="1" t="s">
        <v>73</v>
      </c>
      <c r="BE18" s="1">
        <v>2025</v>
      </c>
      <c r="BF18" s="1">
        <f t="shared" si="19"/>
        <v>60.5844609999998</v>
      </c>
      <c r="BG18" s="1">
        <f t="shared" si="20"/>
        <v>42.1167877499998</v>
      </c>
      <c r="BH18" s="1">
        <f t="shared" si="21"/>
        <v>80.17735425</v>
      </c>
      <c r="BI18" s="184"/>
      <c r="BJ18" s="184"/>
      <c r="BK18" s="184"/>
      <c r="BL18" s="184"/>
      <c r="BM18" s="184"/>
      <c r="BN18" s="184"/>
      <c r="BO18" s="1" t="s">
        <v>74</v>
      </c>
      <c r="BP18" s="1">
        <v>2025</v>
      </c>
      <c r="BQ18" s="1">
        <f t="shared" si="22"/>
        <v>25.9647689999999</v>
      </c>
      <c r="BR18" s="1">
        <f t="shared" si="23"/>
        <v>18.0500518928571</v>
      </c>
      <c r="BS18" s="1">
        <f t="shared" si="24"/>
        <v>34.36172325</v>
      </c>
      <c r="BT18" s="184"/>
      <c r="BU18" s="184"/>
      <c r="BV18" s="184"/>
      <c r="BW18" s="184"/>
      <c r="BX18" s="184"/>
      <c r="BY18" s="184"/>
      <c r="BZ18" s="184"/>
      <c r="CA18" s="184"/>
      <c r="CB18" s="184"/>
      <c r="CC18" s="184"/>
      <c r="CD18" s="184"/>
      <c r="CE18" s="184"/>
      <c r="CF18" s="184"/>
      <c r="CG18" s="184"/>
      <c r="CH18" s="184"/>
      <c r="CI18" s="184"/>
      <c r="CJ18" s="184"/>
      <c r="CK18" s="184"/>
      <c r="CL18" s="150"/>
      <c r="CM18" s="150"/>
      <c r="CN18" s="150"/>
      <c r="CO18" s="150"/>
      <c r="CP18" s="150"/>
    </row>
    <row r="19" s="1" customFormat="1" spans="2:94">
      <c r="AS19" s="183">
        <v>77.4225534047616</v>
      </c>
      <c r="AT19" s="183">
        <v>50.8920477857141</v>
      </c>
      <c r="AU19" s="183">
        <v>105.526078</v>
      </c>
      <c r="AW19" s="198" t="s">
        <v>76</v>
      </c>
      <c r="AX19" s="198">
        <f t="shared" si="25"/>
        <v>2025</v>
      </c>
      <c r="AY19" s="198">
        <f t="shared" si="18"/>
        <v>77.4225534047616</v>
      </c>
      <c r="AZ19" s="198">
        <f t="shared" si="26"/>
        <v>50.8920477857141</v>
      </c>
      <c r="BA19" s="198">
        <f t="shared" si="27"/>
        <v>105.526078</v>
      </c>
      <c r="BD19" s="1" t="s">
        <v>77</v>
      </c>
      <c r="BE19" s="1">
        <v>2025</v>
      </c>
      <c r="BF19" s="1">
        <f t="shared" si="19"/>
        <v>54.1957873833331</v>
      </c>
      <c r="BG19" s="1">
        <f t="shared" si="20"/>
        <v>35.6244334499999</v>
      </c>
      <c r="BH19" s="1">
        <f t="shared" si="21"/>
        <v>73.8682546</v>
      </c>
      <c r="BI19" s="184"/>
      <c r="BJ19" s="184"/>
      <c r="BK19" s="184"/>
      <c r="BL19" s="184"/>
      <c r="BM19" s="184"/>
      <c r="BN19" s="184"/>
      <c r="BO19" s="1" t="s">
        <v>78</v>
      </c>
      <c r="BP19" s="1">
        <v>2025</v>
      </c>
      <c r="BQ19" s="1">
        <f t="shared" si="22"/>
        <v>23.2267660214285</v>
      </c>
      <c r="BR19" s="1">
        <f t="shared" si="23"/>
        <v>15.2676143357142</v>
      </c>
      <c r="BS19" s="1">
        <f t="shared" si="24"/>
        <v>31.6578234</v>
      </c>
      <c r="BT19" s="184"/>
      <c r="BU19" s="184"/>
      <c r="BV19" s="184"/>
      <c r="BW19" s="184"/>
      <c r="BX19" s="184"/>
      <c r="BY19" s="184"/>
      <c r="BZ19" s="184"/>
      <c r="CA19" s="184"/>
      <c r="CB19" s="184"/>
      <c r="CC19" s="184"/>
      <c r="CD19" s="184"/>
      <c r="CE19" s="184"/>
      <c r="CF19" s="184"/>
      <c r="CG19" s="184"/>
      <c r="CH19" s="184"/>
      <c r="CI19" s="184"/>
      <c r="CJ19" s="184"/>
      <c r="CK19" s="184"/>
      <c r="CL19" s="150"/>
      <c r="CM19" s="150"/>
      <c r="CN19" s="150"/>
      <c r="CO19" s="150"/>
      <c r="CP19" s="150"/>
    </row>
    <row r="20" s="1" customFormat="1" spans="2:94">
      <c r="AS20" s="183">
        <v>77.5802813571426</v>
      </c>
      <c r="AT20" s="183">
        <v>50.400412642857</v>
      </c>
      <c r="AU20" s="183">
        <v>106.411766928571</v>
      </c>
      <c r="AW20" s="198" t="s">
        <v>80</v>
      </c>
      <c r="AX20" s="198">
        <f t="shared" si="25"/>
        <v>2025</v>
      </c>
      <c r="AY20" s="198">
        <f t="shared" si="18"/>
        <v>77.5802813571426</v>
      </c>
      <c r="AZ20" s="198">
        <f t="shared" si="26"/>
        <v>50.400412642857</v>
      </c>
      <c r="BA20" s="198">
        <f t="shared" si="27"/>
        <v>106.411766928571</v>
      </c>
      <c r="BD20" s="1" t="s">
        <v>81</v>
      </c>
      <c r="BE20" s="1">
        <v>2025</v>
      </c>
      <c r="BF20" s="1">
        <f t="shared" si="19"/>
        <v>54.3061969499998</v>
      </c>
      <c r="BG20" s="1">
        <f t="shared" si="20"/>
        <v>35.2802888499999</v>
      </c>
      <c r="BH20" s="1">
        <f t="shared" si="21"/>
        <v>74.4882368499997</v>
      </c>
      <c r="BI20" s="184"/>
      <c r="BJ20" s="184"/>
      <c r="BK20" s="184"/>
      <c r="BL20" s="184"/>
      <c r="BM20" s="184"/>
      <c r="BN20" s="184"/>
      <c r="BO20" s="1" t="s">
        <v>82</v>
      </c>
      <c r="BP20" s="1">
        <v>2025</v>
      </c>
      <c r="BQ20" s="1">
        <f t="shared" si="22"/>
        <v>23.2740844071428</v>
      </c>
      <c r="BR20" s="1">
        <f t="shared" si="23"/>
        <v>15.1201237928571</v>
      </c>
      <c r="BS20" s="1">
        <f t="shared" si="24"/>
        <v>31.9235300785713</v>
      </c>
      <c r="BT20" s="184"/>
      <c r="BU20" s="184"/>
      <c r="BV20" s="184"/>
      <c r="BW20" s="184"/>
      <c r="BX20" s="184"/>
      <c r="BY20" s="184"/>
      <c r="BZ20" s="184"/>
      <c r="CA20" s="184"/>
      <c r="CB20" s="184"/>
      <c r="CC20" s="184"/>
      <c r="CD20" s="184"/>
      <c r="CE20" s="184"/>
      <c r="CF20" s="184"/>
      <c r="CG20" s="184"/>
      <c r="CH20" s="184"/>
      <c r="CI20" s="184"/>
      <c r="CJ20" s="184"/>
      <c r="CK20" s="184"/>
      <c r="CL20" s="150"/>
      <c r="CM20" s="150"/>
      <c r="CN20" s="150"/>
      <c r="CO20" s="150"/>
      <c r="CP20" s="150"/>
    </row>
    <row r="21" s="1" customFormat="1" spans="2:94">
      <c r="AS21" s="183">
        <v>81.727145833333</v>
      </c>
      <c r="AT21" s="183">
        <v>53.8549849999998</v>
      </c>
      <c r="AU21" s="183">
        <v>111.2783525</v>
      </c>
      <c r="AW21" s="198" t="s">
        <v>85</v>
      </c>
      <c r="AX21" s="198">
        <f t="shared" si="25"/>
        <v>2025</v>
      </c>
      <c r="AY21" s="198">
        <f t="shared" si="18"/>
        <v>81.727145833333</v>
      </c>
      <c r="AZ21" s="198">
        <f t="shared" si="26"/>
        <v>53.8549849999998</v>
      </c>
      <c r="BA21" s="198">
        <f t="shared" si="27"/>
        <v>111.2783525</v>
      </c>
      <c r="BD21" s="1" t="s">
        <v>86</v>
      </c>
      <c r="BE21" s="1">
        <v>2025</v>
      </c>
      <c r="BF21" s="1">
        <f t="shared" si="19"/>
        <v>57.2090020833331</v>
      </c>
      <c r="BG21" s="1">
        <f t="shared" si="20"/>
        <v>37.6984894999999</v>
      </c>
      <c r="BH21" s="1">
        <f t="shared" si="21"/>
        <v>77.89484675</v>
      </c>
      <c r="BI21" s="184"/>
      <c r="BJ21" s="184"/>
      <c r="BK21" s="184"/>
      <c r="BL21" s="184"/>
      <c r="BM21" s="184"/>
      <c r="BN21" s="184"/>
      <c r="BO21" s="1" t="s">
        <v>87</v>
      </c>
      <c r="BP21" s="1">
        <v>2025</v>
      </c>
      <c r="BQ21" s="1">
        <f t="shared" si="22"/>
        <v>24.5181437499999</v>
      </c>
      <c r="BR21" s="1">
        <f t="shared" si="23"/>
        <v>16.1564954999999</v>
      </c>
      <c r="BS21" s="1">
        <f t="shared" si="24"/>
        <v>33.38350575</v>
      </c>
      <c r="BT21" s="184"/>
      <c r="BU21" s="184"/>
      <c r="BV21" s="184"/>
      <c r="BW21" s="184"/>
      <c r="BX21" s="184"/>
      <c r="BY21" s="184"/>
      <c r="BZ21" s="184"/>
      <c r="CA21" s="184"/>
      <c r="CB21" s="184"/>
      <c r="CC21" s="184"/>
      <c r="CD21" s="184"/>
      <c r="CE21" s="184"/>
      <c r="CF21" s="184"/>
      <c r="CG21" s="184"/>
      <c r="CH21" s="184"/>
      <c r="CI21" s="184"/>
      <c r="CJ21" s="184"/>
      <c r="CK21" s="184"/>
      <c r="CL21" s="150"/>
      <c r="CM21" s="150"/>
      <c r="CN21" s="150"/>
      <c r="CO21" s="150"/>
      <c r="CP21" s="150"/>
    </row>
    <row r="22" s="1" customFormat="1" spans="2:94">
      <c r="AS22" s="183">
        <v>78.8508679761902</v>
      </c>
      <c r="AT22" s="183">
        <v>52.0133489285712</v>
      </c>
      <c r="AU22" s="183">
        <v>107.289872142857</v>
      </c>
      <c r="AW22" s="198" t="s">
        <v>89</v>
      </c>
      <c r="AX22" s="198">
        <f t="shared" si="25"/>
        <v>2025</v>
      </c>
      <c r="AY22" s="198">
        <f t="shared" si="18"/>
        <v>78.8508679761902</v>
      </c>
      <c r="AZ22" s="198">
        <f t="shared" si="26"/>
        <v>52.0133489285712</v>
      </c>
      <c r="BA22" s="198">
        <f t="shared" si="27"/>
        <v>107.289872142857</v>
      </c>
      <c r="BD22" s="1" t="s">
        <v>90</v>
      </c>
      <c r="BE22" s="1">
        <v>2025</v>
      </c>
      <c r="BF22" s="1">
        <f t="shared" si="19"/>
        <v>55.1956075833331</v>
      </c>
      <c r="BG22" s="1">
        <f t="shared" si="20"/>
        <v>36.4093442499998</v>
      </c>
      <c r="BH22" s="1">
        <f t="shared" si="21"/>
        <v>75.1029104999999</v>
      </c>
      <c r="BI22" s="184"/>
      <c r="BJ22" s="184"/>
      <c r="BK22" s="184"/>
      <c r="BL22" s="184"/>
      <c r="BM22" s="184"/>
      <c r="BN22" s="184"/>
      <c r="BO22" s="1" t="s">
        <v>91</v>
      </c>
      <c r="BP22" s="1">
        <v>2025</v>
      </c>
      <c r="BQ22" s="1">
        <f t="shared" si="22"/>
        <v>23.6552603928571</v>
      </c>
      <c r="BR22" s="1">
        <f t="shared" si="23"/>
        <v>15.6040046785714</v>
      </c>
      <c r="BS22" s="1">
        <f t="shared" si="24"/>
        <v>32.1869616428571</v>
      </c>
      <c r="BT22" s="184"/>
      <c r="BU22" s="184"/>
      <c r="BV22" s="184"/>
      <c r="BW22" s="184"/>
      <c r="BX22" s="184"/>
      <c r="BY22" s="184"/>
      <c r="BZ22" s="184"/>
      <c r="CA22" s="184"/>
      <c r="CB22" s="184"/>
      <c r="CC22" s="184"/>
      <c r="CD22" s="184"/>
      <c r="CE22" s="184"/>
      <c r="CF22" s="184"/>
      <c r="CG22" s="184"/>
      <c r="CH22" s="184"/>
      <c r="CI22" s="184"/>
      <c r="CJ22" s="184"/>
      <c r="CK22" s="184"/>
      <c r="CL22" s="150"/>
      <c r="CM22" s="150"/>
      <c r="CN22" s="150"/>
      <c r="CO22" s="150"/>
      <c r="CP22" s="150"/>
    </row>
    <row r="23" s="1" customFormat="1" spans="2:94">
      <c r="AS23" s="183">
        <v>81.2370619047616</v>
      </c>
      <c r="AT23" s="183">
        <v>54.4190282857141</v>
      </c>
      <c r="AU23" s="183">
        <v>109.650457428571</v>
      </c>
      <c r="AW23" s="198" t="s">
        <v>93</v>
      </c>
      <c r="AX23" s="198">
        <f t="shared" si="25"/>
        <v>2025</v>
      </c>
      <c r="AY23" s="198">
        <f t="shared" si="18"/>
        <v>81.2370619047616</v>
      </c>
      <c r="AZ23" s="198">
        <f t="shared" si="26"/>
        <v>54.4190282857141</v>
      </c>
      <c r="BA23" s="198">
        <f t="shared" si="27"/>
        <v>109.650457428571</v>
      </c>
      <c r="BD23" s="1" t="s">
        <v>94</v>
      </c>
      <c r="BE23" s="1">
        <v>2025</v>
      </c>
      <c r="BF23" s="1">
        <f t="shared" si="19"/>
        <v>56.8659433333331</v>
      </c>
      <c r="BG23" s="1">
        <f t="shared" si="20"/>
        <v>38.0933197999999</v>
      </c>
      <c r="BH23" s="1">
        <f t="shared" si="21"/>
        <v>76.7553201999997</v>
      </c>
      <c r="BI23" s="184"/>
      <c r="BJ23" s="184"/>
      <c r="BK23" s="184"/>
      <c r="BL23" s="184"/>
      <c r="BM23" s="184"/>
      <c r="BN23" s="184"/>
      <c r="BO23" s="1" t="s">
        <v>95</v>
      </c>
      <c r="BP23" s="1">
        <v>2025</v>
      </c>
      <c r="BQ23" s="1">
        <f t="shared" si="22"/>
        <v>24.3711185714285</v>
      </c>
      <c r="BR23" s="1">
        <f t="shared" si="23"/>
        <v>16.3257084857142</v>
      </c>
      <c r="BS23" s="1">
        <f t="shared" si="24"/>
        <v>32.8951372285713</v>
      </c>
      <c r="BT23" s="184"/>
      <c r="BU23" s="184"/>
      <c r="BV23" s="184"/>
      <c r="BW23" s="184"/>
      <c r="BX23" s="184"/>
      <c r="BY23" s="184"/>
      <c r="BZ23" s="184"/>
      <c r="CA23" s="184"/>
      <c r="CB23" s="184"/>
      <c r="CC23" s="184"/>
      <c r="CD23" s="184"/>
      <c r="CE23" s="184"/>
      <c r="CF23" s="184"/>
      <c r="CG23" s="184"/>
      <c r="CH23" s="184"/>
      <c r="CI23" s="184"/>
      <c r="CJ23" s="184"/>
      <c r="CK23" s="184"/>
      <c r="CL23" s="150"/>
      <c r="CM23" s="150"/>
      <c r="CN23" s="150"/>
      <c r="CO23" s="150"/>
      <c r="CP23" s="150"/>
    </row>
    <row r="24" s="1" customFormat="1" spans="2:94">
      <c r="AS24" s="200">
        <v>147.041809523809</v>
      </c>
      <c r="AT24" s="200">
        <v>147.041809523809</v>
      </c>
      <c r="AU24" s="200">
        <v>147.041809523809</v>
      </c>
      <c r="AW24" s="7"/>
      <c r="AX24" s="201"/>
      <c r="AY24" s="201"/>
      <c r="AZ24" s="201"/>
      <c r="BA24" s="201"/>
      <c r="BD24" s="1" t="s">
        <v>97</v>
      </c>
      <c r="BE24" s="1">
        <v>2025</v>
      </c>
      <c r="BF24" s="1">
        <f t="shared" si="19"/>
        <v>102.929266666666</v>
      </c>
      <c r="BG24" s="1">
        <f t="shared" si="20"/>
        <v>102.929266666666</v>
      </c>
      <c r="BH24" s="1">
        <f t="shared" si="21"/>
        <v>102.929266666666</v>
      </c>
      <c r="BI24" s="184"/>
      <c r="BJ24" s="184"/>
      <c r="BK24" s="184"/>
      <c r="BL24" s="184"/>
      <c r="BM24" s="184"/>
      <c r="BN24" s="184"/>
      <c r="BO24" s="1" t="s">
        <v>98</v>
      </c>
      <c r="BP24" s="1">
        <v>2025</v>
      </c>
      <c r="BQ24" s="1">
        <f t="shared" si="22"/>
        <v>44.1125428571427</v>
      </c>
      <c r="BR24" s="1">
        <f t="shared" si="23"/>
        <v>44.1125428571427</v>
      </c>
      <c r="BS24" s="1">
        <f t="shared" si="24"/>
        <v>44.1125428571427</v>
      </c>
      <c r="BT24" s="184"/>
      <c r="BU24" s="184"/>
      <c r="BV24" s="184"/>
      <c r="BW24" s="184"/>
      <c r="BX24" s="184"/>
      <c r="BY24" s="184"/>
      <c r="BZ24" s="184"/>
      <c r="CA24" s="184"/>
      <c r="CB24" s="184"/>
      <c r="CC24" s="184"/>
      <c r="CD24" s="184"/>
      <c r="CE24" s="184"/>
      <c r="CF24" s="184"/>
      <c r="CG24" s="184"/>
      <c r="CH24" s="184"/>
      <c r="CI24" s="184"/>
      <c r="CJ24" s="184"/>
      <c r="CK24" s="184"/>
      <c r="CL24" s="150"/>
      <c r="CM24" s="150"/>
      <c r="CN24" s="150"/>
      <c r="CO24" s="150"/>
      <c r="CP24" s="150"/>
    </row>
    <row r="25" s="182" customFormat="1" spans="2:94">
      <c r="AS25" s="202"/>
      <c r="AT25" s="202"/>
      <c r="AU25" s="202"/>
      <c r="AW25" s="1"/>
      <c r="AX25" s="1"/>
      <c r="AY25" s="1"/>
      <c r="AZ25" s="1"/>
      <c r="BA25" s="1"/>
      <c r="BB25" s="1"/>
      <c r="BI25" s="184"/>
      <c r="BJ25" s="184"/>
      <c r="BK25" s="184"/>
      <c r="BL25" s="184"/>
      <c r="BM25" s="184"/>
      <c r="BN25" s="184"/>
      <c r="BT25" s="184"/>
      <c r="BU25" s="184"/>
      <c r="BV25" s="184"/>
      <c r="BW25" s="184"/>
      <c r="BX25" s="184"/>
      <c r="BY25" s="184"/>
      <c r="BZ25" s="184"/>
      <c r="CA25" s="184"/>
      <c r="CB25" s="184"/>
      <c r="CC25" s="184"/>
      <c r="CD25" s="184"/>
      <c r="CE25" s="184"/>
      <c r="CF25" s="184"/>
      <c r="CG25" s="184"/>
      <c r="CH25" s="184"/>
      <c r="CI25" s="184"/>
      <c r="CJ25" s="184"/>
      <c r="CK25" s="184"/>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5"/>
      <c r="BO27" s="1"/>
      <c r="BP27" s="1"/>
      <c r="BQ27" s="1"/>
      <c r="BR27" s="1"/>
      <c r="BS27" s="1"/>
    </row>
    <row r="28" spans="2:94">
      <c r="G28" s="191" t="s">
        <v>65</v>
      </c>
      <c r="H28" s="191" t="s">
        <v>11</v>
      </c>
      <c r="I28" s="191" t="s">
        <v>25</v>
      </c>
      <c r="BE28" s="1"/>
      <c r="BF28" s="1"/>
      <c r="BG28" s="1"/>
      <c r="BH28" s="1"/>
      <c r="BI28" s="203"/>
      <c r="BO28" s="1"/>
      <c r="BP28" s="1"/>
      <c r="BQ28" s="1"/>
      <c r="BR28" s="1"/>
      <c r="BS28" s="1"/>
    </row>
    <row r="29" spans="2:94">
      <c r="F29" s="191" t="s">
        <v>71</v>
      </c>
      <c r="G29" s="1">
        <v>99.0769266666667</v>
      </c>
      <c r="H29" s="1">
        <v>74.18048</v>
      </c>
      <c r="I29" s="1">
        <v>125.5188</v>
      </c>
      <c r="BE29" s="1"/>
      <c r="BF29" s="1"/>
      <c r="BG29" s="1"/>
      <c r="BH29" s="1"/>
      <c r="BI29" s="203"/>
      <c r="BO29" s="1"/>
      <c r="BP29" s="1"/>
      <c r="BQ29" s="1"/>
      <c r="BR29" s="1"/>
      <c r="BS29" s="1"/>
    </row>
    <row r="30" spans="2:94">
      <c r="F30" s="191" t="s">
        <v>75</v>
      </c>
      <c r="G30" s="1">
        <v>115.8002</v>
      </c>
      <c r="H30" s="1">
        <v>86.71725</v>
      </c>
      <c r="I30" s="1">
        <v>146.65515</v>
      </c>
      <c r="AW30" s="32"/>
      <c r="AX30" s="32"/>
      <c r="AY30" s="201"/>
      <c r="BE30" s="1"/>
      <c r="BF30" s="1"/>
      <c r="BG30" s="1"/>
      <c r="BH30" s="1"/>
      <c r="BI30" s="203"/>
      <c r="BO30" s="1"/>
      <c r="BP30" s="1"/>
      <c r="BQ30" s="1"/>
      <c r="BR30" s="1"/>
      <c r="BS30" s="1"/>
    </row>
    <row r="31" spans="2:94">
      <c r="F31" s="191" t="s">
        <v>79</v>
      </c>
      <c r="G31" s="1">
        <v>116.609496666667</v>
      </c>
      <c r="H31" s="1">
        <v>87.36327</v>
      </c>
      <c r="I31" s="1">
        <v>147.58976</v>
      </c>
      <c r="AS31" s="183" t="s">
        <v>65</v>
      </c>
      <c r="AT31" s="183" t="s">
        <v>11</v>
      </c>
      <c r="AU31" s="183" t="s">
        <v>25</v>
      </c>
      <c r="AW31" s="201" t="s">
        <v>66</v>
      </c>
      <c r="AX31" s="201" t="s">
        <v>41</v>
      </c>
      <c r="AY31" s="199" t="s">
        <v>65</v>
      </c>
      <c r="AZ31" s="199" t="s">
        <v>11</v>
      </c>
      <c r="BA31" s="199"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1" t="s">
        <v>84</v>
      </c>
      <c r="G32" s="1">
        <v>119.49202</v>
      </c>
      <c r="H32" s="1">
        <v>89.52996</v>
      </c>
      <c r="I32" s="1">
        <v>151.27476</v>
      </c>
      <c r="AS32" s="183">
        <v>63.1582102380952</v>
      </c>
      <c r="AT32" s="183">
        <v>43.5967164285714</v>
      </c>
      <c r="AU32" s="183">
        <v>83.9339678571427</v>
      </c>
      <c r="AW32" s="201" t="s">
        <v>67</v>
      </c>
      <c r="AX32" s="201">
        <v>2030</v>
      </c>
      <c r="AY32" s="201">
        <f>AY17*AJ2/AI2</f>
        <v>63.1582102380952</v>
      </c>
      <c r="AZ32" s="201">
        <f>AZ17*AJ2/AI2</f>
        <v>43.5967164285714</v>
      </c>
      <c r="BA32" s="201">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1" t="s">
        <v>88</v>
      </c>
      <c r="G33" s="1">
        <v>122.491716666667</v>
      </c>
      <c r="H33" s="1">
        <v>91.7665</v>
      </c>
      <c r="I33" s="1">
        <v>155.06785</v>
      </c>
      <c r="AS33" s="183">
        <v>74.9638999999999</v>
      </c>
      <c r="AT33" s="183">
        <v>52.1130107142856</v>
      </c>
      <c r="AU33" s="183">
        <v>99.2070749999999</v>
      </c>
      <c r="AW33" s="201" t="s">
        <v>72</v>
      </c>
      <c r="AX33" s="201">
        <f t="shared" ref="AX33:AX39" si="34">AX32</f>
        <v>2030</v>
      </c>
      <c r="AY33" s="201">
        <f t="shared" ref="AY33:AY39" si="35">AY18*AJ3/AI3</f>
        <v>74.9638999999999</v>
      </c>
      <c r="AZ33" s="201">
        <f t="shared" ref="AZ33:AZ39" si="36">AZ18*AJ3/AI3</f>
        <v>52.1130107142856</v>
      </c>
      <c r="BA33" s="201">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1" t="s">
        <v>92</v>
      </c>
      <c r="G34" s="1">
        <v>117.948416666667</v>
      </c>
      <c r="H34" s="1">
        <v>88.36375</v>
      </c>
      <c r="I34" s="1">
        <v>149.2985</v>
      </c>
      <c r="AS34" s="183">
        <v>67.0589045238094</v>
      </c>
      <c r="AT34" s="183">
        <v>44.0797264285714</v>
      </c>
      <c r="AU34" s="183">
        <v>91.4005399999999</v>
      </c>
      <c r="AW34" s="201" t="s">
        <v>76</v>
      </c>
      <c r="AX34" s="201">
        <f t="shared" si="34"/>
        <v>2030</v>
      </c>
      <c r="AY34" s="201">
        <f t="shared" si="35"/>
        <v>67.0589045238094</v>
      </c>
      <c r="AZ34" s="201">
        <f t="shared" si="36"/>
        <v>44.0797264285714</v>
      </c>
      <c r="BA34" s="201">
        <f t="shared" si="37"/>
        <v>91.4005399999999</v>
      </c>
      <c r="BD34" s="1" t="s">
        <v>77</v>
      </c>
      <c r="BE34" s="1">
        <v>2030</v>
      </c>
      <c r="BF34" s="1">
        <f t="shared" si="28"/>
        <v>46.9412331666666</v>
      </c>
      <c r="BG34" s="1">
        <f t="shared" si="29"/>
        <v>30.8558085</v>
      </c>
      <c r="BH34" s="1">
        <f t="shared" si="30"/>
        <v>63.9803779999999</v>
      </c>
      <c r="BI34" s="195"/>
      <c r="BO34" s="1" t="s">
        <v>78</v>
      </c>
      <c r="BP34" s="1">
        <v>2030</v>
      </c>
      <c r="BQ34" s="1">
        <f t="shared" si="31"/>
        <v>20.1176713571428</v>
      </c>
      <c r="BR34" s="1">
        <f t="shared" si="32"/>
        <v>13.2239179285714</v>
      </c>
      <c r="BS34" s="1">
        <f t="shared" si="33"/>
        <v>27.420162</v>
      </c>
    </row>
    <row r="35" spans="2:71">
      <c r="F35" s="191" t="s">
        <v>96</v>
      </c>
      <c r="G35" s="1">
        <v>117.830666666667</v>
      </c>
      <c r="H35" s="1">
        <v>88.26748</v>
      </c>
      <c r="I35" s="1">
        <v>149.15252</v>
      </c>
      <c r="AS35" s="183">
        <v>67.1955192857142</v>
      </c>
      <c r="AT35" s="183">
        <v>43.6539007142857</v>
      </c>
      <c r="AU35" s="183">
        <v>92.167672142857</v>
      </c>
      <c r="AW35" s="201" t="s">
        <v>80</v>
      </c>
      <c r="AX35" s="201">
        <f t="shared" si="34"/>
        <v>2030</v>
      </c>
      <c r="AY35" s="201">
        <f t="shared" si="35"/>
        <v>67.1955192857142</v>
      </c>
      <c r="AZ35" s="201">
        <f t="shared" si="36"/>
        <v>43.6539007142857</v>
      </c>
      <c r="BA35" s="201">
        <f t="shared" si="37"/>
        <v>92.167672142857</v>
      </c>
      <c r="BD35" s="1" t="s">
        <v>81</v>
      </c>
      <c r="BE35" s="1">
        <v>2030</v>
      </c>
      <c r="BF35" s="1">
        <f t="shared" si="28"/>
        <v>47.0368634999999</v>
      </c>
      <c r="BG35" s="1">
        <f t="shared" si="29"/>
        <v>30.5577305</v>
      </c>
      <c r="BH35" s="1">
        <f t="shared" si="30"/>
        <v>64.5173704999999</v>
      </c>
      <c r="BI35" s="204"/>
      <c r="BO35" s="1" t="s">
        <v>82</v>
      </c>
      <c r="BP35" s="1">
        <v>2030</v>
      </c>
      <c r="BQ35" s="1">
        <f t="shared" si="31"/>
        <v>20.1586557857143</v>
      </c>
      <c r="BR35" s="1">
        <f t="shared" si="32"/>
        <v>13.0961702142857</v>
      </c>
      <c r="BS35" s="1">
        <f t="shared" si="33"/>
        <v>27.6503016428571</v>
      </c>
    </row>
    <row r="36" spans="2:71">
      <c r="AS36" s="183">
        <v>70.7872916666665</v>
      </c>
      <c r="AT36" s="183">
        <v>46.6460499999999</v>
      </c>
      <c r="AU36" s="183">
        <v>96.3828249999999</v>
      </c>
      <c r="AW36" s="201" t="s">
        <v>85</v>
      </c>
      <c r="AX36" s="201">
        <f t="shared" si="34"/>
        <v>2030</v>
      </c>
      <c r="AY36" s="201">
        <f t="shared" si="35"/>
        <v>70.7872916666665</v>
      </c>
      <c r="AZ36" s="201">
        <f t="shared" si="36"/>
        <v>46.6460499999999</v>
      </c>
      <c r="BA36" s="201">
        <f t="shared" si="37"/>
        <v>96.3828249999999</v>
      </c>
      <c r="BD36" s="1" t="s">
        <v>86</v>
      </c>
      <c r="BE36" s="1">
        <v>2030</v>
      </c>
      <c r="BF36" s="1">
        <f t="shared" si="28"/>
        <v>49.5511041666665</v>
      </c>
      <c r="BG36" s="1">
        <f t="shared" si="29"/>
        <v>32.6522349999999</v>
      </c>
      <c r="BH36" s="1">
        <f t="shared" si="30"/>
        <v>67.4679774999999</v>
      </c>
      <c r="BI36" s="204"/>
      <c r="BO36" s="1" t="s">
        <v>87</v>
      </c>
      <c r="BP36" s="1">
        <v>2030</v>
      </c>
      <c r="BQ36" s="1">
        <f t="shared" si="31"/>
        <v>21.2361875</v>
      </c>
      <c r="BR36" s="1">
        <f t="shared" si="32"/>
        <v>13.993815</v>
      </c>
      <c r="BS36" s="1">
        <f t="shared" si="33"/>
        <v>28.9148475</v>
      </c>
    </row>
    <row r="37" spans="2:71">
      <c r="AS37" s="183">
        <v>68.2960273809523</v>
      </c>
      <c r="AT37" s="183">
        <v>45.0509321428571</v>
      </c>
      <c r="AU37" s="183">
        <v>92.9282357142856</v>
      </c>
      <c r="AW37" s="201" t="s">
        <v>89</v>
      </c>
      <c r="AX37" s="201">
        <f t="shared" si="34"/>
        <v>2030</v>
      </c>
      <c r="AY37" s="201">
        <f t="shared" si="35"/>
        <v>68.2960273809523</v>
      </c>
      <c r="AZ37" s="201">
        <f t="shared" si="36"/>
        <v>45.0509321428571</v>
      </c>
      <c r="BA37" s="201">
        <f t="shared" si="37"/>
        <v>92.9282357142856</v>
      </c>
      <c r="BD37" s="1" t="s">
        <v>90</v>
      </c>
      <c r="BE37" s="1">
        <v>2030</v>
      </c>
      <c r="BF37" s="1">
        <f t="shared" si="28"/>
        <v>47.8072191666666</v>
      </c>
      <c r="BG37" s="1">
        <f t="shared" si="29"/>
        <v>31.5356525</v>
      </c>
      <c r="BH37" s="1">
        <f t="shared" si="30"/>
        <v>65.0497649999999</v>
      </c>
      <c r="BI37" s="204"/>
      <c r="BO37" s="1" t="s">
        <v>91</v>
      </c>
      <c r="BP37" s="1">
        <v>2030</v>
      </c>
      <c r="BQ37" s="1">
        <f t="shared" si="31"/>
        <v>20.4888082142857</v>
      </c>
      <c r="BR37" s="1">
        <f t="shared" si="32"/>
        <v>13.5152796428571</v>
      </c>
      <c r="BS37" s="1">
        <f t="shared" si="33"/>
        <v>27.8784707142857</v>
      </c>
    </row>
    <row r="38" spans="2:71">
      <c r="AS38" s="183">
        <v>70.3628095238094</v>
      </c>
      <c r="AT38" s="183">
        <v>47.1345914285714</v>
      </c>
      <c r="AU38" s="183">
        <v>94.972837142857</v>
      </c>
      <c r="AW38" s="201" t="s">
        <v>93</v>
      </c>
      <c r="AX38" s="201">
        <f t="shared" si="34"/>
        <v>2030</v>
      </c>
      <c r="AY38" s="201">
        <f t="shared" si="35"/>
        <v>70.3628095238094</v>
      </c>
      <c r="AZ38" s="201">
        <f t="shared" si="36"/>
        <v>47.1345914285714</v>
      </c>
      <c r="BA38" s="201">
        <f t="shared" si="37"/>
        <v>94.972837142857</v>
      </c>
      <c r="BD38" s="1" t="s">
        <v>94</v>
      </c>
      <c r="BE38" s="1">
        <v>2030</v>
      </c>
      <c r="BF38" s="1">
        <f t="shared" si="28"/>
        <v>49.2539666666666</v>
      </c>
      <c r="BG38" s="1">
        <f t="shared" si="29"/>
        <v>32.994214</v>
      </c>
      <c r="BH38" s="1">
        <f t="shared" si="30"/>
        <v>66.4809859999999</v>
      </c>
      <c r="BI38" s="204"/>
      <c r="BO38" s="1" t="s">
        <v>95</v>
      </c>
      <c r="BP38" s="1">
        <v>2030</v>
      </c>
      <c r="BQ38" s="1">
        <f t="shared" si="31"/>
        <v>21.1088428571428</v>
      </c>
      <c r="BR38" s="1">
        <f t="shared" si="32"/>
        <v>14.1403774285714</v>
      </c>
      <c r="BS38" s="1">
        <f t="shared" si="33"/>
        <v>28.4918511428571</v>
      </c>
    </row>
    <row r="39" spans="2:71">
      <c r="AS39" s="183">
        <v>127.359047619047</v>
      </c>
      <c r="AT39" s="183">
        <v>127.359047619047</v>
      </c>
      <c r="AU39" s="183">
        <v>127.359047619047</v>
      </c>
      <c r="AW39" s="7"/>
      <c r="AX39" s="201"/>
      <c r="AY39" s="201"/>
      <c r="AZ39" s="201"/>
      <c r="BA39" s="201"/>
      <c r="BD39" s="1" t="s">
        <v>97</v>
      </c>
      <c r="BE39" s="1">
        <v>2030</v>
      </c>
      <c r="BF39" s="1">
        <f t="shared" si="28"/>
        <v>89.1513333333329</v>
      </c>
      <c r="BG39" s="1">
        <f t="shared" si="29"/>
        <v>89.1513333333329</v>
      </c>
      <c r="BH39" s="1">
        <f t="shared" si="30"/>
        <v>89.1513333333329</v>
      </c>
      <c r="BI39" s="204"/>
      <c r="BO39" s="1" t="s">
        <v>98</v>
      </c>
      <c r="BP39" s="1">
        <v>2030</v>
      </c>
      <c r="BQ39" s="1">
        <f t="shared" si="31"/>
        <v>38.2077142857141</v>
      </c>
      <c r="BR39" s="1">
        <f t="shared" si="32"/>
        <v>38.2077142857141</v>
      </c>
      <c r="BS39" s="1">
        <f t="shared" si="33"/>
        <v>38.2077142857141</v>
      </c>
    </row>
    <row r="40" spans="2:71">
      <c r="BE40" s="1"/>
      <c r="BF40" s="1"/>
      <c r="BG40" s="1"/>
      <c r="BH40" s="1"/>
      <c r="BI40" s="204"/>
      <c r="BO40" s="1"/>
      <c r="BP40" s="1"/>
      <c r="BQ40" s="1"/>
      <c r="BR40" s="1"/>
      <c r="BS40" s="1"/>
    </row>
    <row r="41" spans="2:71">
      <c r="AG41" s="205" t="s">
        <v>52</v>
      </c>
      <c r="AH41" s="205"/>
      <c r="AI41" s="205"/>
      <c r="AJ41" s="205"/>
      <c r="AK41" s="205"/>
      <c r="BE41" s="1"/>
      <c r="BF41" s="1"/>
      <c r="BG41" s="1"/>
      <c r="BH41" s="1"/>
      <c r="BI41" s="204"/>
      <c r="BO41" s="1"/>
      <c r="BP41" s="1"/>
      <c r="BQ41" s="1"/>
      <c r="BR41" s="1"/>
      <c r="BS41" s="1"/>
    </row>
    <row r="42" spans="2:71">
      <c r="AG42" s="205"/>
      <c r="AH42" s="205"/>
      <c r="AI42" s="205"/>
      <c r="AJ42" s="205"/>
      <c r="AK42" s="205"/>
      <c r="BE42" s="1"/>
      <c r="BF42" s="1"/>
      <c r="BG42" s="1"/>
      <c r="BH42" s="1"/>
      <c r="BI42" s="204"/>
      <c r="BO42" s="1"/>
      <c r="BP42" s="1"/>
      <c r="BQ42" s="1"/>
      <c r="BR42" s="1"/>
      <c r="BS42" s="1"/>
    </row>
    <row r="43" spans="2:71">
      <c r="B43" s="206"/>
      <c r="C43" s="206"/>
      <c r="D43" s="206"/>
      <c r="E43" s="206"/>
      <c r="AG43" s="205"/>
      <c r="AH43" s="205"/>
      <c r="AI43" s="205"/>
      <c r="AJ43" s="205"/>
      <c r="AK43" s="205"/>
      <c r="BE43" s="1"/>
      <c r="BF43" s="1"/>
      <c r="BG43" s="1"/>
      <c r="BH43" s="1"/>
      <c r="BI43" s="204"/>
      <c r="BO43" s="1"/>
      <c r="BP43" s="1"/>
      <c r="BQ43" s="1"/>
      <c r="BR43" s="1"/>
      <c r="BS43" s="1"/>
    </row>
    <row r="44" spans="2:71">
      <c r="B44" s="206"/>
      <c r="C44" s="206"/>
      <c r="D44" s="206"/>
      <c r="E44" s="206"/>
      <c r="AG44" s="205"/>
      <c r="AH44" s="205"/>
      <c r="AI44" s="205"/>
      <c r="AJ44" s="205"/>
      <c r="AK44" s="205"/>
      <c r="AW44" s="32"/>
      <c r="AX44" s="32"/>
      <c r="AY44" s="201"/>
      <c r="BE44" s="1"/>
      <c r="BF44" s="1"/>
      <c r="BG44" s="1"/>
      <c r="BH44" s="1"/>
      <c r="BI44" s="204"/>
      <c r="BO44" s="1"/>
      <c r="BP44" s="1"/>
      <c r="BQ44" s="1"/>
      <c r="BR44" s="1"/>
      <c r="BS44" s="1"/>
    </row>
    <row r="45" spans="2:71">
      <c r="B45" s="206"/>
      <c r="C45" s="206"/>
      <c r="D45" s="206"/>
      <c r="E45" s="206"/>
      <c r="AG45" s="205" t="s">
        <v>66</v>
      </c>
      <c r="AH45" s="205" t="s">
        <v>41</v>
      </c>
      <c r="AI45" s="205" t="s">
        <v>65</v>
      </c>
      <c r="AJ45" s="205" t="s">
        <v>11</v>
      </c>
      <c r="AK45" s="205" t="s">
        <v>25</v>
      </c>
      <c r="AS45" s="183" t="s">
        <v>65</v>
      </c>
      <c r="AT45" s="183" t="s">
        <v>11</v>
      </c>
      <c r="AU45" s="183" t="s">
        <v>25</v>
      </c>
      <c r="AW45" s="201" t="s">
        <v>66</v>
      </c>
      <c r="AX45" s="201" t="s">
        <v>41</v>
      </c>
      <c r="AY45" s="199" t="s">
        <v>65</v>
      </c>
      <c r="AZ45" s="199" t="s">
        <v>11</v>
      </c>
      <c r="BA45" s="199" t="s">
        <v>25</v>
      </c>
      <c r="BD45" s="1" t="s">
        <v>66</v>
      </c>
      <c r="BE45" s="1" t="s">
        <v>41</v>
      </c>
      <c r="BF45" s="1" t="s">
        <v>65</v>
      </c>
      <c r="BG45" s="1" t="s">
        <v>11</v>
      </c>
      <c r="BH45" s="1" t="s">
        <v>25</v>
      </c>
      <c r="BI45" s="204"/>
      <c r="BO45" s="1" t="s">
        <v>66</v>
      </c>
      <c r="BP45" s="1" t="s">
        <v>41</v>
      </c>
      <c r="BQ45" s="1" t="s">
        <v>65</v>
      </c>
      <c r="BR45" s="1" t="s">
        <v>11</v>
      </c>
      <c r="BS45" s="1" t="s">
        <v>25</v>
      </c>
    </row>
    <row r="46" spans="2:71">
      <c r="B46" s="131"/>
      <c r="C46" s="207"/>
      <c r="D46" s="206"/>
      <c r="E46" s="206"/>
      <c r="AG46" s="205" t="s">
        <v>68</v>
      </c>
      <c r="AH46" s="205">
        <v>2023</v>
      </c>
      <c r="AI46" s="205">
        <v>0.1</v>
      </c>
      <c r="AJ46" s="205">
        <f>AI46</f>
        <v>0.1</v>
      </c>
      <c r="AK46" s="205">
        <f>AJ46</f>
        <v>0.1</v>
      </c>
      <c r="AS46" s="183">
        <v>57.4165547619049</v>
      </c>
      <c r="AT46" s="183">
        <v>39.6333785714287</v>
      </c>
      <c r="AU46" s="183">
        <v>76.3036071428573</v>
      </c>
      <c r="AW46" s="201" t="s">
        <v>67</v>
      </c>
      <c r="AX46" s="201">
        <v>2035</v>
      </c>
      <c r="AY46" s="201">
        <f>AY32*AK2/AJ2</f>
        <v>57.4165547619049</v>
      </c>
      <c r="AZ46" s="201">
        <f>AZ32*AK2/AJ2</f>
        <v>39.6333785714287</v>
      </c>
      <c r="BA46" s="201">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4"/>
      <c r="BO46" s="1" t="s">
        <v>69</v>
      </c>
      <c r="BP46" s="1">
        <v>2035</v>
      </c>
      <c r="BQ46" s="1">
        <f t="shared" ref="BQ46:BQ53" si="41">AS46*30%</f>
        <v>17.2249664285715</v>
      </c>
      <c r="BR46" s="1">
        <f t="shared" ref="BR46:BR53" si="42">AT46*30%</f>
        <v>11.8900135714286</v>
      </c>
      <c r="BS46" s="1">
        <f t="shared" ref="BS46:BS53" si="43">AU46*30%</f>
        <v>22.8910821428572</v>
      </c>
    </row>
    <row r="47" spans="2:71">
      <c r="B47" s="207"/>
      <c r="C47" s="133"/>
      <c r="D47" s="133"/>
      <c r="E47" s="133"/>
      <c r="AG47" s="205" t="s">
        <v>73</v>
      </c>
      <c r="AH47" s="205">
        <v>2023</v>
      </c>
      <c r="AI47" s="205">
        <v>0.1</v>
      </c>
      <c r="AJ47" s="205">
        <f>AJ46</f>
        <v>0.1</v>
      </c>
      <c r="AK47" s="205">
        <f>AK46</f>
        <v>0.1</v>
      </c>
      <c r="AS47" s="183">
        <v>68.1490000000002</v>
      </c>
      <c r="AT47" s="183">
        <v>47.3754642857144</v>
      </c>
      <c r="AU47" s="183">
        <v>90.1882500000002</v>
      </c>
      <c r="AW47" s="201" t="s">
        <v>72</v>
      </c>
      <c r="AX47" s="201">
        <f t="shared" ref="AX47:AX53" si="44">AX46</f>
        <v>2035</v>
      </c>
      <c r="AY47" s="201">
        <f t="shared" ref="AY47:AY53" si="45">AY33*AK3/AJ3</f>
        <v>68.1490000000002</v>
      </c>
      <c r="AZ47" s="201">
        <f t="shared" ref="AZ47:AZ53" si="46">AZ33*AK3/AJ3</f>
        <v>47.3754642857144</v>
      </c>
      <c r="BA47" s="201">
        <f t="shared" ref="BA47:BA53" si="47">BA33*AK3/AJ3</f>
        <v>90.1882500000002</v>
      </c>
      <c r="BD47" s="1" t="s">
        <v>73</v>
      </c>
      <c r="BE47" s="1">
        <v>2035</v>
      </c>
      <c r="BF47" s="1">
        <f t="shared" si="38"/>
        <v>47.7043000000001</v>
      </c>
      <c r="BG47" s="1">
        <f t="shared" si="39"/>
        <v>33.1628250000001</v>
      </c>
      <c r="BH47" s="1">
        <f t="shared" si="40"/>
        <v>63.1317750000001</v>
      </c>
      <c r="BI47" s="204"/>
      <c r="BO47" s="1" t="s">
        <v>74</v>
      </c>
      <c r="BP47" s="1">
        <v>2035</v>
      </c>
      <c r="BQ47" s="1">
        <f t="shared" si="41"/>
        <v>20.4447000000001</v>
      </c>
      <c r="BR47" s="1">
        <f t="shared" si="42"/>
        <v>14.2126392857143</v>
      </c>
      <c r="BS47" s="1">
        <f t="shared" si="43"/>
        <v>27.0564750000001</v>
      </c>
    </row>
    <row r="48" spans="2:71">
      <c r="B48" s="207"/>
      <c r="C48" s="207"/>
      <c r="D48" s="207"/>
      <c r="E48" s="207"/>
      <c r="AG48" s="205" t="s">
        <v>77</v>
      </c>
      <c r="AH48" s="205">
        <v>2023</v>
      </c>
      <c r="AI48" s="205">
        <f t="shared" ref="AI48:AI53" si="48">AI47</f>
        <v>0.1</v>
      </c>
      <c r="AJ48" s="205">
        <f t="shared" ref="AJ48:AJ53" si="49">AJ47</f>
        <v>0.1</v>
      </c>
      <c r="AK48" s="205">
        <f t="shared" ref="AK48:AK53" si="50">AK47</f>
        <v>0.1</v>
      </c>
      <c r="AS48" s="183">
        <v>60.9626404761906</v>
      </c>
      <c r="AT48" s="183">
        <v>40.0724785714287</v>
      </c>
      <c r="AU48" s="183">
        <v>83.0914000000002</v>
      </c>
      <c r="AW48" s="201" t="s">
        <v>76</v>
      </c>
      <c r="AX48" s="201">
        <f t="shared" si="44"/>
        <v>2035</v>
      </c>
      <c r="AY48" s="201">
        <f t="shared" si="45"/>
        <v>60.9626404761906</v>
      </c>
      <c r="AZ48" s="201">
        <f t="shared" si="46"/>
        <v>40.0724785714287</v>
      </c>
      <c r="BA48" s="201">
        <f t="shared" si="47"/>
        <v>83.0914000000002</v>
      </c>
      <c r="BD48" s="1" t="s">
        <v>77</v>
      </c>
      <c r="BE48" s="1">
        <v>2035</v>
      </c>
      <c r="BF48" s="1">
        <f t="shared" si="38"/>
        <v>42.6738483333334</v>
      </c>
      <c r="BG48" s="1">
        <f t="shared" si="39"/>
        <v>28.0507350000001</v>
      </c>
      <c r="BH48" s="1">
        <f t="shared" si="40"/>
        <v>58.1639800000001</v>
      </c>
      <c r="BI48" s="204"/>
      <c r="BO48" s="1" t="s">
        <v>78</v>
      </c>
      <c r="BP48" s="1">
        <v>2035</v>
      </c>
      <c r="BQ48" s="1">
        <f t="shared" si="41"/>
        <v>18.2887921428572</v>
      </c>
      <c r="BR48" s="1">
        <f t="shared" si="42"/>
        <v>12.0217435714286</v>
      </c>
      <c r="BS48" s="1">
        <f t="shared" si="43"/>
        <v>24.9274200000001</v>
      </c>
    </row>
    <row r="49" spans="2:71">
      <c r="B49" s="207"/>
      <c r="C49" s="207"/>
      <c r="D49" s="207"/>
      <c r="E49" s="207"/>
      <c r="AG49" s="205" t="s">
        <v>81</v>
      </c>
      <c r="AH49" s="205">
        <v>2023</v>
      </c>
      <c r="AI49" s="205">
        <f t="shared" si="48"/>
        <v>0.1</v>
      </c>
      <c r="AJ49" s="205">
        <f t="shared" si="49"/>
        <v>0.1</v>
      </c>
      <c r="AK49" s="205">
        <f t="shared" si="50"/>
        <v>0.1</v>
      </c>
      <c r="AS49" s="183">
        <v>61.0868357142859</v>
      </c>
      <c r="AT49" s="183">
        <v>39.6853642857144</v>
      </c>
      <c r="AU49" s="183">
        <v>83.7887928571431</v>
      </c>
      <c r="AW49" s="201" t="s">
        <v>80</v>
      </c>
      <c r="AX49" s="201">
        <f t="shared" si="44"/>
        <v>2035</v>
      </c>
      <c r="AY49" s="201">
        <f t="shared" si="45"/>
        <v>61.0868357142859</v>
      </c>
      <c r="AZ49" s="201">
        <f t="shared" si="46"/>
        <v>39.6853642857144</v>
      </c>
      <c r="BA49" s="201">
        <f t="shared" si="47"/>
        <v>83.7887928571431</v>
      </c>
      <c r="BD49" s="1" t="s">
        <v>81</v>
      </c>
      <c r="BE49" s="1">
        <v>2035</v>
      </c>
      <c r="BF49" s="1">
        <f t="shared" si="38"/>
        <v>42.7607850000001</v>
      </c>
      <c r="BG49" s="1">
        <f t="shared" si="39"/>
        <v>27.7797550000001</v>
      </c>
      <c r="BH49" s="1">
        <f t="shared" si="40"/>
        <v>58.6521550000002</v>
      </c>
      <c r="BI49" s="204"/>
      <c r="BO49" s="1" t="s">
        <v>82</v>
      </c>
      <c r="BP49" s="1">
        <v>2035</v>
      </c>
      <c r="BQ49" s="1">
        <f t="shared" si="41"/>
        <v>18.3260507142858</v>
      </c>
      <c r="BR49" s="1">
        <f t="shared" si="42"/>
        <v>11.9056092857143</v>
      </c>
      <c r="BS49" s="1">
        <f t="shared" si="43"/>
        <v>25.1366378571429</v>
      </c>
    </row>
    <row r="50" spans="2:71">
      <c r="B50" s="207"/>
      <c r="C50" s="207"/>
      <c r="D50" s="207"/>
      <c r="E50" s="207"/>
      <c r="AG50" s="205" t="s">
        <v>86</v>
      </c>
      <c r="AH50" s="205">
        <v>2023</v>
      </c>
      <c r="AI50" s="205">
        <f t="shared" si="48"/>
        <v>0.1</v>
      </c>
      <c r="AJ50" s="205">
        <f t="shared" si="49"/>
        <v>0.1</v>
      </c>
      <c r="AK50" s="205">
        <f t="shared" si="50"/>
        <v>0.1</v>
      </c>
      <c r="AS50" s="183">
        <v>64.3520833333335</v>
      </c>
      <c r="AT50" s="183">
        <v>42.4055000000001</v>
      </c>
      <c r="AU50" s="183">
        <v>87.6207500000002</v>
      </c>
      <c r="AW50" s="201" t="s">
        <v>85</v>
      </c>
      <c r="AX50" s="201">
        <f t="shared" si="44"/>
        <v>2035</v>
      </c>
      <c r="AY50" s="201">
        <f t="shared" si="45"/>
        <v>64.3520833333335</v>
      </c>
      <c r="AZ50" s="201">
        <f t="shared" si="46"/>
        <v>42.4055000000001</v>
      </c>
      <c r="BA50" s="201">
        <f t="shared" si="47"/>
        <v>87.6207500000002</v>
      </c>
      <c r="BD50" s="1" t="s">
        <v>86</v>
      </c>
      <c r="BE50" s="1">
        <v>2035</v>
      </c>
      <c r="BF50" s="1">
        <f t="shared" si="38"/>
        <v>45.0464583333334</v>
      </c>
      <c r="BG50" s="1">
        <f t="shared" si="39"/>
        <v>29.6838500000001</v>
      </c>
      <c r="BH50" s="1">
        <f t="shared" si="40"/>
        <v>61.3345250000001</v>
      </c>
      <c r="BI50" s="204"/>
      <c r="BO50" s="1" t="s">
        <v>87</v>
      </c>
      <c r="BP50" s="1">
        <v>2035</v>
      </c>
      <c r="BQ50" s="1">
        <f t="shared" si="41"/>
        <v>19.305625</v>
      </c>
      <c r="BR50" s="1">
        <f t="shared" si="42"/>
        <v>12.72165</v>
      </c>
      <c r="BS50" s="1">
        <f t="shared" si="43"/>
        <v>26.2862250000001</v>
      </c>
    </row>
    <row r="51" spans="2:71">
      <c r="B51" s="207"/>
      <c r="C51" s="207"/>
      <c r="D51" s="207"/>
      <c r="E51" s="207"/>
      <c r="AG51" s="205" t="s">
        <v>90</v>
      </c>
      <c r="AH51" s="205">
        <v>2023</v>
      </c>
      <c r="AI51" s="205">
        <f t="shared" si="48"/>
        <v>0.1</v>
      </c>
      <c r="AJ51" s="205">
        <f t="shared" si="49"/>
        <v>0.1</v>
      </c>
      <c r="AK51" s="205">
        <f t="shared" si="50"/>
        <v>0.1</v>
      </c>
      <c r="AS51" s="183">
        <v>62.0872976190478</v>
      </c>
      <c r="AT51" s="183">
        <v>40.955392857143</v>
      </c>
      <c r="AU51" s="183">
        <v>84.4802142857145</v>
      </c>
      <c r="AW51" s="201" t="s">
        <v>89</v>
      </c>
      <c r="AX51" s="201">
        <f t="shared" si="44"/>
        <v>2035</v>
      </c>
      <c r="AY51" s="201">
        <f t="shared" si="45"/>
        <v>62.0872976190478</v>
      </c>
      <c r="AZ51" s="201">
        <f t="shared" si="46"/>
        <v>40.955392857143</v>
      </c>
      <c r="BA51" s="201">
        <f t="shared" si="47"/>
        <v>84.4802142857145</v>
      </c>
      <c r="BD51" s="1" t="s">
        <v>90</v>
      </c>
      <c r="BE51" s="1">
        <v>2035</v>
      </c>
      <c r="BF51" s="1">
        <f t="shared" si="38"/>
        <v>43.4611083333335</v>
      </c>
      <c r="BG51" s="1">
        <f t="shared" si="39"/>
        <v>28.6687750000001</v>
      </c>
      <c r="BH51" s="1">
        <f t="shared" si="40"/>
        <v>59.1361500000001</v>
      </c>
      <c r="BI51" s="204"/>
      <c r="BO51" s="1" t="s">
        <v>91</v>
      </c>
      <c r="BP51" s="1">
        <v>2035</v>
      </c>
      <c r="BQ51" s="1">
        <f t="shared" si="41"/>
        <v>18.6261892857143</v>
      </c>
      <c r="BR51" s="1">
        <f t="shared" si="42"/>
        <v>12.2866178571429</v>
      </c>
      <c r="BS51" s="1">
        <f t="shared" si="43"/>
        <v>25.3440642857143</v>
      </c>
    </row>
    <row r="52" spans="2:71">
      <c r="B52" s="207"/>
      <c r="C52" s="207"/>
      <c r="D52" s="207"/>
      <c r="E52" s="207"/>
      <c r="AG52" s="205" t="s">
        <v>94</v>
      </c>
      <c r="AH52" s="205">
        <v>2023</v>
      </c>
      <c r="AI52" s="205">
        <f t="shared" si="48"/>
        <v>0.1</v>
      </c>
      <c r="AJ52" s="205">
        <f t="shared" si="49"/>
        <v>0.1</v>
      </c>
      <c r="AK52" s="205">
        <f t="shared" si="50"/>
        <v>0.1</v>
      </c>
      <c r="AS52" s="183">
        <v>63.9661904761907</v>
      </c>
      <c r="AT52" s="183">
        <v>42.8496285714287</v>
      </c>
      <c r="AU52" s="183">
        <v>86.3389428571431</v>
      </c>
      <c r="AW52" s="201" t="s">
        <v>93</v>
      </c>
      <c r="AX52" s="201">
        <f t="shared" si="44"/>
        <v>2035</v>
      </c>
      <c r="AY52" s="201">
        <f t="shared" si="45"/>
        <v>63.9661904761907</v>
      </c>
      <c r="AZ52" s="201">
        <f t="shared" si="46"/>
        <v>42.8496285714287</v>
      </c>
      <c r="BA52" s="201">
        <f t="shared" si="47"/>
        <v>86.3389428571431</v>
      </c>
      <c r="BD52" s="1" t="s">
        <v>94</v>
      </c>
      <c r="BE52" s="1">
        <v>2035</v>
      </c>
      <c r="BF52" s="1">
        <f t="shared" si="38"/>
        <v>44.7763333333335</v>
      </c>
      <c r="BG52" s="1">
        <f t="shared" si="39"/>
        <v>29.9947400000001</v>
      </c>
      <c r="BH52" s="1">
        <f t="shared" si="40"/>
        <v>60.4372600000002</v>
      </c>
      <c r="BI52" s="204"/>
      <c r="BO52" s="1" t="s">
        <v>95</v>
      </c>
      <c r="BP52" s="1">
        <v>2035</v>
      </c>
      <c r="BQ52" s="1">
        <f t="shared" si="41"/>
        <v>19.1898571428572</v>
      </c>
      <c r="BR52" s="1">
        <f t="shared" si="42"/>
        <v>12.8548885714286</v>
      </c>
      <c r="BS52" s="1">
        <f t="shared" si="43"/>
        <v>25.9016828571429</v>
      </c>
    </row>
    <row r="53" spans="2:71">
      <c r="B53" s="207"/>
      <c r="C53" s="207"/>
      <c r="D53" s="207"/>
      <c r="E53" s="207"/>
      <c r="AG53" s="205" t="s">
        <v>97</v>
      </c>
      <c r="AH53" s="205">
        <v>2023</v>
      </c>
      <c r="AI53" s="205">
        <f t="shared" si="48"/>
        <v>0.1</v>
      </c>
      <c r="AJ53" s="205">
        <f t="shared" si="49"/>
        <v>0.1</v>
      </c>
      <c r="AK53" s="205">
        <f t="shared" si="50"/>
        <v>0.1</v>
      </c>
      <c r="AS53" s="183">
        <v>115.780952380953</v>
      </c>
      <c r="AT53" s="183">
        <v>115.780952380953</v>
      </c>
      <c r="AU53" s="183">
        <v>115.780952380953</v>
      </c>
      <c r="AW53" s="7"/>
      <c r="AX53" s="201"/>
      <c r="AY53" s="201"/>
      <c r="AZ53" s="201"/>
      <c r="BA53" s="201"/>
      <c r="BD53" s="1" t="s">
        <v>97</v>
      </c>
      <c r="BE53" s="1">
        <v>2035</v>
      </c>
      <c r="BF53" s="1">
        <f t="shared" si="38"/>
        <v>81.0466666666671</v>
      </c>
      <c r="BG53" s="1">
        <f t="shared" si="39"/>
        <v>81.0466666666671</v>
      </c>
      <c r="BH53" s="1">
        <f t="shared" si="40"/>
        <v>81.0466666666671</v>
      </c>
      <c r="BI53" s="204"/>
      <c r="BO53" s="1" t="s">
        <v>98</v>
      </c>
      <c r="BP53" s="1">
        <v>2035</v>
      </c>
      <c r="BQ53" s="1">
        <f t="shared" si="41"/>
        <v>34.7342857142859</v>
      </c>
      <c r="BR53" s="1">
        <f t="shared" si="42"/>
        <v>34.7342857142859</v>
      </c>
      <c r="BS53" s="1">
        <f t="shared" si="43"/>
        <v>34.7342857142859</v>
      </c>
    </row>
    <row r="54" spans="2:71">
      <c r="B54" s="207"/>
      <c r="C54" s="207"/>
      <c r="D54" s="207"/>
      <c r="E54" s="207"/>
      <c r="AG54" s="205"/>
      <c r="AH54" s="205"/>
      <c r="AI54" s="205"/>
      <c r="AJ54" s="205"/>
      <c r="AK54" s="205"/>
      <c r="BE54" s="1"/>
      <c r="BF54" s="1"/>
      <c r="BG54" s="1"/>
      <c r="BH54" s="1"/>
      <c r="BI54" s="204"/>
      <c r="BO54" s="1"/>
      <c r="BP54" s="1"/>
      <c r="BQ54" s="1"/>
      <c r="BR54" s="1"/>
      <c r="BS54" s="1"/>
    </row>
    <row r="55" spans="2:71">
      <c r="B55" s="207"/>
      <c r="C55" s="208"/>
      <c r="D55" s="208"/>
      <c r="E55" s="208"/>
      <c r="AG55" s="205"/>
      <c r="AH55" s="205"/>
      <c r="AI55" s="205"/>
      <c r="AJ55" s="205"/>
      <c r="AK55" s="205"/>
      <c r="BE55" s="1"/>
      <c r="BF55" s="1"/>
      <c r="BG55" s="1"/>
      <c r="BH55" s="1"/>
      <c r="BI55" s="204"/>
      <c r="BO55" s="1"/>
      <c r="BP55" s="1"/>
      <c r="BQ55" s="1"/>
      <c r="BR55" s="1"/>
      <c r="BS55" s="1"/>
    </row>
    <row r="56" spans="2:71">
      <c r="B56" s="206"/>
      <c r="C56" s="206"/>
      <c r="D56" s="206"/>
      <c r="E56" s="206"/>
      <c r="AG56" s="205"/>
      <c r="AH56" s="205"/>
      <c r="AI56" s="205"/>
      <c r="AJ56" s="205"/>
      <c r="AK56" s="205"/>
      <c r="BE56" s="1"/>
      <c r="BF56" s="1"/>
      <c r="BG56" s="1"/>
      <c r="BH56" s="1"/>
      <c r="BI56" s="204"/>
      <c r="BO56" s="1"/>
      <c r="BP56" s="1"/>
      <c r="BQ56" s="1"/>
      <c r="BR56" s="1"/>
      <c r="BS56" s="1"/>
    </row>
    <row r="57" spans="2:71">
      <c r="B57" s="206"/>
      <c r="C57" s="206"/>
      <c r="D57" s="206"/>
      <c r="E57" s="206"/>
      <c r="AG57" s="205"/>
      <c r="AH57" s="205"/>
      <c r="AI57" s="205"/>
      <c r="AJ57" s="205"/>
      <c r="AK57" s="205"/>
      <c r="BE57" s="1"/>
      <c r="BF57" s="1"/>
      <c r="BG57" s="1"/>
      <c r="BH57" s="1"/>
      <c r="BI57" s="204"/>
      <c r="BO57" s="1"/>
      <c r="BP57" s="1"/>
      <c r="BQ57" s="1"/>
      <c r="BR57" s="1"/>
      <c r="BS57" s="1"/>
    </row>
    <row r="58" spans="2:71">
      <c r="B58" s="206"/>
      <c r="C58" s="206"/>
      <c r="D58" s="206"/>
      <c r="E58" s="206"/>
      <c r="AG58" s="205"/>
      <c r="AH58" s="205"/>
      <c r="AI58" s="205"/>
      <c r="AJ58" s="205"/>
      <c r="AK58" s="205"/>
      <c r="AW58" s="32"/>
      <c r="AX58" s="32"/>
      <c r="AY58" s="201"/>
      <c r="BE58" s="1"/>
      <c r="BF58" s="1"/>
      <c r="BG58" s="1"/>
      <c r="BH58" s="1"/>
      <c r="BI58" s="204"/>
      <c r="BO58" s="1"/>
      <c r="BP58" s="1"/>
      <c r="BQ58" s="1"/>
      <c r="BR58" s="1"/>
      <c r="BS58" s="1"/>
    </row>
    <row r="59" spans="2:71">
      <c r="B59" s="206"/>
      <c r="C59" s="206"/>
      <c r="D59" s="206"/>
      <c r="E59" s="206"/>
      <c r="AG59" s="205"/>
      <c r="AH59" s="205"/>
      <c r="AI59" s="205"/>
      <c r="AJ59" s="205"/>
      <c r="AK59" s="205"/>
      <c r="AS59" s="183" t="s">
        <v>65</v>
      </c>
      <c r="AT59" s="183" t="s">
        <v>11</v>
      </c>
      <c r="AU59" s="183" t="s">
        <v>25</v>
      </c>
      <c r="AW59" s="201" t="s">
        <v>66</v>
      </c>
      <c r="AX59" s="201" t="s">
        <v>41</v>
      </c>
      <c r="AY59" s="199" t="s">
        <v>65</v>
      </c>
      <c r="AZ59" s="199" t="s">
        <v>11</v>
      </c>
      <c r="BA59" s="199" t="s">
        <v>25</v>
      </c>
      <c r="BD59" s="1" t="s">
        <v>66</v>
      </c>
      <c r="BE59" s="1" t="s">
        <v>41</v>
      </c>
      <c r="BF59" s="1" t="s">
        <v>65</v>
      </c>
      <c r="BG59" s="1" t="s">
        <v>11</v>
      </c>
      <c r="BH59" s="1" t="s">
        <v>25</v>
      </c>
      <c r="BI59" s="204"/>
      <c r="BO59" s="1" t="s">
        <v>66</v>
      </c>
      <c r="BP59" s="1" t="s">
        <v>41</v>
      </c>
      <c r="BQ59" s="1" t="s">
        <v>65</v>
      </c>
      <c r="BR59" s="1" t="s">
        <v>11</v>
      </c>
      <c r="BS59" s="1" t="s">
        <v>25</v>
      </c>
    </row>
    <row r="60" spans="2:71">
      <c r="AG60" s="205"/>
      <c r="AH60" s="205"/>
      <c r="AI60" s="205"/>
      <c r="AJ60" s="205"/>
      <c r="AK60" s="205"/>
      <c r="AS60" s="183">
        <v>55.6940581190478</v>
      </c>
      <c r="AT60" s="183">
        <v>38.4443772142858</v>
      </c>
      <c r="AU60" s="183">
        <v>74.0144989285716</v>
      </c>
      <c r="AW60" s="201" t="s">
        <v>67</v>
      </c>
      <c r="AX60" s="201">
        <v>2040</v>
      </c>
      <c r="AY60" s="201">
        <f>AY46*0.97</f>
        <v>55.6940581190478</v>
      </c>
      <c r="AZ60" s="201">
        <f>AZ46*0.97</f>
        <v>38.4443772142858</v>
      </c>
      <c r="BA60" s="201">
        <f>BA46*0.97</f>
        <v>74.0144989285716</v>
      </c>
      <c r="BD60" s="1" t="s">
        <v>68</v>
      </c>
      <c r="BE60" s="1">
        <v>2040</v>
      </c>
      <c r="BF60" s="1">
        <f t="shared" ref="BF60:BF67" si="51">AS60*70%</f>
        <v>38.9858406833335</v>
      </c>
      <c r="BG60" s="1">
        <f t="shared" ref="BG60:BG67" si="52">AT60*70%</f>
        <v>26.9110640500001</v>
      </c>
      <c r="BH60" s="1">
        <f t="shared" ref="BH60:BH67" si="53">AU60*70%</f>
        <v>51.8101492500001</v>
      </c>
      <c r="BI60" s="204"/>
      <c r="BO60" s="1" t="s">
        <v>69</v>
      </c>
      <c r="BP60" s="1">
        <v>2040</v>
      </c>
      <c r="BQ60" s="1">
        <f t="shared" ref="BQ60:BQ67" si="54">AS60*30%</f>
        <v>16.7082174357143</v>
      </c>
      <c r="BR60" s="1">
        <f t="shared" ref="BR60:BR67" si="55">AT60*30%</f>
        <v>11.5333131642857</v>
      </c>
      <c r="BS60" s="1">
        <f t="shared" ref="BS60:BS67" si="56">AU60*30%</f>
        <v>22.2043496785715</v>
      </c>
    </row>
    <row r="61" spans="2:71">
      <c r="AG61" s="205"/>
      <c r="AH61" s="205"/>
      <c r="AI61" s="205"/>
      <c r="AJ61" s="205"/>
      <c r="AK61" s="205"/>
      <c r="AS61" s="183">
        <v>66.1045300000002</v>
      </c>
      <c r="AT61" s="183">
        <v>45.954200357143</v>
      </c>
      <c r="AU61" s="183">
        <v>87.4826025000002</v>
      </c>
      <c r="AW61" s="201" t="s">
        <v>72</v>
      </c>
      <c r="AX61" s="201">
        <f t="shared" ref="AX61:AX67" si="57">AX60</f>
        <v>2040</v>
      </c>
      <c r="AY61" s="201">
        <f t="shared" ref="AY61:AY67" si="58">AY47*0.97</f>
        <v>66.1045300000002</v>
      </c>
      <c r="AZ61" s="201">
        <f t="shared" ref="AZ61:AZ67" si="59">AZ47*0.97</f>
        <v>45.954200357143</v>
      </c>
      <c r="BA61" s="201">
        <f t="shared" ref="BA61:BA67" si="60">BA47*0.97</f>
        <v>87.4826025000002</v>
      </c>
      <c r="BD61" s="1" t="s">
        <v>73</v>
      </c>
      <c r="BE61" s="1">
        <v>2040</v>
      </c>
      <c r="BF61" s="1">
        <f t="shared" si="51"/>
        <v>46.2731710000001</v>
      </c>
      <c r="BG61" s="1">
        <f t="shared" si="52"/>
        <v>32.1679402500001</v>
      </c>
      <c r="BH61" s="1">
        <f t="shared" si="53"/>
        <v>61.2378217500001</v>
      </c>
      <c r="BI61" s="204"/>
      <c r="BO61" s="1" t="s">
        <v>74</v>
      </c>
      <c r="BP61" s="1">
        <v>2040</v>
      </c>
      <c r="BQ61" s="1">
        <f t="shared" si="54"/>
        <v>19.8313590000001</v>
      </c>
      <c r="BR61" s="1">
        <f t="shared" si="55"/>
        <v>13.7862601071429</v>
      </c>
      <c r="BS61" s="1">
        <f t="shared" si="56"/>
        <v>26.2447807500001</v>
      </c>
    </row>
    <row r="62" spans="2:71">
      <c r="AG62" s="205"/>
      <c r="AH62" s="205"/>
      <c r="AI62" s="205"/>
      <c r="AJ62" s="205"/>
      <c r="AK62" s="205"/>
      <c r="AS62" s="183">
        <v>59.1337612619049</v>
      </c>
      <c r="AT62" s="183">
        <v>38.8703042142858</v>
      </c>
      <c r="AU62" s="183">
        <v>80.5986580000002</v>
      </c>
      <c r="AW62" s="201" t="s">
        <v>76</v>
      </c>
      <c r="AX62" s="201">
        <f t="shared" si="57"/>
        <v>2040</v>
      </c>
      <c r="AY62" s="201">
        <f t="shared" si="58"/>
        <v>59.1337612619049</v>
      </c>
      <c r="AZ62" s="201">
        <f t="shared" si="59"/>
        <v>38.8703042142858</v>
      </c>
      <c r="BA62" s="201">
        <f t="shared" si="60"/>
        <v>80.5986580000002</v>
      </c>
      <c r="BD62" s="1" t="s">
        <v>77</v>
      </c>
      <c r="BE62" s="1">
        <v>2040</v>
      </c>
      <c r="BF62" s="1">
        <f t="shared" si="51"/>
        <v>41.3936328833334</v>
      </c>
      <c r="BG62" s="1">
        <f t="shared" si="52"/>
        <v>27.2092129500001</v>
      </c>
      <c r="BH62" s="1">
        <f t="shared" si="53"/>
        <v>56.4190606000001</v>
      </c>
      <c r="BI62" s="204"/>
      <c r="BO62" s="1" t="s">
        <v>78</v>
      </c>
      <c r="BP62" s="1">
        <v>2040</v>
      </c>
      <c r="BQ62" s="1">
        <f t="shared" si="54"/>
        <v>17.7401283785715</v>
      </c>
      <c r="BR62" s="1">
        <f t="shared" si="55"/>
        <v>11.6610912642857</v>
      </c>
      <c r="BS62" s="1">
        <f t="shared" si="56"/>
        <v>24.1795974000001</v>
      </c>
    </row>
    <row r="63" spans="2:71">
      <c r="AG63" s="205"/>
      <c r="AH63" s="205"/>
      <c r="AI63" s="205"/>
      <c r="AJ63" s="205"/>
      <c r="AK63" s="205"/>
      <c r="AS63" s="183">
        <v>59.2542306428573</v>
      </c>
      <c r="AT63" s="183">
        <v>38.494803357143</v>
      </c>
      <c r="AU63" s="183">
        <v>81.2751290714288</v>
      </c>
      <c r="AW63" s="201" t="s">
        <v>80</v>
      </c>
      <c r="AX63" s="201">
        <f t="shared" si="57"/>
        <v>2040</v>
      </c>
      <c r="AY63" s="201">
        <f t="shared" si="58"/>
        <v>59.2542306428573</v>
      </c>
      <c r="AZ63" s="201">
        <f t="shared" si="59"/>
        <v>38.494803357143</v>
      </c>
      <c r="BA63" s="201">
        <f t="shared" si="60"/>
        <v>81.2751290714288</v>
      </c>
      <c r="BD63" s="1" t="s">
        <v>81</v>
      </c>
      <c r="BE63" s="1">
        <v>2040</v>
      </c>
      <c r="BF63" s="1">
        <f t="shared" si="51"/>
        <v>41.4779614500001</v>
      </c>
      <c r="BG63" s="1">
        <f t="shared" si="52"/>
        <v>26.9463623500001</v>
      </c>
      <c r="BH63" s="1">
        <f t="shared" si="53"/>
        <v>56.8925903500001</v>
      </c>
      <c r="BI63" s="204"/>
      <c r="BO63" s="1" t="s">
        <v>82</v>
      </c>
      <c r="BP63" s="1">
        <v>2040</v>
      </c>
      <c r="BQ63" s="1">
        <f t="shared" si="54"/>
        <v>17.7762691928572</v>
      </c>
      <c r="BR63" s="1">
        <f t="shared" si="55"/>
        <v>11.5484410071429</v>
      </c>
      <c r="BS63" s="1">
        <f t="shared" si="56"/>
        <v>24.3825387214286</v>
      </c>
    </row>
    <row r="64" spans="2:71">
      <c r="AG64" s="205"/>
      <c r="AH64" s="205"/>
      <c r="AI64" s="205"/>
      <c r="AJ64" s="205"/>
      <c r="AK64" s="205"/>
      <c r="AS64" s="183">
        <v>62.4215208333334</v>
      </c>
      <c r="AT64" s="183">
        <v>41.1333350000001</v>
      </c>
      <c r="AU64" s="183">
        <v>84.9921275000002</v>
      </c>
      <c r="AW64" s="201" t="s">
        <v>85</v>
      </c>
      <c r="AX64" s="201">
        <f t="shared" si="57"/>
        <v>2040</v>
      </c>
      <c r="AY64" s="201">
        <f t="shared" si="58"/>
        <v>62.4215208333334</v>
      </c>
      <c r="AZ64" s="201">
        <f t="shared" si="59"/>
        <v>41.1333350000001</v>
      </c>
      <c r="BA64" s="201">
        <f t="shared" si="60"/>
        <v>84.9921275000002</v>
      </c>
      <c r="BD64" s="1" t="s">
        <v>86</v>
      </c>
      <c r="BE64" s="1">
        <v>2040</v>
      </c>
      <c r="BF64" s="1">
        <f t="shared" si="51"/>
        <v>43.6950645833334</v>
      </c>
      <c r="BG64" s="1">
        <f t="shared" si="52"/>
        <v>28.7933345000001</v>
      </c>
      <c r="BH64" s="1">
        <f t="shared" si="53"/>
        <v>59.4944892500001</v>
      </c>
      <c r="BI64" s="204"/>
      <c r="BO64" s="1" t="s">
        <v>87</v>
      </c>
      <c r="BP64" s="1">
        <v>2040</v>
      </c>
      <c r="BQ64" s="1">
        <f t="shared" si="54"/>
        <v>18.72645625</v>
      </c>
      <c r="BR64" s="1">
        <f t="shared" si="55"/>
        <v>12.3400005</v>
      </c>
      <c r="BS64" s="1">
        <f t="shared" si="56"/>
        <v>25.4976382500001</v>
      </c>
    </row>
    <row r="65" spans="33:87">
      <c r="AG65" s="205"/>
      <c r="AH65" s="205"/>
      <c r="AI65" s="205"/>
      <c r="AJ65" s="205"/>
      <c r="AK65" s="205"/>
      <c r="AS65" s="183">
        <v>60.2246786904764</v>
      </c>
      <c r="AT65" s="183">
        <v>39.7267310714287</v>
      </c>
      <c r="AU65" s="183">
        <v>81.9458078571431</v>
      </c>
      <c r="AW65" s="201" t="s">
        <v>89</v>
      </c>
      <c r="AX65" s="201">
        <f t="shared" si="57"/>
        <v>2040</v>
      </c>
      <c r="AY65" s="201">
        <f t="shared" si="58"/>
        <v>60.2246786904764</v>
      </c>
      <c r="AZ65" s="201">
        <f t="shared" si="59"/>
        <v>39.7267310714287</v>
      </c>
      <c r="BA65" s="201">
        <f t="shared" si="60"/>
        <v>81.9458078571431</v>
      </c>
      <c r="BD65" s="1" t="s">
        <v>90</v>
      </c>
      <c r="BE65" s="1">
        <v>2040</v>
      </c>
      <c r="BF65" s="1">
        <f t="shared" si="51"/>
        <v>42.1572750833335</v>
      </c>
      <c r="BG65" s="1">
        <f t="shared" si="52"/>
        <v>27.8087117500001</v>
      </c>
      <c r="BH65" s="1">
        <f t="shared" si="53"/>
        <v>57.3620655000002</v>
      </c>
      <c r="BI65" s="204"/>
      <c r="BO65" s="1" t="s">
        <v>91</v>
      </c>
      <c r="BP65" s="1">
        <v>2040</v>
      </c>
      <c r="BQ65" s="1">
        <f t="shared" si="54"/>
        <v>18.0674036071429</v>
      </c>
      <c r="BR65" s="1">
        <f t="shared" si="55"/>
        <v>11.9180193214286</v>
      </c>
      <c r="BS65" s="1">
        <f t="shared" si="56"/>
        <v>24.5837423571429</v>
      </c>
    </row>
    <row r="66" spans="33:87">
      <c r="AG66" s="205"/>
      <c r="AH66" s="205"/>
      <c r="AI66" s="205"/>
      <c r="AJ66" s="205"/>
      <c r="AK66" s="205"/>
      <c r="AS66" s="183">
        <v>62.0472047619049</v>
      </c>
      <c r="AT66" s="183">
        <v>41.5641397142858</v>
      </c>
      <c r="AU66" s="183">
        <v>83.7487745714288</v>
      </c>
      <c r="AW66" s="201" t="s">
        <v>93</v>
      </c>
      <c r="AX66" s="201">
        <f t="shared" si="57"/>
        <v>2040</v>
      </c>
      <c r="AY66" s="201">
        <f t="shared" si="58"/>
        <v>62.0472047619049</v>
      </c>
      <c r="AZ66" s="201">
        <f t="shared" si="59"/>
        <v>41.5641397142858</v>
      </c>
      <c r="BA66" s="201">
        <f t="shared" si="60"/>
        <v>83.7487745714288</v>
      </c>
      <c r="BD66" s="1" t="s">
        <v>94</v>
      </c>
      <c r="BE66" s="1">
        <v>2040</v>
      </c>
      <c r="BF66" s="1">
        <f t="shared" si="51"/>
        <v>43.4330433333334</v>
      </c>
      <c r="BG66" s="1">
        <f t="shared" si="52"/>
        <v>29.0948978000001</v>
      </c>
      <c r="BH66" s="1">
        <f t="shared" si="53"/>
        <v>58.6241422000002</v>
      </c>
      <c r="BI66" s="204"/>
      <c r="BO66" s="1" t="s">
        <v>95</v>
      </c>
      <c r="BP66" s="1">
        <v>2040</v>
      </c>
      <c r="BQ66" s="1">
        <f t="shared" si="54"/>
        <v>18.6141614285715</v>
      </c>
      <c r="BR66" s="1">
        <f t="shared" si="55"/>
        <v>12.4692419142857</v>
      </c>
      <c r="BS66" s="1">
        <f t="shared" si="56"/>
        <v>25.1246323714286</v>
      </c>
    </row>
    <row r="67" spans="33:87">
      <c r="AG67" s="205"/>
      <c r="AH67" s="205"/>
      <c r="AI67" s="205"/>
      <c r="AJ67" s="205"/>
      <c r="AK67" s="205"/>
      <c r="AS67" s="183">
        <v>112.307523809524</v>
      </c>
      <c r="AT67" s="183">
        <v>112.307523809524</v>
      </c>
      <c r="AU67" s="183">
        <v>112.307523809524</v>
      </c>
      <c r="AW67" s="7"/>
      <c r="AX67" s="201"/>
      <c r="AY67" s="201"/>
      <c r="AZ67" s="201"/>
      <c r="BA67" s="201"/>
      <c r="BD67" s="1" t="s">
        <v>97</v>
      </c>
      <c r="BE67" s="1">
        <v>2040</v>
      </c>
      <c r="BF67" s="1">
        <f t="shared" si="51"/>
        <v>78.6152666666668</v>
      </c>
      <c r="BG67" s="1">
        <f t="shared" si="52"/>
        <v>78.6152666666668</v>
      </c>
      <c r="BH67" s="1">
        <f t="shared" si="53"/>
        <v>78.6152666666668</v>
      </c>
      <c r="BI67" s="204"/>
      <c r="BO67" s="1" t="s">
        <v>98</v>
      </c>
      <c r="BP67" s="1">
        <v>2040</v>
      </c>
      <c r="BQ67" s="1">
        <f t="shared" si="54"/>
        <v>33.6922571428572</v>
      </c>
      <c r="BR67" s="1">
        <f t="shared" si="55"/>
        <v>33.6922571428572</v>
      </c>
      <c r="BS67" s="1">
        <f t="shared" si="56"/>
        <v>33.6922571428572</v>
      </c>
    </row>
    <row r="68" spans="33:87">
      <c r="AG68" s="205"/>
      <c r="AH68" s="205"/>
      <c r="AI68" s="205"/>
      <c r="AJ68" s="205"/>
      <c r="AK68" s="205"/>
      <c r="BE68" s="1"/>
      <c r="BF68" s="1"/>
      <c r="BG68" s="1"/>
      <c r="BH68" s="1"/>
      <c r="BI68" s="204"/>
      <c r="BO68" s="1"/>
      <c r="BP68" s="1"/>
      <c r="BQ68" s="1"/>
      <c r="BR68" s="1"/>
      <c r="BS68" s="1"/>
    </row>
    <row r="69" spans="33:87">
      <c r="AG69" s="205"/>
      <c r="AH69" s="205"/>
      <c r="AI69" s="205"/>
      <c r="AJ69" s="205"/>
      <c r="AK69" s="205"/>
      <c r="BE69" s="1"/>
      <c r="BF69" s="1"/>
      <c r="BG69" s="1"/>
      <c r="BH69" s="1"/>
      <c r="BI69" s="204"/>
      <c r="BO69" s="1"/>
      <c r="BP69" s="1"/>
      <c r="BQ69" s="1"/>
      <c r="BR69" s="1"/>
      <c r="BS69" s="1"/>
    </row>
    <row r="70" spans="33:87">
      <c r="AG70" s="205"/>
      <c r="AH70" s="205"/>
      <c r="AI70" s="205"/>
      <c r="AJ70" s="205"/>
      <c r="AK70" s="205"/>
      <c r="BE70" s="1"/>
      <c r="BF70" s="1"/>
      <c r="BG70" s="1"/>
      <c r="BH70" s="1"/>
      <c r="BO70" s="1"/>
      <c r="BP70" s="1"/>
      <c r="BQ70" s="1"/>
      <c r="BR70" s="1"/>
      <c r="BS70" s="1"/>
    </row>
    <row r="71" spans="33:87">
      <c r="AG71" s="205"/>
      <c r="AH71" s="205"/>
      <c r="AI71" s="205"/>
      <c r="AJ71" s="205"/>
      <c r="AK71" s="205"/>
      <c r="BE71" s="1"/>
      <c r="BF71" s="1"/>
      <c r="BG71" s="1"/>
      <c r="BH71" s="1"/>
      <c r="BO71" s="1"/>
      <c r="BP71" s="1"/>
      <c r="BQ71" s="1"/>
      <c r="BR71" s="1"/>
      <c r="BS71" s="1"/>
    </row>
    <row r="72" spans="33:87">
      <c r="AG72" s="205"/>
      <c r="AH72" s="205"/>
      <c r="AI72" s="205"/>
      <c r="AJ72" s="205"/>
      <c r="AK72" s="205"/>
      <c r="BE72" s="1"/>
      <c r="BF72" s="1"/>
      <c r="BG72" s="1"/>
      <c r="BH72" s="1"/>
      <c r="BO72" s="1"/>
      <c r="BP72" s="1"/>
      <c r="BQ72" s="1"/>
      <c r="BR72" s="1"/>
      <c r="BS72" s="1"/>
    </row>
    <row r="73" spans="33:87">
      <c r="AG73" s="205"/>
      <c r="AH73" s="205"/>
      <c r="AI73" s="205"/>
      <c r="AJ73" s="205"/>
      <c r="AK73" s="205"/>
      <c r="BE73" s="1"/>
      <c r="BF73" s="1"/>
      <c r="BG73" s="1"/>
      <c r="BH73" s="1"/>
      <c r="BI73" s="195"/>
      <c r="BJ73" s="195"/>
      <c r="BK73" s="195"/>
      <c r="BL73" s="195"/>
      <c r="BM73" s="195"/>
      <c r="BN73" s="195"/>
      <c r="BO73" s="1"/>
      <c r="BP73" s="1"/>
      <c r="BQ73" s="1"/>
      <c r="BR73" s="1"/>
      <c r="BS73" s="1"/>
      <c r="BT73" s="195"/>
      <c r="BU73" s="195"/>
      <c r="BV73" s="195"/>
      <c r="BW73" s="195"/>
      <c r="BX73" s="195"/>
      <c r="BY73" s="195"/>
      <c r="BZ73" s="195"/>
      <c r="CA73" s="195"/>
      <c r="CB73" s="195"/>
      <c r="CC73" s="195"/>
      <c r="CD73" s="195"/>
      <c r="CE73" s="195"/>
      <c r="CF73" s="195"/>
      <c r="CG73" s="195"/>
      <c r="CH73" s="195"/>
      <c r="CI73" s="195"/>
    </row>
    <row r="74" spans="33:87">
      <c r="AG74" s="205"/>
      <c r="AH74" s="205"/>
      <c r="AI74" s="205"/>
      <c r="AJ74" s="205"/>
      <c r="AK74" s="205"/>
      <c r="AW74" s="32"/>
      <c r="AX74" s="32"/>
      <c r="AY74" s="201"/>
      <c r="BE74" s="1"/>
      <c r="BF74" s="1"/>
      <c r="BG74" s="1"/>
      <c r="BH74" s="1"/>
      <c r="BI74" s="204"/>
      <c r="BJ74" s="204"/>
      <c r="BK74" s="204"/>
      <c r="BL74" s="204"/>
      <c r="BM74" s="204"/>
      <c r="BN74" s="204"/>
      <c r="BO74" s="1"/>
      <c r="BP74" s="1"/>
      <c r="BQ74" s="1"/>
      <c r="BR74" s="1"/>
      <c r="BS74" s="1"/>
      <c r="BT74" s="204"/>
      <c r="BU74" s="204"/>
      <c r="BV74" s="204"/>
      <c r="BW74" s="204"/>
      <c r="BX74" s="204"/>
      <c r="BY74" s="204"/>
      <c r="BZ74" s="204"/>
      <c r="CA74" s="204"/>
      <c r="CB74" s="204"/>
      <c r="CC74" s="204"/>
      <c r="CD74" s="204"/>
      <c r="CE74" s="204"/>
      <c r="CF74" s="204"/>
      <c r="CG74" s="204"/>
      <c r="CH74" s="204"/>
      <c r="CI74" s="204"/>
    </row>
    <row r="75" spans="33:87">
      <c r="AG75" s="205"/>
      <c r="AH75" s="205"/>
      <c r="AI75" s="205"/>
      <c r="AJ75" s="205"/>
      <c r="AK75" s="205"/>
      <c r="AS75" s="183" t="s">
        <v>65</v>
      </c>
      <c r="AT75" s="183" t="s">
        <v>11</v>
      </c>
      <c r="AU75" s="183" t="s">
        <v>25</v>
      </c>
      <c r="AW75" s="201" t="s">
        <v>66</v>
      </c>
      <c r="AX75" s="201" t="s">
        <v>41</v>
      </c>
      <c r="AY75" s="199" t="s">
        <v>65</v>
      </c>
      <c r="AZ75" s="199" t="s">
        <v>11</v>
      </c>
      <c r="BA75" s="199" t="s">
        <v>25</v>
      </c>
      <c r="BD75" s="1" t="s">
        <v>66</v>
      </c>
      <c r="BE75" s="1" t="s">
        <v>41</v>
      </c>
      <c r="BF75" s="1" t="s">
        <v>65</v>
      </c>
      <c r="BG75" s="1" t="s">
        <v>11</v>
      </c>
      <c r="BH75" s="1" t="s">
        <v>25</v>
      </c>
      <c r="BI75" s="204"/>
      <c r="BJ75" s="204"/>
      <c r="BK75" s="204"/>
      <c r="BL75" s="204"/>
      <c r="BM75" s="204"/>
      <c r="BN75" s="204"/>
      <c r="BO75" s="1" t="s">
        <v>66</v>
      </c>
      <c r="BP75" s="1" t="s">
        <v>41</v>
      </c>
      <c r="BQ75" s="1" t="s">
        <v>65</v>
      </c>
      <c r="BR75" s="1" t="s">
        <v>11</v>
      </c>
      <c r="BS75" s="1" t="s">
        <v>25</v>
      </c>
      <c r="BT75" s="204"/>
      <c r="BU75" s="204"/>
      <c r="BV75" s="204"/>
      <c r="BW75" s="204"/>
      <c r="BX75" s="204"/>
      <c r="BY75" s="204"/>
      <c r="BZ75" s="204"/>
      <c r="CA75" s="204"/>
      <c r="CB75" s="204"/>
      <c r="CC75" s="204"/>
      <c r="CD75" s="204"/>
      <c r="CE75" s="204"/>
      <c r="CF75" s="204"/>
      <c r="CG75" s="204"/>
      <c r="CH75" s="204"/>
      <c r="CI75" s="204"/>
    </row>
    <row r="76" spans="33:87">
      <c r="AG76" s="205"/>
      <c r="AH76" s="205"/>
      <c r="AI76" s="205"/>
      <c r="AJ76" s="205"/>
      <c r="AK76" s="205"/>
      <c r="AS76" s="183">
        <v>53.4662957942859</v>
      </c>
      <c r="AT76" s="183">
        <v>36.9066021257144</v>
      </c>
      <c r="AU76" s="183">
        <v>71.0539189714287</v>
      </c>
      <c r="AW76" s="201" t="s">
        <v>67</v>
      </c>
      <c r="AX76" s="201">
        <v>2045</v>
      </c>
      <c r="AY76" s="201">
        <f>AY60*0.96</f>
        <v>53.4662957942859</v>
      </c>
      <c r="AZ76" s="201">
        <f>AZ60*0.96</f>
        <v>36.9066021257144</v>
      </c>
      <c r="BA76" s="201">
        <f>BA60*0.96</f>
        <v>71.0539189714287</v>
      </c>
      <c r="BD76" s="1" t="s">
        <v>68</v>
      </c>
      <c r="BE76" s="1">
        <v>2045</v>
      </c>
      <c r="BF76" s="1">
        <f t="shared" ref="BF76:BF83" si="61">AS76*70%</f>
        <v>37.4264070560001</v>
      </c>
      <c r="BG76" s="1">
        <f t="shared" ref="BG76:BG83" si="62">AT76*70%</f>
        <v>25.8346214880001</v>
      </c>
      <c r="BH76" s="1">
        <f t="shared" ref="BH76:BH83" si="63">AU76*70%</f>
        <v>49.7377432800001</v>
      </c>
      <c r="BI76" s="204"/>
      <c r="BJ76" s="204"/>
      <c r="BK76" s="204"/>
      <c r="BL76" s="204"/>
      <c r="BM76" s="204"/>
      <c r="BN76" s="204"/>
      <c r="BO76" s="1" t="s">
        <v>69</v>
      </c>
      <c r="BP76" s="1">
        <v>2045</v>
      </c>
      <c r="BQ76" s="1">
        <f t="shared" ref="BQ76:BQ83" si="64">AS76*30%</f>
        <v>16.0398887382858</v>
      </c>
      <c r="BR76" s="1">
        <f t="shared" ref="BR76:BR83" si="65">AT76*30%</f>
        <v>11.0719806377143</v>
      </c>
      <c r="BS76" s="1">
        <f t="shared" ref="BS76:BS83" si="66">AU76*30%</f>
        <v>21.3161756914286</v>
      </c>
      <c r="BT76" s="204"/>
      <c r="BU76" s="204"/>
      <c r="BV76" s="204"/>
      <c r="BW76" s="204"/>
      <c r="BX76" s="204"/>
      <c r="BY76" s="204"/>
      <c r="BZ76" s="204"/>
      <c r="CA76" s="204"/>
      <c r="CB76" s="204"/>
      <c r="CC76" s="204"/>
      <c r="CD76" s="204"/>
      <c r="CE76" s="204"/>
      <c r="CF76" s="204"/>
      <c r="CG76" s="204"/>
      <c r="CH76" s="204"/>
      <c r="CI76" s="204"/>
    </row>
    <row r="77" spans="33:87">
      <c r="AG77" s="205"/>
      <c r="AH77" s="205"/>
      <c r="AI77" s="205"/>
      <c r="AJ77" s="205"/>
      <c r="AK77" s="205"/>
      <c r="AS77" s="183">
        <v>63.4603488000002</v>
      </c>
      <c r="AT77" s="183">
        <v>44.1160323428573</v>
      </c>
      <c r="AU77" s="183">
        <v>83.9832984000002</v>
      </c>
      <c r="AW77" s="201" t="s">
        <v>72</v>
      </c>
      <c r="AX77" s="201">
        <f t="shared" ref="AX77:AX83" si="67">AX76</f>
        <v>2045</v>
      </c>
      <c r="AY77" s="201">
        <f t="shared" ref="AY77:AY83" si="68">AY61*0.96</f>
        <v>63.4603488000002</v>
      </c>
      <c r="AZ77" s="201">
        <f t="shared" ref="AZ77:AZ83" si="69">AZ61*0.96</f>
        <v>44.1160323428573</v>
      </c>
      <c r="BA77" s="201">
        <f t="shared" ref="BA77:BA83" si="70">BA61*0.96</f>
        <v>83.9832984000002</v>
      </c>
      <c r="BD77" s="1" t="s">
        <v>73</v>
      </c>
      <c r="BE77" s="1">
        <v>2045</v>
      </c>
      <c r="BF77" s="1">
        <f t="shared" si="61"/>
        <v>44.4222441600001</v>
      </c>
      <c r="BG77" s="1">
        <f t="shared" si="62"/>
        <v>30.8812226400001</v>
      </c>
      <c r="BH77" s="1">
        <f t="shared" si="63"/>
        <v>58.7883088800001</v>
      </c>
      <c r="BI77" s="204"/>
      <c r="BJ77" s="204"/>
      <c r="BK77" s="204"/>
      <c r="BL77" s="204"/>
      <c r="BM77" s="204"/>
      <c r="BN77" s="204"/>
      <c r="BO77" s="1" t="s">
        <v>74</v>
      </c>
      <c r="BP77" s="1">
        <v>2045</v>
      </c>
      <c r="BQ77" s="1">
        <f t="shared" si="64"/>
        <v>19.0381046400001</v>
      </c>
      <c r="BR77" s="1">
        <f t="shared" si="65"/>
        <v>13.2348097028572</v>
      </c>
      <c r="BS77" s="1">
        <f t="shared" si="66"/>
        <v>25.1949895200001</v>
      </c>
      <c r="BT77" s="204"/>
      <c r="BU77" s="204"/>
      <c r="BV77" s="204"/>
      <c r="BW77" s="204"/>
      <c r="BX77" s="204"/>
      <c r="BY77" s="204"/>
      <c r="BZ77" s="204"/>
      <c r="CA77" s="204"/>
      <c r="CB77" s="204"/>
      <c r="CC77" s="204"/>
      <c r="CD77" s="204"/>
      <c r="CE77" s="204"/>
      <c r="CF77" s="204"/>
      <c r="CG77" s="204"/>
      <c r="CH77" s="204"/>
      <c r="CI77" s="204"/>
    </row>
    <row r="78" spans="33:87">
      <c r="AG78" s="205"/>
      <c r="AH78" s="205"/>
      <c r="AI78" s="205"/>
      <c r="AJ78" s="205"/>
      <c r="AK78" s="205"/>
      <c r="AS78" s="183">
        <v>56.7684108114287</v>
      </c>
      <c r="AT78" s="183">
        <v>37.3154920457144</v>
      </c>
      <c r="AU78" s="183">
        <v>77.3747116800002</v>
      </c>
      <c r="AW78" s="201" t="s">
        <v>76</v>
      </c>
      <c r="AX78" s="201">
        <f t="shared" si="67"/>
        <v>2045</v>
      </c>
      <c r="AY78" s="201">
        <f t="shared" si="68"/>
        <v>56.7684108114287</v>
      </c>
      <c r="AZ78" s="201">
        <f t="shared" si="69"/>
        <v>37.3154920457144</v>
      </c>
      <c r="BA78" s="201">
        <f t="shared" si="70"/>
        <v>77.3747116800002</v>
      </c>
      <c r="BD78" s="1" t="s">
        <v>77</v>
      </c>
      <c r="BE78" s="1">
        <v>2045</v>
      </c>
      <c r="BF78" s="1">
        <f t="shared" si="61"/>
        <v>39.7378875680001</v>
      </c>
      <c r="BG78" s="1">
        <f t="shared" si="62"/>
        <v>26.1208444320001</v>
      </c>
      <c r="BH78" s="1">
        <f t="shared" si="63"/>
        <v>54.1622981760001</v>
      </c>
      <c r="BI78" s="204"/>
      <c r="BJ78" s="204"/>
      <c r="BK78" s="204"/>
      <c r="BL78" s="204"/>
      <c r="BM78" s="204"/>
      <c r="BN78" s="204"/>
      <c r="BO78" s="1" t="s">
        <v>78</v>
      </c>
      <c r="BP78" s="1">
        <v>2045</v>
      </c>
      <c r="BQ78" s="1">
        <f t="shared" si="64"/>
        <v>17.0305232434286</v>
      </c>
      <c r="BR78" s="1">
        <f t="shared" si="65"/>
        <v>11.1946476137143</v>
      </c>
      <c r="BS78" s="1">
        <f t="shared" si="66"/>
        <v>23.2124135040001</v>
      </c>
      <c r="BT78" s="204"/>
      <c r="BU78" s="204"/>
      <c r="BV78" s="204"/>
      <c r="BW78" s="204"/>
      <c r="BX78" s="204"/>
      <c r="BY78" s="204"/>
      <c r="BZ78" s="204"/>
      <c r="CA78" s="204"/>
      <c r="CB78" s="204"/>
      <c r="CC78" s="204"/>
      <c r="CD78" s="204"/>
      <c r="CE78" s="204"/>
      <c r="CF78" s="204"/>
      <c r="CG78" s="204"/>
      <c r="CH78" s="204"/>
      <c r="CI78" s="204"/>
    </row>
    <row r="79" spans="33:87">
      <c r="AG79" s="205"/>
      <c r="AH79" s="205"/>
      <c r="AI79" s="205"/>
      <c r="AJ79" s="205"/>
      <c r="AK79" s="205"/>
      <c r="AS79" s="183">
        <v>56.884061417143</v>
      </c>
      <c r="AT79" s="183">
        <v>36.9550112228572</v>
      </c>
      <c r="AU79" s="183">
        <v>78.0241239085716</v>
      </c>
      <c r="AW79" s="201" t="s">
        <v>80</v>
      </c>
      <c r="AX79" s="201">
        <f t="shared" si="67"/>
        <v>2045</v>
      </c>
      <c r="AY79" s="201">
        <f t="shared" si="68"/>
        <v>56.884061417143</v>
      </c>
      <c r="AZ79" s="201">
        <f t="shared" si="69"/>
        <v>36.9550112228572</v>
      </c>
      <c r="BA79" s="201">
        <f t="shared" si="70"/>
        <v>78.0241239085716</v>
      </c>
      <c r="BD79" s="1" t="s">
        <v>81</v>
      </c>
      <c r="BE79" s="1">
        <v>2045</v>
      </c>
      <c r="BF79" s="1">
        <f t="shared" si="61"/>
        <v>39.8188429920001</v>
      </c>
      <c r="BG79" s="1">
        <f t="shared" si="62"/>
        <v>25.868507856</v>
      </c>
      <c r="BH79" s="1">
        <f t="shared" si="63"/>
        <v>54.6168867360001</v>
      </c>
      <c r="BI79" s="204"/>
      <c r="BJ79" s="204"/>
      <c r="BK79" s="204"/>
      <c r="BL79" s="204"/>
      <c r="BM79" s="204"/>
      <c r="BN79" s="204"/>
      <c r="BO79" s="1" t="s">
        <v>82</v>
      </c>
      <c r="BP79" s="1">
        <v>2045</v>
      </c>
      <c r="BQ79" s="1">
        <f t="shared" si="64"/>
        <v>17.0652184251429</v>
      </c>
      <c r="BR79" s="1">
        <f t="shared" si="65"/>
        <v>11.0865033668572</v>
      </c>
      <c r="BS79" s="1">
        <f t="shared" si="66"/>
        <v>23.4072371725715</v>
      </c>
      <c r="BT79" s="204"/>
      <c r="BU79" s="204"/>
      <c r="BV79" s="204"/>
      <c r="BW79" s="204"/>
      <c r="BX79" s="204"/>
      <c r="BY79" s="204"/>
      <c r="BZ79" s="204"/>
      <c r="CA79" s="204"/>
      <c r="CB79" s="204"/>
      <c r="CC79" s="204"/>
      <c r="CD79" s="204"/>
      <c r="CE79" s="204"/>
      <c r="CF79" s="204"/>
      <c r="CG79" s="204"/>
      <c r="CH79" s="204"/>
      <c r="CI79" s="204"/>
    </row>
    <row r="80" spans="33:87">
      <c r="AG80" s="205"/>
      <c r="AH80" s="205"/>
      <c r="AI80" s="205"/>
      <c r="AJ80" s="205"/>
      <c r="AK80" s="205"/>
      <c r="AS80" s="183">
        <v>59.9246600000001</v>
      </c>
      <c r="AT80" s="183">
        <v>39.4880016000001</v>
      </c>
      <c r="AU80" s="183">
        <v>81.5924424000002</v>
      </c>
      <c r="AW80" s="201" t="s">
        <v>85</v>
      </c>
      <c r="AX80" s="201">
        <f t="shared" si="67"/>
        <v>2045</v>
      </c>
      <c r="AY80" s="201">
        <f t="shared" si="68"/>
        <v>59.9246600000001</v>
      </c>
      <c r="AZ80" s="201">
        <f t="shared" si="69"/>
        <v>39.4880016000001</v>
      </c>
      <c r="BA80" s="201">
        <f t="shared" si="70"/>
        <v>81.5924424000002</v>
      </c>
      <c r="BD80" s="1" t="s">
        <v>86</v>
      </c>
      <c r="BE80" s="1">
        <v>2045</v>
      </c>
      <c r="BF80" s="1">
        <f t="shared" si="61"/>
        <v>41.9472620000001</v>
      </c>
      <c r="BG80" s="1">
        <f t="shared" si="62"/>
        <v>27.6416011200001</v>
      </c>
      <c r="BH80" s="1">
        <f t="shared" si="63"/>
        <v>57.1147096800001</v>
      </c>
      <c r="BI80" s="204"/>
      <c r="BJ80" s="204"/>
      <c r="BK80" s="204"/>
      <c r="BL80" s="204"/>
      <c r="BM80" s="204"/>
      <c r="BN80" s="204"/>
      <c r="BO80" s="1" t="s">
        <v>87</v>
      </c>
      <c r="BP80" s="1">
        <v>2045</v>
      </c>
      <c r="BQ80" s="1">
        <f t="shared" si="64"/>
        <v>17.977398</v>
      </c>
      <c r="BR80" s="1">
        <f t="shared" si="65"/>
        <v>11.84640048</v>
      </c>
      <c r="BS80" s="1">
        <f t="shared" si="66"/>
        <v>24.4777327200001</v>
      </c>
      <c r="BT80" s="204"/>
      <c r="BU80" s="204"/>
      <c r="BV80" s="204"/>
      <c r="BW80" s="204"/>
      <c r="BX80" s="204"/>
      <c r="BY80" s="204"/>
      <c r="BZ80" s="204"/>
      <c r="CA80" s="204"/>
      <c r="CB80" s="204"/>
      <c r="CC80" s="204"/>
      <c r="CD80" s="204"/>
      <c r="CE80" s="204"/>
      <c r="CF80" s="204"/>
      <c r="CG80" s="204"/>
      <c r="CH80" s="204"/>
      <c r="CI80" s="204"/>
    </row>
    <row r="81" spans="33:87">
      <c r="AG81" s="205"/>
      <c r="AH81" s="205"/>
      <c r="AI81" s="205"/>
      <c r="AJ81" s="205"/>
      <c r="AK81" s="205"/>
      <c r="AS81" s="183">
        <v>57.8156915428573</v>
      </c>
      <c r="AT81" s="183">
        <v>38.1376618285715</v>
      </c>
      <c r="AU81" s="183">
        <v>78.6679755428573</v>
      </c>
      <c r="AW81" s="201" t="s">
        <v>89</v>
      </c>
      <c r="AX81" s="201">
        <f t="shared" si="67"/>
        <v>2045</v>
      </c>
      <c r="AY81" s="201">
        <f t="shared" si="68"/>
        <v>57.8156915428573</v>
      </c>
      <c r="AZ81" s="201">
        <f t="shared" si="69"/>
        <v>38.1376618285715</v>
      </c>
      <c r="BA81" s="201">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5"/>
      <c r="AH82" s="205"/>
      <c r="AI82" s="205"/>
      <c r="AJ82" s="205"/>
      <c r="AK82" s="205"/>
      <c r="AS82" s="183">
        <v>59.5653165714287</v>
      </c>
      <c r="AT82" s="183">
        <v>39.9015741257144</v>
      </c>
      <c r="AU82" s="183">
        <v>80.3988235885716</v>
      </c>
      <c r="AW82" s="201" t="s">
        <v>93</v>
      </c>
      <c r="AX82" s="201">
        <f t="shared" si="67"/>
        <v>2045</v>
      </c>
      <c r="AY82" s="201">
        <f t="shared" si="68"/>
        <v>59.5653165714287</v>
      </c>
      <c r="AZ82" s="201">
        <f t="shared" si="69"/>
        <v>39.9015741257144</v>
      </c>
      <c r="BA82" s="201">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5"/>
      <c r="AH83" s="205"/>
      <c r="AI83" s="205"/>
      <c r="AJ83" s="205"/>
      <c r="AK83" s="205"/>
      <c r="AS83" s="183">
        <v>107.815222857143</v>
      </c>
      <c r="AT83" s="183">
        <v>107.815222857143</v>
      </c>
      <c r="AU83" s="183">
        <v>107.815222857143</v>
      </c>
      <c r="AW83" s="7"/>
      <c r="AX83" s="201"/>
      <c r="AY83" s="201"/>
      <c r="AZ83" s="201"/>
      <c r="BA83" s="201"/>
      <c r="BD83" s="1" t="s">
        <v>97</v>
      </c>
      <c r="BE83" s="1">
        <v>2045</v>
      </c>
      <c r="BF83" s="1">
        <f t="shared" si="61"/>
        <v>75.4706560000001</v>
      </c>
      <c r="BG83" s="1">
        <f t="shared" si="62"/>
        <v>75.4706560000001</v>
      </c>
      <c r="BH83" s="1">
        <f t="shared" si="63"/>
        <v>75.4706560000001</v>
      </c>
      <c r="BI83" s="195"/>
      <c r="BJ83" s="195"/>
      <c r="BK83" s="195"/>
      <c r="BL83" s="195"/>
      <c r="BM83" s="195"/>
      <c r="BN83" s="195"/>
      <c r="BO83" s="1" t="s">
        <v>98</v>
      </c>
      <c r="BP83" s="1">
        <v>2045</v>
      </c>
      <c r="BQ83" s="1">
        <f t="shared" si="64"/>
        <v>32.3445668571429</v>
      </c>
      <c r="BR83" s="1">
        <f t="shared" si="65"/>
        <v>32.3445668571429</v>
      </c>
      <c r="BS83" s="1">
        <f t="shared" si="66"/>
        <v>32.3445668571429</v>
      </c>
      <c r="BT83" s="195"/>
      <c r="BU83" s="195"/>
      <c r="BV83" s="195"/>
      <c r="BW83" s="195"/>
      <c r="BX83" s="195"/>
      <c r="BY83" s="195"/>
      <c r="BZ83" s="195"/>
      <c r="CA83" s="195"/>
      <c r="CB83" s="195"/>
      <c r="CC83" s="195"/>
      <c r="CD83" s="195"/>
      <c r="CE83" s="195"/>
      <c r="CF83" s="195"/>
      <c r="CG83" s="195"/>
      <c r="CH83" s="195"/>
      <c r="CI83" s="195"/>
    </row>
    <row r="84" spans="33:87">
      <c r="AG84" s="205"/>
      <c r="AH84" s="205"/>
      <c r="AI84" s="205"/>
      <c r="AJ84" s="205"/>
      <c r="AK84" s="205"/>
      <c r="BE84" s="1"/>
      <c r="BF84" s="1"/>
      <c r="BG84" s="1"/>
      <c r="BH84" s="1"/>
      <c r="BI84" s="204"/>
      <c r="BJ84" s="204"/>
      <c r="BK84" s="204"/>
      <c r="BL84" s="204"/>
      <c r="BM84" s="204"/>
      <c r="BN84" s="204"/>
      <c r="BO84" s="1"/>
      <c r="BP84" s="1"/>
      <c r="BQ84" s="1"/>
      <c r="BR84" s="1"/>
      <c r="BS84" s="1"/>
      <c r="BT84" s="204"/>
      <c r="BU84" s="204"/>
      <c r="BV84" s="204"/>
      <c r="BW84" s="204"/>
      <c r="BX84" s="204"/>
      <c r="BY84" s="204"/>
      <c r="BZ84" s="204"/>
      <c r="CA84" s="204"/>
      <c r="CB84" s="204"/>
      <c r="CC84" s="204"/>
      <c r="CD84" s="204"/>
      <c r="CE84" s="204"/>
      <c r="CF84" s="204"/>
      <c r="CG84" s="204"/>
      <c r="CH84" s="204"/>
      <c r="CI84" s="204"/>
    </row>
    <row r="85" spans="33:87">
      <c r="AG85" s="205"/>
      <c r="AH85" s="205"/>
      <c r="AI85" s="205"/>
      <c r="AJ85" s="205"/>
      <c r="AK85" s="205"/>
      <c r="AW85" s="79" t="s">
        <v>52</v>
      </c>
      <c r="AX85" s="79"/>
      <c r="AY85" s="186"/>
      <c r="AZ85" s="56"/>
      <c r="BA85" s="56"/>
      <c r="BD85" s="56" t="s">
        <v>53</v>
      </c>
      <c r="BE85" s="56"/>
      <c r="BF85" s="56"/>
      <c r="BG85" s="56"/>
      <c r="BH85" s="56"/>
      <c r="BI85" s="204"/>
      <c r="BJ85" s="204"/>
      <c r="BK85" s="204"/>
      <c r="BL85" s="204"/>
      <c r="BM85" s="204"/>
      <c r="BN85" s="204"/>
      <c r="BO85" s="56" t="s">
        <v>52</v>
      </c>
      <c r="BP85" s="56"/>
      <c r="BQ85" s="56"/>
      <c r="BR85" s="56"/>
      <c r="BS85" s="56"/>
      <c r="BT85" s="204"/>
      <c r="BU85" s="204"/>
      <c r="BV85" s="204"/>
      <c r="BW85" s="204"/>
      <c r="BX85" s="204"/>
      <c r="BY85" s="204"/>
      <c r="BZ85" s="204"/>
      <c r="CA85" s="204"/>
      <c r="CB85" s="204"/>
      <c r="CC85" s="204"/>
      <c r="CD85" s="204"/>
      <c r="CE85" s="204"/>
      <c r="CF85" s="204"/>
      <c r="CG85" s="204"/>
      <c r="CH85" s="204"/>
      <c r="CI85" s="204"/>
    </row>
    <row r="86" spans="33:87">
      <c r="AG86" s="205"/>
      <c r="AH86" s="205"/>
      <c r="AI86" s="205"/>
      <c r="AJ86" s="205"/>
      <c r="AK86" s="205"/>
      <c r="BE86" s="1"/>
      <c r="BF86" s="1"/>
      <c r="BG86" s="1"/>
      <c r="BH86" s="1"/>
      <c r="BI86" s="204"/>
      <c r="BJ86" s="204"/>
      <c r="BK86" s="204"/>
      <c r="BL86" s="204"/>
      <c r="BM86" s="204"/>
      <c r="BN86" s="204"/>
      <c r="BO86" s="1"/>
      <c r="BP86" s="1"/>
      <c r="BQ86" s="1"/>
      <c r="BR86" s="1"/>
      <c r="BS86" s="1"/>
      <c r="BT86" s="204"/>
      <c r="BU86" s="204"/>
      <c r="BV86" s="204"/>
      <c r="BW86" s="204"/>
      <c r="BX86" s="204"/>
      <c r="BY86" s="204"/>
      <c r="BZ86" s="204"/>
      <c r="CA86" s="204"/>
      <c r="CB86" s="204"/>
      <c r="CC86" s="204"/>
      <c r="CD86" s="204"/>
      <c r="CE86" s="204"/>
      <c r="CF86" s="204"/>
      <c r="CG86" s="204"/>
      <c r="CH86" s="204"/>
      <c r="CI86" s="204"/>
    </row>
    <row r="87" spans="33:87">
      <c r="BT87" s="204"/>
      <c r="BU87" s="204"/>
      <c r="BV87" s="204"/>
      <c r="BW87" s="204"/>
      <c r="BX87" s="204"/>
      <c r="BY87" s="204"/>
      <c r="BZ87" s="204"/>
      <c r="CA87" s="204"/>
      <c r="CB87" s="204"/>
      <c r="CC87" s="204"/>
      <c r="CD87" s="204"/>
      <c r="CE87" s="204"/>
      <c r="CF87" s="204"/>
      <c r="CG87" s="204"/>
      <c r="CH87" s="204"/>
      <c r="CI87" s="204"/>
    </row>
    <row r="88" spans="33:87">
      <c r="AS88" s="183" t="s">
        <v>65</v>
      </c>
      <c r="AT88" s="183" t="s">
        <v>11</v>
      </c>
      <c r="AU88" s="183" t="s">
        <v>25</v>
      </c>
      <c r="AW88" s="186" t="s">
        <v>66</v>
      </c>
      <c r="AX88" s="186" t="s">
        <v>41</v>
      </c>
      <c r="AY88" s="193" t="s">
        <v>65</v>
      </c>
      <c r="AZ88" s="193" t="s">
        <v>11</v>
      </c>
      <c r="BA88" s="193" t="s">
        <v>25</v>
      </c>
      <c r="BD88" s="56" t="s">
        <v>66</v>
      </c>
      <c r="BE88" s="56" t="s">
        <v>41</v>
      </c>
      <c r="BF88" s="56" t="s">
        <v>65</v>
      </c>
      <c r="BG88" s="56" t="s">
        <v>11</v>
      </c>
      <c r="BH88" s="56" t="s">
        <v>25</v>
      </c>
      <c r="BI88" s="204"/>
      <c r="BJ88" s="204"/>
      <c r="BK88" s="204"/>
      <c r="BL88" s="204"/>
      <c r="BM88" s="204"/>
      <c r="BN88" s="204"/>
      <c r="BO88" s="56" t="s">
        <v>66</v>
      </c>
      <c r="BP88" s="56" t="s">
        <v>41</v>
      </c>
      <c r="BQ88" s="56" t="s">
        <v>65</v>
      </c>
      <c r="BR88" s="56" t="s">
        <v>11</v>
      </c>
      <c r="BS88" s="56" t="s">
        <v>25</v>
      </c>
      <c r="BT88" s="204"/>
      <c r="BU88" s="204"/>
      <c r="BV88" s="204"/>
      <c r="BW88" s="204"/>
      <c r="BX88" s="204"/>
      <c r="BY88" s="204"/>
      <c r="BZ88" s="204"/>
      <c r="CA88" s="204"/>
      <c r="CB88" s="204"/>
      <c r="CC88" s="204"/>
      <c r="CD88" s="204"/>
      <c r="CE88" s="204"/>
      <c r="CF88" s="204"/>
      <c r="CG88" s="204"/>
      <c r="CH88" s="204"/>
      <c r="CI88" s="204"/>
    </row>
    <row r="89" spans="33:87">
      <c r="AS89" s="183">
        <v>51.3276439625144</v>
      </c>
      <c r="AT89" s="183">
        <v>35.4303380406858</v>
      </c>
      <c r="AU89" s="183">
        <v>68.2117622125716</v>
      </c>
      <c r="AW89" s="186" t="s">
        <v>67</v>
      </c>
      <c r="AX89" s="186">
        <v>2050</v>
      </c>
      <c r="AY89" s="186">
        <f>AY76*0.96</f>
        <v>51.3276439625144</v>
      </c>
      <c r="AZ89" s="186">
        <f>AZ76*0.96</f>
        <v>35.4303380406858</v>
      </c>
      <c r="BA89" s="186">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4"/>
      <c r="BJ89" s="204"/>
      <c r="BK89" s="204"/>
      <c r="BL89" s="204"/>
      <c r="BM89" s="204"/>
      <c r="BN89" s="204"/>
      <c r="BO89" s="56" t="s">
        <v>69</v>
      </c>
      <c r="BP89" s="56">
        <v>2050</v>
      </c>
      <c r="BQ89" s="56">
        <f t="shared" ref="BQ89:BQ96" si="74">AS89*30%</f>
        <v>15.3982931887543</v>
      </c>
      <c r="BR89" s="56">
        <f t="shared" ref="BR89:BR96" si="75">AT89*30%</f>
        <v>10.6291014122057</v>
      </c>
      <c r="BS89" s="56">
        <f t="shared" ref="BS89:BS96" si="76">AU89*30%</f>
        <v>20.4635286637715</v>
      </c>
      <c r="BT89" s="204"/>
      <c r="BU89" s="204"/>
      <c r="BV89" s="204"/>
      <c r="BW89" s="204"/>
      <c r="BX89" s="204"/>
      <c r="BY89" s="204"/>
      <c r="BZ89" s="204"/>
      <c r="CA89" s="204"/>
      <c r="CB89" s="204"/>
      <c r="CC89" s="204"/>
      <c r="CD89" s="204"/>
      <c r="CE89" s="204"/>
      <c r="CF89" s="204"/>
      <c r="CG89" s="204"/>
      <c r="CH89" s="204"/>
      <c r="CI89" s="204"/>
    </row>
    <row r="90" spans="33:87">
      <c r="AS90" s="183">
        <v>60.9219348480002</v>
      </c>
      <c r="AT90" s="183">
        <v>42.351391049143</v>
      </c>
      <c r="AU90" s="183">
        <v>80.6239664640002</v>
      </c>
      <c r="AW90" s="186" t="s">
        <v>72</v>
      </c>
      <c r="AX90" s="186">
        <f t="shared" ref="AX90:AX96" si="77">AX89</f>
        <v>2050</v>
      </c>
      <c r="AY90" s="186">
        <f t="shared" ref="AY90:BA90" si="78">AY77*0.96</f>
        <v>60.9219348480002</v>
      </c>
      <c r="AZ90" s="186">
        <f t="shared" si="78"/>
        <v>42.351391049143</v>
      </c>
      <c r="BA90" s="186">
        <f t="shared" si="78"/>
        <v>80.6239664640002</v>
      </c>
      <c r="BD90" s="56" t="s">
        <v>73</v>
      </c>
      <c r="BE90" s="56">
        <v>2050</v>
      </c>
      <c r="BF90" s="56">
        <f t="shared" si="71"/>
        <v>42.6453543936001</v>
      </c>
      <c r="BG90" s="56">
        <f t="shared" si="72"/>
        <v>29.6459737344001</v>
      </c>
      <c r="BH90" s="56">
        <f t="shared" si="73"/>
        <v>56.4367765248001</v>
      </c>
      <c r="BI90" s="204"/>
      <c r="BJ90" s="204"/>
      <c r="BK90" s="204"/>
      <c r="BL90" s="204"/>
      <c r="BM90" s="204"/>
      <c r="BN90" s="204"/>
      <c r="BO90" s="56" t="s">
        <v>74</v>
      </c>
      <c r="BP90" s="56">
        <v>2050</v>
      </c>
      <c r="BQ90" s="56">
        <f t="shared" si="74"/>
        <v>18.2765804544001</v>
      </c>
      <c r="BR90" s="56">
        <f t="shared" si="75"/>
        <v>12.7054173147429</v>
      </c>
      <c r="BS90" s="56">
        <f t="shared" si="76"/>
        <v>24.1871899392001</v>
      </c>
      <c r="BT90" s="204"/>
      <c r="BU90" s="204"/>
      <c r="BV90" s="204"/>
      <c r="BW90" s="204"/>
      <c r="BX90" s="204"/>
      <c r="BY90" s="204"/>
      <c r="BZ90" s="204"/>
      <c r="CA90" s="204"/>
      <c r="CB90" s="204"/>
      <c r="CC90" s="204"/>
      <c r="CD90" s="204"/>
      <c r="CE90" s="204"/>
      <c r="CF90" s="204"/>
      <c r="CG90" s="204"/>
      <c r="CH90" s="204"/>
      <c r="CI90" s="204"/>
    </row>
    <row r="91" spans="33:87">
      <c r="AS91" s="183">
        <v>54.4976743789715</v>
      </c>
      <c r="AT91" s="183">
        <v>35.8228723638858</v>
      </c>
      <c r="AU91" s="183">
        <v>74.2797232128002</v>
      </c>
      <c r="AW91" s="186" t="s">
        <v>76</v>
      </c>
      <c r="AX91" s="186">
        <f t="shared" si="77"/>
        <v>2050</v>
      </c>
      <c r="AY91" s="186">
        <f t="shared" ref="AY91:BA91" si="79">AY78*0.96</f>
        <v>54.4976743789715</v>
      </c>
      <c r="AZ91" s="186">
        <f t="shared" si="79"/>
        <v>35.8228723638858</v>
      </c>
      <c r="BA91" s="186">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3">
        <v>54.6086989604573</v>
      </c>
      <c r="AT92" s="183">
        <v>35.4768107739429</v>
      </c>
      <c r="AU92" s="183">
        <v>74.9031589522287</v>
      </c>
      <c r="AW92" s="186" t="s">
        <v>80</v>
      </c>
      <c r="AX92" s="186">
        <f t="shared" si="77"/>
        <v>2050</v>
      </c>
      <c r="AY92" s="186">
        <f t="shared" ref="AY92:BA92" si="80">AY79*0.96</f>
        <v>54.6086989604573</v>
      </c>
      <c r="AZ92" s="186">
        <f t="shared" si="80"/>
        <v>35.4768107739429</v>
      </c>
      <c r="BA92" s="186">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3">
        <v>57.5276736000001</v>
      </c>
      <c r="AT93" s="183">
        <v>37.9084815360001</v>
      </c>
      <c r="AU93" s="183">
        <v>78.3287447040002</v>
      </c>
      <c r="AW93" s="186" t="s">
        <v>85</v>
      </c>
      <c r="AX93" s="186">
        <f t="shared" si="77"/>
        <v>2050</v>
      </c>
      <c r="AY93" s="186">
        <f t="shared" ref="AY93:BA93" si="81">AY80*0.96</f>
        <v>57.5276736000001</v>
      </c>
      <c r="AZ93" s="186">
        <f t="shared" si="81"/>
        <v>37.9084815360001</v>
      </c>
      <c r="BA93" s="186">
        <f t="shared" si="81"/>
        <v>78.3287447040002</v>
      </c>
      <c r="BD93" s="56" t="s">
        <v>86</v>
      </c>
      <c r="BE93" s="56">
        <v>2050</v>
      </c>
      <c r="BF93" s="56">
        <f t="shared" si="71"/>
        <v>40.2693715200001</v>
      </c>
      <c r="BG93" s="56">
        <f t="shared" si="72"/>
        <v>26.5359370752001</v>
      </c>
      <c r="BH93" s="56">
        <f t="shared" si="73"/>
        <v>54.8301212928001</v>
      </c>
      <c r="BI93" s="195"/>
      <c r="BJ93" s="195"/>
      <c r="BK93" s="195"/>
      <c r="BL93" s="195"/>
      <c r="BM93" s="195"/>
      <c r="BN93" s="195"/>
      <c r="BO93" s="56" t="s">
        <v>87</v>
      </c>
      <c r="BP93" s="56">
        <v>2050</v>
      </c>
      <c r="BQ93" s="56">
        <f t="shared" si="74"/>
        <v>17.25830208</v>
      </c>
      <c r="BR93" s="56">
        <f t="shared" si="75"/>
        <v>11.3725444608</v>
      </c>
      <c r="BS93" s="56">
        <f t="shared" si="76"/>
        <v>23.4986234112001</v>
      </c>
      <c r="BT93" s="195"/>
      <c r="BU93" s="195"/>
      <c r="BV93" s="195"/>
      <c r="BW93" s="195"/>
      <c r="BX93" s="195"/>
      <c r="BY93" s="195"/>
      <c r="BZ93" s="195"/>
      <c r="CA93" s="195"/>
      <c r="CB93" s="195"/>
      <c r="CC93" s="195"/>
      <c r="CD93" s="195"/>
      <c r="CE93" s="195"/>
      <c r="CF93" s="195"/>
      <c r="CG93" s="195"/>
      <c r="CH93" s="195"/>
      <c r="CI93" s="195"/>
    </row>
    <row r="94" spans="33:87">
      <c r="AS94" s="183">
        <v>55.503063881143</v>
      </c>
      <c r="AT94" s="183">
        <v>36.6121553554287</v>
      </c>
      <c r="AU94" s="183">
        <v>75.521256521143</v>
      </c>
      <c r="AW94" s="186" t="s">
        <v>89</v>
      </c>
      <c r="AX94" s="186">
        <f t="shared" si="77"/>
        <v>2050</v>
      </c>
      <c r="AY94" s="186">
        <f t="shared" ref="AY94:BA94" si="82">AY81*0.96</f>
        <v>55.503063881143</v>
      </c>
      <c r="AZ94" s="186">
        <f t="shared" si="82"/>
        <v>36.6121553554287</v>
      </c>
      <c r="BA94" s="186">
        <f t="shared" si="82"/>
        <v>75.521256521143</v>
      </c>
      <c r="BD94" s="56" t="s">
        <v>90</v>
      </c>
      <c r="BE94" s="56">
        <v>2050</v>
      </c>
      <c r="BF94" s="56">
        <f t="shared" si="71"/>
        <v>38.8521447168001</v>
      </c>
      <c r="BG94" s="56">
        <f t="shared" si="72"/>
        <v>25.6285087488001</v>
      </c>
      <c r="BH94" s="56">
        <f t="shared" si="73"/>
        <v>52.8648795648001</v>
      </c>
      <c r="BI94" s="204"/>
      <c r="BJ94" s="204"/>
      <c r="BK94" s="204"/>
      <c r="BL94" s="204"/>
      <c r="BM94" s="204"/>
      <c r="BN94" s="204"/>
      <c r="BO94" s="56" t="s">
        <v>91</v>
      </c>
      <c r="BP94" s="56">
        <v>2050</v>
      </c>
      <c r="BQ94" s="56">
        <f t="shared" si="74"/>
        <v>16.6509191643429</v>
      </c>
      <c r="BR94" s="56">
        <f t="shared" si="75"/>
        <v>10.9836466066286</v>
      </c>
      <c r="BS94" s="56">
        <f t="shared" si="76"/>
        <v>22.6563769563429</v>
      </c>
      <c r="BT94" s="204"/>
      <c r="BU94" s="204"/>
      <c r="BV94" s="204"/>
      <c r="BW94" s="204"/>
      <c r="BX94" s="204"/>
      <c r="BY94" s="204"/>
      <c r="BZ94" s="204"/>
      <c r="CA94" s="204"/>
      <c r="CB94" s="204"/>
      <c r="CC94" s="204"/>
      <c r="CD94" s="204"/>
      <c r="CE94" s="204"/>
      <c r="CF94" s="204"/>
      <c r="CG94" s="204"/>
      <c r="CH94" s="204"/>
      <c r="CI94" s="204"/>
    </row>
    <row r="95" spans="33:87">
      <c r="AS95" s="183">
        <v>57.1827039085716</v>
      </c>
      <c r="AT95" s="183">
        <v>38.3055111606858</v>
      </c>
      <c r="AU95" s="183">
        <v>77.1828706450288</v>
      </c>
      <c r="AW95" s="186" t="s">
        <v>93</v>
      </c>
      <c r="AX95" s="186">
        <f t="shared" si="77"/>
        <v>2050</v>
      </c>
      <c r="AY95" s="186">
        <f t="shared" ref="AY95:BA95" si="83">AY82*0.96</f>
        <v>57.1827039085716</v>
      </c>
      <c r="AZ95" s="186">
        <f t="shared" si="83"/>
        <v>38.3055111606858</v>
      </c>
      <c r="BA95" s="186">
        <f t="shared" si="83"/>
        <v>77.1828706450288</v>
      </c>
      <c r="BD95" s="56" t="s">
        <v>94</v>
      </c>
      <c r="BE95" s="56">
        <v>2050</v>
      </c>
      <c r="BF95" s="56">
        <f t="shared" si="71"/>
        <v>40.0278927360001</v>
      </c>
      <c r="BG95" s="56">
        <f t="shared" si="72"/>
        <v>26.8138578124801</v>
      </c>
      <c r="BH95" s="56">
        <f t="shared" si="73"/>
        <v>54.0280094515202</v>
      </c>
      <c r="BI95" s="204"/>
      <c r="BJ95" s="204"/>
      <c r="BK95" s="204"/>
      <c r="BL95" s="204"/>
      <c r="BM95" s="204"/>
      <c r="BN95" s="204"/>
      <c r="BO95" s="56" t="s">
        <v>95</v>
      </c>
      <c r="BP95" s="56">
        <v>2050</v>
      </c>
      <c r="BQ95" s="56">
        <f t="shared" si="74"/>
        <v>17.1548111725715</v>
      </c>
      <c r="BR95" s="56">
        <f t="shared" si="75"/>
        <v>11.4916533482057</v>
      </c>
      <c r="BS95" s="56">
        <f t="shared" si="76"/>
        <v>23.1548611935086</v>
      </c>
      <c r="BT95" s="204"/>
      <c r="BU95" s="204"/>
      <c r="BV95" s="204"/>
      <c r="BW95" s="204"/>
      <c r="BX95" s="204"/>
      <c r="BY95" s="204"/>
      <c r="BZ95" s="204"/>
      <c r="CA95" s="204"/>
      <c r="CB95" s="204"/>
      <c r="CC95" s="204"/>
      <c r="CD95" s="204"/>
      <c r="CE95" s="204"/>
      <c r="CF95" s="204"/>
      <c r="CG95" s="204"/>
      <c r="CH95" s="204"/>
      <c r="CI95" s="204"/>
    </row>
    <row r="96" spans="33:87">
      <c r="AS96" s="183">
        <v>103.502613942857</v>
      </c>
      <c r="AT96" s="183">
        <v>103.502613942857</v>
      </c>
      <c r="AU96" s="183">
        <v>103.502613942857</v>
      </c>
      <c r="AW96" s="197"/>
      <c r="AX96" s="186"/>
      <c r="AY96" s="186"/>
      <c r="AZ96" s="186"/>
      <c r="BA96" s="186"/>
      <c r="BD96" s="56" t="s">
        <v>97</v>
      </c>
      <c r="BE96" s="56">
        <v>2050</v>
      </c>
      <c r="BF96" s="56">
        <f t="shared" si="71"/>
        <v>72.4518297599999</v>
      </c>
      <c r="BG96" s="56">
        <f t="shared" si="72"/>
        <v>72.4518297599999</v>
      </c>
      <c r="BH96" s="56">
        <f t="shared" si="73"/>
        <v>72.4518297599999</v>
      </c>
      <c r="BI96" s="204"/>
      <c r="BJ96" s="204"/>
      <c r="BK96" s="204"/>
      <c r="BL96" s="204"/>
      <c r="BM96" s="204"/>
      <c r="BN96" s="204"/>
      <c r="BO96" s="56" t="s">
        <v>98</v>
      </c>
      <c r="BP96" s="56">
        <v>2050</v>
      </c>
      <c r="BQ96" s="56">
        <f t="shared" si="74"/>
        <v>31.0507841828571</v>
      </c>
      <c r="BR96" s="56">
        <f t="shared" si="75"/>
        <v>31.0507841828571</v>
      </c>
      <c r="BS96" s="56">
        <f t="shared" si="76"/>
        <v>31.0507841828571</v>
      </c>
      <c r="BT96" s="204"/>
      <c r="BU96" s="204"/>
      <c r="BV96" s="204"/>
      <c r="BW96" s="204"/>
      <c r="BX96" s="204"/>
      <c r="BY96" s="204"/>
      <c r="BZ96" s="204"/>
      <c r="CA96" s="204"/>
      <c r="CB96" s="204"/>
      <c r="CC96" s="204"/>
      <c r="CD96" s="204"/>
      <c r="CE96" s="204"/>
      <c r="CF96" s="204"/>
      <c r="CG96" s="204"/>
      <c r="CH96" s="204"/>
      <c r="CI96" s="204"/>
    </row>
    <row r="97" spans="45:87">
      <c r="AW97" s="56"/>
      <c r="AX97" s="56"/>
      <c r="AY97" s="56"/>
      <c r="AZ97" s="56"/>
      <c r="BA97" s="56"/>
      <c r="BD97" s="56"/>
      <c r="BE97" s="56"/>
      <c r="BF97" s="56"/>
      <c r="BG97" s="56"/>
      <c r="BH97" s="56"/>
      <c r="BI97" s="204"/>
      <c r="BJ97" s="204"/>
      <c r="BK97" s="204"/>
      <c r="BL97" s="204"/>
      <c r="BM97" s="204"/>
      <c r="BN97" s="204"/>
      <c r="BO97" s="56"/>
      <c r="BP97" s="56"/>
      <c r="BQ97" s="56"/>
      <c r="BR97" s="56"/>
      <c r="BS97" s="56"/>
      <c r="BT97" s="204"/>
      <c r="BU97" s="204"/>
      <c r="BV97" s="204"/>
      <c r="BW97" s="204"/>
      <c r="BX97" s="204"/>
      <c r="BY97" s="204"/>
      <c r="BZ97" s="204"/>
      <c r="CA97" s="204"/>
      <c r="CB97" s="204"/>
      <c r="CC97" s="204"/>
      <c r="CD97" s="204"/>
      <c r="CE97" s="204"/>
      <c r="CF97" s="204"/>
      <c r="CG97" s="204"/>
      <c r="CH97" s="204"/>
      <c r="CI97" s="204"/>
    </row>
    <row r="98" spans="45:87">
      <c r="BE98" s="1"/>
      <c r="BF98" s="1"/>
      <c r="BG98" s="1"/>
      <c r="BH98" s="1"/>
      <c r="BI98" s="204"/>
      <c r="BJ98" s="204"/>
      <c r="BK98" s="204"/>
      <c r="BL98" s="204"/>
      <c r="BM98" s="204"/>
      <c r="BN98" s="204"/>
      <c r="BO98" s="1"/>
      <c r="BP98" s="1"/>
      <c r="BQ98" s="1"/>
      <c r="BR98" s="1"/>
      <c r="BS98" s="1"/>
      <c r="BT98" s="204"/>
      <c r="BU98" s="204"/>
      <c r="BV98" s="204"/>
      <c r="BW98" s="204"/>
      <c r="BX98" s="204"/>
      <c r="BY98" s="204"/>
      <c r="BZ98" s="204"/>
      <c r="CA98" s="204"/>
      <c r="CB98" s="204"/>
      <c r="CC98" s="204"/>
      <c r="CD98" s="204"/>
      <c r="CE98" s="204"/>
      <c r="CF98" s="204"/>
      <c r="CG98" s="204"/>
      <c r="CH98" s="204"/>
      <c r="CI98" s="204"/>
    </row>
    <row r="99" spans="45:87">
      <c r="BE99" s="1"/>
      <c r="BF99" s="1"/>
      <c r="BG99" s="1"/>
      <c r="BH99" s="1"/>
      <c r="BI99" s="204"/>
      <c r="BJ99" s="204"/>
      <c r="BK99" s="204"/>
      <c r="BL99" s="204"/>
      <c r="BM99" s="204"/>
      <c r="BN99" s="204"/>
      <c r="BO99" s="1"/>
      <c r="BP99" s="1"/>
      <c r="BQ99" s="1"/>
      <c r="BR99" s="1"/>
      <c r="BS99" s="1"/>
      <c r="BT99" s="204"/>
      <c r="BU99" s="204"/>
      <c r="BV99" s="204"/>
      <c r="BW99" s="204"/>
      <c r="BX99" s="204"/>
      <c r="BY99" s="204"/>
      <c r="BZ99" s="204"/>
      <c r="CA99" s="204"/>
      <c r="CB99" s="204"/>
      <c r="CC99" s="204"/>
      <c r="CD99" s="204"/>
      <c r="CE99" s="204"/>
      <c r="CF99" s="204"/>
      <c r="CG99" s="204"/>
      <c r="CH99" s="204"/>
      <c r="CI99" s="204"/>
    </row>
    <row r="100" spans="45:87">
      <c r="BE100" s="1"/>
      <c r="BF100" s="1"/>
      <c r="BG100" s="1"/>
      <c r="BH100" s="1"/>
      <c r="BI100" s="204"/>
      <c r="BJ100" s="204"/>
      <c r="BK100" s="204"/>
      <c r="BL100" s="204"/>
      <c r="BM100" s="204"/>
      <c r="BN100" s="204"/>
      <c r="BO100" s="1"/>
      <c r="BP100" s="1"/>
      <c r="BQ100" s="1"/>
      <c r="BR100" s="1"/>
      <c r="BS100" s="1"/>
      <c r="BT100" s="204"/>
      <c r="BU100" s="204"/>
      <c r="BV100" s="204"/>
      <c r="BW100" s="204"/>
      <c r="BX100" s="204"/>
      <c r="BY100" s="204"/>
      <c r="BZ100" s="204"/>
      <c r="CA100" s="204"/>
      <c r="CB100" s="204"/>
      <c r="CC100" s="204"/>
      <c r="CD100" s="204"/>
      <c r="CE100" s="204"/>
      <c r="CF100" s="204"/>
      <c r="CG100" s="204"/>
      <c r="CH100" s="204"/>
      <c r="CI100" s="204"/>
    </row>
    <row r="101" spans="45:87">
      <c r="BE101" s="1"/>
      <c r="BF101" s="1"/>
      <c r="BG101" s="1"/>
      <c r="BH101" s="1"/>
      <c r="BO101" s="1"/>
      <c r="BP101" s="1"/>
      <c r="BQ101" s="1"/>
      <c r="BR101" s="1"/>
      <c r="BS101" s="1"/>
    </row>
    <row r="102" spans="45:87">
      <c r="AW102" s="79" t="s">
        <v>52</v>
      </c>
      <c r="AX102" s="79"/>
      <c r="AY102" s="186"/>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3" t="s">
        <v>65</v>
      </c>
      <c r="AT105" s="183" t="s">
        <v>11</v>
      </c>
      <c r="AU105" s="183" t="s">
        <v>25</v>
      </c>
      <c r="AW105" s="186" t="s">
        <v>66</v>
      </c>
      <c r="AX105" s="186" t="s">
        <v>41</v>
      </c>
      <c r="AY105" s="193" t="s">
        <v>65</v>
      </c>
      <c r="AZ105" s="193" t="s">
        <v>11</v>
      </c>
      <c r="BA105" s="193" t="s">
        <v>25</v>
      </c>
      <c r="BD105" s="56" t="s">
        <v>66</v>
      </c>
      <c r="BE105" s="56" t="s">
        <v>41</v>
      </c>
      <c r="BF105" s="56" t="s">
        <v>65</v>
      </c>
      <c r="BG105" s="56" t="s">
        <v>11</v>
      </c>
      <c r="BH105" s="56" t="s">
        <v>25</v>
      </c>
      <c r="BI105" s="195"/>
      <c r="BJ105" s="195"/>
      <c r="BK105" s="195"/>
      <c r="BL105" s="195"/>
      <c r="BM105" s="195"/>
      <c r="BN105" s="195"/>
      <c r="BO105" s="56" t="s">
        <v>66</v>
      </c>
      <c r="BP105" s="56" t="s">
        <v>41</v>
      </c>
      <c r="BQ105" s="56" t="s">
        <v>65</v>
      </c>
      <c r="BR105" s="56" t="s">
        <v>11</v>
      </c>
      <c r="BS105" s="56" t="s">
        <v>25</v>
      </c>
      <c r="BT105" s="195"/>
      <c r="BU105" s="195"/>
      <c r="BV105" s="195"/>
      <c r="BW105" s="195"/>
      <c r="BX105" s="195"/>
      <c r="BY105" s="195"/>
      <c r="BZ105" s="195"/>
      <c r="CA105" s="195"/>
      <c r="CB105" s="195"/>
      <c r="CC105" s="195"/>
      <c r="CD105" s="195"/>
      <c r="CE105" s="195"/>
      <c r="CF105" s="195"/>
      <c r="CG105" s="195"/>
      <c r="CH105" s="195"/>
      <c r="CI105" s="195"/>
    </row>
    <row r="106" spans="45:87">
      <c r="AS106" s="183">
        <f>AS89*80%</f>
        <v>41.0621151700115</v>
      </c>
      <c r="AT106" s="183">
        <f>AT89*80%</f>
        <v>28.3442704325486</v>
      </c>
      <c r="AU106" s="183">
        <f>AU89*80%</f>
        <v>54.5694097700573</v>
      </c>
      <c r="AW106" s="186" t="s">
        <v>67</v>
      </c>
      <c r="AX106" s="186">
        <v>2100</v>
      </c>
      <c r="AY106" s="197">
        <f>AS106</f>
        <v>41.0621151700115</v>
      </c>
      <c r="AZ106" s="197">
        <f>AT106</f>
        <v>28.3442704325486</v>
      </c>
      <c r="BA106" s="197">
        <f>AU106</f>
        <v>54.5694097700573</v>
      </c>
      <c r="BD106" s="56" t="s">
        <v>68</v>
      </c>
      <c r="BE106" s="56">
        <v>2100</v>
      </c>
      <c r="BF106" s="209">
        <f t="shared" ref="BF106:BF113" si="84">AS106*70%</f>
        <v>28.7434806190081</v>
      </c>
      <c r="BG106" s="209">
        <f t="shared" ref="BG106:BG113" si="85">AT106*70%</f>
        <v>19.840989302784</v>
      </c>
      <c r="BH106" s="209">
        <f t="shared" ref="BH106:BH113" si="86">AU106*70%</f>
        <v>38.1985868390401</v>
      </c>
      <c r="BI106" s="204"/>
      <c r="BJ106" s="204"/>
      <c r="BK106" s="204"/>
      <c r="BL106" s="204"/>
      <c r="BM106" s="204"/>
      <c r="BN106" s="204"/>
      <c r="BO106" s="56" t="s">
        <v>69</v>
      </c>
      <c r="BP106" s="56">
        <v>2100</v>
      </c>
      <c r="BQ106" s="209">
        <f t="shared" ref="BQ106:BQ113" si="87">AS106*30%</f>
        <v>12.3186345510035</v>
      </c>
      <c r="BR106" s="209">
        <f t="shared" ref="BR106:BR113" si="88">AT106*30%</f>
        <v>8.50328112976459</v>
      </c>
      <c r="BS106" s="209">
        <f t="shared" ref="BS106:BS113" si="89">AU106*30%</f>
        <v>16.3708229310172</v>
      </c>
      <c r="BT106" s="204"/>
      <c r="BU106" s="204"/>
      <c r="BV106" s="204"/>
      <c r="BW106" s="204"/>
      <c r="BX106" s="204"/>
      <c r="BY106" s="204"/>
      <c r="BZ106" s="204"/>
      <c r="CA106" s="204"/>
      <c r="CB106" s="204"/>
      <c r="CC106" s="204"/>
      <c r="CD106" s="204"/>
      <c r="CE106" s="204"/>
      <c r="CF106" s="204"/>
      <c r="CG106" s="204"/>
      <c r="CH106" s="204"/>
      <c r="CI106" s="204"/>
    </row>
    <row r="107" spans="45:87">
      <c r="AS107" s="183">
        <f t="shared" ref="AS107:AS113" si="90">AS90*80%</f>
        <v>48.7375478784002</v>
      </c>
      <c r="AT107" s="183">
        <f t="shared" ref="AT107:AT113" si="91">AT90*80%</f>
        <v>33.8811128393144</v>
      </c>
      <c r="AU107" s="183">
        <f t="shared" ref="AU107:AU113" si="92">AU90*80%</f>
        <v>64.4991731712002</v>
      </c>
      <c r="AW107" s="186" t="s">
        <v>72</v>
      </c>
      <c r="AX107" s="186">
        <f t="shared" ref="AX107:AX113" si="93">AX106</f>
        <v>2100</v>
      </c>
      <c r="AY107" s="197">
        <f t="shared" ref="AY107:AY112" si="94">AS107</f>
        <v>48.7375478784002</v>
      </c>
      <c r="AZ107" s="197">
        <f t="shared" ref="AZ107:AZ112" si="95">AT107</f>
        <v>33.8811128393144</v>
      </c>
      <c r="BA107" s="197">
        <f t="shared" ref="BA107:BA112" si="96">AU107</f>
        <v>64.4991731712002</v>
      </c>
      <c r="BD107" s="56" t="s">
        <v>73</v>
      </c>
      <c r="BE107" s="56">
        <v>2100</v>
      </c>
      <c r="BF107" s="209">
        <f t="shared" si="84"/>
        <v>34.1162835148801</v>
      </c>
      <c r="BG107" s="209">
        <f t="shared" si="85"/>
        <v>23.7167789875201</v>
      </c>
      <c r="BH107" s="209">
        <f t="shared" si="86"/>
        <v>45.1494212198401</v>
      </c>
      <c r="BI107" s="204"/>
      <c r="BJ107" s="204"/>
      <c r="BK107" s="204"/>
      <c r="BL107" s="204"/>
      <c r="BM107" s="204"/>
      <c r="BN107" s="204"/>
      <c r="BO107" s="56" t="s">
        <v>74</v>
      </c>
      <c r="BP107" s="56">
        <v>2100</v>
      </c>
      <c r="BQ107" s="209">
        <f t="shared" si="87"/>
        <v>14.62126436352</v>
      </c>
      <c r="BR107" s="209">
        <f t="shared" si="88"/>
        <v>10.1643338517943</v>
      </c>
      <c r="BS107" s="209">
        <f t="shared" si="89"/>
        <v>19.3497519513601</v>
      </c>
      <c r="BT107" s="204"/>
      <c r="BU107" s="204"/>
      <c r="BV107" s="204"/>
      <c r="BW107" s="204"/>
      <c r="BX107" s="204"/>
      <c r="BY107" s="204"/>
      <c r="BZ107" s="204"/>
      <c r="CA107" s="204"/>
      <c r="CB107" s="204"/>
      <c r="CC107" s="204"/>
      <c r="CD107" s="204"/>
      <c r="CE107" s="204"/>
      <c r="CF107" s="204"/>
      <c r="CG107" s="204"/>
      <c r="CH107" s="204"/>
      <c r="CI107" s="204"/>
    </row>
    <row r="108" spans="45:87">
      <c r="AS108" s="183">
        <f t="shared" si="90"/>
        <v>43.5981395031772</v>
      </c>
      <c r="AT108" s="183">
        <f t="shared" si="91"/>
        <v>28.6582978911086</v>
      </c>
      <c r="AU108" s="183">
        <f t="shared" si="92"/>
        <v>59.4237785702402</v>
      </c>
      <c r="AW108" s="186" t="s">
        <v>76</v>
      </c>
      <c r="AX108" s="186">
        <f t="shared" si="93"/>
        <v>2100</v>
      </c>
      <c r="AY108" s="197">
        <f t="shared" si="94"/>
        <v>43.5981395031772</v>
      </c>
      <c r="AZ108" s="197">
        <f t="shared" si="95"/>
        <v>28.6582978911086</v>
      </c>
      <c r="BA108" s="197">
        <f t="shared" si="96"/>
        <v>59.4237785702402</v>
      </c>
      <c r="BD108" s="56" t="s">
        <v>77</v>
      </c>
      <c r="BE108" s="56">
        <v>2100</v>
      </c>
      <c r="BF108" s="209">
        <f t="shared" si="84"/>
        <v>30.518697652224</v>
      </c>
      <c r="BG108" s="209">
        <f t="shared" si="85"/>
        <v>20.060808523776</v>
      </c>
      <c r="BH108" s="209">
        <f t="shared" si="86"/>
        <v>41.5966449991681</v>
      </c>
      <c r="BI108" s="204"/>
      <c r="BJ108" s="204"/>
      <c r="BK108" s="204"/>
      <c r="BL108" s="204"/>
      <c r="BM108" s="204"/>
      <c r="BN108" s="204"/>
      <c r="BO108" s="56" t="s">
        <v>78</v>
      </c>
      <c r="BP108" s="56">
        <v>2100</v>
      </c>
      <c r="BQ108" s="209">
        <f t="shared" si="87"/>
        <v>13.0794418509532</v>
      </c>
      <c r="BR108" s="209">
        <f t="shared" si="88"/>
        <v>8.59748936733259</v>
      </c>
      <c r="BS108" s="209">
        <f t="shared" si="89"/>
        <v>17.827133571072</v>
      </c>
      <c r="BT108" s="204"/>
      <c r="BU108" s="204"/>
      <c r="BV108" s="204"/>
      <c r="BW108" s="204"/>
      <c r="BX108" s="204"/>
      <c r="BY108" s="204"/>
      <c r="BZ108" s="204"/>
      <c r="CA108" s="204"/>
      <c r="CB108" s="204"/>
      <c r="CC108" s="204"/>
      <c r="CD108" s="204"/>
      <c r="CE108" s="204"/>
      <c r="CF108" s="204"/>
      <c r="CG108" s="204"/>
      <c r="CH108" s="204"/>
      <c r="CI108" s="204"/>
    </row>
    <row r="109" spans="45:87">
      <c r="AS109" s="183">
        <f t="shared" si="90"/>
        <v>43.6869591683658</v>
      </c>
      <c r="AT109" s="183">
        <f t="shared" si="91"/>
        <v>28.3814486191543</v>
      </c>
      <c r="AU109" s="183">
        <f t="shared" si="92"/>
        <v>59.922527161783</v>
      </c>
      <c r="AW109" s="186" t="s">
        <v>80</v>
      </c>
      <c r="AX109" s="186">
        <f t="shared" si="93"/>
        <v>2100</v>
      </c>
      <c r="AY109" s="197">
        <f t="shared" si="94"/>
        <v>43.6869591683658</v>
      </c>
      <c r="AZ109" s="197">
        <f t="shared" si="95"/>
        <v>28.3814486191543</v>
      </c>
      <c r="BA109" s="197">
        <f t="shared" si="96"/>
        <v>59.922527161783</v>
      </c>
      <c r="BD109" s="56" t="s">
        <v>81</v>
      </c>
      <c r="BE109" s="56">
        <v>2100</v>
      </c>
      <c r="BF109" s="209">
        <f t="shared" si="84"/>
        <v>30.5808714178561</v>
      </c>
      <c r="BG109" s="209">
        <f t="shared" si="85"/>
        <v>19.867014033408</v>
      </c>
      <c r="BH109" s="209">
        <f t="shared" si="86"/>
        <v>41.9457690132481</v>
      </c>
      <c r="BI109" s="204"/>
      <c r="BJ109" s="204"/>
      <c r="BK109" s="204"/>
      <c r="BL109" s="204"/>
      <c r="BM109" s="204"/>
      <c r="BN109" s="204"/>
      <c r="BO109" s="56" t="s">
        <v>82</v>
      </c>
      <c r="BP109" s="56">
        <v>2100</v>
      </c>
      <c r="BQ109" s="209">
        <f t="shared" si="87"/>
        <v>13.1060877505098</v>
      </c>
      <c r="BR109" s="209">
        <f t="shared" si="88"/>
        <v>8.5144345857463</v>
      </c>
      <c r="BS109" s="209">
        <f t="shared" si="89"/>
        <v>17.9767581485349</v>
      </c>
      <c r="BT109" s="204"/>
      <c r="BU109" s="204"/>
      <c r="BV109" s="204"/>
      <c r="BW109" s="204"/>
      <c r="BX109" s="204"/>
      <c r="BY109" s="204"/>
      <c r="BZ109" s="204"/>
      <c r="CA109" s="204"/>
      <c r="CB109" s="204"/>
      <c r="CC109" s="204"/>
      <c r="CD109" s="204"/>
      <c r="CE109" s="204"/>
      <c r="CF109" s="204"/>
      <c r="CG109" s="204"/>
      <c r="CH109" s="204"/>
      <c r="CI109" s="204"/>
    </row>
    <row r="110" spans="45:87">
      <c r="AS110" s="183">
        <f t="shared" si="90"/>
        <v>46.0221388800001</v>
      </c>
      <c r="AT110" s="183">
        <f t="shared" si="91"/>
        <v>30.3267852288001</v>
      </c>
      <c r="AU110" s="183">
        <f t="shared" si="92"/>
        <v>62.6629957632002</v>
      </c>
      <c r="AW110" s="186" t="s">
        <v>85</v>
      </c>
      <c r="AX110" s="186">
        <f t="shared" si="93"/>
        <v>2100</v>
      </c>
      <c r="AY110" s="197">
        <f t="shared" si="94"/>
        <v>46.0221388800001</v>
      </c>
      <c r="AZ110" s="197">
        <f t="shared" si="95"/>
        <v>30.3267852288001</v>
      </c>
      <c r="BA110" s="197">
        <f t="shared" si="96"/>
        <v>62.6629957632002</v>
      </c>
      <c r="BD110" s="56" t="s">
        <v>86</v>
      </c>
      <c r="BE110" s="56">
        <v>2100</v>
      </c>
      <c r="BF110" s="209">
        <f t="shared" si="84"/>
        <v>32.2154972160001</v>
      </c>
      <c r="BG110" s="209">
        <f t="shared" si="85"/>
        <v>21.2287496601601</v>
      </c>
      <c r="BH110" s="209">
        <f t="shared" si="86"/>
        <v>43.8640970342401</v>
      </c>
      <c r="BI110" s="204"/>
      <c r="BJ110" s="204"/>
      <c r="BK110" s="204"/>
      <c r="BL110" s="204"/>
      <c r="BM110" s="204"/>
      <c r="BN110" s="204"/>
      <c r="BO110" s="56" t="s">
        <v>87</v>
      </c>
      <c r="BP110" s="56">
        <v>2100</v>
      </c>
      <c r="BQ110" s="209">
        <f t="shared" si="87"/>
        <v>13.806641664</v>
      </c>
      <c r="BR110" s="209">
        <f t="shared" si="88"/>
        <v>9.09803556864003</v>
      </c>
      <c r="BS110" s="209">
        <f t="shared" si="89"/>
        <v>18.79889872896</v>
      </c>
      <c r="BT110" s="204"/>
      <c r="BU110" s="204"/>
      <c r="BV110" s="204"/>
      <c r="BW110" s="204"/>
      <c r="BX110" s="204"/>
      <c r="BY110" s="204"/>
      <c r="BZ110" s="204"/>
      <c r="CA110" s="204"/>
      <c r="CB110" s="204"/>
      <c r="CC110" s="204"/>
      <c r="CD110" s="204"/>
      <c r="CE110" s="204"/>
      <c r="CF110" s="204"/>
      <c r="CG110" s="204"/>
      <c r="CH110" s="204"/>
      <c r="CI110" s="204"/>
    </row>
    <row r="111" spans="45:87">
      <c r="AS111" s="183">
        <f t="shared" si="90"/>
        <v>44.4024511049144</v>
      </c>
      <c r="AT111" s="183">
        <f t="shared" si="91"/>
        <v>29.289724284343</v>
      </c>
      <c r="AU111" s="183">
        <f t="shared" si="92"/>
        <v>60.4170052169144</v>
      </c>
      <c r="AW111" s="186" t="s">
        <v>89</v>
      </c>
      <c r="AX111" s="186">
        <f t="shared" si="93"/>
        <v>2100</v>
      </c>
      <c r="AY111" s="197">
        <f t="shared" si="94"/>
        <v>44.4024511049144</v>
      </c>
      <c r="AZ111" s="197">
        <f t="shared" si="95"/>
        <v>29.289724284343</v>
      </c>
      <c r="BA111" s="197">
        <f t="shared" si="96"/>
        <v>60.4170052169144</v>
      </c>
      <c r="BD111" s="56" t="s">
        <v>90</v>
      </c>
      <c r="BE111" s="56">
        <v>2100</v>
      </c>
      <c r="BF111" s="209">
        <f t="shared" si="84"/>
        <v>31.0817157734401</v>
      </c>
      <c r="BG111" s="209">
        <f t="shared" si="85"/>
        <v>20.5028069990401</v>
      </c>
      <c r="BH111" s="209">
        <f t="shared" si="86"/>
        <v>42.2919036518401</v>
      </c>
      <c r="BI111" s="204"/>
      <c r="BJ111" s="204"/>
      <c r="BK111" s="204"/>
      <c r="BL111" s="204"/>
      <c r="BM111" s="204"/>
      <c r="BN111" s="204"/>
      <c r="BO111" s="56" t="s">
        <v>91</v>
      </c>
      <c r="BP111" s="56">
        <v>2100</v>
      </c>
      <c r="BQ111" s="209">
        <f t="shared" si="87"/>
        <v>13.3207353314743</v>
      </c>
      <c r="BR111" s="209">
        <f t="shared" si="88"/>
        <v>8.78691728530289</v>
      </c>
      <c r="BS111" s="209">
        <f t="shared" si="89"/>
        <v>18.1251015650743</v>
      </c>
      <c r="BT111" s="204"/>
      <c r="BU111" s="204"/>
      <c r="BV111" s="204"/>
      <c r="BW111" s="204"/>
      <c r="BX111" s="204"/>
      <c r="BY111" s="204"/>
      <c r="BZ111" s="204"/>
      <c r="CA111" s="204"/>
      <c r="CB111" s="204"/>
      <c r="CC111" s="204"/>
      <c r="CD111" s="204"/>
      <c r="CE111" s="204"/>
      <c r="CF111" s="204"/>
      <c r="CG111" s="204"/>
      <c r="CH111" s="204"/>
      <c r="CI111" s="204"/>
    </row>
    <row r="112" spans="45:87">
      <c r="AS112" s="183">
        <f t="shared" si="90"/>
        <v>45.7461631268573</v>
      </c>
      <c r="AT112" s="183">
        <f t="shared" si="91"/>
        <v>30.6444089285486</v>
      </c>
      <c r="AU112" s="183">
        <f t="shared" si="92"/>
        <v>61.746296516023</v>
      </c>
      <c r="AW112" s="186" t="s">
        <v>93</v>
      </c>
      <c r="AX112" s="186">
        <f t="shared" si="93"/>
        <v>2100</v>
      </c>
      <c r="AY112" s="197">
        <f t="shared" si="94"/>
        <v>45.7461631268573</v>
      </c>
      <c r="AZ112" s="197">
        <f t="shared" si="95"/>
        <v>30.6444089285486</v>
      </c>
      <c r="BA112" s="197">
        <f t="shared" si="96"/>
        <v>61.746296516023</v>
      </c>
      <c r="BD112" s="56" t="s">
        <v>94</v>
      </c>
      <c r="BE112" s="56">
        <v>2100</v>
      </c>
      <c r="BF112" s="209">
        <f t="shared" si="84"/>
        <v>32.0223141888001</v>
      </c>
      <c r="BG112" s="209">
        <f t="shared" si="85"/>
        <v>21.451086249984</v>
      </c>
      <c r="BH112" s="209">
        <f t="shared" si="86"/>
        <v>43.2224075612161</v>
      </c>
      <c r="BI112" s="204"/>
      <c r="BJ112" s="204"/>
      <c r="BK112" s="204"/>
      <c r="BL112" s="204"/>
      <c r="BM112" s="204"/>
      <c r="BN112" s="204"/>
      <c r="BO112" s="56" t="s">
        <v>95</v>
      </c>
      <c r="BP112" s="56">
        <v>2100</v>
      </c>
      <c r="BQ112" s="209">
        <f t="shared" si="87"/>
        <v>13.7238489380572</v>
      </c>
      <c r="BR112" s="209">
        <f t="shared" si="88"/>
        <v>9.19332267856459</v>
      </c>
      <c r="BS112" s="209">
        <f t="shared" si="89"/>
        <v>18.5238889548069</v>
      </c>
      <c r="BT112" s="204"/>
      <c r="BU112" s="204"/>
      <c r="BV112" s="204"/>
      <c r="BW112" s="204"/>
      <c r="BX112" s="204"/>
      <c r="BY112" s="204"/>
      <c r="BZ112" s="204"/>
      <c r="CA112" s="204"/>
      <c r="CB112" s="204"/>
      <c r="CC112" s="204"/>
      <c r="CD112" s="204"/>
      <c r="CE112" s="204"/>
      <c r="CF112" s="204"/>
      <c r="CG112" s="204"/>
      <c r="CH112" s="204"/>
      <c r="CI112" s="204"/>
    </row>
    <row r="113" spans="45:87">
      <c r="AS113" s="183">
        <f t="shared" si="90"/>
        <v>82.8020911542856</v>
      </c>
      <c r="AT113" s="183">
        <f t="shared" si="91"/>
        <v>82.8020911542856</v>
      </c>
      <c r="AU113" s="183">
        <f t="shared" si="92"/>
        <v>82.8020911542856</v>
      </c>
      <c r="AW113" s="197"/>
      <c r="AX113" s="186"/>
      <c r="AY113" s="186"/>
      <c r="AZ113" s="186"/>
      <c r="BA113" s="186"/>
      <c r="BD113" s="56" t="s">
        <v>97</v>
      </c>
      <c r="BE113" s="56">
        <v>2100</v>
      </c>
      <c r="BF113" s="209">
        <f t="shared" si="84"/>
        <v>57.9614638079999</v>
      </c>
      <c r="BG113" s="209">
        <f t="shared" si="85"/>
        <v>57.9614638079999</v>
      </c>
      <c r="BH113" s="209">
        <f t="shared" si="86"/>
        <v>57.9614638079999</v>
      </c>
      <c r="BO113" s="56" t="s">
        <v>98</v>
      </c>
      <c r="BP113" s="56">
        <v>2100</v>
      </c>
      <c r="BQ113" s="209">
        <f t="shared" si="87"/>
        <v>24.8406273462857</v>
      </c>
      <c r="BR113" s="209">
        <f t="shared" si="88"/>
        <v>24.8406273462857</v>
      </c>
      <c r="BS113" s="209">
        <f t="shared" si="89"/>
        <v>24.8406273462857</v>
      </c>
    </row>
    <row r="114" spans="45:87">
      <c r="BE114" s="210"/>
    </row>
    <row r="115" spans="45:87">
      <c r="BE115" s="195"/>
      <c r="BF115" s="195"/>
      <c r="BG115" s="195"/>
      <c r="BH115" s="195"/>
      <c r="BI115" s="195"/>
      <c r="BJ115" s="195"/>
      <c r="BK115" s="195"/>
      <c r="BL115" s="195"/>
      <c r="BM115" s="195"/>
      <c r="BN115" s="195"/>
      <c r="BO115" s="195"/>
      <c r="BP115" s="195"/>
      <c r="BQ115" s="195"/>
      <c r="BR115" s="195"/>
      <c r="BS115" s="195"/>
      <c r="BT115" s="195"/>
      <c r="BU115" s="195"/>
      <c r="BV115" s="195"/>
      <c r="BW115" s="195"/>
      <c r="BX115" s="195"/>
      <c r="BY115" s="195"/>
      <c r="BZ115" s="195"/>
      <c r="CA115" s="195"/>
      <c r="CB115" s="195"/>
      <c r="CC115" s="195"/>
      <c r="CD115" s="195"/>
      <c r="CE115" s="195"/>
      <c r="CF115" s="195"/>
      <c r="CG115" s="195"/>
      <c r="CH115" s="195"/>
      <c r="CI115" s="195"/>
    </row>
    <row r="116" spans="45:87">
      <c r="BE116" s="57"/>
      <c r="BF116" s="211"/>
      <c r="BG116" s="204"/>
      <c r="BH116" s="204"/>
      <c r="BI116" s="204"/>
      <c r="BJ116" s="204"/>
      <c r="BK116" s="204"/>
      <c r="BL116" s="204"/>
      <c r="BM116" s="204"/>
      <c r="BN116" s="204"/>
      <c r="BO116" s="204"/>
      <c r="BP116" s="204"/>
      <c r="BQ116" s="204"/>
      <c r="BR116" s="204"/>
      <c r="BS116" s="204"/>
      <c r="BT116" s="204"/>
      <c r="BU116" s="204"/>
      <c r="BV116" s="204"/>
      <c r="BW116" s="204"/>
      <c r="BX116" s="204"/>
      <c r="BY116" s="204"/>
      <c r="BZ116" s="204"/>
      <c r="CA116" s="204"/>
      <c r="CB116" s="204"/>
      <c r="CC116" s="204"/>
      <c r="CD116" s="204"/>
      <c r="CE116" s="204"/>
      <c r="CF116" s="204"/>
      <c r="CG116" s="204"/>
      <c r="CH116" s="204"/>
      <c r="CI116" s="204"/>
    </row>
    <row r="117" spans="45:87">
      <c r="AW117" s="206"/>
      <c r="AX117" s="206"/>
      <c r="AY117" s="206"/>
      <c r="AZ117" s="206"/>
      <c r="BA117" s="206"/>
      <c r="BB117" s="206"/>
      <c r="BE117" s="57"/>
      <c r="BF117" s="211"/>
      <c r="BG117" s="204"/>
      <c r="BH117" s="204"/>
      <c r="BI117" s="204"/>
      <c r="BJ117" s="204"/>
      <c r="BK117" s="204"/>
      <c r="BL117" s="204"/>
      <c r="BM117" s="204"/>
      <c r="BN117" s="204"/>
      <c r="BO117" s="204"/>
      <c r="BP117" s="204"/>
      <c r="BQ117" s="204"/>
      <c r="BR117" s="204"/>
      <c r="BS117" s="204"/>
      <c r="BT117" s="204"/>
      <c r="BU117" s="204"/>
      <c r="BV117" s="204"/>
      <c r="BW117" s="204"/>
      <c r="BX117" s="204"/>
      <c r="BY117" s="204"/>
      <c r="BZ117" s="204"/>
      <c r="CA117" s="204"/>
      <c r="CB117" s="204"/>
      <c r="CC117" s="204"/>
      <c r="CD117" s="204"/>
      <c r="CE117" s="204"/>
      <c r="CF117" s="204"/>
      <c r="CG117" s="204"/>
      <c r="CH117" s="204"/>
      <c r="CI117" s="204"/>
    </row>
    <row r="118" spans="45:87">
      <c r="AW118" s="131"/>
      <c r="AX118" s="131"/>
      <c r="AY118" s="207"/>
      <c r="AZ118" s="206"/>
      <c r="BA118" s="206"/>
      <c r="BB118" s="206"/>
      <c r="BE118" s="57"/>
      <c r="BF118" s="211"/>
      <c r="BG118" s="204"/>
      <c r="BH118" s="204"/>
      <c r="BI118" s="204"/>
      <c r="BJ118" s="204"/>
      <c r="BK118" s="204"/>
      <c r="BL118" s="204"/>
      <c r="BM118" s="204"/>
      <c r="BN118" s="204"/>
      <c r="BO118" s="204"/>
      <c r="BP118" s="204"/>
      <c r="BQ118" s="204"/>
      <c r="BR118" s="204"/>
      <c r="BS118" s="204"/>
      <c r="BT118" s="204"/>
      <c r="BU118" s="204"/>
      <c r="BV118" s="204"/>
      <c r="BW118" s="204"/>
      <c r="BX118" s="204"/>
      <c r="BY118" s="204"/>
      <c r="BZ118" s="204"/>
      <c r="CA118" s="204"/>
      <c r="CB118" s="204"/>
      <c r="CC118" s="204"/>
      <c r="CD118" s="204"/>
      <c r="CE118" s="204"/>
      <c r="CF118" s="204"/>
      <c r="CG118" s="204"/>
      <c r="CH118" s="204"/>
      <c r="CI118" s="204"/>
    </row>
    <row r="119" spans="45:87">
      <c r="AS119" s="183" t="s">
        <v>65</v>
      </c>
      <c r="AT119" s="183" t="s">
        <v>11</v>
      </c>
      <c r="AU119" s="183" t="s">
        <v>25</v>
      </c>
      <c r="AW119" s="207"/>
      <c r="AX119" s="207"/>
      <c r="AY119" s="133"/>
      <c r="AZ119" s="133"/>
      <c r="BA119" s="133"/>
      <c r="BB119" s="206"/>
      <c r="BE119" s="57"/>
      <c r="BF119" s="211"/>
      <c r="BG119" s="204"/>
      <c r="BH119" s="204"/>
      <c r="BI119" s="204"/>
      <c r="BJ119" s="204"/>
      <c r="BK119" s="204"/>
      <c r="BL119" s="204"/>
      <c r="BM119" s="204"/>
      <c r="BN119" s="204"/>
      <c r="BO119" s="204"/>
      <c r="BP119" s="204"/>
      <c r="BQ119" s="204"/>
      <c r="BR119" s="204"/>
      <c r="BS119" s="204"/>
      <c r="BT119" s="204"/>
      <c r="BU119" s="204"/>
      <c r="BV119" s="204"/>
      <c r="BW119" s="204"/>
      <c r="BX119" s="204"/>
      <c r="BY119" s="204"/>
      <c r="BZ119" s="204"/>
      <c r="CA119" s="204"/>
      <c r="CB119" s="204"/>
      <c r="CC119" s="204"/>
      <c r="CD119" s="204"/>
      <c r="CE119" s="204"/>
      <c r="CF119" s="204"/>
      <c r="CG119" s="204"/>
      <c r="CH119" s="204"/>
      <c r="CI119" s="204"/>
    </row>
    <row r="120" spans="45:87">
      <c r="AS120" s="183">
        <v>3</v>
      </c>
      <c r="AT120" s="183">
        <v>3</v>
      </c>
      <c r="AU120" s="183">
        <v>3</v>
      </c>
      <c r="AW120" s="207"/>
      <c r="AX120" s="207"/>
      <c r="AY120" s="207"/>
      <c r="AZ120" s="207"/>
      <c r="BA120" s="207"/>
      <c r="BB120" s="206"/>
      <c r="BE120" s="57"/>
      <c r="BF120" s="211"/>
      <c r="BG120" s="204"/>
      <c r="BH120" s="204"/>
      <c r="BI120" s="204"/>
      <c r="BJ120" s="204"/>
      <c r="BK120" s="204"/>
      <c r="BL120" s="204"/>
      <c r="BM120" s="204"/>
      <c r="BN120" s="204"/>
      <c r="BO120" s="204"/>
      <c r="BP120" s="204"/>
      <c r="BQ120" s="204"/>
      <c r="BR120" s="204"/>
      <c r="BS120" s="204"/>
      <c r="BT120" s="204"/>
      <c r="BU120" s="204"/>
      <c r="BV120" s="204"/>
      <c r="BW120" s="204"/>
      <c r="BX120" s="204"/>
      <c r="BY120" s="204"/>
      <c r="BZ120" s="204"/>
      <c r="CA120" s="204"/>
      <c r="CB120" s="204"/>
      <c r="CC120" s="204"/>
      <c r="CD120" s="204"/>
      <c r="CE120" s="204"/>
      <c r="CF120" s="204"/>
      <c r="CG120" s="204"/>
      <c r="CH120" s="204"/>
      <c r="CI120" s="204"/>
    </row>
    <row r="121" spans="45:87">
      <c r="AS121" s="183">
        <v>3</v>
      </c>
      <c r="AT121" s="183">
        <v>3</v>
      </c>
      <c r="AU121" s="183">
        <v>3</v>
      </c>
      <c r="AW121" s="207"/>
      <c r="AX121" s="207"/>
      <c r="AY121" s="207"/>
      <c r="AZ121" s="207"/>
      <c r="BA121" s="207"/>
      <c r="BB121" s="206"/>
      <c r="BE121" s="57"/>
      <c r="BF121" s="211"/>
      <c r="BG121" s="204"/>
      <c r="BH121" s="204"/>
      <c r="BI121" s="204"/>
      <c r="BJ121" s="204"/>
      <c r="BK121" s="204"/>
      <c r="BL121" s="204"/>
      <c r="BM121" s="204"/>
      <c r="BN121" s="204"/>
      <c r="BO121" s="204"/>
      <c r="BP121" s="204"/>
      <c r="BQ121" s="204"/>
      <c r="BR121" s="204"/>
      <c r="BS121" s="204"/>
      <c r="BT121" s="204"/>
      <c r="BU121" s="204"/>
      <c r="BV121" s="204"/>
      <c r="BW121" s="204"/>
      <c r="BX121" s="204"/>
      <c r="BY121" s="204"/>
      <c r="BZ121" s="204"/>
      <c r="CA121" s="204"/>
      <c r="CB121" s="204"/>
      <c r="CC121" s="204"/>
      <c r="CD121" s="204"/>
      <c r="CE121" s="204"/>
      <c r="CF121" s="204"/>
      <c r="CG121" s="204"/>
      <c r="CH121" s="204"/>
      <c r="CI121" s="204"/>
    </row>
    <row r="122" spans="45:87">
      <c r="AS122" s="183">
        <v>3</v>
      </c>
      <c r="AT122" s="183">
        <v>3</v>
      </c>
      <c r="AU122" s="183">
        <v>3</v>
      </c>
      <c r="AW122" s="207"/>
      <c r="AX122" s="207"/>
      <c r="AY122" s="207"/>
      <c r="AZ122" s="207"/>
      <c r="BA122" s="207"/>
      <c r="BB122" s="206"/>
      <c r="BE122" s="57"/>
      <c r="BF122" s="211"/>
      <c r="BG122" s="204"/>
      <c r="BH122" s="204"/>
      <c r="BI122" s="204"/>
      <c r="BJ122" s="204"/>
      <c r="BK122" s="204"/>
      <c r="BL122" s="204"/>
      <c r="BM122" s="204"/>
      <c r="BN122" s="204"/>
      <c r="BO122" s="204"/>
      <c r="BP122" s="204"/>
      <c r="BQ122" s="204"/>
      <c r="BR122" s="204"/>
      <c r="BS122" s="204"/>
      <c r="BT122" s="204"/>
      <c r="BU122" s="204"/>
      <c r="BV122" s="204"/>
      <c r="BW122" s="204"/>
      <c r="BX122" s="204"/>
      <c r="BY122" s="204"/>
      <c r="BZ122" s="204"/>
      <c r="CA122" s="204"/>
      <c r="CB122" s="204"/>
      <c r="CC122" s="204"/>
      <c r="CD122" s="204"/>
      <c r="CE122" s="204"/>
      <c r="CF122" s="204"/>
      <c r="CG122" s="204"/>
      <c r="CH122" s="204"/>
      <c r="CI122" s="204"/>
    </row>
    <row r="123" spans="45:87">
      <c r="AS123" s="183">
        <v>3</v>
      </c>
      <c r="AT123" s="183">
        <v>3</v>
      </c>
      <c r="AU123" s="183">
        <v>3</v>
      </c>
      <c r="AW123" s="207"/>
      <c r="AX123" s="207"/>
      <c r="AY123" s="207"/>
      <c r="AZ123" s="207"/>
      <c r="BA123" s="207"/>
      <c r="BB123" s="206"/>
    </row>
    <row r="124" spans="45:87">
      <c r="AS124" s="183">
        <v>3</v>
      </c>
      <c r="AT124" s="183">
        <v>3</v>
      </c>
      <c r="AU124" s="183">
        <v>3</v>
      </c>
      <c r="AW124" s="212"/>
      <c r="AX124" s="212"/>
      <c r="AY124" s="212"/>
      <c r="AZ124" s="212"/>
      <c r="BA124" s="212"/>
      <c r="BB124" s="213"/>
      <c r="BC124" s="214"/>
      <c r="BD124" s="214"/>
      <c r="BE124" s="210"/>
    </row>
    <row r="125" spans="45:87">
      <c r="AS125" s="183">
        <v>3</v>
      </c>
      <c r="AT125" s="183">
        <v>3</v>
      </c>
      <c r="AU125" s="183">
        <v>3</v>
      </c>
      <c r="AW125" s="212"/>
      <c r="AX125" s="212"/>
      <c r="AY125" s="212"/>
      <c r="AZ125" s="212"/>
      <c r="BA125" s="212"/>
      <c r="BB125" s="213"/>
      <c r="BC125" s="214"/>
      <c r="BD125" s="214"/>
      <c r="BE125" s="195"/>
      <c r="BF125" s="195"/>
      <c r="BG125" s="195"/>
      <c r="BH125" s="195"/>
      <c r="BI125" s="195"/>
      <c r="BJ125" s="195"/>
      <c r="BK125" s="195"/>
      <c r="BL125" s="195"/>
      <c r="BM125" s="195"/>
      <c r="BN125" s="195"/>
      <c r="BO125" s="195"/>
      <c r="BP125" s="195"/>
      <c r="BQ125" s="195"/>
      <c r="BR125" s="195"/>
      <c r="BS125" s="195"/>
      <c r="BT125" s="195"/>
      <c r="BU125" s="195"/>
      <c r="BV125" s="195"/>
      <c r="BW125" s="195"/>
      <c r="BX125" s="195"/>
      <c r="BY125" s="195"/>
      <c r="BZ125" s="195"/>
      <c r="CA125" s="195"/>
      <c r="CB125" s="195"/>
      <c r="CC125" s="195"/>
      <c r="CD125" s="195"/>
      <c r="CE125" s="195"/>
      <c r="CF125" s="195"/>
      <c r="CG125" s="195"/>
      <c r="CH125" s="195"/>
      <c r="CI125" s="195"/>
    </row>
    <row r="126" spans="45:87">
      <c r="AS126" s="183">
        <v>3</v>
      </c>
      <c r="AT126" s="183">
        <v>3</v>
      </c>
      <c r="AU126" s="183">
        <v>3</v>
      </c>
      <c r="AW126" s="207"/>
      <c r="AX126" s="207"/>
      <c r="AY126" s="207"/>
      <c r="AZ126" s="207"/>
      <c r="BA126" s="207"/>
      <c r="BB126" s="206"/>
      <c r="BE126" s="57"/>
      <c r="BF126" s="211"/>
      <c r="BG126" s="204"/>
      <c r="BH126" s="204"/>
      <c r="BI126" s="204"/>
      <c r="BJ126" s="204"/>
      <c r="BK126" s="204"/>
      <c r="BL126" s="204"/>
      <c r="BM126" s="204"/>
      <c r="BN126" s="204"/>
      <c r="BO126" s="204"/>
      <c r="BP126" s="204"/>
      <c r="BQ126" s="204"/>
      <c r="BR126" s="204"/>
      <c r="BS126" s="204"/>
      <c r="BT126" s="204"/>
      <c r="BU126" s="204"/>
      <c r="BV126" s="204"/>
      <c r="BW126" s="204"/>
      <c r="BX126" s="204"/>
      <c r="BY126" s="204"/>
      <c r="BZ126" s="204"/>
      <c r="CA126" s="204"/>
      <c r="CB126" s="204"/>
      <c r="CC126" s="204"/>
      <c r="CD126" s="204"/>
      <c r="CE126" s="204"/>
      <c r="CF126" s="204"/>
      <c r="CG126" s="204"/>
      <c r="CH126" s="204"/>
      <c r="CI126" s="204"/>
    </row>
    <row r="127" spans="45:87">
      <c r="AS127" s="183">
        <v>3</v>
      </c>
      <c r="AT127" s="183">
        <v>3</v>
      </c>
      <c r="AU127" s="183">
        <v>3</v>
      </c>
      <c r="AW127" s="7"/>
      <c r="AX127" s="201"/>
      <c r="AY127" s="201"/>
      <c r="AZ127" s="201"/>
      <c r="BA127" s="201"/>
      <c r="BE127" s="57"/>
      <c r="BF127" s="211"/>
      <c r="BG127" s="204"/>
      <c r="BH127" s="204"/>
      <c r="BI127" s="204"/>
      <c r="BJ127" s="204"/>
      <c r="BK127" s="204"/>
      <c r="BL127" s="204"/>
      <c r="BM127" s="204"/>
      <c r="BN127" s="204"/>
      <c r="BO127" s="204"/>
      <c r="BP127" s="204"/>
      <c r="BQ127" s="204"/>
      <c r="BR127" s="204"/>
      <c r="BS127" s="204"/>
      <c r="BT127" s="204"/>
      <c r="BU127" s="204"/>
      <c r="BV127" s="204"/>
      <c r="BW127" s="204"/>
      <c r="BX127" s="204"/>
      <c r="BY127" s="204"/>
      <c r="BZ127" s="204"/>
      <c r="CA127" s="204"/>
      <c r="CB127" s="204"/>
      <c r="CC127" s="204"/>
      <c r="CD127" s="204"/>
      <c r="CE127" s="204"/>
      <c r="CF127" s="204"/>
      <c r="CG127" s="204"/>
      <c r="CH127" s="204"/>
      <c r="CI127" s="204"/>
    </row>
    <row r="128" spans="45:87">
      <c r="BE128" s="57"/>
      <c r="BF128" s="211"/>
      <c r="BG128" s="204"/>
      <c r="BH128" s="204"/>
      <c r="BI128" s="204"/>
      <c r="BJ128" s="204"/>
      <c r="BK128" s="204"/>
      <c r="BL128" s="204"/>
      <c r="BM128" s="204"/>
      <c r="BN128" s="204"/>
      <c r="BO128" s="204"/>
      <c r="BP128" s="204"/>
      <c r="BQ128" s="204"/>
      <c r="BR128" s="204"/>
      <c r="BS128" s="204"/>
      <c r="BT128" s="204"/>
      <c r="BU128" s="204"/>
      <c r="BV128" s="204"/>
      <c r="BW128" s="204"/>
      <c r="BX128" s="204"/>
      <c r="BY128" s="204"/>
      <c r="BZ128" s="204"/>
      <c r="CA128" s="204"/>
      <c r="CB128" s="204"/>
      <c r="CC128" s="204"/>
      <c r="CD128" s="204"/>
      <c r="CE128" s="204"/>
      <c r="CF128" s="204"/>
      <c r="CG128" s="204"/>
      <c r="CH128" s="204"/>
      <c r="CI128" s="204"/>
    </row>
    <row r="129" spans="57:87">
      <c r="BE129" s="57"/>
      <c r="BF129" s="211"/>
      <c r="BG129" s="204"/>
      <c r="BH129" s="204"/>
      <c r="BI129" s="204"/>
      <c r="BJ129" s="204"/>
      <c r="BK129" s="204"/>
      <c r="BL129" s="204"/>
      <c r="BM129" s="204"/>
      <c r="BN129" s="204"/>
      <c r="BO129" s="204"/>
      <c r="BP129" s="204"/>
      <c r="BQ129" s="204"/>
      <c r="BR129" s="204"/>
      <c r="BS129" s="204"/>
      <c r="BT129" s="204"/>
      <c r="BU129" s="204"/>
      <c r="BV129" s="204"/>
      <c r="BW129" s="204"/>
      <c r="BX129" s="204"/>
      <c r="BY129" s="204"/>
      <c r="BZ129" s="204"/>
      <c r="CA129" s="204"/>
      <c r="CB129" s="204"/>
      <c r="CC129" s="204"/>
      <c r="CD129" s="204"/>
      <c r="CE129" s="204"/>
      <c r="CF129" s="204"/>
      <c r="CG129" s="204"/>
      <c r="CH129" s="204"/>
      <c r="CI129" s="204"/>
    </row>
    <row r="130" spans="57:87">
      <c r="BE130" s="57"/>
      <c r="BF130" s="211"/>
      <c r="BG130" s="204"/>
      <c r="BH130" s="204"/>
      <c r="BI130" s="204"/>
      <c r="BJ130" s="204"/>
      <c r="BK130" s="204"/>
      <c r="BL130" s="204"/>
      <c r="BM130" s="204"/>
      <c r="BN130" s="204"/>
      <c r="BO130" s="204"/>
      <c r="BP130" s="204"/>
      <c r="BQ130" s="204"/>
      <c r="BR130" s="204"/>
      <c r="BS130" s="204"/>
      <c r="BT130" s="204"/>
      <c r="BU130" s="204"/>
      <c r="BV130" s="204"/>
      <c r="BW130" s="204"/>
      <c r="BX130" s="204"/>
      <c r="BY130" s="204"/>
      <c r="BZ130" s="204"/>
      <c r="CA130" s="204"/>
      <c r="CB130" s="204"/>
      <c r="CC130" s="204"/>
      <c r="CD130" s="204"/>
      <c r="CE130" s="204"/>
      <c r="CF130" s="204"/>
      <c r="CG130" s="204"/>
      <c r="CH130" s="204"/>
      <c r="CI130" s="204"/>
    </row>
    <row r="131" spans="57:87">
      <c r="BE131" s="57"/>
      <c r="BF131" s="211"/>
      <c r="BG131" s="204"/>
      <c r="BH131" s="204"/>
      <c r="BI131" s="204"/>
      <c r="BJ131" s="204"/>
      <c r="BK131" s="204"/>
      <c r="BL131" s="204"/>
      <c r="BM131" s="204"/>
      <c r="BN131" s="204"/>
      <c r="BO131" s="204"/>
      <c r="BP131" s="204"/>
      <c r="BQ131" s="204"/>
      <c r="BR131" s="204"/>
      <c r="BS131" s="204"/>
      <c r="BT131" s="204"/>
      <c r="BU131" s="204"/>
      <c r="BV131" s="204"/>
      <c r="BW131" s="204"/>
      <c r="BX131" s="204"/>
      <c r="BY131" s="204"/>
      <c r="BZ131" s="204"/>
      <c r="CA131" s="204"/>
      <c r="CB131" s="204"/>
      <c r="CC131" s="204"/>
      <c r="CD131" s="204"/>
      <c r="CE131" s="204"/>
      <c r="CF131" s="204"/>
      <c r="CG131" s="204"/>
      <c r="CH131" s="204"/>
      <c r="CI131" s="204"/>
    </row>
    <row r="132" spans="57:87">
      <c r="BE132" s="57"/>
      <c r="BF132" s="211"/>
      <c r="BG132" s="204"/>
      <c r="BH132" s="204"/>
      <c r="BI132" s="204"/>
      <c r="BJ132" s="204"/>
      <c r="BK132" s="204"/>
      <c r="BL132" s="204"/>
      <c r="BM132" s="204"/>
      <c r="BN132" s="204"/>
      <c r="BO132" s="204"/>
      <c r="BP132" s="204"/>
      <c r="BQ132" s="204"/>
      <c r="BR132" s="204"/>
      <c r="BS132" s="204"/>
      <c r="BT132" s="204"/>
      <c r="BU132" s="204"/>
      <c r="BV132" s="204"/>
      <c r="BW132" s="204"/>
      <c r="BX132" s="204"/>
      <c r="BY132" s="204"/>
      <c r="BZ132" s="204"/>
      <c r="CA132" s="204"/>
      <c r="CB132" s="204"/>
      <c r="CC132" s="204"/>
      <c r="CD132" s="204"/>
      <c r="CE132" s="204"/>
      <c r="CF132" s="204"/>
      <c r="CG132" s="204"/>
      <c r="CH132" s="204"/>
      <c r="CI132" s="204"/>
    </row>
    <row r="135" spans="57:87">
      <c r="BE135" s="215"/>
    </row>
    <row r="136" spans="57:87">
      <c r="BE136" s="216"/>
      <c r="BF136" s="216"/>
      <c r="BG136" s="216"/>
      <c r="BH136" s="216"/>
      <c r="BI136" s="216"/>
      <c r="BJ136" s="216"/>
      <c r="BK136" s="216"/>
    </row>
    <row r="137" spans="57:87">
      <c r="BE137" s="216"/>
      <c r="BF137" s="216"/>
      <c r="BG137" s="216"/>
      <c r="BH137" s="216"/>
      <c r="BI137" s="216"/>
      <c r="BJ137" s="216"/>
      <c r="BK137" s="216"/>
    </row>
    <row r="138" spans="57:87">
      <c r="BE138" s="216"/>
      <c r="BF138" s="216"/>
      <c r="BG138" s="216"/>
      <c r="BH138" s="216"/>
      <c r="BI138" s="216"/>
      <c r="BJ138" s="216"/>
      <c r="BK138" s="216"/>
    </row>
    <row r="140" spans="57:87">
      <c r="BE140" s="181"/>
      <c r="BF140" s="181"/>
      <c r="BG140" s="181"/>
      <c r="BH140" s="181"/>
      <c r="BI140" s="181"/>
      <c r="BJ140" s="181"/>
      <c r="BK140" s="181"/>
    </row>
    <row r="141" spans="57:87">
      <c r="BE141" s="181"/>
      <c r="BF141" s="181"/>
      <c r="BG141" s="181"/>
      <c r="BH141" s="181"/>
      <c r="BI141" s="181"/>
      <c r="BJ141" s="181"/>
      <c r="BK141" s="181"/>
    </row>
    <row r="143" spans="57:87">
      <c r="BE143" s="181"/>
      <c r="BF143" s="181"/>
      <c r="BG143" s="181"/>
      <c r="BH143" s="181"/>
      <c r="BI143" s="181"/>
      <c r="BJ143" s="181"/>
      <c r="BK143" s="181"/>
    </row>
    <row r="144" spans="57:87">
      <c r="BE144" s="181"/>
      <c r="BF144" s="181"/>
      <c r="BG144" s="181"/>
      <c r="BH144" s="181"/>
      <c r="BI144" s="181"/>
      <c r="BJ144" s="181"/>
      <c r="BK144" s="181"/>
    </row>
    <row r="146" spans="54:63">
      <c r="BE146" s="181"/>
      <c r="BF146" s="181"/>
      <c r="BG146" s="181"/>
      <c r="BH146" s="181"/>
      <c r="BI146" s="181"/>
      <c r="BJ146" s="181"/>
      <c r="BK146" s="181"/>
    </row>
    <row r="147" spans="54:63">
      <c r="BE147" s="181"/>
      <c r="BF147" s="181"/>
      <c r="BG147" s="181"/>
      <c r="BH147" s="181"/>
      <c r="BI147" s="181"/>
      <c r="BJ147" s="181"/>
      <c r="BK147" s="181"/>
    </row>
    <row r="149" spans="54:63">
      <c r="BE149" s="181"/>
      <c r="BF149" s="181"/>
      <c r="BG149" s="181"/>
      <c r="BH149" s="181"/>
      <c r="BI149" s="181"/>
      <c r="BJ149" s="181"/>
      <c r="BK149" s="181"/>
    </row>
    <row r="150" spans="54:63">
      <c r="BE150" s="181"/>
      <c r="BF150" s="181"/>
      <c r="BG150" s="181"/>
      <c r="BH150" s="181"/>
      <c r="BI150" s="181"/>
      <c r="BJ150" s="181"/>
      <c r="BK150" s="181"/>
    </row>
    <row r="152" spans="54:63">
      <c r="BE152" s="181"/>
      <c r="BF152" s="181"/>
      <c r="BG152" s="181"/>
      <c r="BH152" s="181"/>
      <c r="BI152" s="181"/>
      <c r="BJ152" s="181"/>
      <c r="BK152" s="181"/>
    </row>
    <row r="153" spans="54:63">
      <c r="BE153" s="181"/>
      <c r="BF153" s="181"/>
      <c r="BG153" s="181"/>
      <c r="BH153" s="181"/>
      <c r="BI153" s="181"/>
      <c r="BJ153" s="181"/>
      <c r="BK153" s="181"/>
    </row>
    <row r="155" spans="54:63">
      <c r="BE155" s="217"/>
    </row>
    <row r="156" spans="54:63">
      <c r="BB156" s="182"/>
      <c r="BE156" s="195"/>
      <c r="BF156" s="195"/>
      <c r="BG156" s="195"/>
    </row>
    <row r="157" spans="54:63">
      <c r="BE157" s="57"/>
      <c r="BF157" s="218"/>
      <c r="BG157" s="203"/>
    </row>
    <row r="158" spans="54:63">
      <c r="BE158" s="57"/>
      <c r="BF158" s="218"/>
      <c r="BG158" s="203"/>
    </row>
    <row r="159" spans="54:63">
      <c r="BE159" s="57"/>
      <c r="BF159" s="218"/>
      <c r="BG159" s="203"/>
    </row>
    <row r="161" spans="57:63">
      <c r="BE161" s="181"/>
      <c r="BF161" s="181"/>
      <c r="BG161" s="181"/>
      <c r="BH161" s="181"/>
      <c r="BI161" s="181"/>
      <c r="BJ161" s="181"/>
      <c r="BK161" s="181"/>
    </row>
    <row r="162" spans="57:63">
      <c r="BE162" s="181"/>
      <c r="BF162" s="181"/>
      <c r="BG162" s="181"/>
      <c r="BH162" s="181"/>
      <c r="BI162" s="181"/>
      <c r="BJ162" s="181"/>
      <c r="BK162" s="181"/>
    </row>
    <row r="264" spans="49:56">
      <c r="AW264" s="214"/>
      <c r="AX264" s="214"/>
      <c r="AY264" s="214"/>
      <c r="AZ264" s="214"/>
      <c r="BA264" s="214"/>
      <c r="BB264" s="214"/>
      <c r="BC264" s="214"/>
      <c r="BD264" s="214"/>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50" customWidth="1"/>
    <col min="2" max="2" width="22" style="150" customWidth="1"/>
    <col min="3" max="37" width="12" style="150" customWidth="1"/>
    <col min="38" max="39" width="8.71818181818182" style="150"/>
    <col min="42" max="42" width="32.3636363636364" customWidth="1"/>
    <col min="44" max="78" width="12.8545454545455"/>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68" t="s">
        <v>19</v>
      </c>
      <c r="B50" s="169" t="s">
        <v>132</v>
      </c>
      <c r="C50" s="170">
        <v>1.2</v>
      </c>
      <c r="D50" s="170">
        <v>1.1</v>
      </c>
      <c r="E50" s="170">
        <v>1.05</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8" t="s">
        <v>22</v>
      </c>
      <c r="B53" s="169" t="s">
        <v>130</v>
      </c>
      <c r="C53" s="170">
        <v>1.2</v>
      </c>
      <c r="D53" s="170">
        <v>1.1</v>
      </c>
      <c r="E53" s="170">
        <v>1.05</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68" t="s">
        <v>25</v>
      </c>
      <c r="B56" s="169" t="s">
        <v>136</v>
      </c>
      <c r="C56" s="170">
        <v>1.2</v>
      </c>
      <c r="D56" s="170">
        <v>1.1</v>
      </c>
      <c r="E56" s="170">
        <v>1.05</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137</v>
      </c>
      <c r="E70" s="150" t="s">
        <v>138</v>
      </c>
    </row>
    <row r="72" s="149" customFormat="1" spans="1:39">
      <c r="A72" s="171" t="s">
        <v>52</v>
      </c>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c r="AA72" s="172"/>
      <c r="AB72" s="172"/>
      <c r="AC72" s="172"/>
      <c r="AD72" s="172"/>
      <c r="AE72" s="172"/>
      <c r="AF72" s="172"/>
      <c r="AG72" s="172"/>
      <c r="AH72" s="172"/>
      <c r="AI72" s="172"/>
      <c r="AJ72" s="172"/>
      <c r="AK72" s="172"/>
      <c r="AL72" s="172"/>
      <c r="AM72" s="172"/>
    </row>
    <row r="73" s="149" customFormat="1" spans="1:39">
      <c r="A73" s="173" t="s">
        <v>66</v>
      </c>
      <c r="B73" s="173" t="s">
        <v>41</v>
      </c>
      <c r="C73" s="173" t="s">
        <v>3</v>
      </c>
      <c r="D73" s="173" t="s">
        <v>5</v>
      </c>
      <c r="E73" s="173" t="s">
        <v>6</v>
      </c>
      <c r="F73" s="173" t="s">
        <v>7</v>
      </c>
      <c r="G73" s="173" t="s">
        <v>8</v>
      </c>
      <c r="H73" s="173" t="s">
        <v>9</v>
      </c>
      <c r="I73" s="173" t="s">
        <v>10</v>
      </c>
      <c r="J73" s="173" t="s">
        <v>11</v>
      </c>
      <c r="K73" s="173" t="s">
        <v>12</v>
      </c>
      <c r="L73" s="173" t="s">
        <v>13</v>
      </c>
      <c r="M73" s="173" t="s">
        <v>14</v>
      </c>
      <c r="N73" s="173" t="s">
        <v>15</v>
      </c>
      <c r="O73" s="173" t="s">
        <v>16</v>
      </c>
      <c r="P73" s="173" t="s">
        <v>17</v>
      </c>
      <c r="Q73" s="173" t="s">
        <v>18</v>
      </c>
      <c r="R73" s="173" t="s">
        <v>19</v>
      </c>
      <c r="S73" s="173" t="s">
        <v>20</v>
      </c>
      <c r="T73" s="173" t="s">
        <v>21</v>
      </c>
      <c r="U73" s="173" t="s">
        <v>22</v>
      </c>
      <c r="V73" s="173" t="s">
        <v>23</v>
      </c>
      <c r="W73" s="173" t="s">
        <v>24</v>
      </c>
      <c r="X73" s="173" t="s">
        <v>25</v>
      </c>
      <c r="Y73" s="173" t="s">
        <v>26</v>
      </c>
      <c r="Z73" s="173" t="s">
        <v>27</v>
      </c>
      <c r="AA73" s="173" t="s">
        <v>28</v>
      </c>
      <c r="AB73" s="173" t="s">
        <v>29</v>
      </c>
      <c r="AC73" s="173" t="s">
        <v>30</v>
      </c>
      <c r="AD73" s="173" t="s">
        <v>31</v>
      </c>
      <c r="AE73" s="173" t="s">
        <v>32</v>
      </c>
      <c r="AF73" s="173" t="s">
        <v>33</v>
      </c>
      <c r="AG73" s="173" t="s">
        <v>34</v>
      </c>
      <c r="AH73" s="173" t="s">
        <v>35</v>
      </c>
      <c r="AI73" s="173" t="s">
        <v>36</v>
      </c>
      <c r="AJ73" s="173" t="s">
        <v>37</v>
      </c>
      <c r="AK73" s="173" t="s">
        <v>38</v>
      </c>
      <c r="AL73" s="172"/>
      <c r="AM73" s="172"/>
    </row>
    <row r="74" s="149" customFormat="1" spans="1:39">
      <c r="A74" s="174" t="str">
        <f t="shared" ref="A74:A80" si="4">A6</f>
        <v>Tra_EV_Batt-LFP_fromrecy</v>
      </c>
      <c r="B74" s="175">
        <v>2023</v>
      </c>
      <c r="C74" s="176">
        <f>C106</f>
        <v>80.4557585</v>
      </c>
      <c r="D74" s="176">
        <f t="shared" ref="D74:AK74" si="5">D106</f>
        <v>80.4557585</v>
      </c>
      <c r="E74" s="176">
        <f t="shared" si="5"/>
        <v>97.1017775</v>
      </c>
      <c r="F74" s="176">
        <f t="shared" si="5"/>
        <v>97.1017775</v>
      </c>
      <c r="G74" s="176">
        <f t="shared" si="5"/>
        <v>80.4557585</v>
      </c>
      <c r="H74" s="176">
        <f t="shared" si="5"/>
        <v>97.1017775</v>
      </c>
      <c r="I74" s="176">
        <f t="shared" si="5"/>
        <v>80.4557585</v>
      </c>
      <c r="J74" s="176">
        <f t="shared" si="5"/>
        <v>55.48673</v>
      </c>
      <c r="K74" s="176">
        <f t="shared" si="5"/>
        <v>80.4557585</v>
      </c>
      <c r="L74" s="176">
        <f t="shared" si="5"/>
        <v>80.4557585</v>
      </c>
      <c r="M74" s="176">
        <f t="shared" si="5"/>
        <v>97.1017775</v>
      </c>
      <c r="N74" s="176">
        <f t="shared" si="5"/>
        <v>97.1017775</v>
      </c>
      <c r="O74" s="176">
        <f t="shared" si="5"/>
        <v>80.4557585</v>
      </c>
      <c r="P74" s="176">
        <f t="shared" si="5"/>
        <v>80.4557585</v>
      </c>
      <c r="Q74" s="176">
        <f t="shared" si="5"/>
        <v>97.1017775</v>
      </c>
      <c r="R74" s="176">
        <f t="shared" si="5"/>
        <v>66.584076</v>
      </c>
      <c r="S74" s="176">
        <f t="shared" si="5"/>
        <v>97.1017775</v>
      </c>
      <c r="T74" s="176">
        <f t="shared" si="5"/>
        <v>97.1017775</v>
      </c>
      <c r="U74" s="176">
        <f t="shared" si="5"/>
        <v>66.584076</v>
      </c>
      <c r="V74" s="176">
        <f t="shared" si="5"/>
        <v>80.4557585</v>
      </c>
      <c r="W74" s="176">
        <f t="shared" si="5"/>
        <v>80.4557585</v>
      </c>
      <c r="X74" s="176">
        <f t="shared" si="5"/>
        <v>66.584076</v>
      </c>
      <c r="Y74" s="176">
        <f t="shared" si="5"/>
        <v>97.1017775</v>
      </c>
      <c r="Z74" s="176">
        <f t="shared" si="5"/>
        <v>80.4557585</v>
      </c>
      <c r="AA74" s="176">
        <f t="shared" si="5"/>
        <v>80.4557585</v>
      </c>
      <c r="AB74" s="176">
        <f t="shared" si="5"/>
        <v>80.4557585</v>
      </c>
      <c r="AC74" s="176">
        <f t="shared" si="5"/>
        <v>80.4557585</v>
      </c>
      <c r="AD74" s="176">
        <f t="shared" si="5"/>
        <v>80.4557585</v>
      </c>
      <c r="AE74" s="176">
        <f t="shared" si="5"/>
        <v>80.4557585</v>
      </c>
      <c r="AF74" s="176">
        <f t="shared" si="5"/>
        <v>97.1017775</v>
      </c>
      <c r="AG74" s="176">
        <f t="shared" si="5"/>
        <v>97.1017775</v>
      </c>
      <c r="AH74" s="176">
        <f t="shared" si="5"/>
        <v>80.4557585</v>
      </c>
      <c r="AI74" s="176">
        <f t="shared" si="5"/>
        <v>97.1017775</v>
      </c>
      <c r="AJ74" s="176">
        <f t="shared" si="5"/>
        <v>80.4557585</v>
      </c>
      <c r="AK74" s="176">
        <f t="shared" si="5"/>
        <v>80.4557585</v>
      </c>
      <c r="AL74" s="172"/>
      <c r="AM74" s="172"/>
    </row>
    <row r="75" s="149" customFormat="1" spans="1:39">
      <c r="A75" s="174" t="str">
        <f t="shared" si="4"/>
        <v>Tra_EV_Batt-LMO_fromrecy</v>
      </c>
      <c r="B75" s="175">
        <v>2023</v>
      </c>
      <c r="C75" s="176">
        <f t="shared" ref="C75:C80" si="6">C107</f>
        <v>96.1721925</v>
      </c>
      <c r="D75" s="176">
        <f t="shared" ref="D75:AK75" si="7">D107</f>
        <v>96.1721925</v>
      </c>
      <c r="E75" s="176">
        <f t="shared" si="7"/>
        <v>116.0698875</v>
      </c>
      <c r="F75" s="176">
        <f t="shared" si="7"/>
        <v>116.0698875</v>
      </c>
      <c r="G75" s="176">
        <f t="shared" si="7"/>
        <v>96.1721925</v>
      </c>
      <c r="H75" s="176">
        <f t="shared" si="7"/>
        <v>116.0698875</v>
      </c>
      <c r="I75" s="176">
        <f t="shared" si="7"/>
        <v>96.1721925</v>
      </c>
      <c r="J75" s="176">
        <f t="shared" si="7"/>
        <v>66.32565</v>
      </c>
      <c r="K75" s="176">
        <f t="shared" si="7"/>
        <v>96.1721925</v>
      </c>
      <c r="L75" s="176">
        <f t="shared" si="7"/>
        <v>96.1721925</v>
      </c>
      <c r="M75" s="176">
        <f t="shared" si="7"/>
        <v>116.0698875</v>
      </c>
      <c r="N75" s="176">
        <f t="shared" si="7"/>
        <v>116.0698875</v>
      </c>
      <c r="O75" s="176">
        <f t="shared" si="7"/>
        <v>96.1721925</v>
      </c>
      <c r="P75" s="176">
        <f t="shared" si="7"/>
        <v>96.1721925</v>
      </c>
      <c r="Q75" s="176">
        <f t="shared" si="7"/>
        <v>116.0698875</v>
      </c>
      <c r="R75" s="176">
        <f t="shared" si="7"/>
        <v>79.59078</v>
      </c>
      <c r="S75" s="176">
        <f t="shared" si="7"/>
        <v>116.0698875</v>
      </c>
      <c r="T75" s="176">
        <f t="shared" si="7"/>
        <v>116.0698875</v>
      </c>
      <c r="U75" s="176">
        <f t="shared" si="7"/>
        <v>79.59078</v>
      </c>
      <c r="V75" s="176">
        <f t="shared" si="7"/>
        <v>96.1721925</v>
      </c>
      <c r="W75" s="176">
        <f t="shared" si="7"/>
        <v>96.1721925</v>
      </c>
      <c r="X75" s="176">
        <f t="shared" si="7"/>
        <v>79.59078</v>
      </c>
      <c r="Y75" s="176">
        <f t="shared" si="7"/>
        <v>116.0698875</v>
      </c>
      <c r="Z75" s="176">
        <f t="shared" si="7"/>
        <v>96.1721925</v>
      </c>
      <c r="AA75" s="176">
        <f t="shared" si="7"/>
        <v>96.1721925</v>
      </c>
      <c r="AB75" s="176">
        <f t="shared" si="7"/>
        <v>96.1721925</v>
      </c>
      <c r="AC75" s="176">
        <f t="shared" si="7"/>
        <v>96.1721925</v>
      </c>
      <c r="AD75" s="176">
        <f t="shared" si="7"/>
        <v>96.1721925</v>
      </c>
      <c r="AE75" s="176">
        <f t="shared" si="7"/>
        <v>96.1721925</v>
      </c>
      <c r="AF75" s="176">
        <f t="shared" si="7"/>
        <v>116.0698875</v>
      </c>
      <c r="AG75" s="176">
        <f t="shared" si="7"/>
        <v>116.0698875</v>
      </c>
      <c r="AH75" s="176">
        <f t="shared" si="7"/>
        <v>96.1721925</v>
      </c>
      <c r="AI75" s="176">
        <f t="shared" si="7"/>
        <v>116.0698875</v>
      </c>
      <c r="AJ75" s="176">
        <f t="shared" si="7"/>
        <v>96.1721925</v>
      </c>
      <c r="AK75" s="176">
        <f t="shared" si="7"/>
        <v>96.1721925</v>
      </c>
      <c r="AL75" s="172"/>
      <c r="AM75" s="172"/>
    </row>
    <row r="76" s="149" customFormat="1" spans="1:39">
      <c r="A76" s="174" t="str">
        <f t="shared" si="4"/>
        <v>Tra_EV_Batt-NCA_fromrecy</v>
      </c>
      <c r="B76" s="175">
        <v>2023</v>
      </c>
      <c r="C76" s="176">
        <f t="shared" si="6"/>
        <v>81.3471315</v>
      </c>
      <c r="D76" s="176">
        <f t="shared" ref="D76:AK76" si="8">D108</f>
        <v>81.3471315</v>
      </c>
      <c r="E76" s="176">
        <f t="shared" si="8"/>
        <v>98.1775725</v>
      </c>
      <c r="F76" s="176">
        <f t="shared" si="8"/>
        <v>98.1775725</v>
      </c>
      <c r="G76" s="176">
        <f t="shared" si="8"/>
        <v>81.3471315</v>
      </c>
      <c r="H76" s="176">
        <f t="shared" si="8"/>
        <v>98.1775725</v>
      </c>
      <c r="I76" s="176">
        <f t="shared" si="8"/>
        <v>81.3471315</v>
      </c>
      <c r="J76" s="176">
        <f t="shared" si="8"/>
        <v>56.10147</v>
      </c>
      <c r="K76" s="176">
        <f t="shared" si="8"/>
        <v>81.3471315</v>
      </c>
      <c r="L76" s="176">
        <f t="shared" si="8"/>
        <v>81.3471315</v>
      </c>
      <c r="M76" s="176">
        <f t="shared" si="8"/>
        <v>98.1775725</v>
      </c>
      <c r="N76" s="176">
        <f t="shared" si="8"/>
        <v>98.1775725</v>
      </c>
      <c r="O76" s="176">
        <f t="shared" si="8"/>
        <v>81.3471315</v>
      </c>
      <c r="P76" s="176">
        <f t="shared" si="8"/>
        <v>81.3471315</v>
      </c>
      <c r="Q76" s="176">
        <f t="shared" si="8"/>
        <v>98.1775725</v>
      </c>
      <c r="R76" s="176">
        <f t="shared" si="8"/>
        <v>67.321764</v>
      </c>
      <c r="S76" s="176">
        <f t="shared" si="8"/>
        <v>98.1775725</v>
      </c>
      <c r="T76" s="176">
        <f t="shared" si="8"/>
        <v>98.1775725</v>
      </c>
      <c r="U76" s="176">
        <f t="shared" si="8"/>
        <v>67.321764</v>
      </c>
      <c r="V76" s="176">
        <f t="shared" si="8"/>
        <v>81.3471315</v>
      </c>
      <c r="W76" s="176">
        <f t="shared" si="8"/>
        <v>81.3471315</v>
      </c>
      <c r="X76" s="176">
        <f t="shared" si="8"/>
        <v>67.321764</v>
      </c>
      <c r="Y76" s="176">
        <f t="shared" si="8"/>
        <v>98.1775725</v>
      </c>
      <c r="Z76" s="176">
        <f t="shared" si="8"/>
        <v>81.3471315</v>
      </c>
      <c r="AA76" s="176">
        <f t="shared" si="8"/>
        <v>81.3471315</v>
      </c>
      <c r="AB76" s="176">
        <f t="shared" si="8"/>
        <v>81.3471315</v>
      </c>
      <c r="AC76" s="176">
        <f t="shared" si="8"/>
        <v>81.3471315</v>
      </c>
      <c r="AD76" s="176">
        <f t="shared" si="8"/>
        <v>81.3471315</v>
      </c>
      <c r="AE76" s="176">
        <f t="shared" si="8"/>
        <v>81.3471315</v>
      </c>
      <c r="AF76" s="176">
        <f t="shared" si="8"/>
        <v>98.1775725</v>
      </c>
      <c r="AG76" s="176">
        <f t="shared" si="8"/>
        <v>98.1775725</v>
      </c>
      <c r="AH76" s="176">
        <f t="shared" si="8"/>
        <v>81.3471315</v>
      </c>
      <c r="AI76" s="176">
        <f t="shared" si="8"/>
        <v>98.1775725</v>
      </c>
      <c r="AJ76" s="176">
        <f t="shared" si="8"/>
        <v>81.3471315</v>
      </c>
      <c r="AK76" s="176">
        <f t="shared" si="8"/>
        <v>81.3471315</v>
      </c>
      <c r="AL76" s="172"/>
      <c r="AM76" s="172"/>
    </row>
    <row r="77" s="149" customFormat="1" spans="1:39">
      <c r="A77" s="174" t="str">
        <f t="shared" si="4"/>
        <v>Tra_EV_Batt-NMC111_fromrecy</v>
      </c>
      <c r="B77" s="175">
        <v>2023</v>
      </c>
      <c r="C77" s="176">
        <f t="shared" si="6"/>
        <v>80.5612895</v>
      </c>
      <c r="D77" s="176">
        <f t="shared" ref="D77:AK77" si="9">D109</f>
        <v>80.5612895</v>
      </c>
      <c r="E77" s="176">
        <f t="shared" si="9"/>
        <v>97.2291425</v>
      </c>
      <c r="F77" s="176">
        <f t="shared" si="9"/>
        <v>97.2291425</v>
      </c>
      <c r="G77" s="176">
        <f t="shared" si="9"/>
        <v>80.5612895</v>
      </c>
      <c r="H77" s="176">
        <f t="shared" si="9"/>
        <v>97.2291425</v>
      </c>
      <c r="I77" s="176">
        <f t="shared" si="9"/>
        <v>80.5612895</v>
      </c>
      <c r="J77" s="176">
        <f t="shared" si="9"/>
        <v>55.55951</v>
      </c>
      <c r="K77" s="176">
        <f t="shared" si="9"/>
        <v>80.5612895</v>
      </c>
      <c r="L77" s="176">
        <f t="shared" si="9"/>
        <v>80.5612895</v>
      </c>
      <c r="M77" s="176">
        <f t="shared" si="9"/>
        <v>97.2291425</v>
      </c>
      <c r="N77" s="176">
        <f t="shared" si="9"/>
        <v>97.2291425</v>
      </c>
      <c r="O77" s="176">
        <f t="shared" si="9"/>
        <v>80.5612895</v>
      </c>
      <c r="P77" s="176">
        <f t="shared" si="9"/>
        <v>80.5612895</v>
      </c>
      <c r="Q77" s="176">
        <f t="shared" si="9"/>
        <v>97.2291425</v>
      </c>
      <c r="R77" s="176">
        <f t="shared" si="9"/>
        <v>66.671412</v>
      </c>
      <c r="S77" s="176">
        <f t="shared" si="9"/>
        <v>97.2291425</v>
      </c>
      <c r="T77" s="176">
        <f t="shared" si="9"/>
        <v>97.2291425</v>
      </c>
      <c r="U77" s="176">
        <f t="shared" si="9"/>
        <v>66.671412</v>
      </c>
      <c r="V77" s="176">
        <f t="shared" si="9"/>
        <v>80.5612895</v>
      </c>
      <c r="W77" s="176">
        <f t="shared" si="9"/>
        <v>80.5612895</v>
      </c>
      <c r="X77" s="176">
        <f t="shared" si="9"/>
        <v>66.671412</v>
      </c>
      <c r="Y77" s="176">
        <f t="shared" si="9"/>
        <v>97.2291425</v>
      </c>
      <c r="Z77" s="176">
        <f t="shared" si="9"/>
        <v>80.5612895</v>
      </c>
      <c r="AA77" s="176">
        <f t="shared" si="9"/>
        <v>80.5612895</v>
      </c>
      <c r="AB77" s="176">
        <f t="shared" si="9"/>
        <v>80.5612895</v>
      </c>
      <c r="AC77" s="176">
        <f t="shared" si="9"/>
        <v>80.5612895</v>
      </c>
      <c r="AD77" s="176">
        <f t="shared" si="9"/>
        <v>80.5612895</v>
      </c>
      <c r="AE77" s="176">
        <f t="shared" si="9"/>
        <v>80.5612895</v>
      </c>
      <c r="AF77" s="176">
        <f t="shared" si="9"/>
        <v>97.2291425</v>
      </c>
      <c r="AG77" s="176">
        <f t="shared" si="9"/>
        <v>97.2291425</v>
      </c>
      <c r="AH77" s="176">
        <f t="shared" si="9"/>
        <v>80.5612895</v>
      </c>
      <c r="AI77" s="176">
        <f t="shared" si="9"/>
        <v>97.2291425</v>
      </c>
      <c r="AJ77" s="176">
        <f t="shared" si="9"/>
        <v>80.5612895</v>
      </c>
      <c r="AK77" s="176">
        <f t="shared" si="9"/>
        <v>80.5612895</v>
      </c>
      <c r="AL77" s="172"/>
      <c r="AM77" s="172"/>
    </row>
    <row r="78" s="149" customFormat="1" spans="1:39">
      <c r="A78" s="174" t="str">
        <f t="shared" si="4"/>
        <v>Tra_EV_Batt-NMC532_fromrecy</v>
      </c>
      <c r="B78" s="175">
        <v>2023</v>
      </c>
      <c r="C78" s="176">
        <f t="shared" si="6"/>
        <v>86.083165</v>
      </c>
      <c r="D78" s="176">
        <f t="shared" ref="D78:AK78" si="10">D110</f>
        <v>86.083165</v>
      </c>
      <c r="E78" s="176">
        <f t="shared" si="10"/>
        <v>103.893475</v>
      </c>
      <c r="F78" s="176">
        <f t="shared" si="10"/>
        <v>103.893475</v>
      </c>
      <c r="G78" s="176">
        <f t="shared" si="10"/>
        <v>86.083165</v>
      </c>
      <c r="H78" s="176">
        <f t="shared" si="10"/>
        <v>103.893475</v>
      </c>
      <c r="I78" s="176">
        <f t="shared" si="10"/>
        <v>86.083165</v>
      </c>
      <c r="J78" s="176">
        <f t="shared" si="10"/>
        <v>59.3677</v>
      </c>
      <c r="K78" s="176">
        <f t="shared" si="10"/>
        <v>86.083165</v>
      </c>
      <c r="L78" s="176">
        <f t="shared" si="10"/>
        <v>86.083165</v>
      </c>
      <c r="M78" s="176">
        <f t="shared" si="10"/>
        <v>103.893475</v>
      </c>
      <c r="N78" s="176">
        <f t="shared" si="10"/>
        <v>103.893475</v>
      </c>
      <c r="O78" s="176">
        <f t="shared" si="10"/>
        <v>86.083165</v>
      </c>
      <c r="P78" s="176">
        <f t="shared" si="10"/>
        <v>86.083165</v>
      </c>
      <c r="Q78" s="176">
        <f t="shared" si="10"/>
        <v>103.893475</v>
      </c>
      <c r="R78" s="176">
        <f t="shared" si="10"/>
        <v>71.24124</v>
      </c>
      <c r="S78" s="176">
        <f t="shared" si="10"/>
        <v>103.893475</v>
      </c>
      <c r="T78" s="176">
        <f t="shared" si="10"/>
        <v>103.893475</v>
      </c>
      <c r="U78" s="176">
        <f t="shared" si="10"/>
        <v>71.24124</v>
      </c>
      <c r="V78" s="176">
        <f t="shared" si="10"/>
        <v>86.083165</v>
      </c>
      <c r="W78" s="176">
        <f t="shared" si="10"/>
        <v>86.083165</v>
      </c>
      <c r="X78" s="176">
        <f t="shared" si="10"/>
        <v>71.24124</v>
      </c>
      <c r="Y78" s="176">
        <f t="shared" si="10"/>
        <v>103.893475</v>
      </c>
      <c r="Z78" s="176">
        <f t="shared" si="10"/>
        <v>86.083165</v>
      </c>
      <c r="AA78" s="176">
        <f t="shared" si="10"/>
        <v>86.083165</v>
      </c>
      <c r="AB78" s="176">
        <f t="shared" si="10"/>
        <v>86.083165</v>
      </c>
      <c r="AC78" s="176">
        <f t="shared" si="10"/>
        <v>86.083165</v>
      </c>
      <c r="AD78" s="176">
        <f t="shared" si="10"/>
        <v>86.083165</v>
      </c>
      <c r="AE78" s="176">
        <f t="shared" si="10"/>
        <v>86.083165</v>
      </c>
      <c r="AF78" s="176">
        <f t="shared" si="10"/>
        <v>103.893475</v>
      </c>
      <c r="AG78" s="176">
        <f t="shared" si="10"/>
        <v>103.893475</v>
      </c>
      <c r="AH78" s="176">
        <f t="shared" si="10"/>
        <v>86.083165</v>
      </c>
      <c r="AI78" s="176">
        <f t="shared" si="10"/>
        <v>103.893475</v>
      </c>
      <c r="AJ78" s="176">
        <f t="shared" si="10"/>
        <v>86.083165</v>
      </c>
      <c r="AK78" s="176">
        <f t="shared" si="10"/>
        <v>86.083165</v>
      </c>
      <c r="AL78" s="172"/>
      <c r="AM78" s="172"/>
    </row>
    <row r="79" s="149" customFormat="1" spans="1:39">
      <c r="A79" s="174" t="str">
        <f t="shared" si="4"/>
        <v>Tra_EV_Batt-NMC622_fromrecy</v>
      </c>
      <c r="B79" s="175">
        <v>2023</v>
      </c>
      <c r="C79" s="176">
        <f t="shared" si="6"/>
        <v>83.1394475</v>
      </c>
      <c r="D79" s="176">
        <f t="shared" ref="D79:AK79" si="11">D111</f>
        <v>83.1394475</v>
      </c>
      <c r="E79" s="176">
        <f t="shared" si="11"/>
        <v>100.3407125</v>
      </c>
      <c r="F79" s="176">
        <f t="shared" si="11"/>
        <v>100.3407125</v>
      </c>
      <c r="G79" s="176">
        <f t="shared" si="11"/>
        <v>83.1394475</v>
      </c>
      <c r="H79" s="176">
        <f t="shared" si="11"/>
        <v>100.3407125</v>
      </c>
      <c r="I79" s="176">
        <f t="shared" si="11"/>
        <v>83.1394475</v>
      </c>
      <c r="J79" s="176">
        <f t="shared" si="11"/>
        <v>57.33755</v>
      </c>
      <c r="K79" s="176">
        <f t="shared" si="11"/>
        <v>83.1394475</v>
      </c>
      <c r="L79" s="176">
        <f t="shared" si="11"/>
        <v>83.1394475</v>
      </c>
      <c r="M79" s="176">
        <f t="shared" si="11"/>
        <v>100.3407125</v>
      </c>
      <c r="N79" s="176">
        <f t="shared" si="11"/>
        <v>100.3407125</v>
      </c>
      <c r="O79" s="176">
        <f t="shared" si="11"/>
        <v>83.1394475</v>
      </c>
      <c r="P79" s="176">
        <f t="shared" si="11"/>
        <v>83.1394475</v>
      </c>
      <c r="Q79" s="176">
        <f t="shared" si="11"/>
        <v>100.3407125</v>
      </c>
      <c r="R79" s="176">
        <f t="shared" si="11"/>
        <v>68.80506</v>
      </c>
      <c r="S79" s="176">
        <f t="shared" si="11"/>
        <v>100.3407125</v>
      </c>
      <c r="T79" s="176">
        <f t="shared" si="11"/>
        <v>100.3407125</v>
      </c>
      <c r="U79" s="176">
        <f t="shared" si="11"/>
        <v>68.80506</v>
      </c>
      <c r="V79" s="176">
        <f t="shared" si="11"/>
        <v>83.1394475</v>
      </c>
      <c r="W79" s="176">
        <f t="shared" si="11"/>
        <v>83.1394475</v>
      </c>
      <c r="X79" s="176">
        <f t="shared" si="11"/>
        <v>68.80506</v>
      </c>
      <c r="Y79" s="176">
        <f t="shared" si="11"/>
        <v>100.3407125</v>
      </c>
      <c r="Z79" s="176">
        <f t="shared" si="11"/>
        <v>83.1394475</v>
      </c>
      <c r="AA79" s="176">
        <f t="shared" si="11"/>
        <v>83.1394475</v>
      </c>
      <c r="AB79" s="176">
        <f t="shared" si="11"/>
        <v>83.1394475</v>
      </c>
      <c r="AC79" s="176">
        <f t="shared" si="11"/>
        <v>83.1394475</v>
      </c>
      <c r="AD79" s="176">
        <f t="shared" si="11"/>
        <v>83.1394475</v>
      </c>
      <c r="AE79" s="176">
        <f t="shared" si="11"/>
        <v>83.1394475</v>
      </c>
      <c r="AF79" s="176">
        <f t="shared" si="11"/>
        <v>100.3407125</v>
      </c>
      <c r="AG79" s="176">
        <f t="shared" si="11"/>
        <v>100.3407125</v>
      </c>
      <c r="AH79" s="176">
        <f t="shared" si="11"/>
        <v>83.1394475</v>
      </c>
      <c r="AI79" s="176">
        <f t="shared" si="11"/>
        <v>100.3407125</v>
      </c>
      <c r="AJ79" s="176">
        <f t="shared" si="11"/>
        <v>83.1394475</v>
      </c>
      <c r="AK79" s="176">
        <f t="shared" si="11"/>
        <v>83.1394475</v>
      </c>
      <c r="AL79" s="172"/>
      <c r="AM79" s="172"/>
    </row>
    <row r="80" s="149" customFormat="1" spans="1:39">
      <c r="A80" s="174" t="str">
        <f t="shared" si="4"/>
        <v>Tra_EV_Batt-NMC811_fromrecy</v>
      </c>
      <c r="B80" s="175">
        <v>2023</v>
      </c>
      <c r="C80" s="176">
        <f t="shared" si="6"/>
        <v>86.984746</v>
      </c>
      <c r="D80" s="176">
        <f t="shared" ref="D80:AK80" si="12">D112</f>
        <v>86.984746</v>
      </c>
      <c r="E80" s="176">
        <f t="shared" si="12"/>
        <v>104.98159</v>
      </c>
      <c r="F80" s="176">
        <f t="shared" si="12"/>
        <v>104.98159</v>
      </c>
      <c r="G80" s="176">
        <f t="shared" si="12"/>
        <v>86.984746</v>
      </c>
      <c r="H80" s="176">
        <f t="shared" si="12"/>
        <v>104.98159</v>
      </c>
      <c r="I80" s="176">
        <f t="shared" si="12"/>
        <v>86.984746</v>
      </c>
      <c r="J80" s="176">
        <f t="shared" si="12"/>
        <v>59.98948</v>
      </c>
      <c r="K80" s="176">
        <f t="shared" si="12"/>
        <v>86.984746</v>
      </c>
      <c r="L80" s="176">
        <f t="shared" si="12"/>
        <v>86.984746</v>
      </c>
      <c r="M80" s="176">
        <f t="shared" si="12"/>
        <v>104.98159</v>
      </c>
      <c r="N80" s="176">
        <f t="shared" si="12"/>
        <v>104.98159</v>
      </c>
      <c r="O80" s="176">
        <f t="shared" si="12"/>
        <v>86.984746</v>
      </c>
      <c r="P80" s="176">
        <f t="shared" si="12"/>
        <v>86.984746</v>
      </c>
      <c r="Q80" s="176">
        <f t="shared" si="12"/>
        <v>104.98159</v>
      </c>
      <c r="R80" s="176">
        <f t="shared" si="12"/>
        <v>71.987376</v>
      </c>
      <c r="S80" s="176">
        <f t="shared" si="12"/>
        <v>104.98159</v>
      </c>
      <c r="T80" s="176">
        <f t="shared" si="12"/>
        <v>104.98159</v>
      </c>
      <c r="U80" s="176">
        <f t="shared" si="12"/>
        <v>71.987376</v>
      </c>
      <c r="V80" s="176">
        <f t="shared" si="12"/>
        <v>86.984746</v>
      </c>
      <c r="W80" s="176">
        <f t="shared" si="12"/>
        <v>86.984746</v>
      </c>
      <c r="X80" s="176">
        <f t="shared" si="12"/>
        <v>71.987376</v>
      </c>
      <c r="Y80" s="176">
        <f t="shared" si="12"/>
        <v>104.98159</v>
      </c>
      <c r="Z80" s="176">
        <f t="shared" si="12"/>
        <v>86.984746</v>
      </c>
      <c r="AA80" s="176">
        <f t="shared" si="12"/>
        <v>86.984746</v>
      </c>
      <c r="AB80" s="176">
        <f t="shared" si="12"/>
        <v>86.984746</v>
      </c>
      <c r="AC80" s="176">
        <f t="shared" si="12"/>
        <v>86.984746</v>
      </c>
      <c r="AD80" s="176">
        <f t="shared" si="12"/>
        <v>86.984746</v>
      </c>
      <c r="AE80" s="176">
        <f t="shared" si="12"/>
        <v>86.984746</v>
      </c>
      <c r="AF80" s="176">
        <f t="shared" si="12"/>
        <v>104.98159</v>
      </c>
      <c r="AG80" s="176">
        <f t="shared" si="12"/>
        <v>104.98159</v>
      </c>
      <c r="AH80" s="176">
        <f t="shared" si="12"/>
        <v>86.984746</v>
      </c>
      <c r="AI80" s="176">
        <f t="shared" si="12"/>
        <v>104.98159</v>
      </c>
      <c r="AJ80" s="176">
        <f t="shared" si="12"/>
        <v>86.984746</v>
      </c>
      <c r="AK80" s="176">
        <f t="shared" si="12"/>
        <v>86.984746</v>
      </c>
      <c r="AL80" s="172"/>
      <c r="AM80" s="172"/>
    </row>
    <row r="81" s="149" customFormat="1" spans="1:39">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c r="AA81" s="172"/>
      <c r="AB81" s="172"/>
      <c r="AC81" s="172"/>
      <c r="AD81" s="172"/>
      <c r="AE81" s="172"/>
      <c r="AF81" s="172"/>
      <c r="AG81" s="172"/>
      <c r="AH81" s="172"/>
      <c r="AI81" s="172"/>
      <c r="AJ81" s="172"/>
      <c r="AK81" s="172"/>
      <c r="AL81" s="172"/>
      <c r="AM81" s="172"/>
    </row>
    <row r="82" s="149" customFormat="1" spans="1:39">
      <c r="A82" s="171" t="s">
        <v>52</v>
      </c>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c r="AA82" s="172"/>
      <c r="AB82" s="172"/>
      <c r="AC82" s="172"/>
      <c r="AD82" s="172"/>
      <c r="AE82" s="172"/>
      <c r="AF82" s="172"/>
      <c r="AG82" s="172"/>
      <c r="AH82" s="172"/>
      <c r="AI82" s="172"/>
      <c r="AJ82" s="172"/>
      <c r="AK82" s="172"/>
      <c r="AL82" s="172"/>
      <c r="AM82" s="172"/>
    </row>
    <row r="83" s="149" customFormat="1" spans="1:39">
      <c r="A83" s="173" t="s">
        <v>66</v>
      </c>
      <c r="B83" s="173" t="s">
        <v>41</v>
      </c>
      <c r="C83" s="173" t="s">
        <v>3</v>
      </c>
      <c r="D83" s="173" t="s">
        <v>5</v>
      </c>
      <c r="E83" s="173" t="s">
        <v>6</v>
      </c>
      <c r="F83" s="173" t="s">
        <v>7</v>
      </c>
      <c r="G83" s="173" t="s">
        <v>8</v>
      </c>
      <c r="H83" s="173" t="s">
        <v>9</v>
      </c>
      <c r="I83" s="173" t="s">
        <v>10</v>
      </c>
      <c r="J83" s="173" t="s">
        <v>11</v>
      </c>
      <c r="K83" s="173" t="s">
        <v>12</v>
      </c>
      <c r="L83" s="173" t="s">
        <v>13</v>
      </c>
      <c r="M83" s="173" t="s">
        <v>14</v>
      </c>
      <c r="N83" s="173" t="s">
        <v>15</v>
      </c>
      <c r="O83" s="173" t="s">
        <v>16</v>
      </c>
      <c r="P83" s="173" t="s">
        <v>17</v>
      </c>
      <c r="Q83" s="173" t="s">
        <v>18</v>
      </c>
      <c r="R83" s="173" t="s">
        <v>19</v>
      </c>
      <c r="S83" s="173" t="s">
        <v>20</v>
      </c>
      <c r="T83" s="173" t="s">
        <v>21</v>
      </c>
      <c r="U83" s="173" t="s">
        <v>22</v>
      </c>
      <c r="V83" s="173" t="s">
        <v>23</v>
      </c>
      <c r="W83" s="173" t="s">
        <v>24</v>
      </c>
      <c r="X83" s="173" t="s">
        <v>25</v>
      </c>
      <c r="Y83" s="173" t="s">
        <v>26</v>
      </c>
      <c r="Z83" s="173" t="s">
        <v>27</v>
      </c>
      <c r="AA83" s="173" t="s">
        <v>28</v>
      </c>
      <c r="AB83" s="173" t="s">
        <v>29</v>
      </c>
      <c r="AC83" s="173" t="s">
        <v>30</v>
      </c>
      <c r="AD83" s="173" t="s">
        <v>31</v>
      </c>
      <c r="AE83" s="173" t="s">
        <v>32</v>
      </c>
      <c r="AF83" s="173" t="s">
        <v>33</v>
      </c>
      <c r="AG83" s="173" t="s">
        <v>34</v>
      </c>
      <c r="AH83" s="173" t="s">
        <v>35</v>
      </c>
      <c r="AI83" s="173" t="s">
        <v>36</v>
      </c>
      <c r="AJ83" s="173" t="s">
        <v>37</v>
      </c>
      <c r="AK83" s="173" t="s">
        <v>38</v>
      </c>
      <c r="AL83" s="172"/>
      <c r="AM83" s="172"/>
    </row>
    <row r="84" s="149" customFormat="1" spans="1:39">
      <c r="A84" s="174" t="str">
        <f t="shared" ref="A84:A90" si="13">A6</f>
        <v>Tra_EV_Batt-LFP_fromrecy</v>
      </c>
      <c r="B84" s="175">
        <v>2050</v>
      </c>
      <c r="C84" s="176">
        <f>C116</f>
        <v>40.5801331332752</v>
      </c>
      <c r="D84" s="176">
        <f t="shared" ref="D84:AK84" si="14">D116</f>
        <v>40.5801331332752</v>
      </c>
      <c r="E84" s="176">
        <f t="shared" si="14"/>
        <v>46.4218455073446</v>
      </c>
      <c r="F84" s="176">
        <f t="shared" si="14"/>
        <v>46.4218455073446</v>
      </c>
      <c r="G84" s="176">
        <f t="shared" si="14"/>
        <v>40.5801331332752</v>
      </c>
      <c r="H84" s="176">
        <f t="shared" si="14"/>
        <v>46.4218455073446</v>
      </c>
      <c r="I84" s="176">
        <f t="shared" si="14"/>
        <v>40.5801331332752</v>
      </c>
      <c r="J84" s="176">
        <f t="shared" si="14"/>
        <v>34.39019740267</v>
      </c>
      <c r="K84" s="176">
        <f t="shared" si="14"/>
        <v>40.5801331332752</v>
      </c>
      <c r="L84" s="176">
        <f t="shared" si="14"/>
        <v>40.5801331332752</v>
      </c>
      <c r="M84" s="176">
        <f t="shared" si="14"/>
        <v>46.4218455073446</v>
      </c>
      <c r="N84" s="176">
        <f t="shared" si="14"/>
        <v>46.4218455073446</v>
      </c>
      <c r="O84" s="176">
        <f t="shared" si="14"/>
        <v>40.5801331332752</v>
      </c>
      <c r="P84" s="176">
        <f t="shared" si="14"/>
        <v>40.5801331332752</v>
      </c>
      <c r="Q84" s="176">
        <f t="shared" si="14"/>
        <v>46.4218455073446</v>
      </c>
      <c r="R84" s="176">
        <f t="shared" si="14"/>
        <v>37.829217142937</v>
      </c>
      <c r="S84" s="176">
        <f t="shared" si="14"/>
        <v>46.4218455073446</v>
      </c>
      <c r="T84" s="176">
        <f t="shared" si="14"/>
        <v>46.4218455073446</v>
      </c>
      <c r="U84" s="176">
        <f t="shared" si="14"/>
        <v>37.829217142937</v>
      </c>
      <c r="V84" s="176">
        <f t="shared" si="14"/>
        <v>40.5801331332752</v>
      </c>
      <c r="W84" s="176">
        <f t="shared" si="14"/>
        <v>40.5801331332752</v>
      </c>
      <c r="X84" s="176">
        <f t="shared" si="14"/>
        <v>37.829217142937</v>
      </c>
      <c r="Y84" s="176">
        <f t="shared" si="14"/>
        <v>46.4218455073446</v>
      </c>
      <c r="Z84" s="176">
        <f t="shared" si="14"/>
        <v>40.5801331332752</v>
      </c>
      <c r="AA84" s="176">
        <f t="shared" si="14"/>
        <v>40.5801331332752</v>
      </c>
      <c r="AB84" s="176">
        <f t="shared" si="14"/>
        <v>40.5801331332752</v>
      </c>
      <c r="AC84" s="176">
        <f t="shared" si="14"/>
        <v>40.5801331332752</v>
      </c>
      <c r="AD84" s="176">
        <f t="shared" si="14"/>
        <v>40.5801331332752</v>
      </c>
      <c r="AE84" s="176">
        <f t="shared" si="14"/>
        <v>40.5801331332752</v>
      </c>
      <c r="AF84" s="176">
        <f t="shared" si="14"/>
        <v>46.4218455073446</v>
      </c>
      <c r="AG84" s="176">
        <f t="shared" si="14"/>
        <v>46.4218455073446</v>
      </c>
      <c r="AH84" s="176">
        <f t="shared" si="14"/>
        <v>40.5801331332752</v>
      </c>
      <c r="AI84" s="176">
        <f t="shared" si="14"/>
        <v>46.4218455073446</v>
      </c>
      <c r="AJ84" s="176">
        <f t="shared" si="14"/>
        <v>40.5801331332752</v>
      </c>
      <c r="AK84" s="176">
        <f t="shared" si="14"/>
        <v>40.5801331332752</v>
      </c>
      <c r="AL84" s="172"/>
      <c r="AM84" s="172"/>
    </row>
    <row r="85" s="149" customFormat="1" spans="1:39">
      <c r="A85" s="174" t="str">
        <f t="shared" si="13"/>
        <v>Tra_EV_Batt-LMO_fromrecy</v>
      </c>
      <c r="B85" s="175">
        <v>2050</v>
      </c>
      <c r="C85" s="176">
        <f t="shared" ref="C85:C90" si="15">C117</f>
        <v>48.5071603093391</v>
      </c>
      <c r="D85" s="176">
        <f t="shared" ref="D85:AK85" si="16">D117</f>
        <v>48.5071603093391</v>
      </c>
      <c r="E85" s="176">
        <f t="shared" si="16"/>
        <v>55.4900077455314</v>
      </c>
      <c r="F85" s="176">
        <f t="shared" si="16"/>
        <v>55.4900077455314</v>
      </c>
      <c r="G85" s="176">
        <f t="shared" si="16"/>
        <v>48.5071603093391</v>
      </c>
      <c r="H85" s="176">
        <f t="shared" si="16"/>
        <v>55.4900077455314</v>
      </c>
      <c r="I85" s="176">
        <f t="shared" si="16"/>
        <v>48.5071603093391</v>
      </c>
      <c r="J85" s="176">
        <f t="shared" si="16"/>
        <v>41.1080666739669</v>
      </c>
      <c r="K85" s="176">
        <f t="shared" si="16"/>
        <v>48.5071603093391</v>
      </c>
      <c r="L85" s="176">
        <f t="shared" si="16"/>
        <v>48.5071603093391</v>
      </c>
      <c r="M85" s="176">
        <f t="shared" si="16"/>
        <v>55.4900077455314</v>
      </c>
      <c r="N85" s="176">
        <f t="shared" si="16"/>
        <v>55.4900077455314</v>
      </c>
      <c r="O85" s="176">
        <f t="shared" si="16"/>
        <v>48.5071603093391</v>
      </c>
      <c r="P85" s="176">
        <f t="shared" si="16"/>
        <v>48.5071603093391</v>
      </c>
      <c r="Q85" s="176">
        <f t="shared" si="16"/>
        <v>55.4900077455314</v>
      </c>
      <c r="R85" s="176">
        <f t="shared" si="16"/>
        <v>45.2188733413636</v>
      </c>
      <c r="S85" s="176">
        <f t="shared" si="16"/>
        <v>55.4900077455314</v>
      </c>
      <c r="T85" s="176">
        <f t="shared" si="16"/>
        <v>55.4900077455314</v>
      </c>
      <c r="U85" s="176">
        <f t="shared" si="16"/>
        <v>45.2188733413636</v>
      </c>
      <c r="V85" s="176">
        <f t="shared" si="16"/>
        <v>48.5071603093391</v>
      </c>
      <c r="W85" s="176">
        <f t="shared" si="16"/>
        <v>48.5071603093391</v>
      </c>
      <c r="X85" s="176">
        <f t="shared" si="16"/>
        <v>45.2188733413636</v>
      </c>
      <c r="Y85" s="176">
        <f t="shared" si="16"/>
        <v>55.4900077455314</v>
      </c>
      <c r="Z85" s="176">
        <f t="shared" si="16"/>
        <v>48.5071603093391</v>
      </c>
      <c r="AA85" s="176">
        <f t="shared" si="16"/>
        <v>48.5071603093391</v>
      </c>
      <c r="AB85" s="176">
        <f t="shared" si="16"/>
        <v>48.5071603093391</v>
      </c>
      <c r="AC85" s="176">
        <f t="shared" si="16"/>
        <v>48.5071603093391</v>
      </c>
      <c r="AD85" s="176">
        <f t="shared" si="16"/>
        <v>48.5071603093391</v>
      </c>
      <c r="AE85" s="176">
        <f t="shared" si="16"/>
        <v>48.5071603093391</v>
      </c>
      <c r="AF85" s="176">
        <f t="shared" si="16"/>
        <v>55.4900077455314</v>
      </c>
      <c r="AG85" s="176">
        <f t="shared" si="16"/>
        <v>55.4900077455314</v>
      </c>
      <c r="AH85" s="176">
        <f t="shared" si="16"/>
        <v>48.5071603093391</v>
      </c>
      <c r="AI85" s="176">
        <f t="shared" si="16"/>
        <v>55.4900077455314</v>
      </c>
      <c r="AJ85" s="176">
        <f t="shared" si="16"/>
        <v>48.5071603093391</v>
      </c>
      <c r="AK85" s="176">
        <f t="shared" si="16"/>
        <v>48.5071603093391</v>
      </c>
      <c r="AL85" s="172"/>
      <c r="AM85" s="172"/>
    </row>
    <row r="86" s="149" customFormat="1" spans="1:39">
      <c r="A86" s="174" t="str">
        <f t="shared" si="13"/>
        <v>Tra_EV_Batt-NCA_fromrecy</v>
      </c>
      <c r="B86" s="175">
        <v>2050</v>
      </c>
      <c r="C86" s="176">
        <f t="shared" si="15"/>
        <v>41.0297222700355</v>
      </c>
      <c r="D86" s="176">
        <f t="shared" ref="D86:AK86" si="17">D118</f>
        <v>41.0297222700355</v>
      </c>
      <c r="E86" s="176">
        <f t="shared" si="17"/>
        <v>46.9361552406301</v>
      </c>
      <c r="F86" s="176">
        <f t="shared" si="17"/>
        <v>46.9361552406301</v>
      </c>
      <c r="G86" s="176">
        <f t="shared" si="17"/>
        <v>41.0297222700355</v>
      </c>
      <c r="H86" s="176">
        <f t="shared" si="17"/>
        <v>46.9361552406301</v>
      </c>
      <c r="I86" s="176">
        <f t="shared" si="17"/>
        <v>41.0297222700355</v>
      </c>
      <c r="J86" s="176">
        <f t="shared" si="17"/>
        <v>34.7712079605334</v>
      </c>
      <c r="K86" s="176">
        <f t="shared" si="17"/>
        <v>41.0297222700355</v>
      </c>
      <c r="L86" s="176">
        <f t="shared" si="17"/>
        <v>41.0297222700355</v>
      </c>
      <c r="M86" s="176">
        <f t="shared" si="17"/>
        <v>46.9361552406301</v>
      </c>
      <c r="N86" s="176">
        <f t="shared" si="17"/>
        <v>46.9361552406301</v>
      </c>
      <c r="O86" s="176">
        <f t="shared" si="17"/>
        <v>41.0297222700355</v>
      </c>
      <c r="P86" s="176">
        <f t="shared" si="17"/>
        <v>41.0297222700355</v>
      </c>
      <c r="Q86" s="176">
        <f t="shared" si="17"/>
        <v>46.9361552406301</v>
      </c>
      <c r="R86" s="176">
        <f t="shared" si="17"/>
        <v>38.2483287565868</v>
      </c>
      <c r="S86" s="176">
        <f t="shared" si="17"/>
        <v>46.9361552406301</v>
      </c>
      <c r="T86" s="176">
        <f t="shared" si="17"/>
        <v>46.9361552406301</v>
      </c>
      <c r="U86" s="176">
        <f t="shared" si="17"/>
        <v>38.2483287565868</v>
      </c>
      <c r="V86" s="176">
        <f t="shared" si="17"/>
        <v>41.0297222700355</v>
      </c>
      <c r="W86" s="176">
        <f t="shared" si="17"/>
        <v>41.0297222700355</v>
      </c>
      <c r="X86" s="176">
        <f t="shared" si="17"/>
        <v>38.2483287565868</v>
      </c>
      <c r="Y86" s="176">
        <f t="shared" si="17"/>
        <v>46.9361552406301</v>
      </c>
      <c r="Z86" s="176">
        <f t="shared" si="17"/>
        <v>41.0297222700355</v>
      </c>
      <c r="AA86" s="176">
        <f t="shared" si="17"/>
        <v>41.0297222700355</v>
      </c>
      <c r="AB86" s="176">
        <f t="shared" si="17"/>
        <v>41.0297222700355</v>
      </c>
      <c r="AC86" s="176">
        <f t="shared" si="17"/>
        <v>41.0297222700355</v>
      </c>
      <c r="AD86" s="176">
        <f t="shared" si="17"/>
        <v>41.0297222700355</v>
      </c>
      <c r="AE86" s="176">
        <f t="shared" si="17"/>
        <v>41.0297222700355</v>
      </c>
      <c r="AF86" s="176">
        <f t="shared" si="17"/>
        <v>46.9361552406301</v>
      </c>
      <c r="AG86" s="176">
        <f t="shared" si="17"/>
        <v>46.9361552406301</v>
      </c>
      <c r="AH86" s="176">
        <f t="shared" si="17"/>
        <v>41.0297222700355</v>
      </c>
      <c r="AI86" s="176">
        <f t="shared" si="17"/>
        <v>46.9361552406301</v>
      </c>
      <c r="AJ86" s="176">
        <f t="shared" si="17"/>
        <v>41.0297222700355</v>
      </c>
      <c r="AK86" s="176">
        <f t="shared" si="17"/>
        <v>41.0297222700355</v>
      </c>
      <c r="AL86" s="172"/>
      <c r="AM86" s="172"/>
    </row>
    <row r="87" s="149" customFormat="1" spans="1:39">
      <c r="A87" s="174" t="str">
        <f t="shared" si="13"/>
        <v>Tra_EV_Batt-NMC111_fromrecy</v>
      </c>
      <c r="B87" s="175">
        <v>2050</v>
      </c>
      <c r="C87" s="176">
        <f t="shared" si="15"/>
        <v>40.6333606723542</v>
      </c>
      <c r="D87" s="176">
        <f t="shared" ref="D87:AK87" si="18">D119</f>
        <v>40.6333606723542</v>
      </c>
      <c r="E87" s="176">
        <f t="shared" si="18"/>
        <v>46.4827354159051</v>
      </c>
      <c r="F87" s="176">
        <f t="shared" si="18"/>
        <v>46.4827354159051</v>
      </c>
      <c r="G87" s="176">
        <f t="shared" si="18"/>
        <v>40.6333606723542</v>
      </c>
      <c r="H87" s="176">
        <f t="shared" si="18"/>
        <v>46.4827354159051</v>
      </c>
      <c r="I87" s="176">
        <f t="shared" si="18"/>
        <v>40.6333606723542</v>
      </c>
      <c r="J87" s="176">
        <f t="shared" si="18"/>
        <v>34.4353058198892</v>
      </c>
      <c r="K87" s="176">
        <f t="shared" si="18"/>
        <v>40.6333606723542</v>
      </c>
      <c r="L87" s="176">
        <f t="shared" si="18"/>
        <v>40.6333606723542</v>
      </c>
      <c r="M87" s="176">
        <f t="shared" si="18"/>
        <v>46.4827354159051</v>
      </c>
      <c r="N87" s="176">
        <f t="shared" si="18"/>
        <v>46.4827354159051</v>
      </c>
      <c r="O87" s="176">
        <f t="shared" si="18"/>
        <v>40.6333606723542</v>
      </c>
      <c r="P87" s="176">
        <f t="shared" si="18"/>
        <v>40.6333606723542</v>
      </c>
      <c r="Q87" s="176">
        <f t="shared" si="18"/>
        <v>46.4827354159051</v>
      </c>
      <c r="R87" s="176">
        <f t="shared" si="18"/>
        <v>37.8788364018781</v>
      </c>
      <c r="S87" s="176">
        <f t="shared" si="18"/>
        <v>46.4827354159051</v>
      </c>
      <c r="T87" s="176">
        <f t="shared" si="18"/>
        <v>46.4827354159051</v>
      </c>
      <c r="U87" s="176">
        <f t="shared" si="18"/>
        <v>37.8788364018781</v>
      </c>
      <c r="V87" s="176">
        <f t="shared" si="18"/>
        <v>40.6333606723542</v>
      </c>
      <c r="W87" s="176">
        <f t="shared" si="18"/>
        <v>40.6333606723542</v>
      </c>
      <c r="X87" s="176">
        <f t="shared" si="18"/>
        <v>37.8788364018781</v>
      </c>
      <c r="Y87" s="176">
        <f t="shared" si="18"/>
        <v>46.4827354159051</v>
      </c>
      <c r="Z87" s="176">
        <f t="shared" si="18"/>
        <v>40.6333606723542</v>
      </c>
      <c r="AA87" s="176">
        <f t="shared" si="18"/>
        <v>40.6333606723542</v>
      </c>
      <c r="AB87" s="176">
        <f t="shared" si="18"/>
        <v>40.6333606723542</v>
      </c>
      <c r="AC87" s="176">
        <f t="shared" si="18"/>
        <v>40.6333606723542</v>
      </c>
      <c r="AD87" s="176">
        <f t="shared" si="18"/>
        <v>40.6333606723542</v>
      </c>
      <c r="AE87" s="176">
        <f t="shared" si="18"/>
        <v>40.6333606723542</v>
      </c>
      <c r="AF87" s="176">
        <f t="shared" si="18"/>
        <v>46.4827354159051</v>
      </c>
      <c r="AG87" s="176">
        <f t="shared" si="18"/>
        <v>46.4827354159051</v>
      </c>
      <c r="AH87" s="176">
        <f t="shared" si="18"/>
        <v>40.6333606723542</v>
      </c>
      <c r="AI87" s="176">
        <f t="shared" si="18"/>
        <v>46.4827354159051</v>
      </c>
      <c r="AJ87" s="176">
        <f t="shared" si="18"/>
        <v>40.6333606723542</v>
      </c>
      <c r="AK87" s="176">
        <f t="shared" si="18"/>
        <v>40.6333606723542</v>
      </c>
      <c r="AL87" s="172"/>
      <c r="AM87" s="172"/>
    </row>
    <row r="88" s="149" customFormat="1" spans="1:39">
      <c r="A88" s="174" t="str">
        <f t="shared" si="13"/>
        <v>Tra_EV_Batt-NMC532_fromrecy</v>
      </c>
      <c r="B88" s="175">
        <v>2050</v>
      </c>
      <c r="C88" s="176">
        <f t="shared" si="15"/>
        <v>43.4184744679736</v>
      </c>
      <c r="D88" s="176">
        <f t="shared" ref="D88:AK88" si="19">D120</f>
        <v>43.4184744679736</v>
      </c>
      <c r="E88" s="176">
        <f t="shared" si="19"/>
        <v>49.6687802205389</v>
      </c>
      <c r="F88" s="176">
        <f t="shared" si="19"/>
        <v>49.6687802205389</v>
      </c>
      <c r="G88" s="176">
        <f t="shared" si="19"/>
        <v>43.4184744679736</v>
      </c>
      <c r="H88" s="176">
        <f t="shared" si="19"/>
        <v>49.6687802205389</v>
      </c>
      <c r="I88" s="176">
        <f t="shared" si="19"/>
        <v>43.4184744679736</v>
      </c>
      <c r="J88" s="176">
        <f t="shared" si="19"/>
        <v>36.7955891857836</v>
      </c>
      <c r="K88" s="176">
        <f t="shared" si="19"/>
        <v>43.4184744679736</v>
      </c>
      <c r="L88" s="176">
        <f t="shared" si="19"/>
        <v>43.4184744679736</v>
      </c>
      <c r="M88" s="176">
        <f t="shared" si="19"/>
        <v>49.6687802205389</v>
      </c>
      <c r="N88" s="176">
        <f t="shared" si="19"/>
        <v>49.6687802205389</v>
      </c>
      <c r="O88" s="176">
        <f t="shared" si="19"/>
        <v>43.4184744679736</v>
      </c>
      <c r="P88" s="176">
        <f t="shared" si="19"/>
        <v>43.4184744679736</v>
      </c>
      <c r="Q88" s="176">
        <f t="shared" si="19"/>
        <v>49.6687802205389</v>
      </c>
      <c r="R88" s="176">
        <f t="shared" si="19"/>
        <v>40.4751481043619</v>
      </c>
      <c r="S88" s="176">
        <f t="shared" si="19"/>
        <v>49.6687802205389</v>
      </c>
      <c r="T88" s="176">
        <f t="shared" si="19"/>
        <v>49.6687802205389</v>
      </c>
      <c r="U88" s="176">
        <f t="shared" si="19"/>
        <v>40.4751481043619</v>
      </c>
      <c r="V88" s="176">
        <f t="shared" si="19"/>
        <v>43.4184744679736</v>
      </c>
      <c r="W88" s="176">
        <f t="shared" si="19"/>
        <v>43.4184744679736</v>
      </c>
      <c r="X88" s="176">
        <f t="shared" si="19"/>
        <v>40.4751481043619</v>
      </c>
      <c r="Y88" s="176">
        <f t="shared" si="19"/>
        <v>49.6687802205389</v>
      </c>
      <c r="Z88" s="176">
        <f t="shared" si="19"/>
        <v>43.4184744679736</v>
      </c>
      <c r="AA88" s="176">
        <f t="shared" si="19"/>
        <v>43.4184744679736</v>
      </c>
      <c r="AB88" s="176">
        <f t="shared" si="19"/>
        <v>43.4184744679736</v>
      </c>
      <c r="AC88" s="176">
        <f t="shared" si="19"/>
        <v>43.4184744679736</v>
      </c>
      <c r="AD88" s="176">
        <f t="shared" si="19"/>
        <v>43.4184744679736</v>
      </c>
      <c r="AE88" s="176">
        <f t="shared" si="19"/>
        <v>43.4184744679736</v>
      </c>
      <c r="AF88" s="176">
        <f t="shared" si="19"/>
        <v>49.6687802205389</v>
      </c>
      <c r="AG88" s="176">
        <f t="shared" si="19"/>
        <v>49.6687802205389</v>
      </c>
      <c r="AH88" s="176">
        <f t="shared" si="19"/>
        <v>43.4184744679736</v>
      </c>
      <c r="AI88" s="176">
        <f t="shared" si="19"/>
        <v>49.6687802205389</v>
      </c>
      <c r="AJ88" s="176">
        <f t="shared" si="19"/>
        <v>43.4184744679736</v>
      </c>
      <c r="AK88" s="176">
        <f t="shared" si="19"/>
        <v>43.4184744679736</v>
      </c>
      <c r="AL88" s="172"/>
      <c r="AM88" s="172"/>
    </row>
    <row r="89" s="149" customFormat="1" spans="1:39">
      <c r="A89" s="174" t="str">
        <f t="shared" si="13"/>
        <v>Tra_EV_Batt-NMC622_fromrecy</v>
      </c>
      <c r="B89" s="175">
        <v>2050</v>
      </c>
      <c r="C89" s="176">
        <f t="shared" si="15"/>
        <v>41.9337274432252</v>
      </c>
      <c r="D89" s="176">
        <f t="shared" ref="D89:AK89" si="20">D121</f>
        <v>41.9337274432252</v>
      </c>
      <c r="E89" s="176">
        <f t="shared" si="20"/>
        <v>47.9702964631299</v>
      </c>
      <c r="F89" s="176">
        <f t="shared" si="20"/>
        <v>47.9702964631299</v>
      </c>
      <c r="G89" s="176">
        <f t="shared" si="20"/>
        <v>41.9337274432252</v>
      </c>
      <c r="H89" s="176">
        <f t="shared" si="20"/>
        <v>47.9702964631299</v>
      </c>
      <c r="I89" s="176">
        <f t="shared" si="20"/>
        <v>41.9337274432252</v>
      </c>
      <c r="J89" s="176">
        <f t="shared" si="20"/>
        <v>35.5373196994211</v>
      </c>
      <c r="K89" s="176">
        <f t="shared" si="20"/>
        <v>41.9337274432252</v>
      </c>
      <c r="L89" s="176">
        <f t="shared" si="20"/>
        <v>41.9337274432252</v>
      </c>
      <c r="M89" s="176">
        <f t="shared" si="20"/>
        <v>47.9702964631299</v>
      </c>
      <c r="N89" s="176">
        <f t="shared" si="20"/>
        <v>47.9702964631299</v>
      </c>
      <c r="O89" s="176">
        <f t="shared" si="20"/>
        <v>41.9337274432252</v>
      </c>
      <c r="P89" s="176">
        <f t="shared" si="20"/>
        <v>41.9337274432252</v>
      </c>
      <c r="Q89" s="176">
        <f t="shared" si="20"/>
        <v>47.9702964631299</v>
      </c>
      <c r="R89" s="176">
        <f t="shared" si="20"/>
        <v>39.0910516693633</v>
      </c>
      <c r="S89" s="176">
        <f t="shared" si="20"/>
        <v>47.9702964631299</v>
      </c>
      <c r="T89" s="176">
        <f t="shared" si="20"/>
        <v>47.9702964631299</v>
      </c>
      <c r="U89" s="176">
        <f t="shared" si="20"/>
        <v>39.0910516693633</v>
      </c>
      <c r="V89" s="176">
        <f t="shared" si="20"/>
        <v>41.9337274432252</v>
      </c>
      <c r="W89" s="176">
        <f t="shared" si="20"/>
        <v>41.9337274432252</v>
      </c>
      <c r="X89" s="176">
        <f t="shared" si="20"/>
        <v>39.0910516693633</v>
      </c>
      <c r="Y89" s="176">
        <f t="shared" si="20"/>
        <v>47.9702964631299</v>
      </c>
      <c r="Z89" s="176">
        <f t="shared" si="20"/>
        <v>41.9337274432252</v>
      </c>
      <c r="AA89" s="176">
        <f t="shared" si="20"/>
        <v>41.9337274432252</v>
      </c>
      <c r="AB89" s="176">
        <f t="shared" si="20"/>
        <v>41.9337274432252</v>
      </c>
      <c r="AC89" s="176">
        <f t="shared" si="20"/>
        <v>41.9337274432252</v>
      </c>
      <c r="AD89" s="176">
        <f t="shared" si="20"/>
        <v>41.9337274432252</v>
      </c>
      <c r="AE89" s="176">
        <f t="shared" si="20"/>
        <v>41.9337274432252</v>
      </c>
      <c r="AF89" s="176">
        <f t="shared" si="20"/>
        <v>47.9702964631299</v>
      </c>
      <c r="AG89" s="176">
        <f t="shared" si="20"/>
        <v>47.9702964631299</v>
      </c>
      <c r="AH89" s="176">
        <f t="shared" si="20"/>
        <v>41.9337274432252</v>
      </c>
      <c r="AI89" s="176">
        <f t="shared" si="20"/>
        <v>47.9702964631299</v>
      </c>
      <c r="AJ89" s="176">
        <f t="shared" si="20"/>
        <v>41.9337274432252</v>
      </c>
      <c r="AK89" s="176">
        <f t="shared" si="20"/>
        <v>41.9337274432252</v>
      </c>
      <c r="AL89" s="172"/>
      <c r="AM89" s="172"/>
    </row>
    <row r="90" s="149" customFormat="1" spans="1:39">
      <c r="A90" s="174" t="str">
        <f t="shared" si="13"/>
        <v>Tra_EV_Batt-NMC811_fromrecy</v>
      </c>
      <c r="B90" s="175">
        <v>2050</v>
      </c>
      <c r="C90" s="176">
        <f t="shared" si="15"/>
        <v>43.8732122977143</v>
      </c>
      <c r="D90" s="176">
        <f t="shared" ref="D90:AK90" si="21">D122</f>
        <v>43.8732122977143</v>
      </c>
      <c r="E90" s="176">
        <f t="shared" si="21"/>
        <v>50.1889798268151</v>
      </c>
      <c r="F90" s="176">
        <f t="shared" si="21"/>
        <v>50.1889798268151</v>
      </c>
      <c r="G90" s="176">
        <f t="shared" si="21"/>
        <v>43.8732122977143</v>
      </c>
      <c r="H90" s="176">
        <f t="shared" si="21"/>
        <v>50.1889798268151</v>
      </c>
      <c r="I90" s="176">
        <f t="shared" si="21"/>
        <v>43.8732122977143</v>
      </c>
      <c r="J90" s="176">
        <f t="shared" si="21"/>
        <v>37.1809630750186</v>
      </c>
      <c r="K90" s="176">
        <f t="shared" si="21"/>
        <v>43.8732122977143</v>
      </c>
      <c r="L90" s="176">
        <f t="shared" si="21"/>
        <v>43.8732122977143</v>
      </c>
      <c r="M90" s="176">
        <f t="shared" si="21"/>
        <v>50.1889798268151</v>
      </c>
      <c r="N90" s="176">
        <f t="shared" si="21"/>
        <v>50.1889798268151</v>
      </c>
      <c r="O90" s="176">
        <f t="shared" si="21"/>
        <v>43.8732122977143</v>
      </c>
      <c r="P90" s="176">
        <f t="shared" si="21"/>
        <v>43.8732122977143</v>
      </c>
      <c r="Q90" s="176">
        <f t="shared" si="21"/>
        <v>50.1889798268151</v>
      </c>
      <c r="R90" s="176">
        <f t="shared" si="21"/>
        <v>40.8990593825204</v>
      </c>
      <c r="S90" s="176">
        <f t="shared" si="21"/>
        <v>50.1889798268151</v>
      </c>
      <c r="T90" s="176">
        <f t="shared" si="21"/>
        <v>50.1889798268151</v>
      </c>
      <c r="U90" s="176">
        <f t="shared" si="21"/>
        <v>40.8990593825204</v>
      </c>
      <c r="V90" s="176">
        <f t="shared" si="21"/>
        <v>43.8732122977143</v>
      </c>
      <c r="W90" s="176">
        <f t="shared" si="21"/>
        <v>43.8732122977143</v>
      </c>
      <c r="X90" s="176">
        <f t="shared" si="21"/>
        <v>40.8990593825204</v>
      </c>
      <c r="Y90" s="176">
        <f t="shared" si="21"/>
        <v>50.1889798268151</v>
      </c>
      <c r="Z90" s="176">
        <f t="shared" si="21"/>
        <v>43.8732122977143</v>
      </c>
      <c r="AA90" s="176">
        <f t="shared" si="21"/>
        <v>43.8732122977143</v>
      </c>
      <c r="AB90" s="176">
        <f t="shared" si="21"/>
        <v>43.8732122977143</v>
      </c>
      <c r="AC90" s="176">
        <f t="shared" si="21"/>
        <v>43.8732122977143</v>
      </c>
      <c r="AD90" s="176">
        <f t="shared" si="21"/>
        <v>43.8732122977143</v>
      </c>
      <c r="AE90" s="176">
        <f t="shared" si="21"/>
        <v>43.8732122977143</v>
      </c>
      <c r="AF90" s="176">
        <f t="shared" si="21"/>
        <v>50.1889798268151</v>
      </c>
      <c r="AG90" s="176">
        <f t="shared" si="21"/>
        <v>50.1889798268151</v>
      </c>
      <c r="AH90" s="176">
        <f t="shared" si="21"/>
        <v>43.8732122977143</v>
      </c>
      <c r="AI90" s="176">
        <f t="shared" si="21"/>
        <v>50.1889798268151</v>
      </c>
      <c r="AJ90" s="176">
        <f t="shared" si="21"/>
        <v>43.8732122977143</v>
      </c>
      <c r="AK90" s="176">
        <f t="shared" si="21"/>
        <v>43.8732122977143</v>
      </c>
      <c r="AL90" s="172"/>
      <c r="AM90" s="172"/>
    </row>
    <row r="91" s="149" customFormat="1" spans="1:39">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c r="AA91" s="172"/>
      <c r="AB91" s="172"/>
      <c r="AC91" s="172"/>
      <c r="AD91" s="172"/>
      <c r="AE91" s="172"/>
      <c r="AF91" s="172"/>
      <c r="AG91" s="172"/>
      <c r="AH91" s="172"/>
      <c r="AI91" s="172"/>
      <c r="AJ91" s="172"/>
      <c r="AK91" s="172"/>
      <c r="AL91" s="172"/>
      <c r="AM91" s="172"/>
    </row>
    <row r="92" s="149" customFormat="1" spans="1:39">
      <c r="A92" s="171" t="s">
        <v>52</v>
      </c>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c r="AA92" s="172"/>
      <c r="AB92" s="172"/>
      <c r="AC92" s="172"/>
      <c r="AD92" s="172"/>
      <c r="AE92" s="172"/>
      <c r="AF92" s="172"/>
      <c r="AG92" s="172"/>
      <c r="AH92" s="172"/>
      <c r="AI92" s="172"/>
      <c r="AJ92" s="172"/>
      <c r="AK92" s="172"/>
      <c r="AL92" s="172"/>
      <c r="AM92" s="172"/>
    </row>
    <row r="93" s="149" customFormat="1" spans="1:39">
      <c r="A93" s="173" t="s">
        <v>66</v>
      </c>
      <c r="B93" s="173" t="s">
        <v>41</v>
      </c>
      <c r="C93" s="173" t="s">
        <v>3</v>
      </c>
      <c r="D93" s="173" t="s">
        <v>5</v>
      </c>
      <c r="E93" s="173" t="s">
        <v>6</v>
      </c>
      <c r="F93" s="173" t="s">
        <v>7</v>
      </c>
      <c r="G93" s="173" t="s">
        <v>8</v>
      </c>
      <c r="H93" s="173" t="s">
        <v>9</v>
      </c>
      <c r="I93" s="173" t="s">
        <v>10</v>
      </c>
      <c r="J93" s="173" t="s">
        <v>11</v>
      </c>
      <c r="K93" s="173" t="s">
        <v>12</v>
      </c>
      <c r="L93" s="173" t="s">
        <v>13</v>
      </c>
      <c r="M93" s="173" t="s">
        <v>14</v>
      </c>
      <c r="N93" s="173" t="s">
        <v>15</v>
      </c>
      <c r="O93" s="173" t="s">
        <v>16</v>
      </c>
      <c r="P93" s="173" t="s">
        <v>17</v>
      </c>
      <c r="Q93" s="173" t="s">
        <v>18</v>
      </c>
      <c r="R93" s="173" t="s">
        <v>19</v>
      </c>
      <c r="S93" s="173" t="s">
        <v>20</v>
      </c>
      <c r="T93" s="173" t="s">
        <v>21</v>
      </c>
      <c r="U93" s="173" t="s">
        <v>22</v>
      </c>
      <c r="V93" s="173" t="s">
        <v>23</v>
      </c>
      <c r="W93" s="173" t="s">
        <v>24</v>
      </c>
      <c r="X93" s="173" t="s">
        <v>25</v>
      </c>
      <c r="Y93" s="173" t="s">
        <v>26</v>
      </c>
      <c r="Z93" s="173" t="s">
        <v>27</v>
      </c>
      <c r="AA93" s="173" t="s">
        <v>28</v>
      </c>
      <c r="AB93" s="173" t="s">
        <v>29</v>
      </c>
      <c r="AC93" s="173" t="s">
        <v>30</v>
      </c>
      <c r="AD93" s="173" t="s">
        <v>31</v>
      </c>
      <c r="AE93" s="173" t="s">
        <v>32</v>
      </c>
      <c r="AF93" s="173" t="s">
        <v>33</v>
      </c>
      <c r="AG93" s="173" t="s">
        <v>34</v>
      </c>
      <c r="AH93" s="173" t="s">
        <v>35</v>
      </c>
      <c r="AI93" s="173" t="s">
        <v>36</v>
      </c>
      <c r="AJ93" s="173" t="s">
        <v>37</v>
      </c>
      <c r="AK93" s="173" t="s">
        <v>38</v>
      </c>
      <c r="AL93" s="172"/>
      <c r="AM93" s="172"/>
    </row>
    <row r="94" s="149" customFormat="1" spans="1:39">
      <c r="A94" s="174" t="str">
        <f t="shared" ref="A94:A100" si="22">A6</f>
        <v>Tra_EV_Batt-LFP_fromrecy</v>
      </c>
      <c r="B94" s="175">
        <v>2100</v>
      </c>
      <c r="C94" s="176">
        <f>C126</f>
        <v>28.8045409916923</v>
      </c>
      <c r="D94" s="176">
        <f t="shared" ref="D94:AK94" si="23">D126</f>
        <v>28.8045409916923</v>
      </c>
      <c r="E94" s="176">
        <f t="shared" si="23"/>
        <v>31.692808345239</v>
      </c>
      <c r="F94" s="176">
        <f t="shared" si="23"/>
        <v>31.692808345239</v>
      </c>
      <c r="G94" s="176">
        <f t="shared" si="23"/>
        <v>28.8045409916923</v>
      </c>
      <c r="H94" s="176">
        <f t="shared" si="23"/>
        <v>31.692808345239</v>
      </c>
      <c r="I94" s="176">
        <f t="shared" si="23"/>
        <v>28.8045409916923</v>
      </c>
      <c r="J94" s="176">
        <f t="shared" si="23"/>
        <v>26.4537362689067</v>
      </c>
      <c r="K94" s="176">
        <f t="shared" si="23"/>
        <v>28.8045409916923</v>
      </c>
      <c r="L94" s="176">
        <f t="shared" si="23"/>
        <v>28.8045409916923</v>
      </c>
      <c r="M94" s="176">
        <f t="shared" si="23"/>
        <v>31.692808345239</v>
      </c>
      <c r="N94" s="176">
        <f t="shared" si="23"/>
        <v>31.692808345239</v>
      </c>
      <c r="O94" s="176">
        <f t="shared" si="23"/>
        <v>28.8045409916923</v>
      </c>
      <c r="P94" s="176">
        <f t="shared" si="23"/>
        <v>28.8045409916923</v>
      </c>
      <c r="Q94" s="176">
        <f t="shared" si="23"/>
        <v>31.692808345239</v>
      </c>
      <c r="R94" s="176">
        <f t="shared" si="23"/>
        <v>27.7764230823521</v>
      </c>
      <c r="S94" s="176">
        <f t="shared" si="23"/>
        <v>31.692808345239</v>
      </c>
      <c r="T94" s="176">
        <f t="shared" si="23"/>
        <v>31.692808345239</v>
      </c>
      <c r="U94" s="176">
        <f t="shared" si="23"/>
        <v>27.7764230823521</v>
      </c>
      <c r="V94" s="176">
        <f t="shared" si="23"/>
        <v>28.8045409916923</v>
      </c>
      <c r="W94" s="176">
        <f t="shared" si="23"/>
        <v>28.8045409916923</v>
      </c>
      <c r="X94" s="176">
        <f t="shared" si="23"/>
        <v>27.7764230823521</v>
      </c>
      <c r="Y94" s="176">
        <f t="shared" si="23"/>
        <v>31.692808345239</v>
      </c>
      <c r="Z94" s="176">
        <f t="shared" si="23"/>
        <v>28.8045409916923</v>
      </c>
      <c r="AA94" s="176">
        <f t="shared" si="23"/>
        <v>28.8045409916923</v>
      </c>
      <c r="AB94" s="176">
        <f t="shared" si="23"/>
        <v>28.8045409916923</v>
      </c>
      <c r="AC94" s="176">
        <f t="shared" si="23"/>
        <v>28.8045409916923</v>
      </c>
      <c r="AD94" s="176">
        <f t="shared" si="23"/>
        <v>28.8045409916923</v>
      </c>
      <c r="AE94" s="176">
        <f t="shared" si="23"/>
        <v>28.8045409916923</v>
      </c>
      <c r="AF94" s="176">
        <f t="shared" si="23"/>
        <v>31.692808345239</v>
      </c>
      <c r="AG94" s="176">
        <f t="shared" si="23"/>
        <v>31.692808345239</v>
      </c>
      <c r="AH94" s="176">
        <f t="shared" si="23"/>
        <v>28.8045409916923</v>
      </c>
      <c r="AI94" s="176">
        <f t="shared" si="23"/>
        <v>31.692808345239</v>
      </c>
      <c r="AJ94" s="176">
        <f t="shared" si="23"/>
        <v>28.8045409916923</v>
      </c>
      <c r="AK94" s="176">
        <f t="shared" si="23"/>
        <v>28.8045409916923</v>
      </c>
      <c r="AL94" s="172"/>
      <c r="AM94" s="172"/>
    </row>
    <row r="95" s="149" customFormat="1" spans="1:39">
      <c r="A95" s="174" t="str">
        <f t="shared" si="22"/>
        <v>Tra_EV_Batt-LMO_fromrecy</v>
      </c>
      <c r="B95" s="175">
        <v>2100</v>
      </c>
      <c r="C95" s="176">
        <f t="shared" ref="C95:C100" si="24">C127</f>
        <v>34.4312938287341</v>
      </c>
      <c r="D95" s="176">
        <f t="shared" ref="D95:AK95" si="25">D127</f>
        <v>34.4312938287341</v>
      </c>
      <c r="E95" s="176">
        <f t="shared" si="25"/>
        <v>37.8837627271134</v>
      </c>
      <c r="F95" s="176">
        <f t="shared" si="25"/>
        <v>37.8837627271134</v>
      </c>
      <c r="G95" s="176">
        <f t="shared" si="25"/>
        <v>34.4312938287341</v>
      </c>
      <c r="H95" s="176">
        <f t="shared" si="25"/>
        <v>37.8837627271134</v>
      </c>
      <c r="I95" s="176">
        <f t="shared" si="25"/>
        <v>34.4312938287341</v>
      </c>
      <c r="J95" s="176">
        <f t="shared" si="25"/>
        <v>31.6212768884346</v>
      </c>
      <c r="K95" s="176">
        <f t="shared" si="25"/>
        <v>34.4312938287341</v>
      </c>
      <c r="L95" s="176">
        <f t="shared" si="25"/>
        <v>34.4312938287341</v>
      </c>
      <c r="M95" s="176">
        <f t="shared" si="25"/>
        <v>37.8837627271134</v>
      </c>
      <c r="N95" s="176">
        <f t="shared" si="25"/>
        <v>37.8837627271134</v>
      </c>
      <c r="O95" s="176">
        <f t="shared" si="25"/>
        <v>34.4312938287341</v>
      </c>
      <c r="P95" s="176">
        <f t="shared" si="25"/>
        <v>34.4312938287341</v>
      </c>
      <c r="Q95" s="176">
        <f t="shared" si="25"/>
        <v>37.8837627271134</v>
      </c>
      <c r="R95" s="176">
        <f t="shared" si="25"/>
        <v>33.2023407328564</v>
      </c>
      <c r="S95" s="176">
        <f t="shared" si="25"/>
        <v>37.8837627271134</v>
      </c>
      <c r="T95" s="176">
        <f t="shared" si="25"/>
        <v>37.8837627271134</v>
      </c>
      <c r="U95" s="176">
        <f t="shared" si="25"/>
        <v>33.2023407328564</v>
      </c>
      <c r="V95" s="176">
        <f t="shared" si="25"/>
        <v>34.4312938287341</v>
      </c>
      <c r="W95" s="176">
        <f t="shared" si="25"/>
        <v>34.4312938287341</v>
      </c>
      <c r="X95" s="176">
        <f t="shared" si="25"/>
        <v>33.2023407328564</v>
      </c>
      <c r="Y95" s="176">
        <f t="shared" si="25"/>
        <v>37.8837627271134</v>
      </c>
      <c r="Z95" s="176">
        <f t="shared" si="25"/>
        <v>34.4312938287341</v>
      </c>
      <c r="AA95" s="176">
        <f t="shared" si="25"/>
        <v>34.4312938287341</v>
      </c>
      <c r="AB95" s="176">
        <f t="shared" si="25"/>
        <v>34.4312938287341</v>
      </c>
      <c r="AC95" s="176">
        <f t="shared" si="25"/>
        <v>34.4312938287341</v>
      </c>
      <c r="AD95" s="176">
        <f t="shared" si="25"/>
        <v>34.4312938287341</v>
      </c>
      <c r="AE95" s="176">
        <f t="shared" si="25"/>
        <v>34.4312938287341</v>
      </c>
      <c r="AF95" s="176">
        <f t="shared" si="25"/>
        <v>37.8837627271134</v>
      </c>
      <c r="AG95" s="176">
        <f t="shared" si="25"/>
        <v>37.8837627271134</v>
      </c>
      <c r="AH95" s="176">
        <f t="shared" si="25"/>
        <v>34.4312938287341</v>
      </c>
      <c r="AI95" s="176">
        <f t="shared" si="25"/>
        <v>37.8837627271134</v>
      </c>
      <c r="AJ95" s="176">
        <f t="shared" si="25"/>
        <v>34.4312938287341</v>
      </c>
      <c r="AK95" s="176">
        <f t="shared" si="25"/>
        <v>34.4312938287341</v>
      </c>
      <c r="AL95" s="172"/>
      <c r="AM95" s="172"/>
    </row>
    <row r="96" s="149" customFormat="1" spans="1:39">
      <c r="A96" s="174" t="str">
        <f t="shared" si="22"/>
        <v>Tra_EV_Batt-NCA_fromrecy</v>
      </c>
      <c r="B96" s="175">
        <v>2100</v>
      </c>
      <c r="C96" s="176">
        <f t="shared" si="24"/>
        <v>29.123667808667</v>
      </c>
      <c r="D96" s="176">
        <f t="shared" ref="D96:AK96" si="26">D128</f>
        <v>29.123667808667</v>
      </c>
      <c r="E96" s="176">
        <f t="shared" si="26"/>
        <v>32.043934407311</v>
      </c>
      <c r="F96" s="176">
        <f t="shared" si="26"/>
        <v>32.043934407311</v>
      </c>
      <c r="G96" s="176">
        <f t="shared" si="26"/>
        <v>29.123667808667</v>
      </c>
      <c r="H96" s="176">
        <f t="shared" si="26"/>
        <v>32.043934407311</v>
      </c>
      <c r="I96" s="176">
        <f t="shared" si="26"/>
        <v>29.123667808667</v>
      </c>
      <c r="J96" s="176">
        <f t="shared" si="26"/>
        <v>26.7468184136636</v>
      </c>
      <c r="K96" s="176">
        <f t="shared" si="26"/>
        <v>29.123667808667</v>
      </c>
      <c r="L96" s="176">
        <f t="shared" si="26"/>
        <v>29.123667808667</v>
      </c>
      <c r="M96" s="176">
        <f t="shared" si="26"/>
        <v>32.043934407311</v>
      </c>
      <c r="N96" s="176">
        <f t="shared" si="26"/>
        <v>32.043934407311</v>
      </c>
      <c r="O96" s="176">
        <f t="shared" si="26"/>
        <v>29.123667808667</v>
      </c>
      <c r="P96" s="176">
        <f t="shared" si="26"/>
        <v>29.123667808667</v>
      </c>
      <c r="Q96" s="176">
        <f t="shared" si="26"/>
        <v>32.043934407311</v>
      </c>
      <c r="R96" s="176">
        <f t="shared" si="26"/>
        <v>28.0841593343468</v>
      </c>
      <c r="S96" s="176">
        <f t="shared" si="26"/>
        <v>32.043934407311</v>
      </c>
      <c r="T96" s="176">
        <f t="shared" si="26"/>
        <v>32.043934407311</v>
      </c>
      <c r="U96" s="176">
        <f t="shared" si="26"/>
        <v>28.0841593343468</v>
      </c>
      <c r="V96" s="176">
        <f t="shared" si="26"/>
        <v>29.123667808667</v>
      </c>
      <c r="W96" s="176">
        <f t="shared" si="26"/>
        <v>29.123667808667</v>
      </c>
      <c r="X96" s="176">
        <f t="shared" si="26"/>
        <v>28.0841593343468</v>
      </c>
      <c r="Y96" s="176">
        <f t="shared" si="26"/>
        <v>32.043934407311</v>
      </c>
      <c r="Z96" s="176">
        <f t="shared" si="26"/>
        <v>29.123667808667</v>
      </c>
      <c r="AA96" s="176">
        <f t="shared" si="26"/>
        <v>29.123667808667</v>
      </c>
      <c r="AB96" s="176">
        <f t="shared" si="26"/>
        <v>29.123667808667</v>
      </c>
      <c r="AC96" s="176">
        <f t="shared" si="26"/>
        <v>29.123667808667</v>
      </c>
      <c r="AD96" s="176">
        <f t="shared" si="26"/>
        <v>29.123667808667</v>
      </c>
      <c r="AE96" s="176">
        <f t="shared" si="26"/>
        <v>29.123667808667</v>
      </c>
      <c r="AF96" s="176">
        <f t="shared" si="26"/>
        <v>32.043934407311</v>
      </c>
      <c r="AG96" s="176">
        <f t="shared" si="26"/>
        <v>32.043934407311</v>
      </c>
      <c r="AH96" s="176">
        <f t="shared" si="26"/>
        <v>29.123667808667</v>
      </c>
      <c r="AI96" s="176">
        <f t="shared" si="26"/>
        <v>32.043934407311</v>
      </c>
      <c r="AJ96" s="176">
        <f t="shared" si="26"/>
        <v>29.123667808667</v>
      </c>
      <c r="AK96" s="176">
        <f t="shared" si="26"/>
        <v>29.123667808667</v>
      </c>
      <c r="AL96" s="172"/>
      <c r="AM96" s="172"/>
    </row>
    <row r="97" s="149" customFormat="1" spans="1:39">
      <c r="A97" s="174" t="str">
        <f t="shared" si="22"/>
        <v>Tra_EV_Batt-NMC111_fromrecy</v>
      </c>
      <c r="B97" s="175">
        <v>2100</v>
      </c>
      <c r="C97" s="176">
        <f t="shared" si="24"/>
        <v>28.8423228990668</v>
      </c>
      <c r="D97" s="176">
        <f t="shared" ref="D97:AK97" si="27">D129</f>
        <v>28.8423228990668</v>
      </c>
      <c r="E97" s="176">
        <f t="shared" si="27"/>
        <v>31.7343786917231</v>
      </c>
      <c r="F97" s="176">
        <f t="shared" si="27"/>
        <v>31.7343786917231</v>
      </c>
      <c r="G97" s="176">
        <f t="shared" si="27"/>
        <v>28.8423228990668</v>
      </c>
      <c r="H97" s="176">
        <f t="shared" si="27"/>
        <v>31.7343786917231</v>
      </c>
      <c r="I97" s="176">
        <f t="shared" si="27"/>
        <v>28.8423228990668</v>
      </c>
      <c r="J97" s="176">
        <f t="shared" si="27"/>
        <v>26.4884347080768</v>
      </c>
      <c r="K97" s="176">
        <f t="shared" si="27"/>
        <v>28.8423228990668</v>
      </c>
      <c r="L97" s="176">
        <f t="shared" si="27"/>
        <v>28.8423228990668</v>
      </c>
      <c r="M97" s="176">
        <f t="shared" si="27"/>
        <v>31.7343786917231</v>
      </c>
      <c r="N97" s="176">
        <f t="shared" si="27"/>
        <v>31.7343786917231</v>
      </c>
      <c r="O97" s="176">
        <f t="shared" si="27"/>
        <v>28.8423228990668</v>
      </c>
      <c r="P97" s="176">
        <f t="shared" si="27"/>
        <v>28.8423228990668</v>
      </c>
      <c r="Q97" s="176">
        <f t="shared" si="27"/>
        <v>31.7343786917231</v>
      </c>
      <c r="R97" s="176">
        <f t="shared" si="27"/>
        <v>27.8128564434806</v>
      </c>
      <c r="S97" s="176">
        <f t="shared" si="27"/>
        <v>31.7343786917231</v>
      </c>
      <c r="T97" s="176">
        <f t="shared" si="27"/>
        <v>31.7343786917231</v>
      </c>
      <c r="U97" s="176">
        <f t="shared" si="27"/>
        <v>27.8128564434806</v>
      </c>
      <c r="V97" s="176">
        <f t="shared" si="27"/>
        <v>28.8423228990668</v>
      </c>
      <c r="W97" s="176">
        <f t="shared" si="27"/>
        <v>28.8423228990668</v>
      </c>
      <c r="X97" s="176">
        <f t="shared" si="27"/>
        <v>27.8128564434806</v>
      </c>
      <c r="Y97" s="176">
        <f t="shared" si="27"/>
        <v>31.7343786917231</v>
      </c>
      <c r="Z97" s="176">
        <f t="shared" si="27"/>
        <v>28.8423228990668</v>
      </c>
      <c r="AA97" s="176">
        <f t="shared" si="27"/>
        <v>28.8423228990668</v>
      </c>
      <c r="AB97" s="176">
        <f t="shared" si="27"/>
        <v>28.8423228990668</v>
      </c>
      <c r="AC97" s="176">
        <f t="shared" si="27"/>
        <v>28.8423228990668</v>
      </c>
      <c r="AD97" s="176">
        <f t="shared" si="27"/>
        <v>28.8423228990668</v>
      </c>
      <c r="AE97" s="176">
        <f t="shared" si="27"/>
        <v>28.8423228990668</v>
      </c>
      <c r="AF97" s="176">
        <f t="shared" si="27"/>
        <v>31.7343786917231</v>
      </c>
      <c r="AG97" s="176">
        <f t="shared" si="27"/>
        <v>31.7343786917231</v>
      </c>
      <c r="AH97" s="176">
        <f t="shared" si="27"/>
        <v>28.8423228990668</v>
      </c>
      <c r="AI97" s="176">
        <f t="shared" si="27"/>
        <v>31.7343786917231</v>
      </c>
      <c r="AJ97" s="176">
        <f t="shared" si="27"/>
        <v>28.8423228990668</v>
      </c>
      <c r="AK97" s="176">
        <f t="shared" si="27"/>
        <v>28.8423228990668</v>
      </c>
      <c r="AL97" s="172"/>
      <c r="AM97" s="172"/>
    </row>
    <row r="98" s="149" customFormat="1" spans="1:39">
      <c r="A98" s="174" t="str">
        <f t="shared" si="22"/>
        <v>Tra_EV_Batt-NMC532_fromrecy</v>
      </c>
      <c r="B98" s="175">
        <v>2100</v>
      </c>
      <c r="C98" s="176">
        <f t="shared" si="24"/>
        <v>30.8192490030047</v>
      </c>
      <c r="D98" s="176">
        <f t="shared" ref="D98:AK98" si="28">D130</f>
        <v>30.8192490030047</v>
      </c>
      <c r="E98" s="176">
        <f t="shared" si="28"/>
        <v>33.9095336488138</v>
      </c>
      <c r="F98" s="176">
        <f t="shared" si="28"/>
        <v>33.9095336488138</v>
      </c>
      <c r="G98" s="176">
        <f t="shared" si="28"/>
        <v>30.8192490030047</v>
      </c>
      <c r="H98" s="176">
        <f t="shared" si="28"/>
        <v>33.9095336488138</v>
      </c>
      <c r="I98" s="176">
        <f t="shared" si="28"/>
        <v>30.8192490030047</v>
      </c>
      <c r="J98" s="176">
        <f t="shared" si="28"/>
        <v>28.3040193338402</v>
      </c>
      <c r="K98" s="176">
        <f t="shared" si="28"/>
        <v>30.8192490030047</v>
      </c>
      <c r="L98" s="176">
        <f t="shared" si="28"/>
        <v>30.8192490030047</v>
      </c>
      <c r="M98" s="176">
        <f t="shared" si="28"/>
        <v>33.9095336488138</v>
      </c>
      <c r="N98" s="176">
        <f t="shared" si="28"/>
        <v>33.9095336488138</v>
      </c>
      <c r="O98" s="176">
        <f t="shared" si="28"/>
        <v>30.8192490030047</v>
      </c>
      <c r="P98" s="176">
        <f t="shared" si="28"/>
        <v>30.8192490030047</v>
      </c>
      <c r="Q98" s="176">
        <f t="shared" si="28"/>
        <v>33.9095336488138</v>
      </c>
      <c r="R98" s="176">
        <f t="shared" si="28"/>
        <v>29.7192203005323</v>
      </c>
      <c r="S98" s="176">
        <f t="shared" si="28"/>
        <v>33.9095336488138</v>
      </c>
      <c r="T98" s="176">
        <f t="shared" si="28"/>
        <v>33.9095336488138</v>
      </c>
      <c r="U98" s="176">
        <f t="shared" si="28"/>
        <v>29.7192203005323</v>
      </c>
      <c r="V98" s="176">
        <f t="shared" si="28"/>
        <v>30.8192490030047</v>
      </c>
      <c r="W98" s="176">
        <f t="shared" si="28"/>
        <v>30.8192490030047</v>
      </c>
      <c r="X98" s="176">
        <f t="shared" si="28"/>
        <v>29.7192203005323</v>
      </c>
      <c r="Y98" s="176">
        <f t="shared" si="28"/>
        <v>33.9095336488138</v>
      </c>
      <c r="Z98" s="176">
        <f t="shared" si="28"/>
        <v>30.8192490030047</v>
      </c>
      <c r="AA98" s="176">
        <f t="shared" si="28"/>
        <v>30.8192490030047</v>
      </c>
      <c r="AB98" s="176">
        <f t="shared" si="28"/>
        <v>30.8192490030047</v>
      </c>
      <c r="AC98" s="176">
        <f t="shared" si="28"/>
        <v>30.8192490030047</v>
      </c>
      <c r="AD98" s="176">
        <f t="shared" si="28"/>
        <v>30.8192490030047</v>
      </c>
      <c r="AE98" s="176">
        <f t="shared" si="28"/>
        <v>30.8192490030047</v>
      </c>
      <c r="AF98" s="176">
        <f t="shared" si="28"/>
        <v>33.9095336488138</v>
      </c>
      <c r="AG98" s="176">
        <f t="shared" si="28"/>
        <v>33.9095336488138</v>
      </c>
      <c r="AH98" s="176">
        <f t="shared" si="28"/>
        <v>30.8192490030047</v>
      </c>
      <c r="AI98" s="176">
        <f t="shared" si="28"/>
        <v>33.9095336488138</v>
      </c>
      <c r="AJ98" s="176">
        <f t="shared" si="28"/>
        <v>30.8192490030047</v>
      </c>
      <c r="AK98" s="176">
        <f t="shared" si="28"/>
        <v>30.8192490030047</v>
      </c>
      <c r="AL98" s="172"/>
      <c r="AM98" s="172"/>
    </row>
    <row r="99" s="149" customFormat="1" spans="1:39">
      <c r="A99" s="174" t="str">
        <f t="shared" si="22"/>
        <v>Tra_EV_Batt-NMC622_fromrecy</v>
      </c>
      <c r="B99" s="175">
        <v>2100</v>
      </c>
      <c r="C99" s="176">
        <f t="shared" si="24"/>
        <v>29.7653476666981</v>
      </c>
      <c r="D99" s="176">
        <f t="shared" ref="D99:AK99" si="29">D131</f>
        <v>29.7653476666981</v>
      </c>
      <c r="E99" s="176">
        <f t="shared" si="29"/>
        <v>32.749956307311</v>
      </c>
      <c r="F99" s="176">
        <f t="shared" si="29"/>
        <v>32.749956307311</v>
      </c>
      <c r="G99" s="176">
        <f t="shared" si="29"/>
        <v>29.7653476666981</v>
      </c>
      <c r="H99" s="176">
        <f t="shared" si="29"/>
        <v>32.749956307311</v>
      </c>
      <c r="I99" s="176">
        <f t="shared" si="29"/>
        <v>29.7653476666981</v>
      </c>
      <c r="J99" s="176">
        <f t="shared" si="29"/>
        <v>27.3361293052456</v>
      </c>
      <c r="K99" s="176">
        <f t="shared" si="29"/>
        <v>29.7653476666981</v>
      </c>
      <c r="L99" s="176">
        <f t="shared" si="29"/>
        <v>29.7653476666981</v>
      </c>
      <c r="M99" s="176">
        <f t="shared" si="29"/>
        <v>32.749956307311</v>
      </c>
      <c r="N99" s="176">
        <f t="shared" si="29"/>
        <v>32.749956307311</v>
      </c>
      <c r="O99" s="176">
        <f t="shared" si="29"/>
        <v>29.7653476666981</v>
      </c>
      <c r="P99" s="176">
        <f t="shared" si="29"/>
        <v>29.7653476666981</v>
      </c>
      <c r="Q99" s="176">
        <f t="shared" si="29"/>
        <v>32.749956307311</v>
      </c>
      <c r="R99" s="176">
        <f t="shared" si="29"/>
        <v>28.7029357705079</v>
      </c>
      <c r="S99" s="176">
        <f t="shared" si="29"/>
        <v>32.749956307311</v>
      </c>
      <c r="T99" s="176">
        <f t="shared" si="29"/>
        <v>32.749956307311</v>
      </c>
      <c r="U99" s="176">
        <f t="shared" si="29"/>
        <v>28.7029357705079</v>
      </c>
      <c r="V99" s="176">
        <f t="shared" si="29"/>
        <v>29.7653476666981</v>
      </c>
      <c r="W99" s="176">
        <f t="shared" si="29"/>
        <v>29.7653476666981</v>
      </c>
      <c r="X99" s="176">
        <f t="shared" si="29"/>
        <v>28.7029357705079</v>
      </c>
      <c r="Y99" s="176">
        <f t="shared" si="29"/>
        <v>32.749956307311</v>
      </c>
      <c r="Z99" s="176">
        <f t="shared" si="29"/>
        <v>29.7653476666981</v>
      </c>
      <c r="AA99" s="176">
        <f t="shared" si="29"/>
        <v>29.7653476666981</v>
      </c>
      <c r="AB99" s="176">
        <f t="shared" si="29"/>
        <v>29.7653476666981</v>
      </c>
      <c r="AC99" s="176">
        <f t="shared" si="29"/>
        <v>29.7653476666981</v>
      </c>
      <c r="AD99" s="176">
        <f t="shared" si="29"/>
        <v>29.7653476666981</v>
      </c>
      <c r="AE99" s="176">
        <f t="shared" si="29"/>
        <v>29.7653476666981</v>
      </c>
      <c r="AF99" s="176">
        <f t="shared" si="29"/>
        <v>32.749956307311</v>
      </c>
      <c r="AG99" s="176">
        <f t="shared" si="29"/>
        <v>32.749956307311</v>
      </c>
      <c r="AH99" s="176">
        <f t="shared" si="29"/>
        <v>29.7653476666981</v>
      </c>
      <c r="AI99" s="176">
        <f t="shared" si="29"/>
        <v>32.749956307311</v>
      </c>
      <c r="AJ99" s="176">
        <f t="shared" si="29"/>
        <v>29.7653476666981</v>
      </c>
      <c r="AK99" s="176">
        <f t="shared" si="29"/>
        <v>29.7653476666981</v>
      </c>
      <c r="AL99" s="172"/>
      <c r="AM99" s="172"/>
    </row>
    <row r="100" s="149" customFormat="1" spans="1:39">
      <c r="A100" s="174" t="str">
        <f t="shared" si="22"/>
        <v>Tra_EV_Batt-NMC811_fromrecy</v>
      </c>
      <c r="B100" s="175">
        <v>2100</v>
      </c>
      <c r="C100" s="176">
        <f t="shared" si="24"/>
        <v>31.1420304589999</v>
      </c>
      <c r="D100" s="176">
        <f t="shared" ref="D100:AK100" si="30">D132</f>
        <v>31.1420304589999</v>
      </c>
      <c r="E100" s="176">
        <f t="shared" si="30"/>
        <v>34.2646808051321</v>
      </c>
      <c r="F100" s="176">
        <f t="shared" si="30"/>
        <v>34.2646808051321</v>
      </c>
      <c r="G100" s="176">
        <f t="shared" si="30"/>
        <v>31.1420304589999</v>
      </c>
      <c r="H100" s="176">
        <f t="shared" si="30"/>
        <v>34.2646808051321</v>
      </c>
      <c r="I100" s="176">
        <f t="shared" si="30"/>
        <v>31.1420304589999</v>
      </c>
      <c r="J100" s="176">
        <f t="shared" si="30"/>
        <v>28.6004578541366</v>
      </c>
      <c r="K100" s="176">
        <f t="shared" si="30"/>
        <v>31.1420304589999</v>
      </c>
      <c r="L100" s="176">
        <f t="shared" si="30"/>
        <v>31.1420304589999</v>
      </c>
      <c r="M100" s="176">
        <f t="shared" si="30"/>
        <v>34.2646808051321</v>
      </c>
      <c r="N100" s="176">
        <f t="shared" si="30"/>
        <v>34.2646808051321</v>
      </c>
      <c r="O100" s="176">
        <f t="shared" si="30"/>
        <v>31.1420304589999</v>
      </c>
      <c r="P100" s="176">
        <f t="shared" si="30"/>
        <v>31.1420304589999</v>
      </c>
      <c r="Q100" s="176">
        <f t="shared" si="30"/>
        <v>34.2646808051321</v>
      </c>
      <c r="R100" s="176">
        <f t="shared" si="30"/>
        <v>30.0304807468434</v>
      </c>
      <c r="S100" s="176">
        <f t="shared" si="30"/>
        <v>34.2646808051321</v>
      </c>
      <c r="T100" s="176">
        <f t="shared" si="30"/>
        <v>34.2646808051321</v>
      </c>
      <c r="U100" s="176">
        <f t="shared" si="30"/>
        <v>30.0304807468434</v>
      </c>
      <c r="V100" s="176">
        <f t="shared" si="30"/>
        <v>31.1420304589999</v>
      </c>
      <c r="W100" s="176">
        <f t="shared" si="30"/>
        <v>31.1420304589999</v>
      </c>
      <c r="X100" s="176">
        <f t="shared" si="30"/>
        <v>30.0304807468434</v>
      </c>
      <c r="Y100" s="176">
        <f t="shared" si="30"/>
        <v>34.2646808051321</v>
      </c>
      <c r="Z100" s="176">
        <f t="shared" si="30"/>
        <v>31.1420304589999</v>
      </c>
      <c r="AA100" s="176">
        <f t="shared" si="30"/>
        <v>31.1420304589999</v>
      </c>
      <c r="AB100" s="176">
        <f t="shared" si="30"/>
        <v>31.1420304589999</v>
      </c>
      <c r="AC100" s="176">
        <f t="shared" si="30"/>
        <v>31.1420304589999</v>
      </c>
      <c r="AD100" s="176">
        <f t="shared" si="30"/>
        <v>31.1420304589999</v>
      </c>
      <c r="AE100" s="176">
        <f t="shared" si="30"/>
        <v>31.1420304589999</v>
      </c>
      <c r="AF100" s="176">
        <f t="shared" si="30"/>
        <v>34.2646808051321</v>
      </c>
      <c r="AG100" s="176">
        <f t="shared" si="30"/>
        <v>34.2646808051321</v>
      </c>
      <c r="AH100" s="176">
        <f t="shared" si="30"/>
        <v>31.1420304589999</v>
      </c>
      <c r="AI100" s="176">
        <f t="shared" si="30"/>
        <v>34.2646808051321</v>
      </c>
      <c r="AJ100" s="176">
        <f t="shared" si="30"/>
        <v>31.1420304589999</v>
      </c>
      <c r="AK100" s="176">
        <f t="shared" si="30"/>
        <v>31.1420304589999</v>
      </c>
      <c r="AL100" s="172"/>
      <c r="AM100" s="172"/>
    </row>
    <row r="102" spans="1:39">
      <c r="A102" s="153" t="s">
        <v>139</v>
      </c>
    </row>
    <row r="104" spans="1:39">
      <c r="A104" s="177"/>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31">B6</f>
        <v>Tra_EV_Batt-LFP</v>
      </c>
      <c r="B106" s="178">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66.584076</v>
      </c>
      <c r="S106" s="167">
        <f>$E$6*B$23*C$51</f>
        <v>97.1017775</v>
      </c>
      <c r="T106" s="167">
        <f>$E$6*B$23*C$52</f>
        <v>97.1017775</v>
      </c>
      <c r="U106" s="167">
        <f>$E$6*B$23*C$53</f>
        <v>66.584076</v>
      </c>
      <c r="V106" s="167">
        <f>$E$6*B$23*C$54</f>
        <v>80.4557585</v>
      </c>
      <c r="W106" s="167">
        <f>$E$6*B$23*C$55</f>
        <v>80.4557585</v>
      </c>
      <c r="X106" s="167">
        <f>$E$6*B$23*C$56</f>
        <v>66.584076</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31"/>
        <v>Tra_EV_Batt-LMO</v>
      </c>
      <c r="B107" s="179">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79.59078</v>
      </c>
      <c r="S107" s="162">
        <f>$E$7*B$23*C$51</f>
        <v>116.0698875</v>
      </c>
      <c r="T107" s="162">
        <f>$E$7*B$23*C$52</f>
        <v>116.0698875</v>
      </c>
      <c r="U107" s="162">
        <f>$E$7*B$23*C$53</f>
        <v>79.59078</v>
      </c>
      <c r="V107" s="162">
        <f>$E$7*B$23*C$54</f>
        <v>96.1721925</v>
      </c>
      <c r="W107" s="162">
        <f>$E$7*B$23*C$55</f>
        <v>96.1721925</v>
      </c>
      <c r="X107" s="162">
        <f>$E$7*B$23*C$56</f>
        <v>79.59078</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31"/>
        <v>Tra_EV_Batt-NCA</v>
      </c>
      <c r="B108" s="178">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67.321764</v>
      </c>
      <c r="S108" s="167">
        <f>$E$8*B$23*C$51</f>
        <v>98.1775725</v>
      </c>
      <c r="T108" s="167">
        <f>$E$8*B$23*C$52</f>
        <v>98.1775725</v>
      </c>
      <c r="U108" s="167">
        <f>$E$8*B$23*C$53</f>
        <v>67.321764</v>
      </c>
      <c r="V108" s="167">
        <f>$E$8*B$23*C$54</f>
        <v>81.3471315</v>
      </c>
      <c r="W108" s="167">
        <f>$E$8*B$23*C$55</f>
        <v>81.3471315</v>
      </c>
      <c r="X108" s="167">
        <f>$E$8*B$23*C$56</f>
        <v>67.321764</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31"/>
        <v>Tra_EV_Batt-NMC111</v>
      </c>
      <c r="B109" s="179">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66.671412</v>
      </c>
      <c r="S109" s="162">
        <f>$E$9*B$23*C$51</f>
        <v>97.2291425</v>
      </c>
      <c r="T109" s="162">
        <f>$E$9*B$23*C$52</f>
        <v>97.2291425</v>
      </c>
      <c r="U109" s="162">
        <f>$E$9*B$23*C$53</f>
        <v>66.671412</v>
      </c>
      <c r="V109" s="162">
        <f>$E$9*B$23*C$54</f>
        <v>80.5612895</v>
      </c>
      <c r="W109" s="162">
        <f>$E$9*B$23*C$55</f>
        <v>80.5612895</v>
      </c>
      <c r="X109" s="162">
        <f>$E$9*B$23*C$56</f>
        <v>66.671412</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31"/>
        <v>Tra_EV_Batt-NMC532</v>
      </c>
      <c r="B110" s="178">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71.24124</v>
      </c>
      <c r="S110" s="167">
        <f>$E$10*B$23*C$51</f>
        <v>103.893475</v>
      </c>
      <c r="T110" s="167">
        <f>$E$10*B$23*C$52</f>
        <v>103.893475</v>
      </c>
      <c r="U110" s="167">
        <f>$E$10*B$23*C$53</f>
        <v>71.24124</v>
      </c>
      <c r="V110" s="167">
        <f>$E$10*B$23*C$54</f>
        <v>86.083165</v>
      </c>
      <c r="W110" s="167">
        <f>$E$10*B$23*C$55</f>
        <v>86.083165</v>
      </c>
      <c r="X110" s="167">
        <f>$E$10*B$23*C$56</f>
        <v>71.24124</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31"/>
        <v>Tra_EV_Batt-NMC622</v>
      </c>
      <c r="B111" s="179">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68.80506</v>
      </c>
      <c r="S111" s="162">
        <f>$E$11*B$23*C$51</f>
        <v>100.3407125</v>
      </c>
      <c r="T111" s="162">
        <f>$E$11*B$23*C$52</f>
        <v>100.3407125</v>
      </c>
      <c r="U111" s="162">
        <f>$E$11*B$23*C$53</f>
        <v>68.80506</v>
      </c>
      <c r="V111" s="162">
        <f>$E$11*B$23*C$54</f>
        <v>83.1394475</v>
      </c>
      <c r="W111" s="162">
        <f>$E$11*B$23*C$55</f>
        <v>83.1394475</v>
      </c>
      <c r="X111" s="162">
        <f>$E$11*B$23*C$56</f>
        <v>68.80506</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31"/>
        <v>Tra_EV_Batt-NMC811</v>
      </c>
      <c r="B112" s="178">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71.987376</v>
      </c>
      <c r="S112" s="167">
        <f>$E$12*B$23*C$51</f>
        <v>104.98159</v>
      </c>
      <c r="T112" s="167">
        <f>$E$12*B$23*C$52</f>
        <v>104.98159</v>
      </c>
      <c r="U112" s="167">
        <f>$E$12*B$23*C$53</f>
        <v>71.987376</v>
      </c>
      <c r="V112" s="167">
        <f>$E$12*B$23*C$54</f>
        <v>86.984746</v>
      </c>
      <c r="W112" s="167">
        <f>$E$12*B$23*C$55</f>
        <v>86.984746</v>
      </c>
      <c r="X112" s="167">
        <f>$E$12*B$23*C$56</f>
        <v>71.987376</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140</v>
      </c>
      <c r="C113" s="150">
        <f>C106</f>
        <v>80.4557585</v>
      </c>
      <c r="D113" s="150">
        <f t="shared" ref="D113:AK113" si="32">D106</f>
        <v>80.4557585</v>
      </c>
      <c r="E113" s="150">
        <f t="shared" si="32"/>
        <v>97.1017775</v>
      </c>
      <c r="F113" s="150">
        <f t="shared" si="32"/>
        <v>97.1017775</v>
      </c>
      <c r="G113" s="150">
        <f t="shared" si="32"/>
        <v>80.4557585</v>
      </c>
      <c r="H113" s="150">
        <f t="shared" si="32"/>
        <v>97.1017775</v>
      </c>
      <c r="I113" s="150">
        <f t="shared" si="32"/>
        <v>80.4557585</v>
      </c>
      <c r="J113" s="150">
        <f t="shared" si="32"/>
        <v>55.48673</v>
      </c>
      <c r="K113" s="150">
        <f t="shared" si="32"/>
        <v>80.4557585</v>
      </c>
      <c r="L113" s="150">
        <f t="shared" si="32"/>
        <v>80.4557585</v>
      </c>
      <c r="M113" s="150">
        <f t="shared" si="32"/>
        <v>97.1017775</v>
      </c>
      <c r="N113" s="150">
        <f t="shared" si="32"/>
        <v>97.1017775</v>
      </c>
      <c r="O113" s="150">
        <f t="shared" si="32"/>
        <v>80.4557585</v>
      </c>
      <c r="P113" s="150">
        <f t="shared" si="32"/>
        <v>80.4557585</v>
      </c>
      <c r="Q113" s="150">
        <f t="shared" si="32"/>
        <v>97.1017775</v>
      </c>
      <c r="R113" s="150">
        <f t="shared" si="32"/>
        <v>66.584076</v>
      </c>
      <c r="S113" s="150">
        <f t="shared" si="32"/>
        <v>97.1017775</v>
      </c>
      <c r="T113" s="150">
        <f t="shared" si="32"/>
        <v>97.1017775</v>
      </c>
      <c r="U113" s="150">
        <f t="shared" si="32"/>
        <v>66.584076</v>
      </c>
      <c r="V113" s="150">
        <f t="shared" si="32"/>
        <v>80.4557585</v>
      </c>
      <c r="W113" s="150">
        <f t="shared" si="32"/>
        <v>80.4557585</v>
      </c>
      <c r="X113" s="150">
        <f t="shared" si="32"/>
        <v>66.584076</v>
      </c>
      <c r="Y113" s="150">
        <f t="shared" si="32"/>
        <v>97.1017775</v>
      </c>
      <c r="Z113" s="150">
        <f t="shared" si="32"/>
        <v>80.4557585</v>
      </c>
      <c r="AA113" s="150">
        <f t="shared" si="32"/>
        <v>80.4557585</v>
      </c>
      <c r="AB113" s="150">
        <f t="shared" si="32"/>
        <v>80.4557585</v>
      </c>
      <c r="AC113" s="150">
        <f t="shared" si="32"/>
        <v>80.4557585</v>
      </c>
      <c r="AD113" s="150">
        <f t="shared" si="32"/>
        <v>80.4557585</v>
      </c>
      <c r="AE113" s="150">
        <f t="shared" si="32"/>
        <v>80.4557585</v>
      </c>
      <c r="AF113" s="150">
        <f t="shared" si="32"/>
        <v>97.1017775</v>
      </c>
      <c r="AG113" s="150">
        <f t="shared" si="32"/>
        <v>97.1017775</v>
      </c>
      <c r="AH113" s="150">
        <f t="shared" si="32"/>
        <v>80.4557585</v>
      </c>
      <c r="AI113" s="150">
        <f t="shared" si="32"/>
        <v>97.1017775</v>
      </c>
      <c r="AJ113" s="150">
        <f t="shared" si="32"/>
        <v>80.4557585</v>
      </c>
      <c r="AK113" s="150">
        <f t="shared" si="32"/>
        <v>80.4557585</v>
      </c>
    </row>
    <row r="114" spans="1:37">
      <c r="A114" s="177"/>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33">B6</f>
        <v>Tra_EV_Batt-LFP</v>
      </c>
      <c r="B116" s="178">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37.829217142937</v>
      </c>
      <c r="S116" s="167">
        <f>$E$6*C$23*D$51</f>
        <v>46.4218455073446</v>
      </c>
      <c r="T116" s="167">
        <f>$E$6*C$23*D$52</f>
        <v>46.4218455073446</v>
      </c>
      <c r="U116" s="167">
        <f>$E$6*C$23*D$53</f>
        <v>37.829217142937</v>
      </c>
      <c r="V116" s="167">
        <f>$E$6*C$23*D$54</f>
        <v>40.5801331332752</v>
      </c>
      <c r="W116" s="167">
        <f>$E$6*C$23*D$55</f>
        <v>40.5801331332752</v>
      </c>
      <c r="X116" s="167">
        <f>$E$6*C$23*D$56</f>
        <v>37.829217142937</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33"/>
        <v>Tra_EV_Batt-LMO</v>
      </c>
      <c r="B117" s="179">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45.2188733413636</v>
      </c>
      <c r="S117" s="162">
        <f>$E$7*C$23*D$51</f>
        <v>55.4900077455314</v>
      </c>
      <c r="T117" s="162">
        <f>$E$7*C$23*D$52</f>
        <v>55.4900077455314</v>
      </c>
      <c r="U117" s="162">
        <f>$E$7*C$23*D$53</f>
        <v>45.2188733413636</v>
      </c>
      <c r="V117" s="162">
        <f>$E$7*C$23*D$54</f>
        <v>48.5071603093391</v>
      </c>
      <c r="W117" s="162">
        <f>$E$7*C$23*D$55</f>
        <v>48.5071603093391</v>
      </c>
      <c r="X117" s="162">
        <f>$E$7*C$23*D$56</f>
        <v>45.2188733413636</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33"/>
        <v>Tra_EV_Batt-NCA</v>
      </c>
      <c r="B118" s="178">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38.2483287565868</v>
      </c>
      <c r="S118" s="167">
        <f>$E$8*C$23*D$51</f>
        <v>46.9361552406301</v>
      </c>
      <c r="T118" s="167">
        <f>$E$8*C$23*D$52</f>
        <v>46.9361552406301</v>
      </c>
      <c r="U118" s="167">
        <f>$E$8*C$23*D$53</f>
        <v>38.2483287565868</v>
      </c>
      <c r="V118" s="167">
        <f>$E$8*C$23*D$54</f>
        <v>41.0297222700355</v>
      </c>
      <c r="W118" s="167">
        <f>$E$8*C$23*D$55</f>
        <v>41.0297222700355</v>
      </c>
      <c r="X118" s="167">
        <f>$E$8*C$23*D$56</f>
        <v>38.2483287565868</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33"/>
        <v>Tra_EV_Batt-NMC111</v>
      </c>
      <c r="B119" s="179">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37.8788364018781</v>
      </c>
      <c r="S119" s="162">
        <f>$E$9*C$23*D$51</f>
        <v>46.4827354159051</v>
      </c>
      <c r="T119" s="162">
        <f>$E$9*C$23*D$52</f>
        <v>46.4827354159051</v>
      </c>
      <c r="U119" s="162">
        <f>$E$9*C$23*D$53</f>
        <v>37.8788364018781</v>
      </c>
      <c r="V119" s="162">
        <f>$E$9*C$23*D$54</f>
        <v>40.6333606723542</v>
      </c>
      <c r="W119" s="162">
        <f>$E$9*C$23*D$55</f>
        <v>40.6333606723542</v>
      </c>
      <c r="X119" s="162">
        <f>$E$9*C$23*D$56</f>
        <v>37.8788364018781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33"/>
        <v>Tra_EV_Batt-NMC532</v>
      </c>
      <c r="B120" s="178">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40.4751481043619</v>
      </c>
      <c r="S120" s="167">
        <f>$E$10*C$23*D$51</f>
        <v>49.6687802205389</v>
      </c>
      <c r="T120" s="167">
        <f>$E$10*C$23*D$52</f>
        <v>49.6687802205389</v>
      </c>
      <c r="U120" s="167">
        <f>$E$10*C$23*D$53</f>
        <v>40.4751481043619</v>
      </c>
      <c r="V120" s="167">
        <f>$E$10*C$23*D$54</f>
        <v>43.4184744679736</v>
      </c>
      <c r="W120" s="167">
        <f>$E$10*C$23*D$55</f>
        <v>43.4184744679736</v>
      </c>
      <c r="X120" s="167">
        <f>$E$10*C$23*D$56</f>
        <v>40.4751481043619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33"/>
        <v>Tra_EV_Batt-NMC622</v>
      </c>
      <c r="B121" s="179">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39.0910516693633</v>
      </c>
      <c r="S121" s="162">
        <f>$E$11*C$23*D$51</f>
        <v>47.9702964631299</v>
      </c>
      <c r="T121" s="162">
        <f>$E$11*C$23*D$52</f>
        <v>47.9702964631299</v>
      </c>
      <c r="U121" s="162">
        <f>$E$11*C$23*D$53</f>
        <v>39.0910516693633</v>
      </c>
      <c r="V121" s="162">
        <f>$E$11*C$23*D$54</f>
        <v>41.9337274432252</v>
      </c>
      <c r="W121" s="162">
        <f>$E$11*C$23*D$55</f>
        <v>41.9337274432252</v>
      </c>
      <c r="X121" s="162">
        <f>$E$11*C$23*D$56</f>
        <v>39.0910516693633</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33"/>
        <v>Tra_EV_Batt-NMC811</v>
      </c>
      <c r="B122" s="178">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40.8990593825204</v>
      </c>
      <c r="S122" s="167">
        <f>$E$12*C$23*D$51</f>
        <v>50.1889798268151</v>
      </c>
      <c r="T122" s="167">
        <f>$E$12*C$23*D$52</f>
        <v>50.1889798268151</v>
      </c>
      <c r="U122" s="167">
        <f>$E$12*C$23*D$53</f>
        <v>40.8990593825204</v>
      </c>
      <c r="V122" s="167">
        <f>$E$12*C$23*D$54</f>
        <v>43.8732122977143</v>
      </c>
      <c r="W122" s="167">
        <f>$E$12*C$23*D$55</f>
        <v>43.8732122977143</v>
      </c>
      <c r="X122" s="167">
        <f>$E$12*C$23*D$56</f>
        <v>40.8990593825204</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34">D116</f>
        <v>40.5801331332752</v>
      </c>
      <c r="E123" s="150">
        <f t="shared" si="34"/>
        <v>46.4218455073446</v>
      </c>
      <c r="F123" s="150">
        <f t="shared" si="34"/>
        <v>46.4218455073446</v>
      </c>
      <c r="G123" s="150">
        <f t="shared" si="34"/>
        <v>40.5801331332752</v>
      </c>
      <c r="H123" s="150">
        <f t="shared" si="34"/>
        <v>46.4218455073446</v>
      </c>
      <c r="I123" s="150">
        <f t="shared" si="34"/>
        <v>40.5801331332752</v>
      </c>
      <c r="J123" s="150">
        <f t="shared" si="34"/>
        <v>34.39019740267</v>
      </c>
      <c r="K123" s="150">
        <f t="shared" si="34"/>
        <v>40.5801331332752</v>
      </c>
      <c r="L123" s="150">
        <f t="shared" si="34"/>
        <v>40.5801331332752</v>
      </c>
      <c r="M123" s="150">
        <f t="shared" si="34"/>
        <v>46.4218455073446</v>
      </c>
      <c r="N123" s="150">
        <f t="shared" si="34"/>
        <v>46.4218455073446</v>
      </c>
      <c r="O123" s="150">
        <f t="shared" si="34"/>
        <v>40.5801331332752</v>
      </c>
      <c r="P123" s="150">
        <f t="shared" si="34"/>
        <v>40.5801331332752</v>
      </c>
      <c r="Q123" s="150">
        <f t="shared" si="34"/>
        <v>46.4218455073446</v>
      </c>
      <c r="R123" s="150">
        <f t="shared" si="34"/>
        <v>37.829217142937</v>
      </c>
      <c r="S123" s="150">
        <f t="shared" si="34"/>
        <v>46.4218455073446</v>
      </c>
      <c r="T123" s="150">
        <f t="shared" si="34"/>
        <v>46.4218455073446</v>
      </c>
      <c r="U123" s="150">
        <f t="shared" si="34"/>
        <v>37.829217142937</v>
      </c>
      <c r="V123" s="150">
        <f t="shared" si="34"/>
        <v>40.5801331332752</v>
      </c>
      <c r="W123" s="150">
        <f t="shared" si="34"/>
        <v>40.5801331332752</v>
      </c>
      <c r="X123" s="150">
        <f t="shared" si="34"/>
        <v>37.829217142937</v>
      </c>
      <c r="Y123" s="150">
        <f t="shared" si="34"/>
        <v>46.4218455073446</v>
      </c>
      <c r="Z123" s="150">
        <f t="shared" si="34"/>
        <v>40.5801331332752</v>
      </c>
      <c r="AA123" s="150">
        <f t="shared" si="34"/>
        <v>40.5801331332752</v>
      </c>
      <c r="AB123" s="150">
        <f t="shared" si="34"/>
        <v>40.5801331332752</v>
      </c>
      <c r="AC123" s="150">
        <f t="shared" si="34"/>
        <v>40.5801331332752</v>
      </c>
      <c r="AD123" s="150">
        <f t="shared" si="34"/>
        <v>40.5801331332752</v>
      </c>
      <c r="AE123" s="150">
        <f t="shared" si="34"/>
        <v>40.5801331332752</v>
      </c>
      <c r="AF123" s="150">
        <f t="shared" si="34"/>
        <v>46.4218455073446</v>
      </c>
      <c r="AG123" s="150">
        <f t="shared" si="34"/>
        <v>46.4218455073446</v>
      </c>
      <c r="AH123" s="150">
        <f t="shared" si="34"/>
        <v>40.5801331332752</v>
      </c>
      <c r="AI123" s="150">
        <f t="shared" si="34"/>
        <v>46.4218455073446</v>
      </c>
      <c r="AJ123" s="150">
        <f t="shared" si="34"/>
        <v>40.5801331332752</v>
      </c>
      <c r="AK123" s="150">
        <f t="shared" si="34"/>
        <v>40.5801331332752</v>
      </c>
    </row>
    <row r="124" spans="1:37">
      <c r="A124" s="177"/>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35">B6</f>
        <v>Tra_EV_Batt-LFP</v>
      </c>
      <c r="B126" s="178">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27.7764230823521</v>
      </c>
      <c r="S126" s="167">
        <f>$E$6*D$23*E$51</f>
        <v>31.692808345239</v>
      </c>
      <c r="T126" s="167">
        <f>$E$6*D$23*E$52</f>
        <v>31.692808345239</v>
      </c>
      <c r="U126" s="167">
        <f>$E$6*D$23*E$53</f>
        <v>27.7764230823521</v>
      </c>
      <c r="V126" s="167">
        <f>$E$6*D$23*E$54</f>
        <v>28.8045409916923</v>
      </c>
      <c r="W126" s="167">
        <f>$E$6*D$23*E$55</f>
        <v>28.8045409916923</v>
      </c>
      <c r="X126" s="167">
        <f>$E$6*D$23*E$56</f>
        <v>27.7764230823521</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35"/>
        <v>Tra_EV_Batt-LMO</v>
      </c>
      <c r="B127" s="179">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33.2023407328564</v>
      </c>
      <c r="S127" s="162">
        <f>$E$7*D$23*E$51</f>
        <v>37.8837627271134</v>
      </c>
      <c r="T127" s="162">
        <f>$E$7*D$23*E$52</f>
        <v>37.8837627271134</v>
      </c>
      <c r="U127" s="162">
        <f>$E$7*D$23*E$53</f>
        <v>33.2023407328564</v>
      </c>
      <c r="V127" s="162">
        <f>$E$7*D$23*E$54</f>
        <v>34.4312938287341</v>
      </c>
      <c r="W127" s="162">
        <f>$E$7*D$23*E$55</f>
        <v>34.4312938287341</v>
      </c>
      <c r="X127" s="162">
        <f>$E$7*D$23*E$56</f>
        <v>33.2023407328564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35"/>
        <v>Tra_EV_Batt-NCA</v>
      </c>
      <c r="B128" s="178">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28.0841593343468</v>
      </c>
      <c r="S128" s="167">
        <f>$E$8*D$23*E$51</f>
        <v>32.043934407311</v>
      </c>
      <c r="T128" s="167">
        <f>$E$8*D$23*E$52</f>
        <v>32.043934407311</v>
      </c>
      <c r="U128" s="167">
        <f>$E$8*D$23*E$53</f>
        <v>28.0841593343468</v>
      </c>
      <c r="V128" s="167">
        <f>$E$8*D$23*E$54</f>
        <v>29.123667808667</v>
      </c>
      <c r="W128" s="167">
        <f>$E$8*D$23*E$55</f>
        <v>29.123667808667</v>
      </c>
      <c r="X128" s="167">
        <f>$E$8*D$23*E$56</f>
        <v>28.0841593343468</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35"/>
        <v>Tra_EV_Batt-NMC111</v>
      </c>
      <c r="B129" s="179">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27.8128564434806</v>
      </c>
      <c r="S129" s="162">
        <f>$E$9*D$23*E$51</f>
        <v>31.7343786917231</v>
      </c>
      <c r="T129" s="162">
        <f>$E$9*D$23*E$52</f>
        <v>31.7343786917231</v>
      </c>
      <c r="U129" s="162">
        <f>$E$9*D$23*E$53</f>
        <v>27.8128564434806</v>
      </c>
      <c r="V129" s="162">
        <f>$E$9*D$23*E$54</f>
        <v>28.8423228990668</v>
      </c>
      <c r="W129" s="162">
        <f>$E$9*D$23*E$55</f>
        <v>28.8423228990668</v>
      </c>
      <c r="X129" s="162">
        <f>$E$9*D$23*E$56</f>
        <v>27.8128564434806</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35"/>
        <v>Tra_EV_Batt-NMC532</v>
      </c>
      <c r="B130" s="178">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29.7192203005323</v>
      </c>
      <c r="S130" s="167">
        <f>$E$10*D$23*E$51</f>
        <v>33.9095336488138</v>
      </c>
      <c r="T130" s="167">
        <f>$E$10*D$23*E$52</f>
        <v>33.9095336488138</v>
      </c>
      <c r="U130" s="167">
        <f>$E$10*D$23*E$53</f>
        <v>29.7192203005323</v>
      </c>
      <c r="V130" s="167">
        <f>$E$10*D$23*E$54</f>
        <v>30.8192490030047</v>
      </c>
      <c r="W130" s="167">
        <f>$E$10*D$23*E$55</f>
        <v>30.8192490030047</v>
      </c>
      <c r="X130" s="167">
        <f>$E$10*D$23*E$56</f>
        <v>29.7192203005323</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35"/>
        <v>Tra_EV_Batt-NMC622</v>
      </c>
      <c r="B131" s="179">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28.7029357705079</v>
      </c>
      <c r="S131" s="162">
        <f>$E$11*D$23*E$51</f>
        <v>32.749956307311</v>
      </c>
      <c r="T131" s="162">
        <f>$E$11*D$23*E$52</f>
        <v>32.749956307311</v>
      </c>
      <c r="U131" s="162">
        <f>$E$11*D$23*E$53</f>
        <v>28.7029357705079</v>
      </c>
      <c r="V131" s="162">
        <f>$E$11*D$23*E$54</f>
        <v>29.7653476666981</v>
      </c>
      <c r="W131" s="162">
        <f>$E$11*D$23*E$55</f>
        <v>29.7653476666981</v>
      </c>
      <c r="X131" s="162">
        <f>$E$11*D$23*E$56</f>
        <v>28.7029357705079</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35"/>
        <v>Tra_EV_Batt-NMC811</v>
      </c>
      <c r="B132" s="178">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30.0304807468434</v>
      </c>
      <c r="S132" s="167">
        <f>$E$12*D$23*E$51</f>
        <v>34.2646808051321</v>
      </c>
      <c r="T132" s="167">
        <f>$E$12*D$23*E$52</f>
        <v>34.2646808051321</v>
      </c>
      <c r="U132" s="167">
        <f>$E$12*D$23*E$53</f>
        <v>30.0304807468434</v>
      </c>
      <c r="V132" s="167">
        <f>$E$12*D$23*E$54</f>
        <v>31.1420304589999</v>
      </c>
      <c r="W132" s="167">
        <f>$E$12*D$23*E$55</f>
        <v>31.1420304589999</v>
      </c>
      <c r="X132" s="167">
        <f>$E$12*D$23*E$56</f>
        <v>30.0304807468434</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36">C126</f>
        <v>28.8045409916923</v>
      </c>
      <c r="D133" s="150">
        <f t="shared" si="36"/>
        <v>28.8045409916923</v>
      </c>
      <c r="E133" s="150">
        <f t="shared" si="36"/>
        <v>31.692808345239</v>
      </c>
      <c r="F133" s="150">
        <f t="shared" si="36"/>
        <v>31.692808345239</v>
      </c>
      <c r="G133" s="150">
        <f t="shared" si="36"/>
        <v>28.8045409916923</v>
      </c>
      <c r="H133" s="150">
        <f t="shared" si="36"/>
        <v>31.692808345239</v>
      </c>
      <c r="I133" s="150">
        <f t="shared" si="36"/>
        <v>28.8045409916923</v>
      </c>
      <c r="J133" s="150">
        <f t="shared" si="36"/>
        <v>26.4537362689067</v>
      </c>
      <c r="K133" s="150">
        <f t="shared" si="36"/>
        <v>28.8045409916923</v>
      </c>
      <c r="L133" s="150">
        <f t="shared" si="36"/>
        <v>28.8045409916923</v>
      </c>
      <c r="M133" s="150">
        <f t="shared" si="36"/>
        <v>31.692808345239</v>
      </c>
      <c r="N133" s="150">
        <f t="shared" si="36"/>
        <v>31.692808345239</v>
      </c>
      <c r="O133" s="150">
        <f t="shared" si="36"/>
        <v>28.8045409916923</v>
      </c>
      <c r="P133" s="150">
        <f t="shared" si="36"/>
        <v>28.8045409916923</v>
      </c>
      <c r="Q133" s="150">
        <f t="shared" si="36"/>
        <v>31.692808345239</v>
      </c>
      <c r="R133" s="150">
        <f t="shared" si="36"/>
        <v>27.7764230823521</v>
      </c>
      <c r="S133" s="150">
        <f t="shared" si="36"/>
        <v>31.692808345239</v>
      </c>
      <c r="T133" s="150">
        <f t="shared" si="36"/>
        <v>31.692808345239</v>
      </c>
      <c r="U133" s="150">
        <f t="shared" si="36"/>
        <v>27.7764230823521</v>
      </c>
      <c r="V133" s="150">
        <f t="shared" si="36"/>
        <v>28.8045409916923</v>
      </c>
      <c r="W133" s="150">
        <f t="shared" si="36"/>
        <v>28.8045409916923</v>
      </c>
      <c r="X133" s="150">
        <f t="shared" si="36"/>
        <v>27.7764230823521</v>
      </c>
      <c r="Y133" s="150">
        <f t="shared" si="36"/>
        <v>31.692808345239</v>
      </c>
      <c r="Z133" s="150">
        <f t="shared" si="36"/>
        <v>28.8045409916923</v>
      </c>
      <c r="AA133" s="150">
        <f t="shared" si="36"/>
        <v>28.8045409916923</v>
      </c>
      <c r="AB133" s="150">
        <f t="shared" si="36"/>
        <v>28.8045409916923</v>
      </c>
      <c r="AC133" s="150">
        <f t="shared" si="36"/>
        <v>28.8045409916923</v>
      </c>
      <c r="AD133" s="150">
        <f t="shared" si="36"/>
        <v>28.8045409916923</v>
      </c>
      <c r="AE133" s="150">
        <f t="shared" si="36"/>
        <v>28.8045409916923</v>
      </c>
      <c r="AF133" s="150">
        <f t="shared" si="36"/>
        <v>31.692808345239</v>
      </c>
      <c r="AG133" s="150">
        <f t="shared" si="36"/>
        <v>31.692808345239</v>
      </c>
      <c r="AH133" s="150">
        <f t="shared" si="36"/>
        <v>28.8045409916923</v>
      </c>
      <c r="AI133" s="150">
        <f t="shared" si="36"/>
        <v>31.692808345239</v>
      </c>
      <c r="AJ133" s="150">
        <f t="shared" si="36"/>
        <v>28.8045409916923</v>
      </c>
      <c r="AK133" s="150">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85">IF(D167=D180,1,0)</f>
        <v>1</v>
      </c>
      <c r="E182" s="150">
        <f t="shared" si="85"/>
        <v>1</v>
      </c>
      <c r="F182" s="150">
        <f t="shared" si="85"/>
        <v>1</v>
      </c>
      <c r="G182" s="150">
        <f t="shared" si="85"/>
        <v>1</v>
      </c>
      <c r="H182" s="150">
        <f t="shared" si="85"/>
        <v>1</v>
      </c>
      <c r="I182" s="150">
        <f t="shared" si="85"/>
        <v>1</v>
      </c>
      <c r="J182" s="150">
        <f t="shared" si="85"/>
        <v>1</v>
      </c>
      <c r="K182" s="150">
        <f t="shared" si="85"/>
        <v>1</v>
      </c>
      <c r="L182" s="150">
        <f t="shared" si="85"/>
        <v>1</v>
      </c>
      <c r="M182" s="150">
        <f t="shared" si="85"/>
        <v>1</v>
      </c>
      <c r="N182" s="150">
        <f t="shared" si="85"/>
        <v>1</v>
      </c>
      <c r="O182" s="150">
        <f t="shared" si="85"/>
        <v>1</v>
      </c>
      <c r="P182" s="150">
        <f t="shared" si="85"/>
        <v>1</v>
      </c>
      <c r="Q182" s="150">
        <f t="shared" si="85"/>
        <v>1</v>
      </c>
      <c r="R182" s="150">
        <f t="shared" si="85"/>
        <v>1</v>
      </c>
      <c r="S182" s="150">
        <f t="shared" si="85"/>
        <v>1</v>
      </c>
      <c r="T182" s="150">
        <f t="shared" si="85"/>
        <v>1</v>
      </c>
      <c r="U182" s="150">
        <f t="shared" si="85"/>
        <v>1</v>
      </c>
      <c r="V182" s="150">
        <f t="shared" si="85"/>
        <v>1</v>
      </c>
      <c r="W182" s="150">
        <f t="shared" si="85"/>
        <v>1</v>
      </c>
      <c r="X182" s="150">
        <f t="shared" si="85"/>
        <v>1</v>
      </c>
      <c r="Y182" s="150">
        <f t="shared" si="85"/>
        <v>1</v>
      </c>
      <c r="Z182" s="150">
        <f t="shared" si="85"/>
        <v>1</v>
      </c>
      <c r="AA182" s="150">
        <f t="shared" si="85"/>
        <v>1</v>
      </c>
      <c r="AB182" s="150">
        <f t="shared" si="85"/>
        <v>1</v>
      </c>
      <c r="AC182" s="150">
        <f t="shared" si="85"/>
        <v>1</v>
      </c>
      <c r="AD182" s="150">
        <f t="shared" si="85"/>
        <v>1</v>
      </c>
      <c r="AE182" s="150">
        <f t="shared" si="85"/>
        <v>1</v>
      </c>
      <c r="AF182" s="150">
        <f t="shared" si="85"/>
        <v>1</v>
      </c>
      <c r="AG182" s="150">
        <f t="shared" si="85"/>
        <v>1</v>
      </c>
      <c r="AH182" s="150">
        <f t="shared" si="85"/>
        <v>1</v>
      </c>
      <c r="AI182" s="150">
        <f t="shared" si="85"/>
        <v>1</v>
      </c>
      <c r="AJ182" s="150">
        <f t="shared" si="85"/>
        <v>1</v>
      </c>
      <c r="AK182" s="150">
        <f t="shared" si="85"/>
        <v>1</v>
      </c>
    </row>
    <row r="185" spans="1:37">
      <c r="A185" s="153" t="s">
        <v>141</v>
      </c>
    </row>
    <row r="186" spans="1:37">
      <c r="A186" s="180" t="s">
        <v>142</v>
      </c>
      <c r="B186" s="180"/>
      <c r="C186" s="180"/>
      <c r="D186" s="180"/>
      <c r="E186" s="180"/>
      <c r="F186" s="180"/>
      <c r="G186" s="180"/>
      <c r="H186" s="180"/>
      <c r="I186" s="180"/>
      <c r="J186" s="180"/>
      <c r="K186" s="180"/>
      <c r="L186" s="180"/>
    </row>
    <row r="187" spans="1:37">
      <c r="A187" s="180"/>
      <c r="B187" s="180"/>
      <c r="C187" s="180"/>
      <c r="D187" s="180"/>
      <c r="E187" s="180"/>
      <c r="F187" s="180"/>
      <c r="G187" s="180"/>
      <c r="H187" s="180"/>
      <c r="I187" s="180"/>
      <c r="J187" s="180"/>
      <c r="K187" s="180"/>
      <c r="L187" s="180"/>
    </row>
    <row r="188" spans="1:37">
      <c r="A188" s="180"/>
      <c r="B188" s="180"/>
      <c r="C188" s="180"/>
      <c r="D188" s="180"/>
      <c r="E188" s="180"/>
      <c r="F188" s="180"/>
      <c r="G188" s="180"/>
      <c r="H188" s="180"/>
      <c r="I188" s="180"/>
      <c r="J188" s="180"/>
      <c r="K188" s="180"/>
      <c r="L188" s="180"/>
    </row>
    <row r="190" spans="1:37">
      <c r="A190" s="181" t="s">
        <v>143</v>
      </c>
      <c r="B190" s="181"/>
      <c r="C190" s="181"/>
      <c r="D190" s="181"/>
      <c r="E190" s="181"/>
      <c r="F190" s="181"/>
      <c r="G190" s="181"/>
      <c r="H190" s="181"/>
      <c r="I190" s="181"/>
      <c r="J190" s="181"/>
      <c r="K190" s="181"/>
      <c r="L190" s="181"/>
    </row>
    <row r="191" spans="1:37">
      <c r="A191" s="181"/>
      <c r="B191" s="181"/>
      <c r="C191" s="181"/>
      <c r="D191" s="181"/>
      <c r="E191" s="181"/>
      <c r="F191" s="181"/>
      <c r="G191" s="181"/>
      <c r="H191" s="181"/>
      <c r="I191" s="181"/>
      <c r="J191" s="181"/>
      <c r="K191" s="181"/>
      <c r="L191" s="181"/>
    </row>
    <row r="193" spans="1:12">
      <c r="A193" s="181" t="s">
        <v>144</v>
      </c>
      <c r="B193" s="181"/>
      <c r="C193" s="181"/>
      <c r="D193" s="181"/>
      <c r="E193" s="181"/>
      <c r="F193" s="181"/>
      <c r="G193" s="181"/>
      <c r="H193" s="181"/>
      <c r="I193" s="181"/>
      <c r="J193" s="181"/>
      <c r="K193" s="181"/>
      <c r="L193" s="181"/>
    </row>
    <row r="194" spans="1:12">
      <c r="A194" s="181"/>
      <c r="B194" s="181"/>
      <c r="C194" s="181"/>
      <c r="D194" s="181"/>
      <c r="E194" s="181"/>
      <c r="F194" s="181"/>
      <c r="G194" s="181"/>
      <c r="H194" s="181"/>
      <c r="I194" s="181"/>
      <c r="J194" s="181"/>
      <c r="K194" s="181"/>
      <c r="L194" s="181"/>
    </row>
    <row r="196" spans="1:12">
      <c r="A196" s="181" t="s">
        <v>145</v>
      </c>
      <c r="B196" s="181"/>
      <c r="C196" s="181"/>
      <c r="D196" s="181"/>
      <c r="E196" s="181"/>
      <c r="F196" s="181"/>
      <c r="G196" s="181"/>
      <c r="H196" s="181"/>
      <c r="I196" s="181"/>
      <c r="J196" s="181"/>
      <c r="K196" s="181"/>
      <c r="L196" s="181"/>
    </row>
    <row r="197" spans="1:12">
      <c r="A197" s="181"/>
      <c r="B197" s="181"/>
      <c r="C197" s="181"/>
      <c r="D197" s="181"/>
      <c r="E197" s="181"/>
      <c r="F197" s="181"/>
      <c r="G197" s="181"/>
      <c r="H197" s="181"/>
      <c r="I197" s="181"/>
      <c r="J197" s="181"/>
      <c r="K197" s="181"/>
      <c r="L197" s="181"/>
    </row>
    <row r="199" spans="1:12">
      <c r="A199" s="181" t="s">
        <v>146</v>
      </c>
      <c r="B199" s="181"/>
      <c r="C199" s="181"/>
      <c r="D199" s="181"/>
      <c r="E199" s="181"/>
      <c r="F199" s="181"/>
      <c r="G199" s="181"/>
      <c r="H199" s="181"/>
      <c r="I199" s="181"/>
      <c r="J199" s="181"/>
      <c r="K199" s="181"/>
      <c r="L199" s="181"/>
    </row>
    <row r="200" spans="1:12">
      <c r="A200" s="181"/>
      <c r="B200" s="181"/>
      <c r="C200" s="181"/>
      <c r="D200" s="181"/>
      <c r="E200" s="181"/>
      <c r="F200" s="181"/>
      <c r="G200" s="181"/>
      <c r="H200" s="181"/>
      <c r="I200" s="181"/>
      <c r="J200" s="181"/>
      <c r="K200" s="181"/>
      <c r="L200" s="181"/>
    </row>
    <row r="202" spans="1:12">
      <c r="A202" s="181" t="s">
        <v>147</v>
      </c>
      <c r="B202" s="181"/>
      <c r="C202" s="181"/>
      <c r="D202" s="181"/>
      <c r="E202" s="181"/>
      <c r="F202" s="181"/>
      <c r="G202" s="181"/>
      <c r="H202" s="181"/>
      <c r="I202" s="181"/>
      <c r="J202" s="181"/>
      <c r="K202" s="181"/>
      <c r="L202" s="181"/>
    </row>
    <row r="203" spans="1:12">
      <c r="A203" s="181"/>
      <c r="B203" s="181"/>
      <c r="C203" s="181"/>
      <c r="D203" s="181"/>
      <c r="E203" s="181"/>
      <c r="F203" s="181"/>
      <c r="G203" s="181"/>
      <c r="H203" s="181"/>
      <c r="I203" s="181"/>
      <c r="J203" s="181"/>
      <c r="K203" s="181"/>
      <c r="L203" s="181"/>
    </row>
    <row r="205" spans="1:12">
      <c r="A205" s="161" t="s">
        <v>148</v>
      </c>
    </row>
    <row r="206" spans="1:12">
      <c r="A206" s="154" t="s">
        <v>149</v>
      </c>
      <c r="B206" s="154" t="s">
        <v>150</v>
      </c>
      <c r="C206" s="154" t="s">
        <v>151</v>
      </c>
    </row>
    <row r="207" spans="1:12">
      <c r="A207" s="159" t="s">
        <v>152</v>
      </c>
      <c r="B207" s="155" t="s">
        <v>153</v>
      </c>
      <c r="C207" s="164" t="s">
        <v>154</v>
      </c>
    </row>
    <row r="208" spans="1:12">
      <c r="A208" s="159" t="s">
        <v>155</v>
      </c>
      <c r="B208" s="155" t="s">
        <v>156</v>
      </c>
      <c r="C208" s="164" t="s">
        <v>157</v>
      </c>
    </row>
    <row r="209" spans="1:12">
      <c r="A209" s="159" t="s">
        <v>158</v>
      </c>
      <c r="B209" s="155" t="s">
        <v>159</v>
      </c>
      <c r="C209" s="164" t="s">
        <v>160</v>
      </c>
    </row>
    <row r="211" spans="1:12">
      <c r="A211" s="181" t="s">
        <v>161</v>
      </c>
      <c r="B211" s="181"/>
      <c r="C211" s="181"/>
      <c r="D211" s="181"/>
      <c r="E211" s="181"/>
      <c r="F211" s="181"/>
      <c r="G211" s="181"/>
      <c r="H211" s="181"/>
      <c r="I211" s="181"/>
      <c r="J211" s="181"/>
      <c r="K211" s="181"/>
      <c r="L211" s="181"/>
    </row>
    <row r="212" spans="1:12">
      <c r="A212" s="181"/>
      <c r="B212" s="181"/>
      <c r="C212" s="181"/>
      <c r="D212" s="181"/>
      <c r="E212" s="181"/>
      <c r="F212" s="181"/>
      <c r="G212" s="181"/>
      <c r="H212" s="181"/>
      <c r="I212" s="181"/>
      <c r="J212" s="181"/>
      <c r="K212" s="181"/>
      <c r="L212" s="181"/>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67" zoomScaleNormal="67" topLeftCell="A114" workbookViewId="0">
      <selection activeCell="G138" sqref="G138"/>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23.3636363636364" customWidth="1"/>
    <col min="11" max="11" width="26"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0"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0" t="s">
        <v>205</v>
      </c>
      <c r="C19">
        <v>0.2</v>
      </c>
      <c r="D19">
        <v>3</v>
      </c>
      <c r="E19" s="220"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0" t="s">
        <v>239</v>
      </c>
      <c r="I55" s="220"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32"/>
      <c r="D129" s="32"/>
      <c r="E129" s="32"/>
      <c r="F129" s="32"/>
      <c r="G129" s="32"/>
    </row>
    <row r="130" spans="3:35">
      <c r="C130" s="32"/>
      <c r="D130" s="32"/>
      <c r="E130" s="32"/>
      <c r="F130" s="32"/>
      <c r="G130" s="32"/>
    </row>
    <row r="131" spans="3:35">
      <c r="C131" s="32"/>
      <c r="D131" s="32"/>
      <c r="E131" s="32"/>
      <c r="F131" s="32"/>
      <c r="G131" s="32"/>
    </row>
    <row r="132" spans="3:35">
      <c r="C132" s="133"/>
      <c r="D132" s="131" t="s">
        <v>191</v>
      </c>
      <c r="E132" s="131"/>
      <c r="F132" s="131"/>
      <c r="G132" s="131"/>
      <c r="H132" s="140"/>
      <c r="I132" s="140"/>
      <c r="J132" s="133"/>
      <c r="K132" s="131" t="s">
        <v>191</v>
      </c>
      <c r="L132" s="131"/>
      <c r="M132" s="2"/>
      <c r="X132" s="140"/>
      <c r="Y132" s="141"/>
      <c r="Z132" s="140"/>
      <c r="AA132" s="140"/>
      <c r="AE132" s="2"/>
      <c r="AF132" t="s">
        <v>191</v>
      </c>
    </row>
    <row r="133" spans="3:35">
      <c r="C133" s="133" t="str">
        <f>C103</f>
        <v>attribute</v>
      </c>
      <c r="D133" s="133" t="s">
        <v>66</v>
      </c>
      <c r="E133" s="140" t="s">
        <v>65</v>
      </c>
      <c r="F133" s="140"/>
      <c r="G133" s="133"/>
      <c r="H133" s="140"/>
      <c r="I133" s="140"/>
      <c r="J133" s="133" t="s">
        <v>166</v>
      </c>
      <c r="K133" s="133" t="s">
        <v>66</v>
      </c>
      <c r="L133" s="140" t="s">
        <v>65</v>
      </c>
      <c r="M133" s="2"/>
      <c r="N133" s="2"/>
      <c r="O133" s="2"/>
      <c r="P133" s="2"/>
      <c r="Q133" s="2"/>
      <c r="X133" s="140"/>
      <c r="Y133" s="141"/>
      <c r="Z133" s="142"/>
      <c r="AA133" s="142"/>
      <c r="AB133" s="2"/>
      <c r="AC133" s="2"/>
      <c r="AD133" t="s">
        <v>41</v>
      </c>
      <c r="AE133" s="2" t="s">
        <v>193</v>
      </c>
      <c r="AF133" s="130" t="s">
        <v>66</v>
      </c>
      <c r="AG133" s="130" t="s">
        <v>65</v>
      </c>
      <c r="AH133" s="130" t="s">
        <v>11</v>
      </c>
      <c r="AI133" s="130" t="s">
        <v>25</v>
      </c>
    </row>
    <row r="134" spans="3:35">
      <c r="C134" s="133" t="s">
        <v>342</v>
      </c>
      <c r="D134" s="133" t="s">
        <v>304</v>
      </c>
      <c r="E134" s="133">
        <v>10</v>
      </c>
      <c r="F134" s="140"/>
      <c r="G134" s="143"/>
      <c r="H134" s="140"/>
      <c r="I134" s="140"/>
      <c r="J134" s="144" t="s">
        <v>343</v>
      </c>
      <c r="K134" s="133" t="s">
        <v>304</v>
      </c>
      <c r="L134" s="143">
        <v>25</v>
      </c>
      <c r="M134" s="2"/>
      <c r="N134" s="2"/>
      <c r="O134" s="2"/>
      <c r="P134" s="2"/>
      <c r="Q134" s="2"/>
      <c r="X134" s="140"/>
      <c r="Y134" s="141"/>
      <c r="Z134" s="142"/>
      <c r="AA134" s="142"/>
      <c r="AB134" s="2"/>
      <c r="AC134" s="2"/>
      <c r="AD134">
        <v>2050</v>
      </c>
      <c r="AE134" s="2" t="s">
        <v>303</v>
      </c>
      <c r="AF134" s="130" t="s">
        <v>304</v>
      </c>
      <c r="AG134" s="130">
        <f>E104*0.313</f>
        <v>2.22663316246622</v>
      </c>
      <c r="AH134" s="130">
        <f>F104*0.313</f>
        <v>1.69076293868828</v>
      </c>
      <c r="AI134" s="130">
        <f>G104*0.313</f>
        <v>2.77174252962417</v>
      </c>
    </row>
    <row r="135" spans="3:35">
      <c r="C135" s="133" t="s">
        <v>342</v>
      </c>
      <c r="D135" s="133" t="s">
        <v>306</v>
      </c>
      <c r="E135" s="133">
        <f>E134</f>
        <v>10</v>
      </c>
      <c r="F135" s="140"/>
      <c r="G135" s="143"/>
      <c r="H135" s="140"/>
      <c r="I135" s="140"/>
      <c r="J135" s="144" t="s">
        <v>343</v>
      </c>
      <c r="K135" s="133" t="s">
        <v>306</v>
      </c>
      <c r="L135" s="143">
        <v>25</v>
      </c>
      <c r="M135" s="2"/>
      <c r="N135" s="2"/>
      <c r="O135" s="2"/>
      <c r="P135" s="2"/>
      <c r="Q135" s="2"/>
      <c r="X135" s="140"/>
      <c r="Y135" s="141"/>
      <c r="Z135" s="142"/>
      <c r="AA135" s="142"/>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133" t="s">
        <v>342</v>
      </c>
      <c r="D136" s="133" t="s">
        <v>308</v>
      </c>
      <c r="E136" s="133">
        <f t="shared" ref="E136:E154" si="27">E135</f>
        <v>10</v>
      </c>
      <c r="F136" s="140"/>
      <c r="G136" s="143"/>
      <c r="H136" s="140"/>
      <c r="I136" s="140"/>
      <c r="J136" s="144" t="s">
        <v>343</v>
      </c>
      <c r="K136" s="133" t="s">
        <v>308</v>
      </c>
      <c r="L136" s="143">
        <v>25</v>
      </c>
      <c r="M136" s="2"/>
      <c r="N136" s="2"/>
      <c r="O136" s="2"/>
      <c r="P136" s="2"/>
      <c r="Q136" s="2"/>
      <c r="X136" s="140"/>
      <c r="Y136" s="141"/>
      <c r="Z136" s="142"/>
      <c r="AA136" s="142"/>
      <c r="AB136" s="2"/>
      <c r="AC136" s="2"/>
      <c r="AD136">
        <v>2050</v>
      </c>
      <c r="AE136" s="2" t="s">
        <v>303</v>
      </c>
      <c r="AF136" s="130" t="s">
        <v>308</v>
      </c>
      <c r="AG136" s="130">
        <f t="shared" si="24"/>
        <v>2.38811314546794</v>
      </c>
      <c r="AH136" s="130">
        <f t="shared" si="25"/>
        <v>1.81338051569639</v>
      </c>
      <c r="AI136" s="130">
        <f t="shared" si="26"/>
        <v>2.97275495851142</v>
      </c>
    </row>
    <row r="137" spans="3:35">
      <c r="C137" s="133" t="s">
        <v>342</v>
      </c>
      <c r="D137" s="133" t="s">
        <v>310</v>
      </c>
      <c r="E137" s="133">
        <f t="shared" si="27"/>
        <v>10</v>
      </c>
      <c r="F137" s="140"/>
      <c r="G137" s="143"/>
      <c r="H137" s="140"/>
      <c r="I137" s="140"/>
      <c r="J137" s="144" t="s">
        <v>343</v>
      </c>
      <c r="K137" s="133" t="s">
        <v>310</v>
      </c>
      <c r="L137" s="143">
        <v>25</v>
      </c>
      <c r="M137" s="2"/>
      <c r="N137" s="2"/>
      <c r="O137" s="2"/>
      <c r="P137" s="2"/>
      <c r="Q137" s="2"/>
      <c r="X137" s="140"/>
      <c r="Y137" s="141"/>
      <c r="Z137" s="142"/>
      <c r="AA137" s="142"/>
      <c r="AB137" s="2"/>
      <c r="AC137" s="2"/>
      <c r="AD137">
        <v>2050</v>
      </c>
      <c r="AE137" s="2" t="s">
        <v>303</v>
      </c>
      <c r="AF137" s="130" t="s">
        <v>310</v>
      </c>
      <c r="AG137" s="130">
        <f t="shared" si="24"/>
        <v>2.338413866028</v>
      </c>
      <c r="AH137" s="130">
        <f t="shared" si="25"/>
        <v>1.77564205725866</v>
      </c>
      <c r="AI137" s="130">
        <f t="shared" si="26"/>
        <v>2.91088862866618</v>
      </c>
    </row>
    <row r="138" spans="3:35">
      <c r="C138" s="133" t="s">
        <v>342</v>
      </c>
      <c r="D138" s="133" t="s">
        <v>312</v>
      </c>
      <c r="E138" s="133">
        <f t="shared" si="27"/>
        <v>10</v>
      </c>
      <c r="F138" s="140"/>
      <c r="G138" s="143"/>
      <c r="H138" s="140"/>
      <c r="I138" s="140"/>
      <c r="J138" s="144" t="s">
        <v>343</v>
      </c>
      <c r="K138" s="133" t="s">
        <v>312</v>
      </c>
      <c r="L138" s="143">
        <v>25</v>
      </c>
      <c r="M138" s="2"/>
      <c r="N138" s="2"/>
      <c r="O138" s="2"/>
      <c r="P138" s="2"/>
      <c r="Q138" s="2"/>
      <c r="X138" s="140"/>
      <c r="Y138" s="141"/>
      <c r="Z138" s="142"/>
      <c r="AA138" s="142"/>
      <c r="AB138" s="2"/>
      <c r="AC138" s="2"/>
      <c r="AD138">
        <v>2050</v>
      </c>
      <c r="AE138" s="2" t="s">
        <v>303</v>
      </c>
      <c r="AF138" s="130" t="s">
        <v>312</v>
      </c>
      <c r="AG138" s="130">
        <f t="shared" si="24"/>
        <v>2.35264421766151</v>
      </c>
      <c r="AH138" s="130">
        <f t="shared" si="25"/>
        <v>1.78644768452469</v>
      </c>
      <c r="AI138" s="130">
        <f t="shared" si="26"/>
        <v>2.92860276794399</v>
      </c>
    </row>
    <row r="139" spans="3:35">
      <c r="C139" s="133" t="s">
        <v>342</v>
      </c>
      <c r="D139" s="133" t="s">
        <v>314</v>
      </c>
      <c r="E139" s="133">
        <f t="shared" si="27"/>
        <v>10</v>
      </c>
      <c r="F139" s="140"/>
      <c r="G139" s="143"/>
      <c r="H139" s="140"/>
      <c r="I139" s="140"/>
      <c r="J139" s="144" t="s">
        <v>343</v>
      </c>
      <c r="K139" s="133" t="s">
        <v>314</v>
      </c>
      <c r="L139" s="143">
        <v>25</v>
      </c>
      <c r="M139" s="2"/>
      <c r="N139" s="2"/>
      <c r="O139" s="2"/>
      <c r="P139" s="2"/>
      <c r="Q139" s="2"/>
      <c r="X139" s="140"/>
      <c r="Y139" s="141"/>
      <c r="Z139" s="142"/>
      <c r="AA139" s="142"/>
      <c r="AB139" s="2"/>
      <c r="AC139" s="2"/>
      <c r="AD139">
        <v>2050</v>
      </c>
      <c r="AE139" s="2" t="s">
        <v>303</v>
      </c>
      <c r="AF139" s="130" t="s">
        <v>314</v>
      </c>
      <c r="AG139" s="130">
        <f t="shared" si="24"/>
        <v>2.36326350574797</v>
      </c>
      <c r="AH139" s="130">
        <f t="shared" si="25"/>
        <v>1.79451129801032</v>
      </c>
      <c r="AI139" s="130">
        <f t="shared" si="26"/>
        <v>2.9418217935888</v>
      </c>
    </row>
    <row r="140" spans="3:35">
      <c r="C140" s="133" t="s">
        <v>342</v>
      </c>
      <c r="D140" s="133" t="s">
        <v>316</v>
      </c>
      <c r="E140" s="133">
        <f t="shared" si="27"/>
        <v>10</v>
      </c>
      <c r="F140" s="140"/>
      <c r="G140" s="143"/>
      <c r="H140" s="140"/>
      <c r="I140" s="140"/>
      <c r="J140" s="144" t="s">
        <v>343</v>
      </c>
      <c r="K140" s="133" t="s">
        <v>316</v>
      </c>
      <c r="L140" s="143">
        <v>25</v>
      </c>
      <c r="M140" s="2"/>
      <c r="N140" s="2"/>
      <c r="O140" s="2"/>
      <c r="P140" s="2"/>
      <c r="Q140" s="2"/>
      <c r="X140" s="140"/>
      <c r="Y140" s="141"/>
      <c r="Z140" s="142"/>
      <c r="AA140" s="142"/>
      <c r="AB140" s="2"/>
      <c r="AC140" s="2"/>
      <c r="AD140">
        <v>2050</v>
      </c>
      <c r="AE140" s="2" t="s">
        <v>303</v>
      </c>
      <c r="AF140" s="130" t="s">
        <v>316</v>
      </c>
      <c r="AG140" s="130">
        <f t="shared" si="24"/>
        <v>2.38811314546794</v>
      </c>
      <c r="AH140" s="130">
        <f t="shared" si="25"/>
        <v>1.81338051569639</v>
      </c>
      <c r="AI140" s="130">
        <f t="shared" si="26"/>
        <v>2.97275495851142</v>
      </c>
    </row>
    <row r="141" spans="3:35">
      <c r="C141" s="133" t="s">
        <v>342</v>
      </c>
      <c r="D141" s="133" t="s">
        <v>318</v>
      </c>
      <c r="E141" s="133">
        <f t="shared" si="27"/>
        <v>10</v>
      </c>
      <c r="F141" s="140"/>
      <c r="G141" s="143"/>
      <c r="H141" s="140"/>
      <c r="I141" s="140"/>
      <c r="J141" s="144" t="s">
        <v>343</v>
      </c>
      <c r="K141" s="133" t="s">
        <v>318</v>
      </c>
      <c r="L141" s="143">
        <v>25</v>
      </c>
      <c r="M141" s="2"/>
      <c r="N141" s="2"/>
      <c r="O141" s="2"/>
      <c r="P141" s="2"/>
      <c r="Q141" s="2"/>
      <c r="X141" s="140"/>
      <c r="Y141" s="141"/>
      <c r="Z141" s="142"/>
      <c r="AA141" s="142"/>
      <c r="AB141" s="2"/>
      <c r="AC141" s="2"/>
      <c r="AD141">
        <v>2050</v>
      </c>
      <c r="AE141" s="2" t="s">
        <v>303</v>
      </c>
      <c r="AF141" s="130" t="s">
        <v>318</v>
      </c>
      <c r="AG141" s="130">
        <f t="shared" si="24"/>
        <v>1.3095438006141</v>
      </c>
      <c r="AH141" s="130">
        <f t="shared" si="25"/>
        <v>0.994383885335299</v>
      </c>
      <c r="AI141" s="130">
        <f t="shared" si="26"/>
        <v>1.63013751429624</v>
      </c>
    </row>
    <row r="142" spans="3:35">
      <c r="C142" s="133" t="s">
        <v>342</v>
      </c>
      <c r="D142" s="133" t="s">
        <v>320</v>
      </c>
      <c r="E142" s="133">
        <f t="shared" si="27"/>
        <v>10</v>
      </c>
      <c r="F142" s="140"/>
      <c r="G142" s="143"/>
      <c r="H142" s="140"/>
      <c r="I142" s="140"/>
      <c r="J142" s="144" t="s">
        <v>343</v>
      </c>
      <c r="K142" s="133" t="s">
        <v>320</v>
      </c>
      <c r="L142" s="143">
        <v>25</v>
      </c>
      <c r="M142" s="2"/>
      <c r="N142" s="2"/>
      <c r="O142" s="2"/>
      <c r="P142" s="2"/>
      <c r="Q142" s="2"/>
      <c r="X142" s="140"/>
      <c r="Y142" s="141"/>
      <c r="Z142" s="142"/>
      <c r="AA142" s="142"/>
      <c r="AB142" s="2"/>
      <c r="AC142" s="2"/>
      <c r="AD142">
        <v>2050</v>
      </c>
      <c r="AE142" s="2" t="s">
        <v>303</v>
      </c>
      <c r="AF142" s="130" t="s">
        <v>320</v>
      </c>
      <c r="AG142" s="130">
        <f t="shared" si="24"/>
        <v>1.3095438006141</v>
      </c>
      <c r="AH142" s="130">
        <f t="shared" si="25"/>
        <v>0.994383885335299</v>
      </c>
      <c r="AI142" s="130">
        <f t="shared" si="26"/>
        <v>1.63013751429624</v>
      </c>
    </row>
    <row r="143" spans="3:35">
      <c r="C143" s="133" t="s">
        <v>342</v>
      </c>
      <c r="D143" s="133" t="s">
        <v>321</v>
      </c>
      <c r="E143" s="133">
        <f t="shared" si="27"/>
        <v>10</v>
      </c>
      <c r="F143" s="140"/>
      <c r="G143" s="143"/>
      <c r="H143" s="140"/>
      <c r="I143" s="140"/>
      <c r="J143" s="144" t="s">
        <v>343</v>
      </c>
      <c r="K143" s="133" t="s">
        <v>321</v>
      </c>
      <c r="L143" s="143">
        <v>25</v>
      </c>
      <c r="M143" s="2"/>
      <c r="N143" s="2"/>
      <c r="O143" s="2"/>
      <c r="P143" s="2"/>
      <c r="Q143" s="2"/>
      <c r="X143" s="140"/>
      <c r="Y143" s="141"/>
      <c r="Z143" s="142"/>
      <c r="AA143" s="142"/>
      <c r="AB143" s="2"/>
      <c r="AC143" s="2"/>
      <c r="AD143">
        <v>2050</v>
      </c>
      <c r="AE143" s="2" t="s">
        <v>303</v>
      </c>
      <c r="AF143" s="130" t="s">
        <v>321</v>
      </c>
      <c r="AG143" s="130">
        <f t="shared" si="24"/>
        <v>1.3095438006141</v>
      </c>
      <c r="AH143" s="130">
        <f t="shared" si="25"/>
        <v>0.994383885335299</v>
      </c>
      <c r="AI143" s="130">
        <f t="shared" si="26"/>
        <v>1.63013751429624</v>
      </c>
    </row>
    <row r="144" spans="3:35">
      <c r="C144" s="133" t="s">
        <v>342</v>
      </c>
      <c r="D144" s="133" t="s">
        <v>323</v>
      </c>
      <c r="E144" s="133">
        <f t="shared" si="27"/>
        <v>10</v>
      </c>
      <c r="F144" s="140"/>
      <c r="G144" s="143"/>
      <c r="H144" s="140"/>
      <c r="I144" s="140"/>
      <c r="J144" s="144" t="s">
        <v>343</v>
      </c>
      <c r="K144" s="133" t="s">
        <v>323</v>
      </c>
      <c r="L144" s="143">
        <v>25</v>
      </c>
      <c r="M144" s="2"/>
      <c r="N144" s="2"/>
      <c r="O144" s="2"/>
      <c r="P144" s="2"/>
      <c r="Q144" s="2"/>
      <c r="X144" s="140"/>
      <c r="Y144" s="141"/>
      <c r="Z144" s="142"/>
      <c r="AA144" s="142"/>
      <c r="AB144" s="2"/>
      <c r="AC144" s="2"/>
      <c r="AD144">
        <v>2050</v>
      </c>
      <c r="AE144" s="2" t="s">
        <v>303</v>
      </c>
      <c r="AF144" s="130" t="s">
        <v>323</v>
      </c>
      <c r="AG144" s="130">
        <f t="shared" si="24"/>
        <v>1.3095438006141</v>
      </c>
      <c r="AH144" s="130">
        <f t="shared" si="25"/>
        <v>0.994383885335299</v>
      </c>
      <c r="AI144" s="130">
        <f t="shared" si="26"/>
        <v>1.63013751429624</v>
      </c>
    </row>
    <row r="145" spans="3:35">
      <c r="C145" s="133" t="s">
        <v>342</v>
      </c>
      <c r="D145" s="133" t="s">
        <v>325</v>
      </c>
      <c r="E145" s="133">
        <f t="shared" si="27"/>
        <v>10</v>
      </c>
      <c r="F145" s="140"/>
      <c r="G145" s="143"/>
      <c r="H145" s="140"/>
      <c r="I145" s="140"/>
      <c r="J145" s="144" t="s">
        <v>343</v>
      </c>
      <c r="K145" s="133" t="s">
        <v>325</v>
      </c>
      <c r="L145" s="143">
        <v>25</v>
      </c>
      <c r="M145" s="2"/>
      <c r="N145" s="2"/>
      <c r="O145" s="2"/>
      <c r="P145" s="2"/>
      <c r="Q145" s="2"/>
      <c r="X145" s="140"/>
      <c r="Y145" s="141"/>
      <c r="Z145" s="142"/>
      <c r="AA145" s="142"/>
      <c r="AB145" s="2"/>
      <c r="AC145" s="2"/>
      <c r="AD145">
        <v>2050</v>
      </c>
      <c r="AE145" s="2" t="s">
        <v>303</v>
      </c>
      <c r="AF145" s="130" t="s">
        <v>325</v>
      </c>
      <c r="AG145" s="130">
        <f t="shared" si="24"/>
        <v>1.3095438006141</v>
      </c>
      <c r="AH145" s="130">
        <f t="shared" si="25"/>
        <v>0.994383885335299</v>
      </c>
      <c r="AI145" s="130">
        <f t="shared" si="26"/>
        <v>1.63013751429624</v>
      </c>
    </row>
    <row r="146" spans="3:35">
      <c r="C146" s="133" t="s">
        <v>342</v>
      </c>
      <c r="D146" s="133" t="s">
        <v>327</v>
      </c>
      <c r="E146" s="133">
        <f t="shared" si="27"/>
        <v>10</v>
      </c>
      <c r="F146" s="140"/>
      <c r="G146" s="143"/>
      <c r="H146" s="140"/>
      <c r="I146" s="140"/>
      <c r="J146" s="144" t="s">
        <v>343</v>
      </c>
      <c r="K146" s="133" t="s">
        <v>327</v>
      </c>
      <c r="L146" s="143">
        <v>25</v>
      </c>
      <c r="M146" s="2"/>
      <c r="N146" s="2"/>
      <c r="O146" s="2"/>
      <c r="P146" s="2"/>
      <c r="Q146" s="2"/>
      <c r="X146" s="140"/>
      <c r="Y146" s="141"/>
      <c r="Z146" s="142"/>
      <c r="AA146" s="142"/>
      <c r="AB146" s="2"/>
      <c r="AC146" s="2"/>
      <c r="AD146">
        <v>2050</v>
      </c>
      <c r="AE146" s="2" t="s">
        <v>303</v>
      </c>
      <c r="AF146" s="130" t="s">
        <v>327</v>
      </c>
      <c r="AG146" s="130">
        <f t="shared" si="24"/>
        <v>1.3095438006141</v>
      </c>
      <c r="AH146" s="130">
        <f t="shared" si="25"/>
        <v>0.994383885335299</v>
      </c>
      <c r="AI146" s="130">
        <f t="shared" si="26"/>
        <v>1.63013751429624</v>
      </c>
    </row>
    <row r="147" spans="3:35">
      <c r="C147" s="133" t="s">
        <v>342</v>
      </c>
      <c r="D147" s="133" t="s">
        <v>329</v>
      </c>
      <c r="E147" s="133">
        <f t="shared" si="27"/>
        <v>10</v>
      </c>
      <c r="F147" s="140"/>
      <c r="G147" s="143"/>
      <c r="H147" s="140"/>
      <c r="I147" s="140"/>
      <c r="J147" s="144" t="s">
        <v>343</v>
      </c>
      <c r="K147" s="133" t="s">
        <v>329</v>
      </c>
      <c r="L147" s="143">
        <v>25</v>
      </c>
      <c r="M147" s="2"/>
      <c r="N147" s="2"/>
      <c r="O147" s="2"/>
      <c r="P147" s="2"/>
      <c r="Q147" s="2"/>
      <c r="X147" s="140"/>
      <c r="Y147" s="141"/>
      <c r="Z147" s="142"/>
      <c r="AA147" s="142"/>
      <c r="AB147" s="2"/>
      <c r="AC147" s="2"/>
      <c r="AD147">
        <v>2050</v>
      </c>
      <c r="AE147" s="2" t="s">
        <v>303</v>
      </c>
      <c r="AF147" s="130" t="s">
        <v>329</v>
      </c>
      <c r="AG147" s="130">
        <f t="shared" si="24"/>
        <v>1.3095438006141</v>
      </c>
      <c r="AH147" s="130">
        <f t="shared" si="25"/>
        <v>0.994383885335299</v>
      </c>
      <c r="AI147" s="130">
        <f t="shared" si="26"/>
        <v>1.63013751429624</v>
      </c>
    </row>
    <row r="148" spans="3:35">
      <c r="C148" s="133" t="s">
        <v>342</v>
      </c>
      <c r="D148" s="133" t="s">
        <v>331</v>
      </c>
      <c r="E148" s="133">
        <f t="shared" si="27"/>
        <v>10</v>
      </c>
      <c r="F148" s="140"/>
      <c r="G148" s="143"/>
      <c r="H148" s="140"/>
      <c r="I148" s="140"/>
      <c r="J148" s="144" t="s">
        <v>343</v>
      </c>
      <c r="K148" s="133" t="s">
        <v>331</v>
      </c>
      <c r="L148" s="143">
        <v>25</v>
      </c>
      <c r="M148" s="2"/>
      <c r="N148" s="2"/>
      <c r="O148" s="2"/>
      <c r="P148" s="2"/>
      <c r="Q148" s="2"/>
      <c r="X148" s="140"/>
      <c r="Y148" s="141"/>
      <c r="Z148" s="142"/>
      <c r="AA148" s="142"/>
      <c r="AB148" s="2"/>
      <c r="AC148" s="2"/>
      <c r="AD148">
        <v>2050</v>
      </c>
      <c r="AE148" s="2" t="s">
        <v>303</v>
      </c>
      <c r="AF148" s="130" t="s">
        <v>331</v>
      </c>
      <c r="AG148" s="130">
        <f t="shared" si="24"/>
        <v>1.1160211134365</v>
      </c>
      <c r="AH148" s="130">
        <f t="shared" si="25"/>
        <v>0.847435113780397</v>
      </c>
      <c r="AI148" s="130">
        <f t="shared" si="26"/>
        <v>1.38923790619012</v>
      </c>
    </row>
    <row r="149" spans="3:35">
      <c r="C149" s="133" t="s">
        <v>342</v>
      </c>
      <c r="D149" s="133" t="s">
        <v>333</v>
      </c>
      <c r="E149" s="133">
        <f t="shared" si="27"/>
        <v>10</v>
      </c>
      <c r="F149" s="140"/>
      <c r="G149" s="143"/>
      <c r="H149" s="140"/>
      <c r="I149" s="140"/>
      <c r="J149" s="144" t="s">
        <v>343</v>
      </c>
      <c r="K149" s="133" t="s">
        <v>333</v>
      </c>
      <c r="L149" s="143">
        <v>25</v>
      </c>
      <c r="M149" s="2"/>
      <c r="N149" s="2"/>
      <c r="O149" s="2"/>
      <c r="P149" s="2"/>
      <c r="Q149" s="2"/>
      <c r="X149" s="140"/>
      <c r="Y149" s="141"/>
      <c r="Z149" s="142"/>
      <c r="AA149" s="142"/>
      <c r="AB149" s="2"/>
      <c r="AC149" s="2"/>
      <c r="AD149">
        <v>2050</v>
      </c>
      <c r="AE149" s="2" t="s">
        <v>303</v>
      </c>
      <c r="AF149" s="130" t="s">
        <v>333</v>
      </c>
      <c r="AG149" s="130">
        <f t="shared" si="24"/>
        <v>1.1270745266028</v>
      </c>
      <c r="AH149" s="130">
        <f t="shared" si="25"/>
        <v>0.855828380619012</v>
      </c>
      <c r="AI149" s="130">
        <f t="shared" si="26"/>
        <v>1.40299733544584</v>
      </c>
    </row>
    <row r="150" spans="3:35">
      <c r="C150" s="133" t="s">
        <v>342</v>
      </c>
      <c r="D150" s="133" t="s">
        <v>335</v>
      </c>
      <c r="E150" s="133">
        <f t="shared" si="27"/>
        <v>10</v>
      </c>
      <c r="F150" s="140"/>
      <c r="G150" s="143"/>
      <c r="H150" s="140"/>
      <c r="I150" s="140"/>
      <c r="J150" s="144" t="s">
        <v>343</v>
      </c>
      <c r="K150" s="133" t="s">
        <v>335</v>
      </c>
      <c r="L150" s="143">
        <v>25</v>
      </c>
      <c r="M150" s="2"/>
      <c r="N150" s="2"/>
      <c r="O150" s="2"/>
      <c r="P150" s="2"/>
      <c r="Q150" s="2"/>
      <c r="X150" s="140"/>
      <c r="Y150" s="141"/>
      <c r="Z150" s="142"/>
      <c r="AA150" s="142"/>
      <c r="AB150" s="2"/>
      <c r="AC150" s="2"/>
      <c r="AD150">
        <v>2050</v>
      </c>
      <c r="AE150" s="2" t="s">
        <v>303</v>
      </c>
      <c r="AF150" s="130" t="s">
        <v>335</v>
      </c>
      <c r="AG150" s="130">
        <f t="shared" si="24"/>
        <v>1.1160211134365</v>
      </c>
      <c r="AH150" s="130">
        <f t="shared" si="25"/>
        <v>0.847435113780397</v>
      </c>
      <c r="AI150" s="130">
        <f t="shared" si="26"/>
        <v>1.38923790619012</v>
      </c>
    </row>
    <row r="151" spans="3:35">
      <c r="C151" s="133" t="s">
        <v>342</v>
      </c>
      <c r="D151" s="133" t="s">
        <v>336</v>
      </c>
      <c r="E151" s="133">
        <f t="shared" si="27"/>
        <v>10</v>
      </c>
      <c r="F151" s="140"/>
      <c r="G151" s="143"/>
      <c r="H151" s="140"/>
      <c r="I151" s="140"/>
      <c r="J151" s="144" t="s">
        <v>343</v>
      </c>
      <c r="K151" s="133" t="s">
        <v>336</v>
      </c>
      <c r="L151" s="143">
        <v>25</v>
      </c>
      <c r="M151" s="2"/>
      <c r="N151" s="2"/>
      <c r="O151" s="2"/>
      <c r="P151" s="2"/>
      <c r="Q151" s="2"/>
      <c r="X151" s="140"/>
      <c r="Y151" s="141"/>
      <c r="Z151" s="142"/>
      <c r="AA151" s="142"/>
      <c r="AB151" s="2"/>
      <c r="AC151" s="2"/>
      <c r="AD151">
        <v>2050</v>
      </c>
      <c r="AE151" s="2" t="s">
        <v>303</v>
      </c>
      <c r="AF151" s="130" t="s">
        <v>336</v>
      </c>
      <c r="AG151" s="130">
        <f t="shared" si="24"/>
        <v>1.11630000712356</v>
      </c>
      <c r="AH151" s="130">
        <f t="shared" si="25"/>
        <v>0.847646901989683</v>
      </c>
      <c r="AI151" s="130">
        <f t="shared" si="26"/>
        <v>1.38958506632277</v>
      </c>
    </row>
    <row r="152" spans="3:35">
      <c r="C152" s="133" t="s">
        <v>342</v>
      </c>
      <c r="D152" s="133" t="s">
        <v>338</v>
      </c>
      <c r="E152" s="133">
        <f t="shared" si="27"/>
        <v>10</v>
      </c>
      <c r="F152" s="140"/>
      <c r="G152" s="143"/>
      <c r="H152" s="140"/>
      <c r="I152" s="140"/>
      <c r="J152" s="144" t="s">
        <v>343</v>
      </c>
      <c r="K152" s="133" t="s">
        <v>338</v>
      </c>
      <c r="L152" s="143">
        <v>25</v>
      </c>
      <c r="M152" s="2"/>
      <c r="N152" s="2"/>
      <c r="O152" s="2"/>
      <c r="P152" s="2"/>
      <c r="Q152" s="2"/>
      <c r="X152" s="140"/>
      <c r="Y152" s="141"/>
      <c r="Z152" s="142"/>
      <c r="AA152" s="142"/>
      <c r="AB152" s="2"/>
      <c r="AC152" s="2"/>
      <c r="AD152">
        <v>2050</v>
      </c>
      <c r="AE152" s="2" t="s">
        <v>303</v>
      </c>
      <c r="AF152" s="130" t="s">
        <v>338</v>
      </c>
      <c r="AG152" s="130">
        <f t="shared" si="24"/>
        <v>1.11611406005895</v>
      </c>
      <c r="AH152" s="130">
        <f t="shared" si="25"/>
        <v>0.847505694473101</v>
      </c>
      <c r="AI152" s="130">
        <f t="shared" si="26"/>
        <v>1.38935360316875</v>
      </c>
    </row>
    <row r="153" spans="3:35">
      <c r="C153" s="133" t="s">
        <v>342</v>
      </c>
      <c r="D153" s="133" t="s">
        <v>340</v>
      </c>
      <c r="E153" s="133">
        <f t="shared" si="27"/>
        <v>10</v>
      </c>
      <c r="F153" s="140"/>
      <c r="G153" s="143"/>
      <c r="H153" s="140"/>
      <c r="I153" s="140"/>
      <c r="J153" s="144" t="s">
        <v>343</v>
      </c>
      <c r="K153" s="133" t="s">
        <v>340</v>
      </c>
      <c r="L153" s="143">
        <v>25</v>
      </c>
      <c r="M153" s="2"/>
      <c r="N153" s="2"/>
      <c r="O153" s="2"/>
      <c r="P153" s="2"/>
      <c r="Q153" s="2"/>
      <c r="X153" s="140"/>
      <c r="Y153" s="141"/>
      <c r="Z153" s="142"/>
      <c r="AA153" s="142"/>
      <c r="AB153" s="2"/>
      <c r="AC153" s="2"/>
      <c r="AD153">
        <v>2050</v>
      </c>
      <c r="AE153" s="2" t="s">
        <v>303</v>
      </c>
      <c r="AF153" s="130" t="s">
        <v>340</v>
      </c>
      <c r="AG153" s="130">
        <f t="shared" si="24"/>
        <v>1.1160211134365</v>
      </c>
      <c r="AH153" s="130">
        <f t="shared" si="25"/>
        <v>0.847435113780397</v>
      </c>
      <c r="AI153" s="130">
        <f t="shared" si="26"/>
        <v>1.38923790619012</v>
      </c>
    </row>
    <row r="154" spans="3:35">
      <c r="C154" s="133" t="s">
        <v>342</v>
      </c>
      <c r="D154" s="133" t="s">
        <v>341</v>
      </c>
      <c r="E154" s="133">
        <f t="shared" si="27"/>
        <v>10</v>
      </c>
      <c r="F154" s="140"/>
      <c r="G154" s="143"/>
      <c r="H154" s="140"/>
      <c r="I154" s="140"/>
      <c r="J154" s="144" t="s">
        <v>343</v>
      </c>
      <c r="K154" s="133" t="s">
        <v>341</v>
      </c>
      <c r="L154" s="143">
        <v>25</v>
      </c>
      <c r="M154" s="2"/>
      <c r="N154" s="2"/>
      <c r="O154" s="2"/>
      <c r="P154" s="2"/>
      <c r="Q154" s="2"/>
      <c r="X154" s="140"/>
      <c r="Y154" s="141"/>
      <c r="Z154" s="142"/>
      <c r="AA154" s="142"/>
      <c r="AB154" s="2"/>
      <c r="AC154" s="2"/>
      <c r="AD154">
        <v>2050</v>
      </c>
      <c r="AE154" s="2" t="s">
        <v>303</v>
      </c>
      <c r="AF154" s="139" t="s">
        <v>341</v>
      </c>
      <c r="AG154" s="130">
        <f t="shared" si="24"/>
        <v>1.11583526632277</v>
      </c>
      <c r="AH154" s="130">
        <f t="shared" si="25"/>
        <v>0.847293998526159</v>
      </c>
      <c r="AI154" s="130">
        <f t="shared" si="26"/>
        <v>1.38900655836404</v>
      </c>
    </row>
    <row r="155" spans="3:35">
      <c r="C155" s="140"/>
      <c r="D155" s="140"/>
      <c r="E155" s="140"/>
      <c r="F155" s="140"/>
      <c r="G155" s="140"/>
      <c r="H155" s="140"/>
      <c r="I155" s="140"/>
      <c r="J155" s="140"/>
      <c r="K155" s="140"/>
      <c r="L155" s="140"/>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344</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191</v>
      </c>
    </row>
    <row r="283" spans="1:38">
      <c r="B283" t="s">
        <v>191</v>
      </c>
    </row>
    <row r="284" spans="1:38">
      <c r="A284" s="84"/>
      <c r="C284" s="84"/>
    </row>
    <row r="285" ht="14.5" spans="1:38">
      <c r="A285" s="146" t="s">
        <v>41</v>
      </c>
      <c r="B285" s="146" t="s">
        <v>193</v>
      </c>
      <c r="C285" s="146" t="s">
        <v>197</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344</v>
      </c>
      <c r="C286" s="146" t="s">
        <v>201</v>
      </c>
      <c r="D286" s="147" t="s">
        <v>347</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344</v>
      </c>
      <c r="C287" s="146" t="s">
        <v>201</v>
      </c>
      <c r="D287" s="147" t="s">
        <v>348</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344</v>
      </c>
      <c r="C288" s="146" t="s">
        <v>201</v>
      </c>
      <c r="D288" s="147" t="s">
        <v>349</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344</v>
      </c>
      <c r="C289" s="146" t="s">
        <v>201</v>
      </c>
      <c r="D289" s="147" t="s">
        <v>350</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344</v>
      </c>
      <c r="C290" s="146" t="s">
        <v>201</v>
      </c>
      <c r="D290" s="147" t="s">
        <v>351</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344</v>
      </c>
      <c r="C291" s="146" t="s">
        <v>201</v>
      </c>
      <c r="D291" s="147" t="s">
        <v>352</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344</v>
      </c>
      <c r="C292" s="146" t="s">
        <v>201</v>
      </c>
      <c r="D292" s="147" t="s">
        <v>353</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344</v>
      </c>
      <c r="C293" s="146" t="s">
        <v>201</v>
      </c>
      <c r="D293" s="147" t="s">
        <v>354</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355</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0"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0"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0"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0"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0"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0"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0"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0"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0"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0"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0"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0"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0"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0"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0"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0"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0"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0"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0"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0"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0"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0"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0"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0"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0"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0"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0"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0"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0"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0"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0"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0"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0"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0"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0"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0"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0"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0"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0"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0"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0"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0"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0"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0"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0"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0"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0"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0"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0"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0"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0"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0"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0"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0"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0"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0"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0"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0"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0"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0"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0"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0"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0"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0"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0"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0"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0"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0"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0"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0"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0"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0"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0"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0"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0"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0"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0"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0"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0"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0"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0"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0"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0"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0"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1"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0"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0"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0"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0"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0"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0"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0"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0"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0"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0"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0"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0"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0"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0"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0"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0"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0"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0"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0"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0"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0"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0"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0"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0"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0"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0"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0"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0"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0"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0"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0"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0"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0"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0"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0"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0"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0"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0"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0"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0"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0"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0"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0"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0"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0"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0"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0"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0"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0"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0"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0"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0"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0"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0"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0"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0"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0"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0"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0"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0"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0"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0"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0"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0"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0"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0"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0"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0"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0"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0"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0"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0"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0"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0"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0"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0"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0"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0"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0"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0"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0"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0"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0"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0"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0"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0"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0"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0"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0"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0"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0"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0"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0"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0"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0"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0"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0"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0"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0"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0"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0"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0"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0"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0"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0"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0"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0"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0"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0"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0"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0"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0"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0"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0"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0"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0"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0"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0"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0"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0"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0"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0"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0"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0"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0"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0"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0"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0"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0"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0"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0"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0"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0"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0"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0"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0"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0"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0"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0"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0"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0"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0"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0"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0"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0"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0"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0"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0"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0"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0"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0"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0"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0"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0"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0"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0"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0"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0"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0"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0"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0"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0"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0"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0"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0"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0"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0"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0"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0"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0"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0"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0"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0"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0"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0"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0"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0"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0"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0"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0"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0"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0"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0"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0"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0"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0"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0"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0"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0"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0"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0"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0"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0"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0"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0"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0"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0"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0"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0"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0"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0"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0"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0"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0"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0"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0"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0"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0"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0"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0"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0"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0"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0"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0"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0"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0"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0"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0"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0"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0"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0"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0"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0"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0"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0"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0"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0"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0"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0"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0"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0"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0"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0"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0"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0"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0"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0"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0"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0"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0"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0"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0"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0"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0"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0"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0"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0"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0"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0"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0"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0"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0"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0"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0"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0"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0"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0"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0"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0"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0"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0"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0"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0"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0"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0"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0"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0"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0"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0"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0"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0"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0"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0"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0"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0"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0"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0"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0"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0"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0"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0"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0"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0"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0"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0"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0"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0"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0"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0"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0"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0"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0"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0"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0"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0"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0"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0"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0"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0"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0"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0"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0"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0"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0"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0"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0"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0"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0"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0"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0"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0"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0"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0"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0"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0"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0"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0"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0"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0"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0"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0"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0"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0"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0"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0"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0"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0"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0"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0"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0"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0"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0"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0"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0"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0"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2026-09-17T10:50:02Z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