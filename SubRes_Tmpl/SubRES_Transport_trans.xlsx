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11" documentId="11_D897F37FA8A05B427CF3F0FA05983BDCA372B6E5" xr6:coauthVersionLast="47" xr6:coauthVersionMax="47" xr10:uidLastSave="{A3708988-00D8-4726-A8DB-745EC1EDDD72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9" i="25" l="1"/>
  <c r="H69" i="25"/>
  <c r="I69" i="25"/>
  <c r="J69" i="25"/>
  <c r="K69" i="25"/>
  <c r="L69" i="25"/>
  <c r="M69" i="25"/>
  <c r="N69" i="25"/>
  <c r="O69" i="25"/>
  <c r="P69" i="25"/>
  <c r="Q69" i="25"/>
  <c r="R69" i="25"/>
  <c r="S69" i="25"/>
  <c r="T69" i="25"/>
  <c r="U69" i="25"/>
  <c r="V69" i="25"/>
  <c r="W69" i="25"/>
  <c r="X69" i="25"/>
  <c r="Y69" i="25"/>
  <c r="Z69" i="25"/>
  <c r="AA69" i="25"/>
  <c r="AB69" i="25"/>
  <c r="AC69" i="25"/>
  <c r="AD69" i="25"/>
  <c r="AE69" i="25"/>
  <c r="AF69" i="25"/>
  <c r="AG69" i="25"/>
  <c r="AH69" i="25"/>
  <c r="AI69" i="25"/>
  <c r="AJ69" i="25"/>
  <c r="AK69" i="25"/>
  <c r="AL69" i="25"/>
  <c r="AM69" i="25"/>
  <c r="F69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M71" authorId="0" shapeId="0" xr:uid="{00000000-0006-0000-01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<sst xmlns="http://schemas.openxmlformats.org/spreadsheetml/2006/main" count="1167" uniqueCount="190">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</sst>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6" formatCode="0.000"/>
  </numFmts>
  <fonts count="1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9"/>
      <name val="Times New Roman"/>
    </font>
    <font>
      <b/>
      <sz val="9"/>
      <name val="Times New Roman"/>
    </font>
    <font>
      <sz val="9"/>
      <name val="Times New Roman"/>
      <charset val="134"/>
    </font>
    <font>
      <b/>
      <sz val="9"/>
      <name val="Times New Roman"/>
      <charset val="134"/>
    </font>
    <font>
      <sz val="10"/>
      <name val="Arial"/>
      <charset val="134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5" fontId="0" fillId="0" borderId="0" xfId="0" applyNumberFormat="1"/>
    <xf numFmtId="3" fontId="0" fillId="0" borderId="0" xfId="0" applyNumberFormat="1"/>
    <xf numFmtId="0" fontId="0" fillId="3" borderId="0" xfId="0" applyFill="1"/>
    <xf numFmtId="0" fontId="11" fillId="3" borderId="0" xfId="1" applyFill="1"/>
    <xf numFmtId="0" fontId="3" fillId="3" borderId="0" xfId="0" applyFont="1" applyFill="1"/>
    <xf numFmtId="0" fontId="4" fillId="3" borderId="0" xfId="1" applyFont="1" applyFill="1"/>
    <xf numFmtId="0" fontId="4" fillId="2" borderId="0" xfId="0" applyFont="1" applyFill="1"/>
    <xf numFmtId="0" fontId="0" fillId="4" borderId="0" xfId="0" applyFill="1"/>
    <xf numFmtId="0" fontId="11" fillId="5" borderId="1" xfId="1" applyFill="1" applyBorder="1"/>
    <xf numFmtId="166" fontId="11" fillId="5" borderId="1" xfId="1" applyNumberFormat="1" applyFill="1" applyBorder="1"/>
    <xf numFmtId="0" fontId="11" fillId="5" borderId="2" xfId="1" applyFill="1" applyBorder="1"/>
    <xf numFmtId="0" fontId="5" fillId="2" borderId="0" xfId="0" applyFont="1" applyFill="1"/>
    <xf numFmtId="0" fontId="6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11" fillId="0" borderId="1" xfId="1" applyBorder="1"/>
    <xf numFmtId="0" fontId="3" fillId="0" borderId="0" xfId="0" applyFont="1"/>
    <xf numFmtId="0" fontId="4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6" borderId="0" xfId="0" applyFill="1"/>
    <xf numFmtId="0" fontId="3" fillId="6" borderId="0" xfId="0" applyFont="1" applyFill="1"/>
    <xf numFmtId="0" fontId="11" fillId="6" borderId="0" xfId="1" applyFill="1"/>
    <xf numFmtId="0" fontId="0" fillId="6" borderId="1" xfId="0" applyFill="1" applyBorder="1"/>
    <xf numFmtId="0" fontId="12" fillId="6" borderId="0" xfId="0" applyFont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25" customWidth="1"/>
    <col min="2" max="2" width="8.81640625" style="25" customWidth="1"/>
    <col min="3" max="3" width="4.7265625" style="25" customWidth="1"/>
    <col min="4" max="4" width="8.81640625" style="25" customWidth="1"/>
    <col min="5" max="5" width="4.36328125" style="25" customWidth="1"/>
    <col min="6" max="6" width="4.26953125" style="25" customWidth="1"/>
    <col min="7" max="7" width="4.36328125" style="25" customWidth="1"/>
    <col min="8" max="8" width="4.6328125" style="25" customWidth="1"/>
    <col min="9" max="9" width="4" style="25" customWidth="1"/>
    <col min="10" max="10" width="4.36328125" style="25" customWidth="1"/>
    <col min="11" max="11" width="4.6328125" style="25" customWidth="1"/>
    <col min="12" max="12" width="4.36328125" style="25" customWidth="1"/>
    <col min="13" max="13" width="4" style="25" customWidth="1"/>
    <col min="14" max="14" width="4.26953125" style="25" customWidth="1"/>
    <col min="15" max="16" width="4.36328125" style="25" customWidth="1"/>
    <col min="17" max="18" width="4.6328125" style="25" customWidth="1"/>
    <col min="19" max="19" width="4.36328125" style="25" customWidth="1"/>
    <col min="20" max="20" width="5" style="25" customWidth="1"/>
    <col min="21" max="21" width="11.7265625" style="25" customWidth="1"/>
    <col min="22" max="22" width="10.7265625" style="25" customWidth="1"/>
    <col min="23" max="23" width="13.08984375" style="25" customWidth="1"/>
    <col min="24" max="259" width="11.36328125" style="25" customWidth="1"/>
    <col min="260" max="16384" width="9.08984375" style="25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24"/>
  <sheetViews>
    <sheetView tabSelected="1" topLeftCell="A22" zoomScale="45" zoomScaleNormal="45" workbookViewId="0">
      <selection activeCell="L75" sqref="L75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4" t="s">
        <v>39</v>
      </c>
      <c r="C2" s="4"/>
      <c r="D2" s="4"/>
      <c r="E2" s="4"/>
      <c r="K2" t="s">
        <v>40</v>
      </c>
    </row>
    <row r="3" spans="2:23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7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26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3"/>
    </row>
    <row r="63" spans="2:53">
      <c r="H63" s="3"/>
      <c r="BA63" s="2"/>
    </row>
    <row r="65" spans="1:106" s="1" customFormat="1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1:106" s="2" customFormat="1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1:106" s="2" customFormat="1" ht="14.5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pans="1:106" s="2" customFormat="1" ht="14.5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pans="1:106" s="27" customFormat="1" ht="14.5">
      <c r="B69" s="28" t="s">
        <v>125</v>
      </c>
      <c r="C69" s="27" t="s">
        <v>68</v>
      </c>
      <c r="D69" s="29" t="s">
        <v>126</v>
      </c>
      <c r="E69" s="29" t="s">
        <v>129</v>
      </c>
      <c r="F69" s="31">
        <f>D79/10000</f>
        <v>1.3</v>
      </c>
      <c r="G69" s="31">
        <f t="shared" ref="G69:AM69" si="6">E79/10000</f>
        <v>410</v>
      </c>
      <c r="H69" s="31">
        <f t="shared" si="6"/>
        <v>150</v>
      </c>
      <c r="I69" s="31">
        <f t="shared" si="6"/>
        <v>0</v>
      </c>
      <c r="J69" s="31">
        <f t="shared" si="6"/>
        <v>0</v>
      </c>
      <c r="K69" s="31">
        <f t="shared" si="6"/>
        <v>0</v>
      </c>
      <c r="L69" s="31">
        <f t="shared" si="6"/>
        <v>0</v>
      </c>
      <c r="M69" s="31">
        <f t="shared" si="6"/>
        <v>14</v>
      </c>
      <c r="N69" s="31">
        <f t="shared" si="6"/>
        <v>0</v>
      </c>
      <c r="O69" s="31">
        <f t="shared" si="6"/>
        <v>0</v>
      </c>
      <c r="P69" s="31">
        <f t="shared" si="6"/>
        <v>0</v>
      </c>
      <c r="Q69" s="31">
        <f t="shared" si="6"/>
        <v>0</v>
      </c>
      <c r="R69" s="31">
        <f t="shared" si="6"/>
        <v>0</v>
      </c>
      <c r="S69" s="31">
        <f t="shared" si="6"/>
        <v>0</v>
      </c>
      <c r="T69" s="31">
        <f t="shared" si="6"/>
        <v>0</v>
      </c>
      <c r="U69" s="31">
        <f t="shared" si="6"/>
        <v>0</v>
      </c>
      <c r="V69" s="31">
        <f t="shared" si="6"/>
        <v>0</v>
      </c>
      <c r="W69" s="31">
        <f t="shared" si="6"/>
        <v>0</v>
      </c>
      <c r="X69" s="31">
        <f t="shared" si="6"/>
        <v>0</v>
      </c>
      <c r="Y69" s="31">
        <f t="shared" si="6"/>
        <v>50</v>
      </c>
      <c r="Z69" s="31">
        <f t="shared" si="6"/>
        <v>3.6</v>
      </c>
      <c r="AA69" s="31">
        <f t="shared" si="6"/>
        <v>28.9</v>
      </c>
      <c r="AB69" s="31">
        <f t="shared" si="6"/>
        <v>0</v>
      </c>
      <c r="AC69" s="31">
        <f t="shared" si="6"/>
        <v>0</v>
      </c>
      <c r="AD69" s="31">
        <f t="shared" si="6"/>
        <v>151.69999999999999</v>
      </c>
      <c r="AE69" s="31">
        <f t="shared" si="6"/>
        <v>25</v>
      </c>
      <c r="AF69" s="31">
        <f t="shared" si="6"/>
        <v>0</v>
      </c>
      <c r="AG69" s="31">
        <f t="shared" si="6"/>
        <v>0</v>
      </c>
      <c r="AH69" s="31">
        <f t="shared" si="6"/>
        <v>0</v>
      </c>
      <c r="AI69" s="31">
        <f t="shared" si="6"/>
        <v>0</v>
      </c>
      <c r="AJ69" s="31">
        <f t="shared" si="6"/>
        <v>0</v>
      </c>
      <c r="AK69" s="31">
        <f t="shared" si="6"/>
        <v>3.6</v>
      </c>
      <c r="AL69" s="31">
        <f t="shared" si="6"/>
        <v>0</v>
      </c>
      <c r="AM69" s="31">
        <f t="shared" si="6"/>
        <v>0</v>
      </c>
      <c r="CQ69" s="30"/>
      <c r="CR69" s="30"/>
      <c r="CT69" s="30"/>
      <c r="CU69" s="30"/>
      <c r="CW69" s="28" t="s">
        <v>125</v>
      </c>
      <c r="CX69" s="27" t="s">
        <v>68</v>
      </c>
      <c r="CY69" s="29" t="s">
        <v>126</v>
      </c>
      <c r="CZ69" s="29" t="s">
        <v>129</v>
      </c>
      <c r="DA69" s="30">
        <v>0</v>
      </c>
      <c r="DB69" s="30">
        <v>5</v>
      </c>
    </row>
    <row r="70" spans="1:106" s="2" customFormat="1" ht="14.5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M70" si="7">D80/1000</f>
        <v>0</v>
      </c>
      <c r="G70" s="12">
        <f t="shared" si="7"/>
        <v>74000</v>
      </c>
      <c r="H70" s="12">
        <f t="shared" si="7"/>
        <v>270000</v>
      </c>
      <c r="I70" s="12">
        <f t="shared" si="7"/>
        <v>0</v>
      </c>
      <c r="J70" s="12">
        <f t="shared" si="7"/>
        <v>0</v>
      </c>
      <c r="K70" s="12">
        <f t="shared" si="7"/>
        <v>0</v>
      </c>
      <c r="L70" s="12">
        <f t="shared" si="7"/>
        <v>270000</v>
      </c>
      <c r="M70" s="12">
        <f t="shared" si="7"/>
        <v>280000</v>
      </c>
      <c r="N70" s="12">
        <f t="shared" ref="N70:AM70" si="8">L80/1000</f>
        <v>0</v>
      </c>
      <c r="O70" s="12">
        <f t="shared" si="8"/>
        <v>0</v>
      </c>
      <c r="P70" s="12">
        <f t="shared" si="8"/>
        <v>0</v>
      </c>
      <c r="Q70" s="12">
        <f t="shared" si="8"/>
        <v>0</v>
      </c>
      <c r="R70" s="12">
        <f t="shared" si="8"/>
        <v>0</v>
      </c>
      <c r="S70" s="12">
        <f t="shared" si="8"/>
        <v>0</v>
      </c>
      <c r="T70" s="12">
        <f t="shared" si="8"/>
        <v>0</v>
      </c>
      <c r="U70" s="12">
        <f t="shared" si="8"/>
        <v>34000</v>
      </c>
      <c r="V70" s="12">
        <f t="shared" si="8"/>
        <v>0</v>
      </c>
      <c r="W70" s="12">
        <f t="shared" si="8"/>
        <v>0</v>
      </c>
      <c r="X70" s="12">
        <f t="shared" si="8"/>
        <v>0</v>
      </c>
      <c r="Y70" s="12">
        <f t="shared" si="8"/>
        <v>275000</v>
      </c>
      <c r="Z70" s="12">
        <f t="shared" si="8"/>
        <v>0</v>
      </c>
      <c r="AA70" s="18">
        <v>100</v>
      </c>
      <c r="AB70" s="2">
        <f t="shared" si="8"/>
        <v>0</v>
      </c>
      <c r="AC70" s="2">
        <f t="shared" si="8"/>
        <v>0</v>
      </c>
      <c r="AD70" s="2">
        <f t="shared" si="8"/>
        <v>5000</v>
      </c>
      <c r="AE70" s="2">
        <f t="shared" si="8"/>
        <v>0</v>
      </c>
      <c r="AF70" s="2">
        <f t="shared" si="8"/>
        <v>0</v>
      </c>
      <c r="AG70" s="8">
        <f t="shared" si="8"/>
        <v>640000</v>
      </c>
      <c r="AH70" s="2">
        <f t="shared" si="8"/>
        <v>0</v>
      </c>
      <c r="AI70" s="2">
        <f t="shared" si="8"/>
        <v>0</v>
      </c>
      <c r="AJ70" s="2">
        <f t="shared" si="8"/>
        <v>0</v>
      </c>
      <c r="AK70" s="2">
        <f t="shared" si="8"/>
        <v>0</v>
      </c>
      <c r="AL70" s="2">
        <f t="shared" si="8"/>
        <v>0</v>
      </c>
      <c r="AM70" s="2">
        <f t="shared" si="8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pans="1:106" s="2" customFormat="1" ht="14.5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1" si="9">D81/1000</f>
        <v>0</v>
      </c>
      <c r="G71" s="2">
        <f t="shared" si="9"/>
        <v>0</v>
      </c>
      <c r="H71" s="2">
        <f t="shared" si="9"/>
        <v>0</v>
      </c>
      <c r="I71" s="2">
        <f t="shared" si="9"/>
        <v>0</v>
      </c>
      <c r="J71" s="2">
        <f t="shared" si="9"/>
        <v>0</v>
      </c>
      <c r="K71" s="2">
        <f t="shared" si="9"/>
        <v>0</v>
      </c>
      <c r="L71" s="2">
        <f t="shared" si="9"/>
        <v>0</v>
      </c>
      <c r="M71" s="17">
        <v>41500</v>
      </c>
      <c r="N71" s="2">
        <f t="shared" ref="N71:AM71" si="10">L81/1000</f>
        <v>0</v>
      </c>
      <c r="O71" s="2">
        <f t="shared" si="10"/>
        <v>0</v>
      </c>
      <c r="P71" s="2">
        <f t="shared" si="10"/>
        <v>0</v>
      </c>
      <c r="Q71" s="2">
        <f t="shared" si="10"/>
        <v>0</v>
      </c>
      <c r="R71" s="2">
        <f t="shared" si="10"/>
        <v>0</v>
      </c>
      <c r="S71" s="2">
        <f t="shared" si="10"/>
        <v>0</v>
      </c>
      <c r="T71" s="2">
        <f t="shared" si="10"/>
        <v>0</v>
      </c>
      <c r="U71" s="2">
        <f t="shared" si="10"/>
        <v>0</v>
      </c>
      <c r="V71" s="2">
        <f t="shared" si="10"/>
        <v>0</v>
      </c>
      <c r="W71" s="2">
        <f t="shared" si="10"/>
        <v>0</v>
      </c>
      <c r="X71" s="2">
        <f t="shared" si="10"/>
        <v>0</v>
      </c>
      <c r="Y71" s="2">
        <f t="shared" si="10"/>
        <v>0</v>
      </c>
      <c r="Z71" s="2">
        <f t="shared" si="10"/>
        <v>0</v>
      </c>
      <c r="AA71" s="17">
        <v>3650</v>
      </c>
      <c r="AB71" s="2">
        <f t="shared" si="10"/>
        <v>0</v>
      </c>
      <c r="AC71" s="2">
        <f t="shared" si="10"/>
        <v>0</v>
      </c>
      <c r="AD71" s="2">
        <f t="shared" si="10"/>
        <v>0</v>
      </c>
      <c r="AE71" s="2">
        <f t="shared" si="10"/>
        <v>0</v>
      </c>
      <c r="AF71" s="2">
        <f t="shared" si="10"/>
        <v>0</v>
      </c>
      <c r="AG71" s="2">
        <f t="shared" si="10"/>
        <v>0</v>
      </c>
      <c r="AH71" s="2">
        <f t="shared" si="10"/>
        <v>0</v>
      </c>
      <c r="AI71" s="2">
        <f t="shared" si="10"/>
        <v>0</v>
      </c>
      <c r="AJ71" s="2">
        <f t="shared" si="10"/>
        <v>0</v>
      </c>
      <c r="AK71" s="2">
        <f t="shared" si="10"/>
        <v>0</v>
      </c>
      <c r="AL71" s="2">
        <f t="shared" si="10"/>
        <v>0</v>
      </c>
      <c r="AM71" s="2">
        <f t="shared" si="10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pans="1:106" s="2" customFormat="1" ht="14.5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ref="F72:M72" si="11">D82/1000</f>
        <v>0</v>
      </c>
      <c r="G72" s="2">
        <f t="shared" si="11"/>
        <v>50000</v>
      </c>
      <c r="H72" s="2">
        <f t="shared" si="11"/>
        <v>97000</v>
      </c>
      <c r="I72" s="2">
        <f t="shared" si="11"/>
        <v>0</v>
      </c>
      <c r="J72" s="2">
        <f t="shared" si="11"/>
        <v>0</v>
      </c>
      <c r="K72" s="2">
        <f t="shared" si="11"/>
        <v>0</v>
      </c>
      <c r="L72" s="2">
        <f t="shared" si="11"/>
        <v>0</v>
      </c>
      <c r="M72" s="2">
        <f t="shared" si="11"/>
        <v>27000</v>
      </c>
      <c r="N72" s="2">
        <f t="shared" ref="N72:AM72" si="12">L82/1000</f>
        <v>0</v>
      </c>
      <c r="O72" s="2">
        <f t="shared" si="12"/>
        <v>0</v>
      </c>
      <c r="P72" s="2">
        <f t="shared" si="12"/>
        <v>0</v>
      </c>
      <c r="Q72" s="2">
        <f t="shared" si="12"/>
        <v>0</v>
      </c>
      <c r="R72" s="2">
        <f t="shared" si="12"/>
        <v>0</v>
      </c>
      <c r="S72" s="2">
        <f t="shared" si="12"/>
        <v>0</v>
      </c>
      <c r="T72" s="2">
        <f t="shared" si="12"/>
        <v>0</v>
      </c>
      <c r="U72" s="2">
        <f t="shared" si="12"/>
        <v>0</v>
      </c>
      <c r="V72" s="2">
        <f t="shared" si="12"/>
        <v>0</v>
      </c>
      <c r="W72" s="2">
        <f t="shared" si="12"/>
        <v>0</v>
      </c>
      <c r="X72" s="2">
        <f t="shared" si="12"/>
        <v>0</v>
      </c>
      <c r="Y72" s="2">
        <f t="shared" si="12"/>
        <v>324000</v>
      </c>
      <c r="Z72" s="2">
        <f t="shared" si="12"/>
        <v>0</v>
      </c>
      <c r="AA72" s="2">
        <f t="shared" si="12"/>
        <v>51600</v>
      </c>
      <c r="AB72" s="2">
        <f t="shared" si="12"/>
        <v>0</v>
      </c>
      <c r="AC72" s="2">
        <f t="shared" si="12"/>
        <v>30000</v>
      </c>
      <c r="AD72" s="2">
        <f t="shared" si="12"/>
        <v>244000</v>
      </c>
      <c r="AE72" s="2">
        <f t="shared" si="12"/>
        <v>62000</v>
      </c>
      <c r="AF72" s="2">
        <f t="shared" si="12"/>
        <v>0</v>
      </c>
      <c r="AG72" s="2">
        <f t="shared" si="12"/>
        <v>0</v>
      </c>
      <c r="AH72" s="2">
        <f t="shared" si="12"/>
        <v>0</v>
      </c>
      <c r="AI72" s="2">
        <f t="shared" si="12"/>
        <v>0</v>
      </c>
      <c r="AJ72" s="2">
        <f t="shared" si="12"/>
        <v>0</v>
      </c>
      <c r="AK72" s="2">
        <f t="shared" si="12"/>
        <v>0</v>
      </c>
      <c r="AL72" s="2">
        <f t="shared" si="12"/>
        <v>0</v>
      </c>
      <c r="AM72" s="2">
        <f t="shared" si="12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pans="1:106" s="1" customFormat="1" ht="14.5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ref="F73:M73" si="13">D83/1000</f>
        <v>0</v>
      </c>
      <c r="G73" s="2">
        <f t="shared" si="13"/>
        <v>69000</v>
      </c>
      <c r="H73" s="2">
        <f t="shared" si="13"/>
        <v>0</v>
      </c>
      <c r="I73" s="2">
        <f t="shared" si="13"/>
        <v>0</v>
      </c>
      <c r="J73" s="2">
        <f t="shared" si="13"/>
        <v>0</v>
      </c>
      <c r="K73" s="2">
        <f t="shared" si="13"/>
        <v>0</v>
      </c>
      <c r="L73" s="2">
        <f t="shared" si="13"/>
        <v>74000</v>
      </c>
      <c r="M73" s="2">
        <f t="shared" si="13"/>
        <v>52000</v>
      </c>
      <c r="N73" s="2">
        <f t="shared" ref="N73:AM73" si="14">L83/1000</f>
        <v>0</v>
      </c>
      <c r="O73" s="2">
        <f t="shared" si="14"/>
        <v>0</v>
      </c>
      <c r="P73" s="2">
        <f t="shared" si="14"/>
        <v>0</v>
      </c>
      <c r="Q73" s="2">
        <f t="shared" si="14"/>
        <v>0</v>
      </c>
      <c r="R73" s="2">
        <f t="shared" si="14"/>
        <v>0</v>
      </c>
      <c r="S73" s="2">
        <f t="shared" si="14"/>
        <v>0</v>
      </c>
      <c r="T73" s="2">
        <f t="shared" si="14"/>
        <v>0</v>
      </c>
      <c r="U73" s="2">
        <f t="shared" si="14"/>
        <v>8000</v>
      </c>
      <c r="V73" s="2">
        <f t="shared" si="14"/>
        <v>0</v>
      </c>
      <c r="W73" s="2">
        <f t="shared" si="14"/>
        <v>0</v>
      </c>
      <c r="X73" s="2">
        <f t="shared" si="14"/>
        <v>0</v>
      </c>
      <c r="Y73" s="2">
        <f t="shared" si="14"/>
        <v>77100</v>
      </c>
      <c r="Z73" s="2">
        <f t="shared" si="14"/>
        <v>90000</v>
      </c>
      <c r="AA73" s="2">
        <f t="shared" si="14"/>
        <v>5700</v>
      </c>
      <c r="AB73" s="2">
        <f t="shared" si="14"/>
        <v>600</v>
      </c>
      <c r="AC73" s="2">
        <f t="shared" si="14"/>
        <v>0</v>
      </c>
      <c r="AD73" s="2">
        <f t="shared" si="14"/>
        <v>12900</v>
      </c>
      <c r="AE73" s="2">
        <f t="shared" si="14"/>
        <v>14000</v>
      </c>
      <c r="AF73" s="2">
        <f t="shared" si="14"/>
        <v>0</v>
      </c>
      <c r="AG73" s="2">
        <f t="shared" si="14"/>
        <v>0</v>
      </c>
      <c r="AH73" s="2">
        <f t="shared" si="14"/>
        <v>0</v>
      </c>
      <c r="AI73" s="2">
        <f t="shared" si="14"/>
        <v>0</v>
      </c>
      <c r="AJ73" s="2">
        <f t="shared" si="14"/>
        <v>0</v>
      </c>
      <c r="AK73" s="2">
        <f t="shared" si="14"/>
        <v>90000</v>
      </c>
      <c r="AL73" s="2">
        <f t="shared" si="14"/>
        <v>0</v>
      </c>
      <c r="AM73" s="2">
        <f t="shared" si="14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pans="1:106" s="3" customFormat="1"/>
    <row r="75" spans="1:106" s="3" customFormat="1">
      <c r="E75" s="3" t="s">
        <v>134</v>
      </c>
    </row>
    <row r="76" spans="1:106" s="3" customFormat="1"/>
    <row r="77" spans="1:106" s="3" customFormat="1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1:106" s="3" customFormat="1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1:106" s="3" customFormat="1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1:106" s="3" customFormat="1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2:37" s="3" customFormat="1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2:37" s="3" customFormat="1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2:37" s="3" customFormat="1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pans="2:37" s="3" customFormat="1"/>
    <row r="88" spans="2:37">
      <c r="B88" t="s">
        <v>135</v>
      </c>
    </row>
    <row r="91" spans="2:37">
      <c r="H91" s="3"/>
      <c r="I91" s="3"/>
      <c r="J91" s="3"/>
      <c r="K91" s="3"/>
      <c r="L91" s="3"/>
    </row>
    <row r="92" spans="2:37">
      <c r="D92" s="3"/>
      <c r="H92" s="3"/>
      <c r="I92" s="3"/>
      <c r="J92" s="3"/>
      <c r="K92" s="3"/>
      <c r="L92" s="3"/>
    </row>
    <row r="93" spans="2:37">
      <c r="C93" s="3"/>
      <c r="D93" s="3"/>
      <c r="F93" s="3"/>
      <c r="H93" s="3"/>
      <c r="I93" s="3"/>
      <c r="J93" s="3"/>
      <c r="K93" s="3"/>
      <c r="L93" s="3"/>
    </row>
    <row r="94" spans="2:37">
      <c r="C94" s="3"/>
      <c r="D94" s="3"/>
      <c r="H94" s="3"/>
      <c r="I94" s="3"/>
      <c r="J94" s="3"/>
      <c r="K94" s="3"/>
      <c r="L94" s="3"/>
    </row>
    <row r="95" spans="2:37">
      <c r="C95" s="3"/>
      <c r="D95" s="3"/>
      <c r="F95" s="3"/>
      <c r="H95" s="3"/>
      <c r="I95" s="3"/>
      <c r="J95" s="3"/>
      <c r="K95" s="3"/>
      <c r="L95" s="3"/>
    </row>
    <row r="96" spans="2:37">
      <c r="C96" s="3"/>
      <c r="D96" s="3"/>
      <c r="H96" s="3"/>
      <c r="I96" s="3"/>
      <c r="J96" s="3"/>
      <c r="K96" s="3"/>
      <c r="L96" s="3"/>
    </row>
    <row r="97" spans="3:29">
      <c r="C97" s="3"/>
      <c r="D97" s="3"/>
      <c r="F97" s="3"/>
      <c r="H97" s="3"/>
      <c r="I97" s="3"/>
      <c r="J97" s="3"/>
      <c r="K97" s="3"/>
      <c r="L97" s="3"/>
    </row>
    <row r="98" spans="3:29">
      <c r="C98" s="3"/>
      <c r="D98" s="3"/>
      <c r="H98" s="3"/>
      <c r="I98" s="3"/>
      <c r="J98" s="3"/>
      <c r="K98" s="3"/>
      <c r="L98" s="3"/>
    </row>
    <row r="99" spans="3:29">
      <c r="C99" s="3"/>
      <c r="F99" s="3"/>
    </row>
    <row r="100" spans="3:29">
      <c r="C100" s="3"/>
      <c r="D100" s="3"/>
    </row>
    <row r="101" spans="3:29">
      <c r="C101" s="3"/>
      <c r="D101" s="14"/>
      <c r="E101" s="14"/>
      <c r="F101" s="14"/>
      <c r="G101" s="14"/>
    </row>
    <row r="102" spans="3:29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136</v>
      </c>
      <c r="N104" s="14" t="s">
        <v>137</v>
      </c>
      <c r="O104" s="14">
        <f>E104*0.313</f>
        <v>2.2266331624662201</v>
      </c>
      <c r="P104" s="14">
        <f>F104*0.313</f>
        <v>1.6907629386882801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136</v>
      </c>
      <c r="N105" s="14" t="s">
        <v>138</v>
      </c>
      <c r="O105" s="14">
        <f t="shared" ref="O105:O124" si="15">E105*0.313</f>
        <v>2.2266331624662201</v>
      </c>
      <c r="P105" s="14">
        <f t="shared" ref="P105:P124" si="16">F105*0.313</f>
        <v>1.6907629386882801</v>
      </c>
      <c r="Q105" s="14">
        <f t="shared" ref="Q105:Q124" si="17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136</v>
      </c>
      <c r="N106" s="14" t="s">
        <v>139</v>
      </c>
      <c r="O106" s="14">
        <f t="shared" si="15"/>
        <v>2.3881131454679401</v>
      </c>
      <c r="P106" s="14">
        <f t="shared" si="16"/>
        <v>1.81338051569639</v>
      </c>
      <c r="Q106" s="14">
        <f t="shared" si="17"/>
        <v>2.9727549585114201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136</v>
      </c>
      <c r="N107" s="14" t="s">
        <v>140</v>
      </c>
      <c r="O107" s="14">
        <f t="shared" si="15"/>
        <v>2.3384138660280001</v>
      </c>
      <c r="P107" s="14">
        <f t="shared" si="16"/>
        <v>1.77564205725866</v>
      </c>
      <c r="Q107" s="14">
        <f t="shared" si="17"/>
        <v>2.9108886286661799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136</v>
      </c>
      <c r="N108" s="14" t="s">
        <v>141</v>
      </c>
      <c r="O108" s="14">
        <f t="shared" si="15"/>
        <v>2.3526442176615099</v>
      </c>
      <c r="P108" s="14">
        <f t="shared" si="16"/>
        <v>1.7864476845246899</v>
      </c>
      <c r="Q108" s="14">
        <f t="shared" si="17"/>
        <v>2.9286027679439899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136</v>
      </c>
      <c r="N109" s="14" t="s">
        <v>142</v>
      </c>
      <c r="O109" s="14">
        <f t="shared" si="15"/>
        <v>2.3632635057479701</v>
      </c>
      <c r="P109" s="14">
        <f t="shared" si="16"/>
        <v>1.7945112980103199</v>
      </c>
      <c r="Q109" s="14">
        <f t="shared" si="17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136</v>
      </c>
      <c r="N110" s="14" t="s">
        <v>143</v>
      </c>
      <c r="O110" s="14">
        <f t="shared" si="15"/>
        <v>2.3881131454679401</v>
      </c>
      <c r="P110" s="14">
        <f t="shared" si="16"/>
        <v>1.81338051569639</v>
      </c>
      <c r="Q110" s="14">
        <f t="shared" si="17"/>
        <v>2.9727549585114201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136</v>
      </c>
      <c r="N111" s="14" t="s">
        <v>144</v>
      </c>
      <c r="O111" s="14">
        <f t="shared" si="15"/>
        <v>1.3095438006141</v>
      </c>
      <c r="P111" s="14">
        <f t="shared" si="16"/>
        <v>0.99438388533529898</v>
      </c>
      <c r="Q111" s="14">
        <f t="shared" si="17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136</v>
      </c>
      <c r="N112" s="14" t="s">
        <v>145</v>
      </c>
      <c r="O112" s="14">
        <f t="shared" si="15"/>
        <v>1.3095438006141</v>
      </c>
      <c r="P112" s="14">
        <f t="shared" si="16"/>
        <v>0.99438388533529898</v>
      </c>
      <c r="Q112" s="14">
        <f t="shared" si="17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136</v>
      </c>
      <c r="N113" s="14" t="s">
        <v>146</v>
      </c>
      <c r="O113" s="14">
        <f t="shared" si="15"/>
        <v>1.3095438006141</v>
      </c>
      <c r="P113" s="14">
        <f t="shared" si="16"/>
        <v>0.99438388533529898</v>
      </c>
      <c r="Q113" s="14">
        <f t="shared" si="17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136</v>
      </c>
      <c r="N114" s="14" t="s">
        <v>147</v>
      </c>
      <c r="O114" s="14">
        <f t="shared" si="15"/>
        <v>1.3095438006141</v>
      </c>
      <c r="P114" s="14">
        <f t="shared" si="16"/>
        <v>0.99438388533529898</v>
      </c>
      <c r="Q114" s="14">
        <f t="shared" si="17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136</v>
      </c>
      <c r="N115" s="14" t="s">
        <v>148</v>
      </c>
      <c r="O115" s="14">
        <f t="shared" si="15"/>
        <v>1.3095438006141</v>
      </c>
      <c r="P115" s="14">
        <f t="shared" si="16"/>
        <v>0.99438388533529898</v>
      </c>
      <c r="Q115" s="14">
        <f t="shared" si="17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136</v>
      </c>
      <c r="N116" s="14" t="s">
        <v>149</v>
      </c>
      <c r="O116" s="14">
        <f t="shared" si="15"/>
        <v>1.3095438006141</v>
      </c>
      <c r="P116" s="14">
        <f t="shared" si="16"/>
        <v>0.99438388533529898</v>
      </c>
      <c r="Q116" s="14">
        <f t="shared" si="17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136</v>
      </c>
      <c r="N117" s="14" t="s">
        <v>150</v>
      </c>
      <c r="O117" s="14">
        <f t="shared" si="15"/>
        <v>1.3095438006141</v>
      </c>
      <c r="P117" s="14">
        <f t="shared" si="16"/>
        <v>0.99438388533529898</v>
      </c>
      <c r="Q117" s="14">
        <f t="shared" si="17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136</v>
      </c>
      <c r="N118" s="14" t="s">
        <v>151</v>
      </c>
      <c r="O118" s="14">
        <f t="shared" si="15"/>
        <v>1.1160211134364999</v>
      </c>
      <c r="P118" s="14">
        <f t="shared" si="16"/>
        <v>0.84743511378039704</v>
      </c>
      <c r="Q118" s="14">
        <f t="shared" si="17"/>
        <v>1.3892379061901201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136</v>
      </c>
      <c r="N119" s="14" t="s">
        <v>152</v>
      </c>
      <c r="O119" s="14">
        <f t="shared" si="15"/>
        <v>1.1270745266027999</v>
      </c>
      <c r="P119" s="14">
        <f t="shared" si="16"/>
        <v>0.85582838061901201</v>
      </c>
      <c r="Q119" s="14">
        <f t="shared" si="17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136</v>
      </c>
      <c r="N120" s="14" t="s">
        <v>153</v>
      </c>
      <c r="O120" s="14">
        <f t="shared" si="15"/>
        <v>1.1160211134364999</v>
      </c>
      <c r="P120" s="14">
        <f t="shared" si="16"/>
        <v>0.84743511378039704</v>
      </c>
      <c r="Q120" s="14">
        <f t="shared" si="17"/>
        <v>1.3892379061901201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136</v>
      </c>
      <c r="N121" s="14" t="s">
        <v>154</v>
      </c>
      <c r="O121" s="14">
        <f t="shared" si="15"/>
        <v>1.11630000712356</v>
      </c>
      <c r="P121" s="14">
        <f t="shared" si="16"/>
        <v>0.84764690198968295</v>
      </c>
      <c r="Q121" s="14">
        <f t="shared" si="17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136</v>
      </c>
      <c r="N122" s="14" t="s">
        <v>155</v>
      </c>
      <c r="O122" s="14">
        <f t="shared" si="15"/>
        <v>1.1161140600589501</v>
      </c>
      <c r="P122" s="14">
        <f t="shared" si="16"/>
        <v>0.84750569447310098</v>
      </c>
      <c r="Q122" s="14">
        <f t="shared" si="17"/>
        <v>1.3893536031687499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136</v>
      </c>
      <c r="N123" s="14" t="s">
        <v>156</v>
      </c>
      <c r="O123" s="14">
        <f t="shared" si="15"/>
        <v>1.1160211134364999</v>
      </c>
      <c r="P123" s="14">
        <f t="shared" si="16"/>
        <v>0.84743511378039704</v>
      </c>
      <c r="Q123" s="14">
        <f t="shared" si="17"/>
        <v>1.3892379061901201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136</v>
      </c>
      <c r="N124" s="16" t="s">
        <v>157</v>
      </c>
      <c r="O124" s="14">
        <f t="shared" si="15"/>
        <v>1.11583526632277</v>
      </c>
      <c r="P124" s="14">
        <f t="shared" si="16"/>
        <v>0.84729399852615905</v>
      </c>
      <c r="Q124" s="14">
        <f t="shared" si="17"/>
        <v>1.3890065583640401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2025-06-08T22:10:23Z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