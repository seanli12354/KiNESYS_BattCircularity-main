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<sst xmlns="http://schemas.openxmlformats.org/spreadsheetml/2006/main" count="1047" uniqueCount="195">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</sst>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0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19" customWidth="1"/>
    <col min="2" max="2" width="8.85454545454546" style="19" customWidth="1"/>
    <col min="3" max="3" width="4.70909090909091" style="19" customWidth="1"/>
    <col min="4" max="4" width="8.85454545454546" style="19" customWidth="1"/>
    <col min="5" max="5" width="4.42727272727273" style="19" customWidth="1"/>
    <col min="6" max="6" width="4.28181818181818" style="19" customWidth="1"/>
    <col min="7" max="7" width="4.42727272727273" style="19" customWidth="1"/>
    <col min="8" max="8" width="4.57272727272727" style="19" customWidth="1"/>
    <col min="9" max="9" width="4" style="19" customWidth="1"/>
    <col min="10" max="10" width="4.42727272727273" style="19" customWidth="1"/>
    <col min="11" max="11" width="4.57272727272727" style="19" customWidth="1"/>
    <col min="12" max="12" width="4.42727272727273" style="19" customWidth="1"/>
    <col min="13" max="13" width="4" style="19" customWidth="1"/>
    <col min="14" max="14" width="4.28181818181818" style="19" customWidth="1"/>
    <col min="15" max="16" width="4.42727272727273" style="19" customWidth="1"/>
    <col min="17" max="18" width="4.57272727272727" style="19" customWidth="1"/>
    <col min="19" max="19" width="4.42727272727273" style="19" customWidth="1"/>
    <col min="20" max="20" width="5" style="19" customWidth="1"/>
    <col min="21" max="21" width="11.7090909090909" style="19" customWidth="1"/>
    <col min="22" max="22" width="10.7090909090909" style="19" customWidth="1"/>
    <col min="23" max="23" width="13.1363636363636" style="19" customWidth="1"/>
    <col min="24" max="259" width="11.4272727272727" style="19" customWidth="1"/>
    <col min="260" max="16384" width="9.13636363636364" style="19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19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19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19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19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19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O124"/>
  <sheetViews>
    <sheetView tabSelected="1" zoomScale="34" zoomScaleNormal="34" topLeftCell="B11" workbookViewId="0">
      <selection activeCell="N69" sqref="N69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0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0" t="s">
        <v>92</v>
      </c>
      <c r="C18">
        <v>0.2</v>
      </c>
      <c r="D18">
        <v>3</v>
      </c>
      <c r="E18" s="20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1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0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 t="s">
        <v>130</v>
      </c>
    </row>
    <row r="65" s="1" customFormat="1" spans="1:53">
      <c r="A65" s="2"/>
      <c r="B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spans="2:67">
      <c r="B66" s="2" t="s">
        <v>56</v>
      </c>
      <c r="C66" s="2" t="s">
        <v>44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t="s">
        <v>45</v>
      </c>
      <c r="M66" t="s">
        <v>58</v>
      </c>
      <c r="N66" s="2" t="s">
        <v>60</v>
      </c>
      <c r="AP66" s="2" t="s">
        <v>12</v>
      </c>
      <c r="AQ66" s="2" t="s">
        <v>13</v>
      </c>
      <c r="AR66" s="2" t="s">
        <v>14</v>
      </c>
      <c r="AS66" s="2" t="s">
        <v>15</v>
      </c>
      <c r="AT66" s="2" t="s">
        <v>16</v>
      </c>
      <c r="AU66" s="2" t="s">
        <v>17</v>
      </c>
      <c r="AV66" s="2" t="s">
        <v>18</v>
      </c>
      <c r="AW66" s="2" t="s">
        <v>19</v>
      </c>
      <c r="AX66" s="2" t="s">
        <v>20</v>
      </c>
      <c r="AY66" s="2" t="s">
        <v>21</v>
      </c>
      <c r="AZ66" s="2" t="s">
        <v>22</v>
      </c>
      <c r="BA66" s="2" t="s">
        <v>23</v>
      </c>
      <c r="BB66" s="2" t="s">
        <v>24</v>
      </c>
      <c r="BC66" s="2" t="s">
        <v>25</v>
      </c>
      <c r="BD66" s="2" t="s">
        <v>26</v>
      </c>
      <c r="BE66" s="2" t="s">
        <v>27</v>
      </c>
      <c r="BF66" s="2" t="s">
        <v>28</v>
      </c>
      <c r="BG66" s="2" t="s">
        <v>29</v>
      </c>
      <c r="BH66" s="2" t="s">
        <v>131</v>
      </c>
      <c r="BI66" s="2" t="s">
        <v>31</v>
      </c>
      <c r="BJ66" s="2" t="s">
        <v>32</v>
      </c>
      <c r="BK66" s="2" t="s">
        <v>33</v>
      </c>
      <c r="BL66" s="2" t="s">
        <v>34</v>
      </c>
      <c r="BM66" s="2" t="s">
        <v>35</v>
      </c>
      <c r="BN66" s="2" t="s">
        <v>36</v>
      </c>
      <c r="BO66" s="2" t="s">
        <v>37</v>
      </c>
    </row>
    <row r="67" s="2" customFormat="1" ht="14.5" spans="2:67">
      <c r="B67" s="12" t="s">
        <v>132</v>
      </c>
      <c r="C67" s="2">
        <v>0</v>
      </c>
      <c r="D67" s="2">
        <f>D77/1000</f>
        <v>0</v>
      </c>
      <c r="E67" s="2">
        <f>E77/1000</f>
        <v>310</v>
      </c>
      <c r="F67" s="2">
        <f>F77/1000</f>
        <v>6200</v>
      </c>
      <c r="G67" s="2">
        <f>G77/1000</f>
        <v>0</v>
      </c>
      <c r="H67" s="2">
        <f>H77/1000</f>
        <v>0</v>
      </c>
      <c r="I67" s="2">
        <f>I77/1000</f>
        <v>0</v>
      </c>
      <c r="J67" s="2">
        <f>J77/1000</f>
        <v>250</v>
      </c>
      <c r="K67" s="2">
        <v>2000</v>
      </c>
      <c r="L67" s="1" t="s">
        <v>133</v>
      </c>
      <c r="M67" s="1" t="s">
        <v>134</v>
      </c>
      <c r="N67" s="2" t="s">
        <v>83</v>
      </c>
      <c r="AP67" s="2">
        <f t="shared" ref="AP67:BO67" si="2">L77/1000</f>
        <v>0</v>
      </c>
      <c r="AQ67" s="2">
        <f t="shared" si="2"/>
        <v>0</v>
      </c>
      <c r="AR67" s="2">
        <f t="shared" si="2"/>
        <v>0</v>
      </c>
      <c r="AS67" s="2">
        <f t="shared" si="2"/>
        <v>0</v>
      </c>
      <c r="AT67" s="2">
        <f t="shared" si="2"/>
        <v>0</v>
      </c>
      <c r="AU67" s="2">
        <f t="shared" si="2"/>
        <v>0</v>
      </c>
      <c r="AV67" s="2">
        <f t="shared" si="2"/>
        <v>0</v>
      </c>
      <c r="AW67" s="2">
        <f t="shared" si="2"/>
        <v>0</v>
      </c>
      <c r="AX67" s="2">
        <f t="shared" si="2"/>
        <v>0</v>
      </c>
      <c r="AY67" s="2">
        <f t="shared" si="2"/>
        <v>0</v>
      </c>
      <c r="AZ67" s="2">
        <f t="shared" si="2"/>
        <v>0</v>
      </c>
      <c r="BA67" s="2">
        <f t="shared" si="2"/>
        <v>12250</v>
      </c>
      <c r="BB67" s="2">
        <f t="shared" si="2"/>
        <v>0</v>
      </c>
      <c r="BC67" s="2">
        <f t="shared" si="2"/>
        <v>1930</v>
      </c>
      <c r="BD67" s="2">
        <f t="shared" si="2"/>
        <v>0</v>
      </c>
      <c r="BE67" s="2">
        <f t="shared" si="2"/>
        <v>0</v>
      </c>
      <c r="BF67" s="2">
        <f t="shared" si="2"/>
        <v>3300</v>
      </c>
      <c r="BG67" s="2">
        <f t="shared" si="2"/>
        <v>0</v>
      </c>
      <c r="BH67" s="2">
        <f t="shared" si="2"/>
        <v>0</v>
      </c>
      <c r="BI67" s="2">
        <f t="shared" si="2"/>
        <v>0</v>
      </c>
      <c r="BJ67" s="2">
        <f t="shared" si="2"/>
        <v>60</v>
      </c>
      <c r="BK67" s="2">
        <f t="shared" si="2"/>
        <v>0</v>
      </c>
      <c r="BL67" s="2">
        <f t="shared" si="2"/>
        <v>0</v>
      </c>
      <c r="BM67" s="2">
        <f t="shared" si="2"/>
        <v>0</v>
      </c>
      <c r="BN67" s="2">
        <f t="shared" si="2"/>
        <v>0</v>
      </c>
      <c r="BO67" s="2">
        <f t="shared" si="2"/>
        <v>0</v>
      </c>
    </row>
    <row r="68" s="2" customFormat="1" ht="14.5" spans="2:67">
      <c r="B68" s="12" t="s">
        <v>132</v>
      </c>
      <c r="C68" s="2">
        <v>0</v>
      </c>
      <c r="D68" s="2">
        <f>D78/1000</f>
        <v>0</v>
      </c>
      <c r="E68" s="2">
        <f>E78/1000</f>
        <v>0</v>
      </c>
      <c r="F68" s="2">
        <f>F78/1000</f>
        <v>21000</v>
      </c>
      <c r="G68" s="2">
        <f>G78/1000</f>
        <v>0</v>
      </c>
      <c r="H68" s="2">
        <f>H78/1000</f>
        <v>0</v>
      </c>
      <c r="I68" s="2">
        <f>I78/1000</f>
        <v>0</v>
      </c>
      <c r="J68" s="2">
        <f>J78/1000</f>
        <v>16000</v>
      </c>
      <c r="K68" s="2">
        <f>K78/1000</f>
        <v>2100</v>
      </c>
      <c r="L68" s="1" t="s">
        <v>133</v>
      </c>
      <c r="M68" s="1" t="s">
        <v>135</v>
      </c>
      <c r="N68" s="2" t="s">
        <v>83</v>
      </c>
      <c r="AP68" s="2">
        <f t="shared" ref="AP68:BO68" si="3">L78/1000</f>
        <v>0</v>
      </c>
      <c r="AQ68" s="2">
        <f t="shared" si="3"/>
        <v>0</v>
      </c>
      <c r="AR68" s="2">
        <f t="shared" si="3"/>
        <v>0</v>
      </c>
      <c r="AS68" s="2">
        <f t="shared" si="3"/>
        <v>0</v>
      </c>
      <c r="AT68" s="2">
        <f t="shared" si="3"/>
        <v>0</v>
      </c>
      <c r="AU68" s="2">
        <f t="shared" si="3"/>
        <v>0</v>
      </c>
      <c r="AV68" s="2">
        <f t="shared" si="3"/>
        <v>0</v>
      </c>
      <c r="AW68" s="2">
        <f t="shared" si="3"/>
        <v>0</v>
      </c>
      <c r="AX68" s="2">
        <f t="shared" si="3"/>
        <v>0</v>
      </c>
      <c r="AY68" s="2">
        <f t="shared" si="3"/>
        <v>0</v>
      </c>
      <c r="AZ68" s="2">
        <f t="shared" si="3"/>
        <v>0</v>
      </c>
      <c r="BA68" s="2">
        <f t="shared" si="3"/>
        <v>16000</v>
      </c>
      <c r="BB68" s="2">
        <f t="shared" si="3"/>
        <v>0</v>
      </c>
      <c r="BC68" s="2">
        <f t="shared" si="3"/>
        <v>2570</v>
      </c>
      <c r="BD68" s="2">
        <f t="shared" si="3"/>
        <v>0</v>
      </c>
      <c r="BE68" s="2">
        <f t="shared" si="3"/>
        <v>0</v>
      </c>
      <c r="BF68" s="2">
        <f t="shared" si="3"/>
        <v>52900</v>
      </c>
      <c r="BG68" s="2">
        <f t="shared" si="3"/>
        <v>7500</v>
      </c>
      <c r="BH68" s="2">
        <f t="shared" si="3"/>
        <v>0</v>
      </c>
      <c r="BI68" s="2">
        <f t="shared" si="3"/>
        <v>0</v>
      </c>
      <c r="BJ68" s="2">
        <f t="shared" si="3"/>
        <v>0</v>
      </c>
      <c r="BK68" s="2">
        <f t="shared" si="3"/>
        <v>0</v>
      </c>
      <c r="BL68" s="2">
        <f t="shared" si="3"/>
        <v>0</v>
      </c>
      <c r="BM68" s="2">
        <f t="shared" si="3"/>
        <v>0</v>
      </c>
      <c r="BN68" s="2">
        <f t="shared" si="3"/>
        <v>0</v>
      </c>
      <c r="BO68" s="2">
        <f t="shared" si="3"/>
        <v>0</v>
      </c>
    </row>
    <row r="69" s="2" customFormat="1" ht="14.5" spans="2:67">
      <c r="B69" s="12" t="s">
        <v>132</v>
      </c>
      <c r="C69" s="2">
        <v>0</v>
      </c>
      <c r="D69" s="2">
        <f>D79/1000</f>
        <v>13</v>
      </c>
      <c r="E69" s="2">
        <f>E79/1000</f>
        <v>4100</v>
      </c>
      <c r="F69" s="2">
        <f>F79/1000</f>
        <v>1500</v>
      </c>
      <c r="G69" s="2">
        <f>G79/1000</f>
        <v>0</v>
      </c>
      <c r="H69" s="2">
        <f>H79/1000</f>
        <v>0</v>
      </c>
      <c r="I69" s="2">
        <f>I79/1000</f>
        <v>0</v>
      </c>
      <c r="J69" s="2">
        <f>J79/1000</f>
        <v>0</v>
      </c>
      <c r="K69" s="2">
        <f>K79/1000</f>
        <v>140</v>
      </c>
      <c r="L69" s="1" t="s">
        <v>133</v>
      </c>
      <c r="M69" s="1" t="s">
        <v>136</v>
      </c>
      <c r="N69" s="2" t="s">
        <v>83</v>
      </c>
      <c r="AP69" s="2">
        <f t="shared" ref="AP69:BO69" si="4">L79/1000</f>
        <v>0</v>
      </c>
      <c r="AQ69" s="2">
        <f t="shared" si="4"/>
        <v>0</v>
      </c>
      <c r="AR69" s="2">
        <f t="shared" si="4"/>
        <v>0</v>
      </c>
      <c r="AS69" s="2">
        <f t="shared" si="4"/>
        <v>0</v>
      </c>
      <c r="AT69" s="2">
        <f t="shared" si="4"/>
        <v>0</v>
      </c>
      <c r="AU69" s="2">
        <f t="shared" si="4"/>
        <v>0</v>
      </c>
      <c r="AV69" s="2">
        <f t="shared" si="4"/>
        <v>0</v>
      </c>
      <c r="AW69" s="2">
        <f t="shared" si="4"/>
        <v>0</v>
      </c>
      <c r="AX69" s="2">
        <f t="shared" si="4"/>
        <v>0</v>
      </c>
      <c r="AY69" s="2">
        <f t="shared" si="4"/>
        <v>0</v>
      </c>
      <c r="AZ69" s="2">
        <f t="shared" si="4"/>
        <v>0</v>
      </c>
      <c r="BA69" s="2">
        <f t="shared" si="4"/>
        <v>500</v>
      </c>
      <c r="BB69" s="2">
        <f t="shared" si="4"/>
        <v>36</v>
      </c>
      <c r="BC69" s="2">
        <f t="shared" si="4"/>
        <v>289</v>
      </c>
      <c r="BD69" s="2">
        <f t="shared" si="4"/>
        <v>0</v>
      </c>
      <c r="BE69" s="2">
        <f t="shared" si="4"/>
        <v>0</v>
      </c>
      <c r="BF69" s="2">
        <f t="shared" si="4"/>
        <v>1517</v>
      </c>
      <c r="BG69" s="2">
        <f t="shared" si="4"/>
        <v>250</v>
      </c>
      <c r="BH69" s="2">
        <f t="shared" si="4"/>
        <v>0</v>
      </c>
      <c r="BI69" s="2">
        <f t="shared" si="4"/>
        <v>0</v>
      </c>
      <c r="BJ69" s="2">
        <f t="shared" si="4"/>
        <v>0</v>
      </c>
      <c r="BK69" s="2">
        <f t="shared" si="4"/>
        <v>0</v>
      </c>
      <c r="BL69" s="2">
        <f t="shared" si="4"/>
        <v>0</v>
      </c>
      <c r="BM69" s="2">
        <f t="shared" si="4"/>
        <v>36</v>
      </c>
      <c r="BN69" s="2">
        <f t="shared" si="4"/>
        <v>0</v>
      </c>
      <c r="BO69" s="2">
        <f t="shared" si="4"/>
        <v>0</v>
      </c>
    </row>
    <row r="70" s="2" customFormat="1" ht="14.5" spans="2:67">
      <c r="B70" s="12" t="s">
        <v>132</v>
      </c>
      <c r="C70" s="2">
        <v>0</v>
      </c>
      <c r="D70" s="2">
        <f>D80/1000</f>
        <v>0</v>
      </c>
      <c r="E70" s="2">
        <f>E80/1000</f>
        <v>74000</v>
      </c>
      <c r="F70" s="2">
        <f>F80/1000</f>
        <v>270000</v>
      </c>
      <c r="G70" s="2">
        <f>G80/1000</f>
        <v>0</v>
      </c>
      <c r="H70" s="2">
        <f>H80/1000</f>
        <v>0</v>
      </c>
      <c r="I70" s="2">
        <f>I80/1000</f>
        <v>0</v>
      </c>
      <c r="J70" s="2">
        <f>J80/1000</f>
        <v>270000</v>
      </c>
      <c r="K70" s="2">
        <f>K80/1000</f>
        <v>280000</v>
      </c>
      <c r="L70" s="1" t="s">
        <v>133</v>
      </c>
      <c r="M70" s="1" t="s">
        <v>137</v>
      </c>
      <c r="N70" s="2" t="s">
        <v>83</v>
      </c>
      <c r="AP70" s="2">
        <f t="shared" ref="AP70:BO70" si="5">L80/1000</f>
        <v>0</v>
      </c>
      <c r="AQ70" s="2">
        <f t="shared" si="5"/>
        <v>0</v>
      </c>
      <c r="AR70" s="2">
        <f t="shared" si="5"/>
        <v>0</v>
      </c>
      <c r="AS70" s="2">
        <f t="shared" si="5"/>
        <v>0</v>
      </c>
      <c r="AT70" s="2">
        <f t="shared" si="5"/>
        <v>0</v>
      </c>
      <c r="AU70" s="2">
        <f t="shared" si="5"/>
        <v>0</v>
      </c>
      <c r="AV70" s="2">
        <f t="shared" si="5"/>
        <v>0</v>
      </c>
      <c r="AW70" s="2">
        <f t="shared" si="5"/>
        <v>34000</v>
      </c>
      <c r="AX70" s="2">
        <f t="shared" si="5"/>
        <v>0</v>
      </c>
      <c r="AY70" s="2">
        <f t="shared" si="5"/>
        <v>0</v>
      </c>
      <c r="AZ70" s="2">
        <f t="shared" si="5"/>
        <v>0</v>
      </c>
      <c r="BA70" s="2">
        <f t="shared" si="5"/>
        <v>275000</v>
      </c>
      <c r="BB70" s="2">
        <f t="shared" si="5"/>
        <v>0</v>
      </c>
      <c r="BC70" s="2">
        <f t="shared" si="5"/>
        <v>0</v>
      </c>
      <c r="BD70" s="2">
        <f t="shared" si="5"/>
        <v>0</v>
      </c>
      <c r="BE70" s="2">
        <f t="shared" si="5"/>
        <v>0</v>
      </c>
      <c r="BF70" s="2">
        <f t="shared" si="5"/>
        <v>5000</v>
      </c>
      <c r="BG70" s="2">
        <f t="shared" si="5"/>
        <v>0</v>
      </c>
      <c r="BH70" s="2">
        <f t="shared" si="5"/>
        <v>0</v>
      </c>
      <c r="BI70" s="2">
        <f t="shared" si="5"/>
        <v>640000</v>
      </c>
      <c r="BJ70" s="2">
        <f t="shared" si="5"/>
        <v>0</v>
      </c>
      <c r="BK70" s="2">
        <f t="shared" si="5"/>
        <v>0</v>
      </c>
      <c r="BL70" s="2">
        <f t="shared" si="5"/>
        <v>0</v>
      </c>
      <c r="BM70" s="2">
        <f t="shared" si="5"/>
        <v>0</v>
      </c>
      <c r="BN70" s="2">
        <f t="shared" si="5"/>
        <v>0</v>
      </c>
      <c r="BO70" s="2">
        <f t="shared" si="5"/>
        <v>140000</v>
      </c>
    </row>
    <row r="71" s="2" customFormat="1" ht="14.5" spans="2:67">
      <c r="B71" s="12" t="s">
        <v>132</v>
      </c>
      <c r="C71" s="2">
        <v>0</v>
      </c>
      <c r="D71" s="2">
        <f>D81/1000</f>
        <v>0</v>
      </c>
      <c r="E71" s="2">
        <f>E81/1000</f>
        <v>0</v>
      </c>
      <c r="F71" s="2">
        <f>F81/1000</f>
        <v>0</v>
      </c>
      <c r="G71" s="2">
        <f>G81/1000</f>
        <v>0</v>
      </c>
      <c r="H71" s="2">
        <f>H81/1000</f>
        <v>0</v>
      </c>
      <c r="I71" s="2">
        <f>I81/1000</f>
        <v>0</v>
      </c>
      <c r="J71" s="2">
        <f>J81/1000</f>
        <v>0</v>
      </c>
      <c r="K71" s="2">
        <f>K81/1000</f>
        <v>0</v>
      </c>
      <c r="L71" s="1" t="s">
        <v>133</v>
      </c>
      <c r="M71" s="1" t="s">
        <v>138</v>
      </c>
      <c r="N71" s="2" t="s">
        <v>83</v>
      </c>
      <c r="AP71" s="2">
        <f t="shared" ref="AP71:BO71" si="6">L81/1000</f>
        <v>0</v>
      </c>
      <c r="AQ71" s="2">
        <f t="shared" si="6"/>
        <v>0</v>
      </c>
      <c r="AR71" s="2">
        <f t="shared" si="6"/>
        <v>0</v>
      </c>
      <c r="AS71" s="2">
        <f t="shared" si="6"/>
        <v>0</v>
      </c>
      <c r="AT71" s="2">
        <f t="shared" si="6"/>
        <v>0</v>
      </c>
      <c r="AU71" s="2">
        <f t="shared" si="6"/>
        <v>0</v>
      </c>
      <c r="AV71" s="2">
        <f t="shared" si="6"/>
        <v>0</v>
      </c>
      <c r="AW71" s="2">
        <f t="shared" si="6"/>
        <v>0</v>
      </c>
      <c r="AX71" s="2">
        <f t="shared" si="6"/>
        <v>0</v>
      </c>
      <c r="AY71" s="2">
        <f t="shared" si="6"/>
        <v>0</v>
      </c>
      <c r="AZ71" s="2">
        <f t="shared" si="6"/>
        <v>0</v>
      </c>
      <c r="BA71" s="2">
        <f t="shared" si="6"/>
        <v>0</v>
      </c>
      <c r="BB71" s="2">
        <f t="shared" si="6"/>
        <v>0</v>
      </c>
      <c r="BC71" s="2">
        <f t="shared" si="6"/>
        <v>0</v>
      </c>
      <c r="BD71" s="2">
        <f t="shared" si="6"/>
        <v>0</v>
      </c>
      <c r="BE71" s="2">
        <f t="shared" si="6"/>
        <v>0</v>
      </c>
      <c r="BF71" s="2">
        <f t="shared" si="6"/>
        <v>0</v>
      </c>
      <c r="BG71" s="2">
        <f t="shared" si="6"/>
        <v>0</v>
      </c>
      <c r="BH71" s="2">
        <f t="shared" si="6"/>
        <v>0</v>
      </c>
      <c r="BI71" s="2">
        <f t="shared" si="6"/>
        <v>0</v>
      </c>
      <c r="BJ71" s="2">
        <f t="shared" si="6"/>
        <v>0</v>
      </c>
      <c r="BK71" s="2">
        <f t="shared" si="6"/>
        <v>0</v>
      </c>
      <c r="BL71" s="2">
        <f t="shared" si="6"/>
        <v>0</v>
      </c>
      <c r="BM71" s="2">
        <f t="shared" si="6"/>
        <v>0</v>
      </c>
      <c r="BN71" s="2">
        <f t="shared" si="6"/>
        <v>0</v>
      </c>
      <c r="BO71" s="2">
        <f t="shared" si="6"/>
        <v>0</v>
      </c>
    </row>
    <row r="72" s="2" customFormat="1" ht="14.5" spans="2:67">
      <c r="B72" s="12" t="s">
        <v>132</v>
      </c>
      <c r="C72" s="2">
        <v>0</v>
      </c>
      <c r="D72" s="2">
        <f>D82/1000</f>
        <v>0</v>
      </c>
      <c r="E72" s="2">
        <f>E82/1000</f>
        <v>50000</v>
      </c>
      <c r="F72" s="2">
        <f>F82/1000</f>
        <v>97000</v>
      </c>
      <c r="G72" s="2">
        <f>G82/1000</f>
        <v>0</v>
      </c>
      <c r="H72" s="2">
        <f>H82/1000</f>
        <v>0</v>
      </c>
      <c r="I72" s="2">
        <f>I82/1000</f>
        <v>0</v>
      </c>
      <c r="J72" s="2">
        <f>J82/1000</f>
        <v>0</v>
      </c>
      <c r="K72" s="2">
        <f>K82/1000</f>
        <v>27000</v>
      </c>
      <c r="L72" s="1" t="s">
        <v>133</v>
      </c>
      <c r="M72" s="1" t="s">
        <v>139</v>
      </c>
      <c r="N72" s="2" t="s">
        <v>83</v>
      </c>
      <c r="AP72" s="2">
        <f t="shared" ref="AP72:BO72" si="7">L82/1000</f>
        <v>0</v>
      </c>
      <c r="AQ72" s="2">
        <f t="shared" si="7"/>
        <v>0</v>
      </c>
      <c r="AR72" s="2">
        <f t="shared" si="7"/>
        <v>0</v>
      </c>
      <c r="AS72" s="2">
        <f t="shared" si="7"/>
        <v>0</v>
      </c>
      <c r="AT72" s="2">
        <f t="shared" si="7"/>
        <v>0</v>
      </c>
      <c r="AU72" s="2">
        <f t="shared" si="7"/>
        <v>0</v>
      </c>
      <c r="AV72" s="2">
        <f t="shared" si="7"/>
        <v>0</v>
      </c>
      <c r="AW72" s="2">
        <f t="shared" si="7"/>
        <v>0</v>
      </c>
      <c r="AX72" s="2">
        <f t="shared" si="7"/>
        <v>0</v>
      </c>
      <c r="AY72" s="2">
        <f t="shared" si="7"/>
        <v>0</v>
      </c>
      <c r="AZ72" s="2">
        <f t="shared" si="7"/>
        <v>0</v>
      </c>
      <c r="BA72" s="2">
        <f t="shared" si="7"/>
        <v>324000</v>
      </c>
      <c r="BB72" s="2">
        <f t="shared" si="7"/>
        <v>0</v>
      </c>
      <c r="BC72" s="2">
        <f t="shared" si="7"/>
        <v>51600</v>
      </c>
      <c r="BD72" s="2">
        <f t="shared" si="7"/>
        <v>0</v>
      </c>
      <c r="BE72" s="2">
        <f t="shared" si="7"/>
        <v>30000</v>
      </c>
      <c r="BF72" s="2">
        <f t="shared" si="7"/>
        <v>244000</v>
      </c>
      <c r="BG72" s="2">
        <f t="shared" si="7"/>
        <v>62000</v>
      </c>
      <c r="BH72" s="2">
        <f t="shared" si="7"/>
        <v>0</v>
      </c>
      <c r="BI72" s="2">
        <f t="shared" si="7"/>
        <v>0</v>
      </c>
      <c r="BJ72" s="2">
        <f t="shared" si="7"/>
        <v>0</v>
      </c>
      <c r="BK72" s="2">
        <f t="shared" si="7"/>
        <v>0</v>
      </c>
      <c r="BL72" s="2">
        <f t="shared" si="7"/>
        <v>0</v>
      </c>
      <c r="BM72" s="2">
        <f t="shared" si="7"/>
        <v>0</v>
      </c>
      <c r="BN72" s="2">
        <f t="shared" si="7"/>
        <v>0</v>
      </c>
      <c r="BO72" s="2">
        <f t="shared" si="7"/>
        <v>0</v>
      </c>
    </row>
    <row r="73" s="1" customFormat="1" ht="14.5" spans="2:67">
      <c r="B73" s="12" t="s">
        <v>132</v>
      </c>
      <c r="C73" s="2">
        <v>0</v>
      </c>
      <c r="D73" s="2">
        <f>D83/1000</f>
        <v>0</v>
      </c>
      <c r="E73" s="2">
        <f>E83/1000</f>
        <v>69000</v>
      </c>
      <c r="F73" s="2">
        <f>F83/1000</f>
        <v>0</v>
      </c>
      <c r="G73" s="2">
        <f>G83/1000</f>
        <v>0</v>
      </c>
      <c r="H73" s="2">
        <f>H83/1000</f>
        <v>0</v>
      </c>
      <c r="I73" s="2">
        <f>I83/1000</f>
        <v>0</v>
      </c>
      <c r="J73" s="2">
        <f>J83/1000</f>
        <v>74000</v>
      </c>
      <c r="K73" s="2">
        <f>K83/1000</f>
        <v>52000</v>
      </c>
      <c r="L73" s="1" t="s">
        <v>133</v>
      </c>
      <c r="M73" s="1" t="s">
        <v>140</v>
      </c>
      <c r="N73" s="2" t="s">
        <v>83</v>
      </c>
      <c r="AO73" s="2"/>
      <c r="AP73" s="2">
        <f t="shared" ref="AP73:BO73" si="8">L83/1000</f>
        <v>0</v>
      </c>
      <c r="AQ73" s="2">
        <f t="shared" si="8"/>
        <v>0</v>
      </c>
      <c r="AR73" s="2">
        <f t="shared" si="8"/>
        <v>0</v>
      </c>
      <c r="AS73" s="2">
        <f t="shared" si="8"/>
        <v>0</v>
      </c>
      <c r="AT73" s="2">
        <f t="shared" si="8"/>
        <v>0</v>
      </c>
      <c r="AU73" s="2">
        <f t="shared" si="8"/>
        <v>0</v>
      </c>
      <c r="AV73" s="2">
        <f t="shared" si="8"/>
        <v>0</v>
      </c>
      <c r="AW73" s="2">
        <f t="shared" si="8"/>
        <v>8000</v>
      </c>
      <c r="AX73" s="2">
        <f t="shared" si="8"/>
        <v>0</v>
      </c>
      <c r="AY73" s="2">
        <f t="shared" si="8"/>
        <v>0</v>
      </c>
      <c r="AZ73" s="2">
        <f t="shared" si="8"/>
        <v>0</v>
      </c>
      <c r="BA73" s="2">
        <f t="shared" si="8"/>
        <v>77100</v>
      </c>
      <c r="BB73" s="2">
        <f t="shared" si="8"/>
        <v>90000</v>
      </c>
      <c r="BC73" s="2">
        <f t="shared" si="8"/>
        <v>5700</v>
      </c>
      <c r="BD73" s="2">
        <f t="shared" si="8"/>
        <v>600</v>
      </c>
      <c r="BE73" s="2">
        <f t="shared" si="8"/>
        <v>0</v>
      </c>
      <c r="BF73" s="2">
        <f t="shared" si="8"/>
        <v>12900</v>
      </c>
      <c r="BG73" s="2">
        <f t="shared" si="8"/>
        <v>14000</v>
      </c>
      <c r="BH73" s="2">
        <f t="shared" si="8"/>
        <v>0</v>
      </c>
      <c r="BI73" s="2">
        <f t="shared" si="8"/>
        <v>0</v>
      </c>
      <c r="BJ73" s="2">
        <f t="shared" si="8"/>
        <v>0</v>
      </c>
      <c r="BK73" s="2">
        <f t="shared" si="8"/>
        <v>0</v>
      </c>
      <c r="BL73" s="2">
        <f t="shared" si="8"/>
        <v>0</v>
      </c>
      <c r="BM73" s="2">
        <f t="shared" si="8"/>
        <v>90000</v>
      </c>
      <c r="BN73" s="2">
        <f t="shared" si="8"/>
        <v>0</v>
      </c>
      <c r="BO73" s="2">
        <f t="shared" si="8"/>
        <v>0</v>
      </c>
    </row>
    <row r="74" s="3" customFormat="1"/>
    <row r="75" s="3" customFormat="1" spans="5:5">
      <c r="E75" s="3" t="s">
        <v>141</v>
      </c>
    </row>
    <row r="76" s="3" customFormat="1"/>
    <row r="77" s="3" customFormat="1" spans="4:37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="3" customFormat="1" spans="4:37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="3" customFormat="1" spans="4:37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="3" customFormat="1" spans="4:37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="3" customFormat="1" spans="4:37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="3" customFormat="1" spans="4:37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="3" customFormat="1" spans="4:37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142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4"/>
      <c r="H91" s="15"/>
      <c r="I91" s="15"/>
      <c r="J91" s="15"/>
      <c r="K91" s="15"/>
      <c r="L91" s="15"/>
    </row>
    <row r="92" s="4" customFormat="1" spans="4:12">
      <c r="D92" s="15"/>
      <c r="H92" s="15"/>
      <c r="I92" s="15"/>
      <c r="J92" s="15"/>
      <c r="K92" s="15"/>
      <c r="L92" s="15"/>
    </row>
    <row r="93" s="4" customFormat="1" spans="3:12">
      <c r="C93" s="15"/>
      <c r="D93" s="15"/>
      <c r="F93" s="15"/>
      <c r="H93" s="15"/>
      <c r="I93" s="15"/>
      <c r="J93" s="15"/>
      <c r="K93" s="15"/>
      <c r="L93" s="15"/>
    </row>
    <row r="94" s="4" customFormat="1" spans="3:12">
      <c r="C94" s="15"/>
      <c r="D94" s="15"/>
      <c r="H94" s="15"/>
      <c r="I94" s="15"/>
      <c r="J94" s="15"/>
      <c r="K94" s="15"/>
      <c r="L94" s="15"/>
    </row>
    <row r="95" s="4" customFormat="1" spans="3:12">
      <c r="C95" s="15"/>
      <c r="D95" s="15"/>
      <c r="F95" s="15"/>
      <c r="H95" s="15"/>
      <c r="I95" s="15"/>
      <c r="J95" s="15"/>
      <c r="K95" s="15"/>
      <c r="L95" s="15"/>
    </row>
    <row r="96" s="4" customFormat="1" spans="3:12">
      <c r="C96" s="15"/>
      <c r="D96" s="15"/>
      <c r="H96" s="15"/>
      <c r="I96" s="15"/>
      <c r="J96" s="15"/>
      <c r="K96" s="15"/>
      <c r="L96" s="15"/>
    </row>
    <row r="97" s="4" customFormat="1" spans="3:12">
      <c r="C97" s="15"/>
      <c r="D97" s="15"/>
      <c r="F97" s="15"/>
      <c r="H97" s="15"/>
      <c r="I97" s="15"/>
      <c r="J97" s="15"/>
      <c r="K97" s="15"/>
      <c r="L97" s="15"/>
    </row>
    <row r="98" s="4" customFormat="1" spans="3:12">
      <c r="C98" s="15"/>
      <c r="D98" s="15"/>
      <c r="H98" s="15"/>
      <c r="I98" s="15"/>
      <c r="J98" s="15"/>
      <c r="K98" s="15"/>
      <c r="L98" s="15"/>
    </row>
    <row r="99" s="4" customFormat="1" spans="3:6">
      <c r="C99" s="15"/>
      <c r="F99" s="15"/>
    </row>
    <row r="100" s="4" customFormat="1" spans="3:4">
      <c r="C100" s="15"/>
      <c r="D100" s="15"/>
    </row>
    <row r="101" s="4" customFormat="1" spans="3:7">
      <c r="C101" s="15"/>
      <c r="D101" s="16"/>
      <c r="E101" s="16"/>
      <c r="F101" s="16"/>
      <c r="G101" s="16"/>
    </row>
    <row r="102" s="4" customFormat="1" spans="3:4">
      <c r="C102" s="15"/>
      <c r="D102" t="s">
        <v>73</v>
      </c>
    </row>
    <row r="103" s="4" customFormat="1" spans="3:7">
      <c r="C103" s="15" t="s">
        <v>56</v>
      </c>
      <c r="D103" s="16" t="s">
        <v>45</v>
      </c>
      <c r="E103" s="16" t="s">
        <v>44</v>
      </c>
      <c r="F103" s="16" t="s">
        <v>11</v>
      </c>
      <c r="G103" s="16" t="s">
        <v>25</v>
      </c>
    </row>
    <row r="104" s="4" customFormat="1" spans="3:7">
      <c r="C104" s="15" t="s">
        <v>118</v>
      </c>
      <c r="D104" s="16" t="s">
        <v>143</v>
      </c>
      <c r="E104" s="16">
        <v>7.11384396954065</v>
      </c>
      <c r="F104" s="17">
        <v>5.40179852616065</v>
      </c>
      <c r="G104" s="17">
        <v>8.85540744288872</v>
      </c>
    </row>
    <row r="105" s="4" customFormat="1" spans="3:7">
      <c r="C105" s="15" t="s">
        <v>118</v>
      </c>
      <c r="D105" s="16" t="s">
        <v>144</v>
      </c>
      <c r="E105" s="16">
        <v>7.11384396954065</v>
      </c>
      <c r="F105" s="17">
        <v>5.40179852616065</v>
      </c>
      <c r="G105" s="17">
        <v>8.85540744288872</v>
      </c>
    </row>
    <row r="106" spans="3:7">
      <c r="C106" s="15" t="s">
        <v>118</v>
      </c>
      <c r="D106" s="16" t="s">
        <v>145</v>
      </c>
      <c r="E106" s="16">
        <v>7.62975445836404</v>
      </c>
      <c r="F106" s="17">
        <v>5.79354797347089</v>
      </c>
      <c r="G106" s="17">
        <v>9.49761967575534</v>
      </c>
    </row>
    <row r="107" spans="3:7">
      <c r="C107" s="15" t="s">
        <v>118</v>
      </c>
      <c r="D107" s="16" t="s">
        <v>146</v>
      </c>
      <c r="E107" s="16">
        <v>7.47097081798084</v>
      </c>
      <c r="F107" s="17">
        <v>5.67297781871776</v>
      </c>
      <c r="G107" s="17">
        <v>9.29996366985999</v>
      </c>
    </row>
    <row r="108" spans="3:7">
      <c r="C108" s="15" t="s">
        <v>118</v>
      </c>
      <c r="D108" s="16" t="s">
        <v>147</v>
      </c>
      <c r="E108" s="16">
        <v>7.51643520019651</v>
      </c>
      <c r="F108" s="17">
        <v>5.70750058953574</v>
      </c>
      <c r="G108" s="17">
        <v>9.35655836403832</v>
      </c>
    </row>
    <row r="109" spans="3:7">
      <c r="C109" s="15" t="s">
        <v>118</v>
      </c>
      <c r="D109" s="16" t="s">
        <v>148</v>
      </c>
      <c r="E109" s="16">
        <v>7.55036263817244</v>
      </c>
      <c r="F109" s="17">
        <v>5.73326293294031</v>
      </c>
      <c r="G109" s="17">
        <v>9.39879167280766</v>
      </c>
    </row>
    <row r="110" spans="3:7">
      <c r="C110" s="15" t="s">
        <v>118</v>
      </c>
      <c r="D110" s="16" t="s">
        <v>149</v>
      </c>
      <c r="E110" s="16">
        <v>7.62975445836404</v>
      </c>
      <c r="F110" s="17">
        <v>5.79354797347089</v>
      </c>
      <c r="G110" s="17">
        <v>9.49761967575534</v>
      </c>
    </row>
    <row r="111" spans="3:7">
      <c r="C111" s="15" t="s">
        <v>118</v>
      </c>
      <c r="D111" s="16" t="s">
        <v>150</v>
      </c>
      <c r="E111" s="16">
        <v>4.18384600835176</v>
      </c>
      <c r="F111" s="17">
        <v>3.17694532056006</v>
      </c>
      <c r="G111" s="17">
        <v>5.20810707442889</v>
      </c>
    </row>
    <row r="112" spans="3:7">
      <c r="C112" s="15" t="s">
        <v>118</v>
      </c>
      <c r="D112" s="16" t="s">
        <v>151</v>
      </c>
      <c r="E112" s="16">
        <v>4.18384600835176</v>
      </c>
      <c r="F112" s="17">
        <v>3.17694532056006</v>
      </c>
      <c r="G112" s="17">
        <v>5.20810707442889</v>
      </c>
    </row>
    <row r="113" spans="3:7">
      <c r="C113" s="15" t="s">
        <v>118</v>
      </c>
      <c r="D113" s="16" t="s">
        <v>152</v>
      </c>
      <c r="E113" s="16">
        <v>4.18384600835176</v>
      </c>
      <c r="F113" s="17">
        <v>3.17694532056006</v>
      </c>
      <c r="G113" s="17">
        <v>5.20810707442889</v>
      </c>
    </row>
    <row r="114" spans="3:7">
      <c r="C114" s="15" t="s">
        <v>118</v>
      </c>
      <c r="D114" s="16" t="s">
        <v>153</v>
      </c>
      <c r="E114" s="16">
        <v>4.18384600835176</v>
      </c>
      <c r="F114" s="17">
        <v>3.17694532056006</v>
      </c>
      <c r="G114" s="17">
        <v>5.20810707442889</v>
      </c>
    </row>
    <row r="115" spans="3:7">
      <c r="C115" s="15" t="s">
        <v>118</v>
      </c>
      <c r="D115" s="16" t="s">
        <v>154</v>
      </c>
      <c r="E115" s="16">
        <v>4.18384600835176</v>
      </c>
      <c r="F115" s="17">
        <v>3.17694532056006</v>
      </c>
      <c r="G115" s="17">
        <v>5.20810707442889</v>
      </c>
    </row>
    <row r="116" spans="3:7">
      <c r="C116" s="15" t="s">
        <v>118</v>
      </c>
      <c r="D116" s="16" t="s">
        <v>155</v>
      </c>
      <c r="E116" s="16">
        <v>4.18384600835176</v>
      </c>
      <c r="F116" s="17">
        <v>3.17694532056006</v>
      </c>
      <c r="G116" s="17">
        <v>5.20810707442889</v>
      </c>
    </row>
    <row r="117" spans="3:7">
      <c r="C117" s="15" t="s">
        <v>118</v>
      </c>
      <c r="D117" s="16" t="s">
        <v>156</v>
      </c>
      <c r="E117" s="16">
        <v>4.18384600835176</v>
      </c>
      <c r="F117" s="17">
        <v>3.17694532056006</v>
      </c>
      <c r="G117" s="17">
        <v>5.20810707442889</v>
      </c>
    </row>
    <row r="118" spans="3:7">
      <c r="C118" s="15" t="s">
        <v>118</v>
      </c>
      <c r="D118" s="16" t="s">
        <v>157</v>
      </c>
      <c r="E118" s="16">
        <v>3.56556266273643</v>
      </c>
      <c r="F118" s="17">
        <v>2.70746042741341</v>
      </c>
      <c r="G118" s="17">
        <v>4.4384597641857</v>
      </c>
    </row>
    <row r="119" spans="3:7">
      <c r="C119" s="15" t="s">
        <v>118</v>
      </c>
      <c r="D119" s="16" t="s">
        <v>158</v>
      </c>
      <c r="E119" s="16">
        <v>3.60087708179809</v>
      </c>
      <c r="F119" s="17">
        <v>2.73427597641857</v>
      </c>
      <c r="G119" s="17">
        <v>4.48241960206338</v>
      </c>
    </row>
    <row r="120" spans="3:7">
      <c r="C120" s="15" t="s">
        <v>118</v>
      </c>
      <c r="D120" s="16" t="s">
        <v>159</v>
      </c>
      <c r="E120" s="16">
        <v>3.56556266273643</v>
      </c>
      <c r="F120" s="17">
        <v>2.70746042741341</v>
      </c>
      <c r="G120" s="17">
        <v>4.4384597641857</v>
      </c>
    </row>
    <row r="121" spans="3:7">
      <c r="C121" s="15" t="s">
        <v>118</v>
      </c>
      <c r="D121" s="16" t="s">
        <v>160</v>
      </c>
      <c r="E121" s="16">
        <v>3.56645369688037</v>
      </c>
      <c r="F121" s="17">
        <v>2.70813706705969</v>
      </c>
      <c r="G121" s="17">
        <v>4.43956890198968</v>
      </c>
    </row>
    <row r="122" spans="3:7">
      <c r="C122" s="15" t="s">
        <v>118</v>
      </c>
      <c r="D122" s="16" t="s">
        <v>161</v>
      </c>
      <c r="E122" s="16">
        <v>3.56585961680177</v>
      </c>
      <c r="F122" s="17">
        <v>2.70768592483419</v>
      </c>
      <c r="G122" s="17">
        <v>4.43882940309506</v>
      </c>
    </row>
    <row r="123" spans="3:7">
      <c r="C123" s="15" t="s">
        <v>118</v>
      </c>
      <c r="D123" s="16" t="s">
        <v>162</v>
      </c>
      <c r="E123" s="16">
        <v>3.56556266273643</v>
      </c>
      <c r="F123" s="17">
        <v>2.70746042741341</v>
      </c>
      <c r="G123" s="17">
        <v>4.4384597641857</v>
      </c>
    </row>
    <row r="124" spans="3:7">
      <c r="C124" s="15" t="s">
        <v>118</v>
      </c>
      <c r="D124" s="18" t="s">
        <v>163</v>
      </c>
      <c r="E124" s="16">
        <v>3.56496890198968</v>
      </c>
      <c r="F124" s="17">
        <v>2.70700957995578</v>
      </c>
      <c r="G124" s="17">
        <v>4.43772063375092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164</v>
      </c>
      <c r="B1" t="s">
        <v>56</v>
      </c>
      <c r="C1" t="s">
        <v>45</v>
      </c>
      <c r="D1" t="s">
        <v>47</v>
      </c>
      <c r="E1" t="s">
        <v>165</v>
      </c>
      <c r="F1" t="s">
        <v>166</v>
      </c>
      <c r="G1" t="s">
        <v>79</v>
      </c>
      <c r="H1" t="s">
        <v>167</v>
      </c>
      <c r="I1" t="s">
        <v>168</v>
      </c>
      <c r="J1" t="s">
        <v>169</v>
      </c>
      <c r="K1" t="s">
        <v>170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171</v>
      </c>
      <c r="E2" t="s">
        <v>68</v>
      </c>
      <c r="F2" t="s">
        <v>172</v>
      </c>
      <c r="G2" t="s">
        <v>173</v>
      </c>
      <c r="H2" t="s">
        <v>171</v>
      </c>
      <c r="I2" t="s">
        <v>171</v>
      </c>
      <c r="J2" t="s">
        <v>171</v>
      </c>
      <c r="K2" t="s">
        <v>171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171</v>
      </c>
    </row>
    <row r="3" spans="1:47">
      <c r="A3" t="s">
        <v>49</v>
      </c>
      <c r="B3" t="s">
        <v>50</v>
      </c>
      <c r="C3" t="s">
        <v>174</v>
      </c>
      <c r="D3" t="s">
        <v>171</v>
      </c>
      <c r="E3" t="s">
        <v>68</v>
      </c>
      <c r="F3" t="s">
        <v>172</v>
      </c>
      <c r="G3" t="s">
        <v>173</v>
      </c>
      <c r="H3" t="s">
        <v>171</v>
      </c>
      <c r="I3" t="s">
        <v>171</v>
      </c>
      <c r="J3" t="s">
        <v>171</v>
      </c>
      <c r="K3" t="s">
        <v>171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171</v>
      </c>
    </row>
    <row r="4" spans="1:47">
      <c r="A4" t="s">
        <v>49</v>
      </c>
      <c r="B4" t="s">
        <v>50</v>
      </c>
      <c r="C4" t="s">
        <v>175</v>
      </c>
      <c r="D4" t="s">
        <v>171</v>
      </c>
      <c r="E4" t="s">
        <v>68</v>
      </c>
      <c r="F4" t="s">
        <v>172</v>
      </c>
      <c r="G4" t="s">
        <v>173</v>
      </c>
      <c r="H4" t="s">
        <v>171</v>
      </c>
      <c r="I4" t="s">
        <v>171</v>
      </c>
      <c r="J4" t="s">
        <v>171</v>
      </c>
      <c r="K4" t="s">
        <v>171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171</v>
      </c>
    </row>
    <row r="5" spans="1:47">
      <c r="A5" t="s">
        <v>49</v>
      </c>
      <c r="B5" t="s">
        <v>50</v>
      </c>
      <c r="C5" t="s">
        <v>110</v>
      </c>
      <c r="D5" t="s">
        <v>171</v>
      </c>
      <c r="E5" t="s">
        <v>68</v>
      </c>
      <c r="F5" t="s">
        <v>172</v>
      </c>
      <c r="G5" t="s">
        <v>173</v>
      </c>
      <c r="H5" t="s">
        <v>171</v>
      </c>
      <c r="I5" t="s">
        <v>171</v>
      </c>
      <c r="J5" t="s">
        <v>171</v>
      </c>
      <c r="K5" t="s">
        <v>171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171</v>
      </c>
    </row>
    <row r="6" spans="1:47">
      <c r="A6" t="s">
        <v>49</v>
      </c>
      <c r="B6" t="s">
        <v>50</v>
      </c>
      <c r="C6" t="s">
        <v>176</v>
      </c>
      <c r="D6" t="s">
        <v>171</v>
      </c>
      <c r="E6" t="s">
        <v>68</v>
      </c>
      <c r="F6" t="s">
        <v>172</v>
      </c>
      <c r="G6" t="s">
        <v>173</v>
      </c>
      <c r="H6" t="s">
        <v>171</v>
      </c>
      <c r="I6" t="s">
        <v>171</v>
      </c>
      <c r="J6" t="s">
        <v>171</v>
      </c>
      <c r="K6" t="s">
        <v>171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171</v>
      </c>
    </row>
    <row r="7" spans="1:47">
      <c r="A7" t="s">
        <v>49</v>
      </c>
      <c r="B7" t="s">
        <v>50</v>
      </c>
      <c r="C7" t="s">
        <v>111</v>
      </c>
      <c r="D7" t="s">
        <v>171</v>
      </c>
      <c r="E7" t="s">
        <v>68</v>
      </c>
      <c r="F7" t="s">
        <v>172</v>
      </c>
      <c r="G7" t="s">
        <v>173</v>
      </c>
      <c r="H7" t="s">
        <v>171</v>
      </c>
      <c r="I7" t="s">
        <v>171</v>
      </c>
      <c r="J7" t="s">
        <v>171</v>
      </c>
      <c r="K7" t="s">
        <v>171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171</v>
      </c>
    </row>
    <row r="8" spans="1:47">
      <c r="A8" t="s">
        <v>49</v>
      </c>
      <c r="B8" t="s">
        <v>50</v>
      </c>
      <c r="C8" t="s">
        <v>177</v>
      </c>
      <c r="D8" t="s">
        <v>171</v>
      </c>
      <c r="E8" t="s">
        <v>68</v>
      </c>
      <c r="F8" t="s">
        <v>172</v>
      </c>
      <c r="G8" t="s">
        <v>173</v>
      </c>
      <c r="H8" t="s">
        <v>171</v>
      </c>
      <c r="I8" t="s">
        <v>171</v>
      </c>
      <c r="J8" t="s">
        <v>171</v>
      </c>
      <c r="K8" t="s">
        <v>171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171</v>
      </c>
    </row>
    <row r="9" spans="1:47">
      <c r="A9" t="s">
        <v>49</v>
      </c>
      <c r="B9" t="s">
        <v>50</v>
      </c>
      <c r="C9" t="s">
        <v>178</v>
      </c>
      <c r="D9" t="s">
        <v>171</v>
      </c>
      <c r="E9" t="s">
        <v>68</v>
      </c>
      <c r="F9" t="s">
        <v>172</v>
      </c>
      <c r="G9" t="s">
        <v>173</v>
      </c>
      <c r="H9" t="s">
        <v>171</v>
      </c>
      <c r="I9" t="s">
        <v>171</v>
      </c>
      <c r="J9" t="s">
        <v>171</v>
      </c>
      <c r="K9" t="s">
        <v>171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171</v>
      </c>
    </row>
    <row r="10" spans="1:47">
      <c r="A10" t="s">
        <v>49</v>
      </c>
      <c r="B10" t="s">
        <v>50</v>
      </c>
      <c r="C10" t="s">
        <v>179</v>
      </c>
      <c r="D10" t="s">
        <v>171</v>
      </c>
      <c r="E10" t="s">
        <v>68</v>
      </c>
      <c r="F10" t="s">
        <v>172</v>
      </c>
      <c r="G10" t="s">
        <v>173</v>
      </c>
      <c r="H10" t="s">
        <v>171</v>
      </c>
      <c r="I10" t="s">
        <v>171</v>
      </c>
      <c r="J10" t="s">
        <v>171</v>
      </c>
      <c r="K10" t="s">
        <v>171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171</v>
      </c>
    </row>
    <row r="11" spans="1:47">
      <c r="A11" t="s">
        <v>49</v>
      </c>
      <c r="B11" t="s">
        <v>50</v>
      </c>
      <c r="C11" t="s">
        <v>180</v>
      </c>
      <c r="D11" t="s">
        <v>171</v>
      </c>
      <c r="E11" t="s">
        <v>68</v>
      </c>
      <c r="F11" t="s">
        <v>172</v>
      </c>
      <c r="G11" t="s">
        <v>173</v>
      </c>
      <c r="H11" t="s">
        <v>171</v>
      </c>
      <c r="I11" t="s">
        <v>171</v>
      </c>
      <c r="J11" t="s">
        <v>171</v>
      </c>
      <c r="K11" t="s">
        <v>171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171</v>
      </c>
    </row>
    <row r="12" spans="1:47">
      <c r="A12" t="s">
        <v>49</v>
      </c>
      <c r="B12" t="s">
        <v>50</v>
      </c>
      <c r="C12" t="s">
        <v>181</v>
      </c>
      <c r="D12" t="s">
        <v>171</v>
      </c>
      <c r="E12" t="s">
        <v>68</v>
      </c>
      <c r="F12" t="s">
        <v>172</v>
      </c>
      <c r="G12" t="s">
        <v>173</v>
      </c>
      <c r="H12" t="s">
        <v>171</v>
      </c>
      <c r="I12" t="s">
        <v>171</v>
      </c>
      <c r="J12" t="s">
        <v>171</v>
      </c>
      <c r="K12" t="s">
        <v>171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171</v>
      </c>
    </row>
    <row r="13" spans="1:47">
      <c r="A13" t="s">
        <v>49</v>
      </c>
      <c r="B13" t="s">
        <v>50</v>
      </c>
      <c r="C13" t="s">
        <v>182</v>
      </c>
      <c r="D13" t="s">
        <v>171</v>
      </c>
      <c r="E13" t="s">
        <v>68</v>
      </c>
      <c r="F13" t="s">
        <v>172</v>
      </c>
      <c r="G13" t="s">
        <v>173</v>
      </c>
      <c r="H13" t="s">
        <v>171</v>
      </c>
      <c r="I13" t="s">
        <v>171</v>
      </c>
      <c r="J13" t="s">
        <v>171</v>
      </c>
      <c r="K13" t="s">
        <v>171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171</v>
      </c>
    </row>
    <row r="14" spans="1:47">
      <c r="A14" t="s">
        <v>49</v>
      </c>
      <c r="B14" t="s">
        <v>50</v>
      </c>
      <c r="C14" t="s">
        <v>183</v>
      </c>
      <c r="D14" t="s">
        <v>171</v>
      </c>
      <c r="E14" t="s">
        <v>68</v>
      </c>
      <c r="F14" t="s">
        <v>172</v>
      </c>
      <c r="G14" t="s">
        <v>173</v>
      </c>
      <c r="H14" t="s">
        <v>171</v>
      </c>
      <c r="I14" t="s">
        <v>171</v>
      </c>
      <c r="J14" t="s">
        <v>171</v>
      </c>
      <c r="K14" t="s">
        <v>171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171</v>
      </c>
    </row>
    <row r="15" spans="1:47">
      <c r="A15" t="s">
        <v>49</v>
      </c>
      <c r="B15" t="s">
        <v>50</v>
      </c>
      <c r="C15" t="s">
        <v>184</v>
      </c>
      <c r="D15" t="s">
        <v>171</v>
      </c>
      <c r="E15" t="s">
        <v>68</v>
      </c>
      <c r="F15" t="s">
        <v>172</v>
      </c>
      <c r="G15" t="s">
        <v>173</v>
      </c>
      <c r="H15" t="s">
        <v>171</v>
      </c>
      <c r="I15" t="s">
        <v>171</v>
      </c>
      <c r="J15" t="s">
        <v>171</v>
      </c>
      <c r="K15" t="s">
        <v>171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171</v>
      </c>
    </row>
    <row r="16" spans="1:47">
      <c r="A16" t="s">
        <v>49</v>
      </c>
      <c r="B16" t="s">
        <v>50</v>
      </c>
      <c r="C16" t="s">
        <v>185</v>
      </c>
      <c r="D16" t="s">
        <v>171</v>
      </c>
      <c r="E16" t="s">
        <v>68</v>
      </c>
      <c r="F16" t="s">
        <v>172</v>
      </c>
      <c r="G16" t="s">
        <v>173</v>
      </c>
      <c r="H16" t="s">
        <v>171</v>
      </c>
      <c r="I16" t="s">
        <v>171</v>
      </c>
      <c r="J16" t="s">
        <v>171</v>
      </c>
      <c r="K16" t="s">
        <v>171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171</v>
      </c>
    </row>
    <row r="17" spans="1:47">
      <c r="A17" t="s">
        <v>49</v>
      </c>
      <c r="B17" t="s">
        <v>50</v>
      </c>
      <c r="C17" t="s">
        <v>112</v>
      </c>
      <c r="D17" t="s">
        <v>171</v>
      </c>
      <c r="E17" t="s">
        <v>68</v>
      </c>
      <c r="F17" t="s">
        <v>172</v>
      </c>
      <c r="G17" t="s">
        <v>173</v>
      </c>
      <c r="H17" t="s">
        <v>171</v>
      </c>
      <c r="I17" t="s">
        <v>171</v>
      </c>
      <c r="J17" t="s">
        <v>171</v>
      </c>
      <c r="K17" t="s">
        <v>171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171</v>
      </c>
    </row>
    <row r="18" spans="1:47">
      <c r="A18" t="s">
        <v>49</v>
      </c>
      <c r="B18" t="s">
        <v>50</v>
      </c>
      <c r="C18" t="s">
        <v>186</v>
      </c>
      <c r="D18" t="s">
        <v>171</v>
      </c>
      <c r="E18" t="s">
        <v>68</v>
      </c>
      <c r="F18" t="s">
        <v>172</v>
      </c>
      <c r="G18" t="s">
        <v>173</v>
      </c>
      <c r="H18" t="s">
        <v>171</v>
      </c>
      <c r="I18" t="s">
        <v>171</v>
      </c>
      <c r="J18" t="s">
        <v>171</v>
      </c>
      <c r="K18" t="s">
        <v>171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171</v>
      </c>
    </row>
    <row r="19" spans="1:47">
      <c r="A19" t="s">
        <v>49</v>
      </c>
      <c r="B19" t="s">
        <v>50</v>
      </c>
      <c r="C19" t="s">
        <v>187</v>
      </c>
      <c r="D19" t="s">
        <v>171</v>
      </c>
      <c r="E19" t="s">
        <v>68</v>
      </c>
      <c r="F19" t="s">
        <v>172</v>
      </c>
      <c r="G19" t="s">
        <v>173</v>
      </c>
      <c r="H19" t="s">
        <v>171</v>
      </c>
      <c r="I19" t="s">
        <v>171</v>
      </c>
      <c r="J19" t="s">
        <v>171</v>
      </c>
      <c r="K19" t="s">
        <v>171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171</v>
      </c>
    </row>
    <row r="20" spans="1:47">
      <c r="A20" t="s">
        <v>49</v>
      </c>
      <c r="B20" t="s">
        <v>50</v>
      </c>
      <c r="C20" t="s">
        <v>188</v>
      </c>
      <c r="D20" t="s">
        <v>171</v>
      </c>
      <c r="E20" t="s">
        <v>68</v>
      </c>
      <c r="F20" t="s">
        <v>172</v>
      </c>
      <c r="G20" t="s">
        <v>173</v>
      </c>
      <c r="H20" t="s">
        <v>171</v>
      </c>
      <c r="I20" t="s">
        <v>171</v>
      </c>
      <c r="J20" t="s">
        <v>171</v>
      </c>
      <c r="K20" t="s">
        <v>171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171</v>
      </c>
    </row>
    <row r="21" spans="1:47">
      <c r="A21" t="s">
        <v>49</v>
      </c>
      <c r="B21" t="s">
        <v>50</v>
      </c>
      <c r="C21" t="s">
        <v>113</v>
      </c>
      <c r="D21" t="s">
        <v>171</v>
      </c>
      <c r="E21" t="s">
        <v>68</v>
      </c>
      <c r="F21" t="s">
        <v>172</v>
      </c>
      <c r="G21" t="s">
        <v>173</v>
      </c>
      <c r="H21" t="s">
        <v>171</v>
      </c>
      <c r="I21" t="s">
        <v>171</v>
      </c>
      <c r="J21" t="s">
        <v>171</v>
      </c>
      <c r="K21" t="s">
        <v>171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171</v>
      </c>
    </row>
    <row r="22" spans="1:47">
      <c r="A22" t="s">
        <v>49</v>
      </c>
      <c r="B22" t="s">
        <v>50</v>
      </c>
      <c r="C22" t="s">
        <v>189</v>
      </c>
      <c r="D22" t="s">
        <v>171</v>
      </c>
      <c r="E22" t="s">
        <v>68</v>
      </c>
      <c r="F22" t="s">
        <v>172</v>
      </c>
      <c r="G22" t="s">
        <v>173</v>
      </c>
      <c r="H22" t="s">
        <v>171</v>
      </c>
      <c r="I22" t="s">
        <v>171</v>
      </c>
      <c r="J22" t="s">
        <v>171</v>
      </c>
      <c r="K22" t="s">
        <v>171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171</v>
      </c>
    </row>
    <row r="23" spans="1:47">
      <c r="A23" t="s">
        <v>49</v>
      </c>
      <c r="B23" t="s">
        <v>50</v>
      </c>
      <c r="C23" t="s">
        <v>190</v>
      </c>
      <c r="D23" t="s">
        <v>171</v>
      </c>
      <c r="E23" t="s">
        <v>68</v>
      </c>
      <c r="F23" t="s">
        <v>172</v>
      </c>
      <c r="G23" t="s">
        <v>173</v>
      </c>
      <c r="H23" t="s">
        <v>171</v>
      </c>
      <c r="I23" t="s">
        <v>171</v>
      </c>
      <c r="J23" t="s">
        <v>171</v>
      </c>
      <c r="K23" t="s">
        <v>171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171</v>
      </c>
    </row>
    <row r="24" spans="1:47">
      <c r="A24" t="s">
        <v>49</v>
      </c>
      <c r="B24" t="s">
        <v>50</v>
      </c>
      <c r="C24" t="s">
        <v>114</v>
      </c>
      <c r="D24" t="s">
        <v>171</v>
      </c>
      <c r="E24" t="s">
        <v>68</v>
      </c>
      <c r="F24" t="s">
        <v>172</v>
      </c>
      <c r="G24" t="s">
        <v>173</v>
      </c>
      <c r="H24" t="s">
        <v>171</v>
      </c>
      <c r="I24" t="s">
        <v>171</v>
      </c>
      <c r="J24" t="s">
        <v>171</v>
      </c>
      <c r="K24" t="s">
        <v>171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171</v>
      </c>
    </row>
    <row r="25" spans="1:47">
      <c r="A25" t="s">
        <v>49</v>
      </c>
      <c r="B25" t="s">
        <v>50</v>
      </c>
      <c r="C25" t="s">
        <v>191</v>
      </c>
      <c r="D25" t="s">
        <v>171</v>
      </c>
      <c r="E25" t="s">
        <v>68</v>
      </c>
      <c r="F25" t="s">
        <v>172</v>
      </c>
      <c r="G25" t="s">
        <v>173</v>
      </c>
      <c r="H25" t="s">
        <v>171</v>
      </c>
      <c r="I25" t="s">
        <v>171</v>
      </c>
      <c r="J25" t="s">
        <v>171</v>
      </c>
      <c r="K25" t="s">
        <v>171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171</v>
      </c>
    </row>
    <row r="26" spans="1:47">
      <c r="A26" t="s">
        <v>49</v>
      </c>
      <c r="B26" t="s">
        <v>50</v>
      </c>
      <c r="C26" t="s">
        <v>192</v>
      </c>
      <c r="D26" t="s">
        <v>171</v>
      </c>
      <c r="E26" t="s">
        <v>68</v>
      </c>
      <c r="F26" t="s">
        <v>172</v>
      </c>
      <c r="G26" t="s">
        <v>173</v>
      </c>
      <c r="H26" t="s">
        <v>171</v>
      </c>
      <c r="I26" t="s">
        <v>171</v>
      </c>
      <c r="J26" t="s">
        <v>171</v>
      </c>
      <c r="K26" t="s">
        <v>171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171</v>
      </c>
    </row>
    <row r="27" spans="1:47">
      <c r="A27" t="s">
        <v>49</v>
      </c>
      <c r="B27" t="s">
        <v>50</v>
      </c>
      <c r="C27" t="s">
        <v>193</v>
      </c>
      <c r="D27" t="s">
        <v>171</v>
      </c>
      <c r="E27" t="s">
        <v>68</v>
      </c>
      <c r="F27" t="s">
        <v>172</v>
      </c>
      <c r="G27" t="s">
        <v>173</v>
      </c>
      <c r="H27" t="s">
        <v>171</v>
      </c>
      <c r="I27" t="s">
        <v>171</v>
      </c>
      <c r="J27" t="s">
        <v>171</v>
      </c>
      <c r="K27" t="s">
        <v>171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171</v>
      </c>
    </row>
    <row r="28" spans="1:47">
      <c r="A28" t="s">
        <v>49</v>
      </c>
      <c r="B28" t="s">
        <v>50</v>
      </c>
      <c r="C28" t="s">
        <v>194</v>
      </c>
      <c r="D28" t="s">
        <v>171</v>
      </c>
      <c r="E28" t="s">
        <v>68</v>
      </c>
      <c r="F28" t="s">
        <v>172</v>
      </c>
      <c r="G28" t="s">
        <v>173</v>
      </c>
      <c r="H28" t="s">
        <v>171</v>
      </c>
      <c r="I28" t="s">
        <v>171</v>
      </c>
      <c r="J28" t="s">
        <v>171</v>
      </c>
      <c r="K28" t="s">
        <v>171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171</v>
      </c>
    </row>
    <row r="29" spans="1:47">
      <c r="A29" t="s">
        <v>49</v>
      </c>
      <c r="B29" t="s">
        <v>61</v>
      </c>
      <c r="C29" t="s">
        <v>109</v>
      </c>
      <c r="D29" t="s">
        <v>171</v>
      </c>
      <c r="E29" t="s">
        <v>171</v>
      </c>
      <c r="F29" t="s">
        <v>172</v>
      </c>
      <c r="G29" t="s">
        <v>173</v>
      </c>
      <c r="H29" t="s">
        <v>171</v>
      </c>
      <c r="I29" t="s">
        <v>171</v>
      </c>
      <c r="J29" t="s">
        <v>171</v>
      </c>
      <c r="K29" t="s">
        <v>171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171</v>
      </c>
    </row>
    <row r="30" spans="1:47">
      <c r="A30" t="s">
        <v>49</v>
      </c>
      <c r="B30" t="s">
        <v>61</v>
      </c>
      <c r="C30" t="s">
        <v>174</v>
      </c>
      <c r="D30" t="s">
        <v>171</v>
      </c>
      <c r="E30" t="s">
        <v>171</v>
      </c>
      <c r="F30" t="s">
        <v>172</v>
      </c>
      <c r="G30" t="s">
        <v>173</v>
      </c>
      <c r="H30" t="s">
        <v>171</v>
      </c>
      <c r="I30" t="s">
        <v>171</v>
      </c>
      <c r="J30" t="s">
        <v>171</v>
      </c>
      <c r="K30" t="s">
        <v>171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171</v>
      </c>
    </row>
    <row r="31" spans="1:47">
      <c r="A31" t="s">
        <v>49</v>
      </c>
      <c r="B31" t="s">
        <v>61</v>
      </c>
      <c r="C31" t="s">
        <v>175</v>
      </c>
      <c r="D31" t="s">
        <v>171</v>
      </c>
      <c r="E31" t="s">
        <v>171</v>
      </c>
      <c r="F31" t="s">
        <v>172</v>
      </c>
      <c r="G31" t="s">
        <v>173</v>
      </c>
      <c r="H31" t="s">
        <v>171</v>
      </c>
      <c r="I31" t="s">
        <v>171</v>
      </c>
      <c r="J31" t="s">
        <v>171</v>
      </c>
      <c r="K31" t="s">
        <v>171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171</v>
      </c>
    </row>
    <row r="32" spans="1:47">
      <c r="A32" t="s">
        <v>49</v>
      </c>
      <c r="B32" t="s">
        <v>61</v>
      </c>
      <c r="C32" t="s">
        <v>110</v>
      </c>
      <c r="D32" t="s">
        <v>171</v>
      </c>
      <c r="E32" t="s">
        <v>171</v>
      </c>
      <c r="F32" t="s">
        <v>172</v>
      </c>
      <c r="G32" t="s">
        <v>173</v>
      </c>
      <c r="H32" t="s">
        <v>171</v>
      </c>
      <c r="I32" t="s">
        <v>171</v>
      </c>
      <c r="J32" t="s">
        <v>171</v>
      </c>
      <c r="K32" t="s">
        <v>171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171</v>
      </c>
    </row>
    <row r="33" spans="1:47">
      <c r="A33" t="s">
        <v>49</v>
      </c>
      <c r="B33" t="s">
        <v>61</v>
      </c>
      <c r="C33" t="s">
        <v>176</v>
      </c>
      <c r="D33" t="s">
        <v>171</v>
      </c>
      <c r="E33" t="s">
        <v>171</v>
      </c>
      <c r="F33" t="s">
        <v>172</v>
      </c>
      <c r="G33" t="s">
        <v>173</v>
      </c>
      <c r="H33" t="s">
        <v>171</v>
      </c>
      <c r="I33" t="s">
        <v>171</v>
      </c>
      <c r="J33" t="s">
        <v>171</v>
      </c>
      <c r="K33" t="s">
        <v>171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171</v>
      </c>
    </row>
    <row r="34" spans="1:47">
      <c r="A34" t="s">
        <v>49</v>
      </c>
      <c r="B34" t="s">
        <v>61</v>
      </c>
      <c r="C34" t="s">
        <v>111</v>
      </c>
      <c r="D34" t="s">
        <v>171</v>
      </c>
      <c r="E34" t="s">
        <v>171</v>
      </c>
      <c r="F34" t="s">
        <v>172</v>
      </c>
      <c r="G34" t="s">
        <v>173</v>
      </c>
      <c r="H34" t="s">
        <v>171</v>
      </c>
      <c r="I34" t="s">
        <v>171</v>
      </c>
      <c r="J34" t="s">
        <v>171</v>
      </c>
      <c r="K34" t="s">
        <v>171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171</v>
      </c>
    </row>
    <row r="35" spans="1:47">
      <c r="A35" t="s">
        <v>49</v>
      </c>
      <c r="B35" t="s">
        <v>61</v>
      </c>
      <c r="C35" t="s">
        <v>177</v>
      </c>
      <c r="D35" t="s">
        <v>171</v>
      </c>
      <c r="E35" t="s">
        <v>171</v>
      </c>
      <c r="F35" t="s">
        <v>172</v>
      </c>
      <c r="G35" t="s">
        <v>173</v>
      </c>
      <c r="H35" t="s">
        <v>171</v>
      </c>
      <c r="I35" t="s">
        <v>171</v>
      </c>
      <c r="J35" t="s">
        <v>171</v>
      </c>
      <c r="K35" t="s">
        <v>171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171</v>
      </c>
    </row>
    <row r="36" spans="1:47">
      <c r="A36" t="s">
        <v>49</v>
      </c>
      <c r="B36" t="s">
        <v>61</v>
      </c>
      <c r="C36" t="s">
        <v>178</v>
      </c>
      <c r="D36" t="s">
        <v>171</v>
      </c>
      <c r="E36" t="s">
        <v>171</v>
      </c>
      <c r="F36" t="s">
        <v>172</v>
      </c>
      <c r="G36" t="s">
        <v>173</v>
      </c>
      <c r="H36" t="s">
        <v>171</v>
      </c>
      <c r="I36" t="s">
        <v>171</v>
      </c>
      <c r="J36" t="s">
        <v>171</v>
      </c>
      <c r="K36" t="s">
        <v>171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171</v>
      </c>
    </row>
    <row r="37" spans="1:47">
      <c r="A37" t="s">
        <v>49</v>
      </c>
      <c r="B37" t="s">
        <v>61</v>
      </c>
      <c r="C37" t="s">
        <v>179</v>
      </c>
      <c r="D37" t="s">
        <v>171</v>
      </c>
      <c r="E37" t="s">
        <v>171</v>
      </c>
      <c r="F37" t="s">
        <v>172</v>
      </c>
      <c r="G37" t="s">
        <v>173</v>
      </c>
      <c r="H37" t="s">
        <v>171</v>
      </c>
      <c r="I37" t="s">
        <v>171</v>
      </c>
      <c r="J37" t="s">
        <v>171</v>
      </c>
      <c r="K37" t="s">
        <v>171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171</v>
      </c>
    </row>
    <row r="38" spans="1:47">
      <c r="A38" t="s">
        <v>49</v>
      </c>
      <c r="B38" t="s">
        <v>61</v>
      </c>
      <c r="C38" t="s">
        <v>180</v>
      </c>
      <c r="D38" t="s">
        <v>171</v>
      </c>
      <c r="E38" t="s">
        <v>171</v>
      </c>
      <c r="F38" t="s">
        <v>172</v>
      </c>
      <c r="G38" t="s">
        <v>173</v>
      </c>
      <c r="H38" t="s">
        <v>171</v>
      </c>
      <c r="I38" t="s">
        <v>171</v>
      </c>
      <c r="J38" t="s">
        <v>171</v>
      </c>
      <c r="K38" t="s">
        <v>171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171</v>
      </c>
    </row>
    <row r="39" spans="1:47">
      <c r="A39" t="s">
        <v>49</v>
      </c>
      <c r="B39" t="s">
        <v>61</v>
      </c>
      <c r="C39" t="s">
        <v>181</v>
      </c>
      <c r="D39" t="s">
        <v>171</v>
      </c>
      <c r="E39" t="s">
        <v>171</v>
      </c>
      <c r="F39" t="s">
        <v>172</v>
      </c>
      <c r="G39" t="s">
        <v>173</v>
      </c>
      <c r="H39" t="s">
        <v>171</v>
      </c>
      <c r="I39" t="s">
        <v>171</v>
      </c>
      <c r="J39" t="s">
        <v>171</v>
      </c>
      <c r="K39" t="s">
        <v>171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171</v>
      </c>
    </row>
    <row r="40" spans="1:47">
      <c r="A40" t="s">
        <v>49</v>
      </c>
      <c r="B40" t="s">
        <v>61</v>
      </c>
      <c r="C40" t="s">
        <v>182</v>
      </c>
      <c r="D40" t="s">
        <v>171</v>
      </c>
      <c r="E40" t="s">
        <v>171</v>
      </c>
      <c r="F40" t="s">
        <v>172</v>
      </c>
      <c r="G40" t="s">
        <v>173</v>
      </c>
      <c r="H40" t="s">
        <v>171</v>
      </c>
      <c r="I40" t="s">
        <v>171</v>
      </c>
      <c r="J40" t="s">
        <v>171</v>
      </c>
      <c r="K40" t="s">
        <v>171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171</v>
      </c>
    </row>
    <row r="41" spans="1:47">
      <c r="A41" t="s">
        <v>49</v>
      </c>
      <c r="B41" t="s">
        <v>61</v>
      </c>
      <c r="C41" t="s">
        <v>183</v>
      </c>
      <c r="D41" t="s">
        <v>171</v>
      </c>
      <c r="E41" t="s">
        <v>171</v>
      </c>
      <c r="F41" t="s">
        <v>172</v>
      </c>
      <c r="G41" t="s">
        <v>173</v>
      </c>
      <c r="H41" t="s">
        <v>171</v>
      </c>
      <c r="I41" t="s">
        <v>171</v>
      </c>
      <c r="J41" t="s">
        <v>171</v>
      </c>
      <c r="K41" t="s">
        <v>171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171</v>
      </c>
    </row>
    <row r="42" spans="1:47">
      <c r="A42" t="s">
        <v>49</v>
      </c>
      <c r="B42" t="s">
        <v>61</v>
      </c>
      <c r="C42" t="s">
        <v>184</v>
      </c>
      <c r="D42" t="s">
        <v>171</v>
      </c>
      <c r="E42" t="s">
        <v>171</v>
      </c>
      <c r="F42" t="s">
        <v>172</v>
      </c>
      <c r="G42" t="s">
        <v>173</v>
      </c>
      <c r="H42" t="s">
        <v>171</v>
      </c>
      <c r="I42" t="s">
        <v>171</v>
      </c>
      <c r="J42" t="s">
        <v>171</v>
      </c>
      <c r="K42" t="s">
        <v>171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171</v>
      </c>
    </row>
    <row r="43" spans="1:47">
      <c r="A43" t="s">
        <v>49</v>
      </c>
      <c r="B43" t="s">
        <v>61</v>
      </c>
      <c r="C43" t="s">
        <v>185</v>
      </c>
      <c r="D43" t="s">
        <v>171</v>
      </c>
      <c r="E43" t="s">
        <v>171</v>
      </c>
      <c r="F43" t="s">
        <v>172</v>
      </c>
      <c r="G43" t="s">
        <v>173</v>
      </c>
      <c r="H43" t="s">
        <v>171</v>
      </c>
      <c r="I43" t="s">
        <v>171</v>
      </c>
      <c r="J43" t="s">
        <v>171</v>
      </c>
      <c r="K43" t="s">
        <v>171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171</v>
      </c>
    </row>
    <row r="44" spans="1:47">
      <c r="A44" t="s">
        <v>49</v>
      </c>
      <c r="B44" t="s">
        <v>61</v>
      </c>
      <c r="C44" t="s">
        <v>112</v>
      </c>
      <c r="D44" t="s">
        <v>171</v>
      </c>
      <c r="E44" t="s">
        <v>171</v>
      </c>
      <c r="F44" t="s">
        <v>172</v>
      </c>
      <c r="G44" t="s">
        <v>173</v>
      </c>
      <c r="H44" t="s">
        <v>171</v>
      </c>
      <c r="I44" t="s">
        <v>171</v>
      </c>
      <c r="J44" t="s">
        <v>171</v>
      </c>
      <c r="K44" t="s">
        <v>171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171</v>
      </c>
    </row>
    <row r="45" spans="1:47">
      <c r="A45" t="s">
        <v>49</v>
      </c>
      <c r="B45" t="s">
        <v>61</v>
      </c>
      <c r="C45" t="s">
        <v>186</v>
      </c>
      <c r="D45" t="s">
        <v>171</v>
      </c>
      <c r="E45" t="s">
        <v>171</v>
      </c>
      <c r="F45" t="s">
        <v>172</v>
      </c>
      <c r="G45" t="s">
        <v>173</v>
      </c>
      <c r="H45" t="s">
        <v>171</v>
      </c>
      <c r="I45" t="s">
        <v>171</v>
      </c>
      <c r="J45" t="s">
        <v>171</v>
      </c>
      <c r="K45" t="s">
        <v>171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171</v>
      </c>
    </row>
    <row r="46" spans="1:47">
      <c r="A46" t="s">
        <v>49</v>
      </c>
      <c r="B46" t="s">
        <v>61</v>
      </c>
      <c r="C46" t="s">
        <v>187</v>
      </c>
      <c r="D46" t="s">
        <v>171</v>
      </c>
      <c r="E46" t="s">
        <v>171</v>
      </c>
      <c r="F46" t="s">
        <v>172</v>
      </c>
      <c r="G46" t="s">
        <v>173</v>
      </c>
      <c r="H46" t="s">
        <v>171</v>
      </c>
      <c r="I46" t="s">
        <v>171</v>
      </c>
      <c r="J46" t="s">
        <v>171</v>
      </c>
      <c r="K46" t="s">
        <v>171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171</v>
      </c>
    </row>
    <row r="47" spans="1:47">
      <c r="A47" t="s">
        <v>49</v>
      </c>
      <c r="B47" t="s">
        <v>61</v>
      </c>
      <c r="C47" t="s">
        <v>188</v>
      </c>
      <c r="D47" t="s">
        <v>171</v>
      </c>
      <c r="E47" t="s">
        <v>171</v>
      </c>
      <c r="F47" t="s">
        <v>172</v>
      </c>
      <c r="G47" t="s">
        <v>173</v>
      </c>
      <c r="H47" t="s">
        <v>171</v>
      </c>
      <c r="I47" t="s">
        <v>171</v>
      </c>
      <c r="J47" t="s">
        <v>171</v>
      </c>
      <c r="K47" t="s">
        <v>171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171</v>
      </c>
    </row>
    <row r="48" spans="1:47">
      <c r="A48" t="s">
        <v>49</v>
      </c>
      <c r="B48" t="s">
        <v>61</v>
      </c>
      <c r="C48" t="s">
        <v>113</v>
      </c>
      <c r="D48" t="s">
        <v>171</v>
      </c>
      <c r="E48" t="s">
        <v>171</v>
      </c>
      <c r="F48" t="s">
        <v>172</v>
      </c>
      <c r="G48" t="s">
        <v>173</v>
      </c>
      <c r="H48" t="s">
        <v>171</v>
      </c>
      <c r="I48" t="s">
        <v>171</v>
      </c>
      <c r="J48" t="s">
        <v>171</v>
      </c>
      <c r="K48" t="s">
        <v>171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171</v>
      </c>
    </row>
    <row r="49" spans="1:47">
      <c r="A49" t="s">
        <v>49</v>
      </c>
      <c r="B49" t="s">
        <v>61</v>
      </c>
      <c r="C49" t="s">
        <v>189</v>
      </c>
      <c r="D49" t="s">
        <v>171</v>
      </c>
      <c r="E49" t="s">
        <v>171</v>
      </c>
      <c r="F49" t="s">
        <v>172</v>
      </c>
      <c r="G49" t="s">
        <v>173</v>
      </c>
      <c r="H49" t="s">
        <v>171</v>
      </c>
      <c r="I49" t="s">
        <v>171</v>
      </c>
      <c r="J49" t="s">
        <v>171</v>
      </c>
      <c r="K49" t="s">
        <v>171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171</v>
      </c>
    </row>
    <row r="50" spans="1:47">
      <c r="A50" t="s">
        <v>49</v>
      </c>
      <c r="B50" t="s">
        <v>61</v>
      </c>
      <c r="C50" t="s">
        <v>190</v>
      </c>
      <c r="D50" t="s">
        <v>171</v>
      </c>
      <c r="E50" t="s">
        <v>171</v>
      </c>
      <c r="F50" t="s">
        <v>172</v>
      </c>
      <c r="G50" t="s">
        <v>173</v>
      </c>
      <c r="H50" t="s">
        <v>171</v>
      </c>
      <c r="I50" t="s">
        <v>171</v>
      </c>
      <c r="J50" t="s">
        <v>171</v>
      </c>
      <c r="K50" t="s">
        <v>171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171</v>
      </c>
    </row>
    <row r="51" spans="1:47">
      <c r="A51" t="s">
        <v>49</v>
      </c>
      <c r="B51" t="s">
        <v>61</v>
      </c>
      <c r="C51" t="s">
        <v>114</v>
      </c>
      <c r="D51" t="s">
        <v>171</v>
      </c>
      <c r="E51" t="s">
        <v>171</v>
      </c>
      <c r="F51" t="s">
        <v>172</v>
      </c>
      <c r="G51" t="s">
        <v>173</v>
      </c>
      <c r="H51" t="s">
        <v>171</v>
      </c>
      <c r="I51" t="s">
        <v>171</v>
      </c>
      <c r="J51" t="s">
        <v>171</v>
      </c>
      <c r="K51" t="s">
        <v>171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171</v>
      </c>
    </row>
    <row r="52" spans="1:47">
      <c r="A52" t="s">
        <v>49</v>
      </c>
      <c r="B52" t="s">
        <v>61</v>
      </c>
      <c r="C52" t="s">
        <v>191</v>
      </c>
      <c r="D52" t="s">
        <v>171</v>
      </c>
      <c r="E52" t="s">
        <v>171</v>
      </c>
      <c r="F52" t="s">
        <v>172</v>
      </c>
      <c r="G52" t="s">
        <v>173</v>
      </c>
      <c r="H52" t="s">
        <v>171</v>
      </c>
      <c r="I52" t="s">
        <v>171</v>
      </c>
      <c r="J52" t="s">
        <v>171</v>
      </c>
      <c r="K52" t="s">
        <v>171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171</v>
      </c>
    </row>
    <row r="53" spans="1:47">
      <c r="A53" t="s">
        <v>49</v>
      </c>
      <c r="B53" t="s">
        <v>61</v>
      </c>
      <c r="C53" t="s">
        <v>192</v>
      </c>
      <c r="D53" t="s">
        <v>171</v>
      </c>
      <c r="E53" t="s">
        <v>171</v>
      </c>
      <c r="F53" t="s">
        <v>172</v>
      </c>
      <c r="G53" t="s">
        <v>173</v>
      </c>
      <c r="H53" t="s">
        <v>171</v>
      </c>
      <c r="I53" t="s">
        <v>171</v>
      </c>
      <c r="J53" t="s">
        <v>171</v>
      </c>
      <c r="K53" t="s">
        <v>171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171</v>
      </c>
    </row>
    <row r="54" spans="1:47">
      <c r="A54" t="s">
        <v>49</v>
      </c>
      <c r="B54" t="s">
        <v>61</v>
      </c>
      <c r="C54" t="s">
        <v>193</v>
      </c>
      <c r="D54" t="s">
        <v>171</v>
      </c>
      <c r="E54" t="s">
        <v>171</v>
      </c>
      <c r="F54" t="s">
        <v>172</v>
      </c>
      <c r="G54" t="s">
        <v>173</v>
      </c>
      <c r="H54" t="s">
        <v>171</v>
      </c>
      <c r="I54" t="s">
        <v>171</v>
      </c>
      <c r="J54" t="s">
        <v>171</v>
      </c>
      <c r="K54" t="s">
        <v>171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171</v>
      </c>
    </row>
    <row r="55" spans="1:47">
      <c r="A55" t="s">
        <v>49</v>
      </c>
      <c r="B55" t="s">
        <v>61</v>
      </c>
      <c r="C55" t="s">
        <v>194</v>
      </c>
      <c r="D55" t="s">
        <v>171</v>
      </c>
      <c r="E55" t="s">
        <v>171</v>
      </c>
      <c r="F55" t="s">
        <v>172</v>
      </c>
      <c r="G55" t="s">
        <v>173</v>
      </c>
      <c r="H55" t="s">
        <v>171</v>
      </c>
      <c r="I55" t="s">
        <v>171</v>
      </c>
      <c r="J55" t="s">
        <v>171</v>
      </c>
      <c r="K55" t="s">
        <v>171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2025-03-30T19:56:11Z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